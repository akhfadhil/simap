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" sheetId="1" r:id="rId4"/>
    <sheet state="visible" name="KALIPAIT" sheetId="2" r:id="rId5"/>
    <sheet state="visible" name="KEDUNGASRI" sheetId="3" r:id="rId6"/>
    <sheet state="visible" name="KEDUNGGEBANG" sheetId="4" r:id="rId7"/>
    <sheet state="visible" name="KEDUNGWUNGU" sheetId="5" r:id="rId8"/>
    <sheet state="visible" name="KENDALREJO" sheetId="6" r:id="rId9"/>
    <sheet state="visible" name="PURWOAGUNG" sheetId="7" r:id="rId10"/>
    <sheet state="visible" name="PURWOASRI" sheetId="8" r:id="rId11"/>
    <sheet state="visible" name="TEGALDLIMO" sheetId="9" r:id="rId12"/>
    <sheet state="visible" name="WRINGINPITU" sheetId="10" r:id="rId13"/>
  </sheets>
  <definedNames/>
  <calcPr/>
  <extLst>
    <ext uri="GoogleSheetsCustomDataVersion2">
      <go:sheetsCustomData xmlns:go="http://customooxmlschemas.google.com/" r:id="rId14" roundtripDataChecksum="R7/8uqCt2Wjlz4swW/U5JYi8/x6axVw5fbY5BG0e7gI="/>
    </ext>
  </extLst>
</workbook>
</file>

<file path=xl/sharedStrings.xml><?xml version="1.0" encoding="utf-8"?>
<sst xmlns="http://schemas.openxmlformats.org/spreadsheetml/2006/main" count="3082" uniqueCount="241">
  <si>
    <t>Kecamatan</t>
  </si>
  <si>
    <t>TEGALDLIMO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</si>
  <si>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</si>
  <si>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</si>
  <si>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</si>
  <si>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</si>
  <si>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</si>
  <si>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</si>
  <si>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</si>
  <si>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</si>
  <si>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</si>
  <si>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</si>
  <si>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</si>
  <si>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</si>
  <si>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</si>
  <si>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</si>
  <si>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</si>
  <si>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</si>
  <si>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</si>
  <si>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</si>
  <si>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</si>
  <si>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</si>
  <si>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</si>
  <si>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</si>
  <si>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</si>
  <si>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</si>
  <si>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</si>
  <si>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</si>
  <si>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</si>
  <si>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</si>
  <si>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</si>
  <si>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</si>
  <si>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</si>
  <si>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</si>
  <si>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</si>
  <si>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</si>
  <si>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</si>
  <si>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</si>
  <si>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</si>
  <si>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</si>
  <si>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</si>
  <si>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</si>
  <si>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</si>
  <si>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</si>
  <si>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</si>
  <si>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</si>
  <si>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</si>
  <si>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</si>
  <si>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</si>
  <si>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</si>
  <si>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</si>
  <si>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</si>
  <si>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</si>
  <si>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</si>
  <si>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</si>
  <si>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</si>
  <si>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</si>
  <si>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</si>
  <si>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</si>
  <si>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</si>
  <si>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</si>
  <si>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</si>
  <si>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</si>
  <si>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</si>
  <si>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</si>
  <si>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</si>
  <si>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</si>
  <si>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</si>
  <si>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</si>
  <si>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</si>
  <si>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</si>
  <si>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</si>
  <si>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</si>
  <si>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</si>
  <si>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</si>
  <si>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</si>
  <si>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</si>
  <si>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</si>
  <si>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</si>
  <si>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</si>
  <si>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</si>
  <si>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</si>
  <si>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</si>
  <si>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</si>
  <si>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</si>
  <si>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</si>
  <si>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</si>
  <si>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</si>
  <si>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</si>
  <si>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</si>
  <si>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</si>
  <si>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</si>
  <si>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</si>
  <si>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</si>
  <si>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</si>
  <si>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</si>
  <si>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</si>
  <si>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</si>
  <si>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</si>
  <si>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</si>
  <si>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</si>
  <si>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</si>
  <si>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</si>
  <si>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</si>
  <si>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</si>
  <si>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</si>
  <si>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</si>
  <si>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</si>
  <si>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</si>
  <si>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</si>
  <si>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</si>
  <si>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</si>
  <si>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</si>
  <si>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</si>
  <si>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</si>
  <si>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</si>
  <si>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</si>
  <si>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</si>
  <si>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</si>
  <si>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</si>
  <si>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</si>
  <si>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</si>
  <si>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</si>
  <si>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</si>
  <si>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</si>
  <si>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</si>
  <si>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</si>
  <si>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</si>
  <si>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</si>
  <si>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</si>
  <si>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</si>
  <si>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</si>
  <si>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</si>
  <si>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</si>
  <si>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</si>
  <si>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</si>
  <si>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</si>
  <si>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</si>
  <si>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</si>
  <si>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</si>
  <si>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</si>
  <si>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</si>
  <si>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</si>
  <si>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</si>
  <si>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</si>
  <si>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</si>
  <si>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</si>
  <si>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</si>
  <si>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</si>
  <si>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</si>
  <si>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</si>
  <si>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</si>
  <si>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</si>
  <si>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</si>
  <si>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</si>
  <si>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</si>
  <si>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</si>
  <si>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</si>
  <si>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</si>
  <si>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</si>
  <si>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</si>
  <si>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</si>
  <si>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</si>
  <si>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</si>
  <si>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</si>
  <si>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</si>
  <si>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</si>
  <si>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</si>
  <si>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</si>
  <si>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</si>
  <si>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</si>
  <si>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</si>
  <si>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</si>
  <si>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</si>
  <si>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</si>
  <si>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</si>
  <si>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</si>
  <si>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</si>
  <si>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</si>
  <si>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</si>
  <si>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</si>
  <si>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</si>
  <si>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</si>
  <si>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</si>
  <si>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</si>
  <si>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</si>
  <si>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</si>
  <si>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</si>
  <si>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</si>
  <si>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</si>
  <si>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</si>
  <si>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</si>
  <si>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</si>
  <si>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</si>
  <si>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</si>
  <si>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</si>
  <si>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</si>
  <si>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</si>
  <si>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</si>
  <si>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KALIPAIT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</si>
  <si>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</si>
  <si>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</si>
  <si>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</si>
  <si>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</si>
  <si>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</si>
  <si>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</si>
  <si>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</si>
  <si>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</si>
  <si>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</si>
  <si>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</si>
  <si>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</si>
  <si>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</si>
  <si>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</si>
  <si>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</si>
  <si>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</si>
  <si>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</si>
  <si>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</si>
  <si>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</si>
  <si>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</si>
  <si>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KEDUNGASRI</t>
  </si>
  <si>
    <t>TPS 020</t>
  </si>
  <si>
    <t>TPS 021</t>
  </si>
  <si>
    <t>TPS 022</t>
  </si>
  <si>
    <t>TPS 023</t>
  </si>
  <si>
    <t>TPS 024</t>
  </si>
  <si>
    <t>TPS 025</t>
  </si>
  <si>
    <t>KEDUNGGEBANG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</si>
  <si>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</si>
  <si>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</si>
  <si>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</si>
  <si>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</si>
  <si>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</si>
  <si>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</si>
  <si>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</si>
  <si>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</si>
  <si>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</si>
  <si>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KEDUNGWUNGU</t>
  </si>
  <si>
    <t>KENDALREJO</t>
  </si>
  <si>
    <t>PURWOAGUNG</t>
  </si>
  <si>
    <t>PURWOASRI</t>
  </si>
  <si>
    <t>WRINGINPITU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</si>
</sst>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  <scheme val="minor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KALIPAIT!X14+KEDUNGASRI!AD14+KEDUNGGEBANG!AM14+KEDUNGWUNGU!AF14+KENDALREJO!V14+PURWOAGUNG!S14+PURWOASRI!S14+TEGALDLIMO!AF14+WRINGINPITU!AF14</f>
        <v>26681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KALIPAIT!X15+KEDUNGASRI!AD15+KEDUNGGEBANG!AM15+KEDUNGWUNGU!AF15+KENDALREJO!V15+PURWOAGUNG!S15+PURWOASRI!S15+TEGALDLIMO!AF15+WRINGINPITU!AF15</f>
        <v>26213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52894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KALIPAIT!X19+KEDUNGASRI!AD19+KEDUNGGEBANG!AM19+KEDUNGWUNGU!AF19+KENDALREJO!V19+PURWOAGUNG!S19+PURWOASRI!S19+TEGALDLIMO!AF19+WRINGINPITU!AF19</f>
        <v>20784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KALIPAIT!X20+KEDUNGASRI!AD20+KEDUNGGEBANG!AM20+KEDUNGWUNGU!AF20+KENDALREJO!V20+PURWOAGUNG!S20+PURWOASRI!S20+TEGALDLIMO!AF20+WRINGINPITU!AF20</f>
        <v>21177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41961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KALIPAIT!X22+KEDUNGASRI!AD22+KEDUNGGEBANG!AM22+KEDUNGWUNGU!AF22+KENDALREJO!V22+PURWOAGUNG!S22+PURWOASRI!S22+TEGALDLIMO!AF22+WRINGINPITU!AF22</f>
        <v>30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KALIPAIT!X23+KEDUNGASRI!AD23+KEDUNGGEBANG!AM23+KEDUNGWUNGU!AF23+KENDALREJO!V23+PURWOAGUNG!S23+PURWOASRI!S23+TEGALDLIMO!AF23+WRINGINPITU!AF23</f>
        <v>28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58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KALIPAIT!X25+KEDUNGASRI!AD25+KEDUNGGEBANG!AM25+KEDUNGWUNGU!AF25+KENDALREJO!V25+PURWOAGUNG!S25+PURWOASRI!S25+TEGALDLIMO!AF25+WRINGINPITU!AF25</f>
        <v>56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KALIPAIT!X26+KEDUNGASRI!AD26+KEDUNGGEBANG!AM26+KEDUNGWUNGU!AF26+KENDALREJO!V26+PURWOAGUNG!S26+PURWOASRI!S26+TEGALDLIMO!AF26+WRINGINPITU!AF26</f>
        <v>87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143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20870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21292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42162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KALIPAIT!X33+KEDUNGASRI!AD33+KEDUNGGEBANG!AM33+KEDUNGWUNGU!AF33+KENDALREJO!V33+PURWOAGUNG!S33+PURWOASRI!S33+TEGALDLIMO!AF33+WRINGINPITU!AF33</f>
        <v>54067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KALIPAIT!X34+KEDUNGASRI!AD34+KEDUNGGEBANG!AM34+KEDUNGWUNGU!AF34+KENDALREJO!V34+PURWOAGUNG!S34+PURWOASRI!S34+TEGALDLIMO!AF34+WRINGINPITU!AF34</f>
        <v>42162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KALIPAIT!X35+KEDUNGASRI!AD35+KEDUNGGEBANG!AM35+KEDUNGWUNGU!AF35+KENDALREJO!V35+PURWOAGUNG!S35+PURWOASRI!S35+TEGALDLIMO!AF35+WRINGINPITU!AF35</f>
        <v>63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11842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KALIPAIT!X39+KEDUNGASRI!AD39+KEDUNGGEBANG!AM39+KEDUNGWUNGU!AF39+KENDALREJO!V39+PURWOAGUNG!S39+PURWOASRI!S39+TEGALDLIMO!AF39+WRINGINPITU!AF39</f>
        <v>17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KALIPAIT!X40+KEDUNGASRI!AD40+KEDUNGGEBANG!AM40+KEDUNGWUNGU!AF40+KENDALREJO!V40+PURWOAGUNG!S40+PURWOASRI!S40+TEGALDLIMO!AF40+WRINGINPITU!AF40</f>
        <v>22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39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KALIPAIT!X45+KEDUNGASRI!AD45+KEDUNGGEBANG!AM45+KEDUNGWUNGU!AF45+KENDALREJO!V45+PURWOAGUNG!S45+PURWOASRI!S45+TEGALDLIMO!AF45+WRINGINPITU!AF45</f>
        <v>1149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KALIPAIT!X46+KEDUNGASRI!AD46+KEDUNGGEBANG!AM46+KEDUNGWUNGU!AF46+KENDALREJO!V46+PURWOAGUNG!S46+PURWOASRI!S46+TEGALDLIMO!AF46+WRINGINPITU!AF46</f>
        <v>2817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KALIPAIT!X47+KEDUNGASRI!AD47+KEDUNGGEBANG!AM47+KEDUNGWUNGU!AF47+KENDALREJO!V47+PURWOAGUNG!S47+PURWOASRI!S47+TEGALDLIMO!AF47+WRINGINPITU!AF47</f>
        <v>425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KALIPAIT!X48+KEDUNGASRI!AD48+KEDUNGGEBANG!AM48+KEDUNGWUNGU!AF48+KENDALREJO!V48+PURWOAGUNG!S48+PURWOASRI!S48+TEGALDLIMO!AF48+WRINGINPITU!AF48</f>
        <v>99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KALIPAIT!X49+KEDUNGASRI!AD49+KEDUNGGEBANG!AM49+KEDUNGWUNGU!AF49+KENDALREJO!V49+PURWOAGUNG!S49+PURWOASRI!S49+TEGALDLIMO!AF49+WRINGINPITU!AF49</f>
        <v>135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KALIPAIT!X50+KEDUNGASRI!AD50+KEDUNGGEBANG!AM50+KEDUNGWUNGU!AF50+KENDALREJO!V50+PURWOAGUNG!S50+PURWOASRI!S50+TEGALDLIMO!AF50+WRINGINPITU!AF50</f>
        <v>78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KALIPAIT!X51+KEDUNGASRI!AD51+KEDUNGGEBANG!AM51+KEDUNGWUNGU!AF51+KENDALREJO!V51+PURWOAGUNG!S51+PURWOASRI!S51+TEGALDLIMO!AF51+WRINGINPITU!AF51</f>
        <v>65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KALIPAIT!X52+KEDUNGASRI!AD52+KEDUNGGEBANG!AM52+KEDUNGWUNGU!AF52+KENDALREJO!V52+PURWOAGUNG!S52+PURWOASRI!S52+TEGALDLIMO!AF52+WRINGINPITU!AF52</f>
        <v>34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9" t="s">
        <v>15</v>
      </c>
      <c r="B53" s="47" t="s">
        <v>47</v>
      </c>
      <c r="C53" s="15"/>
      <c r="D53" s="16"/>
      <c r="E53" s="13">
        <f>SUM(E45:E52)</f>
        <v>4802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45"/>
      <c r="B54" s="44"/>
      <c r="C54" s="44"/>
      <c r="D54" s="44"/>
      <c r="E54" s="44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30" t="s">
        <v>37</v>
      </c>
      <c r="B55" s="47" t="s">
        <v>19</v>
      </c>
      <c r="C55" s="48" t="s">
        <v>48</v>
      </c>
      <c r="D55" s="16"/>
      <c r="E55" s="24">
        <f>KALIPAIT!X55+KEDUNGASRI!AD55+KEDUNGGEBANG!AM55+KEDUNGWUNGU!AF55+KENDALREJO!V55+PURWOAGUNG!S55+PURWOASRI!S55+TEGALDLIMO!AF55+WRINGINPITU!AF55</f>
        <v>1186</v>
      </c>
      <c r="F55" s="25"/>
      <c r="G55" s="1"/>
      <c r="H55" s="1"/>
      <c r="I55" s="1"/>
      <c r="J55" s="1"/>
      <c r="K55" s="1"/>
      <c r="L55" s="1"/>
      <c r="M55" s="1"/>
      <c r="N55" s="1"/>
      <c r="O55" s="1"/>
      <c r="P55" s="9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0" t="s">
        <v>39</v>
      </c>
      <c r="B56" s="55">
        <v>1.0</v>
      </c>
      <c r="C56" s="50" t="s">
        <v>49</v>
      </c>
      <c r="D56" s="56"/>
      <c r="E56" s="24">
        <f>KALIPAIT!X56+KEDUNGASRI!AD56+KEDUNGGEBANG!AM56+KEDUNGWUNGU!AF56+KENDALREJO!V56+PURWOAGUNG!S56+PURWOASRI!S56+TEGALDLIMO!AF56+WRINGINPITU!AF56</f>
        <v>1248</v>
      </c>
      <c r="F56" s="51"/>
      <c r="G56" s="52"/>
      <c r="H56" s="52"/>
      <c r="I56" s="52"/>
      <c r="J56" s="52"/>
      <c r="K56" s="52"/>
      <c r="L56" s="52"/>
      <c r="M56" s="52"/>
      <c r="N56" s="52"/>
      <c r="O56" s="52"/>
      <c r="P56" s="53"/>
      <c r="Q56" s="3"/>
      <c r="R56" s="3"/>
      <c r="S56" s="3"/>
      <c r="T56" s="3"/>
      <c r="U56" s="3"/>
      <c r="V56" s="3"/>
      <c r="W56" s="54"/>
      <c r="X56" s="3"/>
      <c r="Y56" s="3"/>
      <c r="Z56" s="3"/>
    </row>
    <row r="57" ht="15.75" customHeight="1">
      <c r="A57" s="18"/>
      <c r="B57" s="55">
        <v>2.0</v>
      </c>
      <c r="C57" s="50" t="s">
        <v>50</v>
      </c>
      <c r="D57" s="56"/>
      <c r="E57" s="24">
        <f>KALIPAIT!X57+KEDUNGASRI!AD57+KEDUNGGEBANG!AM57+KEDUNGWUNGU!AF57+KENDALREJO!V57+PURWOAGUNG!S57+PURWOASRI!S57+TEGALDLIMO!AF57+WRINGINPITU!AF57</f>
        <v>757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8"/>
      <c r="B58" s="55">
        <v>3.0</v>
      </c>
      <c r="C58" s="50" t="s">
        <v>51</v>
      </c>
      <c r="D58" s="56"/>
      <c r="E58" s="24">
        <f>KALIPAIT!X58+KEDUNGASRI!AD58+KEDUNGGEBANG!AM58+KEDUNGWUNGU!AF58+KENDALREJO!V58+PURWOAGUNG!S58+PURWOASRI!S58+TEGALDLIMO!AF58+WRINGINPITU!AF58</f>
        <v>211</v>
      </c>
      <c r="F58" s="18"/>
      <c r="G58" s="5"/>
      <c r="H58" s="5"/>
      <c r="I58" s="5"/>
      <c r="J58" s="5"/>
      <c r="K58" s="5"/>
      <c r="L58" s="5"/>
      <c r="M58" s="5"/>
      <c r="N58" s="5"/>
      <c r="O58" s="5"/>
      <c r="P58" s="6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8"/>
      <c r="B59" s="55">
        <v>4.0</v>
      </c>
      <c r="C59" s="50" t="s">
        <v>52</v>
      </c>
      <c r="D59" s="56"/>
      <c r="E59" s="24">
        <f>KALIPAIT!X59+KEDUNGASRI!AD59+KEDUNGGEBANG!AM59+KEDUNGWUNGU!AF59+KENDALREJO!V59+PURWOAGUNG!S59+PURWOASRI!S59+TEGALDLIMO!AF59+WRINGINPITU!AF59</f>
        <v>207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5.0</v>
      </c>
      <c r="C60" s="50" t="s">
        <v>53</v>
      </c>
      <c r="D60" s="56"/>
      <c r="E60" s="24">
        <f>KALIPAIT!X60+KEDUNGASRI!AD60+KEDUNGGEBANG!AM60+KEDUNGWUNGU!AF60+KENDALREJO!V60+PURWOAGUNG!S60+PURWOASRI!S60+TEGALDLIMO!AF60+WRINGINPITU!AF60</f>
        <v>56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6.0</v>
      </c>
      <c r="C61" s="50" t="s">
        <v>54</v>
      </c>
      <c r="D61" s="57"/>
      <c r="E61" s="24">
        <f>KALIPAIT!X61+KEDUNGASRI!AD61+KEDUNGGEBANG!AM61+KEDUNGWUNGU!AF61+KENDALREJO!V61+PURWOAGUNG!S61+PURWOASRI!S61+TEGALDLIMO!AF61+WRINGINPITU!AF61</f>
        <v>114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7.0</v>
      </c>
      <c r="C62" s="50" t="s">
        <v>55</v>
      </c>
      <c r="D62" s="56"/>
      <c r="E62" s="24">
        <f>KALIPAIT!X62+KEDUNGASRI!AD62+KEDUNGGEBANG!AM62+KEDUNGWUNGU!AF62+KENDALREJO!V62+PURWOAGUNG!S62+PURWOASRI!S62+TEGALDLIMO!AF62+WRINGINPITU!AF62</f>
        <v>33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9" t="s">
        <v>15</v>
      </c>
      <c r="B63" s="47" t="s">
        <v>47</v>
      </c>
      <c r="C63" s="15"/>
      <c r="D63" s="16"/>
      <c r="E63" s="13">
        <f>SUM(E55:E62)</f>
        <v>3812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45"/>
      <c r="B64" s="44"/>
      <c r="C64" s="44"/>
      <c r="D64" s="44"/>
      <c r="E64" s="44"/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30" t="s">
        <v>37</v>
      </c>
      <c r="B65" s="47" t="s">
        <v>21</v>
      </c>
      <c r="C65" s="48" t="s">
        <v>56</v>
      </c>
      <c r="D65" s="16"/>
      <c r="E65" s="24">
        <f>KALIPAIT!X65+KEDUNGASRI!AD65+KEDUNGGEBANG!AM65+KEDUNGWUNGU!AF65+KENDALREJO!V65+PURWOAGUNG!S65+PURWOASRI!S65+TEGALDLIMO!AF65+WRINGINPITU!AF65</f>
        <v>1539</v>
      </c>
      <c r="F65" s="25"/>
      <c r="G65" s="1"/>
      <c r="H65" s="1"/>
      <c r="I65" s="1"/>
      <c r="J65" s="1"/>
      <c r="K65" s="1"/>
      <c r="L65" s="1"/>
      <c r="M65" s="1"/>
      <c r="N65" s="1"/>
      <c r="O65" s="1"/>
      <c r="P65" s="9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0" t="s">
        <v>39</v>
      </c>
      <c r="B66" s="55">
        <v>1.0</v>
      </c>
      <c r="C66" s="50" t="s">
        <v>57</v>
      </c>
      <c r="D66" s="57"/>
      <c r="E66" s="24">
        <f>KALIPAIT!X66+KEDUNGASRI!AD66+KEDUNGGEBANG!AM66+KEDUNGWUNGU!AF66+KENDALREJO!V66+PURWOAGUNG!S66+PURWOASRI!S66+TEGALDLIMO!AF66+WRINGINPITU!AF66</f>
        <v>1363</v>
      </c>
      <c r="F66" s="51"/>
      <c r="G66" s="52"/>
      <c r="H66" s="52"/>
      <c r="I66" s="52"/>
      <c r="J66" s="52"/>
      <c r="K66" s="52"/>
      <c r="L66" s="52"/>
      <c r="M66" s="52"/>
      <c r="N66" s="52"/>
      <c r="O66" s="52"/>
      <c r="P66" s="53"/>
      <c r="Q66" s="3"/>
      <c r="R66" s="3"/>
      <c r="S66" s="3"/>
      <c r="T66" s="3"/>
      <c r="U66" s="3"/>
      <c r="V66" s="3"/>
      <c r="W66" s="54"/>
      <c r="X66" s="3"/>
      <c r="Y66" s="3"/>
      <c r="Z66" s="3"/>
    </row>
    <row r="67" ht="15.75" customHeight="1">
      <c r="A67" s="18"/>
      <c r="B67" s="55">
        <v>2.0</v>
      </c>
      <c r="C67" s="50" t="s">
        <v>58</v>
      </c>
      <c r="D67" s="57"/>
      <c r="E67" s="24">
        <f>KALIPAIT!X67+KEDUNGASRI!AD67+KEDUNGGEBANG!AM67+KEDUNGWUNGU!AF67+KENDALREJO!V67+PURWOAGUNG!S67+PURWOASRI!S67+TEGALDLIMO!AF67+WRINGINPITU!AF67</f>
        <v>982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8"/>
      <c r="B68" s="55">
        <v>3.0</v>
      </c>
      <c r="C68" s="50" t="s">
        <v>59</v>
      </c>
      <c r="D68" s="57"/>
      <c r="E68" s="24">
        <f>KALIPAIT!X68+KEDUNGASRI!AD68+KEDUNGGEBANG!AM68+KEDUNGWUNGU!AF68+KENDALREJO!V68+PURWOAGUNG!S68+PURWOASRI!S68+TEGALDLIMO!AF68+WRINGINPITU!AF68</f>
        <v>2467</v>
      </c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8"/>
      <c r="B69" s="55">
        <v>4.0</v>
      </c>
      <c r="C69" s="50" t="s">
        <v>60</v>
      </c>
      <c r="D69" s="57"/>
      <c r="E69" s="24">
        <f>KALIPAIT!X69+KEDUNGASRI!AD69+KEDUNGGEBANG!AM69+KEDUNGWUNGU!AF69+KENDALREJO!V69+PURWOAGUNG!S69+PURWOASRI!S69+TEGALDLIMO!AF69+WRINGINPITU!AF69</f>
        <v>444</v>
      </c>
      <c r="F69" s="18"/>
      <c r="G69" s="5"/>
      <c r="H69" s="5"/>
      <c r="I69" s="5"/>
      <c r="J69" s="5"/>
      <c r="K69" s="5"/>
      <c r="L69" s="5"/>
      <c r="M69" s="5"/>
      <c r="N69" s="5"/>
      <c r="O69" s="5"/>
      <c r="P69" s="6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8"/>
      <c r="B70" s="55">
        <v>5.0</v>
      </c>
      <c r="C70" s="50" t="s">
        <v>61</v>
      </c>
      <c r="D70" s="57"/>
      <c r="E70" s="24">
        <f>KALIPAIT!X70+KEDUNGASRI!AD70+KEDUNGGEBANG!AM70+KEDUNGWUNGU!AF70+KENDALREJO!V70+PURWOAGUNG!S70+PURWOASRI!S70+TEGALDLIMO!AF70+WRINGINPITU!AF70</f>
        <v>403</v>
      </c>
      <c r="F70" s="18"/>
      <c r="G70" s="5"/>
      <c r="H70" s="5"/>
      <c r="I70" s="5"/>
      <c r="J70" s="5"/>
      <c r="K70" s="5"/>
      <c r="L70" s="5"/>
      <c r="M70" s="5"/>
      <c r="N70" s="5"/>
      <c r="O70" s="5"/>
      <c r="P70" s="6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8"/>
      <c r="B71" s="55">
        <v>6.0</v>
      </c>
      <c r="C71" s="50" t="s">
        <v>62</v>
      </c>
      <c r="D71" s="57"/>
      <c r="E71" s="24">
        <f>KALIPAIT!X71+KEDUNGASRI!AD71+KEDUNGGEBANG!AM71+KEDUNGWUNGU!AF71+KENDALREJO!V71+PURWOAGUNG!S71+PURWOASRI!S71+TEGALDLIMO!AF71+WRINGINPITU!AF71</f>
        <v>230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7.0</v>
      </c>
      <c r="C72" s="50" t="s">
        <v>63</v>
      </c>
      <c r="D72" s="57"/>
      <c r="E72" s="24">
        <f>KALIPAIT!X72+KEDUNGASRI!AD72+KEDUNGGEBANG!AM72+KEDUNGWUNGU!AF72+KENDALREJO!V72+PURWOAGUNG!S72+PURWOASRI!S72+TEGALDLIMO!AF72+WRINGINPITU!AF72</f>
        <v>940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9" t="s">
        <v>15</v>
      </c>
      <c r="B73" s="47" t="s">
        <v>47</v>
      </c>
      <c r="C73" s="15"/>
      <c r="D73" s="16"/>
      <c r="E73" s="13">
        <f>SUM(E65:E72)</f>
        <v>8368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45"/>
      <c r="B74" s="44"/>
      <c r="C74" s="44"/>
      <c r="D74" s="44"/>
      <c r="E74" s="44"/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30" t="s">
        <v>37</v>
      </c>
      <c r="B75" s="47" t="s">
        <v>23</v>
      </c>
      <c r="C75" s="48" t="s">
        <v>64</v>
      </c>
      <c r="D75" s="16"/>
      <c r="E75" s="24">
        <f>KALIPAIT!X75+KEDUNGASRI!AD75+KEDUNGGEBANG!AM75+KEDUNGWUNGU!AF75+KENDALREJO!V75+PURWOAGUNG!S75+PURWOASRI!S75+TEGALDLIMO!AF75+WRINGINPITU!AF75</f>
        <v>631</v>
      </c>
      <c r="F75" s="25"/>
      <c r="G75" s="1"/>
      <c r="H75" s="1"/>
      <c r="I75" s="1"/>
      <c r="J75" s="1"/>
      <c r="K75" s="1"/>
      <c r="L75" s="1"/>
      <c r="M75" s="1"/>
      <c r="N75" s="1"/>
      <c r="O75" s="1"/>
      <c r="P75" s="9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0" t="s">
        <v>39</v>
      </c>
      <c r="B76" s="55">
        <v>1.0</v>
      </c>
      <c r="C76" s="50" t="s">
        <v>65</v>
      </c>
      <c r="D76" s="57"/>
      <c r="E76" s="24">
        <f>KALIPAIT!X76+KEDUNGASRI!AD76+KEDUNGGEBANG!AM76+KEDUNGWUNGU!AF76+KENDALREJO!V76+PURWOAGUNG!S76+PURWOASRI!S76+TEGALDLIMO!AF76+WRINGINPITU!AF76</f>
        <v>2581</v>
      </c>
      <c r="F76" s="51"/>
      <c r="G76" s="52"/>
      <c r="H76" s="52"/>
      <c r="I76" s="52"/>
      <c r="J76" s="52"/>
      <c r="K76" s="52"/>
      <c r="L76" s="52"/>
      <c r="M76" s="52"/>
      <c r="N76" s="52"/>
      <c r="O76" s="52"/>
      <c r="P76" s="53"/>
      <c r="Q76" s="3"/>
      <c r="R76" s="3"/>
      <c r="S76" s="3"/>
      <c r="T76" s="3"/>
      <c r="U76" s="3"/>
      <c r="V76" s="3"/>
      <c r="W76" s="54"/>
      <c r="X76" s="3"/>
      <c r="Y76" s="3"/>
      <c r="Z76" s="3"/>
    </row>
    <row r="77" ht="15.75" customHeight="1">
      <c r="A77" s="18"/>
      <c r="B77" s="55">
        <v>2.0</v>
      </c>
      <c r="C77" s="50" t="s">
        <v>66</v>
      </c>
      <c r="D77" s="57"/>
      <c r="E77" s="24">
        <f>KALIPAIT!X77+KEDUNGASRI!AD77+KEDUNGGEBANG!AM77+KEDUNGWUNGU!AF77+KENDALREJO!V77+PURWOAGUNG!S77+PURWOASRI!S77+TEGALDLIMO!AF77+WRINGINPITU!AF77</f>
        <v>1787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>
        <v>3.0</v>
      </c>
      <c r="C78" s="50" t="s">
        <v>67</v>
      </c>
      <c r="D78" s="57"/>
      <c r="E78" s="24">
        <f>KALIPAIT!X78+KEDUNGASRI!AD78+KEDUNGGEBANG!AM78+KEDUNGWUNGU!AF78+KENDALREJO!V78+PURWOAGUNG!S78+PURWOASRI!S78+TEGALDLIMO!AF78+WRINGINPITU!AF78</f>
        <v>63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8"/>
      <c r="B79" s="55">
        <v>4.0</v>
      </c>
      <c r="C79" s="50" t="s">
        <v>68</v>
      </c>
      <c r="D79" s="57"/>
      <c r="E79" s="24">
        <f>KALIPAIT!X79+KEDUNGASRI!AD79+KEDUNGGEBANG!AM79+KEDUNGWUNGU!AF79+KENDALREJO!V79+PURWOAGUNG!S79+PURWOASRI!S79+TEGALDLIMO!AF79+WRINGINPITU!AF79</f>
        <v>140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8"/>
      <c r="B80" s="55">
        <v>5.0</v>
      </c>
      <c r="C80" s="50" t="s">
        <v>69</v>
      </c>
      <c r="D80" s="57"/>
      <c r="E80" s="24">
        <f>KALIPAIT!X80+KEDUNGASRI!AD80+KEDUNGGEBANG!AM80+KEDUNGWUNGU!AF80+KENDALREJO!V80+PURWOAGUNG!S80+PURWOASRI!S80+TEGALDLIMO!AF80+WRINGINPITU!AF80</f>
        <v>654</v>
      </c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8"/>
      <c r="B81" s="55">
        <v>6.0</v>
      </c>
      <c r="C81" s="50" t="s">
        <v>70</v>
      </c>
      <c r="D81" s="57"/>
      <c r="E81" s="24">
        <f>KALIPAIT!X81+KEDUNGASRI!AD81+KEDUNGGEBANG!AM81+KEDUNGWUNGU!AF81+KENDALREJO!V81+PURWOAGUNG!S81+PURWOASRI!S81+TEGALDLIMO!AF81+WRINGINPITU!AF81</f>
        <v>25</v>
      </c>
      <c r="F81" s="18"/>
      <c r="G81" s="5"/>
      <c r="H81" s="5"/>
      <c r="I81" s="5"/>
      <c r="J81" s="5"/>
      <c r="K81" s="5"/>
      <c r="L81" s="5"/>
      <c r="M81" s="5"/>
      <c r="N81" s="5"/>
      <c r="O81" s="5"/>
      <c r="P81" s="6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8"/>
      <c r="B82" s="55">
        <v>7.0</v>
      </c>
      <c r="C82" s="50" t="s">
        <v>71</v>
      </c>
      <c r="D82" s="57"/>
      <c r="E82" s="24">
        <f>KALIPAIT!X82+KEDUNGASRI!AD82+KEDUNGGEBANG!AM82+KEDUNGWUNGU!AF82+KENDALREJO!V82+PURWOAGUNG!S82+PURWOASRI!S82+TEGALDLIMO!AF82+WRINGINPITU!AF82</f>
        <v>22</v>
      </c>
      <c r="F82" s="18"/>
      <c r="G82" s="5"/>
      <c r="H82" s="5"/>
      <c r="I82" s="5"/>
      <c r="J82" s="5"/>
      <c r="K82" s="5"/>
      <c r="L82" s="5"/>
      <c r="M82" s="5"/>
      <c r="N82" s="5"/>
      <c r="O82" s="5"/>
      <c r="P82" s="6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9" t="s">
        <v>15</v>
      </c>
      <c r="B83" s="47" t="s">
        <v>47</v>
      </c>
      <c r="C83" s="15"/>
      <c r="D83" s="16"/>
      <c r="E83" s="13">
        <f>SUM(E75:E82)</f>
        <v>5903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45"/>
      <c r="B84" s="44"/>
      <c r="C84" s="44"/>
      <c r="D84" s="44"/>
      <c r="E84" s="44"/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30" t="s">
        <v>37</v>
      </c>
      <c r="B85" s="47" t="s">
        <v>72</v>
      </c>
      <c r="C85" s="48" t="s">
        <v>73</v>
      </c>
      <c r="D85" s="16"/>
      <c r="E85" s="24">
        <f>KALIPAIT!X85+KEDUNGASRI!AD85+KEDUNGGEBANG!AM85+KEDUNGWUNGU!AF85+KENDALREJO!V85+PURWOAGUNG!S85+PURWOASRI!S85+TEGALDLIMO!AF85+WRINGINPITU!AF85</f>
        <v>215</v>
      </c>
      <c r="F85" s="25"/>
      <c r="G85" s="1"/>
      <c r="H85" s="1"/>
      <c r="I85" s="1"/>
      <c r="J85" s="1"/>
      <c r="K85" s="1"/>
      <c r="L85" s="1"/>
      <c r="M85" s="1"/>
      <c r="N85" s="1"/>
      <c r="O85" s="1"/>
      <c r="P85" s="9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0" t="s">
        <v>39</v>
      </c>
      <c r="B86" s="55">
        <v>1.0</v>
      </c>
      <c r="C86" s="50" t="s">
        <v>74</v>
      </c>
      <c r="D86" s="57"/>
      <c r="E86" s="24">
        <f>KALIPAIT!X86+KEDUNGASRI!AD86+KEDUNGGEBANG!AM86+KEDUNGWUNGU!AF86+KENDALREJO!V86+PURWOAGUNG!S86+PURWOASRI!S86+TEGALDLIMO!AF86+WRINGINPITU!AF86</f>
        <v>240</v>
      </c>
      <c r="F86" s="51"/>
      <c r="G86" s="52"/>
      <c r="H86" s="52"/>
      <c r="I86" s="52"/>
      <c r="J86" s="52"/>
      <c r="K86" s="52"/>
      <c r="L86" s="52"/>
      <c r="M86" s="52"/>
      <c r="N86" s="52"/>
      <c r="O86" s="52"/>
      <c r="P86" s="53"/>
      <c r="Q86" s="3"/>
      <c r="R86" s="3"/>
      <c r="S86" s="3"/>
      <c r="T86" s="3"/>
      <c r="U86" s="3"/>
      <c r="V86" s="3"/>
      <c r="W86" s="54"/>
      <c r="X86" s="3"/>
      <c r="Y86" s="3"/>
      <c r="Z86" s="3"/>
    </row>
    <row r="87" ht="15.75" customHeight="1">
      <c r="A87" s="18"/>
      <c r="B87" s="55">
        <v>2.0</v>
      </c>
      <c r="C87" s="50" t="s">
        <v>75</v>
      </c>
      <c r="D87" s="57"/>
      <c r="E87" s="24">
        <f>KALIPAIT!X87+KEDUNGASRI!AD87+KEDUNGGEBANG!AM87+KEDUNGWUNGU!AF87+KENDALREJO!V87+PURWOAGUNG!S87+PURWOASRI!S87+TEGALDLIMO!AF87+WRINGINPITU!AF87</f>
        <v>151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3.0</v>
      </c>
      <c r="C88" s="50" t="s">
        <v>76</v>
      </c>
      <c r="D88" s="57"/>
      <c r="E88" s="24">
        <f>KALIPAIT!X88+KEDUNGASRI!AD88+KEDUNGGEBANG!AM88+KEDUNGWUNGU!AF88+KENDALREJO!V88+PURWOAGUNG!S88+PURWOASRI!S88+TEGALDLIMO!AF88+WRINGINPITU!AF88</f>
        <v>53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>
        <v>4.0</v>
      </c>
      <c r="C89" s="50" t="s">
        <v>77</v>
      </c>
      <c r="D89" s="57"/>
      <c r="E89" s="24">
        <f>KALIPAIT!X89+KEDUNGASRI!AD89+KEDUNGGEBANG!AM89+KEDUNGWUNGU!AF89+KENDALREJO!V89+PURWOAGUNG!S89+PURWOASRI!S89+TEGALDLIMO!AF89+WRINGINPITU!AF89</f>
        <v>106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>
        <v>5.0</v>
      </c>
      <c r="C90" s="50" t="s">
        <v>78</v>
      </c>
      <c r="D90" s="57"/>
      <c r="E90" s="24">
        <f>KALIPAIT!X90+KEDUNGASRI!AD90+KEDUNGGEBANG!AM90+KEDUNGWUNGU!AF90+KENDALREJO!V90+PURWOAGUNG!S90+PURWOASRI!S90+TEGALDLIMO!AF90+WRINGINPITU!AF90</f>
        <v>48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8"/>
      <c r="B91" s="55">
        <v>6.0</v>
      </c>
      <c r="C91" s="50" t="s">
        <v>79</v>
      </c>
      <c r="D91" s="57"/>
      <c r="E91" s="24">
        <f>KALIPAIT!X91+KEDUNGASRI!AD91+KEDUNGGEBANG!AM91+KEDUNGWUNGU!AF91+KENDALREJO!V91+PURWOAGUNG!S91+PURWOASRI!S91+TEGALDLIMO!AF91+WRINGINPITU!AF91</f>
        <v>18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8"/>
      <c r="B92" s="55">
        <v>7.0</v>
      </c>
      <c r="C92" s="50" t="s">
        <v>80</v>
      </c>
      <c r="D92" s="57"/>
      <c r="E92" s="24">
        <f>KALIPAIT!X92+KEDUNGASRI!AD92+KEDUNGGEBANG!AM92+KEDUNGWUNGU!AF92+KENDALREJO!V92+PURWOAGUNG!S92+PURWOASRI!S92+TEGALDLIMO!AF92+WRINGINPITU!AF92</f>
        <v>20</v>
      </c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9" t="s">
        <v>15</v>
      </c>
      <c r="B93" s="47" t="s">
        <v>47</v>
      </c>
      <c r="C93" s="15"/>
      <c r="D93" s="16"/>
      <c r="E93" s="13">
        <f>SUM(E85:E92)</f>
        <v>851</v>
      </c>
      <c r="F93" s="18"/>
      <c r="G93" s="5"/>
      <c r="H93" s="5"/>
      <c r="I93" s="5"/>
      <c r="J93" s="5"/>
      <c r="K93" s="5"/>
      <c r="L93" s="5"/>
      <c r="M93" s="5"/>
      <c r="N93" s="5"/>
      <c r="O93" s="5"/>
      <c r="P93" s="6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45"/>
      <c r="B94" s="44"/>
      <c r="C94" s="44"/>
      <c r="D94" s="44"/>
      <c r="E94" s="44"/>
      <c r="F94" s="18"/>
      <c r="G94" s="5"/>
      <c r="H94" s="5"/>
      <c r="I94" s="5"/>
      <c r="J94" s="5"/>
      <c r="K94" s="5"/>
      <c r="L94" s="5"/>
      <c r="M94" s="5"/>
      <c r="N94" s="5"/>
      <c r="O94" s="5"/>
      <c r="P94" s="6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30" t="s">
        <v>37</v>
      </c>
      <c r="B95" s="47" t="s">
        <v>81</v>
      </c>
      <c r="C95" s="48" t="s">
        <v>82</v>
      </c>
      <c r="D95" s="16"/>
      <c r="E95" s="24">
        <f>KALIPAIT!X95+KEDUNGASRI!AD95+KEDUNGGEBANG!AM95+KEDUNGWUNGU!AF95+KENDALREJO!V95+PURWOAGUNG!S95+PURWOASRI!S95+TEGALDLIMO!AF95+WRINGINPITU!AF95</f>
        <v>96</v>
      </c>
      <c r="F95" s="25"/>
      <c r="G95" s="1"/>
      <c r="H95" s="1"/>
      <c r="I95" s="1"/>
      <c r="J95" s="1"/>
      <c r="K95" s="1"/>
      <c r="L95" s="1"/>
      <c r="M95" s="1"/>
      <c r="N95" s="1"/>
      <c r="O95" s="1"/>
      <c r="P95" s="9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0" t="s">
        <v>39</v>
      </c>
      <c r="B96" s="55">
        <v>1.0</v>
      </c>
      <c r="C96" s="50" t="s">
        <v>83</v>
      </c>
      <c r="D96" s="57"/>
      <c r="E96" s="24">
        <f>KALIPAIT!X96+KEDUNGASRI!AD96+KEDUNGGEBANG!AM96+KEDUNGWUNGU!AF96+KENDALREJO!V96+PURWOAGUNG!S96+PURWOASRI!S96+TEGALDLIMO!AF96+WRINGINPITU!AF96</f>
        <v>79</v>
      </c>
      <c r="F96" s="51"/>
      <c r="G96" s="52"/>
      <c r="H96" s="52"/>
      <c r="I96" s="52"/>
      <c r="J96" s="52"/>
      <c r="K96" s="52"/>
      <c r="L96" s="52"/>
      <c r="M96" s="52"/>
      <c r="N96" s="52"/>
      <c r="O96" s="52"/>
      <c r="P96" s="53"/>
      <c r="Q96" s="3"/>
      <c r="R96" s="3"/>
      <c r="S96" s="3"/>
      <c r="T96" s="3"/>
      <c r="U96" s="3"/>
      <c r="V96" s="3"/>
      <c r="W96" s="54"/>
      <c r="X96" s="3"/>
      <c r="Y96" s="3"/>
      <c r="Z96" s="3"/>
    </row>
    <row r="97" ht="15.75" customHeight="1">
      <c r="A97" s="18"/>
      <c r="B97" s="55">
        <v>2.0</v>
      </c>
      <c r="C97" s="50" t="s">
        <v>84</v>
      </c>
      <c r="D97" s="57"/>
      <c r="E97" s="24">
        <f>KALIPAIT!X97+KEDUNGASRI!AD97+KEDUNGGEBANG!AM97+KEDUNGWUNGU!AF97+KENDALREJO!V97+PURWOAGUNG!S97+PURWOASRI!S97+TEGALDLIMO!AF97+WRINGINPITU!AF97</f>
        <v>45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3.0</v>
      </c>
      <c r="C98" s="50" t="s">
        <v>85</v>
      </c>
      <c r="D98" s="57"/>
      <c r="E98" s="24">
        <f>KALIPAIT!X98+KEDUNGASRI!AD98+KEDUNGGEBANG!AM98+KEDUNGWUNGU!AF98+KENDALREJO!V98+PURWOAGUNG!S98+PURWOASRI!S98+TEGALDLIMO!AF98+WRINGINPITU!AF98</f>
        <v>15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4.0</v>
      </c>
      <c r="C99" s="50" t="s">
        <v>86</v>
      </c>
      <c r="D99" s="57"/>
      <c r="E99" s="24">
        <f>KALIPAIT!X99+KEDUNGASRI!AD99+KEDUNGGEBANG!AM99+KEDUNGWUNGU!AF99+KENDALREJO!V99+PURWOAGUNG!S99+PURWOASRI!S99+TEGALDLIMO!AF99+WRINGINPITU!AF99</f>
        <v>13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5.0</v>
      </c>
      <c r="C100" s="50" t="s">
        <v>87</v>
      </c>
      <c r="D100" s="57"/>
      <c r="E100" s="24">
        <f>KALIPAIT!X100+KEDUNGASRI!AD100+KEDUNGGEBANG!AM100+KEDUNGWUNGU!AF100+KENDALREJO!V100+PURWOAGUNG!S100+PURWOASRI!S100+TEGALDLIMO!AF100+WRINGINPITU!AF100</f>
        <v>2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>
        <v>6.0</v>
      </c>
      <c r="C101" s="50" t="s">
        <v>88</v>
      </c>
      <c r="D101" s="57"/>
      <c r="E101" s="24">
        <f>KALIPAIT!X101+KEDUNGASRI!AD101+KEDUNGGEBANG!AM101+KEDUNGWUNGU!AF101+KENDALREJO!V101+PURWOAGUNG!S101+PURWOASRI!S101+TEGALDLIMO!AF101+WRINGINPITU!AF101</f>
        <v>5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>
        <v>7.0</v>
      </c>
      <c r="C102" s="50" t="s">
        <v>89</v>
      </c>
      <c r="D102" s="57"/>
      <c r="E102" s="24">
        <f>KALIPAIT!X102+KEDUNGASRI!AD102+KEDUNGGEBANG!AM102+KEDUNGWUNGU!AF102+KENDALREJO!V102+PURWOAGUNG!S102+PURWOASRI!S102+TEGALDLIMO!AF102+WRINGINPITU!AF102</f>
        <v>3</v>
      </c>
      <c r="F102" s="25"/>
      <c r="G102" s="1"/>
      <c r="H102" s="1"/>
      <c r="I102" s="1"/>
      <c r="J102" s="1"/>
      <c r="K102" s="1"/>
      <c r="L102" s="1"/>
      <c r="M102" s="1"/>
      <c r="N102" s="1"/>
      <c r="O102" s="1"/>
      <c r="P102" s="9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SUM(E95:E102)</f>
        <v>258</v>
      </c>
      <c r="F103" s="51"/>
      <c r="G103" s="52"/>
      <c r="H103" s="52"/>
      <c r="I103" s="52"/>
      <c r="J103" s="52"/>
      <c r="K103" s="52"/>
      <c r="L103" s="52"/>
      <c r="M103" s="52"/>
      <c r="N103" s="52"/>
      <c r="O103" s="52"/>
      <c r="P103" s="53"/>
      <c r="Q103" s="3"/>
      <c r="R103" s="3"/>
      <c r="S103" s="3"/>
      <c r="T103" s="3"/>
      <c r="U103" s="3"/>
      <c r="V103" s="3"/>
      <c r="W103" s="54"/>
      <c r="X103" s="3"/>
      <c r="Y103" s="3"/>
      <c r="Z103" s="3"/>
    </row>
    <row r="104" ht="15.75" customHeight="1">
      <c r="A104" s="24"/>
      <c r="B104" s="15"/>
      <c r="C104" s="15"/>
      <c r="D104" s="15"/>
      <c r="E104" s="16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90</v>
      </c>
      <c r="C105" s="48" t="s">
        <v>91</v>
      </c>
      <c r="D105" s="16"/>
      <c r="E105" s="24">
        <f>KALIPAIT!X105+KEDUNGASRI!AD105+KEDUNGGEBANG!AM105+KEDUNGWUNGU!AF105+KENDALREJO!V105+PURWOAGUNG!S105+PURWOASRI!S105+TEGALDLIMO!AF105+WRINGINPITU!AF105</f>
        <v>138</v>
      </c>
      <c r="F105" s="18"/>
      <c r="G105" s="5"/>
      <c r="H105" s="5"/>
      <c r="I105" s="5"/>
      <c r="J105" s="5"/>
      <c r="K105" s="5"/>
      <c r="L105" s="5"/>
      <c r="M105" s="5"/>
      <c r="N105" s="5"/>
      <c r="O105" s="5"/>
      <c r="P105" s="6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30" t="s">
        <v>39</v>
      </c>
      <c r="B106" s="55">
        <v>1.0</v>
      </c>
      <c r="C106" s="50" t="s">
        <v>92</v>
      </c>
      <c r="D106" s="57"/>
      <c r="E106" s="24">
        <f>KALIPAIT!X106+KEDUNGASRI!AD106+KEDUNGGEBANG!AM106+KEDUNGWUNGU!AF106+KENDALREJO!V106+PURWOAGUNG!S106+PURWOASRI!S106+TEGALDLIMO!AF106+WRINGINPITU!AF106</f>
        <v>43</v>
      </c>
      <c r="F106" s="18"/>
      <c r="G106" s="5"/>
      <c r="H106" s="5"/>
      <c r="I106" s="5"/>
      <c r="J106" s="5"/>
      <c r="K106" s="5"/>
      <c r="L106" s="5"/>
      <c r="M106" s="5"/>
      <c r="N106" s="5"/>
      <c r="O106" s="5"/>
      <c r="P106" s="6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8"/>
      <c r="B107" s="55">
        <v>2.0</v>
      </c>
      <c r="C107" s="50" t="s">
        <v>93</v>
      </c>
      <c r="D107" s="57"/>
      <c r="E107" s="24">
        <f>KALIPAIT!X107+KEDUNGASRI!AD107+KEDUNGGEBANG!AM107+KEDUNGWUNGU!AF107+KENDALREJO!V107+PURWOAGUNG!S107+PURWOASRI!S107+TEGALDLIMO!AF107+WRINGINPITU!AF107</f>
        <v>28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94</v>
      </c>
      <c r="D108" s="57"/>
      <c r="E108" s="24">
        <f>KALIPAIT!X108+KEDUNGASRI!AD108+KEDUNGGEBANG!AM108+KEDUNGWUNGU!AF108+KENDALREJO!V108+PURWOAGUNG!S108+PURWOASRI!S108+TEGALDLIMO!AF108+WRINGINPITU!AF108</f>
        <v>11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9" t="s">
        <v>15</v>
      </c>
      <c r="B109" s="47" t="s">
        <v>47</v>
      </c>
      <c r="C109" s="15"/>
      <c r="D109" s="16"/>
      <c r="E109" s="58">
        <f>SUM(E105:E108)</f>
        <v>220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24"/>
      <c r="B110" s="15"/>
      <c r="C110" s="15"/>
      <c r="D110" s="15"/>
      <c r="E110" s="16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30" t="s">
        <v>37</v>
      </c>
      <c r="B111" s="47" t="s">
        <v>95</v>
      </c>
      <c r="C111" s="48" t="s">
        <v>96</v>
      </c>
      <c r="D111" s="16"/>
      <c r="E111" s="24">
        <f>KALIPAIT!X111+KEDUNGASRI!AD111+KEDUNGGEBANG!AM111+KEDUNGWUNGU!AF111+KENDALREJO!V111+PURWOAGUNG!S111+PURWOASRI!S111+TEGALDLIMO!AF111+WRINGINPITU!AF111</f>
        <v>79</v>
      </c>
      <c r="F111" s="25"/>
      <c r="G111" s="1"/>
      <c r="H111" s="1"/>
      <c r="I111" s="1"/>
      <c r="J111" s="1"/>
      <c r="K111" s="1"/>
      <c r="L111" s="1"/>
      <c r="M111" s="1"/>
      <c r="N111" s="1"/>
      <c r="O111" s="1"/>
      <c r="P111" s="9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0" t="s">
        <v>39</v>
      </c>
      <c r="B112" s="55">
        <v>1.0</v>
      </c>
      <c r="C112" s="50" t="s">
        <v>97</v>
      </c>
      <c r="D112" s="56"/>
      <c r="E112" s="24">
        <f>KALIPAIT!X112+KEDUNGASRI!AD112+KEDUNGGEBANG!AM112+KEDUNGWUNGU!AF112+KENDALREJO!V112+PURWOAGUNG!S112+PURWOASRI!S112+TEGALDLIMO!AF112+WRINGINPITU!AF112</f>
        <v>197</v>
      </c>
      <c r="F112" s="51"/>
      <c r="G112" s="52"/>
      <c r="H112" s="52"/>
      <c r="I112" s="52"/>
      <c r="J112" s="52"/>
      <c r="K112" s="52"/>
      <c r="L112" s="52"/>
      <c r="M112" s="52"/>
      <c r="N112" s="52"/>
      <c r="O112" s="52"/>
      <c r="P112" s="53"/>
      <c r="Q112" s="3"/>
      <c r="R112" s="3"/>
      <c r="S112" s="3"/>
      <c r="T112" s="3"/>
      <c r="U112" s="3"/>
      <c r="V112" s="3"/>
      <c r="W112" s="54"/>
      <c r="X112" s="3"/>
      <c r="Y112" s="3"/>
      <c r="Z112" s="3"/>
    </row>
    <row r="113" ht="15.75" customHeight="1">
      <c r="A113" s="18"/>
      <c r="B113" s="55">
        <v>2.0</v>
      </c>
      <c r="C113" s="50" t="s">
        <v>98</v>
      </c>
      <c r="D113" s="56"/>
      <c r="E113" s="24">
        <f>KALIPAIT!X113+KEDUNGASRI!AD113+KEDUNGGEBANG!AM113+KEDUNGWUNGU!AF113+KENDALREJO!V113+PURWOAGUNG!S113+PURWOASRI!S113+TEGALDLIMO!AF113+WRINGINPITU!AF113</f>
        <v>56</v>
      </c>
      <c r="F113" s="18"/>
      <c r="G113" s="5"/>
      <c r="H113" s="5"/>
      <c r="I113" s="5"/>
      <c r="J113" s="5"/>
      <c r="K113" s="5"/>
      <c r="L113" s="5"/>
      <c r="M113" s="5"/>
      <c r="N113" s="5"/>
      <c r="O113" s="5"/>
      <c r="P113" s="6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8"/>
      <c r="B114" s="55">
        <v>3.0</v>
      </c>
      <c r="C114" s="50" t="s">
        <v>99</v>
      </c>
      <c r="D114" s="56"/>
      <c r="E114" s="24">
        <f>KALIPAIT!X114+KEDUNGASRI!AD114+KEDUNGGEBANG!AM114+KEDUNGWUNGU!AF114+KENDALREJO!V114+PURWOAGUNG!S114+PURWOASRI!S114+TEGALDLIMO!AF114+WRINGINPITU!AF114</f>
        <v>8</v>
      </c>
      <c r="F114" s="18"/>
      <c r="G114" s="5"/>
      <c r="H114" s="5"/>
      <c r="I114" s="5"/>
      <c r="J114" s="5"/>
      <c r="K114" s="5"/>
      <c r="L114" s="5"/>
      <c r="M114" s="5"/>
      <c r="N114" s="5"/>
      <c r="O114" s="5"/>
      <c r="P114" s="6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8"/>
      <c r="B115" s="55">
        <v>4.0</v>
      </c>
      <c r="C115" s="50" t="s">
        <v>100</v>
      </c>
      <c r="D115" s="56"/>
      <c r="E115" s="24">
        <f>KALIPAIT!X115+KEDUNGASRI!AD115+KEDUNGGEBANG!AM115+KEDUNGWUNGU!AF115+KENDALREJO!V115+PURWOAGUNG!S115+PURWOASRI!S115+TEGALDLIMO!AF115+WRINGINPITU!AF115</f>
        <v>4</v>
      </c>
      <c r="F115" s="18"/>
      <c r="G115" s="5"/>
      <c r="H115" s="5"/>
      <c r="I115" s="5"/>
      <c r="J115" s="5"/>
      <c r="K115" s="5"/>
      <c r="L115" s="5"/>
      <c r="M115" s="5"/>
      <c r="N115" s="5"/>
      <c r="O115" s="5"/>
      <c r="P115" s="6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8"/>
      <c r="B116" s="55">
        <v>5.0</v>
      </c>
      <c r="C116" s="50" t="s">
        <v>101</v>
      </c>
      <c r="D116" s="56"/>
      <c r="E116" s="24">
        <f>KALIPAIT!X116+KEDUNGASRI!AD116+KEDUNGGEBANG!AM116+KEDUNGWUNGU!AF116+KENDALREJO!V116+PURWOAGUNG!S116+PURWOASRI!S116+TEGALDLIMO!AF116+WRINGINPITU!AF116</f>
        <v>12</v>
      </c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8"/>
      <c r="B117" s="55">
        <v>6.0</v>
      </c>
      <c r="C117" s="50" t="s">
        <v>102</v>
      </c>
      <c r="D117" s="57"/>
      <c r="E117" s="24">
        <f>KALIPAIT!X117+KEDUNGASRI!AD117+KEDUNGGEBANG!AM117+KEDUNGWUNGU!AF117+KENDALREJO!V117+PURWOAGUNG!S117+PURWOASRI!S117+TEGALDLIMO!AF117+WRINGINPITU!AF117</f>
        <v>1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18"/>
      <c r="B118" s="55">
        <v>7.0</v>
      </c>
      <c r="C118" s="50" t="s">
        <v>103</v>
      </c>
      <c r="D118" s="56"/>
      <c r="E118" s="24">
        <f>KALIPAIT!X118+KEDUNGASRI!AD118+KEDUNGGEBANG!AM118+KEDUNGWUNGU!AF118+KENDALREJO!V118+PURWOAGUNG!S118+PURWOASRI!S118+TEGALDLIMO!AF118+WRINGINPITU!AF118</f>
        <v>4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9" t="s">
        <v>15</v>
      </c>
      <c r="B119" s="47" t="s">
        <v>47</v>
      </c>
      <c r="C119" s="15"/>
      <c r="D119" s="16"/>
      <c r="E119" s="13">
        <f>SUM(E111:E118)</f>
        <v>361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24"/>
      <c r="B120" s="15"/>
      <c r="C120" s="15"/>
      <c r="D120" s="15"/>
      <c r="E120" s="16"/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30" t="s">
        <v>37</v>
      </c>
      <c r="B121" s="47" t="s">
        <v>104</v>
      </c>
      <c r="C121" s="48" t="s">
        <v>105</v>
      </c>
      <c r="D121" s="16"/>
      <c r="E121" s="24">
        <f>KALIPAIT!X121+KEDUNGASRI!AD121+KEDUNGGEBANG!AM121+KEDUNGWUNGU!AF121+KENDALREJO!V121+PURWOAGUNG!S121+PURWOASRI!S121+TEGALDLIMO!AF121+WRINGINPITU!AF121</f>
        <v>7</v>
      </c>
      <c r="F121" s="25"/>
      <c r="G121" s="1"/>
      <c r="H121" s="1"/>
      <c r="I121" s="1"/>
      <c r="J121" s="1"/>
      <c r="K121" s="1"/>
      <c r="L121" s="1"/>
      <c r="M121" s="1"/>
      <c r="N121" s="1"/>
      <c r="O121" s="1"/>
      <c r="P121" s="9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0" t="s">
        <v>39</v>
      </c>
      <c r="B122" s="55">
        <v>1.0</v>
      </c>
      <c r="C122" s="50" t="s">
        <v>106</v>
      </c>
      <c r="D122" s="57"/>
      <c r="E122" s="24">
        <f>KALIPAIT!X122+KEDUNGASRI!AD122+KEDUNGGEBANG!AM122+KEDUNGWUNGU!AF122+KENDALREJO!V122+PURWOAGUNG!S122+PURWOASRI!S122+TEGALDLIMO!AF122+WRINGINPITU!AF122</f>
        <v>6</v>
      </c>
      <c r="F122" s="51"/>
      <c r="G122" s="52"/>
      <c r="H122" s="52"/>
      <c r="I122" s="52"/>
      <c r="J122" s="52"/>
      <c r="K122" s="52"/>
      <c r="L122" s="52"/>
      <c r="M122" s="52"/>
      <c r="N122" s="52"/>
      <c r="O122" s="52"/>
      <c r="P122" s="53"/>
      <c r="Q122" s="3"/>
      <c r="R122" s="3"/>
      <c r="S122" s="3"/>
      <c r="T122" s="3"/>
      <c r="U122" s="3"/>
      <c r="V122" s="3"/>
      <c r="W122" s="54"/>
      <c r="X122" s="3"/>
      <c r="Y122" s="3"/>
      <c r="Z122" s="3"/>
    </row>
    <row r="123" ht="15.75" customHeight="1">
      <c r="A123" s="18"/>
      <c r="B123" s="55">
        <v>2.0</v>
      </c>
      <c r="C123" s="50" t="s">
        <v>107</v>
      </c>
      <c r="D123" s="57"/>
      <c r="E123" s="24">
        <f>KALIPAIT!X123+KEDUNGASRI!AD123+KEDUNGGEBANG!AM123+KEDUNGWUNGU!AF123+KENDALREJO!V123+PURWOAGUNG!S123+PURWOASRI!S123+TEGALDLIMO!AF123+WRINGINPITU!AF123</f>
        <v>4</v>
      </c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5">
        <v>3.0</v>
      </c>
      <c r="C124" s="50" t="s">
        <v>108</v>
      </c>
      <c r="D124" s="57"/>
      <c r="E124" s="24">
        <f>KALIPAIT!X124+KEDUNGASRI!AD124+KEDUNGGEBANG!AM124+KEDUNGWUNGU!AF124+KENDALREJO!V124+PURWOAGUNG!S124+PURWOASRI!S124+TEGALDLIMO!AF124+WRINGINPITU!AF124</f>
        <v>2</v>
      </c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5">
        <v>4.0</v>
      </c>
      <c r="C125" s="50" t="s">
        <v>109</v>
      </c>
      <c r="D125" s="57"/>
      <c r="E125" s="24">
        <f>KALIPAIT!X125+KEDUNGASRI!AD125+KEDUNGGEBANG!AM125+KEDUNGWUNGU!AF125+KENDALREJO!V125+PURWOAGUNG!S125+PURWOASRI!S125+TEGALDLIMO!AF125+WRINGINPITU!AF125</f>
        <v>0</v>
      </c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5">
        <v>5.0</v>
      </c>
      <c r="C126" s="50" t="s">
        <v>110</v>
      </c>
      <c r="D126" s="57"/>
      <c r="E126" s="24">
        <f>KALIPAIT!X126+KEDUNGASRI!AD126+KEDUNGGEBANG!AM126+KEDUNGWUNGU!AF126+KENDALREJO!V126+PURWOAGUNG!S126+PURWOASRI!S126+TEGALDLIMO!AF126+WRINGINPITU!AF126</f>
        <v>2</v>
      </c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8"/>
      <c r="B127" s="55">
        <v>6.0</v>
      </c>
      <c r="C127" s="50" t="s">
        <v>111</v>
      </c>
      <c r="D127" s="57"/>
      <c r="E127" s="24">
        <f>KALIPAIT!X127+KEDUNGASRI!AD127+KEDUNGGEBANG!AM127+KEDUNGWUNGU!AF127+KENDALREJO!V127+PURWOAGUNG!S127+PURWOASRI!S127+TEGALDLIMO!AF127+WRINGINPITU!AF127</f>
        <v>0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8"/>
      <c r="B128" s="55">
        <v>7.0</v>
      </c>
      <c r="C128" s="50" t="s">
        <v>112</v>
      </c>
      <c r="D128" s="57"/>
      <c r="E128" s="24">
        <f>KALIPAIT!X128+KEDUNGASRI!AD128+KEDUNGGEBANG!AM128+KEDUNGWUNGU!AF128+KENDALREJO!V128+PURWOAGUNG!S128+PURWOASRI!S128+TEGALDLIMO!AF128+WRINGINPITU!AF128</f>
        <v>1</v>
      </c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9" t="s">
        <v>15</v>
      </c>
      <c r="B129" s="47" t="s">
        <v>47</v>
      </c>
      <c r="C129" s="15"/>
      <c r="D129" s="16"/>
      <c r="E129" s="13">
        <f>SUM(E121:E128)</f>
        <v>22</v>
      </c>
      <c r="F129" s="18"/>
      <c r="G129" s="5"/>
      <c r="H129" s="5"/>
      <c r="I129" s="5"/>
      <c r="J129" s="5"/>
      <c r="K129" s="5"/>
      <c r="L129" s="5"/>
      <c r="M129" s="5"/>
      <c r="N129" s="5"/>
      <c r="O129" s="5"/>
      <c r="P129" s="6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24"/>
      <c r="B130" s="15"/>
      <c r="C130" s="15"/>
      <c r="D130" s="15"/>
      <c r="E130" s="16"/>
      <c r="F130" s="25"/>
      <c r="G130" s="1"/>
      <c r="H130" s="1"/>
      <c r="I130" s="1"/>
      <c r="J130" s="1"/>
      <c r="K130" s="1"/>
      <c r="L130" s="1"/>
      <c r="M130" s="1"/>
      <c r="N130" s="1"/>
      <c r="O130" s="1"/>
      <c r="P130" s="9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0" t="s">
        <v>37</v>
      </c>
      <c r="B131" s="17" t="s">
        <v>113</v>
      </c>
      <c r="C131" s="59" t="s">
        <v>114</v>
      </c>
      <c r="D131" s="23"/>
      <c r="E131" s="24">
        <f>KALIPAIT!X131+KEDUNGASRI!AD131+KEDUNGGEBANG!AM131+KEDUNGWUNGU!AF131+KENDALREJO!V131+PURWOAGUNG!S131+PURWOASRI!S131+TEGALDLIMO!AF131+WRINGINPITU!AF131</f>
        <v>41</v>
      </c>
      <c r="F131" s="51"/>
      <c r="G131" s="52"/>
      <c r="H131" s="52"/>
      <c r="I131" s="52"/>
      <c r="J131" s="52"/>
      <c r="K131" s="52"/>
      <c r="L131" s="52"/>
      <c r="M131" s="52"/>
      <c r="N131" s="52"/>
      <c r="O131" s="52"/>
      <c r="P131" s="53"/>
      <c r="Q131" s="3"/>
      <c r="R131" s="3"/>
      <c r="S131" s="3"/>
      <c r="T131" s="3"/>
      <c r="U131" s="3"/>
      <c r="V131" s="3"/>
      <c r="W131" s="54"/>
      <c r="X131" s="3"/>
      <c r="Y131" s="3"/>
      <c r="Z131" s="3"/>
    </row>
    <row r="132" ht="15.75" customHeight="1">
      <c r="A132" s="60" t="s">
        <v>39</v>
      </c>
      <c r="B132" s="55">
        <v>1.0</v>
      </c>
      <c r="C132" s="61" t="s">
        <v>115</v>
      </c>
      <c r="D132" s="57"/>
      <c r="E132" s="24">
        <f>KALIPAIT!X132+KEDUNGASRI!AD132+KEDUNGGEBANG!AM132+KEDUNGWUNGU!AF132+KENDALREJO!V132+PURWOAGUNG!S132+PURWOASRI!S132+TEGALDLIMO!AF132+WRINGINPITU!AF132</f>
        <v>32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2.0</v>
      </c>
      <c r="C133" s="61" t="s">
        <v>116</v>
      </c>
      <c r="D133" s="57"/>
      <c r="E133" s="24">
        <f>KALIPAIT!X133+KEDUNGASRI!AD133+KEDUNGGEBANG!AM133+KEDUNGWUNGU!AF133+KENDALREJO!V133+PURWOAGUNG!S133+PURWOASRI!S133+TEGALDLIMO!AF133+WRINGINPITU!AF133</f>
        <v>18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3.0</v>
      </c>
      <c r="C134" s="61" t="s">
        <v>117</v>
      </c>
      <c r="D134" s="57"/>
      <c r="E134" s="24">
        <f>KALIPAIT!X134+KEDUNGASRI!AD134+KEDUNGGEBANG!AM134+KEDUNGWUNGU!AF134+KENDALREJO!V134+PURWOAGUNG!S134+PURWOASRI!S134+TEGALDLIMO!AF134+WRINGINPITU!AF134</f>
        <v>8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4.0</v>
      </c>
      <c r="C135" s="61" t="s">
        <v>118</v>
      </c>
      <c r="D135" s="57"/>
      <c r="E135" s="24">
        <f>KALIPAIT!X135+KEDUNGASRI!AD135+KEDUNGGEBANG!AM135+KEDUNGWUNGU!AF135+KENDALREJO!V135+PURWOAGUNG!S135+PURWOASRI!S135+TEGALDLIMO!AF135+WRINGINPITU!AF135</f>
        <v>93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9" t="s">
        <v>15</v>
      </c>
      <c r="B136" s="62" t="s">
        <v>47</v>
      </c>
      <c r="C136" s="44"/>
      <c r="D136" s="28"/>
      <c r="E136" s="13">
        <f>SUM(E131:E135)</f>
        <v>192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24"/>
      <c r="B137" s="15"/>
      <c r="C137" s="15"/>
      <c r="D137" s="15"/>
      <c r="E137" s="16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30" t="s">
        <v>37</v>
      </c>
      <c r="B138" s="47" t="s">
        <v>119</v>
      </c>
      <c r="C138" s="48" t="s">
        <v>120</v>
      </c>
      <c r="D138" s="16"/>
      <c r="E138" s="24">
        <f>KALIPAIT!X138+KEDUNGASRI!AD138+KEDUNGGEBANG!AM138+KEDUNGWUNGU!AF138+KENDALREJO!V138+PURWOAGUNG!S138+PURWOASRI!S138+TEGALDLIMO!AF138+WRINGINPITU!AF138</f>
        <v>39</v>
      </c>
      <c r="F138" s="25"/>
      <c r="G138" s="1"/>
      <c r="H138" s="1"/>
      <c r="I138" s="1"/>
      <c r="J138" s="1"/>
      <c r="K138" s="1"/>
      <c r="L138" s="1"/>
      <c r="M138" s="1"/>
      <c r="N138" s="1"/>
      <c r="O138" s="1"/>
      <c r="P138" s="9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0" t="s">
        <v>39</v>
      </c>
      <c r="B139" s="55">
        <v>1.0</v>
      </c>
      <c r="C139" s="50" t="s">
        <v>121</v>
      </c>
      <c r="D139" s="57"/>
      <c r="E139" s="24">
        <f>KALIPAIT!X139+KEDUNGASRI!AD139+KEDUNGGEBANG!AM139+KEDUNGWUNGU!AF139+KENDALREJO!V139+PURWOAGUNG!S139+PURWOASRI!S139+TEGALDLIMO!AF139+WRINGINPITU!AF139</f>
        <v>17</v>
      </c>
      <c r="F139" s="51"/>
      <c r="G139" s="52"/>
      <c r="H139" s="52"/>
      <c r="I139" s="52"/>
      <c r="J139" s="52"/>
      <c r="K139" s="52"/>
      <c r="L139" s="52"/>
      <c r="M139" s="52"/>
      <c r="N139" s="52"/>
      <c r="O139" s="52"/>
      <c r="P139" s="53"/>
      <c r="Q139" s="3"/>
      <c r="R139" s="3"/>
      <c r="S139" s="3"/>
      <c r="T139" s="3"/>
      <c r="U139" s="3"/>
      <c r="V139" s="3"/>
      <c r="W139" s="54"/>
      <c r="X139" s="3"/>
      <c r="Y139" s="3"/>
      <c r="Z139" s="3"/>
    </row>
    <row r="140" ht="15.75" customHeight="1">
      <c r="A140" s="18"/>
      <c r="B140" s="55">
        <v>2.0</v>
      </c>
      <c r="C140" s="50" t="s">
        <v>122</v>
      </c>
      <c r="D140" s="57"/>
      <c r="E140" s="24">
        <f>KALIPAIT!X140+KEDUNGASRI!AD140+KEDUNGGEBANG!AM140+KEDUNGWUNGU!AF140+KENDALREJO!V140+PURWOAGUNG!S140+PURWOASRI!S140+TEGALDLIMO!AF140+WRINGINPITU!AF140</f>
        <v>20</v>
      </c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8"/>
      <c r="B141" s="55">
        <v>3.0</v>
      </c>
      <c r="C141" s="50" t="s">
        <v>123</v>
      </c>
      <c r="D141" s="57"/>
      <c r="E141" s="24">
        <f>KALIPAIT!X141+KEDUNGASRI!AD141+KEDUNGGEBANG!AM141+KEDUNGWUNGU!AF141+KENDALREJO!V141+PURWOAGUNG!S141+PURWOASRI!S141+TEGALDLIMO!AF141+WRINGINPITU!AF141</f>
        <v>11</v>
      </c>
      <c r="F141" s="18"/>
      <c r="G141" s="5"/>
      <c r="H141" s="5"/>
      <c r="I141" s="5"/>
      <c r="J141" s="5"/>
      <c r="K141" s="5"/>
      <c r="L141" s="5"/>
      <c r="M141" s="5"/>
      <c r="N141" s="5"/>
      <c r="O141" s="5"/>
      <c r="P141" s="6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18"/>
      <c r="B142" s="55">
        <v>4.0</v>
      </c>
      <c r="C142" s="50" t="s">
        <v>124</v>
      </c>
      <c r="D142" s="57"/>
      <c r="E142" s="24">
        <f>KALIPAIT!X142+KEDUNGASRI!AD142+KEDUNGGEBANG!AM142+KEDUNGWUNGU!AF142+KENDALREJO!V142+PURWOAGUNG!S142+PURWOASRI!S142+TEGALDLIMO!AF142+WRINGINPITU!AF142</f>
        <v>14</v>
      </c>
      <c r="F142" s="18"/>
      <c r="G142" s="5"/>
      <c r="H142" s="5"/>
      <c r="I142" s="5"/>
      <c r="J142" s="5"/>
      <c r="K142" s="5"/>
      <c r="L142" s="5"/>
      <c r="M142" s="5"/>
      <c r="N142" s="5"/>
      <c r="O142" s="5"/>
      <c r="P142" s="6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18"/>
      <c r="B143" s="55">
        <v>5.0</v>
      </c>
      <c r="C143" s="50" t="s">
        <v>125</v>
      </c>
      <c r="D143" s="57"/>
      <c r="E143" s="24">
        <f>KALIPAIT!X143+KEDUNGASRI!AD143+KEDUNGGEBANG!AM143+KEDUNGWUNGU!AF143+KENDALREJO!V143+PURWOAGUNG!S143+PURWOASRI!S143+TEGALDLIMO!AF143+WRINGINPITU!AF143</f>
        <v>2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6.0</v>
      </c>
      <c r="C144" s="50" t="s">
        <v>126</v>
      </c>
      <c r="D144" s="57"/>
      <c r="E144" s="24">
        <f>KALIPAIT!X144+KEDUNGASRI!AD144+KEDUNGGEBANG!AM144+KEDUNGWUNGU!AF144+KENDALREJO!V144+PURWOAGUNG!S144+PURWOASRI!S144+TEGALDLIMO!AF144+WRINGINPITU!AF144</f>
        <v>1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7.0</v>
      </c>
      <c r="C145" s="50" t="s">
        <v>127</v>
      </c>
      <c r="D145" s="57"/>
      <c r="E145" s="24">
        <f>KALIPAIT!X145+KEDUNGASRI!AD145+KEDUNGGEBANG!AM145+KEDUNGWUNGU!AF145+KENDALREJO!V145+PURWOAGUNG!S145+PURWOASRI!S145+TEGALDLIMO!AF145+WRINGINPITU!AF145</f>
        <v>1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9" t="s">
        <v>15</v>
      </c>
      <c r="B146" s="47" t="s">
        <v>47</v>
      </c>
      <c r="C146" s="15"/>
      <c r="D146" s="16"/>
      <c r="E146" s="13">
        <f>SUM(E138:E145)</f>
        <v>105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24"/>
      <c r="B147" s="15"/>
      <c r="C147" s="15"/>
      <c r="D147" s="15"/>
      <c r="E147" s="16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30" t="s">
        <v>37</v>
      </c>
      <c r="B148" s="47" t="s">
        <v>128</v>
      </c>
      <c r="C148" s="48" t="s">
        <v>129</v>
      </c>
      <c r="D148" s="16"/>
      <c r="E148" s="24">
        <f>KALIPAIT!X148+KEDUNGASRI!AD148+KEDUNGGEBANG!AM148+KEDUNGWUNGU!AF148+KENDALREJO!V148+PURWOAGUNG!S148+PURWOASRI!S148+TEGALDLIMO!AF148+WRINGINPITU!AF148</f>
        <v>83</v>
      </c>
      <c r="F148" s="25"/>
      <c r="G148" s="1"/>
      <c r="H148" s="1"/>
      <c r="I148" s="1"/>
      <c r="J148" s="1"/>
      <c r="K148" s="1"/>
      <c r="L148" s="1"/>
      <c r="M148" s="1"/>
      <c r="N148" s="1"/>
      <c r="O148" s="1"/>
      <c r="P148" s="9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0" t="s">
        <v>39</v>
      </c>
      <c r="B149" s="55">
        <v>1.0</v>
      </c>
      <c r="C149" s="50" t="s">
        <v>130</v>
      </c>
      <c r="D149" s="57"/>
      <c r="E149" s="24">
        <f>KALIPAIT!X149+KEDUNGASRI!AD149+KEDUNGGEBANG!AM149+KEDUNGWUNGU!AF149+KENDALREJO!V149+PURWOAGUNG!S149+PURWOASRI!S149+TEGALDLIMO!AF149+WRINGINPITU!AF149</f>
        <v>42</v>
      </c>
      <c r="F149" s="51"/>
      <c r="G149" s="52"/>
      <c r="H149" s="52"/>
      <c r="I149" s="52"/>
      <c r="J149" s="52"/>
      <c r="K149" s="52"/>
      <c r="L149" s="52"/>
      <c r="M149" s="52"/>
      <c r="N149" s="52"/>
      <c r="O149" s="52"/>
      <c r="P149" s="53"/>
      <c r="Q149" s="3"/>
      <c r="R149" s="3"/>
      <c r="S149" s="3"/>
      <c r="T149" s="3"/>
      <c r="U149" s="3"/>
      <c r="V149" s="3"/>
      <c r="W149" s="54"/>
      <c r="X149" s="3"/>
      <c r="Y149" s="3"/>
      <c r="Z149" s="3"/>
    </row>
    <row r="150" ht="15.75" customHeight="1">
      <c r="A150" s="18"/>
      <c r="B150" s="55">
        <v>2.0</v>
      </c>
      <c r="C150" s="50" t="s">
        <v>131</v>
      </c>
      <c r="D150" s="57"/>
      <c r="E150" s="24">
        <f>KALIPAIT!X150+KEDUNGASRI!AD150+KEDUNGGEBANG!AM150+KEDUNGWUNGU!AF150+KENDALREJO!V150+PURWOAGUNG!S150+PURWOASRI!S150+TEGALDLIMO!AF150+WRINGINPITU!AF150</f>
        <v>44</v>
      </c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8"/>
      <c r="B151" s="55">
        <v>3.0</v>
      </c>
      <c r="C151" s="50" t="s">
        <v>132</v>
      </c>
      <c r="D151" s="57"/>
      <c r="E151" s="24">
        <f>KALIPAIT!X151+KEDUNGASRI!AD151+KEDUNGGEBANG!AM151+KEDUNGWUNGU!AF151+KENDALREJO!V151+PURWOAGUNG!S151+PURWOASRI!S151+TEGALDLIMO!AF151+WRINGINPITU!AF151</f>
        <v>14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8"/>
      <c r="B152" s="55">
        <v>4.0</v>
      </c>
      <c r="C152" s="50" t="s">
        <v>133</v>
      </c>
      <c r="D152" s="57"/>
      <c r="E152" s="24">
        <f>KALIPAIT!X152+KEDUNGASRI!AD152+KEDUNGGEBANG!AM152+KEDUNGWUNGU!AF152+KENDALREJO!V152+PURWOAGUNG!S152+PURWOASRI!S152+TEGALDLIMO!AF152+WRINGINPITU!AF152</f>
        <v>17</v>
      </c>
      <c r="F152" s="18"/>
      <c r="G152" s="5"/>
      <c r="H152" s="5"/>
      <c r="I152" s="5"/>
      <c r="J152" s="5"/>
      <c r="K152" s="5"/>
      <c r="L152" s="5"/>
      <c r="M152" s="5"/>
      <c r="N152" s="5"/>
      <c r="O152" s="5"/>
      <c r="P152" s="6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8"/>
      <c r="B153" s="55">
        <v>5.0</v>
      </c>
      <c r="C153" s="50" t="s">
        <v>134</v>
      </c>
      <c r="D153" s="57"/>
      <c r="E153" s="24">
        <f>KALIPAIT!X153+KEDUNGASRI!AD153+KEDUNGGEBANG!AM153+KEDUNGWUNGU!AF153+KENDALREJO!V153+PURWOAGUNG!S153+PURWOASRI!S153+TEGALDLIMO!AF153+WRINGINPITU!AF153</f>
        <v>7</v>
      </c>
      <c r="F153" s="18"/>
      <c r="G153" s="5"/>
      <c r="H153" s="5"/>
      <c r="I153" s="5"/>
      <c r="J153" s="5"/>
      <c r="K153" s="5"/>
      <c r="L153" s="5"/>
      <c r="M153" s="5"/>
      <c r="N153" s="5"/>
      <c r="O153" s="5"/>
      <c r="P153" s="6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18"/>
      <c r="B154" s="55">
        <v>6.0</v>
      </c>
      <c r="C154" s="50" t="s">
        <v>135</v>
      </c>
      <c r="D154" s="57"/>
      <c r="E154" s="24">
        <f>KALIPAIT!X154+KEDUNGASRI!AD154+KEDUNGGEBANG!AM154+KEDUNGWUNGU!AF154+KENDALREJO!V154+PURWOAGUNG!S154+PURWOASRI!S154+TEGALDLIMO!AF154+WRINGINPITU!AF154</f>
        <v>8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7.0</v>
      </c>
      <c r="C155" s="50" t="s">
        <v>136</v>
      </c>
      <c r="D155" s="57"/>
      <c r="E155" s="24">
        <f>KALIPAIT!X155+KEDUNGASRI!AD155+KEDUNGGEBANG!AM155+KEDUNGWUNGU!AF155+KENDALREJO!V155+PURWOAGUNG!S155+PURWOASRI!S155+TEGALDLIMO!AF155+WRINGINPITU!AF155</f>
        <v>159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9" t="s">
        <v>15</v>
      </c>
      <c r="B156" s="47" t="s">
        <v>47</v>
      </c>
      <c r="C156" s="15"/>
      <c r="D156" s="16"/>
      <c r="E156" s="13">
        <f>SUM(E148:E155)</f>
        <v>374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24"/>
      <c r="B157" s="15"/>
      <c r="C157" s="15"/>
      <c r="D157" s="15"/>
      <c r="E157" s="16"/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30" t="s">
        <v>37</v>
      </c>
      <c r="B158" s="47" t="s">
        <v>137</v>
      </c>
      <c r="C158" s="48" t="s">
        <v>138</v>
      </c>
      <c r="D158" s="16"/>
      <c r="E158" s="24">
        <f>KALIPAIT!X158+KEDUNGASRI!AD158+KEDUNGGEBANG!AM158+KEDUNGWUNGU!AF158+KENDALREJO!V158+PURWOAGUNG!S158+PURWOASRI!S158+TEGALDLIMO!AF158+WRINGINPITU!AF158</f>
        <v>15</v>
      </c>
      <c r="F158" s="25"/>
      <c r="G158" s="1"/>
      <c r="H158" s="1"/>
      <c r="I158" s="1"/>
      <c r="J158" s="1"/>
      <c r="K158" s="1"/>
      <c r="L158" s="1"/>
      <c r="M158" s="1"/>
      <c r="N158" s="1"/>
      <c r="O158" s="1"/>
      <c r="P158" s="9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0" t="s">
        <v>39</v>
      </c>
      <c r="B159" s="55">
        <v>1.0</v>
      </c>
      <c r="C159" s="50" t="s">
        <v>139</v>
      </c>
      <c r="D159" s="57"/>
      <c r="E159" s="24">
        <f>KALIPAIT!X159+KEDUNGASRI!AD159+KEDUNGGEBANG!AM159+KEDUNGWUNGU!AF159+KENDALREJO!V159+PURWOAGUNG!S159+PURWOASRI!S159+TEGALDLIMO!AF159+WRINGINPITU!AF159</f>
        <v>19</v>
      </c>
      <c r="F159" s="51"/>
      <c r="G159" s="52"/>
      <c r="H159" s="52"/>
      <c r="I159" s="52"/>
      <c r="J159" s="52"/>
      <c r="K159" s="52"/>
      <c r="L159" s="52"/>
      <c r="M159" s="52"/>
      <c r="N159" s="52"/>
      <c r="O159" s="52"/>
      <c r="P159" s="53"/>
      <c r="Q159" s="3"/>
      <c r="R159" s="3"/>
      <c r="S159" s="3"/>
      <c r="T159" s="3"/>
      <c r="U159" s="3"/>
      <c r="V159" s="3"/>
      <c r="W159" s="54"/>
      <c r="X159" s="3"/>
      <c r="Y159" s="3"/>
      <c r="Z159" s="3"/>
    </row>
    <row r="160" ht="15.75" customHeight="1">
      <c r="A160" s="18"/>
      <c r="B160" s="55">
        <v>2.0</v>
      </c>
      <c r="C160" s="50" t="s">
        <v>140</v>
      </c>
      <c r="D160" s="57"/>
      <c r="E160" s="24">
        <f>KALIPAIT!X160+KEDUNGASRI!AD160+KEDUNGGEBANG!AM160+KEDUNGWUNGU!AF160+KENDALREJO!V160+PURWOAGUNG!S160+PURWOASRI!S160+TEGALDLIMO!AF160+WRINGINPITU!AF160</f>
        <v>14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5">
        <v>3.0</v>
      </c>
      <c r="C161" s="50" t="s">
        <v>141</v>
      </c>
      <c r="D161" s="57"/>
      <c r="E161" s="24">
        <f>KALIPAIT!X161+KEDUNGASRI!AD161+KEDUNGGEBANG!AM161+KEDUNGWUNGU!AF161+KENDALREJO!V161+PURWOAGUNG!S161+PURWOASRI!S161+TEGALDLIMO!AF161+WRINGINPITU!AF161</f>
        <v>4</v>
      </c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5">
        <v>4.0</v>
      </c>
      <c r="C162" s="50" t="s">
        <v>142</v>
      </c>
      <c r="D162" s="57"/>
      <c r="E162" s="24">
        <f>KALIPAIT!X162+KEDUNGASRI!AD162+KEDUNGGEBANG!AM162+KEDUNGWUNGU!AF162+KENDALREJO!V162+PURWOAGUNG!S162+PURWOASRI!S162+TEGALDLIMO!AF162+WRINGINPITU!AF162</f>
        <v>7</v>
      </c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8"/>
      <c r="B163" s="55">
        <v>5.0</v>
      </c>
      <c r="C163" s="50" t="s">
        <v>143</v>
      </c>
      <c r="D163" s="57"/>
      <c r="E163" s="24">
        <f>KALIPAIT!X163+KEDUNGASRI!AD163+KEDUNGGEBANG!AM163+KEDUNGWUNGU!AF163+KENDALREJO!V163+PURWOAGUNG!S163+PURWOASRI!S163+TEGALDLIMO!AF163+WRINGINPITU!AF163</f>
        <v>4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18"/>
      <c r="B164" s="55">
        <v>6.0</v>
      </c>
      <c r="C164" s="50" t="s">
        <v>144</v>
      </c>
      <c r="D164" s="57"/>
      <c r="E164" s="24">
        <f>KALIPAIT!X164+KEDUNGASRI!AD164+KEDUNGGEBANG!AM164+KEDUNGWUNGU!AF164+KENDALREJO!V164+PURWOAGUNG!S164+PURWOASRI!S164+TEGALDLIMO!AF164+WRINGINPITU!AF164</f>
        <v>5</v>
      </c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8"/>
      <c r="B165" s="55">
        <v>7.0</v>
      </c>
      <c r="C165" s="50" t="s">
        <v>145</v>
      </c>
      <c r="D165" s="57"/>
      <c r="E165" s="24">
        <f>KALIPAIT!X165+KEDUNGASRI!AD165+KEDUNGGEBANG!AM165+KEDUNGWUNGU!AF165+KENDALREJO!V165+PURWOAGUNG!S165+PURWOASRI!S165+TEGALDLIMO!AF165+WRINGINPITU!AF165</f>
        <v>22</v>
      </c>
      <c r="F165" s="18"/>
      <c r="G165" s="5"/>
      <c r="H165" s="5"/>
      <c r="I165" s="5"/>
      <c r="J165" s="5"/>
      <c r="K165" s="5"/>
      <c r="L165" s="5"/>
      <c r="M165" s="5"/>
      <c r="N165" s="5"/>
      <c r="O165" s="5"/>
      <c r="P165" s="6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19" t="s">
        <v>15</v>
      </c>
      <c r="B166" s="47" t="s">
        <v>47</v>
      </c>
      <c r="C166" s="15"/>
      <c r="D166" s="16"/>
      <c r="E166" s="13">
        <f>SUM(E158:E165)</f>
        <v>90</v>
      </c>
      <c r="F166" s="18"/>
      <c r="G166" s="5"/>
      <c r="H166" s="5"/>
      <c r="I166" s="5"/>
      <c r="J166" s="5"/>
      <c r="K166" s="5"/>
      <c r="L166" s="5"/>
      <c r="M166" s="5"/>
      <c r="N166" s="5"/>
      <c r="O166" s="5"/>
      <c r="P166" s="6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24"/>
      <c r="B167" s="15"/>
      <c r="C167" s="15"/>
      <c r="D167" s="15"/>
      <c r="E167" s="16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30" t="s">
        <v>37</v>
      </c>
      <c r="B168" s="47" t="s">
        <v>146</v>
      </c>
      <c r="C168" s="48" t="s">
        <v>147</v>
      </c>
      <c r="D168" s="16"/>
      <c r="E168" s="24">
        <f>KALIPAIT!X168+KEDUNGASRI!AD168+KEDUNGGEBANG!AM168+KEDUNGWUNGU!AF168+KENDALREJO!V168+PURWOAGUNG!S168+PURWOASRI!S168+TEGALDLIMO!AF168+WRINGINPITU!AF168</f>
        <v>867</v>
      </c>
      <c r="F168" s="25"/>
      <c r="G168" s="1"/>
      <c r="H168" s="1"/>
      <c r="I168" s="1"/>
      <c r="J168" s="1"/>
      <c r="K168" s="1"/>
      <c r="L168" s="1"/>
      <c r="M168" s="1"/>
      <c r="N168" s="1"/>
      <c r="O168" s="1"/>
      <c r="P168" s="9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0" t="s">
        <v>39</v>
      </c>
      <c r="B169" s="55">
        <v>1.0</v>
      </c>
      <c r="C169" s="50" t="s">
        <v>148</v>
      </c>
      <c r="D169" s="57"/>
      <c r="E169" s="24">
        <f>KALIPAIT!X169+KEDUNGASRI!AD169+KEDUNGGEBANG!AM169+KEDUNGWUNGU!AF169+KENDALREJO!V169+PURWOAGUNG!S169+PURWOASRI!S169+TEGALDLIMO!AF169+WRINGINPITU!AF169</f>
        <v>3532</v>
      </c>
      <c r="F169" s="51"/>
      <c r="G169" s="52"/>
      <c r="H169" s="52"/>
      <c r="I169" s="52"/>
      <c r="J169" s="52"/>
      <c r="K169" s="52"/>
      <c r="L169" s="52"/>
      <c r="M169" s="52"/>
      <c r="N169" s="52"/>
      <c r="O169" s="52"/>
      <c r="P169" s="53"/>
      <c r="Q169" s="3"/>
      <c r="R169" s="3"/>
      <c r="S169" s="3"/>
      <c r="T169" s="3"/>
      <c r="U169" s="3"/>
      <c r="V169" s="3"/>
      <c r="W169" s="54"/>
      <c r="X169" s="3"/>
      <c r="Y169" s="3"/>
      <c r="Z169" s="3"/>
    </row>
    <row r="170" ht="15.75" customHeight="1">
      <c r="A170" s="18"/>
      <c r="B170" s="55">
        <v>2.0</v>
      </c>
      <c r="C170" s="50" t="s">
        <v>149</v>
      </c>
      <c r="D170" s="57"/>
      <c r="E170" s="24">
        <f>KALIPAIT!X170+KEDUNGASRI!AD170+KEDUNGGEBANG!AM170+KEDUNGWUNGU!AF170+KENDALREJO!V170+PURWOAGUNG!S170+PURWOASRI!S170+TEGALDLIMO!AF170+WRINGINPITU!AF170</f>
        <v>281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3.0</v>
      </c>
      <c r="C171" s="50" t="s">
        <v>150</v>
      </c>
      <c r="D171" s="57"/>
      <c r="E171" s="24">
        <f>KALIPAIT!X171+KEDUNGASRI!AD171+KEDUNGGEBANG!AM171+KEDUNGWUNGU!AF171+KENDALREJO!V171+PURWOAGUNG!S171+PURWOASRI!S171+TEGALDLIMO!AF171+WRINGINPITU!AF171</f>
        <v>65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4.0</v>
      </c>
      <c r="C172" s="50" t="s">
        <v>151</v>
      </c>
      <c r="D172" s="57"/>
      <c r="E172" s="24">
        <f>KALIPAIT!X172+KEDUNGASRI!AD172+KEDUNGGEBANG!AM172+KEDUNGWUNGU!AF172+KENDALREJO!V172+PURWOAGUNG!S172+PURWOASRI!S172+TEGALDLIMO!AF172+WRINGINPITU!AF172</f>
        <v>62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5">
        <v>5.0</v>
      </c>
      <c r="C173" s="50" t="s">
        <v>152</v>
      </c>
      <c r="D173" s="57"/>
      <c r="E173" s="24">
        <f>KALIPAIT!X173+KEDUNGASRI!AD173+KEDUNGGEBANG!AM173+KEDUNGWUNGU!AF173+KENDALREJO!V173+PURWOAGUNG!S173+PURWOASRI!S173+TEGALDLIMO!AF173+WRINGINPITU!AF173</f>
        <v>35</v>
      </c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5">
        <v>6.0</v>
      </c>
      <c r="C174" s="50" t="s">
        <v>153</v>
      </c>
      <c r="D174" s="57"/>
      <c r="E174" s="24">
        <f>KALIPAIT!X174+KEDUNGASRI!AD174+KEDUNGGEBANG!AM174+KEDUNGWUNGU!AF174+KENDALREJO!V174+PURWOAGUNG!S174+PURWOASRI!S174+TEGALDLIMO!AF174+WRINGINPITU!AF174</f>
        <v>26</v>
      </c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8"/>
      <c r="B175" s="55">
        <v>7.0</v>
      </c>
      <c r="C175" s="50" t="s">
        <v>154</v>
      </c>
      <c r="D175" s="57"/>
      <c r="E175" s="24">
        <f>KALIPAIT!X175+KEDUNGASRI!AD175+KEDUNGGEBANG!AM175+KEDUNGWUNGU!AF175+KENDALREJO!V175+PURWOAGUNG!S175+PURWOASRI!S175+TEGALDLIMO!AF175+WRINGINPITU!AF175</f>
        <v>126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9" t="s">
        <v>15</v>
      </c>
      <c r="B176" s="47" t="s">
        <v>47</v>
      </c>
      <c r="C176" s="15"/>
      <c r="D176" s="16"/>
      <c r="E176" s="13">
        <f>SUM(E168:E175)</f>
        <v>4994</v>
      </c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24"/>
      <c r="B177" s="15"/>
      <c r="C177" s="15"/>
      <c r="D177" s="15"/>
      <c r="E177" s="16"/>
      <c r="F177" s="18"/>
      <c r="G177" s="5"/>
      <c r="H177" s="5"/>
      <c r="I177" s="5"/>
      <c r="J177" s="5"/>
      <c r="K177" s="5"/>
      <c r="L177" s="5"/>
      <c r="M177" s="5"/>
      <c r="N177" s="5"/>
      <c r="O177" s="5"/>
      <c r="P177" s="6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30" t="s">
        <v>37</v>
      </c>
      <c r="B178" s="47" t="s">
        <v>155</v>
      </c>
      <c r="C178" s="48" t="s">
        <v>156</v>
      </c>
      <c r="D178" s="16"/>
      <c r="E178" s="24">
        <f>KALIPAIT!X178+KEDUNGASRI!AD178+KEDUNGGEBANG!AM178+KEDUNGWUNGU!AF178+KENDALREJO!V178+PURWOAGUNG!S178+PURWOASRI!S178+TEGALDLIMO!AF178+WRINGINPITU!AF178</f>
        <v>196</v>
      </c>
      <c r="F178" s="25"/>
      <c r="G178" s="1"/>
      <c r="H178" s="1"/>
      <c r="I178" s="1"/>
      <c r="J178" s="1"/>
      <c r="K178" s="1"/>
      <c r="L178" s="1"/>
      <c r="M178" s="1"/>
      <c r="N178" s="1"/>
      <c r="O178" s="1"/>
      <c r="P178" s="9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0" t="s">
        <v>39</v>
      </c>
      <c r="B179" s="55">
        <v>1.0</v>
      </c>
      <c r="C179" s="50" t="s">
        <v>157</v>
      </c>
      <c r="D179" s="56"/>
      <c r="E179" s="24">
        <f>KALIPAIT!X179+KEDUNGASRI!AD179+KEDUNGGEBANG!AM179+KEDUNGWUNGU!AF179+KENDALREJO!V179+PURWOAGUNG!S179+PURWOASRI!S179+TEGALDLIMO!AF179+WRINGINPITU!AF179</f>
        <v>138</v>
      </c>
      <c r="F179" s="51"/>
      <c r="G179" s="52"/>
      <c r="H179" s="52"/>
      <c r="I179" s="52"/>
      <c r="J179" s="52"/>
      <c r="K179" s="52"/>
      <c r="L179" s="52"/>
      <c r="M179" s="52"/>
      <c r="N179" s="52"/>
      <c r="O179" s="52"/>
      <c r="P179" s="53"/>
      <c r="Q179" s="3"/>
      <c r="R179" s="3"/>
      <c r="S179" s="3"/>
      <c r="T179" s="3"/>
      <c r="U179" s="3"/>
      <c r="V179" s="3"/>
      <c r="W179" s="54"/>
      <c r="X179" s="3"/>
      <c r="Y179" s="3"/>
      <c r="Z179" s="3"/>
    </row>
    <row r="180" ht="15.75" customHeight="1">
      <c r="A180" s="18"/>
      <c r="B180" s="55">
        <v>2.0</v>
      </c>
      <c r="C180" s="50" t="s">
        <v>158</v>
      </c>
      <c r="D180" s="56"/>
      <c r="E180" s="24">
        <f>KALIPAIT!X180+KEDUNGASRI!AD180+KEDUNGGEBANG!AM180+KEDUNGWUNGU!AF180+KENDALREJO!V180+PURWOAGUNG!S180+PURWOASRI!S180+TEGALDLIMO!AF180+WRINGINPITU!AF180</f>
        <v>599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3.0</v>
      </c>
      <c r="C181" s="63" t="s">
        <v>159</v>
      </c>
      <c r="E181" s="24">
        <f>KALIPAIT!X181+KEDUNGASRI!AD181+KEDUNGGEBANG!AM181+KEDUNGWUNGU!AF181+KENDALREJO!V181+PURWOAGUNG!S181+PURWOASRI!S181+TEGALDLIMO!AF181+WRINGINPITU!AF181</f>
        <v>40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4.0</v>
      </c>
      <c r="C182" s="50" t="s">
        <v>160</v>
      </c>
      <c r="D182" s="56"/>
      <c r="E182" s="24">
        <f>KALIPAIT!X182+KEDUNGASRI!AD182+KEDUNGGEBANG!AM182+KEDUNGWUNGU!AF182+KENDALREJO!V182+PURWOAGUNG!S182+PURWOASRI!S182+TEGALDLIMO!AF182+WRINGINPITU!AF182</f>
        <v>12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5.0</v>
      </c>
      <c r="C183" s="50" t="s">
        <v>161</v>
      </c>
      <c r="D183" s="56"/>
      <c r="E183" s="24">
        <f>KALIPAIT!X183+KEDUNGASRI!AD183+KEDUNGGEBANG!AM183+KEDUNGWUNGU!AF183+KENDALREJO!V183+PURWOAGUNG!S183+PURWOASRI!S183+TEGALDLIMO!AF183+WRINGINPITU!AF183</f>
        <v>15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6.0</v>
      </c>
      <c r="C184" s="50" t="s">
        <v>162</v>
      </c>
      <c r="D184" s="56"/>
      <c r="E184" s="24">
        <f>KALIPAIT!X184+KEDUNGASRI!AD184+KEDUNGGEBANG!AM184+KEDUNGWUNGU!AF184+KENDALREJO!V184+PURWOAGUNG!S184+PURWOASRI!S184+TEGALDLIMO!AF184+WRINGINPITU!AF184</f>
        <v>20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>
        <v>7.0</v>
      </c>
      <c r="C185" s="50" t="s">
        <v>163</v>
      </c>
      <c r="D185" s="56"/>
      <c r="E185" s="24">
        <f>KALIPAIT!X185+KEDUNGASRI!AD185+KEDUNGGEBANG!AM185+KEDUNGWUNGU!AF185+KENDALREJO!V185+PURWOAGUNG!S185+PURWOASRI!S185+TEGALDLIMO!AF185+WRINGINPITU!AF185</f>
        <v>19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9" t="s">
        <v>15</v>
      </c>
      <c r="B186" s="47" t="s">
        <v>47</v>
      </c>
      <c r="C186" s="15"/>
      <c r="D186" s="16"/>
      <c r="E186" s="13">
        <f>SUM(E178:E185)</f>
        <v>1039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24"/>
      <c r="B187" s="15"/>
      <c r="C187" s="15"/>
      <c r="D187" s="15"/>
      <c r="E187" s="16"/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30" t="s">
        <v>37</v>
      </c>
      <c r="B188" s="47" t="s">
        <v>164</v>
      </c>
      <c r="C188" s="48" t="s">
        <v>165</v>
      </c>
      <c r="D188" s="16"/>
      <c r="E188" s="24">
        <f>KALIPAIT!X188+KEDUNGASRI!AD188+KEDUNGGEBANG!AM188+KEDUNGWUNGU!AF188+KENDALREJO!V188+PURWOAGUNG!S188+PURWOASRI!S188+TEGALDLIMO!AF188+WRINGINPITU!AF188</f>
        <v>51</v>
      </c>
      <c r="F188" s="25"/>
      <c r="G188" s="1"/>
      <c r="H188" s="1"/>
      <c r="I188" s="1"/>
      <c r="J188" s="1"/>
      <c r="K188" s="1"/>
      <c r="L188" s="1"/>
      <c r="M188" s="1"/>
      <c r="N188" s="1"/>
      <c r="O188" s="1"/>
      <c r="P188" s="9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0" t="s">
        <v>39</v>
      </c>
      <c r="B189" s="55">
        <v>1.0</v>
      </c>
      <c r="C189" s="50" t="s">
        <v>166</v>
      </c>
      <c r="D189" s="57"/>
      <c r="E189" s="24">
        <f>KALIPAIT!X189+KEDUNGASRI!AD189+KEDUNGGEBANG!AM189+KEDUNGWUNGU!AF189+KENDALREJO!V189+PURWOAGUNG!S189+PURWOASRI!S189+TEGALDLIMO!AF189+WRINGINPITU!AF189</f>
        <v>82</v>
      </c>
      <c r="F189" s="51"/>
      <c r="G189" s="52"/>
      <c r="H189" s="52"/>
      <c r="I189" s="52"/>
      <c r="J189" s="52"/>
      <c r="K189" s="52"/>
      <c r="L189" s="52"/>
      <c r="M189" s="52"/>
      <c r="N189" s="52"/>
      <c r="O189" s="52"/>
      <c r="P189" s="53"/>
      <c r="Q189" s="3"/>
      <c r="R189" s="3"/>
      <c r="S189" s="3"/>
      <c r="T189" s="3"/>
      <c r="U189" s="3"/>
      <c r="V189" s="3"/>
      <c r="W189" s="54"/>
      <c r="X189" s="3"/>
      <c r="Y189" s="3"/>
      <c r="Z189" s="3"/>
    </row>
    <row r="190" ht="15.75" customHeight="1">
      <c r="A190" s="18"/>
      <c r="B190" s="55">
        <v>2.0</v>
      </c>
      <c r="C190" s="50" t="s">
        <v>167</v>
      </c>
      <c r="D190" s="57"/>
      <c r="E190" s="24">
        <f>KALIPAIT!X190+KEDUNGASRI!AD190+KEDUNGGEBANG!AM190+KEDUNGWUNGU!AF190+KENDALREJO!V190+PURWOAGUNG!S190+PURWOASRI!S190+TEGALDLIMO!AF190+WRINGINPITU!AF190</f>
        <v>7</v>
      </c>
      <c r="F190" s="18"/>
      <c r="G190" s="5"/>
      <c r="H190" s="5"/>
      <c r="I190" s="5"/>
      <c r="J190" s="5"/>
      <c r="K190" s="5"/>
      <c r="L190" s="5"/>
      <c r="M190" s="5"/>
      <c r="N190" s="5"/>
      <c r="O190" s="5"/>
      <c r="P190" s="6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8"/>
      <c r="B191" s="55">
        <v>3.0</v>
      </c>
      <c r="C191" s="50" t="s">
        <v>168</v>
      </c>
      <c r="D191" s="57"/>
      <c r="E191" s="24">
        <f>KALIPAIT!X191+KEDUNGASRI!AD191+KEDUNGGEBANG!AM191+KEDUNGWUNGU!AF191+KENDALREJO!V191+PURWOAGUNG!S191+PURWOASRI!S191+TEGALDLIMO!AF191+WRINGINPITU!AF191</f>
        <v>8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4.0</v>
      </c>
      <c r="C192" s="50" t="s">
        <v>169</v>
      </c>
      <c r="D192" s="57"/>
      <c r="E192" s="24">
        <f>KALIPAIT!X192+KEDUNGASRI!AD192+KEDUNGGEBANG!AM192+KEDUNGWUNGU!AF192+KENDALREJO!V192+PURWOAGUNG!S192+PURWOASRI!S192+TEGALDLIMO!AF192+WRINGINPITU!AF192</f>
        <v>1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5.0</v>
      </c>
      <c r="C193" s="50" t="s">
        <v>170</v>
      </c>
      <c r="D193" s="57"/>
      <c r="E193" s="24">
        <f>KALIPAIT!X193+KEDUNGASRI!AD193+KEDUNGGEBANG!AM193+KEDUNGWUNGU!AF193+KENDALREJO!V193+PURWOAGUNG!S193+PURWOASRI!S193+TEGALDLIMO!AF193+WRINGINPITU!AF193</f>
        <v>2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6.0</v>
      </c>
      <c r="C194" s="50" t="s">
        <v>171</v>
      </c>
      <c r="D194" s="57"/>
      <c r="E194" s="24">
        <f>KALIPAIT!X194+KEDUNGASRI!AD194+KEDUNGGEBANG!AM194+KEDUNGWUNGU!AF194+KENDALREJO!V194+PURWOAGUNG!S194+PURWOASRI!S194+TEGALDLIMO!AF194+WRINGINPITU!AF194</f>
        <v>0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7.0</v>
      </c>
      <c r="C195" s="50" t="s">
        <v>172</v>
      </c>
      <c r="D195" s="57"/>
      <c r="E195" s="24">
        <f>KALIPAIT!X195+KEDUNGASRI!AD195+KEDUNGGEBANG!AM195+KEDUNGWUNGU!AF195+KENDALREJO!V195+PURWOAGUNG!S195+PURWOASRI!S195+TEGALDLIMO!AF195+WRINGINPITU!AF195</f>
        <v>30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9" t="s">
        <v>15</v>
      </c>
      <c r="B196" s="47" t="s">
        <v>47</v>
      </c>
      <c r="C196" s="15"/>
      <c r="D196" s="16"/>
      <c r="E196" s="13">
        <f>SUM(E188:E195)</f>
        <v>181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24"/>
      <c r="B197" s="15"/>
      <c r="C197" s="15"/>
      <c r="D197" s="15"/>
      <c r="E197" s="16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30" t="s">
        <v>37</v>
      </c>
      <c r="B198" s="47" t="s">
        <v>173</v>
      </c>
      <c r="C198" s="48" t="s">
        <v>174</v>
      </c>
      <c r="D198" s="16"/>
      <c r="E198" s="24">
        <f>KALIPAIT!X198+KEDUNGASRI!AD198+KEDUNGGEBANG!AM198+KEDUNGWUNGU!AF198+KENDALREJO!V198+PURWOAGUNG!S198+PURWOASRI!S198+TEGALDLIMO!AF198+WRINGINPITU!AF198</f>
        <v>426</v>
      </c>
      <c r="F198" s="25"/>
      <c r="G198" s="1"/>
      <c r="H198" s="1"/>
      <c r="I198" s="1"/>
      <c r="J198" s="1"/>
      <c r="K198" s="1"/>
      <c r="L198" s="1"/>
      <c r="M198" s="1"/>
      <c r="N198" s="1"/>
      <c r="O198" s="1"/>
      <c r="P198" s="9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0" t="s">
        <v>39</v>
      </c>
      <c r="B199" s="55">
        <v>1.0</v>
      </c>
      <c r="C199" s="50" t="s">
        <v>175</v>
      </c>
      <c r="D199" s="57"/>
      <c r="E199" s="24">
        <f>KALIPAIT!X199+KEDUNGASRI!AD199+KEDUNGGEBANG!AM199+KEDUNGWUNGU!AF199+KENDALREJO!V199+PURWOAGUNG!S199+PURWOASRI!S199+TEGALDLIMO!AF199+WRINGINPITU!AF199</f>
        <v>100</v>
      </c>
      <c r="F199" s="51"/>
      <c r="G199" s="52"/>
      <c r="H199" s="52"/>
      <c r="I199" s="52"/>
      <c r="J199" s="52"/>
      <c r="K199" s="52"/>
      <c r="L199" s="52"/>
      <c r="M199" s="52"/>
      <c r="N199" s="52"/>
      <c r="O199" s="52"/>
      <c r="P199" s="53"/>
      <c r="Q199" s="3"/>
      <c r="R199" s="3"/>
      <c r="S199" s="3"/>
      <c r="T199" s="3"/>
      <c r="U199" s="3"/>
      <c r="V199" s="3"/>
      <c r="W199" s="54"/>
      <c r="X199" s="3"/>
      <c r="Y199" s="3"/>
      <c r="Z199" s="3"/>
    </row>
    <row r="200" ht="15.75" customHeight="1">
      <c r="A200" s="18"/>
      <c r="B200" s="55">
        <v>2.0</v>
      </c>
      <c r="C200" s="50" t="s">
        <v>176</v>
      </c>
      <c r="D200" s="57"/>
      <c r="E200" s="24">
        <f>KALIPAIT!X200+KEDUNGASRI!AD200+KEDUNGGEBANG!AM200+KEDUNGWUNGU!AF200+KENDALREJO!V200+PURWOAGUNG!S200+PURWOASRI!S200+TEGALDLIMO!AF200+WRINGINPITU!AF200</f>
        <v>327</v>
      </c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8"/>
      <c r="B201" s="55">
        <v>3.0</v>
      </c>
      <c r="C201" s="50" t="s">
        <v>177</v>
      </c>
      <c r="D201" s="57"/>
      <c r="E201" s="24">
        <f>KALIPAIT!X201+KEDUNGASRI!AD201+KEDUNGGEBANG!AM201+KEDUNGWUNGU!AF201+KENDALREJO!V201+PURWOAGUNG!S201+PURWOASRI!S201+TEGALDLIMO!AF201+WRINGINPITU!AF201</f>
        <v>35</v>
      </c>
      <c r="F201" s="18"/>
      <c r="G201" s="5"/>
      <c r="H201" s="5"/>
      <c r="I201" s="5"/>
      <c r="J201" s="5"/>
      <c r="K201" s="5"/>
      <c r="L201" s="5"/>
      <c r="M201" s="5"/>
      <c r="N201" s="5"/>
      <c r="O201" s="5"/>
      <c r="P201" s="6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8"/>
      <c r="B202" s="55">
        <v>4.0</v>
      </c>
      <c r="C202" s="50" t="s">
        <v>178</v>
      </c>
      <c r="D202" s="57"/>
      <c r="E202" s="24">
        <f>KALIPAIT!X202+KEDUNGASRI!AD202+KEDUNGGEBANG!AM202+KEDUNGWUNGU!AF202+KENDALREJO!V202+PURWOAGUNG!S202+PURWOASRI!S202+TEGALDLIMO!AF202+WRINGINPITU!AF202</f>
        <v>55</v>
      </c>
      <c r="F202" s="18"/>
      <c r="G202" s="5"/>
      <c r="H202" s="5"/>
      <c r="I202" s="5"/>
      <c r="J202" s="5"/>
      <c r="K202" s="5"/>
      <c r="L202" s="5"/>
      <c r="M202" s="5"/>
      <c r="N202" s="5"/>
      <c r="O202" s="5"/>
      <c r="P202" s="6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18"/>
      <c r="B203" s="55">
        <v>5.0</v>
      </c>
      <c r="C203" s="50" t="s">
        <v>179</v>
      </c>
      <c r="D203" s="57"/>
      <c r="E203" s="24">
        <f>KALIPAIT!X203+KEDUNGASRI!AD203+KEDUNGGEBANG!AM203+KEDUNGWUNGU!AF203+KENDALREJO!V203+PURWOAGUNG!S203+PURWOASRI!S203+TEGALDLIMO!AF203+WRINGINPITU!AF203</f>
        <v>13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6.0</v>
      </c>
      <c r="C204" s="50" t="s">
        <v>180</v>
      </c>
      <c r="D204" s="57"/>
      <c r="E204" s="24">
        <f>KALIPAIT!X204+KEDUNGASRI!AD204+KEDUNGGEBANG!AM204+KEDUNGWUNGU!AF204+KENDALREJO!V204+PURWOAGUNG!S204+PURWOASRI!S204+TEGALDLIMO!AF204+WRINGINPITU!AF204</f>
        <v>45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7.0</v>
      </c>
      <c r="C205" s="50" t="s">
        <v>181</v>
      </c>
      <c r="D205" s="57"/>
      <c r="E205" s="24">
        <f>KALIPAIT!X205+KEDUNGASRI!AD205+KEDUNGGEBANG!AM205+KEDUNGWUNGU!AF205+KENDALREJO!V205+PURWOAGUNG!S205+PURWOASRI!S205+TEGALDLIMO!AF205+WRINGINPITU!AF205</f>
        <v>6067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9" t="s">
        <v>15</v>
      </c>
      <c r="B206" s="47" t="s">
        <v>47</v>
      </c>
      <c r="C206" s="15"/>
      <c r="D206" s="16"/>
      <c r="E206" s="13">
        <f>SUM(E198:E205)</f>
        <v>7068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24"/>
      <c r="B207" s="15"/>
      <c r="C207" s="15"/>
      <c r="D207" s="15"/>
      <c r="E207" s="16"/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30" t="s">
        <v>37</v>
      </c>
      <c r="B208" s="47" t="s">
        <v>182</v>
      </c>
      <c r="C208" s="48" t="s">
        <v>183</v>
      </c>
      <c r="D208" s="16"/>
      <c r="E208" s="24">
        <f>KALIPAIT!X208+KEDUNGASRI!AD208+KEDUNGGEBANG!AM208+KEDUNGWUNGU!AF208+KENDALREJO!V208+PURWOAGUNG!S208+PURWOASRI!S208+TEGALDLIMO!AF208+WRINGINPITU!AF208</f>
        <v>26</v>
      </c>
      <c r="F208" s="25"/>
      <c r="G208" s="1"/>
      <c r="H208" s="1"/>
      <c r="I208" s="1"/>
      <c r="J208" s="1"/>
      <c r="K208" s="1"/>
      <c r="L208" s="1"/>
      <c r="M208" s="1"/>
      <c r="N208" s="1"/>
      <c r="O208" s="1"/>
      <c r="P208" s="9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0" t="s">
        <v>39</v>
      </c>
      <c r="B209" s="55">
        <v>1.0</v>
      </c>
      <c r="C209" s="61" t="s">
        <v>184</v>
      </c>
      <c r="D209" s="57"/>
      <c r="E209" s="24">
        <f>KALIPAIT!X209+KEDUNGASRI!AD209+KEDUNGGEBANG!AM209+KEDUNGWUNGU!AF209+KENDALREJO!V209+PURWOAGUNG!S209+PURWOASRI!S209+TEGALDLIMO!AF209+WRINGINPITU!AF209</f>
        <v>26</v>
      </c>
      <c r="F209" s="18"/>
      <c r="G209" s="5"/>
      <c r="H209" s="5"/>
      <c r="I209" s="5"/>
      <c r="J209" s="5"/>
      <c r="K209" s="5"/>
      <c r="L209" s="5"/>
      <c r="M209" s="5"/>
      <c r="N209" s="5"/>
      <c r="O209" s="10"/>
      <c r="P209" s="11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8"/>
      <c r="B210" s="55">
        <v>2.0</v>
      </c>
      <c r="C210" s="61" t="s">
        <v>185</v>
      </c>
      <c r="D210" s="57"/>
      <c r="E210" s="24">
        <f>KALIPAIT!X210+KEDUNGASRI!AD210+KEDUNGGEBANG!AM210+KEDUNGWUNGU!AF210+KENDALREJO!V210+PURWOAGUNG!S210+PURWOASRI!S210+TEGALDLIMO!AF210+WRINGINPITU!AF210</f>
        <v>11</v>
      </c>
      <c r="F210" s="25"/>
      <c r="G210" s="1"/>
      <c r="H210" s="1"/>
      <c r="I210" s="1"/>
      <c r="J210" s="1"/>
      <c r="K210" s="1"/>
      <c r="L210" s="1"/>
      <c r="M210" s="1"/>
      <c r="N210" s="1"/>
      <c r="O210" s="2"/>
      <c r="P210" s="11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8"/>
      <c r="B211" s="55">
        <v>3.0</v>
      </c>
      <c r="C211" s="61" t="s">
        <v>186</v>
      </c>
      <c r="D211" s="57"/>
      <c r="E211" s="24">
        <f>KALIPAIT!X211+KEDUNGASRI!AD211+KEDUNGGEBANG!AM211+KEDUNGWUNGU!AF211+KENDALREJO!V211+PURWOAGUNG!S211+PURWOASRI!S211+TEGALDLIMO!AF211+WRINGINPITU!AF211</f>
        <v>1</v>
      </c>
      <c r="F211" s="25"/>
      <c r="G211" s="1"/>
      <c r="H211" s="1"/>
      <c r="I211" s="1"/>
      <c r="J211" s="1"/>
      <c r="K211" s="1"/>
      <c r="L211" s="1"/>
      <c r="M211" s="1"/>
      <c r="N211" s="1"/>
      <c r="O211" s="1"/>
      <c r="P211" s="9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8"/>
      <c r="B212" s="55">
        <v>4.0</v>
      </c>
      <c r="C212" s="61" t="s">
        <v>187</v>
      </c>
      <c r="D212" s="57"/>
      <c r="E212" s="24">
        <f>KALIPAIT!X212+KEDUNGASRI!AD212+KEDUNGGEBANG!AM212+KEDUNGWUNGU!AF212+KENDALREJO!V212+PURWOAGUNG!S212+PURWOASRI!S212+TEGALDLIMO!AF212+WRINGINPITU!AF212</f>
        <v>6</v>
      </c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18"/>
      <c r="B213" s="55">
        <v>5.0</v>
      </c>
      <c r="C213" s="61" t="s">
        <v>188</v>
      </c>
      <c r="D213" s="57"/>
      <c r="E213" s="24">
        <f>KALIPAIT!X213+KEDUNGASRI!AD213+KEDUNGGEBANG!AM213+KEDUNGWUNGU!AF213+KENDALREJO!V213+PURWOAGUNG!S213+PURWOASRI!S213+TEGALDLIMO!AF213+WRINGINPITU!AF213</f>
        <v>8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8"/>
      <c r="B214" s="55">
        <v>6.0</v>
      </c>
      <c r="C214" s="61" t="s">
        <v>189</v>
      </c>
      <c r="D214" s="57"/>
      <c r="E214" s="24">
        <f>KALIPAIT!X214+KEDUNGASRI!AD214+KEDUNGGEBANG!AM214+KEDUNGWUNGU!AF214+KENDALREJO!V214+PURWOAGUNG!S214+PURWOASRI!S214+TEGALDLIMO!AF214+WRINGINPITU!AF214</f>
        <v>6</v>
      </c>
      <c r="F214" s="18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9" t="s">
        <v>15</v>
      </c>
      <c r="B215" s="47" t="s">
        <v>47</v>
      </c>
      <c r="C215" s="15"/>
      <c r="D215" s="16"/>
      <c r="E215" s="13">
        <f>SUM(E208:E214)</f>
        <v>84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2" t="s">
        <v>190</v>
      </c>
      <c r="B217" s="14" t="s">
        <v>191</v>
      </c>
      <c r="C217" s="15"/>
      <c r="D217" s="16"/>
      <c r="E217" s="13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2"/>
      <c r="B218" s="64" t="s">
        <v>192</v>
      </c>
      <c r="C218" s="65" t="s">
        <v>193</v>
      </c>
      <c r="D218" s="16"/>
      <c r="E218" s="24">
        <f>KALIPAIT!X218+KEDUNGASRI!AD218+KEDUNGGEBANG!AM218+KEDUNGWUNGU!AF218+KENDALREJO!V218+PURWOAGUNG!S218+PURWOASRI!S218+TEGALDLIMO!AF218+WRINGINPITU!AF218</f>
        <v>38653</v>
      </c>
      <c r="F218" s="18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5"/>
      <c r="B219" s="64" t="s">
        <v>194</v>
      </c>
      <c r="C219" s="65" t="s">
        <v>195</v>
      </c>
      <c r="D219" s="16"/>
      <c r="E219" s="24">
        <f>KALIPAIT!X219+KEDUNGASRI!AD219+KEDUNGGEBANG!AM219+KEDUNGWUNGU!AF219+KENDALREJO!V219+PURWOAGUNG!S219+PURWOASRI!S219+TEGALDLIMO!AF219+WRINGINPITU!AF219</f>
        <v>3609</v>
      </c>
      <c r="F219" s="18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1"/>
      <c r="B220" s="64" t="s">
        <v>196</v>
      </c>
      <c r="C220" s="65" t="s">
        <v>197</v>
      </c>
      <c r="D220" s="16"/>
      <c r="E220" s="13">
        <f>SUM(E218:E219)</f>
        <v>42262</v>
      </c>
      <c r="F220" s="18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"/>
      <c r="B221" s="66"/>
      <c r="C221" s="6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"/>
      <c r="B222" s="66"/>
      <c r="C222" s="6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"/>
      <c r="B223" s="66"/>
      <c r="C223" s="6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66"/>
      <c r="C224" s="6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66"/>
      <c r="C225" s="6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66"/>
      <c r="C226" s="6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66"/>
      <c r="C227" s="6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66"/>
      <c r="C228" s="6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66"/>
      <c r="C229" s="6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66"/>
      <c r="C230" s="6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66"/>
      <c r="C231" s="6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66"/>
      <c r="C232" s="6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66"/>
      <c r="C233" s="6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66"/>
      <c r="C234" s="6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66"/>
      <c r="C235" s="6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66"/>
      <c r="C236" s="6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66"/>
      <c r="C237" s="6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66"/>
      <c r="C238" s="6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66"/>
      <c r="C239" s="6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66"/>
      <c r="C240" s="6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66"/>
      <c r="C241" s="6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66"/>
      <c r="C242" s="6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66"/>
      <c r="C243" s="6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66"/>
      <c r="C244" s="6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66"/>
      <c r="C245" s="6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66"/>
      <c r="C246" s="6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66"/>
      <c r="C247" s="6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66"/>
      <c r="C248" s="6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66"/>
      <c r="C249" s="6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66"/>
      <c r="C250" s="6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66"/>
      <c r="C251" s="6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66"/>
      <c r="C252" s="6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66"/>
      <c r="C253" s="6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66"/>
      <c r="C254" s="6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66"/>
      <c r="C255" s="6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66"/>
      <c r="C256" s="6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66"/>
      <c r="C257" s="6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66"/>
      <c r="C258" s="6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66"/>
      <c r="C259" s="6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66"/>
      <c r="C260" s="6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0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66"/>
      <c r="C261" s="6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0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66"/>
      <c r="C262" s="6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hidden="1" customHeight="1">
      <c r="A263" s="5"/>
      <c r="B263" s="66"/>
      <c r="C263" s="6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hidden="1" customHeight="1">
      <c r="A264" s="5"/>
      <c r="B264" s="66"/>
      <c r="C264" s="6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hidden="1" customHeight="1">
      <c r="A265" s="5"/>
      <c r="B265" s="66"/>
      <c r="C265" s="6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hidden="1" customHeight="1">
      <c r="A266" s="5"/>
      <c r="B266" s="66"/>
      <c r="C266" s="6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hidden="1" customHeight="1">
      <c r="A267" s="5"/>
      <c r="B267" s="66"/>
      <c r="C267" s="6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6"/>
      <c r="C268" s="6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6"/>
      <c r="C269" s="6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6"/>
      <c r="C270" s="6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6"/>
      <c r="C271" s="6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6"/>
      <c r="C272" s="6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6"/>
      <c r="C273" s="6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6"/>
      <c r="C274" s="6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6"/>
      <c r="C275" s="6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6"/>
      <c r="C276" s="6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6"/>
      <c r="C277" s="6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6"/>
      <c r="C278" s="6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6"/>
      <c r="C279" s="6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6"/>
      <c r="C280" s="6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6"/>
      <c r="C281" s="6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6"/>
      <c r="C282" s="6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6"/>
      <c r="C283" s="6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6"/>
      <c r="C284" s="6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6"/>
      <c r="C285" s="6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6"/>
      <c r="C286" s="6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6"/>
      <c r="C287" s="6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6"/>
      <c r="C288" s="6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6"/>
      <c r="C289" s="6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6"/>
      <c r="C290" s="6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6"/>
      <c r="C291" s="6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6"/>
      <c r="C292" s="6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6"/>
      <c r="C293" s="6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6"/>
      <c r="C294" s="6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6"/>
      <c r="C295" s="6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6"/>
      <c r="C296" s="6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6"/>
      <c r="C297" s="6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6"/>
      <c r="C298" s="6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6"/>
      <c r="C299" s="6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6"/>
      <c r="C300" s="6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6"/>
      <c r="C301" s="6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6"/>
      <c r="C302" s="6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6"/>
      <c r="C303" s="6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6"/>
      <c r="C304" s="6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6"/>
      <c r="C305" s="6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6"/>
      <c r="C306" s="6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6"/>
      <c r="C307" s="6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6"/>
      <c r="C308" s="6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6"/>
      <c r="C309" s="6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6"/>
      <c r="C310" s="6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6"/>
      <c r="C311" s="6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6"/>
      <c r="C312" s="6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6"/>
      <c r="C313" s="6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6"/>
      <c r="C314" s="6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6"/>
      <c r="C315" s="6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6"/>
      <c r="C316" s="6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6"/>
      <c r="C317" s="6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6"/>
      <c r="C318" s="6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6"/>
      <c r="C319" s="6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6"/>
      <c r="C320" s="6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6"/>
      <c r="C321" s="6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6"/>
      <c r="C322" s="6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6"/>
      <c r="C323" s="6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6"/>
      <c r="C324" s="6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6"/>
      <c r="C325" s="6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6"/>
      <c r="C326" s="6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6"/>
      <c r="C327" s="6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6"/>
      <c r="C328" s="6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6"/>
      <c r="C329" s="6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6"/>
      <c r="C330" s="6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6"/>
      <c r="C331" s="6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6"/>
      <c r="C332" s="6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6"/>
      <c r="C333" s="6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6"/>
      <c r="C334" s="6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6"/>
      <c r="C335" s="6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6"/>
      <c r="C336" s="6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6"/>
      <c r="C337" s="6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6"/>
      <c r="C338" s="6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6"/>
      <c r="C339" s="6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6"/>
      <c r="C340" s="6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6"/>
      <c r="C341" s="6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6"/>
      <c r="C342" s="6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6"/>
      <c r="C343" s="6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6"/>
      <c r="C344" s="6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6"/>
      <c r="C345" s="6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6"/>
      <c r="C346" s="6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6"/>
      <c r="C347" s="6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6"/>
      <c r="C348" s="6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6"/>
      <c r="C349" s="6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6"/>
      <c r="C350" s="6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6"/>
      <c r="C351" s="6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6"/>
      <c r="C352" s="6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6"/>
      <c r="C353" s="6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6"/>
      <c r="C354" s="6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6"/>
      <c r="C355" s="6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6"/>
      <c r="C356" s="6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6"/>
      <c r="C357" s="6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6"/>
      <c r="C358" s="6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6"/>
      <c r="C359" s="6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6"/>
      <c r="C360" s="6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6"/>
      <c r="C361" s="6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6"/>
      <c r="C362" s="6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6"/>
      <c r="C363" s="6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6"/>
      <c r="C364" s="6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6"/>
      <c r="C365" s="6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6"/>
      <c r="C366" s="6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6"/>
      <c r="C367" s="6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6"/>
      <c r="C368" s="6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6"/>
      <c r="C369" s="6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6"/>
      <c r="C370" s="6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6"/>
      <c r="C371" s="6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6"/>
      <c r="C372" s="6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6"/>
      <c r="C373" s="6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6"/>
      <c r="C374" s="6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6"/>
      <c r="C375" s="6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6"/>
      <c r="C376" s="6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6"/>
      <c r="C377" s="6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6"/>
      <c r="C378" s="6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6"/>
      <c r="C379" s="6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6"/>
      <c r="C380" s="6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6"/>
      <c r="C381" s="6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6"/>
      <c r="C382" s="6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6"/>
      <c r="C383" s="6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6"/>
      <c r="C384" s="6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6"/>
      <c r="C385" s="6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6"/>
      <c r="C386" s="6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6"/>
      <c r="C387" s="6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6"/>
      <c r="C388" s="6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6"/>
      <c r="C389" s="6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6"/>
      <c r="C390" s="6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6"/>
      <c r="C391" s="6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6"/>
      <c r="C392" s="6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6"/>
      <c r="C393" s="6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6"/>
      <c r="C394" s="6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6"/>
      <c r="C395" s="6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6"/>
      <c r="C396" s="6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6"/>
      <c r="C397" s="6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6"/>
      <c r="C398" s="6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6"/>
      <c r="C399" s="6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6"/>
      <c r="C400" s="6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6"/>
      <c r="C401" s="6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6"/>
      <c r="C402" s="6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6"/>
      <c r="C403" s="6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6"/>
      <c r="C404" s="6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6"/>
      <c r="C405" s="6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6"/>
      <c r="C406" s="6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6"/>
      <c r="C407" s="6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6"/>
      <c r="C408" s="6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6"/>
      <c r="C409" s="6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6"/>
      <c r="C410" s="6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6"/>
      <c r="C411" s="6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6"/>
      <c r="C412" s="6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6"/>
      <c r="C413" s="6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6"/>
      <c r="C414" s="6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6"/>
      <c r="C415" s="6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6"/>
      <c r="C416" s="6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6"/>
      <c r="C417" s="6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6"/>
      <c r="C418" s="67"/>
      <c r="D418" s="5"/>
      <c r="E418" s="5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6"/>
      <c r="C419" s="67"/>
      <c r="D419" s="5"/>
      <c r="E419" s="5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6"/>
      <c r="C420" s="67"/>
      <c r="D420" s="5"/>
      <c r="E420" s="5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3:D63"/>
    <mergeCell ref="A64:E64"/>
    <mergeCell ref="C65:D65"/>
    <mergeCell ref="B73:D73"/>
    <mergeCell ref="A74:E74"/>
    <mergeCell ref="C75:D75"/>
    <mergeCell ref="B83:D83"/>
    <mergeCell ref="A84:E84"/>
    <mergeCell ref="C85:D85"/>
    <mergeCell ref="B93:D93"/>
    <mergeCell ref="A94:E94"/>
    <mergeCell ref="C95:D95"/>
    <mergeCell ref="B103:D103"/>
    <mergeCell ref="A104:E104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A187:E187"/>
    <mergeCell ref="C188:D188"/>
    <mergeCell ref="B217:D217"/>
    <mergeCell ref="C218:D218"/>
    <mergeCell ref="C219:D219"/>
    <mergeCell ref="C220:D220"/>
    <mergeCell ref="B196:D196"/>
    <mergeCell ref="A197:E197"/>
    <mergeCell ref="C198:D198"/>
    <mergeCell ref="B206:D206"/>
    <mergeCell ref="A207:E207"/>
    <mergeCell ref="C208:D208"/>
    <mergeCell ref="B215:D215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4:E54"/>
    <mergeCell ref="C55:D55"/>
    <mergeCell ref="C47:D47"/>
    <mergeCell ref="C48:D48"/>
    <mergeCell ref="C49:D49"/>
    <mergeCell ref="C50:D50"/>
    <mergeCell ref="C51:D51"/>
    <mergeCell ref="C52:D52"/>
    <mergeCell ref="B53:D53"/>
    <mergeCell ref="C105:D105"/>
    <mergeCell ref="B109:D109"/>
    <mergeCell ref="A110:E110"/>
    <mergeCell ref="C111:D111"/>
    <mergeCell ref="B119:D119"/>
    <mergeCell ref="A120:E120"/>
    <mergeCell ref="C121:D121"/>
  </mergeCells>
  <conditionalFormatting sqref="E215">
    <cfRule type="containsBlanks" dxfId="0" priority="1">
      <formula>LEN(TRIM(E215))=0</formula>
    </cfRule>
  </conditionalFormatting>
  <conditionalFormatting sqref="F215:O217">
    <cfRule type="cellIs" dxfId="1" priority="2" operator="equal">
      <formula>"FALSE"</formula>
    </cfRule>
  </conditionalFormatting>
  <conditionalFormatting sqref="E30">
    <cfRule type="expression" dxfId="1" priority="3">
      <formula>E30&lt;&gt;E220</formula>
    </cfRule>
  </conditionalFormatting>
  <conditionalFormatting sqref="E30">
    <cfRule type="expression" dxfId="1" priority="4">
      <formula>E30&lt;&gt;E34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120.0</v>
      </c>
      <c r="F14" s="19">
        <v>126.0</v>
      </c>
      <c r="G14" s="19">
        <v>116.0</v>
      </c>
      <c r="H14" s="19">
        <v>132.0</v>
      </c>
      <c r="I14" s="19">
        <v>127.0</v>
      </c>
      <c r="J14" s="19">
        <v>120.0</v>
      </c>
      <c r="K14" s="19">
        <v>130.0</v>
      </c>
      <c r="L14" s="19">
        <v>135.0</v>
      </c>
      <c r="M14" s="19">
        <v>143.0</v>
      </c>
      <c r="N14" s="19">
        <v>139.0</v>
      </c>
      <c r="O14" s="19">
        <v>138.0</v>
      </c>
      <c r="P14" s="19">
        <v>127.0</v>
      </c>
      <c r="Q14" s="19">
        <v>144.0</v>
      </c>
      <c r="R14" s="19">
        <v>134.0</v>
      </c>
      <c r="S14" s="19">
        <v>128.0</v>
      </c>
      <c r="T14" s="19">
        <v>125.0</v>
      </c>
      <c r="U14" s="19">
        <v>107.0</v>
      </c>
      <c r="V14" s="19">
        <v>136.0</v>
      </c>
      <c r="W14" s="19">
        <v>128.0</v>
      </c>
      <c r="X14" s="13">
        <f t="shared" ref="X14:X16" si="1">SUM(E14:W14)</f>
        <v>2455</v>
      </c>
    </row>
    <row r="15" ht="12.75" customHeight="1">
      <c r="A15" s="18"/>
      <c r="B15" s="26"/>
      <c r="C15" s="27"/>
      <c r="D15" s="19" t="s">
        <v>13</v>
      </c>
      <c r="E15" s="19">
        <v>130.0</v>
      </c>
      <c r="F15" s="19">
        <v>121.0</v>
      </c>
      <c r="G15" s="19">
        <v>128.0</v>
      </c>
      <c r="H15" s="19">
        <v>134.0</v>
      </c>
      <c r="I15" s="19">
        <v>133.0</v>
      </c>
      <c r="J15" s="19">
        <v>126.0</v>
      </c>
      <c r="K15" s="19">
        <v>121.0</v>
      </c>
      <c r="L15" s="19">
        <v>127.0</v>
      </c>
      <c r="M15" s="19">
        <v>116.0</v>
      </c>
      <c r="N15" s="19">
        <v>126.0</v>
      </c>
      <c r="O15" s="19">
        <v>135.0</v>
      </c>
      <c r="P15" s="19">
        <v>141.0</v>
      </c>
      <c r="Q15" s="19">
        <v>130.0</v>
      </c>
      <c r="R15" s="19">
        <v>117.0</v>
      </c>
      <c r="S15" s="19">
        <v>123.0</v>
      </c>
      <c r="T15" s="19">
        <v>119.0</v>
      </c>
      <c r="U15" s="19">
        <v>132.0</v>
      </c>
      <c r="V15" s="19">
        <v>130.0</v>
      </c>
      <c r="W15" s="19">
        <v>123.0</v>
      </c>
      <c r="X15" s="13">
        <f t="shared" si="1"/>
        <v>2412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250</v>
      </c>
      <c r="F16" s="13">
        <f t="shared" si="2"/>
        <v>247</v>
      </c>
      <c r="G16" s="13">
        <f t="shared" si="2"/>
        <v>244</v>
      </c>
      <c r="H16" s="13">
        <f t="shared" si="2"/>
        <v>266</v>
      </c>
      <c r="I16" s="13">
        <f t="shared" si="2"/>
        <v>260</v>
      </c>
      <c r="J16" s="13">
        <f t="shared" si="2"/>
        <v>246</v>
      </c>
      <c r="K16" s="13">
        <f t="shared" si="2"/>
        <v>251</v>
      </c>
      <c r="L16" s="13">
        <f t="shared" si="2"/>
        <v>262</v>
      </c>
      <c r="M16" s="13">
        <f t="shared" si="2"/>
        <v>259</v>
      </c>
      <c r="N16" s="13">
        <f t="shared" si="2"/>
        <v>265</v>
      </c>
      <c r="O16" s="13">
        <f t="shared" si="2"/>
        <v>273</v>
      </c>
      <c r="P16" s="13">
        <f t="shared" si="2"/>
        <v>268</v>
      </c>
      <c r="Q16" s="13">
        <f t="shared" si="2"/>
        <v>274</v>
      </c>
      <c r="R16" s="13">
        <f t="shared" si="2"/>
        <v>251</v>
      </c>
      <c r="S16" s="13">
        <f t="shared" si="2"/>
        <v>251</v>
      </c>
      <c r="T16" s="13">
        <f t="shared" si="2"/>
        <v>244</v>
      </c>
      <c r="U16" s="13">
        <f t="shared" si="2"/>
        <v>239</v>
      </c>
      <c r="V16" s="13">
        <f t="shared" si="2"/>
        <v>266</v>
      </c>
      <c r="W16" s="13">
        <f t="shared" si="2"/>
        <v>251</v>
      </c>
      <c r="X16" s="13">
        <f t="shared" si="1"/>
        <v>4867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19"/>
      <c r="P17" s="19"/>
      <c r="Q17" s="19"/>
      <c r="R17" s="19"/>
      <c r="S17" s="19"/>
      <c r="T17" s="19"/>
      <c r="U17" s="19"/>
      <c r="V17" s="19"/>
      <c r="W17" s="19"/>
      <c r="X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19"/>
      <c r="P18" s="19"/>
      <c r="Q18" s="19"/>
      <c r="R18" s="19"/>
      <c r="S18" s="19"/>
      <c r="T18" s="19"/>
      <c r="U18" s="19"/>
      <c r="V18" s="19"/>
      <c r="W18" s="19"/>
      <c r="X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94.0</v>
      </c>
      <c r="F19" s="19">
        <v>93.0</v>
      </c>
      <c r="G19" s="19">
        <v>93.0</v>
      </c>
      <c r="H19" s="19">
        <v>104.0</v>
      </c>
      <c r="I19" s="19">
        <v>101.0</v>
      </c>
      <c r="J19" s="19">
        <v>103.0</v>
      </c>
      <c r="K19" s="19">
        <v>109.0</v>
      </c>
      <c r="L19" s="19">
        <v>112.0</v>
      </c>
      <c r="M19" s="19">
        <v>107.0</v>
      </c>
      <c r="N19" s="19">
        <v>119.0</v>
      </c>
      <c r="O19" s="19">
        <v>123.0</v>
      </c>
      <c r="P19" s="19">
        <v>105.0</v>
      </c>
      <c r="Q19" s="19">
        <v>129.0</v>
      </c>
      <c r="R19" s="19">
        <v>109.0</v>
      </c>
      <c r="S19" s="19">
        <v>98.0</v>
      </c>
      <c r="T19" s="19">
        <v>103.0</v>
      </c>
      <c r="U19" s="19">
        <v>87.0</v>
      </c>
      <c r="V19" s="19">
        <v>113.0</v>
      </c>
      <c r="W19" s="19">
        <v>107.0</v>
      </c>
      <c r="X19" s="13">
        <f t="shared" ref="X19:X30" si="3">SUM(E19:W19)</f>
        <v>2009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100.0</v>
      </c>
      <c r="G20" s="19">
        <v>104.0</v>
      </c>
      <c r="H20" s="19">
        <v>116.0</v>
      </c>
      <c r="I20" s="19">
        <v>118.0</v>
      </c>
      <c r="J20" s="19">
        <v>109.0</v>
      </c>
      <c r="K20" s="19">
        <v>106.0</v>
      </c>
      <c r="L20" s="19">
        <v>110.0</v>
      </c>
      <c r="M20" s="19">
        <v>93.0</v>
      </c>
      <c r="N20" s="19">
        <v>114.0</v>
      </c>
      <c r="O20" s="19">
        <v>110.0</v>
      </c>
      <c r="P20" s="19">
        <v>112.0</v>
      </c>
      <c r="Q20" s="19">
        <v>113.0</v>
      </c>
      <c r="R20" s="19">
        <v>95.0</v>
      </c>
      <c r="S20" s="19">
        <v>92.0</v>
      </c>
      <c r="T20" s="19">
        <v>100.0</v>
      </c>
      <c r="U20" s="19">
        <v>107.0</v>
      </c>
      <c r="V20" s="19">
        <v>107.0</v>
      </c>
      <c r="W20" s="19">
        <v>103.0</v>
      </c>
      <c r="X20" s="13">
        <f t="shared" si="3"/>
        <v>2026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211</v>
      </c>
      <c r="F21" s="13">
        <f t="shared" si="4"/>
        <v>193</v>
      </c>
      <c r="G21" s="13">
        <f t="shared" si="4"/>
        <v>197</v>
      </c>
      <c r="H21" s="13">
        <f t="shared" si="4"/>
        <v>220</v>
      </c>
      <c r="I21" s="13">
        <f t="shared" si="4"/>
        <v>219</v>
      </c>
      <c r="J21" s="13">
        <f t="shared" si="4"/>
        <v>212</v>
      </c>
      <c r="K21" s="13">
        <f t="shared" si="4"/>
        <v>215</v>
      </c>
      <c r="L21" s="13">
        <f t="shared" si="4"/>
        <v>222</v>
      </c>
      <c r="M21" s="13">
        <f t="shared" si="4"/>
        <v>200</v>
      </c>
      <c r="N21" s="13">
        <f t="shared" si="4"/>
        <v>233</v>
      </c>
      <c r="O21" s="13">
        <f t="shared" si="4"/>
        <v>233</v>
      </c>
      <c r="P21" s="13">
        <f t="shared" si="4"/>
        <v>217</v>
      </c>
      <c r="Q21" s="13">
        <f t="shared" si="4"/>
        <v>242</v>
      </c>
      <c r="R21" s="13">
        <f t="shared" si="4"/>
        <v>204</v>
      </c>
      <c r="S21" s="13">
        <f t="shared" si="4"/>
        <v>190</v>
      </c>
      <c r="T21" s="13">
        <f t="shared" si="4"/>
        <v>203</v>
      </c>
      <c r="U21" s="13">
        <f t="shared" si="4"/>
        <v>194</v>
      </c>
      <c r="V21" s="13">
        <f t="shared" si="4"/>
        <v>220</v>
      </c>
      <c r="W21" s="13">
        <f t="shared" si="4"/>
        <v>210</v>
      </c>
      <c r="X21" s="13">
        <f t="shared" si="3"/>
        <v>4035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/>
      <c r="U22" s="19"/>
      <c r="V22" s="19"/>
      <c r="W22" s="19"/>
      <c r="X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/>
      <c r="U23" s="19"/>
      <c r="V23" s="19"/>
      <c r="W23" s="19"/>
      <c r="X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2.0</v>
      </c>
      <c r="H25" s="19">
        <v>1.0</v>
      </c>
      <c r="I25" s="19">
        <v>2.0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2.0</v>
      </c>
      <c r="W25" s="19">
        <v>0.0</v>
      </c>
      <c r="X25" s="13">
        <f t="shared" si="3"/>
        <v>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1.0</v>
      </c>
      <c r="I26" s="19">
        <v>0.0</v>
      </c>
      <c r="J26" s="19">
        <v>0.0</v>
      </c>
      <c r="K26" s="19">
        <v>0.0</v>
      </c>
      <c r="L26" s="19">
        <v>1.0</v>
      </c>
      <c r="M26" s="19">
        <v>0.0</v>
      </c>
      <c r="N26" s="19">
        <v>2.0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1.0</v>
      </c>
      <c r="U26" s="19">
        <v>0.0</v>
      </c>
      <c r="V26" s="19">
        <v>1.0</v>
      </c>
      <c r="W26" s="19">
        <v>0.0</v>
      </c>
      <c r="X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0</v>
      </c>
      <c r="F27" s="13">
        <f t="shared" si="6"/>
        <v>1</v>
      </c>
      <c r="G27" s="13">
        <f t="shared" si="6"/>
        <v>4</v>
      </c>
      <c r="H27" s="13">
        <f t="shared" si="6"/>
        <v>2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0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1</v>
      </c>
      <c r="U27" s="13">
        <f t="shared" si="6"/>
        <v>0</v>
      </c>
      <c r="V27" s="13">
        <f t="shared" si="6"/>
        <v>3</v>
      </c>
      <c r="W27" s="13">
        <f t="shared" si="6"/>
        <v>0</v>
      </c>
      <c r="X27" s="13">
        <f t="shared" si="3"/>
        <v>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94</v>
      </c>
      <c r="F28" s="13">
        <f t="shared" si="7"/>
        <v>94</v>
      </c>
      <c r="G28" s="13">
        <f t="shared" si="7"/>
        <v>95</v>
      </c>
      <c r="H28" s="13">
        <f t="shared" si="7"/>
        <v>105</v>
      </c>
      <c r="I28" s="13">
        <f t="shared" si="7"/>
        <v>103</v>
      </c>
      <c r="J28" s="13">
        <f t="shared" si="7"/>
        <v>103</v>
      </c>
      <c r="K28" s="13">
        <f t="shared" si="7"/>
        <v>109</v>
      </c>
      <c r="L28" s="13">
        <f t="shared" si="7"/>
        <v>113</v>
      </c>
      <c r="M28" s="13">
        <f t="shared" si="7"/>
        <v>107</v>
      </c>
      <c r="N28" s="13">
        <f t="shared" si="7"/>
        <v>119</v>
      </c>
      <c r="O28" s="13">
        <f t="shared" si="7"/>
        <v>123</v>
      </c>
      <c r="P28" s="13">
        <f t="shared" si="7"/>
        <v>105</v>
      </c>
      <c r="Q28" s="13">
        <f t="shared" si="7"/>
        <v>130</v>
      </c>
      <c r="R28" s="13">
        <f t="shared" si="7"/>
        <v>109</v>
      </c>
      <c r="S28" s="13">
        <f t="shared" si="7"/>
        <v>98</v>
      </c>
      <c r="T28" s="13">
        <f t="shared" si="7"/>
        <v>103</v>
      </c>
      <c r="U28" s="13">
        <f t="shared" si="7"/>
        <v>87</v>
      </c>
      <c r="V28" s="13">
        <f t="shared" si="7"/>
        <v>115</v>
      </c>
      <c r="W28" s="13">
        <f t="shared" si="7"/>
        <v>107</v>
      </c>
      <c r="X28" s="13">
        <f t="shared" si="3"/>
        <v>2019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117</v>
      </c>
      <c r="F29" s="13">
        <f t="shared" si="8"/>
        <v>100</v>
      </c>
      <c r="G29" s="13">
        <f t="shared" si="8"/>
        <v>106</v>
      </c>
      <c r="H29" s="13">
        <f t="shared" si="8"/>
        <v>117</v>
      </c>
      <c r="I29" s="13">
        <f t="shared" si="8"/>
        <v>118</v>
      </c>
      <c r="J29" s="13">
        <f t="shared" si="8"/>
        <v>109</v>
      </c>
      <c r="K29" s="13">
        <f t="shared" si="8"/>
        <v>106</v>
      </c>
      <c r="L29" s="13">
        <f t="shared" si="8"/>
        <v>111</v>
      </c>
      <c r="M29" s="13">
        <f t="shared" si="8"/>
        <v>94</v>
      </c>
      <c r="N29" s="13">
        <f t="shared" si="8"/>
        <v>116</v>
      </c>
      <c r="O29" s="13">
        <f t="shared" si="8"/>
        <v>110</v>
      </c>
      <c r="P29" s="13">
        <f t="shared" si="8"/>
        <v>112</v>
      </c>
      <c r="Q29" s="13">
        <f t="shared" si="8"/>
        <v>113</v>
      </c>
      <c r="R29" s="13">
        <f t="shared" si="8"/>
        <v>95</v>
      </c>
      <c r="S29" s="13">
        <f t="shared" si="8"/>
        <v>92</v>
      </c>
      <c r="T29" s="13">
        <f t="shared" si="8"/>
        <v>101</v>
      </c>
      <c r="U29" s="13">
        <f t="shared" si="8"/>
        <v>107</v>
      </c>
      <c r="V29" s="13">
        <f t="shared" si="8"/>
        <v>108</v>
      </c>
      <c r="W29" s="13">
        <f t="shared" si="8"/>
        <v>103</v>
      </c>
      <c r="X29" s="13">
        <f t="shared" si="3"/>
        <v>2035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211</v>
      </c>
      <c r="F30" s="13">
        <f t="shared" si="9"/>
        <v>194</v>
      </c>
      <c r="G30" s="13">
        <f t="shared" si="9"/>
        <v>201</v>
      </c>
      <c r="H30" s="13">
        <f t="shared" si="9"/>
        <v>222</v>
      </c>
      <c r="I30" s="13">
        <f t="shared" si="9"/>
        <v>221</v>
      </c>
      <c r="J30" s="13">
        <f t="shared" si="9"/>
        <v>212</v>
      </c>
      <c r="K30" s="13">
        <f t="shared" si="9"/>
        <v>215</v>
      </c>
      <c r="L30" s="13">
        <f t="shared" si="9"/>
        <v>224</v>
      </c>
      <c r="M30" s="13">
        <f t="shared" si="9"/>
        <v>201</v>
      </c>
      <c r="N30" s="13">
        <f t="shared" si="9"/>
        <v>235</v>
      </c>
      <c r="O30" s="13">
        <f t="shared" si="9"/>
        <v>233</v>
      </c>
      <c r="P30" s="13">
        <f t="shared" si="9"/>
        <v>217</v>
      </c>
      <c r="Q30" s="13">
        <f t="shared" si="9"/>
        <v>243</v>
      </c>
      <c r="R30" s="13">
        <f t="shared" si="9"/>
        <v>204</v>
      </c>
      <c r="S30" s="13">
        <f t="shared" si="9"/>
        <v>190</v>
      </c>
      <c r="T30" s="13">
        <f t="shared" si="9"/>
        <v>204</v>
      </c>
      <c r="U30" s="13">
        <f t="shared" si="9"/>
        <v>194</v>
      </c>
      <c r="V30" s="13">
        <f t="shared" si="9"/>
        <v>223</v>
      </c>
      <c r="W30" s="13">
        <f t="shared" si="9"/>
        <v>210</v>
      </c>
      <c r="X30" s="13">
        <f t="shared" si="3"/>
        <v>4054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19"/>
      <c r="P31" s="19"/>
      <c r="Q31" s="19"/>
      <c r="R31" s="19"/>
      <c r="S31" s="19"/>
      <c r="T31" s="19"/>
      <c r="U31" s="19"/>
      <c r="V31" s="19"/>
      <c r="W31" s="19"/>
      <c r="X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1"/>
      <c r="O32" s="13"/>
      <c r="P32" s="13"/>
      <c r="Q32" s="13"/>
      <c r="R32" s="13"/>
      <c r="S32" s="13"/>
      <c r="T32" s="13"/>
      <c r="U32" s="13"/>
      <c r="V32" s="13"/>
      <c r="W32" s="13"/>
      <c r="X32" s="70"/>
    </row>
    <row r="33" ht="12.75" customHeight="1">
      <c r="A33" s="19">
        <v>1.0</v>
      </c>
      <c r="B33" s="20" t="s">
        <v>27</v>
      </c>
      <c r="C33" s="15"/>
      <c r="D33" s="16"/>
      <c r="E33" s="19">
        <v>255.0</v>
      </c>
      <c r="F33" s="19">
        <v>253.0</v>
      </c>
      <c r="G33" s="19">
        <v>250.0</v>
      </c>
      <c r="H33" s="19">
        <v>272.0</v>
      </c>
      <c r="I33" s="19">
        <v>266.0</v>
      </c>
      <c r="J33" s="19">
        <v>251.0</v>
      </c>
      <c r="K33" s="19">
        <v>256.0</v>
      </c>
      <c r="L33" s="19">
        <v>267.0</v>
      </c>
      <c r="M33" s="19">
        <v>265.0</v>
      </c>
      <c r="N33" s="19">
        <v>271.0</v>
      </c>
      <c r="O33" s="19">
        <v>279.0</v>
      </c>
      <c r="P33" s="19">
        <v>275.0</v>
      </c>
      <c r="Q33" s="19">
        <v>280.0</v>
      </c>
      <c r="R33" s="19">
        <v>260.0</v>
      </c>
      <c r="S33" s="19">
        <v>258.0</v>
      </c>
      <c r="T33" s="19">
        <v>250.0</v>
      </c>
      <c r="U33" s="19">
        <v>244.0</v>
      </c>
      <c r="V33" s="19">
        <v>273.0</v>
      </c>
      <c r="W33" s="19">
        <v>255.0</v>
      </c>
      <c r="X33" s="13">
        <f t="shared" ref="X33:X36" si="10">SUM(E33:W33)</f>
        <v>4980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194.0</v>
      </c>
      <c r="G34" s="13">
        <v>201.0</v>
      </c>
      <c r="H34" s="13">
        <v>222.0</v>
      </c>
      <c r="I34" s="13">
        <v>221.0</v>
      </c>
      <c r="J34" s="13">
        <v>212.0</v>
      </c>
      <c r="K34" s="13">
        <v>215.0</v>
      </c>
      <c r="L34" s="13">
        <v>224.0</v>
      </c>
      <c r="M34" s="13">
        <v>201.0</v>
      </c>
      <c r="N34" s="13">
        <v>235.0</v>
      </c>
      <c r="O34" s="13">
        <v>233.0</v>
      </c>
      <c r="P34" s="13">
        <v>217.0</v>
      </c>
      <c r="Q34" s="13">
        <v>243.0</v>
      </c>
      <c r="R34" s="13">
        <v>204.0</v>
      </c>
      <c r="S34" s="13">
        <v>190.0</v>
      </c>
      <c r="T34" s="13">
        <v>204.0</v>
      </c>
      <c r="U34" s="13">
        <v>194.0</v>
      </c>
      <c r="V34" s="13">
        <v>223.0</v>
      </c>
      <c r="W34" s="13">
        <v>210.0</v>
      </c>
      <c r="X34" s="13">
        <f t="shared" si="10"/>
        <v>4054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43</v>
      </c>
      <c r="F36" s="13">
        <f t="shared" si="11"/>
        <v>59</v>
      </c>
      <c r="G36" s="13">
        <f t="shared" si="11"/>
        <v>49</v>
      </c>
      <c r="H36" s="13">
        <f t="shared" si="11"/>
        <v>50</v>
      </c>
      <c r="I36" s="13">
        <f t="shared" si="11"/>
        <v>45</v>
      </c>
      <c r="J36" s="13">
        <f t="shared" si="11"/>
        <v>39</v>
      </c>
      <c r="K36" s="13">
        <f t="shared" si="11"/>
        <v>41</v>
      </c>
      <c r="L36" s="13">
        <f t="shared" si="11"/>
        <v>43</v>
      </c>
      <c r="M36" s="13">
        <f t="shared" si="11"/>
        <v>64</v>
      </c>
      <c r="N36" s="13">
        <f t="shared" si="11"/>
        <v>36</v>
      </c>
      <c r="O36" s="13">
        <f t="shared" si="11"/>
        <v>46</v>
      </c>
      <c r="P36" s="13">
        <f t="shared" si="11"/>
        <v>58</v>
      </c>
      <c r="Q36" s="13">
        <f t="shared" si="11"/>
        <v>37</v>
      </c>
      <c r="R36" s="13">
        <f t="shared" si="11"/>
        <v>56</v>
      </c>
      <c r="S36" s="13">
        <f t="shared" si="11"/>
        <v>68</v>
      </c>
      <c r="T36" s="13">
        <f t="shared" si="11"/>
        <v>46</v>
      </c>
      <c r="U36" s="13">
        <f t="shared" si="11"/>
        <v>50</v>
      </c>
      <c r="V36" s="13">
        <f t="shared" si="11"/>
        <v>50</v>
      </c>
      <c r="W36" s="13">
        <f t="shared" si="11"/>
        <v>45</v>
      </c>
      <c r="X36" s="13">
        <f t="shared" si="10"/>
        <v>925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1"/>
      <c r="O38" s="13"/>
      <c r="P38" s="13"/>
      <c r="Q38" s="13"/>
      <c r="R38" s="13"/>
      <c r="S38" s="13"/>
      <c r="T38" s="13"/>
      <c r="U38" s="13"/>
      <c r="V38" s="13"/>
      <c r="W38" s="13"/>
      <c r="X38" s="7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1.0</v>
      </c>
      <c r="U39" s="19">
        <v>0.0</v>
      </c>
      <c r="V39" s="19">
        <v>0.0</v>
      </c>
      <c r="W39" s="19">
        <v>0.0</v>
      </c>
      <c r="X39" s="13">
        <f t="shared" ref="X39:X41" si="12">SUM(E39:W39)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1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19"/>
      <c r="Q44" s="19"/>
      <c r="R44" s="19"/>
      <c r="S44" s="19"/>
      <c r="T44" s="19"/>
      <c r="U44" s="19"/>
      <c r="V44" s="19"/>
      <c r="W44" s="19"/>
      <c r="X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4.0</v>
      </c>
      <c r="G45" s="19">
        <v>7.0</v>
      </c>
      <c r="H45" s="19">
        <v>5.0</v>
      </c>
      <c r="I45" s="19">
        <v>4.0</v>
      </c>
      <c r="J45" s="19">
        <v>0.0</v>
      </c>
      <c r="K45" s="19">
        <v>1.0</v>
      </c>
      <c r="L45" s="19">
        <v>11.0</v>
      </c>
      <c r="M45" s="19">
        <v>2.0</v>
      </c>
      <c r="N45" s="19">
        <v>0.0</v>
      </c>
      <c r="O45" s="19">
        <v>4.0</v>
      </c>
      <c r="P45" s="19">
        <v>11.0</v>
      </c>
      <c r="Q45" s="19">
        <v>4.0</v>
      </c>
      <c r="R45" s="19">
        <v>2.0</v>
      </c>
      <c r="S45" s="19">
        <v>4.0</v>
      </c>
      <c r="T45" s="19">
        <v>0.0</v>
      </c>
      <c r="U45" s="19">
        <v>5.0</v>
      </c>
      <c r="V45" s="19">
        <v>4.0</v>
      </c>
      <c r="W45" s="19">
        <v>8.0</v>
      </c>
      <c r="X45" s="13">
        <f t="shared" ref="X45:X52" si="14">SUM(E45:W45)</f>
        <v>84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20.0</v>
      </c>
      <c r="F46" s="19">
        <v>14.0</v>
      </c>
      <c r="G46" s="19">
        <v>21.0</v>
      </c>
      <c r="H46" s="19">
        <v>7.0</v>
      </c>
      <c r="I46" s="19">
        <v>10.0</v>
      </c>
      <c r="J46" s="19">
        <v>9.0</v>
      </c>
      <c r="K46" s="19">
        <v>2.0</v>
      </c>
      <c r="L46" s="19">
        <v>18.0</v>
      </c>
      <c r="M46" s="19">
        <v>9.0</v>
      </c>
      <c r="N46" s="19">
        <v>4.0</v>
      </c>
      <c r="O46" s="19">
        <v>14.0</v>
      </c>
      <c r="P46" s="19">
        <v>11.0</v>
      </c>
      <c r="Q46" s="19">
        <v>3.0</v>
      </c>
      <c r="R46" s="19">
        <v>1.0</v>
      </c>
      <c r="S46" s="19">
        <v>5.0</v>
      </c>
      <c r="T46" s="19">
        <v>8.0</v>
      </c>
      <c r="U46" s="19">
        <v>6.0</v>
      </c>
      <c r="V46" s="19">
        <v>0.0</v>
      </c>
      <c r="W46" s="19">
        <v>6.0</v>
      </c>
      <c r="X46" s="13">
        <f t="shared" si="14"/>
        <v>168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1.0</v>
      </c>
      <c r="G47" s="19">
        <v>3.0</v>
      </c>
      <c r="H47" s="19">
        <v>2.0</v>
      </c>
      <c r="I47" s="19">
        <v>0.0</v>
      </c>
      <c r="J47" s="19">
        <v>0.0</v>
      </c>
      <c r="K47" s="19">
        <v>1.0</v>
      </c>
      <c r="L47" s="19">
        <v>1.0</v>
      </c>
      <c r="M47" s="19">
        <v>2.0</v>
      </c>
      <c r="N47" s="19">
        <v>2.0</v>
      </c>
      <c r="O47" s="19">
        <v>1.0</v>
      </c>
      <c r="P47" s="19">
        <v>0.0</v>
      </c>
      <c r="Q47" s="19">
        <v>0.0</v>
      </c>
      <c r="R47" s="19">
        <v>0.0</v>
      </c>
      <c r="S47" s="19">
        <v>0.0</v>
      </c>
      <c r="T47" s="19">
        <v>1.0</v>
      </c>
      <c r="U47" s="19">
        <v>2.0</v>
      </c>
      <c r="V47" s="19">
        <v>2.0</v>
      </c>
      <c r="W47" s="19">
        <v>1.0</v>
      </c>
      <c r="X47" s="13">
        <f t="shared" si="14"/>
        <v>20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0.0</v>
      </c>
      <c r="H48" s="19">
        <v>0.0</v>
      </c>
      <c r="I48" s="19">
        <v>0.0</v>
      </c>
      <c r="J48" s="19">
        <v>1.0</v>
      </c>
      <c r="K48" s="19">
        <v>0.0</v>
      </c>
      <c r="L48" s="19">
        <v>0.0</v>
      </c>
      <c r="M48" s="19">
        <v>1.0</v>
      </c>
      <c r="N48" s="19">
        <v>1.0</v>
      </c>
      <c r="O48" s="19">
        <v>1.0</v>
      </c>
      <c r="P48" s="19">
        <v>0.0</v>
      </c>
      <c r="Q48" s="19">
        <v>1.0</v>
      </c>
      <c r="R48" s="19">
        <v>0.0</v>
      </c>
      <c r="S48" s="19">
        <v>0.0</v>
      </c>
      <c r="T48" s="19">
        <v>0.0</v>
      </c>
      <c r="U48" s="19">
        <v>0.0</v>
      </c>
      <c r="V48" s="19">
        <v>0.0</v>
      </c>
      <c r="W48" s="19">
        <v>0.0</v>
      </c>
      <c r="X48" s="13">
        <f t="shared" si="14"/>
        <v>6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1.0</v>
      </c>
      <c r="H49" s="19">
        <v>0.0</v>
      </c>
      <c r="I49" s="19">
        <v>3.0</v>
      </c>
      <c r="J49" s="19">
        <v>4.0</v>
      </c>
      <c r="K49" s="19">
        <v>1.0</v>
      </c>
      <c r="L49" s="19">
        <v>0.0</v>
      </c>
      <c r="M49" s="19">
        <v>1.0</v>
      </c>
      <c r="N49" s="19">
        <v>1.0</v>
      </c>
      <c r="O49" s="19">
        <v>0.0</v>
      </c>
      <c r="P49" s="19">
        <v>0.0</v>
      </c>
      <c r="Q49" s="19">
        <v>0.0</v>
      </c>
      <c r="R49" s="19">
        <v>0.0</v>
      </c>
      <c r="S49" s="19">
        <v>1.0</v>
      </c>
      <c r="T49" s="19">
        <v>1.0</v>
      </c>
      <c r="U49" s="19">
        <v>1.0</v>
      </c>
      <c r="V49" s="19">
        <v>0.0</v>
      </c>
      <c r="W49" s="19">
        <v>2.0</v>
      </c>
      <c r="X49" s="13">
        <f t="shared" si="14"/>
        <v>17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1.0</v>
      </c>
      <c r="G50" s="19">
        <v>1.0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1.0</v>
      </c>
      <c r="V50" s="19">
        <v>0.0</v>
      </c>
      <c r="W50" s="19">
        <v>0.0</v>
      </c>
      <c r="X50" s="13">
        <f t="shared" si="14"/>
        <v>4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1.0</v>
      </c>
      <c r="W51" s="19">
        <v>1.0</v>
      </c>
      <c r="X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1.0</v>
      </c>
      <c r="J52" s="19">
        <v>1.0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3">
        <f t="shared" si="14"/>
        <v>3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X53" si="15">SUM(E45:E52)</f>
        <v>32</v>
      </c>
      <c r="F53" s="13">
        <f t="shared" si="15"/>
        <v>21</v>
      </c>
      <c r="G53" s="13">
        <f t="shared" si="15"/>
        <v>33</v>
      </c>
      <c r="H53" s="13">
        <f t="shared" si="15"/>
        <v>15</v>
      </c>
      <c r="I53" s="13">
        <f t="shared" si="15"/>
        <v>18</v>
      </c>
      <c r="J53" s="13">
        <f t="shared" si="15"/>
        <v>15</v>
      </c>
      <c r="K53" s="13">
        <f t="shared" si="15"/>
        <v>5</v>
      </c>
      <c r="L53" s="13">
        <f t="shared" si="15"/>
        <v>30</v>
      </c>
      <c r="M53" s="13">
        <f t="shared" si="15"/>
        <v>15</v>
      </c>
      <c r="N53" s="13">
        <f t="shared" si="15"/>
        <v>8</v>
      </c>
      <c r="O53" s="13">
        <f t="shared" si="15"/>
        <v>20</v>
      </c>
      <c r="P53" s="13">
        <f t="shared" si="15"/>
        <v>22</v>
      </c>
      <c r="Q53" s="13">
        <f t="shared" si="15"/>
        <v>8</v>
      </c>
      <c r="R53" s="13">
        <f t="shared" si="15"/>
        <v>3</v>
      </c>
      <c r="S53" s="13">
        <f t="shared" si="15"/>
        <v>10</v>
      </c>
      <c r="T53" s="13">
        <f t="shared" si="15"/>
        <v>10</v>
      </c>
      <c r="U53" s="13">
        <f t="shared" si="15"/>
        <v>15</v>
      </c>
      <c r="V53" s="13">
        <f t="shared" si="15"/>
        <v>7</v>
      </c>
      <c r="W53" s="13">
        <f t="shared" si="15"/>
        <v>18</v>
      </c>
      <c r="X53" s="13">
        <f t="shared" si="15"/>
        <v>305</v>
      </c>
    </row>
    <row r="54" ht="12.75" customHeight="1">
      <c r="A54" s="45"/>
      <c r="B54" s="44"/>
      <c r="C54" s="44"/>
      <c r="D54" s="44"/>
      <c r="E54" s="44"/>
      <c r="X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3.0</v>
      </c>
      <c r="F55" s="19">
        <v>1.0</v>
      </c>
      <c r="G55" s="19">
        <v>6.0</v>
      </c>
      <c r="H55" s="19">
        <v>8.0</v>
      </c>
      <c r="I55" s="19">
        <v>2.0</v>
      </c>
      <c r="J55" s="19">
        <v>2.0</v>
      </c>
      <c r="K55" s="19">
        <v>1.0</v>
      </c>
      <c r="L55" s="19">
        <v>3.0</v>
      </c>
      <c r="M55" s="19">
        <v>0.0</v>
      </c>
      <c r="N55" s="19">
        <v>1.0</v>
      </c>
      <c r="O55" s="19">
        <v>5.0</v>
      </c>
      <c r="P55" s="19">
        <v>9.0</v>
      </c>
      <c r="Q55" s="19">
        <v>11.0</v>
      </c>
      <c r="R55" s="19">
        <v>5.0</v>
      </c>
      <c r="S55" s="19">
        <v>4.0</v>
      </c>
      <c r="T55" s="19">
        <v>4.0</v>
      </c>
      <c r="U55" s="19">
        <v>3.0</v>
      </c>
      <c r="V55" s="19">
        <v>1.0</v>
      </c>
      <c r="W55" s="19">
        <v>6.0</v>
      </c>
      <c r="X55" s="13">
        <f t="shared" ref="X55:X62" si="16">SUM(E55:W55)</f>
        <v>75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9.0</v>
      </c>
      <c r="F56" s="19">
        <v>5.0</v>
      </c>
      <c r="G56" s="19">
        <v>4.0</v>
      </c>
      <c r="H56" s="19">
        <v>5.0</v>
      </c>
      <c r="I56" s="19">
        <v>6.0</v>
      </c>
      <c r="J56" s="19">
        <v>3.0</v>
      </c>
      <c r="K56" s="19">
        <v>3.0</v>
      </c>
      <c r="L56" s="19">
        <v>0.0</v>
      </c>
      <c r="M56" s="19">
        <v>4.0</v>
      </c>
      <c r="N56" s="19">
        <v>7.0</v>
      </c>
      <c r="O56" s="19">
        <v>2.0</v>
      </c>
      <c r="P56" s="19">
        <v>4.0</v>
      </c>
      <c r="Q56" s="19">
        <v>4.0</v>
      </c>
      <c r="R56" s="19">
        <v>2.0</v>
      </c>
      <c r="S56" s="19">
        <v>1.0</v>
      </c>
      <c r="T56" s="19">
        <v>1.0</v>
      </c>
      <c r="U56" s="19">
        <v>4.0</v>
      </c>
      <c r="V56" s="19">
        <v>2.0</v>
      </c>
      <c r="W56" s="19">
        <v>8.0</v>
      </c>
      <c r="X56" s="13">
        <f t="shared" si="16"/>
        <v>74</v>
      </c>
    </row>
    <row r="57" ht="12.75" customHeight="1">
      <c r="A57" s="18"/>
      <c r="B57" s="55">
        <v>2.0</v>
      </c>
      <c r="C57" s="50" t="s">
        <v>50</v>
      </c>
      <c r="D57" s="56"/>
      <c r="E57" s="19">
        <v>4.0</v>
      </c>
      <c r="F57" s="19">
        <v>0.0</v>
      </c>
      <c r="G57" s="19">
        <v>0.0</v>
      </c>
      <c r="H57" s="19">
        <v>3.0</v>
      </c>
      <c r="I57" s="19">
        <v>0.0</v>
      </c>
      <c r="J57" s="19">
        <v>3.0</v>
      </c>
      <c r="K57" s="19">
        <v>1.0</v>
      </c>
      <c r="L57" s="19">
        <v>1.0</v>
      </c>
      <c r="M57" s="19">
        <v>3.0</v>
      </c>
      <c r="N57" s="19">
        <v>2.0</v>
      </c>
      <c r="O57" s="19">
        <v>3.0</v>
      </c>
      <c r="P57" s="19">
        <v>5.0</v>
      </c>
      <c r="Q57" s="19">
        <v>2.0</v>
      </c>
      <c r="R57" s="19">
        <v>3.0</v>
      </c>
      <c r="S57" s="19">
        <v>1.0</v>
      </c>
      <c r="T57" s="19">
        <v>1.0</v>
      </c>
      <c r="U57" s="19">
        <v>6.0</v>
      </c>
      <c r="V57" s="19">
        <v>0.0</v>
      </c>
      <c r="W57" s="19">
        <v>3.0</v>
      </c>
      <c r="X57" s="13">
        <f t="shared" si="16"/>
        <v>41</v>
      </c>
    </row>
    <row r="58" ht="12.75" customHeight="1">
      <c r="A58" s="18"/>
      <c r="B58" s="55">
        <v>3.0</v>
      </c>
      <c r="C58" s="50" t="s">
        <v>51</v>
      </c>
      <c r="D58" s="56"/>
      <c r="E58" s="19">
        <v>0.0</v>
      </c>
      <c r="F58" s="19">
        <v>0.0</v>
      </c>
      <c r="G58" s="19">
        <v>1.0</v>
      </c>
      <c r="H58" s="19">
        <v>0.0</v>
      </c>
      <c r="I58" s="19">
        <v>0.0</v>
      </c>
      <c r="J58" s="19">
        <v>4.0</v>
      </c>
      <c r="K58" s="19">
        <v>1.0</v>
      </c>
      <c r="L58" s="19">
        <v>0.0</v>
      </c>
      <c r="M58" s="19">
        <v>0.0</v>
      </c>
      <c r="N58" s="19">
        <v>1.0</v>
      </c>
      <c r="O58" s="19">
        <v>2.0</v>
      </c>
      <c r="P58" s="19">
        <v>0.0</v>
      </c>
      <c r="Q58" s="19">
        <v>1.0</v>
      </c>
      <c r="R58" s="19">
        <v>1.0</v>
      </c>
      <c r="S58" s="19">
        <v>1.0</v>
      </c>
      <c r="T58" s="19">
        <v>0.0</v>
      </c>
      <c r="U58" s="19">
        <v>1.0</v>
      </c>
      <c r="V58" s="19">
        <v>1.0</v>
      </c>
      <c r="W58" s="19">
        <v>0.0</v>
      </c>
      <c r="X58" s="13">
        <f t="shared" si="16"/>
        <v>14</v>
      </c>
    </row>
    <row r="59" ht="12.75" customHeight="1">
      <c r="A59" s="18"/>
      <c r="B59" s="55">
        <v>4.0</v>
      </c>
      <c r="C59" s="50" t="s">
        <v>52</v>
      </c>
      <c r="D59" s="56"/>
      <c r="E59" s="19">
        <v>2.0</v>
      </c>
      <c r="F59" s="19">
        <v>0.0</v>
      </c>
      <c r="G59" s="19">
        <v>1.0</v>
      </c>
      <c r="H59" s="19">
        <v>0.0</v>
      </c>
      <c r="I59" s="19">
        <v>0.0</v>
      </c>
      <c r="J59" s="19">
        <v>0.0</v>
      </c>
      <c r="K59" s="19">
        <v>1.0</v>
      </c>
      <c r="L59" s="19">
        <v>0.0</v>
      </c>
      <c r="M59" s="19">
        <v>1.0</v>
      </c>
      <c r="N59" s="19">
        <v>2.0</v>
      </c>
      <c r="O59" s="19">
        <v>2.0</v>
      </c>
      <c r="P59" s="19">
        <v>0.0</v>
      </c>
      <c r="Q59" s="19">
        <v>0.0</v>
      </c>
      <c r="R59" s="19">
        <v>1.0</v>
      </c>
      <c r="S59" s="19">
        <v>3.0</v>
      </c>
      <c r="T59" s="19">
        <v>1.0</v>
      </c>
      <c r="U59" s="19">
        <v>0.0</v>
      </c>
      <c r="V59" s="19">
        <v>1.0</v>
      </c>
      <c r="W59" s="19">
        <v>3.0</v>
      </c>
      <c r="X59" s="13">
        <f t="shared" si="16"/>
        <v>18</v>
      </c>
    </row>
    <row r="60" ht="12.75" customHeight="1">
      <c r="A60" s="18"/>
      <c r="B60" s="55">
        <v>5.0</v>
      </c>
      <c r="C60" s="50" t="s">
        <v>53</v>
      </c>
      <c r="D60" s="56"/>
      <c r="E60" s="19">
        <v>2.0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1.0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19">
        <v>0.0</v>
      </c>
      <c r="U60" s="19">
        <v>0.0</v>
      </c>
      <c r="V60" s="19">
        <v>0.0</v>
      </c>
      <c r="W60" s="19">
        <v>1.0</v>
      </c>
      <c r="X60" s="13">
        <f t="shared" si="16"/>
        <v>4</v>
      </c>
    </row>
    <row r="61" ht="12.75" customHeight="1">
      <c r="A61" s="18"/>
      <c r="B61" s="55">
        <v>6.0</v>
      </c>
      <c r="C61" s="50" t="s">
        <v>54</v>
      </c>
      <c r="D61" s="57"/>
      <c r="E61" s="19">
        <v>1.0</v>
      </c>
      <c r="F61" s="19">
        <v>0.0</v>
      </c>
      <c r="G61" s="19">
        <v>0.0</v>
      </c>
      <c r="H61" s="19">
        <v>0.0</v>
      </c>
      <c r="I61" s="19">
        <v>1.0</v>
      </c>
      <c r="J61" s="19">
        <v>1.0</v>
      </c>
      <c r="K61" s="19">
        <v>0.0</v>
      </c>
      <c r="L61" s="19">
        <v>0.0</v>
      </c>
      <c r="M61" s="19">
        <v>0.0</v>
      </c>
      <c r="N61" s="19">
        <v>0.0</v>
      </c>
      <c r="O61" s="19">
        <v>0.0</v>
      </c>
      <c r="P61" s="19">
        <v>0.0</v>
      </c>
      <c r="Q61" s="19">
        <v>1.0</v>
      </c>
      <c r="R61" s="19">
        <v>0.0</v>
      </c>
      <c r="S61" s="19">
        <v>1.0</v>
      </c>
      <c r="T61" s="19">
        <v>0.0</v>
      </c>
      <c r="U61" s="19">
        <v>0.0</v>
      </c>
      <c r="V61" s="19">
        <v>0.0</v>
      </c>
      <c r="W61" s="19">
        <v>0.0</v>
      </c>
      <c r="X61" s="13">
        <f t="shared" si="16"/>
        <v>5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1.0</v>
      </c>
      <c r="U62" s="19">
        <v>0.0</v>
      </c>
      <c r="V62" s="19">
        <v>0.0</v>
      </c>
      <c r="W62" s="19">
        <v>1.0</v>
      </c>
      <c r="X62" s="13">
        <f t="shared" si="16"/>
        <v>2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X63" si="17">SUM(E55:E62)</f>
        <v>21</v>
      </c>
      <c r="F63" s="13">
        <f t="shared" si="17"/>
        <v>6</v>
      </c>
      <c r="G63" s="13">
        <f t="shared" si="17"/>
        <v>12</v>
      </c>
      <c r="H63" s="13">
        <f t="shared" si="17"/>
        <v>16</v>
      </c>
      <c r="I63" s="13">
        <f t="shared" si="17"/>
        <v>9</v>
      </c>
      <c r="J63" s="13">
        <f t="shared" si="17"/>
        <v>13</v>
      </c>
      <c r="K63" s="13">
        <f t="shared" si="17"/>
        <v>7</v>
      </c>
      <c r="L63" s="13">
        <f t="shared" si="17"/>
        <v>5</v>
      </c>
      <c r="M63" s="13">
        <f t="shared" si="17"/>
        <v>8</v>
      </c>
      <c r="N63" s="13">
        <f t="shared" si="17"/>
        <v>13</v>
      </c>
      <c r="O63" s="13">
        <f t="shared" si="17"/>
        <v>14</v>
      </c>
      <c r="P63" s="13">
        <f t="shared" si="17"/>
        <v>18</v>
      </c>
      <c r="Q63" s="13">
        <f t="shared" si="17"/>
        <v>19</v>
      </c>
      <c r="R63" s="13">
        <f t="shared" si="17"/>
        <v>12</v>
      </c>
      <c r="S63" s="13">
        <f t="shared" si="17"/>
        <v>11</v>
      </c>
      <c r="T63" s="13">
        <f t="shared" si="17"/>
        <v>8</v>
      </c>
      <c r="U63" s="13">
        <f t="shared" si="17"/>
        <v>14</v>
      </c>
      <c r="V63" s="13">
        <f t="shared" si="17"/>
        <v>5</v>
      </c>
      <c r="W63" s="13">
        <f t="shared" si="17"/>
        <v>22</v>
      </c>
      <c r="X63" s="13">
        <f t="shared" si="17"/>
        <v>233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7.0</v>
      </c>
      <c r="F65" s="19">
        <v>5.0</v>
      </c>
      <c r="G65" s="19">
        <v>9.0</v>
      </c>
      <c r="H65" s="19">
        <v>8.0</v>
      </c>
      <c r="I65" s="19">
        <v>2.0</v>
      </c>
      <c r="J65" s="19">
        <v>1.0</v>
      </c>
      <c r="K65" s="19">
        <v>3.0</v>
      </c>
      <c r="L65" s="19">
        <v>1.0</v>
      </c>
      <c r="M65" s="19">
        <v>4.0</v>
      </c>
      <c r="N65" s="19">
        <v>2.0</v>
      </c>
      <c r="O65" s="19">
        <v>1.0</v>
      </c>
      <c r="P65" s="19">
        <v>1.0</v>
      </c>
      <c r="Q65" s="19">
        <v>3.0</v>
      </c>
      <c r="R65" s="19">
        <v>5.0</v>
      </c>
      <c r="S65" s="19">
        <v>8.0</v>
      </c>
      <c r="T65" s="19">
        <v>1.0</v>
      </c>
      <c r="U65" s="19">
        <v>1.0</v>
      </c>
      <c r="V65" s="19">
        <v>6.0</v>
      </c>
      <c r="W65" s="19">
        <v>6.0</v>
      </c>
      <c r="X65" s="13">
        <f t="shared" ref="X65:X72" si="18">SUM(E65:W65)</f>
        <v>74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17.0</v>
      </c>
      <c r="F66" s="19">
        <v>23.0</v>
      </c>
      <c r="G66" s="19">
        <v>16.0</v>
      </c>
      <c r="H66" s="19">
        <v>18.0</v>
      </c>
      <c r="I66" s="19">
        <v>6.0</v>
      </c>
      <c r="J66" s="19">
        <v>15.0</v>
      </c>
      <c r="K66" s="19">
        <v>1.0</v>
      </c>
      <c r="L66" s="19">
        <v>4.0</v>
      </c>
      <c r="M66" s="19">
        <v>1.0</v>
      </c>
      <c r="N66" s="19">
        <v>2.0</v>
      </c>
      <c r="O66" s="19">
        <v>1.0</v>
      </c>
      <c r="P66" s="19">
        <v>1.0</v>
      </c>
      <c r="Q66" s="19">
        <v>3.0</v>
      </c>
      <c r="R66" s="19">
        <v>4.0</v>
      </c>
      <c r="S66" s="19">
        <v>8.0</v>
      </c>
      <c r="T66" s="19">
        <v>2.0</v>
      </c>
      <c r="U66" s="19">
        <v>4.0</v>
      </c>
      <c r="V66" s="19">
        <v>2.0</v>
      </c>
      <c r="W66" s="19">
        <v>2.0</v>
      </c>
      <c r="X66" s="13">
        <f t="shared" si="18"/>
        <v>130</v>
      </c>
    </row>
    <row r="67" ht="12.75" customHeight="1">
      <c r="A67" s="18"/>
      <c r="B67" s="55">
        <v>2.0</v>
      </c>
      <c r="C67" s="50" t="s">
        <v>58</v>
      </c>
      <c r="D67" s="57"/>
      <c r="E67" s="19">
        <v>0.0</v>
      </c>
      <c r="F67" s="19">
        <v>2.0</v>
      </c>
      <c r="G67" s="19">
        <v>2.0</v>
      </c>
      <c r="H67" s="19">
        <v>0.0</v>
      </c>
      <c r="I67" s="19">
        <v>0.0</v>
      </c>
      <c r="J67" s="19">
        <v>1.0</v>
      </c>
      <c r="K67" s="19">
        <v>30.0</v>
      </c>
      <c r="L67" s="19">
        <v>0.0</v>
      </c>
      <c r="M67" s="19">
        <v>2.0</v>
      </c>
      <c r="N67" s="19">
        <v>27.0</v>
      </c>
      <c r="O67" s="19">
        <v>1.0</v>
      </c>
      <c r="P67" s="19">
        <v>2.0</v>
      </c>
      <c r="Q67" s="19">
        <v>1.0</v>
      </c>
      <c r="R67" s="19">
        <v>1.0</v>
      </c>
      <c r="S67" s="19">
        <v>1.0</v>
      </c>
      <c r="T67" s="19">
        <v>1.0</v>
      </c>
      <c r="U67" s="19">
        <v>2.0</v>
      </c>
      <c r="V67" s="19">
        <v>1.0</v>
      </c>
      <c r="W67" s="19">
        <v>1.0</v>
      </c>
      <c r="X67" s="13">
        <f t="shared" si="18"/>
        <v>75</v>
      </c>
    </row>
    <row r="68" ht="12.75" customHeight="1">
      <c r="A68" s="18"/>
      <c r="B68" s="55">
        <v>3.0</v>
      </c>
      <c r="C68" s="50" t="s">
        <v>59</v>
      </c>
      <c r="D68" s="57"/>
      <c r="E68" s="19">
        <v>1.0</v>
      </c>
      <c r="F68" s="19">
        <v>3.0</v>
      </c>
      <c r="G68" s="19">
        <v>4.0</v>
      </c>
      <c r="H68" s="19">
        <v>2.0</v>
      </c>
      <c r="I68" s="19">
        <v>37.0</v>
      </c>
      <c r="J68" s="19">
        <v>27.0</v>
      </c>
      <c r="K68" s="19">
        <v>12.0</v>
      </c>
      <c r="L68" s="19">
        <v>5.0</v>
      </c>
      <c r="M68" s="19">
        <v>66.0</v>
      </c>
      <c r="N68" s="19">
        <v>3.0</v>
      </c>
      <c r="O68" s="19">
        <v>4.0</v>
      </c>
      <c r="P68" s="19">
        <v>1.0</v>
      </c>
      <c r="Q68" s="19">
        <v>0.0</v>
      </c>
      <c r="R68" s="19">
        <v>2.0</v>
      </c>
      <c r="S68" s="19">
        <v>1.0</v>
      </c>
      <c r="T68" s="19">
        <v>1.0</v>
      </c>
      <c r="U68" s="19">
        <v>0.0</v>
      </c>
      <c r="V68" s="19">
        <v>2.0</v>
      </c>
      <c r="W68" s="19">
        <v>2.0</v>
      </c>
      <c r="X68" s="13">
        <f t="shared" si="18"/>
        <v>173</v>
      </c>
    </row>
    <row r="69" ht="12.75" customHeight="1">
      <c r="A69" s="18"/>
      <c r="B69" s="55">
        <v>4.0</v>
      </c>
      <c r="C69" s="50" t="s">
        <v>60</v>
      </c>
      <c r="D69" s="57"/>
      <c r="E69" s="19">
        <v>1.0</v>
      </c>
      <c r="F69" s="19">
        <v>0.0</v>
      </c>
      <c r="G69" s="19">
        <v>2.0</v>
      </c>
      <c r="H69" s="19">
        <v>1.0</v>
      </c>
      <c r="I69" s="19">
        <v>2.0</v>
      </c>
      <c r="J69" s="19">
        <v>0.0</v>
      </c>
      <c r="K69" s="19">
        <v>1.0</v>
      </c>
      <c r="L69" s="19">
        <v>0.0</v>
      </c>
      <c r="M69" s="19">
        <v>0.0</v>
      </c>
      <c r="N69" s="19">
        <v>3.0</v>
      </c>
      <c r="O69" s="19">
        <v>1.0</v>
      </c>
      <c r="P69" s="19">
        <v>1.0</v>
      </c>
      <c r="Q69" s="19">
        <v>2.0</v>
      </c>
      <c r="R69" s="19">
        <v>2.0</v>
      </c>
      <c r="S69" s="19">
        <v>2.0</v>
      </c>
      <c r="T69" s="19">
        <v>1.0</v>
      </c>
      <c r="U69" s="19">
        <v>0.0</v>
      </c>
      <c r="V69" s="19">
        <v>1.0</v>
      </c>
      <c r="W69" s="19">
        <v>1.0</v>
      </c>
      <c r="X69" s="13">
        <f t="shared" si="18"/>
        <v>21</v>
      </c>
    </row>
    <row r="70" ht="12.75" customHeight="1">
      <c r="A70" s="18"/>
      <c r="B70" s="55">
        <v>5.0</v>
      </c>
      <c r="C70" s="50" t="s">
        <v>61</v>
      </c>
      <c r="D70" s="57"/>
      <c r="E70" s="19">
        <v>2.0</v>
      </c>
      <c r="F70" s="19">
        <v>0.0</v>
      </c>
      <c r="G70" s="19">
        <v>0.0</v>
      </c>
      <c r="H70" s="19">
        <v>2.0</v>
      </c>
      <c r="I70" s="19">
        <v>3.0</v>
      </c>
      <c r="J70" s="19">
        <v>1.0</v>
      </c>
      <c r="K70" s="19">
        <v>3.0</v>
      </c>
      <c r="L70" s="19">
        <v>2.0</v>
      </c>
      <c r="M70" s="19">
        <v>12.0</v>
      </c>
      <c r="N70" s="19">
        <v>7.0</v>
      </c>
      <c r="O70" s="19">
        <v>0.0</v>
      </c>
      <c r="P70" s="19">
        <v>1.0</v>
      </c>
      <c r="Q70" s="19">
        <v>1.0</v>
      </c>
      <c r="R70" s="19">
        <v>1.0</v>
      </c>
      <c r="S70" s="19">
        <v>3.0</v>
      </c>
      <c r="T70" s="19">
        <v>0.0</v>
      </c>
      <c r="U70" s="19">
        <v>0.0</v>
      </c>
      <c r="V70" s="19">
        <v>2.0</v>
      </c>
      <c r="W70" s="19">
        <v>1.0</v>
      </c>
      <c r="X70" s="13">
        <f t="shared" si="18"/>
        <v>41</v>
      </c>
    </row>
    <row r="71" ht="12.75" customHeight="1">
      <c r="A71" s="18"/>
      <c r="B71" s="55">
        <v>6.0</v>
      </c>
      <c r="C71" s="50" t="s">
        <v>62</v>
      </c>
      <c r="D71" s="57"/>
      <c r="E71" s="19">
        <v>0.0</v>
      </c>
      <c r="F71" s="19">
        <v>1.0</v>
      </c>
      <c r="G71" s="19">
        <v>0.0</v>
      </c>
      <c r="H71" s="19">
        <v>1.0</v>
      </c>
      <c r="I71" s="19">
        <v>2.0</v>
      </c>
      <c r="J71" s="19">
        <v>0.0</v>
      </c>
      <c r="K71" s="19">
        <v>0.0</v>
      </c>
      <c r="L71" s="19">
        <v>0.0</v>
      </c>
      <c r="M71" s="19">
        <v>1.0</v>
      </c>
      <c r="N71" s="19">
        <v>0.0</v>
      </c>
      <c r="O71" s="19">
        <v>0.0</v>
      </c>
      <c r="P71" s="19">
        <v>0.0</v>
      </c>
      <c r="Q71" s="19">
        <v>1.0</v>
      </c>
      <c r="R71" s="19">
        <v>0.0</v>
      </c>
      <c r="S71" s="19">
        <v>1.0</v>
      </c>
      <c r="T71" s="19">
        <v>0.0</v>
      </c>
      <c r="U71" s="19">
        <v>0.0</v>
      </c>
      <c r="V71" s="19">
        <v>0.0</v>
      </c>
      <c r="W71" s="19">
        <v>0.0</v>
      </c>
      <c r="X71" s="13">
        <f t="shared" si="18"/>
        <v>7</v>
      </c>
    </row>
    <row r="72" ht="12.75" customHeight="1">
      <c r="A72" s="18"/>
      <c r="B72" s="55">
        <v>7.0</v>
      </c>
      <c r="C72" s="50" t="s">
        <v>63</v>
      </c>
      <c r="D72" s="57"/>
      <c r="E72" s="19">
        <v>1.0</v>
      </c>
      <c r="F72" s="19">
        <v>2.0</v>
      </c>
      <c r="G72" s="19">
        <v>9.0</v>
      </c>
      <c r="H72" s="19">
        <v>12.0</v>
      </c>
      <c r="I72" s="19">
        <v>7.0</v>
      </c>
      <c r="J72" s="19">
        <v>0.0</v>
      </c>
      <c r="K72" s="19">
        <v>1.0</v>
      </c>
      <c r="L72" s="19">
        <v>0.0</v>
      </c>
      <c r="M72" s="19">
        <v>4.0</v>
      </c>
      <c r="N72" s="19">
        <v>0.0</v>
      </c>
      <c r="O72" s="19">
        <v>5.0</v>
      </c>
      <c r="P72" s="19">
        <v>2.0</v>
      </c>
      <c r="Q72" s="19">
        <v>4.0</v>
      </c>
      <c r="R72" s="19">
        <v>2.0</v>
      </c>
      <c r="S72" s="19">
        <v>1.0</v>
      </c>
      <c r="T72" s="19">
        <v>11.0</v>
      </c>
      <c r="U72" s="19">
        <v>13.0</v>
      </c>
      <c r="V72" s="19">
        <v>3.0</v>
      </c>
      <c r="W72" s="19">
        <v>0.0</v>
      </c>
      <c r="X72" s="13">
        <f t="shared" si="18"/>
        <v>77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X73" si="19">SUM(E65:E72)</f>
        <v>29</v>
      </c>
      <c r="F73" s="13">
        <f t="shared" si="19"/>
        <v>36</v>
      </c>
      <c r="G73" s="13">
        <f t="shared" si="19"/>
        <v>42</v>
      </c>
      <c r="H73" s="13">
        <f t="shared" si="19"/>
        <v>44</v>
      </c>
      <c r="I73" s="13">
        <f t="shared" si="19"/>
        <v>59</v>
      </c>
      <c r="J73" s="13">
        <f t="shared" si="19"/>
        <v>45</v>
      </c>
      <c r="K73" s="13">
        <f t="shared" si="19"/>
        <v>51</v>
      </c>
      <c r="L73" s="13">
        <f t="shared" si="19"/>
        <v>12</v>
      </c>
      <c r="M73" s="13">
        <f t="shared" si="19"/>
        <v>90</v>
      </c>
      <c r="N73" s="13">
        <f t="shared" si="19"/>
        <v>44</v>
      </c>
      <c r="O73" s="13">
        <f t="shared" si="19"/>
        <v>13</v>
      </c>
      <c r="P73" s="13">
        <f t="shared" si="19"/>
        <v>9</v>
      </c>
      <c r="Q73" s="13">
        <f t="shared" si="19"/>
        <v>15</v>
      </c>
      <c r="R73" s="13">
        <f t="shared" si="19"/>
        <v>17</v>
      </c>
      <c r="S73" s="13">
        <f t="shared" si="19"/>
        <v>25</v>
      </c>
      <c r="T73" s="13">
        <f t="shared" si="19"/>
        <v>17</v>
      </c>
      <c r="U73" s="13">
        <f t="shared" si="19"/>
        <v>20</v>
      </c>
      <c r="V73" s="13">
        <f t="shared" si="19"/>
        <v>17</v>
      </c>
      <c r="W73" s="13">
        <f t="shared" si="19"/>
        <v>13</v>
      </c>
      <c r="X73" s="13">
        <f t="shared" si="19"/>
        <v>598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1.0</v>
      </c>
      <c r="F75" s="19">
        <v>0.0</v>
      </c>
      <c r="G75" s="19">
        <v>2.0</v>
      </c>
      <c r="H75" s="19">
        <v>3.0</v>
      </c>
      <c r="I75" s="19">
        <v>3.0</v>
      </c>
      <c r="J75" s="19">
        <v>0.0</v>
      </c>
      <c r="K75" s="19">
        <v>0.0</v>
      </c>
      <c r="L75" s="19">
        <v>2.0</v>
      </c>
      <c r="M75" s="19">
        <v>1.0</v>
      </c>
      <c r="N75" s="19">
        <v>0.0</v>
      </c>
      <c r="O75" s="19">
        <v>4.0</v>
      </c>
      <c r="P75" s="19">
        <v>7.0</v>
      </c>
      <c r="Q75" s="19">
        <v>9.0</v>
      </c>
      <c r="R75" s="19">
        <v>9.0</v>
      </c>
      <c r="S75" s="19">
        <v>2.0</v>
      </c>
      <c r="T75" s="19">
        <v>2.0</v>
      </c>
      <c r="U75" s="19">
        <v>1.0</v>
      </c>
      <c r="V75" s="19">
        <v>7.0</v>
      </c>
      <c r="W75" s="19">
        <v>5.0</v>
      </c>
      <c r="X75" s="13">
        <f t="shared" ref="X75:X82" si="20">SUM(E75:W75)</f>
        <v>58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7.0</v>
      </c>
      <c r="F76" s="19">
        <v>4.0</v>
      </c>
      <c r="G76" s="19">
        <v>6.0</v>
      </c>
      <c r="H76" s="19">
        <v>29.0</v>
      </c>
      <c r="I76" s="19">
        <v>10.0</v>
      </c>
      <c r="J76" s="19">
        <v>4.0</v>
      </c>
      <c r="K76" s="19">
        <v>2.0</v>
      </c>
      <c r="L76" s="19">
        <v>1.0</v>
      </c>
      <c r="M76" s="19">
        <v>1.0</v>
      </c>
      <c r="N76" s="19">
        <v>1.0</v>
      </c>
      <c r="O76" s="19">
        <v>11.0</v>
      </c>
      <c r="P76" s="19">
        <v>14.0</v>
      </c>
      <c r="Q76" s="19">
        <v>57.0</v>
      </c>
      <c r="R76" s="19">
        <v>3.0</v>
      </c>
      <c r="S76" s="19">
        <v>2.0</v>
      </c>
      <c r="T76" s="19">
        <v>0.0</v>
      </c>
      <c r="U76" s="19">
        <v>2.0</v>
      </c>
      <c r="V76" s="19">
        <v>4.0</v>
      </c>
      <c r="W76" s="19">
        <v>1.0</v>
      </c>
      <c r="X76" s="13">
        <f t="shared" si="20"/>
        <v>159</v>
      </c>
    </row>
    <row r="77" ht="12.75" customHeight="1">
      <c r="A77" s="18"/>
      <c r="B77" s="55">
        <v>2.0</v>
      </c>
      <c r="C77" s="50" t="s">
        <v>66</v>
      </c>
      <c r="D77" s="57"/>
      <c r="E77" s="19">
        <v>16.0</v>
      </c>
      <c r="F77" s="19">
        <v>29.0</v>
      </c>
      <c r="G77" s="19">
        <v>11.0</v>
      </c>
      <c r="H77" s="19">
        <v>2.0</v>
      </c>
      <c r="I77" s="19">
        <v>19.0</v>
      </c>
      <c r="J77" s="19">
        <v>1.0</v>
      </c>
      <c r="K77" s="19">
        <v>3.0</v>
      </c>
      <c r="L77" s="19">
        <v>0.0</v>
      </c>
      <c r="M77" s="19">
        <v>5.0</v>
      </c>
      <c r="N77" s="19">
        <v>31.0</v>
      </c>
      <c r="O77" s="19">
        <v>66.0</v>
      </c>
      <c r="P77" s="19">
        <v>76.0</v>
      </c>
      <c r="Q77" s="19">
        <v>44.0</v>
      </c>
      <c r="R77" s="19">
        <v>89.0</v>
      </c>
      <c r="S77" s="19">
        <v>80.0</v>
      </c>
      <c r="T77" s="19">
        <v>73.0</v>
      </c>
      <c r="U77" s="19">
        <v>61.0</v>
      </c>
      <c r="V77" s="19">
        <v>115.0</v>
      </c>
      <c r="W77" s="19">
        <v>88.0</v>
      </c>
      <c r="X77" s="13">
        <f t="shared" si="20"/>
        <v>809</v>
      </c>
    </row>
    <row r="78" ht="12.75" customHeight="1">
      <c r="A78" s="18"/>
      <c r="B78" s="55">
        <v>3.0</v>
      </c>
      <c r="C78" s="50" t="s">
        <v>67</v>
      </c>
      <c r="D78" s="57"/>
      <c r="E78" s="19">
        <v>1.0</v>
      </c>
      <c r="F78" s="19">
        <v>1.0</v>
      </c>
      <c r="G78" s="19">
        <v>0.0</v>
      </c>
      <c r="H78" s="19">
        <v>0.0</v>
      </c>
      <c r="I78" s="19">
        <v>0.0</v>
      </c>
      <c r="J78" s="19">
        <v>0.0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1.0</v>
      </c>
      <c r="Q78" s="19">
        <v>0.0</v>
      </c>
      <c r="R78" s="19">
        <v>0.0</v>
      </c>
      <c r="S78" s="19">
        <v>0.0</v>
      </c>
      <c r="T78" s="19">
        <v>1.0</v>
      </c>
      <c r="U78" s="19">
        <v>0.0</v>
      </c>
      <c r="V78" s="19">
        <v>0.0</v>
      </c>
      <c r="W78" s="19">
        <v>0.0</v>
      </c>
      <c r="X78" s="13">
        <f t="shared" si="20"/>
        <v>4</v>
      </c>
    </row>
    <row r="79" ht="12.75" customHeight="1">
      <c r="A79" s="18"/>
      <c r="B79" s="55">
        <v>4.0</v>
      </c>
      <c r="C79" s="50" t="s">
        <v>68</v>
      </c>
      <c r="D79" s="57"/>
      <c r="E79" s="19">
        <v>0.0</v>
      </c>
      <c r="F79" s="19">
        <v>1.0</v>
      </c>
      <c r="G79" s="19">
        <v>3.0</v>
      </c>
      <c r="H79" s="19">
        <v>0.0</v>
      </c>
      <c r="I79" s="19">
        <v>1.0</v>
      </c>
      <c r="J79" s="19">
        <v>0.0</v>
      </c>
      <c r="K79" s="19">
        <v>0.0</v>
      </c>
      <c r="L79" s="19">
        <v>0.0</v>
      </c>
      <c r="M79" s="19">
        <v>0.0</v>
      </c>
      <c r="N79" s="19">
        <v>0.0</v>
      </c>
      <c r="O79" s="19">
        <v>0.0</v>
      </c>
      <c r="P79" s="19">
        <v>0.0</v>
      </c>
      <c r="Q79" s="19">
        <v>0.0</v>
      </c>
      <c r="R79" s="19">
        <v>1.0</v>
      </c>
      <c r="S79" s="19">
        <v>1.0</v>
      </c>
      <c r="T79" s="19">
        <v>1.0</v>
      </c>
      <c r="U79" s="19">
        <v>0.0</v>
      </c>
      <c r="V79" s="19">
        <v>0.0</v>
      </c>
      <c r="W79" s="19">
        <v>1.0</v>
      </c>
      <c r="X79" s="13">
        <f t="shared" si="20"/>
        <v>9</v>
      </c>
    </row>
    <row r="80" ht="12.75" customHeight="1">
      <c r="A80" s="18"/>
      <c r="B80" s="55">
        <v>5.0</v>
      </c>
      <c r="C80" s="50" t="s">
        <v>69</v>
      </c>
      <c r="D80" s="57"/>
      <c r="E80" s="19">
        <v>0.0</v>
      </c>
      <c r="F80" s="19">
        <v>0.0</v>
      </c>
      <c r="G80" s="19">
        <v>2.0</v>
      </c>
      <c r="H80" s="19">
        <v>0.0</v>
      </c>
      <c r="I80" s="19">
        <v>0.0</v>
      </c>
      <c r="J80" s="19">
        <v>0.0</v>
      </c>
      <c r="K80" s="19">
        <v>0.0</v>
      </c>
      <c r="L80" s="19">
        <v>0.0</v>
      </c>
      <c r="M80" s="19">
        <v>0.0</v>
      </c>
      <c r="N80" s="19">
        <v>0.0</v>
      </c>
      <c r="O80" s="19">
        <v>1.0</v>
      </c>
      <c r="P80" s="19">
        <v>0.0</v>
      </c>
      <c r="Q80" s="19">
        <v>0.0</v>
      </c>
      <c r="R80" s="19">
        <v>0.0</v>
      </c>
      <c r="S80" s="19">
        <v>0.0</v>
      </c>
      <c r="T80" s="19">
        <v>0.0</v>
      </c>
      <c r="U80" s="19">
        <v>0.0</v>
      </c>
      <c r="V80" s="19">
        <v>0.0</v>
      </c>
      <c r="W80" s="19">
        <v>0.0</v>
      </c>
      <c r="X80" s="13">
        <f t="shared" si="20"/>
        <v>3</v>
      </c>
    </row>
    <row r="81" ht="12.75" customHeight="1">
      <c r="A81" s="18"/>
      <c r="B81" s="55">
        <v>6.0</v>
      </c>
      <c r="C81" s="50" t="s">
        <v>70</v>
      </c>
      <c r="D81" s="57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3">
        <f t="shared" si="20"/>
        <v>0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0.0</v>
      </c>
      <c r="V82" s="19">
        <v>0.0</v>
      </c>
      <c r="W82" s="19">
        <v>0.0</v>
      </c>
      <c r="X82" s="13">
        <f t="shared" si="20"/>
        <v>0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X83" si="21">SUM(E75:E82)</f>
        <v>25</v>
      </c>
      <c r="F83" s="13">
        <f t="shared" si="21"/>
        <v>35</v>
      </c>
      <c r="G83" s="13">
        <f t="shared" si="21"/>
        <v>24</v>
      </c>
      <c r="H83" s="13">
        <f t="shared" si="21"/>
        <v>34</v>
      </c>
      <c r="I83" s="13">
        <f t="shared" si="21"/>
        <v>33</v>
      </c>
      <c r="J83" s="13">
        <f t="shared" si="21"/>
        <v>5</v>
      </c>
      <c r="K83" s="13">
        <f t="shared" si="21"/>
        <v>5</v>
      </c>
      <c r="L83" s="13">
        <f t="shared" si="21"/>
        <v>3</v>
      </c>
      <c r="M83" s="13">
        <f t="shared" si="21"/>
        <v>7</v>
      </c>
      <c r="N83" s="13">
        <f t="shared" si="21"/>
        <v>32</v>
      </c>
      <c r="O83" s="13">
        <f t="shared" si="21"/>
        <v>82</v>
      </c>
      <c r="P83" s="13">
        <f t="shared" si="21"/>
        <v>98</v>
      </c>
      <c r="Q83" s="13">
        <f t="shared" si="21"/>
        <v>110</v>
      </c>
      <c r="R83" s="13">
        <f t="shared" si="21"/>
        <v>102</v>
      </c>
      <c r="S83" s="13">
        <f t="shared" si="21"/>
        <v>85</v>
      </c>
      <c r="T83" s="13">
        <f t="shared" si="21"/>
        <v>77</v>
      </c>
      <c r="U83" s="13">
        <f t="shared" si="21"/>
        <v>64</v>
      </c>
      <c r="V83" s="13">
        <f t="shared" si="21"/>
        <v>126</v>
      </c>
      <c r="W83" s="13">
        <f t="shared" si="21"/>
        <v>95</v>
      </c>
      <c r="X83" s="13">
        <f t="shared" si="21"/>
        <v>1042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4.0</v>
      </c>
      <c r="F85" s="19">
        <v>2.0</v>
      </c>
      <c r="G85" s="19">
        <v>0.0</v>
      </c>
      <c r="H85" s="19">
        <v>1.0</v>
      </c>
      <c r="I85" s="19">
        <v>2.0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9">
        <v>1.0</v>
      </c>
      <c r="U85" s="19">
        <v>0.0</v>
      </c>
      <c r="V85" s="19">
        <v>0.0</v>
      </c>
      <c r="W85" s="19">
        <v>0.0</v>
      </c>
      <c r="X85" s="13">
        <f t="shared" ref="X85:X92" si="22">SUM(E85:W85)</f>
        <v>10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0.0</v>
      </c>
      <c r="F86" s="19">
        <v>2.0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1.0</v>
      </c>
      <c r="O86" s="19">
        <v>0.0</v>
      </c>
      <c r="P86" s="19">
        <v>1.0</v>
      </c>
      <c r="Q86" s="19">
        <v>0.0</v>
      </c>
      <c r="R86" s="19">
        <v>2.0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3">
        <f t="shared" si="22"/>
        <v>6</v>
      </c>
    </row>
    <row r="87" ht="12.75" customHeight="1">
      <c r="A87" s="18"/>
      <c r="B87" s="55">
        <v>2.0</v>
      </c>
      <c r="C87" s="50" t="s">
        <v>75</v>
      </c>
      <c r="D87" s="57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3">
        <f t="shared" si="22"/>
        <v>1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2.0</v>
      </c>
      <c r="U88" s="19">
        <v>0.0</v>
      </c>
      <c r="V88" s="19">
        <v>0.0</v>
      </c>
      <c r="W88" s="19">
        <v>0.0</v>
      </c>
      <c r="X88" s="13">
        <f t="shared" si="22"/>
        <v>2</v>
      </c>
    </row>
    <row r="89" ht="12.75" customHeight="1">
      <c r="A89" s="18"/>
      <c r="B89" s="55">
        <v>4.0</v>
      </c>
      <c r="C89" s="50" t="s">
        <v>77</v>
      </c>
      <c r="D89" s="57"/>
      <c r="E89" s="19">
        <v>0.0</v>
      </c>
      <c r="F89" s="19">
        <v>0.0</v>
      </c>
      <c r="G89" s="19">
        <v>0.0</v>
      </c>
      <c r="H89" s="19">
        <v>1.0</v>
      </c>
      <c r="I89" s="19">
        <v>0.0</v>
      </c>
      <c r="J89" s="19">
        <v>0.0</v>
      </c>
      <c r="K89" s="19">
        <v>1.0</v>
      </c>
      <c r="L89" s="19">
        <v>0.0</v>
      </c>
      <c r="M89" s="19">
        <v>0.0</v>
      </c>
      <c r="N89" s="19">
        <v>1.0</v>
      </c>
      <c r="O89" s="19">
        <v>0.0</v>
      </c>
      <c r="P89" s="19">
        <v>2.0</v>
      </c>
      <c r="Q89" s="19">
        <v>0.0</v>
      </c>
      <c r="R89" s="19">
        <v>0.0</v>
      </c>
      <c r="S89" s="19">
        <v>0.0</v>
      </c>
      <c r="T89" s="19">
        <v>0.0</v>
      </c>
      <c r="U89" s="19">
        <v>0.0</v>
      </c>
      <c r="V89" s="19">
        <v>0.0</v>
      </c>
      <c r="W89" s="19">
        <v>0.0</v>
      </c>
      <c r="X89" s="13">
        <f t="shared" si="22"/>
        <v>5</v>
      </c>
    </row>
    <row r="90" ht="12.75" customHeight="1">
      <c r="A90" s="18"/>
      <c r="B90" s="55">
        <v>5.0</v>
      </c>
      <c r="C90" s="50" t="s">
        <v>78</v>
      </c>
      <c r="D90" s="57"/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19">
        <v>2.0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0.0</v>
      </c>
      <c r="R90" s="19">
        <v>0.0</v>
      </c>
      <c r="S90" s="19">
        <v>0.0</v>
      </c>
      <c r="T90" s="19">
        <v>0.0</v>
      </c>
      <c r="U90" s="19">
        <v>0.0</v>
      </c>
      <c r="V90" s="19">
        <v>0.0</v>
      </c>
      <c r="W90" s="19">
        <v>0.0</v>
      </c>
      <c r="X90" s="13">
        <f t="shared" si="22"/>
        <v>2</v>
      </c>
    </row>
    <row r="91" ht="12.75" customHeight="1">
      <c r="A91" s="18"/>
      <c r="B91" s="55">
        <v>6.0</v>
      </c>
      <c r="C91" s="50" t="s">
        <v>79</v>
      </c>
      <c r="D91" s="57"/>
      <c r="E91" s="19">
        <v>0.0</v>
      </c>
      <c r="F91" s="19">
        <v>0.0</v>
      </c>
      <c r="G91" s="19">
        <v>0.0</v>
      </c>
      <c r="H91" s="19">
        <v>0.0</v>
      </c>
      <c r="I91" s="19">
        <v>1.0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0.0</v>
      </c>
      <c r="V91" s="19">
        <v>0.0</v>
      </c>
      <c r="W91" s="19">
        <v>0.0</v>
      </c>
      <c r="X91" s="13">
        <f t="shared" si="22"/>
        <v>1</v>
      </c>
    </row>
    <row r="92" ht="12.75" customHeight="1">
      <c r="A92" s="18"/>
      <c r="B92" s="55">
        <v>7.0</v>
      </c>
      <c r="C92" s="50" t="s">
        <v>80</v>
      </c>
      <c r="D92" s="57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3">
        <f t="shared" si="22"/>
        <v>0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X93" si="23">SUM(E85:E92)</f>
        <v>4</v>
      </c>
      <c r="F93" s="13">
        <f t="shared" si="23"/>
        <v>5</v>
      </c>
      <c r="G93" s="13">
        <f t="shared" si="23"/>
        <v>0</v>
      </c>
      <c r="H93" s="13">
        <f t="shared" si="23"/>
        <v>2</v>
      </c>
      <c r="I93" s="13">
        <f t="shared" si="23"/>
        <v>3</v>
      </c>
      <c r="J93" s="13">
        <f t="shared" si="23"/>
        <v>0</v>
      </c>
      <c r="K93" s="13">
        <f t="shared" si="23"/>
        <v>3</v>
      </c>
      <c r="L93" s="13">
        <f t="shared" si="23"/>
        <v>0</v>
      </c>
      <c r="M93" s="13">
        <f t="shared" si="23"/>
        <v>0</v>
      </c>
      <c r="N93" s="13">
        <f t="shared" si="23"/>
        <v>2</v>
      </c>
      <c r="O93" s="13">
        <f t="shared" si="23"/>
        <v>0</v>
      </c>
      <c r="P93" s="13">
        <f t="shared" si="23"/>
        <v>3</v>
      </c>
      <c r="Q93" s="13">
        <f t="shared" si="23"/>
        <v>0</v>
      </c>
      <c r="R93" s="13">
        <f t="shared" si="23"/>
        <v>2</v>
      </c>
      <c r="S93" s="13">
        <f t="shared" si="23"/>
        <v>0</v>
      </c>
      <c r="T93" s="13">
        <f t="shared" si="23"/>
        <v>3</v>
      </c>
      <c r="U93" s="13">
        <f t="shared" si="23"/>
        <v>0</v>
      </c>
      <c r="V93" s="13">
        <f t="shared" si="23"/>
        <v>0</v>
      </c>
      <c r="W93" s="13">
        <f t="shared" si="23"/>
        <v>0</v>
      </c>
      <c r="X93" s="13">
        <f t="shared" si="23"/>
        <v>27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0.0</v>
      </c>
      <c r="F95" s="19">
        <v>1.0</v>
      </c>
      <c r="G95" s="19">
        <v>2.0</v>
      </c>
      <c r="H95" s="19">
        <v>1.0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1.0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2.0</v>
      </c>
      <c r="V95" s="19">
        <v>0.0</v>
      </c>
      <c r="W95" s="19">
        <v>0.0</v>
      </c>
      <c r="X95" s="13">
        <f t="shared" ref="X95:X102" si="24">SUM(E95:W95)</f>
        <v>7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1.0</v>
      </c>
      <c r="N96" s="19">
        <v>0.0</v>
      </c>
      <c r="O96" s="19">
        <v>1.0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3">
        <f t="shared" si="24"/>
        <v>2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1.0</v>
      </c>
      <c r="P97" s="19">
        <v>0.0</v>
      </c>
      <c r="Q97" s="19">
        <v>0.0</v>
      </c>
      <c r="R97" s="19">
        <v>0.0</v>
      </c>
      <c r="S97" s="19">
        <v>1.0</v>
      </c>
      <c r="T97" s="19">
        <v>0.0</v>
      </c>
      <c r="U97" s="19">
        <v>0.0</v>
      </c>
      <c r="V97" s="19">
        <v>0.0</v>
      </c>
      <c r="W97" s="19">
        <v>0.0</v>
      </c>
      <c r="X97" s="13">
        <f t="shared" si="24"/>
        <v>2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1.0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3">
        <f t="shared" si="24"/>
        <v>1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3">
        <f t="shared" si="24"/>
        <v>0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1.0</v>
      </c>
      <c r="T100" s="19">
        <v>0.0</v>
      </c>
      <c r="U100" s="19">
        <v>0.0</v>
      </c>
      <c r="V100" s="19">
        <v>0.0</v>
      </c>
      <c r="W100" s="19">
        <v>0.0</v>
      </c>
      <c r="X100" s="13">
        <f t="shared" si="24"/>
        <v>1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3">
        <f t="shared" si="24"/>
        <v>0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9">
        <v>0.0</v>
      </c>
      <c r="W102" s="19">
        <v>0.0</v>
      </c>
      <c r="X102" s="13">
        <f t="shared" si="24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X103" si="25">SUM(E95:E102)</f>
        <v>0</v>
      </c>
      <c r="F103" s="13">
        <f t="shared" si="25"/>
        <v>1</v>
      </c>
      <c r="G103" s="13">
        <f t="shared" si="25"/>
        <v>2</v>
      </c>
      <c r="H103" s="13">
        <f t="shared" si="25"/>
        <v>1</v>
      </c>
      <c r="I103" s="13">
        <f t="shared" si="25"/>
        <v>1</v>
      </c>
      <c r="J103" s="13">
        <f t="shared" si="25"/>
        <v>0</v>
      </c>
      <c r="K103" s="13">
        <f t="shared" si="25"/>
        <v>0</v>
      </c>
      <c r="L103" s="13">
        <f t="shared" si="25"/>
        <v>0</v>
      </c>
      <c r="M103" s="13">
        <f t="shared" si="25"/>
        <v>1</v>
      </c>
      <c r="N103" s="13">
        <f t="shared" si="25"/>
        <v>0</v>
      </c>
      <c r="O103" s="13">
        <f t="shared" si="25"/>
        <v>3</v>
      </c>
      <c r="P103" s="13">
        <f t="shared" si="25"/>
        <v>0</v>
      </c>
      <c r="Q103" s="13">
        <f t="shared" si="25"/>
        <v>0</v>
      </c>
      <c r="R103" s="13">
        <f t="shared" si="25"/>
        <v>0</v>
      </c>
      <c r="S103" s="13">
        <f t="shared" si="25"/>
        <v>2</v>
      </c>
      <c r="T103" s="13">
        <f t="shared" si="25"/>
        <v>0</v>
      </c>
      <c r="U103" s="13">
        <f t="shared" si="25"/>
        <v>2</v>
      </c>
      <c r="V103" s="13">
        <f t="shared" si="25"/>
        <v>0</v>
      </c>
      <c r="W103" s="13">
        <f t="shared" si="25"/>
        <v>0</v>
      </c>
      <c r="X103" s="13">
        <f t="shared" si="25"/>
        <v>13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1.0</v>
      </c>
      <c r="F105" s="19">
        <v>0.0</v>
      </c>
      <c r="G105" s="19">
        <v>1.0</v>
      </c>
      <c r="H105" s="19">
        <v>2.0</v>
      </c>
      <c r="I105" s="19">
        <v>0.0</v>
      </c>
      <c r="J105" s="19">
        <v>1.0</v>
      </c>
      <c r="K105" s="19">
        <v>0.0</v>
      </c>
      <c r="L105" s="19">
        <v>0.0</v>
      </c>
      <c r="M105" s="19">
        <v>0.0</v>
      </c>
      <c r="N105" s="19">
        <v>4.0</v>
      </c>
      <c r="O105" s="19">
        <v>3.0</v>
      </c>
      <c r="P105" s="19">
        <v>0.0</v>
      </c>
      <c r="Q105" s="19">
        <v>2.0</v>
      </c>
      <c r="R105" s="19">
        <v>1.0</v>
      </c>
      <c r="S105" s="19">
        <v>0.0</v>
      </c>
      <c r="T105" s="19">
        <v>0.0</v>
      </c>
      <c r="U105" s="19">
        <v>4.0</v>
      </c>
      <c r="V105" s="19">
        <v>0.0</v>
      </c>
      <c r="W105" s="19">
        <v>0.0</v>
      </c>
      <c r="X105" s="13">
        <f t="shared" ref="X105:X108" si="26">SUM(E105:W105)</f>
        <v>19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0.0</v>
      </c>
      <c r="F106" s="19">
        <v>0.0</v>
      </c>
      <c r="G106" s="19">
        <v>1.0</v>
      </c>
      <c r="H106" s="19">
        <v>1.0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1.0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3">
        <f t="shared" si="26"/>
        <v>3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1.0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3">
        <f t="shared" si="26"/>
        <v>1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3">
        <f t="shared" si="26"/>
        <v>0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X109" si="27">SUM(E105:E108)</f>
        <v>1</v>
      </c>
      <c r="F109" s="13">
        <f t="shared" si="27"/>
        <v>0</v>
      </c>
      <c r="G109" s="13">
        <f t="shared" si="27"/>
        <v>2</v>
      </c>
      <c r="H109" s="13">
        <f t="shared" si="27"/>
        <v>3</v>
      </c>
      <c r="I109" s="13">
        <f t="shared" si="27"/>
        <v>0</v>
      </c>
      <c r="J109" s="13">
        <f t="shared" si="27"/>
        <v>1</v>
      </c>
      <c r="K109" s="13">
        <f t="shared" si="27"/>
        <v>0</v>
      </c>
      <c r="L109" s="13">
        <f t="shared" si="27"/>
        <v>0</v>
      </c>
      <c r="M109" s="13">
        <f t="shared" si="27"/>
        <v>0</v>
      </c>
      <c r="N109" s="13">
        <f t="shared" si="27"/>
        <v>5</v>
      </c>
      <c r="O109" s="13">
        <f t="shared" si="27"/>
        <v>4</v>
      </c>
      <c r="P109" s="13">
        <f t="shared" si="27"/>
        <v>0</v>
      </c>
      <c r="Q109" s="13">
        <f t="shared" si="27"/>
        <v>2</v>
      </c>
      <c r="R109" s="13">
        <f t="shared" si="27"/>
        <v>1</v>
      </c>
      <c r="S109" s="13">
        <f t="shared" si="27"/>
        <v>0</v>
      </c>
      <c r="T109" s="13">
        <f t="shared" si="27"/>
        <v>0</v>
      </c>
      <c r="U109" s="13">
        <f t="shared" si="27"/>
        <v>4</v>
      </c>
      <c r="V109" s="13">
        <f t="shared" si="27"/>
        <v>0</v>
      </c>
      <c r="W109" s="13">
        <f t="shared" si="27"/>
        <v>0</v>
      </c>
      <c r="X109" s="13">
        <f t="shared" si="27"/>
        <v>23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0.0</v>
      </c>
      <c r="F111" s="19">
        <v>0.0</v>
      </c>
      <c r="G111" s="19">
        <v>1.0</v>
      </c>
      <c r="H111" s="19">
        <v>2.0</v>
      </c>
      <c r="I111" s="19">
        <v>1.0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/>
      <c r="U111" s="19"/>
      <c r="V111" s="19"/>
      <c r="W111" s="19"/>
      <c r="X111" s="13">
        <f t="shared" ref="X111:X118" si="28">SUM(E111:W111)</f>
        <v>4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0.0</v>
      </c>
      <c r="F112" s="19">
        <v>0.0</v>
      </c>
      <c r="G112" s="19">
        <v>0.0</v>
      </c>
      <c r="H112" s="19">
        <v>1.0</v>
      </c>
      <c r="I112" s="19">
        <v>1.0</v>
      </c>
      <c r="J112" s="19">
        <v>0.0</v>
      </c>
      <c r="K112" s="19">
        <v>0.0</v>
      </c>
      <c r="L112" s="19">
        <v>2.0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/>
      <c r="U112" s="19"/>
      <c r="V112" s="19"/>
      <c r="W112" s="19"/>
      <c r="X112" s="13">
        <f t="shared" si="28"/>
        <v>4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0.0</v>
      </c>
      <c r="F113" s="19">
        <v>0.0</v>
      </c>
      <c r="G113" s="19">
        <v>1.0</v>
      </c>
      <c r="H113" s="19">
        <v>1.0</v>
      </c>
      <c r="I113" s="19">
        <v>1.0</v>
      </c>
      <c r="J113" s="19">
        <v>0.0</v>
      </c>
      <c r="K113" s="19">
        <v>1.0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0.0</v>
      </c>
      <c r="T113" s="19"/>
      <c r="U113" s="19"/>
      <c r="V113" s="19"/>
      <c r="W113" s="19"/>
      <c r="X113" s="13">
        <f t="shared" si="28"/>
        <v>4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/>
      <c r="U114" s="19"/>
      <c r="V114" s="19"/>
      <c r="W114" s="19"/>
      <c r="X114" s="13">
        <f t="shared" si="28"/>
        <v>0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0.0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1.0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0.0</v>
      </c>
      <c r="S115" s="19">
        <v>0.0</v>
      </c>
      <c r="T115" s="19"/>
      <c r="U115" s="19"/>
      <c r="V115" s="19"/>
      <c r="W115" s="19"/>
      <c r="X115" s="13">
        <f t="shared" si="28"/>
        <v>1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1.0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9">
        <v>0.0</v>
      </c>
      <c r="T116" s="19"/>
      <c r="U116" s="19"/>
      <c r="V116" s="19"/>
      <c r="W116" s="19"/>
      <c r="X116" s="13">
        <f t="shared" si="28"/>
        <v>1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/>
      <c r="U117" s="19"/>
      <c r="V117" s="19"/>
      <c r="W117" s="19"/>
      <c r="X117" s="13">
        <f t="shared" si="28"/>
        <v>0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/>
      <c r="U118" s="19"/>
      <c r="V118" s="19"/>
      <c r="W118" s="19"/>
      <c r="X118" s="13">
        <f t="shared" si="28"/>
        <v>0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X119" si="29">SUM(E111:E118)</f>
        <v>0</v>
      </c>
      <c r="F119" s="13">
        <f t="shared" si="29"/>
        <v>0</v>
      </c>
      <c r="G119" s="13">
        <f t="shared" si="29"/>
        <v>3</v>
      </c>
      <c r="H119" s="13">
        <f t="shared" si="29"/>
        <v>4</v>
      </c>
      <c r="I119" s="13">
        <f t="shared" si="29"/>
        <v>3</v>
      </c>
      <c r="J119" s="13">
        <f t="shared" si="29"/>
        <v>0</v>
      </c>
      <c r="K119" s="13">
        <f t="shared" si="29"/>
        <v>2</v>
      </c>
      <c r="L119" s="13">
        <f t="shared" si="29"/>
        <v>2</v>
      </c>
      <c r="M119" s="13">
        <f t="shared" si="29"/>
        <v>0</v>
      </c>
      <c r="N119" s="13">
        <f t="shared" si="29"/>
        <v>0</v>
      </c>
      <c r="O119" s="13">
        <f t="shared" si="29"/>
        <v>0</v>
      </c>
      <c r="P119" s="13">
        <f t="shared" si="29"/>
        <v>0</v>
      </c>
      <c r="Q119" s="13">
        <f t="shared" si="29"/>
        <v>0</v>
      </c>
      <c r="R119" s="13">
        <f t="shared" si="29"/>
        <v>0</v>
      </c>
      <c r="S119" s="13">
        <f t="shared" si="29"/>
        <v>0</v>
      </c>
      <c r="T119" s="13">
        <f t="shared" si="29"/>
        <v>0</v>
      </c>
      <c r="U119" s="13">
        <f t="shared" si="29"/>
        <v>0</v>
      </c>
      <c r="V119" s="13">
        <f t="shared" si="29"/>
        <v>0</v>
      </c>
      <c r="W119" s="13">
        <f t="shared" si="29"/>
        <v>0</v>
      </c>
      <c r="X119" s="13">
        <f t="shared" si="29"/>
        <v>14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0.0</v>
      </c>
      <c r="F121" s="19">
        <v>0.0</v>
      </c>
      <c r="G121" s="19">
        <v>0.0</v>
      </c>
      <c r="H121" s="19">
        <v>1.0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/>
      <c r="U121" s="19"/>
      <c r="V121" s="19"/>
      <c r="W121" s="19"/>
      <c r="X121" s="13">
        <f t="shared" ref="X121:X128" si="30">SUM(E121:W121)</f>
        <v>1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/>
      <c r="U122" s="19"/>
      <c r="V122" s="19"/>
      <c r="W122" s="19"/>
      <c r="X122" s="13">
        <f t="shared" si="30"/>
        <v>0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/>
      <c r="U123" s="19"/>
      <c r="V123" s="19"/>
      <c r="W123" s="19"/>
      <c r="X123" s="13">
        <f t="shared" si="30"/>
        <v>0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/>
      <c r="U124" s="19"/>
      <c r="V124" s="19"/>
      <c r="W124" s="19"/>
      <c r="X124" s="13">
        <f t="shared" si="30"/>
        <v>0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9">
        <v>0.0</v>
      </c>
      <c r="T125" s="19"/>
      <c r="U125" s="19"/>
      <c r="V125" s="19"/>
      <c r="W125" s="19"/>
      <c r="X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0.0</v>
      </c>
      <c r="T126" s="19"/>
      <c r="U126" s="19"/>
      <c r="V126" s="19"/>
      <c r="W126" s="19"/>
      <c r="X126" s="13">
        <f t="shared" si="30"/>
        <v>0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9">
        <v>0.0</v>
      </c>
      <c r="T127" s="19"/>
      <c r="U127" s="19"/>
      <c r="V127" s="19"/>
      <c r="W127" s="19"/>
      <c r="X127" s="13">
        <f t="shared" si="30"/>
        <v>0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9">
        <v>0.0</v>
      </c>
      <c r="T128" s="19"/>
      <c r="U128" s="19"/>
      <c r="V128" s="19"/>
      <c r="W128" s="19"/>
      <c r="X128" s="13">
        <f t="shared" si="30"/>
        <v>0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X129" si="31">SUM(E121:E128)</f>
        <v>0</v>
      </c>
      <c r="F129" s="13">
        <f t="shared" si="31"/>
        <v>0</v>
      </c>
      <c r="G129" s="13">
        <f t="shared" si="31"/>
        <v>0</v>
      </c>
      <c r="H129" s="13">
        <f t="shared" si="31"/>
        <v>1</v>
      </c>
      <c r="I129" s="13">
        <f t="shared" si="31"/>
        <v>0</v>
      </c>
      <c r="J129" s="13">
        <f t="shared" si="31"/>
        <v>0</v>
      </c>
      <c r="K129" s="13">
        <f t="shared" si="31"/>
        <v>0</v>
      </c>
      <c r="L129" s="13">
        <f t="shared" si="31"/>
        <v>0</v>
      </c>
      <c r="M129" s="13">
        <f t="shared" si="31"/>
        <v>0</v>
      </c>
      <c r="N129" s="13">
        <f t="shared" si="31"/>
        <v>0</v>
      </c>
      <c r="O129" s="13">
        <f t="shared" si="31"/>
        <v>0</v>
      </c>
      <c r="P129" s="13">
        <f t="shared" si="31"/>
        <v>0</v>
      </c>
      <c r="Q129" s="13">
        <f t="shared" si="31"/>
        <v>0</v>
      </c>
      <c r="R129" s="13">
        <f t="shared" si="31"/>
        <v>0</v>
      </c>
      <c r="S129" s="13">
        <f t="shared" si="31"/>
        <v>0</v>
      </c>
      <c r="T129" s="13">
        <f t="shared" si="31"/>
        <v>0</v>
      </c>
      <c r="U129" s="13">
        <f t="shared" si="31"/>
        <v>0</v>
      </c>
      <c r="V129" s="13">
        <f t="shared" si="31"/>
        <v>0</v>
      </c>
      <c r="W129" s="13">
        <f t="shared" si="31"/>
        <v>0</v>
      </c>
      <c r="X129" s="13">
        <f t="shared" si="31"/>
        <v>1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1.0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/>
      <c r="U131" s="19"/>
      <c r="V131" s="19"/>
      <c r="W131" s="19"/>
      <c r="X131" s="13">
        <f t="shared" ref="X131:X135" si="32">SUM(E131:W131)</f>
        <v>1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0.0</v>
      </c>
      <c r="F132" s="19">
        <v>0.0</v>
      </c>
      <c r="G132" s="19">
        <v>0.0</v>
      </c>
      <c r="H132" s="19">
        <v>1.0</v>
      </c>
      <c r="I132" s="19">
        <v>2.0</v>
      </c>
      <c r="J132" s="19">
        <v>0.0</v>
      </c>
      <c r="K132" s="19">
        <v>1.0</v>
      </c>
      <c r="L132" s="19">
        <v>0.0</v>
      </c>
      <c r="M132" s="19">
        <v>0.0</v>
      </c>
      <c r="N132" s="19">
        <v>1.0</v>
      </c>
      <c r="O132" s="19">
        <v>1.0</v>
      </c>
      <c r="P132" s="19">
        <v>0.0</v>
      </c>
      <c r="Q132" s="19">
        <v>1.0</v>
      </c>
      <c r="R132" s="19">
        <v>0.0</v>
      </c>
      <c r="S132" s="19">
        <v>0.0</v>
      </c>
      <c r="T132" s="19"/>
      <c r="U132" s="19"/>
      <c r="V132" s="19"/>
      <c r="W132" s="19"/>
      <c r="X132" s="13">
        <f t="shared" si="32"/>
        <v>7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1.0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1.0</v>
      </c>
      <c r="N133" s="19">
        <v>0.0</v>
      </c>
      <c r="O133" s="19">
        <v>0.0</v>
      </c>
      <c r="P133" s="19">
        <v>1.0</v>
      </c>
      <c r="Q133" s="19">
        <v>0.0</v>
      </c>
      <c r="R133" s="19">
        <v>0.0</v>
      </c>
      <c r="S133" s="19">
        <v>0.0</v>
      </c>
      <c r="T133" s="19"/>
      <c r="U133" s="19"/>
      <c r="V133" s="19"/>
      <c r="W133" s="19"/>
      <c r="X133" s="13">
        <f t="shared" si="32"/>
        <v>4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0.0</v>
      </c>
      <c r="H134" s="19">
        <v>0.0</v>
      </c>
      <c r="I134" s="19">
        <v>1.0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/>
      <c r="U134" s="19"/>
      <c r="V134" s="19"/>
      <c r="W134" s="19"/>
      <c r="X134" s="13">
        <f t="shared" si="32"/>
        <v>1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1.0</v>
      </c>
      <c r="P135" s="19">
        <v>0.0</v>
      </c>
      <c r="Q135" s="19">
        <v>0.0</v>
      </c>
      <c r="R135" s="19">
        <v>2.0</v>
      </c>
      <c r="S135" s="19">
        <v>0.0</v>
      </c>
      <c r="T135" s="19"/>
      <c r="U135" s="19"/>
      <c r="V135" s="19"/>
      <c r="W135" s="19"/>
      <c r="X135" s="13">
        <f t="shared" si="32"/>
        <v>3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X136" si="33">SUM(E131:E135)</f>
        <v>0</v>
      </c>
      <c r="F136" s="13">
        <f t="shared" si="33"/>
        <v>1</v>
      </c>
      <c r="G136" s="13">
        <f t="shared" si="33"/>
        <v>0</v>
      </c>
      <c r="H136" s="13">
        <f t="shared" si="33"/>
        <v>1</v>
      </c>
      <c r="I136" s="13">
        <f t="shared" si="33"/>
        <v>3</v>
      </c>
      <c r="J136" s="13">
        <f t="shared" si="33"/>
        <v>1</v>
      </c>
      <c r="K136" s="13">
        <f t="shared" si="33"/>
        <v>2</v>
      </c>
      <c r="L136" s="13">
        <f t="shared" si="33"/>
        <v>0</v>
      </c>
      <c r="M136" s="13">
        <f t="shared" si="33"/>
        <v>1</v>
      </c>
      <c r="N136" s="13">
        <f t="shared" si="33"/>
        <v>1</v>
      </c>
      <c r="O136" s="13">
        <f t="shared" si="33"/>
        <v>2</v>
      </c>
      <c r="P136" s="13">
        <f t="shared" si="33"/>
        <v>1</v>
      </c>
      <c r="Q136" s="13">
        <f t="shared" si="33"/>
        <v>1</v>
      </c>
      <c r="R136" s="13">
        <f t="shared" si="33"/>
        <v>2</v>
      </c>
      <c r="S136" s="13">
        <f t="shared" si="33"/>
        <v>0</v>
      </c>
      <c r="T136" s="13">
        <f t="shared" si="33"/>
        <v>0</v>
      </c>
      <c r="U136" s="13">
        <f t="shared" si="33"/>
        <v>0</v>
      </c>
      <c r="V136" s="13">
        <f t="shared" si="33"/>
        <v>0</v>
      </c>
      <c r="W136" s="13">
        <f t="shared" si="33"/>
        <v>0</v>
      </c>
      <c r="X136" s="13">
        <f t="shared" si="33"/>
        <v>16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1.0</v>
      </c>
      <c r="O138" s="19">
        <v>1.0</v>
      </c>
      <c r="P138" s="19">
        <v>1.0</v>
      </c>
      <c r="Q138" s="19">
        <v>0.0</v>
      </c>
      <c r="R138" s="19">
        <v>0.0</v>
      </c>
      <c r="S138" s="19">
        <v>0.0</v>
      </c>
      <c r="T138" s="19">
        <v>0.0</v>
      </c>
      <c r="U138" s="19">
        <v>1.0</v>
      </c>
      <c r="V138" s="19">
        <v>0.0</v>
      </c>
      <c r="W138" s="19">
        <v>0.0</v>
      </c>
      <c r="X138" s="13">
        <f t="shared" ref="X138:X145" si="34">SUM(E138:W138)</f>
        <v>4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3">
        <f t="shared" si="34"/>
        <v>0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0.0</v>
      </c>
      <c r="H140" s="19">
        <v>1.0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1.0</v>
      </c>
      <c r="P140" s="19">
        <v>1.0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3">
        <f t="shared" si="34"/>
        <v>3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3">
        <f t="shared" si="34"/>
        <v>0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3">
        <f t="shared" si="34"/>
        <v>0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3">
        <f t="shared" si="34"/>
        <v>0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3">
        <f t="shared" si="34"/>
        <v>0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X146" si="35">SUM(E138:E145)</f>
        <v>0</v>
      </c>
      <c r="F146" s="13">
        <f t="shared" si="35"/>
        <v>0</v>
      </c>
      <c r="G146" s="13">
        <f t="shared" si="35"/>
        <v>0</v>
      </c>
      <c r="H146" s="13">
        <f t="shared" si="35"/>
        <v>1</v>
      </c>
      <c r="I146" s="13">
        <f t="shared" si="35"/>
        <v>0</v>
      </c>
      <c r="J146" s="13">
        <f t="shared" si="35"/>
        <v>0</v>
      </c>
      <c r="K146" s="13">
        <f t="shared" si="35"/>
        <v>0</v>
      </c>
      <c r="L146" s="13">
        <f t="shared" si="35"/>
        <v>0</v>
      </c>
      <c r="M146" s="13">
        <f t="shared" si="35"/>
        <v>0</v>
      </c>
      <c r="N146" s="13">
        <f t="shared" si="35"/>
        <v>1</v>
      </c>
      <c r="O146" s="13">
        <f t="shared" si="35"/>
        <v>2</v>
      </c>
      <c r="P146" s="13">
        <f t="shared" si="35"/>
        <v>2</v>
      </c>
      <c r="Q146" s="13">
        <f t="shared" si="35"/>
        <v>0</v>
      </c>
      <c r="R146" s="13">
        <f t="shared" si="35"/>
        <v>0</v>
      </c>
      <c r="S146" s="13">
        <f t="shared" si="35"/>
        <v>0</v>
      </c>
      <c r="T146" s="13">
        <f t="shared" si="35"/>
        <v>0</v>
      </c>
      <c r="U146" s="13">
        <f t="shared" si="35"/>
        <v>1</v>
      </c>
      <c r="V146" s="13">
        <f t="shared" si="35"/>
        <v>0</v>
      </c>
      <c r="W146" s="13">
        <f t="shared" si="35"/>
        <v>0</v>
      </c>
      <c r="X146" s="13">
        <f t="shared" si="35"/>
        <v>7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0.0</v>
      </c>
      <c r="F148" s="19">
        <v>1.0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3">
        <f t="shared" ref="X148:X155" si="36">SUM(E148:W148)</f>
        <v>1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0.0</v>
      </c>
      <c r="F149" s="19">
        <v>2.0</v>
      </c>
      <c r="G149" s="19">
        <v>0.0</v>
      </c>
      <c r="H149" s="19">
        <v>0.0</v>
      </c>
      <c r="I149" s="19">
        <v>0.0</v>
      </c>
      <c r="J149" s="19">
        <v>0.0</v>
      </c>
      <c r="K149" s="19">
        <v>0.0</v>
      </c>
      <c r="L149" s="19">
        <v>0.0</v>
      </c>
      <c r="M149" s="19">
        <v>0.0</v>
      </c>
      <c r="N149" s="19">
        <v>0.0</v>
      </c>
      <c r="O149" s="19">
        <v>0.0</v>
      </c>
      <c r="P149" s="19">
        <v>0.0</v>
      </c>
      <c r="Q149" s="19">
        <v>0.0</v>
      </c>
      <c r="R149" s="19">
        <v>0.0</v>
      </c>
      <c r="S149" s="19">
        <v>0.0</v>
      </c>
      <c r="T149" s="19">
        <v>0.0</v>
      </c>
      <c r="U149" s="19">
        <v>0.0</v>
      </c>
      <c r="V149" s="19">
        <v>0.0</v>
      </c>
      <c r="W149" s="19">
        <v>1.0</v>
      </c>
      <c r="X149" s="13">
        <f t="shared" si="36"/>
        <v>3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0.0</v>
      </c>
      <c r="F150" s="19">
        <v>1.0</v>
      </c>
      <c r="G150" s="19">
        <v>0.0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0.0</v>
      </c>
      <c r="O150" s="19">
        <v>0.0</v>
      </c>
      <c r="P150" s="19">
        <v>0.0</v>
      </c>
      <c r="Q150" s="19">
        <v>0.0</v>
      </c>
      <c r="R150" s="19">
        <v>0.0</v>
      </c>
      <c r="S150" s="19">
        <v>0.0</v>
      </c>
      <c r="T150" s="19">
        <v>0.0</v>
      </c>
      <c r="U150" s="19">
        <v>0.0</v>
      </c>
      <c r="V150" s="19">
        <v>0.0</v>
      </c>
      <c r="W150" s="19">
        <v>0.0</v>
      </c>
      <c r="X150" s="13">
        <f t="shared" si="36"/>
        <v>1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0.0</v>
      </c>
      <c r="H151" s="19">
        <v>1.0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3">
        <f t="shared" si="36"/>
        <v>1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0.0</v>
      </c>
      <c r="G152" s="19">
        <v>0.0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9">
        <v>0.0</v>
      </c>
      <c r="S152" s="19">
        <v>0.0</v>
      </c>
      <c r="T152" s="19">
        <v>0.0</v>
      </c>
      <c r="U152" s="19">
        <v>0.0</v>
      </c>
      <c r="V152" s="19">
        <v>0.0</v>
      </c>
      <c r="W152" s="19">
        <v>0.0</v>
      </c>
      <c r="X152" s="13">
        <f t="shared" si="36"/>
        <v>0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1.0</v>
      </c>
      <c r="K153" s="19">
        <v>0.0</v>
      </c>
      <c r="L153" s="19">
        <v>0.0</v>
      </c>
      <c r="M153" s="19">
        <v>0.0</v>
      </c>
      <c r="N153" s="19">
        <v>1.0</v>
      </c>
      <c r="O153" s="19">
        <v>1.0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3">
        <f t="shared" si="36"/>
        <v>3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1.0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3">
        <f t="shared" si="36"/>
        <v>1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0.0</v>
      </c>
      <c r="F155" s="19">
        <v>0.0</v>
      </c>
      <c r="G155" s="19">
        <v>0.0</v>
      </c>
      <c r="H155" s="19">
        <v>3.0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3">
        <f t="shared" si="36"/>
        <v>3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X156" si="37">SUM(E148:E155)</f>
        <v>0</v>
      </c>
      <c r="F156" s="13">
        <f t="shared" si="37"/>
        <v>4</v>
      </c>
      <c r="G156" s="13">
        <f t="shared" si="37"/>
        <v>0</v>
      </c>
      <c r="H156" s="13">
        <f t="shared" si="37"/>
        <v>4</v>
      </c>
      <c r="I156" s="13">
        <f t="shared" si="37"/>
        <v>0</v>
      </c>
      <c r="J156" s="13">
        <f t="shared" si="37"/>
        <v>1</v>
      </c>
      <c r="K156" s="13">
        <f t="shared" si="37"/>
        <v>0</v>
      </c>
      <c r="L156" s="13">
        <f t="shared" si="37"/>
        <v>0</v>
      </c>
      <c r="M156" s="13">
        <f t="shared" si="37"/>
        <v>0</v>
      </c>
      <c r="N156" s="13">
        <f t="shared" si="37"/>
        <v>1</v>
      </c>
      <c r="O156" s="13">
        <f t="shared" si="37"/>
        <v>2</v>
      </c>
      <c r="P156" s="13">
        <f t="shared" si="37"/>
        <v>0</v>
      </c>
      <c r="Q156" s="13">
        <f t="shared" si="37"/>
        <v>0</v>
      </c>
      <c r="R156" s="13">
        <f t="shared" si="37"/>
        <v>0</v>
      </c>
      <c r="S156" s="13">
        <f t="shared" si="37"/>
        <v>0</v>
      </c>
      <c r="T156" s="13">
        <f t="shared" si="37"/>
        <v>0</v>
      </c>
      <c r="U156" s="13">
        <f t="shared" si="37"/>
        <v>0</v>
      </c>
      <c r="V156" s="13">
        <f t="shared" si="37"/>
        <v>0</v>
      </c>
      <c r="W156" s="13">
        <f t="shared" si="37"/>
        <v>1</v>
      </c>
      <c r="X156" s="13">
        <f t="shared" si="37"/>
        <v>13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0.0</v>
      </c>
      <c r="G158" s="19">
        <v>1.0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9">
        <v>0.0</v>
      </c>
      <c r="S158" s="19">
        <v>1.0</v>
      </c>
      <c r="T158" s="19">
        <v>0.0</v>
      </c>
      <c r="U158" s="19">
        <v>0.0</v>
      </c>
      <c r="V158" s="19">
        <v>0.0</v>
      </c>
      <c r="W158" s="19">
        <v>0.0</v>
      </c>
      <c r="X158" s="13">
        <f t="shared" ref="X158:X165" si="38">SUM(E158:W158)</f>
        <v>2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1.0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0.0</v>
      </c>
      <c r="W159" s="19">
        <v>0.0</v>
      </c>
      <c r="X159" s="13">
        <f t="shared" si="38"/>
        <v>1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3">
        <f t="shared" si="38"/>
        <v>0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3">
        <f t="shared" si="38"/>
        <v>0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1.0</v>
      </c>
      <c r="S162" s="19">
        <v>0.0</v>
      </c>
      <c r="T162" s="19">
        <v>0.0</v>
      </c>
      <c r="U162" s="19">
        <v>0.0</v>
      </c>
      <c r="V162" s="19">
        <v>0.0</v>
      </c>
      <c r="W162" s="19">
        <v>0.0</v>
      </c>
      <c r="X162" s="13">
        <f t="shared" si="38"/>
        <v>1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  <c r="X163" s="13">
        <f t="shared" si="38"/>
        <v>0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9">
        <v>1.0</v>
      </c>
      <c r="W164" s="19">
        <v>0.0</v>
      </c>
      <c r="X164" s="13">
        <f t="shared" si="38"/>
        <v>1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3">
        <f t="shared" si="38"/>
        <v>0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X166" si="39">SUM(E158:E165)</f>
        <v>0</v>
      </c>
      <c r="F166" s="13">
        <f t="shared" si="39"/>
        <v>0</v>
      </c>
      <c r="G166" s="13">
        <f t="shared" si="39"/>
        <v>1</v>
      </c>
      <c r="H166" s="13">
        <f t="shared" si="39"/>
        <v>0</v>
      </c>
      <c r="I166" s="13">
        <f t="shared" si="39"/>
        <v>0</v>
      </c>
      <c r="J166" s="13">
        <f t="shared" si="39"/>
        <v>0</v>
      </c>
      <c r="K166" s="13">
        <f t="shared" si="39"/>
        <v>0</v>
      </c>
      <c r="L166" s="13">
        <f t="shared" si="39"/>
        <v>1</v>
      </c>
      <c r="M166" s="13">
        <f t="shared" si="39"/>
        <v>0</v>
      </c>
      <c r="N166" s="13">
        <f t="shared" si="39"/>
        <v>0</v>
      </c>
      <c r="O166" s="13">
        <f t="shared" si="39"/>
        <v>0</v>
      </c>
      <c r="P166" s="13">
        <f t="shared" si="39"/>
        <v>0</v>
      </c>
      <c r="Q166" s="13">
        <f t="shared" si="39"/>
        <v>0</v>
      </c>
      <c r="R166" s="13">
        <f t="shared" si="39"/>
        <v>1</v>
      </c>
      <c r="S166" s="13">
        <f t="shared" si="39"/>
        <v>1</v>
      </c>
      <c r="T166" s="13">
        <f t="shared" si="39"/>
        <v>0</v>
      </c>
      <c r="U166" s="13">
        <f t="shared" si="39"/>
        <v>0</v>
      </c>
      <c r="V166" s="13">
        <f t="shared" si="39"/>
        <v>1</v>
      </c>
      <c r="W166" s="13">
        <f t="shared" si="39"/>
        <v>0</v>
      </c>
      <c r="X166" s="13">
        <f t="shared" si="39"/>
        <v>5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4.0</v>
      </c>
      <c r="F168" s="19">
        <v>3.0</v>
      </c>
      <c r="G168" s="19">
        <v>6.0</v>
      </c>
      <c r="H168" s="19">
        <v>1.0</v>
      </c>
      <c r="I168" s="19">
        <v>5.0</v>
      </c>
      <c r="J168" s="19">
        <v>3.0</v>
      </c>
      <c r="K168" s="19">
        <v>2.0</v>
      </c>
      <c r="L168" s="19">
        <v>4.0</v>
      </c>
      <c r="M168" s="19">
        <v>3.0</v>
      </c>
      <c r="N168" s="19">
        <v>2.0</v>
      </c>
      <c r="O168" s="19">
        <v>3.0</v>
      </c>
      <c r="P168" s="19">
        <v>3.0</v>
      </c>
      <c r="Q168" s="19">
        <v>2.0</v>
      </c>
      <c r="R168" s="19">
        <v>4.0</v>
      </c>
      <c r="S168" s="19">
        <v>6.0</v>
      </c>
      <c r="T168" s="19">
        <v>1.0</v>
      </c>
      <c r="U168" s="19">
        <v>8.0</v>
      </c>
      <c r="V168" s="19">
        <v>2.0</v>
      </c>
      <c r="W168" s="19">
        <v>0.0</v>
      </c>
      <c r="X168" s="13">
        <f t="shared" ref="X168:X175" si="40">SUM(E168:W168)</f>
        <v>62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24.0</v>
      </c>
      <c r="F169" s="19">
        <v>29.0</v>
      </c>
      <c r="G169" s="19">
        <v>31.0</v>
      </c>
      <c r="H169" s="19">
        <v>19.0</v>
      </c>
      <c r="I169" s="19">
        <v>32.0</v>
      </c>
      <c r="J169" s="19">
        <v>25.0</v>
      </c>
      <c r="K169" s="19">
        <v>8.0</v>
      </c>
      <c r="L169" s="19">
        <v>151.0</v>
      </c>
      <c r="M169" s="19">
        <v>29.0</v>
      </c>
      <c r="N169" s="19">
        <v>31.0</v>
      </c>
      <c r="O169" s="19">
        <v>14.0</v>
      </c>
      <c r="P169" s="19">
        <v>4.0</v>
      </c>
      <c r="Q169" s="19">
        <v>8.0</v>
      </c>
      <c r="R169" s="19">
        <v>5.0</v>
      </c>
      <c r="S169" s="19">
        <v>1.0</v>
      </c>
      <c r="T169" s="19">
        <v>2.0</v>
      </c>
      <c r="U169" s="19">
        <v>19.0</v>
      </c>
      <c r="V169" s="19">
        <v>10.0</v>
      </c>
      <c r="W169" s="19">
        <v>4.0</v>
      </c>
      <c r="X169" s="13">
        <f t="shared" si="40"/>
        <v>446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1.0</v>
      </c>
      <c r="F170" s="19">
        <v>0.0</v>
      </c>
      <c r="G170" s="19">
        <v>1.0</v>
      </c>
      <c r="H170" s="19">
        <v>1.0</v>
      </c>
      <c r="I170" s="19">
        <v>1.0</v>
      </c>
      <c r="J170" s="19">
        <v>1.0</v>
      </c>
      <c r="K170" s="19">
        <v>1.0</v>
      </c>
      <c r="L170" s="19">
        <v>0.0</v>
      </c>
      <c r="M170" s="19">
        <v>0.0</v>
      </c>
      <c r="N170" s="19">
        <v>3.0</v>
      </c>
      <c r="O170" s="19">
        <v>2.0</v>
      </c>
      <c r="P170" s="19">
        <v>3.0</v>
      </c>
      <c r="Q170" s="19">
        <v>2.0</v>
      </c>
      <c r="R170" s="19">
        <v>0.0</v>
      </c>
      <c r="S170" s="19">
        <v>2.0</v>
      </c>
      <c r="T170" s="19">
        <v>1.0</v>
      </c>
      <c r="U170" s="19">
        <v>1.0</v>
      </c>
      <c r="V170" s="19">
        <v>1.0</v>
      </c>
      <c r="W170" s="19">
        <v>0.0</v>
      </c>
      <c r="X170" s="13">
        <f t="shared" si="40"/>
        <v>21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1.0</v>
      </c>
      <c r="O171" s="19">
        <v>0.0</v>
      </c>
      <c r="P171" s="19">
        <v>1.0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2.0</v>
      </c>
      <c r="W171" s="19">
        <v>0.0</v>
      </c>
      <c r="X171" s="13">
        <f t="shared" si="40"/>
        <v>4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0.0</v>
      </c>
      <c r="F172" s="19">
        <v>0.0</v>
      </c>
      <c r="G172" s="19">
        <v>0.0</v>
      </c>
      <c r="H172" s="19">
        <v>1.0</v>
      </c>
      <c r="I172" s="19">
        <v>0.0</v>
      </c>
      <c r="J172" s="19">
        <v>0.0</v>
      </c>
      <c r="K172" s="19">
        <v>1.0</v>
      </c>
      <c r="L172" s="19">
        <v>0.0</v>
      </c>
      <c r="M172" s="19">
        <v>0.0</v>
      </c>
      <c r="N172" s="19">
        <v>0.0</v>
      </c>
      <c r="O172" s="19">
        <v>1.0</v>
      </c>
      <c r="P172" s="19">
        <v>0.0</v>
      </c>
      <c r="Q172" s="19">
        <v>0.0</v>
      </c>
      <c r="R172" s="19">
        <v>1.0</v>
      </c>
      <c r="S172" s="19">
        <v>0.0</v>
      </c>
      <c r="T172" s="19">
        <v>1.0</v>
      </c>
      <c r="U172" s="19">
        <v>0.0</v>
      </c>
      <c r="V172" s="19">
        <v>0.0</v>
      </c>
      <c r="W172" s="19">
        <v>0.0</v>
      </c>
      <c r="X172" s="13">
        <f t="shared" si="40"/>
        <v>5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0.0</v>
      </c>
      <c r="F173" s="19">
        <v>0.0</v>
      </c>
      <c r="G173" s="19">
        <v>0.0</v>
      </c>
      <c r="H173" s="19">
        <v>1.0</v>
      </c>
      <c r="I173" s="19">
        <v>0.0</v>
      </c>
      <c r="J173" s="19">
        <v>0.0</v>
      </c>
      <c r="K173" s="19">
        <v>0.0</v>
      </c>
      <c r="L173" s="19">
        <v>0.0</v>
      </c>
      <c r="M173" s="19">
        <v>0.0</v>
      </c>
      <c r="N173" s="19">
        <v>0.0</v>
      </c>
      <c r="O173" s="19">
        <v>0.0</v>
      </c>
      <c r="P173" s="19">
        <v>1.0</v>
      </c>
      <c r="Q173" s="19">
        <v>0.0</v>
      </c>
      <c r="R173" s="19">
        <v>0.0</v>
      </c>
      <c r="S173" s="19">
        <v>0.0</v>
      </c>
      <c r="T173" s="19">
        <v>0.0</v>
      </c>
      <c r="U173" s="19">
        <v>0.0</v>
      </c>
      <c r="V173" s="19">
        <v>0.0</v>
      </c>
      <c r="W173" s="19">
        <v>0.0</v>
      </c>
      <c r="X173" s="13">
        <f t="shared" si="40"/>
        <v>2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0.0</v>
      </c>
      <c r="F174" s="19">
        <v>0.0</v>
      </c>
      <c r="G174" s="19">
        <v>0.0</v>
      </c>
      <c r="H174" s="19">
        <v>0.0</v>
      </c>
      <c r="I174" s="19">
        <v>1.0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2.0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3">
        <f t="shared" si="40"/>
        <v>3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0.0</v>
      </c>
      <c r="F175" s="19">
        <v>0.0</v>
      </c>
      <c r="G175" s="19">
        <v>3.0</v>
      </c>
      <c r="H175" s="19">
        <v>0.0</v>
      </c>
      <c r="I175" s="19">
        <v>1.0</v>
      </c>
      <c r="J175" s="19">
        <v>1.0</v>
      </c>
      <c r="K175" s="19">
        <v>0.0</v>
      </c>
      <c r="L175" s="19">
        <v>0.0</v>
      </c>
      <c r="M175" s="19">
        <v>0.0</v>
      </c>
      <c r="N175" s="19">
        <v>0.0</v>
      </c>
      <c r="O175" s="19">
        <v>1.0</v>
      </c>
      <c r="P175" s="19">
        <v>0.0</v>
      </c>
      <c r="Q175" s="19">
        <v>0.0</v>
      </c>
      <c r="R175" s="19">
        <v>0.0</v>
      </c>
      <c r="S175" s="19">
        <v>0.0</v>
      </c>
      <c r="T175" s="19">
        <v>0.0</v>
      </c>
      <c r="U175" s="19">
        <v>0.0</v>
      </c>
      <c r="V175" s="19">
        <v>0.0</v>
      </c>
      <c r="W175" s="19">
        <v>0.0</v>
      </c>
      <c r="X175" s="13">
        <f t="shared" si="40"/>
        <v>6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X176" si="41">SUM(E168:E175)</f>
        <v>29</v>
      </c>
      <c r="F176" s="13">
        <f t="shared" si="41"/>
        <v>32</v>
      </c>
      <c r="G176" s="13">
        <f t="shared" si="41"/>
        <v>41</v>
      </c>
      <c r="H176" s="13">
        <f t="shared" si="41"/>
        <v>23</v>
      </c>
      <c r="I176" s="13">
        <f t="shared" si="41"/>
        <v>40</v>
      </c>
      <c r="J176" s="13">
        <f t="shared" si="41"/>
        <v>30</v>
      </c>
      <c r="K176" s="13">
        <f t="shared" si="41"/>
        <v>12</v>
      </c>
      <c r="L176" s="13">
        <f t="shared" si="41"/>
        <v>155</v>
      </c>
      <c r="M176" s="13">
        <f t="shared" si="41"/>
        <v>32</v>
      </c>
      <c r="N176" s="13">
        <f t="shared" si="41"/>
        <v>37</v>
      </c>
      <c r="O176" s="13">
        <f t="shared" si="41"/>
        <v>21</v>
      </c>
      <c r="P176" s="13">
        <f t="shared" si="41"/>
        <v>14</v>
      </c>
      <c r="Q176" s="13">
        <f t="shared" si="41"/>
        <v>12</v>
      </c>
      <c r="R176" s="13">
        <f t="shared" si="41"/>
        <v>10</v>
      </c>
      <c r="S176" s="13">
        <f t="shared" si="41"/>
        <v>9</v>
      </c>
      <c r="T176" s="13">
        <f t="shared" si="41"/>
        <v>5</v>
      </c>
      <c r="U176" s="13">
        <f t="shared" si="41"/>
        <v>28</v>
      </c>
      <c r="V176" s="13">
        <f t="shared" si="41"/>
        <v>15</v>
      </c>
      <c r="W176" s="13">
        <f t="shared" si="41"/>
        <v>4</v>
      </c>
      <c r="X176" s="13">
        <f t="shared" si="41"/>
        <v>549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1.0</v>
      </c>
      <c r="F178" s="19">
        <v>1.0</v>
      </c>
      <c r="G178" s="19">
        <v>2.0</v>
      </c>
      <c r="H178" s="19">
        <v>1.0</v>
      </c>
      <c r="I178" s="19">
        <v>0.0</v>
      </c>
      <c r="J178" s="19">
        <v>3.0</v>
      </c>
      <c r="K178" s="19">
        <v>1.0</v>
      </c>
      <c r="L178" s="19">
        <v>0.0</v>
      </c>
      <c r="M178" s="19">
        <v>0.0</v>
      </c>
      <c r="N178" s="19">
        <v>0.0</v>
      </c>
      <c r="O178" s="19">
        <v>0.0</v>
      </c>
      <c r="P178" s="19">
        <v>1.0</v>
      </c>
      <c r="Q178" s="19">
        <v>0.0</v>
      </c>
      <c r="R178" s="19">
        <v>0.0</v>
      </c>
      <c r="S178" s="19">
        <v>1.0</v>
      </c>
      <c r="T178" s="19">
        <v>0.0</v>
      </c>
      <c r="U178" s="19">
        <v>1.0</v>
      </c>
      <c r="V178" s="19">
        <v>1.0</v>
      </c>
      <c r="W178" s="19">
        <v>0.0</v>
      </c>
      <c r="X178" s="13">
        <f t="shared" ref="X178:X185" si="42">SUM(E178:W178)</f>
        <v>13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0.0</v>
      </c>
      <c r="F179" s="19">
        <v>0.0</v>
      </c>
      <c r="G179" s="19">
        <v>0.0</v>
      </c>
      <c r="H179" s="19">
        <v>0.0</v>
      </c>
      <c r="I179" s="19">
        <v>4.0</v>
      </c>
      <c r="J179" s="19">
        <v>0.0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2.0</v>
      </c>
      <c r="W179" s="19">
        <v>1.0</v>
      </c>
      <c r="X179" s="13">
        <f t="shared" si="42"/>
        <v>8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0.0</v>
      </c>
      <c r="F180" s="19">
        <v>0.0</v>
      </c>
      <c r="G180" s="19">
        <v>23.0</v>
      </c>
      <c r="H180" s="19">
        <v>21.0</v>
      </c>
      <c r="I180" s="19">
        <v>13.0</v>
      </c>
      <c r="J180" s="19">
        <v>51.0</v>
      </c>
      <c r="K180" s="19">
        <v>60.0</v>
      </c>
      <c r="L180" s="19">
        <v>2.0</v>
      </c>
      <c r="M180" s="19">
        <v>2.0</v>
      </c>
      <c r="N180" s="19">
        <v>2.0</v>
      </c>
      <c r="O180" s="19">
        <v>8.0</v>
      </c>
      <c r="P180" s="19">
        <v>4.0</v>
      </c>
      <c r="Q180" s="19">
        <v>17.0</v>
      </c>
      <c r="R180" s="19">
        <v>2.0</v>
      </c>
      <c r="S180" s="19">
        <v>0.0</v>
      </c>
      <c r="T180" s="19">
        <v>29.0</v>
      </c>
      <c r="U180" s="19">
        <v>1.0</v>
      </c>
      <c r="V180" s="19">
        <v>6.0</v>
      </c>
      <c r="W180" s="19">
        <v>9.0</v>
      </c>
      <c r="X180" s="13">
        <f t="shared" si="42"/>
        <v>250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0.0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1.0</v>
      </c>
      <c r="W181" s="19">
        <v>0.0</v>
      </c>
      <c r="X181" s="13">
        <f t="shared" si="42"/>
        <v>2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3">
        <f t="shared" si="42"/>
        <v>0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1.0</v>
      </c>
      <c r="T183" s="19">
        <v>0.0</v>
      </c>
      <c r="U183" s="19">
        <v>0.0</v>
      </c>
      <c r="V183" s="19">
        <v>0.0</v>
      </c>
      <c r="W183" s="19">
        <v>0.0</v>
      </c>
      <c r="X183" s="13">
        <f t="shared" si="42"/>
        <v>1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3">
        <f t="shared" si="42"/>
        <v>0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9">
        <v>0.0</v>
      </c>
      <c r="S185" s="19">
        <v>0.0</v>
      </c>
      <c r="T185" s="19">
        <v>0.0</v>
      </c>
      <c r="U185" s="19">
        <v>0.0</v>
      </c>
      <c r="V185" s="19">
        <v>0.0</v>
      </c>
      <c r="W185" s="19">
        <v>0.0</v>
      </c>
      <c r="X185" s="13">
        <f t="shared" si="42"/>
        <v>0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X186" si="43">SUM(E178:E185)</f>
        <v>1</v>
      </c>
      <c r="F186" s="13">
        <f t="shared" si="43"/>
        <v>1</v>
      </c>
      <c r="G186" s="13">
        <f t="shared" si="43"/>
        <v>25</v>
      </c>
      <c r="H186" s="13">
        <f t="shared" si="43"/>
        <v>23</v>
      </c>
      <c r="I186" s="13">
        <f t="shared" si="43"/>
        <v>17</v>
      </c>
      <c r="J186" s="13">
        <f t="shared" si="43"/>
        <v>54</v>
      </c>
      <c r="K186" s="13">
        <f t="shared" si="43"/>
        <v>61</v>
      </c>
      <c r="L186" s="13">
        <f t="shared" si="43"/>
        <v>2</v>
      </c>
      <c r="M186" s="13">
        <f t="shared" si="43"/>
        <v>2</v>
      </c>
      <c r="N186" s="13">
        <f t="shared" si="43"/>
        <v>3</v>
      </c>
      <c r="O186" s="13">
        <f t="shared" si="43"/>
        <v>8</v>
      </c>
      <c r="P186" s="13">
        <f t="shared" si="43"/>
        <v>5</v>
      </c>
      <c r="Q186" s="13">
        <f t="shared" si="43"/>
        <v>17</v>
      </c>
      <c r="R186" s="13">
        <f t="shared" si="43"/>
        <v>2</v>
      </c>
      <c r="S186" s="13">
        <f t="shared" si="43"/>
        <v>2</v>
      </c>
      <c r="T186" s="13">
        <f t="shared" si="43"/>
        <v>29</v>
      </c>
      <c r="U186" s="13">
        <f t="shared" si="43"/>
        <v>2</v>
      </c>
      <c r="V186" s="13">
        <f t="shared" si="43"/>
        <v>10</v>
      </c>
      <c r="W186" s="13">
        <f t="shared" si="43"/>
        <v>10</v>
      </c>
      <c r="X186" s="13">
        <f t="shared" si="43"/>
        <v>274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1.0</v>
      </c>
      <c r="F188" s="19">
        <v>0.0</v>
      </c>
      <c r="G188" s="19">
        <v>0.0</v>
      </c>
      <c r="H188" s="19">
        <v>2.0</v>
      </c>
      <c r="I188" s="19">
        <v>0.0</v>
      </c>
      <c r="J188" s="19">
        <v>0.0</v>
      </c>
      <c r="K188" s="19">
        <v>0.0</v>
      </c>
      <c r="L188" s="19">
        <v>0.0</v>
      </c>
      <c r="M188" s="19">
        <v>0.0</v>
      </c>
      <c r="N188" s="19">
        <v>0.0</v>
      </c>
      <c r="O188" s="19">
        <v>0.0</v>
      </c>
      <c r="P188" s="19">
        <v>0.0</v>
      </c>
      <c r="Q188" s="19">
        <v>0.0</v>
      </c>
      <c r="R188" s="19">
        <v>0.0</v>
      </c>
      <c r="S188" s="19">
        <v>0.0</v>
      </c>
      <c r="T188" s="19">
        <v>1.0</v>
      </c>
      <c r="U188" s="19">
        <v>0.0</v>
      </c>
      <c r="V188" s="19">
        <v>0.0</v>
      </c>
      <c r="W188" s="19">
        <v>0.0</v>
      </c>
      <c r="X188" s="13">
        <f t="shared" ref="X188:X195" si="44">SUM(E188:W188)</f>
        <v>4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2.0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1.0</v>
      </c>
      <c r="L189" s="19">
        <v>0.0</v>
      </c>
      <c r="M189" s="19">
        <v>0.0</v>
      </c>
      <c r="N189" s="19">
        <v>1.0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1.0</v>
      </c>
      <c r="W189" s="19">
        <v>0.0</v>
      </c>
      <c r="X189" s="13">
        <f t="shared" si="44"/>
        <v>5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3">
        <f t="shared" si="44"/>
        <v>0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1.0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3">
        <f t="shared" si="44"/>
        <v>1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3">
        <f t="shared" si="44"/>
        <v>0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3">
        <f t="shared" si="44"/>
        <v>0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3">
        <f t="shared" si="44"/>
        <v>0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1.0</v>
      </c>
      <c r="N195" s="19">
        <v>0.0</v>
      </c>
      <c r="O195" s="19">
        <v>0.0</v>
      </c>
      <c r="P195" s="19">
        <v>0.0</v>
      </c>
      <c r="Q195" s="19">
        <v>1.0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3">
        <f t="shared" si="44"/>
        <v>2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X196" si="45">SUM(E188:E195)</f>
        <v>3</v>
      </c>
      <c r="F196" s="13">
        <f t="shared" si="45"/>
        <v>0</v>
      </c>
      <c r="G196" s="13">
        <f t="shared" si="45"/>
        <v>0</v>
      </c>
      <c r="H196" s="13">
        <f t="shared" si="45"/>
        <v>3</v>
      </c>
      <c r="I196" s="13">
        <f t="shared" si="45"/>
        <v>0</v>
      </c>
      <c r="J196" s="13">
        <f t="shared" si="45"/>
        <v>0</v>
      </c>
      <c r="K196" s="13">
        <f t="shared" si="45"/>
        <v>1</v>
      </c>
      <c r="L196" s="13">
        <f t="shared" si="45"/>
        <v>0</v>
      </c>
      <c r="M196" s="13">
        <f t="shared" si="45"/>
        <v>1</v>
      </c>
      <c r="N196" s="13">
        <f t="shared" si="45"/>
        <v>1</v>
      </c>
      <c r="O196" s="13">
        <f t="shared" si="45"/>
        <v>0</v>
      </c>
      <c r="P196" s="13">
        <f t="shared" si="45"/>
        <v>0</v>
      </c>
      <c r="Q196" s="13">
        <f t="shared" si="45"/>
        <v>1</v>
      </c>
      <c r="R196" s="13">
        <f t="shared" si="45"/>
        <v>0</v>
      </c>
      <c r="S196" s="13">
        <f t="shared" si="45"/>
        <v>0</v>
      </c>
      <c r="T196" s="13">
        <f t="shared" si="45"/>
        <v>1</v>
      </c>
      <c r="U196" s="13">
        <f t="shared" si="45"/>
        <v>0</v>
      </c>
      <c r="V196" s="13">
        <f t="shared" si="45"/>
        <v>1</v>
      </c>
      <c r="W196" s="13">
        <f t="shared" si="45"/>
        <v>0</v>
      </c>
      <c r="X196" s="13">
        <f t="shared" si="45"/>
        <v>12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5.0</v>
      </c>
      <c r="F198" s="19">
        <v>1.0</v>
      </c>
      <c r="G198" s="19">
        <v>0.0</v>
      </c>
      <c r="H198" s="19">
        <v>0.0</v>
      </c>
      <c r="I198" s="19">
        <v>1.0</v>
      </c>
      <c r="J198" s="19">
        <v>0.0</v>
      </c>
      <c r="K198" s="19">
        <v>0.0</v>
      </c>
      <c r="L198" s="19">
        <v>1.0</v>
      </c>
      <c r="M198" s="19">
        <v>0.0</v>
      </c>
      <c r="N198" s="19">
        <v>4.0</v>
      </c>
      <c r="O198" s="19">
        <v>3.0</v>
      </c>
      <c r="P198" s="19">
        <v>1.0</v>
      </c>
      <c r="Q198" s="19">
        <v>3.0</v>
      </c>
      <c r="R198" s="19">
        <v>3.0</v>
      </c>
      <c r="S198" s="19">
        <v>0.0</v>
      </c>
      <c r="T198" s="19">
        <v>1.0</v>
      </c>
      <c r="U198" s="19">
        <v>4.0</v>
      </c>
      <c r="V198" s="19">
        <v>3.0</v>
      </c>
      <c r="W198" s="19">
        <v>5.0</v>
      </c>
      <c r="X198" s="13">
        <f t="shared" ref="X198:X205" si="46">SUM(E198:W198)</f>
        <v>35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0.0</v>
      </c>
      <c r="F199" s="19">
        <v>0.0</v>
      </c>
      <c r="G199" s="19">
        <v>0.0</v>
      </c>
      <c r="H199" s="19">
        <v>0.0</v>
      </c>
      <c r="I199" s="19">
        <v>0.0</v>
      </c>
      <c r="J199" s="19">
        <v>2.0</v>
      </c>
      <c r="K199" s="19">
        <v>0.0</v>
      </c>
      <c r="L199" s="19">
        <v>0.0</v>
      </c>
      <c r="M199" s="19">
        <v>0.0</v>
      </c>
      <c r="N199" s="19">
        <v>1.0</v>
      </c>
      <c r="O199" s="19">
        <v>0.0</v>
      </c>
      <c r="P199" s="19">
        <v>0.0</v>
      </c>
      <c r="Q199" s="19">
        <v>0.0</v>
      </c>
      <c r="R199" s="19">
        <v>1.0</v>
      </c>
      <c r="S199" s="19">
        <v>0.0</v>
      </c>
      <c r="T199" s="19">
        <v>0.0</v>
      </c>
      <c r="U199" s="19">
        <v>1.0</v>
      </c>
      <c r="V199" s="19">
        <v>0.0</v>
      </c>
      <c r="W199" s="19">
        <v>1.0</v>
      </c>
      <c r="X199" s="13">
        <f t="shared" si="46"/>
        <v>6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0.0</v>
      </c>
      <c r="F200" s="19">
        <v>1.0</v>
      </c>
      <c r="G200" s="19">
        <v>0.0</v>
      </c>
      <c r="H200" s="19">
        <v>0.0</v>
      </c>
      <c r="I200" s="19">
        <v>0.0</v>
      </c>
      <c r="J200" s="19">
        <v>0.0</v>
      </c>
      <c r="K200" s="19">
        <v>2.0</v>
      </c>
      <c r="L200" s="19">
        <v>0.0</v>
      </c>
      <c r="M200" s="19">
        <v>1.0</v>
      </c>
      <c r="N200" s="19">
        <v>0.0</v>
      </c>
      <c r="O200" s="19">
        <v>0.0</v>
      </c>
      <c r="P200" s="19">
        <v>1.0</v>
      </c>
      <c r="Q200" s="19">
        <v>1.0</v>
      </c>
      <c r="R200" s="19">
        <v>2.0</v>
      </c>
      <c r="S200" s="19">
        <v>1.0</v>
      </c>
      <c r="T200" s="19">
        <v>1.0</v>
      </c>
      <c r="U200" s="19">
        <v>1.0</v>
      </c>
      <c r="V200" s="19">
        <v>0.0</v>
      </c>
      <c r="W200" s="19">
        <v>1.0</v>
      </c>
      <c r="X200" s="13">
        <f t="shared" si="46"/>
        <v>12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1.0</v>
      </c>
      <c r="G201" s="19">
        <v>0.0</v>
      </c>
      <c r="H201" s="19">
        <v>0.0</v>
      </c>
      <c r="I201" s="19">
        <v>0.0</v>
      </c>
      <c r="J201" s="19">
        <v>0.0</v>
      </c>
      <c r="K201" s="19">
        <v>0.0</v>
      </c>
      <c r="L201" s="19">
        <v>0.0</v>
      </c>
      <c r="M201" s="19">
        <v>0.0</v>
      </c>
      <c r="N201" s="19">
        <v>2.0</v>
      </c>
      <c r="O201" s="19">
        <v>0.0</v>
      </c>
      <c r="P201" s="19">
        <v>0.0</v>
      </c>
      <c r="Q201" s="19">
        <v>1.0</v>
      </c>
      <c r="R201" s="19">
        <v>0.0</v>
      </c>
      <c r="S201" s="19">
        <v>0.0</v>
      </c>
      <c r="T201" s="19">
        <v>0.0</v>
      </c>
      <c r="U201" s="19">
        <v>2.0</v>
      </c>
      <c r="V201" s="19">
        <v>1.0</v>
      </c>
      <c r="W201" s="19">
        <v>0.0</v>
      </c>
      <c r="X201" s="13">
        <f t="shared" si="46"/>
        <v>7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2.0</v>
      </c>
      <c r="F202" s="19">
        <v>0.0</v>
      </c>
      <c r="G202" s="19">
        <v>0.0</v>
      </c>
      <c r="H202" s="19">
        <v>0.0</v>
      </c>
      <c r="I202" s="19">
        <v>0.0</v>
      </c>
      <c r="J202" s="19">
        <v>0.0</v>
      </c>
      <c r="K202" s="19">
        <v>0.0</v>
      </c>
      <c r="L202" s="19">
        <v>0.0</v>
      </c>
      <c r="M202" s="19">
        <v>0.0</v>
      </c>
      <c r="N202" s="19">
        <v>1.0</v>
      </c>
      <c r="O202" s="19">
        <v>1.0</v>
      </c>
      <c r="P202" s="19">
        <v>0.0</v>
      </c>
      <c r="Q202" s="19">
        <v>0.0</v>
      </c>
      <c r="R202" s="19">
        <v>0.0</v>
      </c>
      <c r="S202" s="19">
        <v>0.0</v>
      </c>
      <c r="T202" s="19">
        <v>0.0</v>
      </c>
      <c r="U202" s="19">
        <v>0.0</v>
      </c>
      <c r="V202" s="19">
        <v>0.0</v>
      </c>
      <c r="W202" s="19">
        <v>1.0</v>
      </c>
      <c r="X202" s="13">
        <f t="shared" si="46"/>
        <v>5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9">
        <v>0.0</v>
      </c>
      <c r="T203" s="19">
        <v>0.0</v>
      </c>
      <c r="U203" s="19">
        <v>0.0</v>
      </c>
      <c r="V203" s="19">
        <v>0.0</v>
      </c>
      <c r="W203" s="19">
        <v>0.0</v>
      </c>
      <c r="X203" s="13">
        <f t="shared" si="46"/>
        <v>0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1.0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1.0</v>
      </c>
      <c r="V204" s="19">
        <v>1.0</v>
      </c>
      <c r="W204" s="19">
        <v>0.0</v>
      </c>
      <c r="X204" s="13">
        <f t="shared" si="46"/>
        <v>3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37.0</v>
      </c>
      <c r="F205" s="19">
        <v>37.0</v>
      </c>
      <c r="G205" s="19">
        <v>11.0</v>
      </c>
      <c r="H205" s="19">
        <v>20.0</v>
      </c>
      <c r="I205" s="19">
        <v>25.0</v>
      </c>
      <c r="J205" s="19">
        <v>40.0</v>
      </c>
      <c r="K205" s="19">
        <v>54.0</v>
      </c>
      <c r="L205" s="19">
        <v>9.0</v>
      </c>
      <c r="M205" s="19">
        <v>41.0</v>
      </c>
      <c r="N205" s="19">
        <v>78.0</v>
      </c>
      <c r="O205" s="19">
        <v>50.0</v>
      </c>
      <c r="P205" s="19">
        <v>30.0</v>
      </c>
      <c r="Q205" s="19">
        <v>38.0</v>
      </c>
      <c r="R205" s="19">
        <v>44.0</v>
      </c>
      <c r="S205" s="19">
        <v>38.0</v>
      </c>
      <c r="T205" s="19">
        <v>44.0</v>
      </c>
      <c r="U205" s="19">
        <v>26.0</v>
      </c>
      <c r="V205" s="19">
        <v>28.0</v>
      </c>
      <c r="W205" s="19">
        <v>24.0</v>
      </c>
      <c r="X205" s="13">
        <f t="shared" si="46"/>
        <v>674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X206" si="47">SUM(E198:E205)</f>
        <v>44</v>
      </c>
      <c r="F206" s="13">
        <f t="shared" si="47"/>
        <v>40</v>
      </c>
      <c r="G206" s="13">
        <f t="shared" si="47"/>
        <v>11</v>
      </c>
      <c r="H206" s="13">
        <f t="shared" si="47"/>
        <v>20</v>
      </c>
      <c r="I206" s="13">
        <f t="shared" si="47"/>
        <v>26</v>
      </c>
      <c r="J206" s="13">
        <f t="shared" si="47"/>
        <v>42</v>
      </c>
      <c r="K206" s="13">
        <f t="shared" si="47"/>
        <v>56</v>
      </c>
      <c r="L206" s="13">
        <f t="shared" si="47"/>
        <v>10</v>
      </c>
      <c r="M206" s="13">
        <f t="shared" si="47"/>
        <v>42</v>
      </c>
      <c r="N206" s="13">
        <f t="shared" si="47"/>
        <v>87</v>
      </c>
      <c r="O206" s="13">
        <f t="shared" si="47"/>
        <v>54</v>
      </c>
      <c r="P206" s="13">
        <f t="shared" si="47"/>
        <v>32</v>
      </c>
      <c r="Q206" s="13">
        <f t="shared" si="47"/>
        <v>43</v>
      </c>
      <c r="R206" s="13">
        <f t="shared" si="47"/>
        <v>50</v>
      </c>
      <c r="S206" s="13">
        <f t="shared" si="47"/>
        <v>39</v>
      </c>
      <c r="T206" s="13">
        <f t="shared" si="47"/>
        <v>46</v>
      </c>
      <c r="U206" s="13">
        <f t="shared" si="47"/>
        <v>35</v>
      </c>
      <c r="V206" s="13">
        <f t="shared" si="47"/>
        <v>33</v>
      </c>
      <c r="W206" s="13">
        <f t="shared" si="47"/>
        <v>32</v>
      </c>
      <c r="X206" s="13">
        <f t="shared" si="47"/>
        <v>742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1.0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3">
        <f t="shared" ref="X208:X214" si="48">SUM(E208:W208)</f>
        <v>1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0.0</v>
      </c>
      <c r="F209" s="19">
        <v>0.0</v>
      </c>
      <c r="G209" s="19">
        <v>1.0</v>
      </c>
      <c r="H209" s="19">
        <v>2.0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9">
        <v>0.0</v>
      </c>
      <c r="S209" s="19">
        <v>0.0</v>
      </c>
      <c r="T209" s="19">
        <v>0.0</v>
      </c>
      <c r="U209" s="19">
        <v>0.0</v>
      </c>
      <c r="V209" s="19">
        <v>0.0</v>
      </c>
      <c r="W209" s="19">
        <v>0.0</v>
      </c>
      <c r="X209" s="13">
        <f t="shared" si="48"/>
        <v>3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1.0</v>
      </c>
      <c r="I210" s="19">
        <v>0.0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9">
        <v>0.0</v>
      </c>
      <c r="U210" s="19">
        <v>0.0</v>
      </c>
      <c r="V210" s="19">
        <v>0.0</v>
      </c>
      <c r="W210" s="19">
        <v>0.0</v>
      </c>
      <c r="X210" s="13">
        <f t="shared" si="48"/>
        <v>1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1.0</v>
      </c>
      <c r="R211" s="19">
        <v>0.0</v>
      </c>
      <c r="S211" s="19">
        <v>0.0</v>
      </c>
      <c r="T211" s="19">
        <v>0.0</v>
      </c>
      <c r="U211" s="19">
        <v>0.0</v>
      </c>
      <c r="V211" s="19">
        <v>0.0</v>
      </c>
      <c r="W211" s="19">
        <v>0.0</v>
      </c>
      <c r="X211" s="13">
        <f t="shared" si="48"/>
        <v>1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9">
        <v>0.0</v>
      </c>
      <c r="S212" s="19">
        <v>0.0</v>
      </c>
      <c r="T212" s="19">
        <v>0.0</v>
      </c>
      <c r="U212" s="19">
        <v>0.0</v>
      </c>
      <c r="V212" s="19">
        <v>0.0</v>
      </c>
      <c r="W212" s="19">
        <v>0.0</v>
      </c>
      <c r="X212" s="13">
        <f t="shared" si="48"/>
        <v>0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9">
        <v>0.0</v>
      </c>
      <c r="S213" s="19">
        <v>0.0</v>
      </c>
      <c r="T213" s="19">
        <v>0.0</v>
      </c>
      <c r="U213" s="19">
        <v>0.0</v>
      </c>
      <c r="V213" s="19">
        <v>0.0</v>
      </c>
      <c r="W213" s="19">
        <v>0.0</v>
      </c>
      <c r="X213" s="13">
        <f t="shared" si="48"/>
        <v>0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0.0</v>
      </c>
      <c r="S214" s="19">
        <v>0.0</v>
      </c>
      <c r="T214" s="19">
        <v>0.0</v>
      </c>
      <c r="U214" s="19">
        <v>0.0</v>
      </c>
      <c r="V214" s="19">
        <v>0.0</v>
      </c>
      <c r="W214" s="19">
        <v>1.0</v>
      </c>
      <c r="X214" s="13">
        <f t="shared" si="48"/>
        <v>1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X215" si="49">SUM(E208:E214)</f>
        <v>1</v>
      </c>
      <c r="F215" s="13">
        <f t="shared" si="49"/>
        <v>0</v>
      </c>
      <c r="G215" s="13">
        <f t="shared" si="49"/>
        <v>1</v>
      </c>
      <c r="H215" s="13">
        <f t="shared" si="49"/>
        <v>3</v>
      </c>
      <c r="I215" s="13">
        <f t="shared" si="49"/>
        <v>0</v>
      </c>
      <c r="J215" s="13">
        <f t="shared" si="49"/>
        <v>0</v>
      </c>
      <c r="K215" s="13">
        <f t="shared" si="49"/>
        <v>0</v>
      </c>
      <c r="L215" s="13">
        <f t="shared" si="49"/>
        <v>0</v>
      </c>
      <c r="M215" s="13">
        <f t="shared" si="49"/>
        <v>0</v>
      </c>
      <c r="N215" s="13">
        <f t="shared" si="49"/>
        <v>0</v>
      </c>
      <c r="O215" s="13">
        <f t="shared" si="49"/>
        <v>0</v>
      </c>
      <c r="P215" s="13">
        <f t="shared" si="49"/>
        <v>0</v>
      </c>
      <c r="Q215" s="13">
        <f t="shared" si="49"/>
        <v>1</v>
      </c>
      <c r="R215" s="13">
        <f t="shared" si="49"/>
        <v>0</v>
      </c>
      <c r="S215" s="13">
        <f t="shared" si="49"/>
        <v>0</v>
      </c>
      <c r="T215" s="13">
        <f t="shared" si="49"/>
        <v>0</v>
      </c>
      <c r="U215" s="13">
        <f t="shared" si="49"/>
        <v>0</v>
      </c>
      <c r="V215" s="13">
        <f t="shared" si="49"/>
        <v>0</v>
      </c>
      <c r="W215" s="13">
        <f t="shared" si="49"/>
        <v>1</v>
      </c>
      <c r="X215" s="13">
        <f t="shared" si="49"/>
        <v>7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71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W218" si="50">E53+E63+E73+E83+E93+E103+E109+E119+E129+E136+E146+E156+E166+E176+E186+E196+E206+E215</f>
        <v>190</v>
      </c>
      <c r="F218" s="19">
        <f t="shared" si="50"/>
        <v>182</v>
      </c>
      <c r="G218" s="19">
        <f t="shared" si="50"/>
        <v>197</v>
      </c>
      <c r="H218" s="19">
        <f t="shared" si="50"/>
        <v>198</v>
      </c>
      <c r="I218" s="19">
        <f t="shared" si="50"/>
        <v>212</v>
      </c>
      <c r="J218" s="19">
        <f t="shared" si="50"/>
        <v>207</v>
      </c>
      <c r="K218" s="19">
        <f t="shared" si="50"/>
        <v>205</v>
      </c>
      <c r="L218" s="19">
        <f t="shared" si="50"/>
        <v>220</v>
      </c>
      <c r="M218" s="19">
        <f t="shared" si="50"/>
        <v>199</v>
      </c>
      <c r="N218" s="19">
        <f t="shared" si="50"/>
        <v>235</v>
      </c>
      <c r="O218" s="19">
        <f t="shared" si="50"/>
        <v>225</v>
      </c>
      <c r="P218" s="19">
        <f t="shared" si="50"/>
        <v>204</v>
      </c>
      <c r="Q218" s="19">
        <f t="shared" si="50"/>
        <v>229</v>
      </c>
      <c r="R218" s="19">
        <f t="shared" si="50"/>
        <v>202</v>
      </c>
      <c r="S218" s="19">
        <f t="shared" si="50"/>
        <v>184</v>
      </c>
      <c r="T218" s="19">
        <f t="shared" si="50"/>
        <v>196</v>
      </c>
      <c r="U218" s="19">
        <f t="shared" si="50"/>
        <v>185</v>
      </c>
      <c r="V218" s="19">
        <f t="shared" si="50"/>
        <v>215</v>
      </c>
      <c r="W218" s="19">
        <f t="shared" si="50"/>
        <v>196</v>
      </c>
      <c r="X218" s="13">
        <f t="shared" ref="X218:X220" si="51">SUM(E218:W218)</f>
        <v>3881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21.0</v>
      </c>
      <c r="F219" s="19">
        <v>12.0</v>
      </c>
      <c r="G219" s="19">
        <v>4.0</v>
      </c>
      <c r="H219" s="19">
        <v>24.0</v>
      </c>
      <c r="I219" s="19">
        <v>9.0</v>
      </c>
      <c r="J219" s="19">
        <v>6.0</v>
      </c>
      <c r="K219" s="19">
        <v>9.0</v>
      </c>
      <c r="L219" s="19">
        <v>4.0</v>
      </c>
      <c r="M219" s="19">
        <v>2.0</v>
      </c>
      <c r="N219" s="19">
        <v>3.0</v>
      </c>
      <c r="O219" s="19">
        <v>7.0</v>
      </c>
      <c r="P219" s="19">
        <v>14.0</v>
      </c>
      <c r="Q219" s="19">
        <v>11.0</v>
      </c>
      <c r="R219" s="19">
        <v>4.0</v>
      </c>
      <c r="S219" s="19">
        <v>4.0</v>
      </c>
      <c r="T219" s="19">
        <v>8.0</v>
      </c>
      <c r="U219" s="19">
        <v>9.0</v>
      </c>
      <c r="V219" s="19">
        <v>8.0</v>
      </c>
      <c r="W219" s="19">
        <v>14.0</v>
      </c>
      <c r="X219" s="13">
        <f t="shared" si="51"/>
        <v>173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W220" si="52">SUM(E218:E219)</f>
        <v>211</v>
      </c>
      <c r="F220" s="13">
        <f t="shared" si="52"/>
        <v>194</v>
      </c>
      <c r="G220" s="13">
        <f t="shared" si="52"/>
        <v>201</v>
      </c>
      <c r="H220" s="13">
        <f t="shared" si="52"/>
        <v>222</v>
      </c>
      <c r="I220" s="13">
        <f t="shared" si="52"/>
        <v>221</v>
      </c>
      <c r="J220" s="13">
        <f t="shared" si="52"/>
        <v>213</v>
      </c>
      <c r="K220" s="13">
        <f t="shared" si="52"/>
        <v>214</v>
      </c>
      <c r="L220" s="13">
        <f t="shared" si="52"/>
        <v>224</v>
      </c>
      <c r="M220" s="13">
        <f t="shared" si="52"/>
        <v>201</v>
      </c>
      <c r="N220" s="13">
        <f t="shared" si="52"/>
        <v>238</v>
      </c>
      <c r="O220" s="13">
        <f t="shared" si="52"/>
        <v>232</v>
      </c>
      <c r="P220" s="13">
        <f t="shared" si="52"/>
        <v>218</v>
      </c>
      <c r="Q220" s="13">
        <f t="shared" si="52"/>
        <v>240</v>
      </c>
      <c r="R220" s="13">
        <f t="shared" si="52"/>
        <v>206</v>
      </c>
      <c r="S220" s="13">
        <f t="shared" si="52"/>
        <v>188</v>
      </c>
      <c r="T220" s="13">
        <f t="shared" si="52"/>
        <v>204</v>
      </c>
      <c r="U220" s="13">
        <f t="shared" si="52"/>
        <v>194</v>
      </c>
      <c r="V220" s="13">
        <f t="shared" si="52"/>
        <v>223</v>
      </c>
      <c r="W220" s="13">
        <f t="shared" si="52"/>
        <v>210</v>
      </c>
      <c r="X220" s="13">
        <f t="shared" si="51"/>
        <v>4054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63:D63"/>
    <mergeCell ref="A64:E64"/>
    <mergeCell ref="C65:D65"/>
    <mergeCell ref="B73:D73"/>
    <mergeCell ref="A74:E74"/>
    <mergeCell ref="C75:D75"/>
    <mergeCell ref="B83:D83"/>
    <mergeCell ref="A84:E84"/>
    <mergeCell ref="C85:D85"/>
    <mergeCell ref="B93:D93"/>
    <mergeCell ref="A94:E94"/>
    <mergeCell ref="C95:D95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A187:E187"/>
    <mergeCell ref="C188:D188"/>
    <mergeCell ref="B217:D217"/>
    <mergeCell ref="C218:D218"/>
    <mergeCell ref="C219:D219"/>
    <mergeCell ref="C220:D220"/>
    <mergeCell ref="B196:D196"/>
    <mergeCell ref="A197:E197"/>
    <mergeCell ref="C198:D198"/>
    <mergeCell ref="B206:D206"/>
    <mergeCell ref="A207:E207"/>
    <mergeCell ref="C208:D208"/>
    <mergeCell ref="B215:D215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W42"/>
    <mergeCell ref="B43:D43"/>
    <mergeCell ref="A44:D44"/>
    <mergeCell ref="C45:D45"/>
    <mergeCell ref="B53:D53"/>
    <mergeCell ref="A54:E54"/>
    <mergeCell ref="C55:D55"/>
    <mergeCell ref="C46:D46"/>
    <mergeCell ref="C47:D47"/>
    <mergeCell ref="C48:D48"/>
    <mergeCell ref="C49:D49"/>
    <mergeCell ref="C50:D50"/>
    <mergeCell ref="C51:D51"/>
    <mergeCell ref="C52:D52"/>
  </mergeCells>
  <conditionalFormatting sqref="E14:W15 E19:W20 E22:W23 E25:W26 E33:W33 E35:W35 E39:W40 E45:W52 E55:W62 E65:W72 E75:W82 E85:W92 E95:W102 E105:W108 E111:W118 E121:W128 E131:W135 E138:W145 E148:W155 E158:W165 E168:W175 E178:W185 E188:W195 E198:W205 E208:W214 E218:W219">
    <cfRule type="containsBlanks" dxfId="0" priority="1">
      <formula>LEN(TRIM(E14))=0</formula>
    </cfRule>
  </conditionalFormatting>
  <conditionalFormatting sqref="E30:W30">
    <cfRule type="expression" dxfId="1" priority="2">
      <formula>E30&lt;&gt;E47</formula>
    </cfRule>
  </conditionalFormatting>
  <conditionalFormatting sqref="E30:W30">
    <cfRule type="expression" dxfId="1" priority="3">
      <formula>E30&lt;&gt;E34</formula>
    </cfRule>
  </conditionalFormatting>
  <conditionalFormatting sqref="E34:W34">
    <cfRule type="expression" dxfId="2" priority="4">
      <formula>E30&lt;&gt;E34</formula>
    </cfRule>
  </conditionalFormatting>
  <conditionalFormatting sqref="E34:W34">
    <cfRule type="expression" dxfId="3" priority="5">
      <formula>E30=E34</formula>
    </cfRule>
  </conditionalFormatting>
  <conditionalFormatting sqref="E34:W34">
    <cfRule type="expression" dxfId="1" priority="6">
      <formula>E34&lt;&gt;E30</formula>
    </cfRule>
  </conditionalFormatting>
  <conditionalFormatting sqref="E34:W34">
    <cfRule type="expression" dxfId="1" priority="7">
      <formula>E34&lt;&gt;E62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  <col customWidth="1" min="31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36"/>
    </row>
    <row r="14" ht="12.75" customHeight="1">
      <c r="A14" s="18"/>
      <c r="B14" s="22" t="s">
        <v>11</v>
      </c>
      <c r="C14" s="23"/>
      <c r="D14" s="19" t="s">
        <v>12</v>
      </c>
      <c r="E14" s="19">
        <v>138.0</v>
      </c>
      <c r="F14" s="19">
        <v>129.0</v>
      </c>
      <c r="G14" s="19">
        <v>132.0</v>
      </c>
      <c r="H14" s="19">
        <v>134.0</v>
      </c>
      <c r="I14" s="19">
        <v>116.0</v>
      </c>
      <c r="J14" s="19">
        <v>124.0</v>
      </c>
      <c r="K14" s="19">
        <v>130.0</v>
      </c>
      <c r="L14" s="19">
        <v>140.0</v>
      </c>
      <c r="M14" s="19">
        <v>136.0</v>
      </c>
      <c r="N14" s="19">
        <v>124.0</v>
      </c>
      <c r="O14" s="19">
        <v>126.0</v>
      </c>
      <c r="P14" s="19">
        <v>136.0</v>
      </c>
      <c r="Q14" s="19">
        <v>135.0</v>
      </c>
      <c r="R14" s="19">
        <v>132.0</v>
      </c>
      <c r="S14" s="19">
        <v>147.0</v>
      </c>
      <c r="T14" s="19">
        <v>130.0</v>
      </c>
      <c r="U14" s="19">
        <v>135.0</v>
      </c>
      <c r="V14" s="19">
        <v>149.0</v>
      </c>
      <c r="W14" s="19">
        <v>110.0</v>
      </c>
      <c r="X14" s="19">
        <v>88.0</v>
      </c>
      <c r="Y14" s="19">
        <v>127.0</v>
      </c>
      <c r="Z14" s="19">
        <v>128.0</v>
      </c>
      <c r="AA14" s="19">
        <v>142.0</v>
      </c>
      <c r="AB14" s="19">
        <v>134.0</v>
      </c>
      <c r="AC14" s="19">
        <v>127.0</v>
      </c>
      <c r="AD14" s="13">
        <f t="shared" ref="AD14:AD16" si="1">SUM(E14:AC14)</f>
        <v>3249</v>
      </c>
    </row>
    <row r="15" ht="12.75" customHeight="1">
      <c r="A15" s="18"/>
      <c r="B15" s="26"/>
      <c r="C15" s="27"/>
      <c r="D15" s="19" t="s">
        <v>13</v>
      </c>
      <c r="E15" s="19">
        <v>129.0</v>
      </c>
      <c r="F15" s="19">
        <v>136.0</v>
      </c>
      <c r="G15" s="19">
        <v>138.0</v>
      </c>
      <c r="H15" s="19">
        <v>132.0</v>
      </c>
      <c r="I15" s="19">
        <v>122.0</v>
      </c>
      <c r="J15" s="19">
        <v>126.0</v>
      </c>
      <c r="K15" s="19">
        <v>130.0</v>
      </c>
      <c r="L15" s="19">
        <v>137.0</v>
      </c>
      <c r="M15" s="19">
        <v>139.0</v>
      </c>
      <c r="N15" s="19">
        <v>139.0</v>
      </c>
      <c r="O15" s="19">
        <v>137.0</v>
      </c>
      <c r="P15" s="19">
        <v>130.0</v>
      </c>
      <c r="Q15" s="19">
        <v>129.0</v>
      </c>
      <c r="R15" s="19">
        <v>134.0</v>
      </c>
      <c r="S15" s="19">
        <v>135.0</v>
      </c>
      <c r="T15" s="19">
        <v>137.0</v>
      </c>
      <c r="U15" s="19">
        <v>136.0</v>
      </c>
      <c r="V15" s="19">
        <v>133.0</v>
      </c>
      <c r="W15" s="19">
        <v>111.0</v>
      </c>
      <c r="X15" s="19">
        <v>66.0</v>
      </c>
      <c r="Y15" s="19">
        <v>131.0</v>
      </c>
      <c r="Z15" s="19">
        <v>126.0</v>
      </c>
      <c r="AA15" s="19">
        <v>115.0</v>
      </c>
      <c r="AB15" s="19">
        <v>134.0</v>
      </c>
      <c r="AC15" s="19">
        <v>127.0</v>
      </c>
      <c r="AD15" s="13">
        <f t="shared" si="1"/>
        <v>3209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267</v>
      </c>
      <c r="F16" s="13">
        <f t="shared" si="2"/>
        <v>265</v>
      </c>
      <c r="G16" s="13">
        <f t="shared" si="2"/>
        <v>270</v>
      </c>
      <c r="H16" s="13">
        <f t="shared" si="2"/>
        <v>266</v>
      </c>
      <c r="I16" s="13">
        <f t="shared" si="2"/>
        <v>238</v>
      </c>
      <c r="J16" s="13">
        <f t="shared" si="2"/>
        <v>250</v>
      </c>
      <c r="K16" s="13">
        <f t="shared" si="2"/>
        <v>260</v>
      </c>
      <c r="L16" s="13">
        <f t="shared" si="2"/>
        <v>277</v>
      </c>
      <c r="M16" s="13">
        <f t="shared" si="2"/>
        <v>275</v>
      </c>
      <c r="N16" s="13">
        <f t="shared" si="2"/>
        <v>263</v>
      </c>
      <c r="O16" s="13">
        <f t="shared" si="2"/>
        <v>263</v>
      </c>
      <c r="P16" s="13">
        <f t="shared" si="2"/>
        <v>266</v>
      </c>
      <c r="Q16" s="13">
        <f t="shared" si="2"/>
        <v>264</v>
      </c>
      <c r="R16" s="13">
        <f t="shared" si="2"/>
        <v>266</v>
      </c>
      <c r="S16" s="13">
        <f t="shared" si="2"/>
        <v>282</v>
      </c>
      <c r="T16" s="13">
        <f t="shared" si="2"/>
        <v>267</v>
      </c>
      <c r="U16" s="13">
        <f t="shared" si="2"/>
        <v>271</v>
      </c>
      <c r="V16" s="13">
        <f t="shared" si="2"/>
        <v>282</v>
      </c>
      <c r="W16" s="13">
        <f t="shared" si="2"/>
        <v>221</v>
      </c>
      <c r="X16" s="13">
        <f t="shared" si="2"/>
        <v>154</v>
      </c>
      <c r="Y16" s="13">
        <f t="shared" si="2"/>
        <v>258</v>
      </c>
      <c r="Z16" s="13">
        <f t="shared" si="2"/>
        <v>254</v>
      </c>
      <c r="AA16" s="13">
        <f t="shared" si="2"/>
        <v>257</v>
      </c>
      <c r="AB16" s="13">
        <f t="shared" si="2"/>
        <v>268</v>
      </c>
      <c r="AC16" s="13">
        <f t="shared" si="2"/>
        <v>254</v>
      </c>
      <c r="AD16" s="13">
        <f t="shared" si="1"/>
        <v>6458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121.0</v>
      </c>
      <c r="F19" s="19">
        <v>98.0</v>
      </c>
      <c r="G19" s="19">
        <v>101.0</v>
      </c>
      <c r="H19" s="19">
        <v>107.0</v>
      </c>
      <c r="I19" s="19">
        <v>81.0</v>
      </c>
      <c r="J19" s="19">
        <v>101.0</v>
      </c>
      <c r="K19" s="19">
        <v>97.0</v>
      </c>
      <c r="L19" s="19">
        <v>123.0</v>
      </c>
      <c r="M19" s="19">
        <v>102.0</v>
      </c>
      <c r="N19" s="19">
        <v>90.0</v>
      </c>
      <c r="O19" s="19">
        <v>97.0</v>
      </c>
      <c r="P19" s="19">
        <v>110.0</v>
      </c>
      <c r="Q19" s="19">
        <v>102.0</v>
      </c>
      <c r="R19" s="19">
        <v>101.0</v>
      </c>
      <c r="S19" s="19">
        <v>103.0</v>
      </c>
      <c r="T19" s="19">
        <v>95.0</v>
      </c>
      <c r="U19" s="19">
        <v>118.0</v>
      </c>
      <c r="V19" s="19">
        <v>123.0</v>
      </c>
      <c r="W19" s="19">
        <v>88.0</v>
      </c>
      <c r="X19" s="19">
        <v>66.0</v>
      </c>
      <c r="Y19" s="19">
        <v>97.0</v>
      </c>
      <c r="Z19" s="19">
        <v>106.0</v>
      </c>
      <c r="AA19" s="19">
        <v>97.0</v>
      </c>
      <c r="AB19" s="19">
        <v>107.0</v>
      </c>
      <c r="AC19" s="19">
        <v>108.0</v>
      </c>
      <c r="AD19" s="13">
        <f t="shared" ref="AD19:AD30" si="3">SUM(E19:AC19)</f>
        <v>2539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100.0</v>
      </c>
      <c r="G20" s="19">
        <v>108.0</v>
      </c>
      <c r="H20" s="19">
        <v>118.0</v>
      </c>
      <c r="I20" s="19">
        <v>97.0</v>
      </c>
      <c r="J20" s="19">
        <v>103.0</v>
      </c>
      <c r="K20" s="19">
        <v>106.0</v>
      </c>
      <c r="L20" s="19">
        <v>119.0</v>
      </c>
      <c r="M20" s="19">
        <v>108.0</v>
      </c>
      <c r="N20" s="19">
        <v>114.0</v>
      </c>
      <c r="O20" s="19">
        <v>112.0</v>
      </c>
      <c r="P20" s="19">
        <v>104.0</v>
      </c>
      <c r="Q20" s="19">
        <v>105.0</v>
      </c>
      <c r="R20" s="19">
        <v>108.0</v>
      </c>
      <c r="S20" s="19">
        <v>110.0</v>
      </c>
      <c r="T20" s="19">
        <v>108.0</v>
      </c>
      <c r="U20" s="19">
        <v>110.0</v>
      </c>
      <c r="V20" s="19">
        <v>106.0</v>
      </c>
      <c r="W20" s="19">
        <v>93.0</v>
      </c>
      <c r="X20" s="19">
        <v>55.0</v>
      </c>
      <c r="Y20" s="19">
        <v>106.0</v>
      </c>
      <c r="Z20" s="19">
        <v>99.0</v>
      </c>
      <c r="AA20" s="19">
        <v>92.0</v>
      </c>
      <c r="AB20" s="19">
        <v>115.0</v>
      </c>
      <c r="AC20" s="19">
        <v>114.0</v>
      </c>
      <c r="AD20" s="13">
        <f t="shared" si="3"/>
        <v>2627</v>
      </c>
    </row>
    <row r="21" ht="12.75" customHeight="1">
      <c r="A21" s="35"/>
      <c r="B21" s="28"/>
      <c r="C21" s="36"/>
      <c r="D21" s="13" t="s">
        <v>14</v>
      </c>
      <c r="E21" s="13">
        <f t="shared" ref="E21:AC21" si="4">SUM(E19:E20)</f>
        <v>238</v>
      </c>
      <c r="F21" s="13">
        <f t="shared" si="4"/>
        <v>198</v>
      </c>
      <c r="G21" s="13">
        <f t="shared" si="4"/>
        <v>209</v>
      </c>
      <c r="H21" s="13">
        <f t="shared" si="4"/>
        <v>225</v>
      </c>
      <c r="I21" s="13">
        <f t="shared" si="4"/>
        <v>178</v>
      </c>
      <c r="J21" s="13">
        <f t="shared" si="4"/>
        <v>204</v>
      </c>
      <c r="K21" s="13">
        <f t="shared" si="4"/>
        <v>203</v>
      </c>
      <c r="L21" s="13">
        <f t="shared" si="4"/>
        <v>242</v>
      </c>
      <c r="M21" s="13">
        <f t="shared" si="4"/>
        <v>210</v>
      </c>
      <c r="N21" s="13">
        <f t="shared" si="4"/>
        <v>204</v>
      </c>
      <c r="O21" s="13">
        <f t="shared" si="4"/>
        <v>209</v>
      </c>
      <c r="P21" s="13">
        <f t="shared" si="4"/>
        <v>214</v>
      </c>
      <c r="Q21" s="13">
        <f t="shared" si="4"/>
        <v>207</v>
      </c>
      <c r="R21" s="13">
        <f t="shared" si="4"/>
        <v>209</v>
      </c>
      <c r="S21" s="13">
        <f t="shared" si="4"/>
        <v>213</v>
      </c>
      <c r="T21" s="13">
        <f t="shared" si="4"/>
        <v>203</v>
      </c>
      <c r="U21" s="13">
        <f t="shared" si="4"/>
        <v>228</v>
      </c>
      <c r="V21" s="13">
        <f t="shared" si="4"/>
        <v>229</v>
      </c>
      <c r="W21" s="13">
        <f t="shared" si="4"/>
        <v>181</v>
      </c>
      <c r="X21" s="13">
        <f t="shared" si="4"/>
        <v>121</v>
      </c>
      <c r="Y21" s="13">
        <f t="shared" si="4"/>
        <v>203</v>
      </c>
      <c r="Z21" s="13">
        <f t="shared" si="4"/>
        <v>205</v>
      </c>
      <c r="AA21" s="13">
        <f t="shared" si="4"/>
        <v>189</v>
      </c>
      <c r="AB21" s="13">
        <f t="shared" si="4"/>
        <v>222</v>
      </c>
      <c r="AC21" s="13">
        <f t="shared" si="4"/>
        <v>222</v>
      </c>
      <c r="AD21" s="13">
        <f t="shared" si="3"/>
        <v>5166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1.0</v>
      </c>
      <c r="AD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>
        <v>0.0</v>
      </c>
      <c r="U26" s="19">
        <v>0.0</v>
      </c>
      <c r="V26" s="19">
        <v>0.0</v>
      </c>
      <c r="W26" s="19">
        <v>2.0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3">
        <f t="shared" si="3"/>
        <v>2</v>
      </c>
    </row>
    <row r="27" ht="12.75" customHeight="1">
      <c r="A27" s="35"/>
      <c r="B27" s="28"/>
      <c r="C27" s="36"/>
      <c r="D27" s="13" t="s">
        <v>14</v>
      </c>
      <c r="E27" s="13">
        <f t="shared" ref="E27:AC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2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3"/>
        <v>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C28" si="7">SUM(E19,E22,E25)</f>
        <v>121</v>
      </c>
      <c r="F28" s="13">
        <f t="shared" si="7"/>
        <v>98</v>
      </c>
      <c r="G28" s="13">
        <f t="shared" si="7"/>
        <v>101</v>
      </c>
      <c r="H28" s="13">
        <f t="shared" si="7"/>
        <v>107</v>
      </c>
      <c r="I28" s="13">
        <f t="shared" si="7"/>
        <v>81</v>
      </c>
      <c r="J28" s="13">
        <f t="shared" si="7"/>
        <v>101</v>
      </c>
      <c r="K28" s="13">
        <f t="shared" si="7"/>
        <v>97</v>
      </c>
      <c r="L28" s="13">
        <f t="shared" si="7"/>
        <v>123</v>
      </c>
      <c r="M28" s="13">
        <f t="shared" si="7"/>
        <v>102</v>
      </c>
      <c r="N28" s="13">
        <f t="shared" si="7"/>
        <v>90</v>
      </c>
      <c r="O28" s="13">
        <f t="shared" si="7"/>
        <v>97</v>
      </c>
      <c r="P28" s="13">
        <f t="shared" si="7"/>
        <v>110</v>
      </c>
      <c r="Q28" s="13">
        <f t="shared" si="7"/>
        <v>102</v>
      </c>
      <c r="R28" s="13">
        <f t="shared" si="7"/>
        <v>101</v>
      </c>
      <c r="S28" s="13">
        <f t="shared" si="7"/>
        <v>103</v>
      </c>
      <c r="T28" s="13">
        <f t="shared" si="7"/>
        <v>95</v>
      </c>
      <c r="U28" s="13">
        <f t="shared" si="7"/>
        <v>118</v>
      </c>
      <c r="V28" s="13">
        <f t="shared" si="7"/>
        <v>123</v>
      </c>
      <c r="W28" s="13">
        <f t="shared" si="7"/>
        <v>88</v>
      </c>
      <c r="X28" s="13">
        <f t="shared" si="7"/>
        <v>66</v>
      </c>
      <c r="Y28" s="13">
        <f t="shared" si="7"/>
        <v>97</v>
      </c>
      <c r="Z28" s="13">
        <f t="shared" si="7"/>
        <v>106</v>
      </c>
      <c r="AA28" s="13">
        <f t="shared" si="7"/>
        <v>97</v>
      </c>
      <c r="AB28" s="13">
        <f t="shared" si="7"/>
        <v>107</v>
      </c>
      <c r="AC28" s="13">
        <f t="shared" si="7"/>
        <v>109</v>
      </c>
      <c r="AD28" s="13">
        <f t="shared" si="3"/>
        <v>2540</v>
      </c>
    </row>
    <row r="29" ht="12.75" customHeight="1">
      <c r="A29" s="35"/>
      <c r="B29" s="27"/>
      <c r="C29" s="34"/>
      <c r="D29" s="13" t="s">
        <v>13</v>
      </c>
      <c r="E29" s="13">
        <f t="shared" ref="E29:AC29" si="8">SUM(E20,E23,E26)</f>
        <v>117</v>
      </c>
      <c r="F29" s="13">
        <f t="shared" si="8"/>
        <v>100</v>
      </c>
      <c r="G29" s="13">
        <f t="shared" si="8"/>
        <v>108</v>
      </c>
      <c r="H29" s="13">
        <f t="shared" si="8"/>
        <v>118</v>
      </c>
      <c r="I29" s="13">
        <f t="shared" si="8"/>
        <v>97</v>
      </c>
      <c r="J29" s="13">
        <f t="shared" si="8"/>
        <v>103</v>
      </c>
      <c r="K29" s="13">
        <f t="shared" si="8"/>
        <v>106</v>
      </c>
      <c r="L29" s="13">
        <f t="shared" si="8"/>
        <v>119</v>
      </c>
      <c r="M29" s="13">
        <f t="shared" si="8"/>
        <v>108</v>
      </c>
      <c r="N29" s="13">
        <f t="shared" si="8"/>
        <v>114</v>
      </c>
      <c r="O29" s="13">
        <f t="shared" si="8"/>
        <v>112</v>
      </c>
      <c r="P29" s="13">
        <f t="shared" si="8"/>
        <v>104</v>
      </c>
      <c r="Q29" s="13">
        <f t="shared" si="8"/>
        <v>105</v>
      </c>
      <c r="R29" s="13">
        <f t="shared" si="8"/>
        <v>108</v>
      </c>
      <c r="S29" s="13">
        <f t="shared" si="8"/>
        <v>110</v>
      </c>
      <c r="T29" s="13">
        <f t="shared" si="8"/>
        <v>108</v>
      </c>
      <c r="U29" s="13">
        <f t="shared" si="8"/>
        <v>110</v>
      </c>
      <c r="V29" s="13">
        <f t="shared" si="8"/>
        <v>106</v>
      </c>
      <c r="W29" s="13">
        <f t="shared" si="8"/>
        <v>95</v>
      </c>
      <c r="X29" s="13">
        <f t="shared" si="8"/>
        <v>55</v>
      </c>
      <c r="Y29" s="13">
        <f t="shared" si="8"/>
        <v>106</v>
      </c>
      <c r="Z29" s="13">
        <f t="shared" si="8"/>
        <v>99</v>
      </c>
      <c r="AA29" s="13">
        <f t="shared" si="8"/>
        <v>92</v>
      </c>
      <c r="AB29" s="13">
        <f t="shared" si="8"/>
        <v>115</v>
      </c>
      <c r="AC29" s="13">
        <f t="shared" si="8"/>
        <v>114</v>
      </c>
      <c r="AD29" s="13">
        <f t="shared" si="3"/>
        <v>2629</v>
      </c>
    </row>
    <row r="30" ht="12.75" customHeight="1">
      <c r="A30" s="35"/>
      <c r="B30" s="28"/>
      <c r="C30" s="36"/>
      <c r="D30" s="13" t="s">
        <v>14</v>
      </c>
      <c r="E30" s="13">
        <f t="shared" ref="E30:AC30" si="9">SUM(E28:E29)</f>
        <v>238</v>
      </c>
      <c r="F30" s="13">
        <f t="shared" si="9"/>
        <v>198</v>
      </c>
      <c r="G30" s="13">
        <f t="shared" si="9"/>
        <v>209</v>
      </c>
      <c r="H30" s="13">
        <f t="shared" si="9"/>
        <v>225</v>
      </c>
      <c r="I30" s="13">
        <f t="shared" si="9"/>
        <v>178</v>
      </c>
      <c r="J30" s="13">
        <f t="shared" si="9"/>
        <v>204</v>
      </c>
      <c r="K30" s="13">
        <f t="shared" si="9"/>
        <v>203</v>
      </c>
      <c r="L30" s="13">
        <f t="shared" si="9"/>
        <v>242</v>
      </c>
      <c r="M30" s="13">
        <f t="shared" si="9"/>
        <v>210</v>
      </c>
      <c r="N30" s="13">
        <f t="shared" si="9"/>
        <v>204</v>
      </c>
      <c r="O30" s="13">
        <f t="shared" si="9"/>
        <v>209</v>
      </c>
      <c r="P30" s="13">
        <f t="shared" si="9"/>
        <v>214</v>
      </c>
      <c r="Q30" s="13">
        <f t="shared" si="9"/>
        <v>207</v>
      </c>
      <c r="R30" s="13">
        <f t="shared" si="9"/>
        <v>209</v>
      </c>
      <c r="S30" s="13">
        <f t="shared" si="9"/>
        <v>213</v>
      </c>
      <c r="T30" s="13">
        <f t="shared" si="9"/>
        <v>203</v>
      </c>
      <c r="U30" s="13">
        <f t="shared" si="9"/>
        <v>228</v>
      </c>
      <c r="V30" s="13">
        <f t="shared" si="9"/>
        <v>229</v>
      </c>
      <c r="W30" s="13">
        <f t="shared" si="9"/>
        <v>183</v>
      </c>
      <c r="X30" s="13">
        <f t="shared" si="9"/>
        <v>121</v>
      </c>
      <c r="Y30" s="13">
        <f t="shared" si="9"/>
        <v>203</v>
      </c>
      <c r="Z30" s="13">
        <f t="shared" si="9"/>
        <v>205</v>
      </c>
      <c r="AA30" s="13">
        <f t="shared" si="9"/>
        <v>189</v>
      </c>
      <c r="AB30" s="13">
        <f t="shared" si="9"/>
        <v>222</v>
      </c>
      <c r="AC30" s="13">
        <f t="shared" si="9"/>
        <v>223</v>
      </c>
      <c r="AD30" s="13">
        <f t="shared" si="3"/>
        <v>5169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70"/>
    </row>
    <row r="33" ht="12.75" customHeight="1">
      <c r="A33" s="19">
        <v>1.0</v>
      </c>
      <c r="B33" s="20" t="s">
        <v>27</v>
      </c>
      <c r="C33" s="15"/>
      <c r="D33" s="16"/>
      <c r="E33" s="19">
        <v>273.0</v>
      </c>
      <c r="F33" s="19">
        <v>271.0</v>
      </c>
      <c r="G33" s="19">
        <v>276.0</v>
      </c>
      <c r="H33" s="19">
        <v>272.0</v>
      </c>
      <c r="I33" s="19">
        <v>243.0</v>
      </c>
      <c r="J33" s="19">
        <v>255.0</v>
      </c>
      <c r="K33" s="19">
        <v>266.0</v>
      </c>
      <c r="L33" s="19">
        <v>283.0</v>
      </c>
      <c r="M33" s="19">
        <v>281.0</v>
      </c>
      <c r="N33" s="19">
        <v>269.0</v>
      </c>
      <c r="O33" s="19">
        <v>269.0</v>
      </c>
      <c r="P33" s="19">
        <v>271.0</v>
      </c>
      <c r="Q33" s="19">
        <v>270.0</v>
      </c>
      <c r="R33" s="19">
        <v>272.0</v>
      </c>
      <c r="S33" s="19">
        <v>288.0</v>
      </c>
      <c r="T33" s="19">
        <v>272.0</v>
      </c>
      <c r="U33" s="19">
        <v>277.0</v>
      </c>
      <c r="V33" s="19">
        <v>288.0</v>
      </c>
      <c r="W33" s="19">
        <v>226.0</v>
      </c>
      <c r="X33" s="19">
        <v>158.0</v>
      </c>
      <c r="Y33" s="19">
        <v>264.0</v>
      </c>
      <c r="Z33" s="19">
        <v>260.0</v>
      </c>
      <c r="AA33" s="19">
        <v>263.0</v>
      </c>
      <c r="AB33" s="19">
        <v>273.0</v>
      </c>
      <c r="AC33" s="19">
        <v>260.0</v>
      </c>
      <c r="AD33" s="13">
        <f t="shared" ref="AD33:AD36" si="10">SUM(E33:AC33)</f>
        <v>6600</v>
      </c>
    </row>
    <row r="34" ht="12.75" customHeight="1">
      <c r="A34" s="19">
        <v>2.0</v>
      </c>
      <c r="B34" s="20" t="s">
        <v>28</v>
      </c>
      <c r="C34" s="15"/>
      <c r="D34" s="16"/>
      <c r="E34" s="13">
        <v>238.0</v>
      </c>
      <c r="F34" s="13">
        <v>198.0</v>
      </c>
      <c r="G34" s="13">
        <v>209.0</v>
      </c>
      <c r="H34" s="13">
        <v>225.0</v>
      </c>
      <c r="I34" s="13">
        <v>178.0</v>
      </c>
      <c r="J34" s="13">
        <v>204.0</v>
      </c>
      <c r="K34" s="13">
        <v>203.0</v>
      </c>
      <c r="L34" s="13">
        <v>242.0</v>
      </c>
      <c r="M34" s="13">
        <v>210.0</v>
      </c>
      <c r="N34" s="13">
        <v>204.0</v>
      </c>
      <c r="O34" s="13">
        <v>209.0</v>
      </c>
      <c r="P34" s="13">
        <v>214.0</v>
      </c>
      <c r="Q34" s="13">
        <v>207.0</v>
      </c>
      <c r="R34" s="13">
        <v>209.0</v>
      </c>
      <c r="S34" s="13">
        <v>213.0</v>
      </c>
      <c r="T34" s="13">
        <v>203.0</v>
      </c>
      <c r="U34" s="13">
        <v>228.0</v>
      </c>
      <c r="V34" s="13">
        <v>229.0</v>
      </c>
      <c r="W34" s="13">
        <v>183.0</v>
      </c>
      <c r="X34" s="13">
        <v>121.0</v>
      </c>
      <c r="Y34" s="13">
        <v>203.0</v>
      </c>
      <c r="Z34" s="13">
        <v>205.0</v>
      </c>
      <c r="AA34" s="13">
        <v>189.0</v>
      </c>
      <c r="AB34" s="13">
        <v>222.0</v>
      </c>
      <c r="AC34" s="13">
        <v>223.0</v>
      </c>
      <c r="AD34" s="13">
        <f t="shared" si="10"/>
        <v>5169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5.0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35</v>
      </c>
      <c r="F36" s="13">
        <f t="shared" si="11"/>
        <v>73</v>
      </c>
      <c r="G36" s="13">
        <f t="shared" si="11"/>
        <v>67</v>
      </c>
      <c r="H36" s="13">
        <f t="shared" si="11"/>
        <v>47</v>
      </c>
      <c r="I36" s="13">
        <f t="shared" si="11"/>
        <v>65</v>
      </c>
      <c r="J36" s="13">
        <f t="shared" si="11"/>
        <v>51</v>
      </c>
      <c r="K36" s="13">
        <f t="shared" si="11"/>
        <v>63</v>
      </c>
      <c r="L36" s="13">
        <f t="shared" si="11"/>
        <v>41</v>
      </c>
      <c r="M36" s="13">
        <f t="shared" si="11"/>
        <v>70</v>
      </c>
      <c r="N36" s="13">
        <f t="shared" si="11"/>
        <v>65</v>
      </c>
      <c r="O36" s="13">
        <f t="shared" si="11"/>
        <v>60</v>
      </c>
      <c r="P36" s="13">
        <f t="shared" si="11"/>
        <v>57</v>
      </c>
      <c r="Q36" s="13">
        <f t="shared" si="11"/>
        <v>62</v>
      </c>
      <c r="R36" s="13">
        <f t="shared" si="11"/>
        <v>63</v>
      </c>
      <c r="S36" s="13">
        <f t="shared" si="11"/>
        <v>75</v>
      </c>
      <c r="T36" s="13">
        <f t="shared" si="11"/>
        <v>69</v>
      </c>
      <c r="U36" s="13">
        <f t="shared" si="11"/>
        <v>49</v>
      </c>
      <c r="V36" s="13">
        <f t="shared" si="11"/>
        <v>59</v>
      </c>
      <c r="W36" s="13">
        <f t="shared" si="11"/>
        <v>43</v>
      </c>
      <c r="X36" s="13">
        <f t="shared" si="11"/>
        <v>32</v>
      </c>
      <c r="Y36" s="13">
        <f t="shared" si="11"/>
        <v>61</v>
      </c>
      <c r="Z36" s="13">
        <f t="shared" si="11"/>
        <v>55</v>
      </c>
      <c r="AA36" s="13">
        <f t="shared" si="11"/>
        <v>74</v>
      </c>
      <c r="AB36" s="13">
        <f t="shared" si="11"/>
        <v>51</v>
      </c>
      <c r="AC36" s="13">
        <f t="shared" si="11"/>
        <v>37</v>
      </c>
      <c r="AD36" s="13">
        <f t="shared" si="10"/>
        <v>1424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7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>
        <v>1.0</v>
      </c>
      <c r="AD39" s="13">
        <f t="shared" ref="AD39:AD41" si="12">SUM(E39:AC39)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>
        <v>2.0</v>
      </c>
      <c r="AD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3</v>
      </c>
      <c r="AD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5.0</v>
      </c>
      <c r="F45" s="19">
        <v>0.0</v>
      </c>
      <c r="G45" s="19">
        <v>7.0</v>
      </c>
      <c r="H45" s="19">
        <v>1.0</v>
      </c>
      <c r="I45" s="19">
        <v>4.0</v>
      </c>
      <c r="J45" s="19">
        <v>4.0</v>
      </c>
      <c r="K45" s="19">
        <v>0.0</v>
      </c>
      <c r="L45" s="19">
        <v>7.0</v>
      </c>
      <c r="M45" s="19">
        <v>7.0</v>
      </c>
      <c r="N45" s="19">
        <v>0.0</v>
      </c>
      <c r="O45" s="19">
        <v>3.0</v>
      </c>
      <c r="P45" s="19">
        <v>5.0</v>
      </c>
      <c r="Q45" s="19">
        <v>8.0</v>
      </c>
      <c r="R45" s="19">
        <v>5.0</v>
      </c>
      <c r="S45" s="19">
        <v>3.0</v>
      </c>
      <c r="T45" s="19">
        <v>2.0</v>
      </c>
      <c r="U45" s="19">
        <v>7.0</v>
      </c>
      <c r="V45" s="19">
        <v>7.0</v>
      </c>
      <c r="W45" s="19">
        <v>2.0</v>
      </c>
      <c r="X45" s="19">
        <v>0.0</v>
      </c>
      <c r="Y45" s="19">
        <v>3.0</v>
      </c>
      <c r="Z45" s="19">
        <v>2.0</v>
      </c>
      <c r="AA45" s="19">
        <v>4.0</v>
      </c>
      <c r="AB45" s="19">
        <v>0.0</v>
      </c>
      <c r="AC45" s="19">
        <v>4.0</v>
      </c>
      <c r="AD45" s="13">
        <f t="shared" ref="AD45:AD52" si="14">SUM(E45:AC45)</f>
        <v>90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9.0</v>
      </c>
      <c r="F46" s="19">
        <v>30.0</v>
      </c>
      <c r="G46" s="19">
        <v>36.0</v>
      </c>
      <c r="H46" s="19">
        <v>0.0</v>
      </c>
      <c r="I46" s="19">
        <v>3.0</v>
      </c>
      <c r="J46" s="19">
        <v>2.0</v>
      </c>
      <c r="K46" s="19">
        <v>12.0</v>
      </c>
      <c r="L46" s="19">
        <v>38.0</v>
      </c>
      <c r="M46" s="19">
        <v>8.0</v>
      </c>
      <c r="N46" s="19">
        <v>16.0</v>
      </c>
      <c r="O46" s="19">
        <v>9.0</v>
      </c>
      <c r="P46" s="19">
        <v>10.0</v>
      </c>
      <c r="Q46" s="19">
        <v>8.0</v>
      </c>
      <c r="R46" s="19">
        <v>7.0</v>
      </c>
      <c r="S46" s="19">
        <v>8.0</v>
      </c>
      <c r="T46" s="19">
        <v>8.0</v>
      </c>
      <c r="U46" s="19">
        <v>8.0</v>
      </c>
      <c r="V46" s="19">
        <v>7.0</v>
      </c>
      <c r="W46" s="19">
        <v>28.0</v>
      </c>
      <c r="X46" s="19">
        <v>1.0</v>
      </c>
      <c r="Y46" s="19">
        <v>9.0</v>
      </c>
      <c r="Z46" s="19">
        <v>2.0</v>
      </c>
      <c r="AA46" s="19">
        <v>11.0</v>
      </c>
      <c r="AB46" s="19">
        <v>6.0</v>
      </c>
      <c r="AC46" s="19">
        <v>11.0</v>
      </c>
      <c r="AD46" s="13">
        <f t="shared" si="14"/>
        <v>287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0.0</v>
      </c>
      <c r="G47" s="19">
        <v>1.0</v>
      </c>
      <c r="H47" s="19">
        <v>0.0</v>
      </c>
      <c r="I47" s="19">
        <v>0.0</v>
      </c>
      <c r="J47" s="19">
        <v>1.0</v>
      </c>
      <c r="K47" s="19">
        <v>0.0</v>
      </c>
      <c r="L47" s="19">
        <v>3.0</v>
      </c>
      <c r="M47" s="19">
        <v>0.0</v>
      </c>
      <c r="N47" s="19">
        <v>0.0</v>
      </c>
      <c r="O47" s="19">
        <v>0.0</v>
      </c>
      <c r="P47" s="19">
        <v>2.0</v>
      </c>
      <c r="Q47" s="19">
        <v>1.0</v>
      </c>
      <c r="R47" s="19">
        <v>1.0</v>
      </c>
      <c r="S47" s="19">
        <v>1.0</v>
      </c>
      <c r="T47" s="19">
        <v>1.0</v>
      </c>
      <c r="U47" s="19">
        <v>1.0</v>
      </c>
      <c r="V47" s="19">
        <v>0.0</v>
      </c>
      <c r="W47" s="19">
        <v>2.0</v>
      </c>
      <c r="X47" s="19">
        <v>0.0</v>
      </c>
      <c r="Y47" s="19">
        <v>0.0</v>
      </c>
      <c r="Z47" s="19">
        <v>0.0</v>
      </c>
      <c r="AA47" s="19">
        <v>3.0</v>
      </c>
      <c r="AB47" s="19">
        <v>0.0</v>
      </c>
      <c r="AC47" s="19">
        <v>2.0</v>
      </c>
      <c r="AD47" s="13">
        <f t="shared" si="14"/>
        <v>19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2.0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1.0</v>
      </c>
      <c r="P48" s="19">
        <v>2.0</v>
      </c>
      <c r="Q48" s="19">
        <v>0.0</v>
      </c>
      <c r="R48" s="19">
        <v>2.0</v>
      </c>
      <c r="S48" s="19">
        <v>0.0</v>
      </c>
      <c r="T48" s="19">
        <v>0.0</v>
      </c>
      <c r="U48" s="19">
        <v>0.0</v>
      </c>
      <c r="V48" s="19">
        <v>1.0</v>
      </c>
      <c r="W48" s="19">
        <v>0.0</v>
      </c>
      <c r="X48" s="19">
        <v>0.0</v>
      </c>
      <c r="Y48" s="19">
        <v>1.0</v>
      </c>
      <c r="Z48" s="19">
        <v>0.0</v>
      </c>
      <c r="AA48" s="19">
        <v>0.0</v>
      </c>
      <c r="AB48" s="19">
        <v>0.0</v>
      </c>
      <c r="AC48" s="19">
        <v>1.0</v>
      </c>
      <c r="AD48" s="13">
        <f t="shared" si="14"/>
        <v>11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1.0</v>
      </c>
      <c r="H49" s="19">
        <v>0.0</v>
      </c>
      <c r="I49" s="19">
        <v>0.0</v>
      </c>
      <c r="J49" s="19">
        <v>0.0</v>
      </c>
      <c r="K49" s="19">
        <v>1.0</v>
      </c>
      <c r="L49" s="19">
        <v>1.0</v>
      </c>
      <c r="M49" s="19">
        <v>0.0</v>
      </c>
      <c r="N49" s="19">
        <v>0.0</v>
      </c>
      <c r="O49" s="19">
        <v>1.0</v>
      </c>
      <c r="P49" s="19">
        <v>0.0</v>
      </c>
      <c r="Q49" s="19">
        <v>0.0</v>
      </c>
      <c r="R49" s="19">
        <v>1.0</v>
      </c>
      <c r="S49" s="19">
        <v>0.0</v>
      </c>
      <c r="T49" s="19">
        <v>0.0</v>
      </c>
      <c r="U49" s="19">
        <v>0.0</v>
      </c>
      <c r="V49" s="19">
        <v>2.0</v>
      </c>
      <c r="W49" s="19">
        <v>1.0</v>
      </c>
      <c r="X49" s="19">
        <v>0.0</v>
      </c>
      <c r="Y49" s="19">
        <v>0.0</v>
      </c>
      <c r="Z49" s="19">
        <v>1.0</v>
      </c>
      <c r="AA49" s="19">
        <v>0.0</v>
      </c>
      <c r="AB49" s="19">
        <v>0.0</v>
      </c>
      <c r="AC49" s="19">
        <v>0.0</v>
      </c>
      <c r="AD49" s="13">
        <f t="shared" si="14"/>
        <v>10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2.0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1.0</v>
      </c>
      <c r="N50" s="19">
        <v>0.0</v>
      </c>
      <c r="O50" s="19">
        <v>1.0</v>
      </c>
      <c r="P50" s="19">
        <v>0.0</v>
      </c>
      <c r="Q50" s="19">
        <v>0.0</v>
      </c>
      <c r="R50" s="19">
        <v>0.0</v>
      </c>
      <c r="S50" s="19">
        <v>0.0</v>
      </c>
      <c r="T50" s="19">
        <v>1.0</v>
      </c>
      <c r="U50" s="19">
        <v>0.0</v>
      </c>
      <c r="V50" s="19">
        <v>1.0</v>
      </c>
      <c r="W50" s="19">
        <v>0.0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  <c r="AC50" s="19">
        <v>0.0</v>
      </c>
      <c r="AD50" s="13">
        <f t="shared" si="14"/>
        <v>7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1.0</v>
      </c>
      <c r="V51" s="19">
        <v>0.0</v>
      </c>
      <c r="W51" s="19">
        <v>1.0</v>
      </c>
      <c r="X51" s="19">
        <v>0.0</v>
      </c>
      <c r="Y51" s="19">
        <v>0.0</v>
      </c>
      <c r="Z51" s="19">
        <v>1.0</v>
      </c>
      <c r="AA51" s="19">
        <v>0.0</v>
      </c>
      <c r="AB51" s="19">
        <v>0.0</v>
      </c>
      <c r="AC51" s="19">
        <v>1.0</v>
      </c>
      <c r="AD51" s="13">
        <f t="shared" si="14"/>
        <v>6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2.0</v>
      </c>
      <c r="O52" s="19">
        <v>0.0</v>
      </c>
      <c r="P52" s="19">
        <v>1.0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1.0</v>
      </c>
      <c r="Z52" s="19">
        <v>0.0</v>
      </c>
      <c r="AA52" s="19">
        <v>0.0</v>
      </c>
      <c r="AB52" s="19">
        <v>0.0</v>
      </c>
      <c r="AC52" s="19">
        <v>0.0</v>
      </c>
      <c r="AD52" s="13">
        <f t="shared" si="14"/>
        <v>4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AD53" si="15">SUM(E45:E52)</f>
        <v>16</v>
      </c>
      <c r="F53" s="13">
        <f t="shared" si="15"/>
        <v>32</v>
      </c>
      <c r="G53" s="13">
        <f t="shared" si="15"/>
        <v>49</v>
      </c>
      <c r="H53" s="13">
        <f t="shared" si="15"/>
        <v>1</v>
      </c>
      <c r="I53" s="13">
        <f t="shared" si="15"/>
        <v>7</v>
      </c>
      <c r="J53" s="13">
        <f t="shared" si="15"/>
        <v>7</v>
      </c>
      <c r="K53" s="13">
        <f t="shared" si="15"/>
        <v>13</v>
      </c>
      <c r="L53" s="13">
        <f t="shared" si="15"/>
        <v>49</v>
      </c>
      <c r="M53" s="13">
        <f t="shared" si="15"/>
        <v>17</v>
      </c>
      <c r="N53" s="13">
        <f t="shared" si="15"/>
        <v>18</v>
      </c>
      <c r="O53" s="13">
        <f t="shared" si="15"/>
        <v>15</v>
      </c>
      <c r="P53" s="13">
        <f t="shared" si="15"/>
        <v>20</v>
      </c>
      <c r="Q53" s="13">
        <f t="shared" si="15"/>
        <v>17</v>
      </c>
      <c r="R53" s="13">
        <f t="shared" si="15"/>
        <v>16</v>
      </c>
      <c r="S53" s="13">
        <f t="shared" si="15"/>
        <v>12</v>
      </c>
      <c r="T53" s="13">
        <f t="shared" si="15"/>
        <v>12</v>
      </c>
      <c r="U53" s="13">
        <f t="shared" si="15"/>
        <v>17</v>
      </c>
      <c r="V53" s="13">
        <f t="shared" si="15"/>
        <v>18</v>
      </c>
      <c r="W53" s="13">
        <f t="shared" si="15"/>
        <v>34</v>
      </c>
      <c r="X53" s="13">
        <f t="shared" si="15"/>
        <v>1</v>
      </c>
      <c r="Y53" s="13">
        <f t="shared" si="15"/>
        <v>14</v>
      </c>
      <c r="Z53" s="13">
        <f t="shared" si="15"/>
        <v>6</v>
      </c>
      <c r="AA53" s="13">
        <f t="shared" si="15"/>
        <v>18</v>
      </c>
      <c r="AB53" s="13">
        <f t="shared" si="15"/>
        <v>6</v>
      </c>
      <c r="AC53" s="13">
        <f t="shared" si="15"/>
        <v>19</v>
      </c>
      <c r="AD53" s="13">
        <f t="shared" si="15"/>
        <v>434</v>
      </c>
    </row>
    <row r="54" ht="12.75" customHeight="1">
      <c r="A54" s="45"/>
      <c r="B54" s="44"/>
      <c r="C54" s="44"/>
      <c r="D54" s="44"/>
      <c r="E54" s="44"/>
      <c r="AD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7.0</v>
      </c>
      <c r="F55" s="19">
        <v>7.0</v>
      </c>
      <c r="G55" s="19">
        <v>3.0</v>
      </c>
      <c r="H55" s="19">
        <v>6.0</v>
      </c>
      <c r="I55" s="19">
        <v>4.0</v>
      </c>
      <c r="J55" s="19">
        <v>2.0</v>
      </c>
      <c r="K55" s="19">
        <v>1.0</v>
      </c>
      <c r="L55" s="19">
        <v>8.0</v>
      </c>
      <c r="M55" s="19">
        <v>7.0</v>
      </c>
      <c r="N55" s="19">
        <v>6.0</v>
      </c>
      <c r="O55" s="19">
        <v>9.0</v>
      </c>
      <c r="P55" s="19">
        <v>7.0</v>
      </c>
      <c r="Q55" s="19">
        <v>7.0</v>
      </c>
      <c r="R55" s="19">
        <v>3.0</v>
      </c>
      <c r="S55" s="19">
        <v>7.0</v>
      </c>
      <c r="T55" s="19">
        <v>5.0</v>
      </c>
      <c r="U55" s="19">
        <v>24.0</v>
      </c>
      <c r="V55" s="19">
        <v>6.0</v>
      </c>
      <c r="W55" s="19">
        <v>5.0</v>
      </c>
      <c r="X55" s="19">
        <v>1.0</v>
      </c>
      <c r="Y55" s="19">
        <v>7.0</v>
      </c>
      <c r="Z55" s="19">
        <v>1.0</v>
      </c>
      <c r="AA55" s="19">
        <v>11.0</v>
      </c>
      <c r="AB55" s="19">
        <v>10.0</v>
      </c>
      <c r="AC55" s="19">
        <v>5.0</v>
      </c>
      <c r="AD55" s="13">
        <f t="shared" ref="AD55:AD62" si="16">SUM(E55:AC55)</f>
        <v>159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2.0</v>
      </c>
      <c r="F56" s="19">
        <v>15.0</v>
      </c>
      <c r="G56" s="19">
        <v>8.0</v>
      </c>
      <c r="H56" s="19">
        <v>5.0</v>
      </c>
      <c r="I56" s="19">
        <v>12.0</v>
      </c>
      <c r="J56" s="19">
        <v>8.0</v>
      </c>
      <c r="K56" s="19">
        <v>6.0</v>
      </c>
      <c r="L56" s="19">
        <v>5.0</v>
      </c>
      <c r="M56" s="19">
        <v>6.0</v>
      </c>
      <c r="N56" s="19">
        <v>4.0</v>
      </c>
      <c r="O56" s="19">
        <v>4.0</v>
      </c>
      <c r="P56" s="19">
        <v>12.0</v>
      </c>
      <c r="Q56" s="19">
        <v>5.0</v>
      </c>
      <c r="R56" s="19">
        <v>11.0</v>
      </c>
      <c r="S56" s="19">
        <v>6.0</v>
      </c>
      <c r="T56" s="19">
        <v>3.0</v>
      </c>
      <c r="U56" s="19">
        <v>8.0</v>
      </c>
      <c r="V56" s="19">
        <v>11.0</v>
      </c>
      <c r="W56" s="19">
        <v>8.0</v>
      </c>
      <c r="X56" s="19">
        <v>2.0</v>
      </c>
      <c r="Y56" s="19">
        <v>5.0</v>
      </c>
      <c r="Z56" s="19">
        <v>3.0</v>
      </c>
      <c r="AA56" s="19">
        <v>5.0</v>
      </c>
      <c r="AB56" s="19">
        <v>3.0</v>
      </c>
      <c r="AC56" s="19">
        <v>4.0</v>
      </c>
      <c r="AD56" s="13">
        <f t="shared" si="16"/>
        <v>161</v>
      </c>
    </row>
    <row r="57" ht="12.75" customHeight="1">
      <c r="A57" s="18"/>
      <c r="B57" s="55">
        <v>2.0</v>
      </c>
      <c r="C57" s="50" t="s">
        <v>50</v>
      </c>
      <c r="D57" s="56"/>
      <c r="E57" s="19">
        <v>3.0</v>
      </c>
      <c r="F57" s="19">
        <v>3.0</v>
      </c>
      <c r="G57" s="19">
        <v>2.0</v>
      </c>
      <c r="H57" s="19">
        <v>1.0</v>
      </c>
      <c r="I57" s="19">
        <v>1.0</v>
      </c>
      <c r="J57" s="19">
        <v>1.0</v>
      </c>
      <c r="K57" s="19">
        <v>3.0</v>
      </c>
      <c r="L57" s="19">
        <v>6.0</v>
      </c>
      <c r="M57" s="19">
        <v>0.0</v>
      </c>
      <c r="N57" s="19">
        <v>2.0</v>
      </c>
      <c r="O57" s="19">
        <v>8.0</v>
      </c>
      <c r="P57" s="19">
        <v>5.0</v>
      </c>
      <c r="Q57" s="19">
        <v>4.0</v>
      </c>
      <c r="R57" s="19">
        <v>6.0</v>
      </c>
      <c r="S57" s="19">
        <v>3.0</v>
      </c>
      <c r="T57" s="19">
        <v>2.0</v>
      </c>
      <c r="U57" s="19">
        <v>1.0</v>
      </c>
      <c r="V57" s="19">
        <v>2.0</v>
      </c>
      <c r="W57" s="19">
        <v>3.0</v>
      </c>
      <c r="X57" s="19">
        <v>3.0</v>
      </c>
      <c r="Y57" s="19">
        <v>0.0</v>
      </c>
      <c r="Z57" s="19">
        <v>2.0</v>
      </c>
      <c r="AA57" s="19">
        <v>3.0</v>
      </c>
      <c r="AB57" s="19">
        <v>2.0</v>
      </c>
      <c r="AC57" s="19">
        <v>2.0</v>
      </c>
      <c r="AD57" s="13">
        <f t="shared" si="16"/>
        <v>68</v>
      </c>
    </row>
    <row r="58" ht="12.75" customHeight="1">
      <c r="A58" s="18"/>
      <c r="B58" s="55">
        <v>3.0</v>
      </c>
      <c r="C58" s="50" t="s">
        <v>51</v>
      </c>
      <c r="D58" s="56"/>
      <c r="E58" s="19">
        <v>1.0</v>
      </c>
      <c r="F58" s="19">
        <v>1.0</v>
      </c>
      <c r="G58" s="19">
        <v>2.0</v>
      </c>
      <c r="H58" s="19">
        <v>0.0</v>
      </c>
      <c r="I58" s="19">
        <v>0.0</v>
      </c>
      <c r="J58" s="19">
        <v>0.0</v>
      </c>
      <c r="K58" s="19">
        <v>0.0</v>
      </c>
      <c r="L58" s="19">
        <v>4.0</v>
      </c>
      <c r="M58" s="19">
        <v>1.0</v>
      </c>
      <c r="N58" s="19">
        <v>2.0</v>
      </c>
      <c r="O58" s="19">
        <v>1.0</v>
      </c>
      <c r="P58" s="19">
        <v>0.0</v>
      </c>
      <c r="Q58" s="19">
        <v>3.0</v>
      </c>
      <c r="R58" s="19">
        <v>4.0</v>
      </c>
      <c r="S58" s="19">
        <v>1.0</v>
      </c>
      <c r="T58" s="19">
        <v>0.0</v>
      </c>
      <c r="U58" s="19">
        <v>1.0</v>
      </c>
      <c r="V58" s="19">
        <v>0.0</v>
      </c>
      <c r="W58" s="19">
        <v>2.0</v>
      </c>
      <c r="X58" s="19">
        <v>0.0</v>
      </c>
      <c r="Y58" s="19">
        <v>2.0</v>
      </c>
      <c r="Z58" s="19">
        <v>0.0</v>
      </c>
      <c r="AA58" s="19">
        <v>4.0</v>
      </c>
      <c r="AB58" s="19">
        <v>0.0</v>
      </c>
      <c r="AC58" s="19">
        <v>0.0</v>
      </c>
      <c r="AD58" s="13">
        <f t="shared" si="16"/>
        <v>29</v>
      </c>
    </row>
    <row r="59" ht="12.75" customHeight="1">
      <c r="A59" s="18"/>
      <c r="B59" s="55">
        <v>4.0</v>
      </c>
      <c r="C59" s="50" t="s">
        <v>52</v>
      </c>
      <c r="D59" s="56"/>
      <c r="E59" s="19">
        <v>0.0</v>
      </c>
      <c r="F59" s="19">
        <v>0.0</v>
      </c>
      <c r="G59" s="19">
        <v>3.0</v>
      </c>
      <c r="H59" s="19">
        <v>0.0</v>
      </c>
      <c r="I59" s="19">
        <v>0.0</v>
      </c>
      <c r="J59" s="19">
        <v>0.0</v>
      </c>
      <c r="K59" s="19">
        <v>0.0</v>
      </c>
      <c r="L59" s="19">
        <v>1.0</v>
      </c>
      <c r="M59" s="19">
        <v>1.0</v>
      </c>
      <c r="N59" s="19">
        <v>0.0</v>
      </c>
      <c r="O59" s="19">
        <v>0.0</v>
      </c>
      <c r="P59" s="19">
        <v>2.0</v>
      </c>
      <c r="Q59" s="19">
        <v>1.0</v>
      </c>
      <c r="R59" s="19">
        <v>2.0</v>
      </c>
      <c r="S59" s="19">
        <v>2.0</v>
      </c>
      <c r="T59" s="19">
        <v>0.0</v>
      </c>
      <c r="U59" s="19">
        <v>0.0</v>
      </c>
      <c r="V59" s="19">
        <v>2.0</v>
      </c>
      <c r="W59" s="19">
        <v>0.0</v>
      </c>
      <c r="X59" s="19">
        <v>2.0</v>
      </c>
      <c r="Y59" s="19">
        <v>0.0</v>
      </c>
      <c r="Z59" s="19">
        <v>0.0</v>
      </c>
      <c r="AA59" s="19">
        <v>1.0</v>
      </c>
      <c r="AB59" s="19">
        <v>2.0</v>
      </c>
      <c r="AC59" s="19">
        <v>2.0</v>
      </c>
      <c r="AD59" s="13">
        <f t="shared" si="16"/>
        <v>21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1.0</v>
      </c>
      <c r="G60" s="19">
        <v>2.0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19">
        <v>1.0</v>
      </c>
      <c r="U60" s="19">
        <v>0.0</v>
      </c>
      <c r="V60" s="19">
        <v>0.0</v>
      </c>
      <c r="W60" s="19">
        <v>1.0</v>
      </c>
      <c r="X60" s="19">
        <v>1.0</v>
      </c>
      <c r="Y60" s="19">
        <v>1.0</v>
      </c>
      <c r="Z60" s="19">
        <v>1.0</v>
      </c>
      <c r="AA60" s="19">
        <v>1.0</v>
      </c>
      <c r="AB60" s="19">
        <v>1.0</v>
      </c>
      <c r="AC60" s="19">
        <v>0.0</v>
      </c>
      <c r="AD60" s="13">
        <f t="shared" si="16"/>
        <v>10</v>
      </c>
    </row>
    <row r="61" ht="12.75" customHeight="1">
      <c r="A61" s="18"/>
      <c r="B61" s="55">
        <v>6.0</v>
      </c>
      <c r="C61" s="50" t="s">
        <v>54</v>
      </c>
      <c r="D61" s="57"/>
      <c r="E61" s="19">
        <v>0.0</v>
      </c>
      <c r="F61" s="19">
        <v>0.0</v>
      </c>
      <c r="G61" s="19">
        <v>0.0</v>
      </c>
      <c r="H61" s="19">
        <v>0.0</v>
      </c>
      <c r="I61" s="19">
        <v>0.0</v>
      </c>
      <c r="J61" s="19">
        <v>2.0</v>
      </c>
      <c r="K61" s="19">
        <v>0.0</v>
      </c>
      <c r="L61" s="19">
        <v>1.0</v>
      </c>
      <c r="M61" s="19">
        <v>0.0</v>
      </c>
      <c r="N61" s="19">
        <v>1.0</v>
      </c>
      <c r="O61" s="19">
        <v>1.0</v>
      </c>
      <c r="P61" s="19">
        <v>2.0</v>
      </c>
      <c r="Q61" s="19">
        <v>2.0</v>
      </c>
      <c r="R61" s="19">
        <v>1.0</v>
      </c>
      <c r="S61" s="19">
        <v>1.0</v>
      </c>
      <c r="T61" s="19">
        <v>0.0</v>
      </c>
      <c r="U61" s="19">
        <v>0.0</v>
      </c>
      <c r="V61" s="19">
        <v>0.0</v>
      </c>
      <c r="W61" s="19">
        <v>1.0</v>
      </c>
      <c r="X61" s="19">
        <v>0.0</v>
      </c>
      <c r="Y61" s="19">
        <v>0.0</v>
      </c>
      <c r="Z61" s="19">
        <v>1.0</v>
      </c>
      <c r="AA61" s="19">
        <v>1.0</v>
      </c>
      <c r="AB61" s="19">
        <v>1.0</v>
      </c>
      <c r="AC61" s="19">
        <v>1.0</v>
      </c>
      <c r="AD61" s="13">
        <f t="shared" si="16"/>
        <v>16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9">
        <v>1.0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1.0</v>
      </c>
      <c r="U62" s="19">
        <v>0.0</v>
      </c>
      <c r="V62" s="19">
        <v>1.0</v>
      </c>
      <c r="W62" s="19">
        <v>1.0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3">
        <f t="shared" si="16"/>
        <v>6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AD63" si="17">SUM(E55:E62)</f>
        <v>13</v>
      </c>
      <c r="F63" s="13">
        <f t="shared" si="17"/>
        <v>28</v>
      </c>
      <c r="G63" s="13">
        <f t="shared" si="17"/>
        <v>20</v>
      </c>
      <c r="H63" s="13">
        <f t="shared" si="17"/>
        <v>12</v>
      </c>
      <c r="I63" s="13">
        <f t="shared" si="17"/>
        <v>17</v>
      </c>
      <c r="J63" s="13">
        <f t="shared" si="17"/>
        <v>13</v>
      </c>
      <c r="K63" s="13">
        <f t="shared" si="17"/>
        <v>11</v>
      </c>
      <c r="L63" s="13">
        <f t="shared" si="17"/>
        <v>25</v>
      </c>
      <c r="M63" s="13">
        <f t="shared" si="17"/>
        <v>15</v>
      </c>
      <c r="N63" s="13">
        <f t="shared" si="17"/>
        <v>16</v>
      </c>
      <c r="O63" s="13">
        <f t="shared" si="17"/>
        <v>23</v>
      </c>
      <c r="P63" s="13">
        <f t="shared" si="17"/>
        <v>28</v>
      </c>
      <c r="Q63" s="13">
        <f t="shared" si="17"/>
        <v>22</v>
      </c>
      <c r="R63" s="13">
        <f t="shared" si="17"/>
        <v>27</v>
      </c>
      <c r="S63" s="13">
        <f t="shared" si="17"/>
        <v>20</v>
      </c>
      <c r="T63" s="13">
        <f t="shared" si="17"/>
        <v>12</v>
      </c>
      <c r="U63" s="13">
        <f t="shared" si="17"/>
        <v>34</v>
      </c>
      <c r="V63" s="13">
        <f t="shared" si="17"/>
        <v>22</v>
      </c>
      <c r="W63" s="13">
        <f t="shared" si="17"/>
        <v>21</v>
      </c>
      <c r="X63" s="13">
        <f t="shared" si="17"/>
        <v>9</v>
      </c>
      <c r="Y63" s="13">
        <f t="shared" si="17"/>
        <v>15</v>
      </c>
      <c r="Z63" s="13">
        <f t="shared" si="17"/>
        <v>8</v>
      </c>
      <c r="AA63" s="13">
        <f t="shared" si="17"/>
        <v>26</v>
      </c>
      <c r="AB63" s="13">
        <f t="shared" si="17"/>
        <v>19</v>
      </c>
      <c r="AC63" s="13">
        <f t="shared" si="17"/>
        <v>14</v>
      </c>
      <c r="AD63" s="13">
        <f t="shared" si="17"/>
        <v>470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7.0</v>
      </c>
      <c r="F65" s="19">
        <v>6.0</v>
      </c>
      <c r="G65" s="19">
        <v>3.0</v>
      </c>
      <c r="H65" s="19">
        <v>13.0</v>
      </c>
      <c r="I65" s="19">
        <v>8.0</v>
      </c>
      <c r="J65" s="19">
        <v>15.0</v>
      </c>
      <c r="K65" s="19">
        <v>6.0</v>
      </c>
      <c r="L65" s="19">
        <v>6.0</v>
      </c>
      <c r="M65" s="19">
        <v>15.0</v>
      </c>
      <c r="N65" s="19">
        <v>3.0</v>
      </c>
      <c r="O65" s="19">
        <v>9.0</v>
      </c>
      <c r="P65" s="19">
        <v>9.0</v>
      </c>
      <c r="Q65" s="19">
        <v>7.0</v>
      </c>
      <c r="R65" s="19">
        <v>11.0</v>
      </c>
      <c r="S65" s="19">
        <v>13.0</v>
      </c>
      <c r="T65" s="19">
        <v>4.0</v>
      </c>
      <c r="U65" s="19">
        <v>82.0</v>
      </c>
      <c r="V65" s="19">
        <v>2.0</v>
      </c>
      <c r="W65" s="19">
        <v>4.0</v>
      </c>
      <c r="X65" s="19">
        <v>3.0</v>
      </c>
      <c r="Y65" s="19">
        <v>3.0</v>
      </c>
      <c r="Z65" s="19">
        <v>12.0</v>
      </c>
      <c r="AA65" s="19">
        <v>8.0</v>
      </c>
      <c r="AB65" s="19">
        <v>8.0</v>
      </c>
      <c r="AC65" s="19">
        <v>8.0</v>
      </c>
      <c r="AD65" s="13">
        <f t="shared" ref="AD65:AD72" si="18">SUM(E65:AC65)</f>
        <v>265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2.0</v>
      </c>
      <c r="F66" s="19">
        <v>5.0</v>
      </c>
      <c r="G66" s="19">
        <v>1.0</v>
      </c>
      <c r="H66" s="19">
        <v>4.0</v>
      </c>
      <c r="I66" s="19">
        <v>5.0</v>
      </c>
      <c r="J66" s="19">
        <v>3.0</v>
      </c>
      <c r="K66" s="19">
        <v>1.0</v>
      </c>
      <c r="L66" s="19">
        <v>5.0</v>
      </c>
      <c r="M66" s="19">
        <v>5.0</v>
      </c>
      <c r="N66" s="19">
        <v>16.0</v>
      </c>
      <c r="O66" s="19">
        <v>8.0</v>
      </c>
      <c r="P66" s="19">
        <v>6.0</v>
      </c>
      <c r="Q66" s="19">
        <v>11.0</v>
      </c>
      <c r="R66" s="19">
        <v>12.0</v>
      </c>
      <c r="S66" s="19">
        <v>10.0</v>
      </c>
      <c r="T66" s="19">
        <v>2.0</v>
      </c>
      <c r="U66" s="19">
        <v>7.0</v>
      </c>
      <c r="V66" s="19">
        <v>8.0</v>
      </c>
      <c r="W66" s="19">
        <v>11.0</v>
      </c>
      <c r="X66" s="19">
        <v>4.0</v>
      </c>
      <c r="Y66" s="19">
        <v>1.0</v>
      </c>
      <c r="Z66" s="19">
        <v>4.0</v>
      </c>
      <c r="AA66" s="19">
        <v>4.0</v>
      </c>
      <c r="AB66" s="19">
        <v>4.0</v>
      </c>
      <c r="AC66" s="19">
        <v>4.0</v>
      </c>
      <c r="AD66" s="13">
        <f t="shared" si="18"/>
        <v>143</v>
      </c>
    </row>
    <row r="67" ht="12.75" customHeight="1">
      <c r="A67" s="18"/>
      <c r="B67" s="55">
        <v>2.0</v>
      </c>
      <c r="C67" s="50" t="s">
        <v>58</v>
      </c>
      <c r="D67" s="57"/>
      <c r="E67" s="19">
        <v>3.0</v>
      </c>
      <c r="F67" s="19">
        <v>1.0</v>
      </c>
      <c r="G67" s="19">
        <v>4.0</v>
      </c>
      <c r="H67" s="19">
        <v>3.0</v>
      </c>
      <c r="I67" s="19">
        <v>3.0</v>
      </c>
      <c r="J67" s="19">
        <v>14.0</v>
      </c>
      <c r="K67" s="19">
        <v>0.0</v>
      </c>
      <c r="L67" s="19">
        <v>4.0</v>
      </c>
      <c r="M67" s="19">
        <v>11.0</v>
      </c>
      <c r="N67" s="19">
        <v>53.0</v>
      </c>
      <c r="O67" s="19">
        <v>41.0</v>
      </c>
      <c r="P67" s="19">
        <v>4.0</v>
      </c>
      <c r="Q67" s="19">
        <v>3.0</v>
      </c>
      <c r="R67" s="19">
        <v>11.0</v>
      </c>
      <c r="S67" s="19">
        <v>8.0</v>
      </c>
      <c r="T67" s="19">
        <v>7.0</v>
      </c>
      <c r="U67" s="19">
        <v>3.0</v>
      </c>
      <c r="V67" s="19">
        <v>1.0</v>
      </c>
      <c r="W67" s="19">
        <v>5.0</v>
      </c>
      <c r="X67" s="19">
        <v>1.0</v>
      </c>
      <c r="Y67" s="19">
        <v>4.0</v>
      </c>
      <c r="Z67" s="19">
        <v>4.0</v>
      </c>
      <c r="AA67" s="19">
        <v>5.0</v>
      </c>
      <c r="AB67" s="19">
        <v>31.0</v>
      </c>
      <c r="AC67" s="19">
        <v>34.0</v>
      </c>
      <c r="AD67" s="13">
        <f t="shared" si="18"/>
        <v>258</v>
      </c>
    </row>
    <row r="68" ht="12.75" customHeight="1">
      <c r="A68" s="18"/>
      <c r="B68" s="55">
        <v>3.0</v>
      </c>
      <c r="C68" s="50" t="s">
        <v>59</v>
      </c>
      <c r="D68" s="57"/>
      <c r="E68" s="19">
        <v>27.0</v>
      </c>
      <c r="F68" s="19">
        <v>9.0</v>
      </c>
      <c r="G68" s="19">
        <v>15.0</v>
      </c>
      <c r="H68" s="19">
        <v>35.0</v>
      </c>
      <c r="I68" s="19">
        <v>15.0</v>
      </c>
      <c r="J68" s="19">
        <v>24.0</v>
      </c>
      <c r="K68" s="19">
        <v>73.0</v>
      </c>
      <c r="L68" s="19">
        <v>1.0</v>
      </c>
      <c r="M68" s="19">
        <v>3.0</v>
      </c>
      <c r="N68" s="19">
        <v>2.0</v>
      </c>
      <c r="O68" s="19">
        <v>4.0</v>
      </c>
      <c r="P68" s="19">
        <v>0.0</v>
      </c>
      <c r="Q68" s="19">
        <v>25.0</v>
      </c>
      <c r="R68" s="19">
        <v>13.0</v>
      </c>
      <c r="S68" s="19">
        <v>1.0</v>
      </c>
      <c r="T68" s="19">
        <v>0.0</v>
      </c>
      <c r="U68" s="19">
        <v>2.0</v>
      </c>
      <c r="V68" s="19">
        <v>6.0</v>
      </c>
      <c r="W68" s="19">
        <v>1.0</v>
      </c>
      <c r="X68" s="19">
        <v>1.0</v>
      </c>
      <c r="Y68" s="19">
        <v>2.0</v>
      </c>
      <c r="Z68" s="19">
        <v>9.0</v>
      </c>
      <c r="AA68" s="19">
        <v>3.0</v>
      </c>
      <c r="AB68" s="19">
        <v>22.0</v>
      </c>
      <c r="AC68" s="19">
        <v>9.0</v>
      </c>
      <c r="AD68" s="13">
        <f t="shared" si="18"/>
        <v>302</v>
      </c>
    </row>
    <row r="69" ht="12.75" customHeight="1">
      <c r="A69" s="18"/>
      <c r="B69" s="55">
        <v>4.0</v>
      </c>
      <c r="C69" s="50" t="s">
        <v>60</v>
      </c>
      <c r="D69" s="57"/>
      <c r="E69" s="19">
        <v>1.0</v>
      </c>
      <c r="F69" s="19">
        <v>2.0</v>
      </c>
      <c r="G69" s="19">
        <v>3.0</v>
      </c>
      <c r="H69" s="19">
        <v>0.0</v>
      </c>
      <c r="I69" s="19">
        <v>2.0</v>
      </c>
      <c r="J69" s="19">
        <v>1.0</v>
      </c>
      <c r="K69" s="19">
        <v>1.0</v>
      </c>
      <c r="L69" s="19">
        <v>3.0</v>
      </c>
      <c r="M69" s="19">
        <v>1.0</v>
      </c>
      <c r="N69" s="19">
        <v>7.0</v>
      </c>
      <c r="O69" s="19">
        <v>2.0</v>
      </c>
      <c r="P69" s="19">
        <v>6.0</v>
      </c>
      <c r="Q69" s="19">
        <v>3.0</v>
      </c>
      <c r="R69" s="19">
        <v>7.0</v>
      </c>
      <c r="S69" s="19">
        <v>0.0</v>
      </c>
      <c r="T69" s="19">
        <v>1.0</v>
      </c>
      <c r="U69" s="19">
        <v>1.0</v>
      </c>
      <c r="V69" s="19">
        <v>4.0</v>
      </c>
      <c r="W69" s="19">
        <v>2.0</v>
      </c>
      <c r="X69" s="19">
        <v>2.0</v>
      </c>
      <c r="Y69" s="19">
        <v>4.0</v>
      </c>
      <c r="Z69" s="19">
        <v>7.0</v>
      </c>
      <c r="AA69" s="19">
        <v>2.0</v>
      </c>
      <c r="AB69" s="19">
        <v>3.0</v>
      </c>
      <c r="AC69" s="19">
        <v>3.0</v>
      </c>
      <c r="AD69" s="13">
        <f t="shared" si="18"/>
        <v>68</v>
      </c>
    </row>
    <row r="70" ht="12.75" customHeight="1">
      <c r="A70" s="18"/>
      <c r="B70" s="55">
        <v>5.0</v>
      </c>
      <c r="C70" s="50" t="s">
        <v>61</v>
      </c>
      <c r="D70" s="57"/>
      <c r="E70" s="19">
        <v>2.0</v>
      </c>
      <c r="F70" s="19">
        <v>3.0</v>
      </c>
      <c r="G70" s="19">
        <v>1.0</v>
      </c>
      <c r="H70" s="19">
        <v>2.0</v>
      </c>
      <c r="I70" s="19">
        <v>2.0</v>
      </c>
      <c r="J70" s="19">
        <v>1.0</v>
      </c>
      <c r="K70" s="19">
        <v>2.0</v>
      </c>
      <c r="L70" s="19">
        <v>1.0</v>
      </c>
      <c r="M70" s="19">
        <v>0.0</v>
      </c>
      <c r="N70" s="19">
        <v>2.0</v>
      </c>
      <c r="O70" s="19">
        <v>4.0</v>
      </c>
      <c r="P70" s="19">
        <v>4.0</v>
      </c>
      <c r="Q70" s="19">
        <v>2.0</v>
      </c>
      <c r="R70" s="19">
        <v>2.0</v>
      </c>
      <c r="S70" s="19">
        <v>1.0</v>
      </c>
      <c r="T70" s="19">
        <v>1.0</v>
      </c>
      <c r="U70" s="19">
        <v>0.0</v>
      </c>
      <c r="V70" s="19">
        <v>1.0</v>
      </c>
      <c r="W70" s="19">
        <v>6.0</v>
      </c>
      <c r="X70" s="19">
        <v>1.0</v>
      </c>
      <c r="Y70" s="19">
        <v>1.0</v>
      </c>
      <c r="Z70" s="19">
        <v>4.0</v>
      </c>
      <c r="AA70" s="19">
        <v>1.0</v>
      </c>
      <c r="AB70" s="19">
        <v>2.0</v>
      </c>
      <c r="AC70" s="19">
        <v>2.0</v>
      </c>
      <c r="AD70" s="13">
        <f t="shared" si="18"/>
        <v>48</v>
      </c>
    </row>
    <row r="71" ht="12.75" customHeight="1">
      <c r="A71" s="18"/>
      <c r="B71" s="55">
        <v>6.0</v>
      </c>
      <c r="C71" s="50" t="s">
        <v>62</v>
      </c>
      <c r="D71" s="57"/>
      <c r="E71" s="19">
        <v>1.0</v>
      </c>
      <c r="F71" s="19">
        <v>0.0</v>
      </c>
      <c r="G71" s="19">
        <v>1.0</v>
      </c>
      <c r="H71" s="19">
        <v>0.0</v>
      </c>
      <c r="I71" s="19">
        <v>2.0</v>
      </c>
      <c r="J71" s="19">
        <v>2.0</v>
      </c>
      <c r="K71" s="19">
        <v>0.0</v>
      </c>
      <c r="L71" s="19">
        <v>0.0</v>
      </c>
      <c r="M71" s="19">
        <v>2.0</v>
      </c>
      <c r="N71" s="19">
        <v>6.0</v>
      </c>
      <c r="O71" s="19">
        <v>1.0</v>
      </c>
      <c r="P71" s="19">
        <v>1.0</v>
      </c>
      <c r="Q71" s="19">
        <v>1.0</v>
      </c>
      <c r="R71" s="19">
        <v>2.0</v>
      </c>
      <c r="S71" s="19">
        <v>1.0</v>
      </c>
      <c r="T71" s="19">
        <v>0.0</v>
      </c>
      <c r="U71" s="19">
        <v>0.0</v>
      </c>
      <c r="V71" s="19">
        <v>1.0</v>
      </c>
      <c r="W71" s="19">
        <v>3.0</v>
      </c>
      <c r="X71" s="19">
        <v>0.0</v>
      </c>
      <c r="Y71" s="19">
        <v>1.0</v>
      </c>
      <c r="Z71" s="19">
        <v>2.0</v>
      </c>
      <c r="AA71" s="19">
        <v>0.0</v>
      </c>
      <c r="AB71" s="19">
        <v>1.0</v>
      </c>
      <c r="AC71" s="19">
        <v>3.0</v>
      </c>
      <c r="AD71" s="13">
        <f t="shared" si="18"/>
        <v>31</v>
      </c>
    </row>
    <row r="72" ht="12.75" customHeight="1">
      <c r="A72" s="18"/>
      <c r="B72" s="55">
        <v>7.0</v>
      </c>
      <c r="C72" s="50" t="s">
        <v>63</v>
      </c>
      <c r="D72" s="57"/>
      <c r="E72" s="19">
        <v>1.0</v>
      </c>
      <c r="F72" s="19">
        <v>1.0</v>
      </c>
      <c r="G72" s="19">
        <v>0.0</v>
      </c>
      <c r="H72" s="19">
        <v>1.0</v>
      </c>
      <c r="I72" s="19">
        <v>3.0</v>
      </c>
      <c r="J72" s="19">
        <v>6.0</v>
      </c>
      <c r="K72" s="19">
        <v>1.0</v>
      </c>
      <c r="L72" s="19">
        <v>3.0</v>
      </c>
      <c r="M72" s="19">
        <v>2.0</v>
      </c>
      <c r="N72" s="19">
        <v>3.0</v>
      </c>
      <c r="O72" s="19">
        <v>3.0</v>
      </c>
      <c r="P72" s="19">
        <v>1.0</v>
      </c>
      <c r="Q72" s="19">
        <v>3.0</v>
      </c>
      <c r="R72" s="19">
        <v>2.0</v>
      </c>
      <c r="S72" s="19">
        <v>2.0</v>
      </c>
      <c r="T72" s="19">
        <v>3.0</v>
      </c>
      <c r="U72" s="19">
        <v>2.0</v>
      </c>
      <c r="V72" s="19">
        <v>2.0</v>
      </c>
      <c r="W72" s="19">
        <v>1.0</v>
      </c>
      <c r="X72" s="19">
        <v>3.0</v>
      </c>
      <c r="Y72" s="19">
        <v>1.0</v>
      </c>
      <c r="Z72" s="19">
        <v>8.0</v>
      </c>
      <c r="AA72" s="19">
        <v>1.0</v>
      </c>
      <c r="AB72" s="19">
        <v>2.0</v>
      </c>
      <c r="AC72" s="19">
        <v>5.0</v>
      </c>
      <c r="AD72" s="13">
        <f t="shared" si="18"/>
        <v>60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AD73" si="19">SUM(E65:E72)</f>
        <v>44</v>
      </c>
      <c r="F73" s="13">
        <f t="shared" si="19"/>
        <v>27</v>
      </c>
      <c r="G73" s="13">
        <f t="shared" si="19"/>
        <v>28</v>
      </c>
      <c r="H73" s="13">
        <f t="shared" si="19"/>
        <v>58</v>
      </c>
      <c r="I73" s="13">
        <f t="shared" si="19"/>
        <v>40</v>
      </c>
      <c r="J73" s="13">
        <f t="shared" si="19"/>
        <v>66</v>
      </c>
      <c r="K73" s="13">
        <f t="shared" si="19"/>
        <v>84</v>
      </c>
      <c r="L73" s="13">
        <f t="shared" si="19"/>
        <v>23</v>
      </c>
      <c r="M73" s="13">
        <f t="shared" si="19"/>
        <v>39</v>
      </c>
      <c r="N73" s="13">
        <f t="shared" si="19"/>
        <v>92</v>
      </c>
      <c r="O73" s="13">
        <f t="shared" si="19"/>
        <v>72</v>
      </c>
      <c r="P73" s="13">
        <f t="shared" si="19"/>
        <v>31</v>
      </c>
      <c r="Q73" s="13">
        <f t="shared" si="19"/>
        <v>55</v>
      </c>
      <c r="R73" s="13">
        <f t="shared" si="19"/>
        <v>60</v>
      </c>
      <c r="S73" s="13">
        <f t="shared" si="19"/>
        <v>36</v>
      </c>
      <c r="T73" s="13">
        <f t="shared" si="19"/>
        <v>18</v>
      </c>
      <c r="U73" s="13">
        <f t="shared" si="19"/>
        <v>97</v>
      </c>
      <c r="V73" s="13">
        <f t="shared" si="19"/>
        <v>25</v>
      </c>
      <c r="W73" s="13">
        <f t="shared" si="19"/>
        <v>33</v>
      </c>
      <c r="X73" s="13">
        <f t="shared" si="19"/>
        <v>15</v>
      </c>
      <c r="Y73" s="13">
        <f t="shared" si="19"/>
        <v>17</v>
      </c>
      <c r="Z73" s="13">
        <f t="shared" si="19"/>
        <v>50</v>
      </c>
      <c r="AA73" s="13">
        <f t="shared" si="19"/>
        <v>24</v>
      </c>
      <c r="AB73" s="13">
        <f t="shared" si="19"/>
        <v>73</v>
      </c>
      <c r="AC73" s="13">
        <f t="shared" si="19"/>
        <v>68</v>
      </c>
      <c r="AD73" s="13">
        <f t="shared" si="19"/>
        <v>1175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5.0</v>
      </c>
      <c r="F75" s="19">
        <v>4.0</v>
      </c>
      <c r="G75" s="19">
        <v>4.0</v>
      </c>
      <c r="H75" s="19">
        <v>4.0</v>
      </c>
      <c r="I75" s="19">
        <v>1.0</v>
      </c>
      <c r="J75" s="19">
        <v>1.0</v>
      </c>
      <c r="K75" s="19">
        <v>5.0</v>
      </c>
      <c r="L75" s="19">
        <v>0.0</v>
      </c>
      <c r="M75" s="19">
        <v>4.0</v>
      </c>
      <c r="N75" s="19">
        <v>2.0</v>
      </c>
      <c r="O75" s="19">
        <v>2.0</v>
      </c>
      <c r="P75" s="19">
        <v>2.0</v>
      </c>
      <c r="Q75" s="19">
        <v>2.0</v>
      </c>
      <c r="R75" s="19">
        <v>4.0</v>
      </c>
      <c r="S75" s="19">
        <v>4.0</v>
      </c>
      <c r="T75" s="19">
        <v>7.0</v>
      </c>
      <c r="U75" s="19">
        <v>1.0</v>
      </c>
      <c r="V75" s="19">
        <v>5.0</v>
      </c>
      <c r="W75" s="19">
        <v>0.0</v>
      </c>
      <c r="X75" s="19">
        <v>5.0</v>
      </c>
      <c r="Y75" s="19">
        <v>3.0</v>
      </c>
      <c r="Z75" s="19">
        <v>4.0</v>
      </c>
      <c r="AA75" s="19">
        <v>3.0</v>
      </c>
      <c r="AB75" s="19">
        <v>4.0</v>
      </c>
      <c r="AC75" s="19">
        <v>4.0</v>
      </c>
      <c r="AD75" s="13">
        <f t="shared" ref="AD75:AD82" si="20">SUM(E75:AC75)</f>
        <v>80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43.0</v>
      </c>
      <c r="F76" s="19">
        <v>13.0</v>
      </c>
      <c r="G76" s="19">
        <v>4.0</v>
      </c>
      <c r="H76" s="19">
        <v>33.0</v>
      </c>
      <c r="I76" s="19">
        <v>11.0</v>
      </c>
      <c r="J76" s="19">
        <v>20.0</v>
      </c>
      <c r="K76" s="19">
        <v>52.0</v>
      </c>
      <c r="L76" s="19">
        <v>1.0</v>
      </c>
      <c r="M76" s="19">
        <v>1.0</v>
      </c>
      <c r="N76" s="19">
        <v>7.0</v>
      </c>
      <c r="O76" s="19">
        <v>10.0</v>
      </c>
      <c r="P76" s="19">
        <v>7.0</v>
      </c>
      <c r="Q76" s="19">
        <v>13.0</v>
      </c>
      <c r="R76" s="19">
        <v>6.0</v>
      </c>
      <c r="S76" s="19">
        <v>22.0</v>
      </c>
      <c r="T76" s="19">
        <v>39.0</v>
      </c>
      <c r="U76" s="19">
        <v>7.0</v>
      </c>
      <c r="V76" s="19">
        <v>15.0</v>
      </c>
      <c r="W76" s="19">
        <v>6.0</v>
      </c>
      <c r="X76" s="19">
        <v>65.0</v>
      </c>
      <c r="Y76" s="19">
        <v>3.0</v>
      </c>
      <c r="Z76" s="19">
        <v>18.0</v>
      </c>
      <c r="AA76" s="19">
        <v>4.0</v>
      </c>
      <c r="AB76" s="19">
        <v>1.0</v>
      </c>
      <c r="AC76" s="19">
        <v>3.0</v>
      </c>
      <c r="AD76" s="13">
        <f t="shared" si="20"/>
        <v>404</v>
      </c>
    </row>
    <row r="77" ht="12.75" customHeight="1">
      <c r="A77" s="18"/>
      <c r="B77" s="55">
        <v>2.0</v>
      </c>
      <c r="C77" s="50" t="s">
        <v>66</v>
      </c>
      <c r="D77" s="57"/>
      <c r="E77" s="19">
        <v>21.0</v>
      </c>
      <c r="F77" s="19">
        <v>9.0</v>
      </c>
      <c r="G77" s="19">
        <v>2.0</v>
      </c>
      <c r="H77" s="19">
        <v>4.0</v>
      </c>
      <c r="I77" s="19">
        <v>15.0</v>
      </c>
      <c r="J77" s="19">
        <v>33.0</v>
      </c>
      <c r="K77" s="19">
        <v>1.0</v>
      </c>
      <c r="L77" s="19">
        <v>2.0</v>
      </c>
      <c r="M77" s="19">
        <v>2.0</v>
      </c>
      <c r="N77" s="19">
        <v>2.0</v>
      </c>
      <c r="O77" s="19">
        <v>5.0</v>
      </c>
      <c r="P77" s="19">
        <v>3.0</v>
      </c>
      <c r="Q77" s="19">
        <v>2.0</v>
      </c>
      <c r="R77" s="19">
        <v>5.0</v>
      </c>
      <c r="S77" s="19">
        <v>5.0</v>
      </c>
      <c r="T77" s="19">
        <v>2.0</v>
      </c>
      <c r="U77" s="19">
        <v>2.0</v>
      </c>
      <c r="V77" s="19">
        <v>9.0</v>
      </c>
      <c r="W77" s="19">
        <v>7.0</v>
      </c>
      <c r="X77" s="19">
        <v>1.0</v>
      </c>
      <c r="Y77" s="19">
        <v>40.0</v>
      </c>
      <c r="Z77" s="19">
        <v>42.0</v>
      </c>
      <c r="AA77" s="19">
        <v>52.0</v>
      </c>
      <c r="AB77" s="19">
        <v>19.0</v>
      </c>
      <c r="AC77" s="19">
        <v>11.0</v>
      </c>
      <c r="AD77" s="13">
        <f t="shared" si="20"/>
        <v>296</v>
      </c>
    </row>
    <row r="78" ht="12.75" customHeight="1">
      <c r="A78" s="18"/>
      <c r="B78" s="55">
        <v>3.0</v>
      </c>
      <c r="C78" s="50" t="s">
        <v>67</v>
      </c>
      <c r="D78" s="57"/>
      <c r="E78" s="19">
        <v>0.0</v>
      </c>
      <c r="F78" s="19">
        <v>0.0</v>
      </c>
      <c r="G78" s="19">
        <v>0.0</v>
      </c>
      <c r="H78" s="19">
        <v>0.0</v>
      </c>
      <c r="I78" s="19">
        <v>0.0</v>
      </c>
      <c r="J78" s="19">
        <v>0.0</v>
      </c>
      <c r="K78" s="19">
        <v>0.0</v>
      </c>
      <c r="L78" s="19">
        <v>1.0</v>
      </c>
      <c r="M78" s="19">
        <v>0.0</v>
      </c>
      <c r="N78" s="19">
        <v>0.0</v>
      </c>
      <c r="O78" s="19">
        <v>1.0</v>
      </c>
      <c r="P78" s="19">
        <v>0.0</v>
      </c>
      <c r="Q78" s="19">
        <v>1.0</v>
      </c>
      <c r="R78" s="19">
        <v>0.0</v>
      </c>
      <c r="S78" s="19">
        <v>0.0</v>
      </c>
      <c r="T78" s="19">
        <v>0.0</v>
      </c>
      <c r="U78" s="19">
        <v>0.0</v>
      </c>
      <c r="V78" s="19">
        <v>0.0</v>
      </c>
      <c r="W78" s="19">
        <v>2.0</v>
      </c>
      <c r="X78" s="19">
        <v>0.0</v>
      </c>
      <c r="Y78" s="19">
        <v>0.0</v>
      </c>
      <c r="Z78" s="19">
        <v>0.0</v>
      </c>
      <c r="AA78" s="19">
        <v>0.0</v>
      </c>
      <c r="AB78" s="19">
        <v>0.0</v>
      </c>
      <c r="AC78" s="19">
        <v>0.0</v>
      </c>
      <c r="AD78" s="13">
        <f t="shared" si="20"/>
        <v>5</v>
      </c>
    </row>
    <row r="79" ht="12.75" customHeight="1">
      <c r="A79" s="18"/>
      <c r="B79" s="55">
        <v>4.0</v>
      </c>
      <c r="C79" s="50" t="s">
        <v>68</v>
      </c>
      <c r="D79" s="57"/>
      <c r="E79" s="19">
        <v>0.0</v>
      </c>
      <c r="F79" s="19">
        <v>1.0</v>
      </c>
      <c r="G79" s="19">
        <v>0.0</v>
      </c>
      <c r="H79" s="19">
        <v>1.0</v>
      </c>
      <c r="I79" s="19">
        <v>1.0</v>
      </c>
      <c r="J79" s="19">
        <v>4.0</v>
      </c>
      <c r="K79" s="19">
        <v>2.0</v>
      </c>
      <c r="L79" s="19">
        <v>1.0</v>
      </c>
      <c r="M79" s="19">
        <v>0.0</v>
      </c>
      <c r="N79" s="19">
        <v>1.0</v>
      </c>
      <c r="O79" s="19">
        <v>1.0</v>
      </c>
      <c r="P79" s="19">
        <v>0.0</v>
      </c>
      <c r="Q79" s="19">
        <v>0.0</v>
      </c>
      <c r="R79" s="19">
        <v>0.0</v>
      </c>
      <c r="S79" s="19">
        <v>2.0</v>
      </c>
      <c r="T79" s="19">
        <v>0.0</v>
      </c>
      <c r="U79" s="19">
        <v>0.0</v>
      </c>
      <c r="V79" s="19">
        <v>0.0</v>
      </c>
      <c r="W79" s="19">
        <v>0.0</v>
      </c>
      <c r="X79" s="19">
        <v>0.0</v>
      </c>
      <c r="Y79" s="19">
        <v>1.0</v>
      </c>
      <c r="Z79" s="19">
        <v>2.0</v>
      </c>
      <c r="AA79" s="19">
        <v>0.0</v>
      </c>
      <c r="AB79" s="19">
        <v>1.0</v>
      </c>
      <c r="AC79" s="19">
        <v>2.0</v>
      </c>
      <c r="AD79" s="13">
        <f t="shared" si="20"/>
        <v>20</v>
      </c>
    </row>
    <row r="80" ht="12.75" customHeight="1">
      <c r="A80" s="18"/>
      <c r="B80" s="55">
        <v>5.0</v>
      </c>
      <c r="C80" s="50" t="s">
        <v>69</v>
      </c>
      <c r="D80" s="57"/>
      <c r="E80" s="19">
        <v>0.0</v>
      </c>
      <c r="F80" s="19">
        <v>0.0</v>
      </c>
      <c r="G80" s="19">
        <v>3.0</v>
      </c>
      <c r="H80" s="19">
        <v>1.0</v>
      </c>
      <c r="I80" s="19">
        <v>1.0</v>
      </c>
      <c r="J80" s="19">
        <v>0.0</v>
      </c>
      <c r="K80" s="19">
        <v>0.0</v>
      </c>
      <c r="L80" s="19">
        <v>0.0</v>
      </c>
      <c r="M80" s="19">
        <v>1.0</v>
      </c>
      <c r="N80" s="19">
        <v>0.0</v>
      </c>
      <c r="O80" s="19">
        <v>14.0</v>
      </c>
      <c r="P80" s="19">
        <v>1.0</v>
      </c>
      <c r="Q80" s="19">
        <v>0.0</v>
      </c>
      <c r="R80" s="19">
        <v>1.0</v>
      </c>
      <c r="S80" s="19">
        <v>9.0</v>
      </c>
      <c r="T80" s="19">
        <v>9.0</v>
      </c>
      <c r="U80" s="19">
        <v>1.0</v>
      </c>
      <c r="V80" s="19">
        <v>0.0</v>
      </c>
      <c r="W80" s="19">
        <v>1.0</v>
      </c>
      <c r="X80" s="19">
        <v>1.0</v>
      </c>
      <c r="Y80" s="19">
        <v>0.0</v>
      </c>
      <c r="Z80" s="19">
        <v>25.0</v>
      </c>
      <c r="AA80" s="19">
        <v>0.0</v>
      </c>
      <c r="AB80" s="19">
        <v>6.0</v>
      </c>
      <c r="AC80" s="19">
        <v>0.0</v>
      </c>
      <c r="AD80" s="13">
        <f t="shared" si="20"/>
        <v>74</v>
      </c>
    </row>
    <row r="81" ht="12.75" customHeight="1">
      <c r="A81" s="18"/>
      <c r="B81" s="55">
        <v>6.0</v>
      </c>
      <c r="C81" s="50" t="s">
        <v>70</v>
      </c>
      <c r="D81" s="57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1.0</v>
      </c>
      <c r="O81" s="19">
        <v>0.0</v>
      </c>
      <c r="P81" s="19">
        <v>0.0</v>
      </c>
      <c r="Q81" s="19">
        <v>0.0</v>
      </c>
      <c r="R81" s="19">
        <v>0.0</v>
      </c>
      <c r="S81" s="19">
        <v>1.0</v>
      </c>
      <c r="T81" s="19">
        <v>0.0</v>
      </c>
      <c r="U81" s="19">
        <v>0.0</v>
      </c>
      <c r="V81" s="19">
        <v>1.0</v>
      </c>
      <c r="W81" s="19">
        <v>0.0</v>
      </c>
      <c r="X81" s="19">
        <v>1.0</v>
      </c>
      <c r="Y81" s="19">
        <v>1.0</v>
      </c>
      <c r="Z81" s="19">
        <v>0.0</v>
      </c>
      <c r="AA81" s="19">
        <v>0.0</v>
      </c>
      <c r="AB81" s="19">
        <v>0.0</v>
      </c>
      <c r="AC81" s="19">
        <v>0.0</v>
      </c>
      <c r="AD81" s="13">
        <f t="shared" si="20"/>
        <v>5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0.0</v>
      </c>
      <c r="V82" s="19">
        <v>0.0</v>
      </c>
      <c r="W82" s="19">
        <v>0.0</v>
      </c>
      <c r="X82" s="19">
        <v>0.0</v>
      </c>
      <c r="Y82" s="19">
        <v>0.0</v>
      </c>
      <c r="Z82" s="19">
        <v>0.0</v>
      </c>
      <c r="AA82" s="19">
        <v>0.0</v>
      </c>
      <c r="AB82" s="19">
        <v>0.0</v>
      </c>
      <c r="AC82" s="19">
        <v>0.0</v>
      </c>
      <c r="AD82" s="13">
        <f t="shared" si="20"/>
        <v>0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AD83" si="21">SUM(E75:E82)</f>
        <v>69</v>
      </c>
      <c r="F83" s="13">
        <f t="shared" si="21"/>
        <v>27</v>
      </c>
      <c r="G83" s="13">
        <f t="shared" si="21"/>
        <v>13</v>
      </c>
      <c r="H83" s="13">
        <f t="shared" si="21"/>
        <v>43</v>
      </c>
      <c r="I83" s="13">
        <f t="shared" si="21"/>
        <v>29</v>
      </c>
      <c r="J83" s="13">
        <f t="shared" si="21"/>
        <v>58</v>
      </c>
      <c r="K83" s="13">
        <f t="shared" si="21"/>
        <v>60</v>
      </c>
      <c r="L83" s="13">
        <f t="shared" si="21"/>
        <v>5</v>
      </c>
      <c r="M83" s="13">
        <f t="shared" si="21"/>
        <v>8</v>
      </c>
      <c r="N83" s="13">
        <f t="shared" si="21"/>
        <v>13</v>
      </c>
      <c r="O83" s="13">
        <f t="shared" si="21"/>
        <v>33</v>
      </c>
      <c r="P83" s="13">
        <f t="shared" si="21"/>
        <v>13</v>
      </c>
      <c r="Q83" s="13">
        <f t="shared" si="21"/>
        <v>18</v>
      </c>
      <c r="R83" s="13">
        <f t="shared" si="21"/>
        <v>16</v>
      </c>
      <c r="S83" s="13">
        <f t="shared" si="21"/>
        <v>43</v>
      </c>
      <c r="T83" s="13">
        <f t="shared" si="21"/>
        <v>57</v>
      </c>
      <c r="U83" s="13">
        <f t="shared" si="21"/>
        <v>11</v>
      </c>
      <c r="V83" s="13">
        <f t="shared" si="21"/>
        <v>30</v>
      </c>
      <c r="W83" s="13">
        <f t="shared" si="21"/>
        <v>16</v>
      </c>
      <c r="X83" s="13">
        <f t="shared" si="21"/>
        <v>73</v>
      </c>
      <c r="Y83" s="13">
        <f t="shared" si="21"/>
        <v>48</v>
      </c>
      <c r="Z83" s="13">
        <f t="shared" si="21"/>
        <v>91</v>
      </c>
      <c r="AA83" s="13">
        <f t="shared" si="21"/>
        <v>59</v>
      </c>
      <c r="AB83" s="13">
        <f t="shared" si="21"/>
        <v>31</v>
      </c>
      <c r="AC83" s="13">
        <f t="shared" si="21"/>
        <v>20</v>
      </c>
      <c r="AD83" s="13">
        <f t="shared" si="21"/>
        <v>884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1.0</v>
      </c>
      <c r="F85" s="19">
        <v>1.0</v>
      </c>
      <c r="G85" s="19">
        <v>3.0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1.0</v>
      </c>
      <c r="O85" s="19">
        <v>0.0</v>
      </c>
      <c r="P85" s="19">
        <v>1.0</v>
      </c>
      <c r="Q85" s="19">
        <v>1.0</v>
      </c>
      <c r="R85" s="19">
        <v>0.0</v>
      </c>
      <c r="S85" s="19">
        <v>0.0</v>
      </c>
      <c r="T85" s="19">
        <v>0.0</v>
      </c>
      <c r="U85" s="19">
        <v>1.0</v>
      </c>
      <c r="V85" s="19">
        <v>1.0</v>
      </c>
      <c r="W85" s="19">
        <v>0.0</v>
      </c>
      <c r="X85" s="19">
        <v>0.0</v>
      </c>
      <c r="Y85" s="19">
        <v>1.0</v>
      </c>
      <c r="Z85" s="19">
        <v>1.0</v>
      </c>
      <c r="AA85" s="19">
        <v>0.0</v>
      </c>
      <c r="AB85" s="19">
        <v>1.0</v>
      </c>
      <c r="AC85" s="19">
        <v>0.0</v>
      </c>
      <c r="AD85" s="13">
        <f t="shared" ref="AD85:AD92" si="22">SUM(E85:AC85)</f>
        <v>13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1.0</v>
      </c>
      <c r="F86" s="19">
        <v>4.0</v>
      </c>
      <c r="G86" s="19">
        <v>0.0</v>
      </c>
      <c r="H86" s="19">
        <v>1.0</v>
      </c>
      <c r="I86" s="19">
        <v>0.0</v>
      </c>
      <c r="J86" s="19">
        <v>1.0</v>
      </c>
      <c r="K86" s="19">
        <v>0.0</v>
      </c>
      <c r="L86" s="19">
        <v>0.0</v>
      </c>
      <c r="M86" s="19">
        <v>0.0</v>
      </c>
      <c r="N86" s="19">
        <v>3.0</v>
      </c>
      <c r="O86" s="19">
        <v>0.0</v>
      </c>
      <c r="P86" s="19">
        <v>0.0</v>
      </c>
      <c r="Q86" s="19">
        <v>1.0</v>
      </c>
      <c r="R86" s="19">
        <v>1.0</v>
      </c>
      <c r="S86" s="19">
        <v>1.0</v>
      </c>
      <c r="T86" s="19">
        <v>1.0</v>
      </c>
      <c r="U86" s="19">
        <v>1.0</v>
      </c>
      <c r="V86" s="19">
        <v>2.0</v>
      </c>
      <c r="W86" s="19">
        <v>2.0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  <c r="AC86" s="19">
        <v>3.0</v>
      </c>
      <c r="AD86" s="13">
        <f t="shared" si="22"/>
        <v>22</v>
      </c>
    </row>
    <row r="87" ht="12.75" customHeight="1">
      <c r="A87" s="18"/>
      <c r="B87" s="55">
        <v>2.0</v>
      </c>
      <c r="C87" s="50" t="s">
        <v>75</v>
      </c>
      <c r="D87" s="57"/>
      <c r="E87" s="19">
        <v>2.0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1.0</v>
      </c>
      <c r="W87" s="19">
        <v>0.0</v>
      </c>
      <c r="X87" s="19">
        <v>0.0</v>
      </c>
      <c r="Y87" s="19">
        <v>1.0</v>
      </c>
      <c r="Z87" s="19">
        <v>0.0</v>
      </c>
      <c r="AA87" s="19">
        <v>0.0</v>
      </c>
      <c r="AB87" s="19">
        <v>0.0</v>
      </c>
      <c r="AC87" s="19">
        <v>0.0</v>
      </c>
      <c r="AD87" s="13">
        <f t="shared" si="22"/>
        <v>5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0.0</v>
      </c>
      <c r="G88" s="19">
        <v>0.0</v>
      </c>
      <c r="H88" s="19">
        <v>1.0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2.0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3">
        <f t="shared" si="22"/>
        <v>3</v>
      </c>
    </row>
    <row r="89" ht="12.75" customHeight="1">
      <c r="A89" s="18"/>
      <c r="B89" s="55">
        <v>4.0</v>
      </c>
      <c r="C89" s="50" t="s">
        <v>77</v>
      </c>
      <c r="D89" s="57"/>
      <c r="E89" s="19">
        <v>0.0</v>
      </c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1.0</v>
      </c>
      <c r="P89" s="19">
        <v>2.0</v>
      </c>
      <c r="Q89" s="19">
        <v>0.0</v>
      </c>
      <c r="R89" s="19">
        <v>1.0</v>
      </c>
      <c r="S89" s="19">
        <v>1.0</v>
      </c>
      <c r="T89" s="19">
        <v>0.0</v>
      </c>
      <c r="U89" s="19">
        <v>0.0</v>
      </c>
      <c r="V89" s="19">
        <v>0.0</v>
      </c>
      <c r="W89" s="19">
        <v>0.0</v>
      </c>
      <c r="X89" s="19">
        <v>0.0</v>
      </c>
      <c r="Y89" s="19">
        <v>1.0</v>
      </c>
      <c r="Z89" s="19">
        <v>1.0</v>
      </c>
      <c r="AA89" s="19">
        <v>2.0</v>
      </c>
      <c r="AB89" s="19">
        <v>0.0</v>
      </c>
      <c r="AC89" s="19">
        <v>1.0</v>
      </c>
      <c r="AD89" s="13">
        <f t="shared" si="22"/>
        <v>10</v>
      </c>
    </row>
    <row r="90" ht="12.75" customHeight="1">
      <c r="A90" s="18"/>
      <c r="B90" s="55">
        <v>5.0</v>
      </c>
      <c r="C90" s="50" t="s">
        <v>78</v>
      </c>
      <c r="D90" s="57"/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19">
        <v>1.0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0.0</v>
      </c>
      <c r="R90" s="19">
        <v>0.0</v>
      </c>
      <c r="S90" s="19">
        <v>0.0</v>
      </c>
      <c r="T90" s="19">
        <v>0.0</v>
      </c>
      <c r="U90" s="19">
        <v>0.0</v>
      </c>
      <c r="V90" s="19">
        <v>0.0</v>
      </c>
      <c r="W90" s="19">
        <v>0.0</v>
      </c>
      <c r="X90" s="19">
        <v>0.0</v>
      </c>
      <c r="Y90" s="19">
        <v>1.0</v>
      </c>
      <c r="Z90" s="19">
        <v>0.0</v>
      </c>
      <c r="AA90" s="19">
        <v>0.0</v>
      </c>
      <c r="AB90" s="19">
        <v>1.0</v>
      </c>
      <c r="AC90" s="19">
        <v>0.0</v>
      </c>
      <c r="AD90" s="13">
        <f t="shared" si="22"/>
        <v>3</v>
      </c>
    </row>
    <row r="91" ht="12.75" customHeight="1">
      <c r="A91" s="18"/>
      <c r="B91" s="55">
        <v>6.0</v>
      </c>
      <c r="C91" s="50" t="s">
        <v>79</v>
      </c>
      <c r="D91" s="57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9">
        <v>0.0</v>
      </c>
      <c r="AB91" s="19">
        <v>0.0</v>
      </c>
      <c r="AC91" s="19">
        <v>0.0</v>
      </c>
      <c r="AD91" s="13">
        <f t="shared" si="22"/>
        <v>0</v>
      </c>
    </row>
    <row r="92" ht="12.75" customHeight="1">
      <c r="A92" s="18"/>
      <c r="B92" s="55">
        <v>7.0</v>
      </c>
      <c r="C92" s="50" t="s">
        <v>80</v>
      </c>
      <c r="D92" s="57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1.0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0.0</v>
      </c>
      <c r="Y92" s="19">
        <v>0.0</v>
      </c>
      <c r="Z92" s="19">
        <v>0.0</v>
      </c>
      <c r="AA92" s="19">
        <v>0.0</v>
      </c>
      <c r="AB92" s="19">
        <v>0.0</v>
      </c>
      <c r="AC92" s="19">
        <v>0.0</v>
      </c>
      <c r="AD92" s="13">
        <f t="shared" si="22"/>
        <v>1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AD93" si="23">SUM(E85:E92)</f>
        <v>4</v>
      </c>
      <c r="F93" s="13">
        <f t="shared" si="23"/>
        <v>5</v>
      </c>
      <c r="G93" s="13">
        <f t="shared" si="23"/>
        <v>3</v>
      </c>
      <c r="H93" s="13">
        <f t="shared" si="23"/>
        <v>2</v>
      </c>
      <c r="I93" s="13">
        <f t="shared" si="23"/>
        <v>0</v>
      </c>
      <c r="J93" s="13">
        <f t="shared" si="23"/>
        <v>1</v>
      </c>
      <c r="K93" s="13">
        <f t="shared" si="23"/>
        <v>1</v>
      </c>
      <c r="L93" s="13">
        <f t="shared" si="23"/>
        <v>0</v>
      </c>
      <c r="M93" s="13">
        <f t="shared" si="23"/>
        <v>0</v>
      </c>
      <c r="N93" s="13">
        <f t="shared" si="23"/>
        <v>5</v>
      </c>
      <c r="O93" s="13">
        <f t="shared" si="23"/>
        <v>1</v>
      </c>
      <c r="P93" s="13">
        <f t="shared" si="23"/>
        <v>3</v>
      </c>
      <c r="Q93" s="13">
        <f t="shared" si="23"/>
        <v>4</v>
      </c>
      <c r="R93" s="13">
        <f t="shared" si="23"/>
        <v>3</v>
      </c>
      <c r="S93" s="13">
        <f t="shared" si="23"/>
        <v>2</v>
      </c>
      <c r="T93" s="13">
        <f t="shared" si="23"/>
        <v>1</v>
      </c>
      <c r="U93" s="13">
        <f t="shared" si="23"/>
        <v>2</v>
      </c>
      <c r="V93" s="13">
        <f t="shared" si="23"/>
        <v>4</v>
      </c>
      <c r="W93" s="13">
        <f t="shared" si="23"/>
        <v>2</v>
      </c>
      <c r="X93" s="13">
        <f t="shared" si="23"/>
        <v>0</v>
      </c>
      <c r="Y93" s="13">
        <f t="shared" si="23"/>
        <v>4</v>
      </c>
      <c r="Z93" s="13">
        <f t="shared" si="23"/>
        <v>2</v>
      </c>
      <c r="AA93" s="13">
        <f t="shared" si="23"/>
        <v>2</v>
      </c>
      <c r="AB93" s="13">
        <f t="shared" si="23"/>
        <v>2</v>
      </c>
      <c r="AC93" s="13">
        <f t="shared" si="23"/>
        <v>4</v>
      </c>
      <c r="AD93" s="13">
        <f t="shared" si="23"/>
        <v>57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1.0</v>
      </c>
      <c r="F95" s="19">
        <v>0.0</v>
      </c>
      <c r="G95" s="19">
        <v>1.0</v>
      </c>
      <c r="H95" s="19">
        <v>1.0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1.0</v>
      </c>
      <c r="U95" s="19">
        <v>0.0</v>
      </c>
      <c r="V95" s="19">
        <v>1.0</v>
      </c>
      <c r="W95" s="19">
        <v>0.0</v>
      </c>
      <c r="X95" s="19">
        <v>0.0</v>
      </c>
      <c r="Y95" s="19">
        <v>2.0</v>
      </c>
      <c r="Z95" s="19">
        <v>1.0</v>
      </c>
      <c r="AA95" s="19">
        <v>0.0</v>
      </c>
      <c r="AB95" s="19">
        <v>0.0</v>
      </c>
      <c r="AC95" s="19">
        <v>1.0</v>
      </c>
      <c r="AD95" s="13">
        <f t="shared" ref="AD95:AD102" si="24">SUM(E95:AC95)</f>
        <v>9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2.0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2.0</v>
      </c>
      <c r="V96" s="19">
        <v>0.0</v>
      </c>
      <c r="W96" s="19">
        <v>1.0</v>
      </c>
      <c r="X96" s="19">
        <v>0.0</v>
      </c>
      <c r="Y96" s="19">
        <v>1.0</v>
      </c>
      <c r="Z96" s="19">
        <v>0.0</v>
      </c>
      <c r="AA96" s="19">
        <v>1.0</v>
      </c>
      <c r="AB96" s="19">
        <v>0.0</v>
      </c>
      <c r="AC96" s="19">
        <v>2.0</v>
      </c>
      <c r="AD96" s="13">
        <f t="shared" si="24"/>
        <v>10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0.0</v>
      </c>
      <c r="G97" s="19">
        <v>1.0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1.0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0.0</v>
      </c>
      <c r="AB97" s="19">
        <v>0.0</v>
      </c>
      <c r="AC97" s="19">
        <v>0.0</v>
      </c>
      <c r="AD97" s="13">
        <f t="shared" si="24"/>
        <v>2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1.0</v>
      </c>
      <c r="AB98" s="19">
        <v>0.0</v>
      </c>
      <c r="AC98" s="19">
        <v>0.0</v>
      </c>
      <c r="AD98" s="13">
        <f t="shared" si="24"/>
        <v>1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1.0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3">
        <f t="shared" si="24"/>
        <v>1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3">
        <f t="shared" si="24"/>
        <v>0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1.0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9">
        <v>0.0</v>
      </c>
      <c r="Y101" s="19">
        <v>0.0</v>
      </c>
      <c r="Z101" s="19">
        <v>0.0</v>
      </c>
      <c r="AA101" s="19">
        <v>0.0</v>
      </c>
      <c r="AB101" s="19">
        <v>0.0</v>
      </c>
      <c r="AC101" s="19">
        <v>0.0</v>
      </c>
      <c r="AD101" s="13">
        <f t="shared" si="24"/>
        <v>1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9">
        <v>0.0</v>
      </c>
      <c r="W102" s="19">
        <v>0.0</v>
      </c>
      <c r="X102" s="19">
        <v>0.0</v>
      </c>
      <c r="Y102" s="19">
        <v>0.0</v>
      </c>
      <c r="Z102" s="19">
        <v>0.0</v>
      </c>
      <c r="AA102" s="19">
        <v>0.0</v>
      </c>
      <c r="AB102" s="19">
        <v>0.0</v>
      </c>
      <c r="AC102" s="19">
        <v>0.0</v>
      </c>
      <c r="AD102" s="13">
        <f t="shared" si="24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D103" si="25">SUM(E95:E102)</f>
        <v>1</v>
      </c>
      <c r="F103" s="13">
        <f t="shared" si="25"/>
        <v>0</v>
      </c>
      <c r="G103" s="13">
        <f t="shared" si="25"/>
        <v>2</v>
      </c>
      <c r="H103" s="13">
        <f t="shared" si="25"/>
        <v>1</v>
      </c>
      <c r="I103" s="13">
        <f t="shared" si="25"/>
        <v>0</v>
      </c>
      <c r="J103" s="13">
        <f t="shared" si="25"/>
        <v>0</v>
      </c>
      <c r="K103" s="13">
        <f t="shared" si="25"/>
        <v>3</v>
      </c>
      <c r="L103" s="13">
        <f t="shared" si="25"/>
        <v>0</v>
      </c>
      <c r="M103" s="13">
        <f t="shared" si="25"/>
        <v>1</v>
      </c>
      <c r="N103" s="13">
        <f t="shared" si="25"/>
        <v>0</v>
      </c>
      <c r="O103" s="13">
        <f t="shared" si="25"/>
        <v>1</v>
      </c>
      <c r="P103" s="13">
        <f t="shared" si="25"/>
        <v>0</v>
      </c>
      <c r="Q103" s="13">
        <f t="shared" si="25"/>
        <v>0</v>
      </c>
      <c r="R103" s="13">
        <f t="shared" si="25"/>
        <v>1</v>
      </c>
      <c r="S103" s="13">
        <f t="shared" si="25"/>
        <v>0</v>
      </c>
      <c r="T103" s="13">
        <f t="shared" si="25"/>
        <v>1</v>
      </c>
      <c r="U103" s="13">
        <f t="shared" si="25"/>
        <v>2</v>
      </c>
      <c r="V103" s="13">
        <f t="shared" si="25"/>
        <v>1</v>
      </c>
      <c r="W103" s="13">
        <f t="shared" si="25"/>
        <v>1</v>
      </c>
      <c r="X103" s="13">
        <f t="shared" si="25"/>
        <v>0</v>
      </c>
      <c r="Y103" s="13">
        <f t="shared" si="25"/>
        <v>3</v>
      </c>
      <c r="Z103" s="13">
        <f t="shared" si="25"/>
        <v>1</v>
      </c>
      <c r="AA103" s="13">
        <f t="shared" si="25"/>
        <v>2</v>
      </c>
      <c r="AB103" s="13">
        <f t="shared" si="25"/>
        <v>0</v>
      </c>
      <c r="AC103" s="13">
        <f t="shared" si="25"/>
        <v>3</v>
      </c>
      <c r="AD103" s="13">
        <f t="shared" si="25"/>
        <v>24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1.0</v>
      </c>
      <c r="F105" s="19">
        <v>2.0</v>
      </c>
      <c r="G105" s="19">
        <v>0.0</v>
      </c>
      <c r="H105" s="19">
        <v>1.0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1.0</v>
      </c>
      <c r="O105" s="19">
        <v>1.0</v>
      </c>
      <c r="P105" s="19">
        <v>1.0</v>
      </c>
      <c r="Q105" s="19">
        <v>0.0</v>
      </c>
      <c r="R105" s="19">
        <v>0.0</v>
      </c>
      <c r="S105" s="19">
        <v>1.0</v>
      </c>
      <c r="T105" s="19">
        <v>1.0</v>
      </c>
      <c r="U105" s="19">
        <v>1.0</v>
      </c>
      <c r="V105" s="19">
        <v>0.0</v>
      </c>
      <c r="W105" s="19">
        <v>1.0</v>
      </c>
      <c r="X105" s="19">
        <v>1.0</v>
      </c>
      <c r="Y105" s="19">
        <v>0.0</v>
      </c>
      <c r="Z105" s="19">
        <v>1.0</v>
      </c>
      <c r="AA105" s="19">
        <v>0.0</v>
      </c>
      <c r="AB105" s="19">
        <v>0.0</v>
      </c>
      <c r="AC105" s="19">
        <v>2.0</v>
      </c>
      <c r="AD105" s="13">
        <f t="shared" ref="AD105:AD108" si="26">SUM(E105:AC105)</f>
        <v>15</v>
      </c>
      <c r="AE105" s="5"/>
      <c r="AF105" s="5"/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1.0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1.0</v>
      </c>
      <c r="AC106" s="19">
        <v>0.0</v>
      </c>
      <c r="AD106" s="13">
        <f t="shared" si="26"/>
        <v>2</v>
      </c>
      <c r="AE106" s="5"/>
      <c r="AF106" s="5"/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2.0</v>
      </c>
      <c r="P107" s="19">
        <v>2.0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1.0</v>
      </c>
      <c r="W107" s="19">
        <v>0.0</v>
      </c>
      <c r="X107" s="19">
        <v>0.0</v>
      </c>
      <c r="Y107" s="19">
        <v>1.0</v>
      </c>
      <c r="Z107" s="19">
        <v>0.0</v>
      </c>
      <c r="AA107" s="19">
        <v>0.0</v>
      </c>
      <c r="AB107" s="19">
        <v>0.0</v>
      </c>
      <c r="AC107" s="19">
        <v>1.0</v>
      </c>
      <c r="AD107" s="13">
        <f t="shared" si="26"/>
        <v>7</v>
      </c>
      <c r="AE107" s="5"/>
      <c r="AF107" s="5"/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1.0</v>
      </c>
      <c r="P108" s="19">
        <v>0.0</v>
      </c>
      <c r="Q108" s="19">
        <v>0.0</v>
      </c>
      <c r="R108" s="19">
        <v>0.0</v>
      </c>
      <c r="S108" s="19">
        <v>1.0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1.0</v>
      </c>
      <c r="AD108" s="13">
        <f t="shared" si="26"/>
        <v>3</v>
      </c>
      <c r="AE108" s="5"/>
      <c r="AF108" s="5"/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AD109" si="27">SUM(E105:E108)</f>
        <v>1</v>
      </c>
      <c r="F109" s="13">
        <f t="shared" si="27"/>
        <v>2</v>
      </c>
      <c r="G109" s="13">
        <f t="shared" si="27"/>
        <v>0</v>
      </c>
      <c r="H109" s="13">
        <f t="shared" si="27"/>
        <v>1</v>
      </c>
      <c r="I109" s="13">
        <f t="shared" si="27"/>
        <v>0</v>
      </c>
      <c r="J109" s="13">
        <f t="shared" si="27"/>
        <v>0</v>
      </c>
      <c r="K109" s="13">
        <f t="shared" si="27"/>
        <v>0</v>
      </c>
      <c r="L109" s="13">
        <f t="shared" si="27"/>
        <v>0</v>
      </c>
      <c r="M109" s="13">
        <f t="shared" si="27"/>
        <v>0</v>
      </c>
      <c r="N109" s="13">
        <f t="shared" si="27"/>
        <v>1</v>
      </c>
      <c r="O109" s="13">
        <f t="shared" si="27"/>
        <v>4</v>
      </c>
      <c r="P109" s="13">
        <f t="shared" si="27"/>
        <v>3</v>
      </c>
      <c r="Q109" s="13">
        <f t="shared" si="27"/>
        <v>1</v>
      </c>
      <c r="R109" s="13">
        <f t="shared" si="27"/>
        <v>0</v>
      </c>
      <c r="S109" s="13">
        <f t="shared" si="27"/>
        <v>2</v>
      </c>
      <c r="T109" s="13">
        <f t="shared" si="27"/>
        <v>1</v>
      </c>
      <c r="U109" s="13">
        <f t="shared" si="27"/>
        <v>1</v>
      </c>
      <c r="V109" s="13">
        <f t="shared" si="27"/>
        <v>1</v>
      </c>
      <c r="W109" s="13">
        <f t="shared" si="27"/>
        <v>1</v>
      </c>
      <c r="X109" s="13">
        <f t="shared" si="27"/>
        <v>1</v>
      </c>
      <c r="Y109" s="13">
        <f t="shared" si="27"/>
        <v>1</v>
      </c>
      <c r="Z109" s="13">
        <f t="shared" si="27"/>
        <v>1</v>
      </c>
      <c r="AA109" s="13">
        <f t="shared" si="27"/>
        <v>0</v>
      </c>
      <c r="AB109" s="13">
        <f t="shared" si="27"/>
        <v>1</v>
      </c>
      <c r="AC109" s="13">
        <f t="shared" si="27"/>
        <v>4</v>
      </c>
      <c r="AD109" s="13">
        <f t="shared" si="27"/>
        <v>27</v>
      </c>
      <c r="AE109" s="5"/>
      <c r="AF109" s="5"/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5"/>
      <c r="AF110" s="5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0.0</v>
      </c>
      <c r="F111" s="19">
        <v>0.0</v>
      </c>
      <c r="G111" s="19">
        <v>1.0</v>
      </c>
      <c r="H111" s="19">
        <v>0.0</v>
      </c>
      <c r="I111" s="19">
        <v>0.0</v>
      </c>
      <c r="J111" s="19">
        <v>1.0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1.0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2.0</v>
      </c>
      <c r="Z111" s="19">
        <v>0.0</v>
      </c>
      <c r="AA111" s="19">
        <v>0.0</v>
      </c>
      <c r="AB111" s="19">
        <v>0.0</v>
      </c>
      <c r="AC111" s="19">
        <v>0.0</v>
      </c>
      <c r="AD111" s="13">
        <f t="shared" ref="AD111:AD118" si="28">SUM(E111:AC111)</f>
        <v>5</v>
      </c>
      <c r="AE111" s="5"/>
      <c r="AF111" s="5"/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1.0</v>
      </c>
      <c r="F112" s="19">
        <v>4.0</v>
      </c>
      <c r="G112" s="19">
        <v>5.0</v>
      </c>
      <c r="H112" s="19">
        <v>0.0</v>
      </c>
      <c r="I112" s="19">
        <v>0.0</v>
      </c>
      <c r="J112" s="19">
        <v>2.0</v>
      </c>
      <c r="K112" s="19">
        <v>3.0</v>
      </c>
      <c r="L112" s="19">
        <v>0.0</v>
      </c>
      <c r="M112" s="19">
        <v>0.0</v>
      </c>
      <c r="N112" s="19">
        <v>1.0</v>
      </c>
      <c r="O112" s="19">
        <v>2.0</v>
      </c>
      <c r="P112" s="19">
        <v>0.0</v>
      </c>
      <c r="Q112" s="19">
        <v>0.0</v>
      </c>
      <c r="R112" s="19">
        <v>0.0</v>
      </c>
      <c r="S112" s="19">
        <v>0.0</v>
      </c>
      <c r="T112" s="19">
        <v>3.0</v>
      </c>
      <c r="U112" s="19">
        <v>3.0</v>
      </c>
      <c r="V112" s="19">
        <v>0.0</v>
      </c>
      <c r="W112" s="19">
        <v>0.0</v>
      </c>
      <c r="X112" s="19">
        <v>1.0</v>
      </c>
      <c r="Y112" s="19">
        <v>4.0</v>
      </c>
      <c r="Z112" s="19">
        <v>0.0</v>
      </c>
      <c r="AA112" s="19">
        <v>0.0</v>
      </c>
      <c r="AB112" s="19">
        <v>0.0</v>
      </c>
      <c r="AC112" s="19">
        <v>0.0</v>
      </c>
      <c r="AD112" s="13">
        <f t="shared" si="28"/>
        <v>29</v>
      </c>
      <c r="AE112" s="1"/>
      <c r="AF112" s="1"/>
    </row>
    <row r="113" ht="12.75" customHeight="1">
      <c r="A113" s="18"/>
      <c r="B113" s="55">
        <v>2.0</v>
      </c>
      <c r="C113" s="50" t="s">
        <v>98</v>
      </c>
      <c r="D113" s="56"/>
      <c r="E113" s="19">
        <v>0.0</v>
      </c>
      <c r="F113" s="19">
        <v>0.0</v>
      </c>
      <c r="G113" s="19">
        <v>1.0</v>
      </c>
      <c r="H113" s="19">
        <v>2.0</v>
      </c>
      <c r="I113" s="19">
        <v>0.0</v>
      </c>
      <c r="J113" s="19">
        <v>0.0</v>
      </c>
      <c r="K113" s="19">
        <v>0.0</v>
      </c>
      <c r="L113" s="19">
        <v>0.0</v>
      </c>
      <c r="M113" s="19">
        <v>1.0</v>
      </c>
      <c r="N113" s="19">
        <v>1.0</v>
      </c>
      <c r="O113" s="19">
        <v>1.0</v>
      </c>
      <c r="P113" s="19">
        <v>3.0</v>
      </c>
      <c r="Q113" s="19">
        <v>0.0</v>
      </c>
      <c r="R113" s="19">
        <v>3.0</v>
      </c>
      <c r="S113" s="19">
        <v>0.0</v>
      </c>
      <c r="T113" s="19">
        <v>0.0</v>
      </c>
      <c r="U113" s="19">
        <v>0.0</v>
      </c>
      <c r="V113" s="19">
        <v>0.0</v>
      </c>
      <c r="W113" s="19">
        <v>1.0</v>
      </c>
      <c r="X113" s="19">
        <v>0.0</v>
      </c>
      <c r="Y113" s="19">
        <v>0.0</v>
      </c>
      <c r="Z113" s="19">
        <v>0.0</v>
      </c>
      <c r="AA113" s="19">
        <v>0.0</v>
      </c>
      <c r="AB113" s="19">
        <v>1.0</v>
      </c>
      <c r="AC113" s="19">
        <v>0.0</v>
      </c>
      <c r="AD113" s="13">
        <f t="shared" si="28"/>
        <v>14</v>
      </c>
      <c r="AE113" s="52"/>
      <c r="AF113" s="52"/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0.0</v>
      </c>
      <c r="AB114" s="19">
        <v>0.0</v>
      </c>
      <c r="AC114" s="19">
        <v>0.0</v>
      </c>
      <c r="AD114" s="13">
        <f t="shared" si="28"/>
        <v>0</v>
      </c>
      <c r="AE114" s="5"/>
      <c r="AF114" s="5"/>
    </row>
    <row r="115" ht="12.75" customHeight="1">
      <c r="A115" s="18"/>
      <c r="B115" s="55">
        <v>4.0</v>
      </c>
      <c r="C115" s="50" t="s">
        <v>100</v>
      </c>
      <c r="D115" s="56"/>
      <c r="E115" s="19">
        <v>0.0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0.0</v>
      </c>
      <c r="S115" s="19">
        <v>0.0</v>
      </c>
      <c r="T115" s="19">
        <v>0.0</v>
      </c>
      <c r="U115" s="19">
        <v>0.0</v>
      </c>
      <c r="V115" s="19">
        <v>0.0</v>
      </c>
      <c r="W115" s="19">
        <v>0.0</v>
      </c>
      <c r="X115" s="19">
        <v>0.0</v>
      </c>
      <c r="Y115" s="19">
        <v>0.0</v>
      </c>
      <c r="Z115" s="19">
        <v>0.0</v>
      </c>
      <c r="AA115" s="19">
        <v>0.0</v>
      </c>
      <c r="AB115" s="19">
        <v>0.0</v>
      </c>
      <c r="AC115" s="19">
        <v>0.0</v>
      </c>
      <c r="AD115" s="13">
        <f t="shared" si="28"/>
        <v>0</v>
      </c>
      <c r="AE115" s="5"/>
      <c r="AF115" s="5"/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9">
        <v>0.0</v>
      </c>
      <c r="T116" s="19">
        <v>0.0</v>
      </c>
      <c r="U116" s="19">
        <v>0.0</v>
      </c>
      <c r="V116" s="19">
        <v>0.0</v>
      </c>
      <c r="W116" s="19">
        <v>0.0</v>
      </c>
      <c r="X116" s="19">
        <v>0.0</v>
      </c>
      <c r="Y116" s="19">
        <v>0.0</v>
      </c>
      <c r="Z116" s="19">
        <v>0.0</v>
      </c>
      <c r="AA116" s="19">
        <v>0.0</v>
      </c>
      <c r="AB116" s="19">
        <v>0.0</v>
      </c>
      <c r="AC116" s="19">
        <v>0.0</v>
      </c>
      <c r="AD116" s="13">
        <f t="shared" si="28"/>
        <v>0</v>
      </c>
      <c r="AE116" s="5"/>
      <c r="AF116" s="5"/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3">
        <f t="shared" si="28"/>
        <v>0</v>
      </c>
      <c r="AE117" s="5"/>
      <c r="AF117" s="5"/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1.0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3">
        <f t="shared" si="28"/>
        <v>1</v>
      </c>
      <c r="AE118" s="5"/>
      <c r="AF118" s="5"/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AD119" si="29">SUM(E111:E118)</f>
        <v>1</v>
      </c>
      <c r="F119" s="13">
        <f t="shared" si="29"/>
        <v>4</v>
      </c>
      <c r="G119" s="13">
        <f t="shared" si="29"/>
        <v>8</v>
      </c>
      <c r="H119" s="13">
        <f t="shared" si="29"/>
        <v>2</v>
      </c>
      <c r="I119" s="13">
        <f t="shared" si="29"/>
        <v>0</v>
      </c>
      <c r="J119" s="13">
        <f t="shared" si="29"/>
        <v>3</v>
      </c>
      <c r="K119" s="13">
        <f t="shared" si="29"/>
        <v>3</v>
      </c>
      <c r="L119" s="13">
        <f t="shared" si="29"/>
        <v>0</v>
      </c>
      <c r="M119" s="13">
        <f t="shared" si="29"/>
        <v>1</v>
      </c>
      <c r="N119" s="13">
        <f t="shared" si="29"/>
        <v>2</v>
      </c>
      <c r="O119" s="13">
        <f t="shared" si="29"/>
        <v>3</v>
      </c>
      <c r="P119" s="13">
        <f t="shared" si="29"/>
        <v>3</v>
      </c>
      <c r="Q119" s="13">
        <f t="shared" si="29"/>
        <v>0</v>
      </c>
      <c r="R119" s="13">
        <f t="shared" si="29"/>
        <v>3</v>
      </c>
      <c r="S119" s="13">
        <f t="shared" si="29"/>
        <v>1</v>
      </c>
      <c r="T119" s="13">
        <f t="shared" si="29"/>
        <v>3</v>
      </c>
      <c r="U119" s="13">
        <f t="shared" si="29"/>
        <v>3</v>
      </c>
      <c r="V119" s="13">
        <f t="shared" si="29"/>
        <v>0</v>
      </c>
      <c r="W119" s="13">
        <f t="shared" si="29"/>
        <v>1</v>
      </c>
      <c r="X119" s="13">
        <f t="shared" si="29"/>
        <v>1</v>
      </c>
      <c r="Y119" s="13">
        <f t="shared" si="29"/>
        <v>6</v>
      </c>
      <c r="Z119" s="13">
        <f t="shared" si="29"/>
        <v>0</v>
      </c>
      <c r="AA119" s="13">
        <f t="shared" si="29"/>
        <v>0</v>
      </c>
      <c r="AB119" s="13">
        <f t="shared" si="29"/>
        <v>1</v>
      </c>
      <c r="AC119" s="13">
        <f t="shared" si="29"/>
        <v>0</v>
      </c>
      <c r="AD119" s="13">
        <f t="shared" si="29"/>
        <v>49</v>
      </c>
      <c r="AE119" s="5"/>
      <c r="AF119" s="5"/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5"/>
      <c r="AF120" s="5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9">
        <v>0.0</v>
      </c>
      <c r="AD121" s="13">
        <f t="shared" ref="AD121:AD128" si="30">SUM(E121:AC121)</f>
        <v>0</v>
      </c>
      <c r="AE121" s="1"/>
      <c r="AF121" s="1"/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1.0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3">
        <f t="shared" si="30"/>
        <v>1</v>
      </c>
      <c r="AE122" s="52"/>
      <c r="AF122" s="52"/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3">
        <f t="shared" si="30"/>
        <v>0</v>
      </c>
      <c r="AE123" s="5"/>
      <c r="AF123" s="5"/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0.0</v>
      </c>
      <c r="AA124" s="19">
        <v>0.0</v>
      </c>
      <c r="AB124" s="19">
        <v>0.0</v>
      </c>
      <c r="AC124" s="19">
        <v>0.0</v>
      </c>
      <c r="AD124" s="13">
        <f t="shared" si="30"/>
        <v>0</v>
      </c>
      <c r="AE124" s="5"/>
      <c r="AF124" s="5"/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9">
        <v>0.0</v>
      </c>
      <c r="T125" s="19">
        <v>0.0</v>
      </c>
      <c r="U125" s="19">
        <v>0.0</v>
      </c>
      <c r="V125" s="19">
        <v>0.0</v>
      </c>
      <c r="W125" s="19">
        <v>0.0</v>
      </c>
      <c r="X125" s="19">
        <v>0.0</v>
      </c>
      <c r="Y125" s="19">
        <v>0.0</v>
      </c>
      <c r="Z125" s="19">
        <v>0.0</v>
      </c>
      <c r="AA125" s="19">
        <v>0.0</v>
      </c>
      <c r="AB125" s="19">
        <v>0.0</v>
      </c>
      <c r="AC125" s="19">
        <v>0.0</v>
      </c>
      <c r="AD125" s="13">
        <f t="shared" si="30"/>
        <v>0</v>
      </c>
      <c r="AE125" s="5"/>
      <c r="AF125" s="5"/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0.0</v>
      </c>
      <c r="T126" s="19">
        <v>0.0</v>
      </c>
      <c r="U126" s="19">
        <v>0.0</v>
      </c>
      <c r="V126" s="19">
        <v>0.0</v>
      </c>
      <c r="W126" s="19">
        <v>0.0</v>
      </c>
      <c r="X126" s="19">
        <v>0.0</v>
      </c>
      <c r="Y126" s="19">
        <v>0.0</v>
      </c>
      <c r="Z126" s="19">
        <v>0.0</v>
      </c>
      <c r="AA126" s="19">
        <v>0.0</v>
      </c>
      <c r="AB126" s="19">
        <v>0.0</v>
      </c>
      <c r="AC126" s="19">
        <v>0.0</v>
      </c>
      <c r="AD126" s="13">
        <f t="shared" si="30"/>
        <v>0</v>
      </c>
      <c r="AE126" s="5"/>
      <c r="AF126" s="5"/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9">
        <v>0.0</v>
      </c>
      <c r="T127" s="19">
        <v>0.0</v>
      </c>
      <c r="U127" s="19">
        <v>0.0</v>
      </c>
      <c r="V127" s="19">
        <v>0.0</v>
      </c>
      <c r="W127" s="19">
        <v>0.0</v>
      </c>
      <c r="X127" s="19">
        <v>0.0</v>
      </c>
      <c r="Y127" s="19">
        <v>0.0</v>
      </c>
      <c r="Z127" s="19">
        <v>0.0</v>
      </c>
      <c r="AA127" s="19">
        <v>0.0</v>
      </c>
      <c r="AB127" s="19">
        <v>0.0</v>
      </c>
      <c r="AC127" s="19">
        <v>0.0</v>
      </c>
      <c r="AD127" s="13">
        <f t="shared" si="30"/>
        <v>0</v>
      </c>
      <c r="AE127" s="5"/>
      <c r="AF127" s="5"/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9">
        <v>0.0</v>
      </c>
      <c r="T128" s="19">
        <v>0.0</v>
      </c>
      <c r="U128" s="19">
        <v>0.0</v>
      </c>
      <c r="V128" s="19">
        <v>0.0</v>
      </c>
      <c r="W128" s="19">
        <v>0.0</v>
      </c>
      <c r="X128" s="19">
        <v>0.0</v>
      </c>
      <c r="Y128" s="19">
        <v>0.0</v>
      </c>
      <c r="Z128" s="19">
        <v>0.0</v>
      </c>
      <c r="AA128" s="19">
        <v>0.0</v>
      </c>
      <c r="AB128" s="19">
        <v>0.0</v>
      </c>
      <c r="AC128" s="19">
        <v>0.0</v>
      </c>
      <c r="AD128" s="13">
        <f t="shared" si="30"/>
        <v>0</v>
      </c>
      <c r="AE128" s="5"/>
      <c r="AF128" s="5"/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AD129" si="31">SUM(E121:E128)</f>
        <v>0</v>
      </c>
      <c r="F129" s="13">
        <f t="shared" si="31"/>
        <v>0</v>
      </c>
      <c r="G129" s="13">
        <f t="shared" si="31"/>
        <v>0</v>
      </c>
      <c r="H129" s="13">
        <f t="shared" si="31"/>
        <v>0</v>
      </c>
      <c r="I129" s="13">
        <f t="shared" si="31"/>
        <v>0</v>
      </c>
      <c r="J129" s="13">
        <f t="shared" si="31"/>
        <v>0</v>
      </c>
      <c r="K129" s="13">
        <f t="shared" si="31"/>
        <v>0</v>
      </c>
      <c r="L129" s="13">
        <f t="shared" si="31"/>
        <v>0</v>
      </c>
      <c r="M129" s="13">
        <f t="shared" si="31"/>
        <v>0</v>
      </c>
      <c r="N129" s="13">
        <f t="shared" si="31"/>
        <v>0</v>
      </c>
      <c r="O129" s="13">
        <f t="shared" si="31"/>
        <v>0</v>
      </c>
      <c r="P129" s="13">
        <f t="shared" si="31"/>
        <v>0</v>
      </c>
      <c r="Q129" s="13">
        <f t="shared" si="31"/>
        <v>0</v>
      </c>
      <c r="R129" s="13">
        <f t="shared" si="31"/>
        <v>0</v>
      </c>
      <c r="S129" s="13">
        <f t="shared" si="31"/>
        <v>0</v>
      </c>
      <c r="T129" s="13">
        <f t="shared" si="31"/>
        <v>0</v>
      </c>
      <c r="U129" s="13">
        <f t="shared" si="31"/>
        <v>0</v>
      </c>
      <c r="V129" s="13">
        <f t="shared" si="31"/>
        <v>0</v>
      </c>
      <c r="W129" s="13">
        <f t="shared" si="31"/>
        <v>1</v>
      </c>
      <c r="X129" s="13">
        <f t="shared" si="31"/>
        <v>0</v>
      </c>
      <c r="Y129" s="13">
        <f t="shared" si="31"/>
        <v>0</v>
      </c>
      <c r="Z129" s="13">
        <f t="shared" si="31"/>
        <v>0</v>
      </c>
      <c r="AA129" s="13">
        <f t="shared" si="31"/>
        <v>0</v>
      </c>
      <c r="AB129" s="13">
        <f t="shared" si="31"/>
        <v>0</v>
      </c>
      <c r="AC129" s="13">
        <f t="shared" si="31"/>
        <v>0</v>
      </c>
      <c r="AD129" s="13">
        <f t="shared" si="31"/>
        <v>1</v>
      </c>
      <c r="AE129" s="1"/>
      <c r="AF129" s="1"/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13"/>
      <c r="AE130" s="52"/>
      <c r="AF130" s="52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1.0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1.0</v>
      </c>
      <c r="AD131" s="13">
        <f t="shared" ref="AD131:AD135" si="32">SUM(E132:AC132)</f>
        <v>12</v>
      </c>
      <c r="AE131" s="5"/>
      <c r="AF131" s="5"/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1.0</v>
      </c>
      <c r="F132" s="19">
        <v>2.0</v>
      </c>
      <c r="G132" s="19">
        <v>0.0</v>
      </c>
      <c r="H132" s="19">
        <v>0.0</v>
      </c>
      <c r="I132" s="19">
        <v>0.0</v>
      </c>
      <c r="J132" s="19">
        <v>1.0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1.0</v>
      </c>
      <c r="Q132" s="19">
        <v>0.0</v>
      </c>
      <c r="R132" s="19">
        <v>1.0</v>
      </c>
      <c r="S132" s="19">
        <v>1.0</v>
      </c>
      <c r="T132" s="19">
        <v>0.0</v>
      </c>
      <c r="U132" s="19">
        <v>2.0</v>
      </c>
      <c r="V132" s="19">
        <v>1.0</v>
      </c>
      <c r="W132" s="19">
        <v>0.0</v>
      </c>
      <c r="X132" s="19">
        <v>0.0</v>
      </c>
      <c r="Y132" s="19">
        <v>0.0</v>
      </c>
      <c r="Z132" s="19">
        <v>1.0</v>
      </c>
      <c r="AA132" s="19">
        <v>0.0</v>
      </c>
      <c r="AB132" s="19">
        <v>1.0</v>
      </c>
      <c r="AC132" s="19">
        <v>0.0</v>
      </c>
      <c r="AD132" s="13">
        <f t="shared" si="32"/>
        <v>2</v>
      </c>
      <c r="AE132" s="5"/>
      <c r="AF132" s="5"/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0.0</v>
      </c>
      <c r="G133" s="19">
        <v>0.0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3">
        <f t="shared" si="32"/>
        <v>3</v>
      </c>
      <c r="AE133" s="5"/>
      <c r="AF133" s="5"/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1.0</v>
      </c>
      <c r="H134" s="19">
        <v>0.0</v>
      </c>
      <c r="I134" s="19">
        <v>1.0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1.0</v>
      </c>
      <c r="AC134" s="19">
        <v>0.0</v>
      </c>
      <c r="AD134" s="13">
        <f t="shared" si="32"/>
        <v>2</v>
      </c>
      <c r="AE134" s="5"/>
      <c r="AF134" s="5"/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1.0</v>
      </c>
      <c r="W135" s="19">
        <v>1.0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3">
        <f t="shared" si="32"/>
        <v>21</v>
      </c>
      <c r="AE135" s="5"/>
      <c r="AF135" s="5"/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AD136" si="33">SUM(E131:E135)</f>
        <v>1</v>
      </c>
      <c r="F136" s="13">
        <f t="shared" si="33"/>
        <v>2</v>
      </c>
      <c r="G136" s="13">
        <f t="shared" si="33"/>
        <v>1</v>
      </c>
      <c r="H136" s="13">
        <f t="shared" si="33"/>
        <v>1</v>
      </c>
      <c r="I136" s="13">
        <f t="shared" si="33"/>
        <v>1</v>
      </c>
      <c r="J136" s="13">
        <f t="shared" si="33"/>
        <v>1</v>
      </c>
      <c r="K136" s="13">
        <f t="shared" si="33"/>
        <v>0</v>
      </c>
      <c r="L136" s="13">
        <f t="shared" si="33"/>
        <v>0</v>
      </c>
      <c r="M136" s="13">
        <f t="shared" si="33"/>
        <v>0</v>
      </c>
      <c r="N136" s="13">
        <f t="shared" si="33"/>
        <v>0</v>
      </c>
      <c r="O136" s="13">
        <f t="shared" si="33"/>
        <v>0</v>
      </c>
      <c r="P136" s="13">
        <f t="shared" si="33"/>
        <v>1</v>
      </c>
      <c r="Q136" s="13">
        <f t="shared" si="33"/>
        <v>1</v>
      </c>
      <c r="R136" s="13">
        <f t="shared" si="33"/>
        <v>1</v>
      </c>
      <c r="S136" s="13">
        <f t="shared" si="33"/>
        <v>1</v>
      </c>
      <c r="T136" s="13">
        <f t="shared" si="33"/>
        <v>0</v>
      </c>
      <c r="U136" s="13">
        <f t="shared" si="33"/>
        <v>2</v>
      </c>
      <c r="V136" s="13">
        <f t="shared" si="33"/>
        <v>2</v>
      </c>
      <c r="W136" s="13">
        <f t="shared" si="33"/>
        <v>1</v>
      </c>
      <c r="X136" s="13">
        <f t="shared" si="33"/>
        <v>1</v>
      </c>
      <c r="Y136" s="13">
        <f t="shared" si="33"/>
        <v>0</v>
      </c>
      <c r="Z136" s="13">
        <f t="shared" si="33"/>
        <v>1</v>
      </c>
      <c r="AA136" s="13">
        <f t="shared" si="33"/>
        <v>0</v>
      </c>
      <c r="AB136" s="13">
        <f t="shared" si="33"/>
        <v>2</v>
      </c>
      <c r="AC136" s="13">
        <f t="shared" si="33"/>
        <v>1</v>
      </c>
      <c r="AD136" s="13">
        <f t="shared" si="33"/>
        <v>40</v>
      </c>
      <c r="AE136" s="5"/>
      <c r="AF136" s="5"/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5"/>
      <c r="AF137" s="5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1.0</v>
      </c>
      <c r="N138" s="19">
        <v>0.0</v>
      </c>
      <c r="O138" s="19">
        <v>1.0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1.0</v>
      </c>
      <c r="Z138" s="19">
        <v>1.0</v>
      </c>
      <c r="AA138" s="19">
        <v>0.0</v>
      </c>
      <c r="AB138" s="19">
        <v>1.0</v>
      </c>
      <c r="AC138" s="19">
        <v>1.0</v>
      </c>
      <c r="AD138" s="13">
        <f t="shared" ref="AD138:AD145" si="34">SUM(E138:AC138)</f>
        <v>6</v>
      </c>
      <c r="AE138" s="1"/>
      <c r="AF138" s="1"/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2.0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9">
        <v>0.0</v>
      </c>
      <c r="AD139" s="13">
        <f t="shared" si="34"/>
        <v>2</v>
      </c>
      <c r="AE139" s="52"/>
      <c r="AF139" s="52"/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2.0</v>
      </c>
      <c r="W140" s="19">
        <v>0.0</v>
      </c>
      <c r="X140" s="19">
        <v>0.0</v>
      </c>
      <c r="Y140" s="19">
        <v>1.0</v>
      </c>
      <c r="Z140" s="19">
        <v>0.0</v>
      </c>
      <c r="AA140" s="19">
        <v>0.0</v>
      </c>
      <c r="AB140" s="19">
        <v>0.0</v>
      </c>
      <c r="AC140" s="19">
        <v>0.0</v>
      </c>
      <c r="AD140" s="13">
        <f t="shared" si="34"/>
        <v>3</v>
      </c>
      <c r="AE140" s="5"/>
      <c r="AF140" s="5"/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1.0</v>
      </c>
      <c r="AC141" s="19">
        <v>0.0</v>
      </c>
      <c r="AD141" s="13">
        <f t="shared" si="34"/>
        <v>1</v>
      </c>
      <c r="AE141" s="5"/>
      <c r="AF141" s="5"/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1.0</v>
      </c>
      <c r="Z142" s="19">
        <v>1.0</v>
      </c>
      <c r="AA142" s="19">
        <v>0.0</v>
      </c>
      <c r="AB142" s="19">
        <v>1.0</v>
      </c>
      <c r="AC142" s="19">
        <v>0.0</v>
      </c>
      <c r="AD142" s="13">
        <f t="shared" si="34"/>
        <v>3</v>
      </c>
      <c r="AE142" s="5"/>
      <c r="AF142" s="5"/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1.0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3">
        <f t="shared" si="34"/>
        <v>1</v>
      </c>
      <c r="AE143" s="5"/>
      <c r="AF143" s="5"/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3">
        <f t="shared" si="34"/>
        <v>0</v>
      </c>
      <c r="AE144" s="5"/>
      <c r="AF144" s="5"/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3">
        <f t="shared" si="34"/>
        <v>0</v>
      </c>
      <c r="AE145" s="5"/>
      <c r="AF145" s="5"/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AD146" si="35">SUM(E138:E145)</f>
        <v>0</v>
      </c>
      <c r="F146" s="13">
        <f t="shared" si="35"/>
        <v>0</v>
      </c>
      <c r="G146" s="13">
        <f t="shared" si="35"/>
        <v>0</v>
      </c>
      <c r="H146" s="13">
        <f t="shared" si="35"/>
        <v>0</v>
      </c>
      <c r="I146" s="13">
        <f t="shared" si="35"/>
        <v>0</v>
      </c>
      <c r="J146" s="13">
        <f t="shared" si="35"/>
        <v>1</v>
      </c>
      <c r="K146" s="13">
        <f t="shared" si="35"/>
        <v>0</v>
      </c>
      <c r="L146" s="13">
        <f t="shared" si="35"/>
        <v>0</v>
      </c>
      <c r="M146" s="13">
        <f t="shared" si="35"/>
        <v>1</v>
      </c>
      <c r="N146" s="13">
        <f t="shared" si="35"/>
        <v>0</v>
      </c>
      <c r="O146" s="13">
        <f t="shared" si="35"/>
        <v>1</v>
      </c>
      <c r="P146" s="13">
        <f t="shared" si="35"/>
        <v>0</v>
      </c>
      <c r="Q146" s="13">
        <f t="shared" si="35"/>
        <v>0</v>
      </c>
      <c r="R146" s="13">
        <f t="shared" si="35"/>
        <v>0</v>
      </c>
      <c r="S146" s="13">
        <f t="shared" si="35"/>
        <v>0</v>
      </c>
      <c r="T146" s="13">
        <f t="shared" si="35"/>
        <v>0</v>
      </c>
      <c r="U146" s="13">
        <f t="shared" si="35"/>
        <v>0</v>
      </c>
      <c r="V146" s="13">
        <f t="shared" si="35"/>
        <v>2</v>
      </c>
      <c r="W146" s="13">
        <f t="shared" si="35"/>
        <v>2</v>
      </c>
      <c r="X146" s="13">
        <f t="shared" si="35"/>
        <v>0</v>
      </c>
      <c r="Y146" s="13">
        <f t="shared" si="35"/>
        <v>3</v>
      </c>
      <c r="Z146" s="13">
        <f t="shared" si="35"/>
        <v>2</v>
      </c>
      <c r="AA146" s="13">
        <f t="shared" si="35"/>
        <v>0</v>
      </c>
      <c r="AB146" s="13">
        <f t="shared" si="35"/>
        <v>3</v>
      </c>
      <c r="AC146" s="13">
        <f t="shared" si="35"/>
        <v>1</v>
      </c>
      <c r="AD146" s="13">
        <f t="shared" si="35"/>
        <v>16</v>
      </c>
      <c r="AE146" s="5"/>
      <c r="AF146" s="5"/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1"/>
      <c r="AF147" s="1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1.0</v>
      </c>
      <c r="Q148" s="19">
        <v>1.0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1.0</v>
      </c>
      <c r="AD148" s="13">
        <f t="shared" ref="AD148:AD155" si="36">SUM(E148:AC148)</f>
        <v>3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0.0</v>
      </c>
      <c r="F149" s="19">
        <v>0.0</v>
      </c>
      <c r="G149" s="19">
        <v>0.0</v>
      </c>
      <c r="H149" s="19">
        <v>0.0</v>
      </c>
      <c r="I149" s="19">
        <v>0.0</v>
      </c>
      <c r="J149" s="19">
        <v>0.0</v>
      </c>
      <c r="K149" s="19">
        <v>0.0</v>
      </c>
      <c r="L149" s="19">
        <v>0.0</v>
      </c>
      <c r="M149" s="19">
        <v>0.0</v>
      </c>
      <c r="N149" s="19">
        <v>0.0</v>
      </c>
      <c r="O149" s="19">
        <v>0.0</v>
      </c>
      <c r="P149" s="19">
        <v>1.0</v>
      </c>
      <c r="Q149" s="19">
        <v>0.0</v>
      </c>
      <c r="R149" s="19">
        <v>0.0</v>
      </c>
      <c r="S149" s="19">
        <v>0.0</v>
      </c>
      <c r="T149" s="19">
        <v>0.0</v>
      </c>
      <c r="U149" s="19">
        <v>0.0</v>
      </c>
      <c r="V149" s="19">
        <v>0.0</v>
      </c>
      <c r="W149" s="19">
        <v>0.0</v>
      </c>
      <c r="X149" s="19">
        <v>0.0</v>
      </c>
      <c r="Y149" s="19">
        <v>0.0</v>
      </c>
      <c r="Z149" s="19">
        <v>0.0</v>
      </c>
      <c r="AA149" s="19">
        <v>0.0</v>
      </c>
      <c r="AB149" s="19">
        <v>0.0</v>
      </c>
      <c r="AC149" s="19">
        <v>0.0</v>
      </c>
      <c r="AD149" s="13">
        <f t="shared" si="36"/>
        <v>1</v>
      </c>
      <c r="AE149" s="5"/>
      <c r="AF149" s="5"/>
    </row>
    <row r="150" ht="12.75" customHeight="1">
      <c r="A150" s="18"/>
      <c r="B150" s="55">
        <v>2.0</v>
      </c>
      <c r="C150" s="50" t="s">
        <v>131</v>
      </c>
      <c r="D150" s="57"/>
      <c r="E150" s="19">
        <v>0.0</v>
      </c>
      <c r="F150" s="19">
        <v>0.0</v>
      </c>
      <c r="G150" s="19">
        <v>0.0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1.0</v>
      </c>
      <c r="N150" s="19">
        <v>0.0</v>
      </c>
      <c r="O150" s="19">
        <v>1.0</v>
      </c>
      <c r="P150" s="19">
        <v>1.0</v>
      </c>
      <c r="Q150" s="19">
        <v>0.0</v>
      </c>
      <c r="R150" s="19">
        <v>0.0</v>
      </c>
      <c r="S150" s="19">
        <v>0.0</v>
      </c>
      <c r="T150" s="19">
        <v>0.0</v>
      </c>
      <c r="U150" s="19">
        <v>1.0</v>
      </c>
      <c r="V150" s="19">
        <v>0.0</v>
      </c>
      <c r="W150" s="19">
        <v>0.0</v>
      </c>
      <c r="X150" s="19">
        <v>0.0</v>
      </c>
      <c r="Y150" s="19">
        <v>0.0</v>
      </c>
      <c r="Z150" s="19">
        <v>0.0</v>
      </c>
      <c r="AA150" s="19">
        <v>0.0</v>
      </c>
      <c r="AB150" s="19">
        <v>0.0</v>
      </c>
      <c r="AC150" s="19">
        <v>0.0</v>
      </c>
      <c r="AD150" s="13">
        <f t="shared" si="36"/>
        <v>4</v>
      </c>
      <c r="AE150" s="5"/>
      <c r="AF150" s="5"/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0.0</v>
      </c>
      <c r="AA151" s="19">
        <v>0.0</v>
      </c>
      <c r="AB151" s="19">
        <v>0.0</v>
      </c>
      <c r="AC151" s="19">
        <v>0.0</v>
      </c>
      <c r="AD151" s="13">
        <f t="shared" si="36"/>
        <v>0</v>
      </c>
      <c r="AE151" s="5"/>
      <c r="AF151" s="5"/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0.0</v>
      </c>
      <c r="G152" s="19">
        <v>0.0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1.0</v>
      </c>
      <c r="Q152" s="19">
        <v>0.0</v>
      </c>
      <c r="R152" s="19">
        <v>1.0</v>
      </c>
      <c r="S152" s="19">
        <v>0.0</v>
      </c>
      <c r="T152" s="19">
        <v>0.0</v>
      </c>
      <c r="U152" s="19">
        <v>0.0</v>
      </c>
      <c r="V152" s="19">
        <v>0.0</v>
      </c>
      <c r="W152" s="19">
        <v>0.0</v>
      </c>
      <c r="X152" s="19">
        <v>0.0</v>
      </c>
      <c r="Y152" s="19">
        <v>0.0</v>
      </c>
      <c r="Z152" s="19">
        <v>0.0</v>
      </c>
      <c r="AA152" s="19">
        <v>0.0</v>
      </c>
      <c r="AB152" s="19">
        <v>0.0</v>
      </c>
      <c r="AC152" s="19">
        <v>0.0</v>
      </c>
      <c r="AD152" s="13">
        <f t="shared" si="36"/>
        <v>2</v>
      </c>
      <c r="AE152" s="5"/>
      <c r="AF152" s="5"/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3">
        <f t="shared" si="36"/>
        <v>1</v>
      </c>
      <c r="AE153" s="5"/>
      <c r="AF153" s="5"/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1.0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3">
        <f t="shared" si="36"/>
        <v>1</v>
      </c>
      <c r="AE154" s="5"/>
      <c r="AF154" s="5"/>
    </row>
    <row r="155" ht="12.75" customHeight="1">
      <c r="A155" s="18"/>
      <c r="B155" s="55">
        <v>7.0</v>
      </c>
      <c r="C155" s="50" t="s">
        <v>136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2.0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1.0</v>
      </c>
      <c r="R155" s="19">
        <v>0.0</v>
      </c>
      <c r="S155" s="19">
        <v>0.0</v>
      </c>
      <c r="T155" s="19">
        <v>0.0</v>
      </c>
      <c r="U155" s="19">
        <v>0.0</v>
      </c>
      <c r="V155" s="19">
        <v>1.0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3">
        <f t="shared" si="36"/>
        <v>4</v>
      </c>
      <c r="AE155" s="5"/>
      <c r="AF155" s="5"/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AD156" si="37">SUM(E148:E155)</f>
        <v>0</v>
      </c>
      <c r="F156" s="13">
        <f t="shared" si="37"/>
        <v>0</v>
      </c>
      <c r="G156" s="13">
        <f t="shared" si="37"/>
        <v>0</v>
      </c>
      <c r="H156" s="13">
        <f t="shared" si="37"/>
        <v>1</v>
      </c>
      <c r="I156" s="13">
        <f t="shared" si="37"/>
        <v>2</v>
      </c>
      <c r="J156" s="13">
        <f t="shared" si="37"/>
        <v>0</v>
      </c>
      <c r="K156" s="13">
        <f t="shared" si="37"/>
        <v>0</v>
      </c>
      <c r="L156" s="13">
        <f t="shared" si="37"/>
        <v>0</v>
      </c>
      <c r="M156" s="13">
        <f t="shared" si="37"/>
        <v>1</v>
      </c>
      <c r="N156" s="13">
        <f t="shared" si="37"/>
        <v>0</v>
      </c>
      <c r="O156" s="13">
        <f t="shared" si="37"/>
        <v>2</v>
      </c>
      <c r="P156" s="13">
        <f t="shared" si="37"/>
        <v>4</v>
      </c>
      <c r="Q156" s="13">
        <f t="shared" si="37"/>
        <v>2</v>
      </c>
      <c r="R156" s="13">
        <f t="shared" si="37"/>
        <v>1</v>
      </c>
      <c r="S156" s="13">
        <f t="shared" si="37"/>
        <v>0</v>
      </c>
      <c r="T156" s="13">
        <f t="shared" si="37"/>
        <v>0</v>
      </c>
      <c r="U156" s="13">
        <f t="shared" si="37"/>
        <v>1</v>
      </c>
      <c r="V156" s="13">
        <f t="shared" si="37"/>
        <v>1</v>
      </c>
      <c r="W156" s="13">
        <f t="shared" si="37"/>
        <v>0</v>
      </c>
      <c r="X156" s="13">
        <f t="shared" si="37"/>
        <v>0</v>
      </c>
      <c r="Y156" s="13">
        <f t="shared" si="37"/>
        <v>0</v>
      </c>
      <c r="Z156" s="13">
        <f t="shared" si="37"/>
        <v>0</v>
      </c>
      <c r="AA156" s="13">
        <f t="shared" si="37"/>
        <v>0</v>
      </c>
      <c r="AB156" s="13">
        <f t="shared" si="37"/>
        <v>0</v>
      </c>
      <c r="AC156" s="13">
        <f t="shared" si="37"/>
        <v>1</v>
      </c>
      <c r="AD156" s="13">
        <f t="shared" si="37"/>
        <v>16</v>
      </c>
      <c r="AE156" s="1"/>
      <c r="AF156" s="1"/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9">
        <v>0.0</v>
      </c>
      <c r="S158" s="19">
        <v>0.0</v>
      </c>
      <c r="T158" s="19">
        <v>0.0</v>
      </c>
      <c r="U158" s="19">
        <v>0.0</v>
      </c>
      <c r="V158" s="19">
        <v>0.0</v>
      </c>
      <c r="W158" s="19">
        <v>0.0</v>
      </c>
      <c r="X158" s="19">
        <v>0.0</v>
      </c>
      <c r="Y158" s="19">
        <v>0.0</v>
      </c>
      <c r="Z158" s="19">
        <v>0.0</v>
      </c>
      <c r="AA158" s="19">
        <v>0.0</v>
      </c>
      <c r="AB158" s="19">
        <v>0.0</v>
      </c>
      <c r="AC158" s="19">
        <v>0.0</v>
      </c>
      <c r="AD158" s="13">
        <f t="shared" ref="AD158:AD165" si="38">SUM(E158:AC158)</f>
        <v>0</v>
      </c>
      <c r="AE158" s="5"/>
      <c r="AF158" s="5"/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1.0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0.0</v>
      </c>
      <c r="W159" s="19">
        <v>1.0</v>
      </c>
      <c r="X159" s="19">
        <v>0.0</v>
      </c>
      <c r="Y159" s="19">
        <v>1.0</v>
      </c>
      <c r="Z159" s="19">
        <v>0.0</v>
      </c>
      <c r="AA159" s="19">
        <v>0.0</v>
      </c>
      <c r="AB159" s="19">
        <v>0.0</v>
      </c>
      <c r="AC159" s="19">
        <v>0.0</v>
      </c>
      <c r="AD159" s="13">
        <f t="shared" si="38"/>
        <v>3</v>
      </c>
      <c r="AE159" s="5"/>
      <c r="AF159" s="5"/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1.0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1.0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  <c r="AC160" s="19">
        <v>0.0</v>
      </c>
      <c r="AD160" s="13">
        <f t="shared" si="38"/>
        <v>2</v>
      </c>
      <c r="AE160" s="5"/>
      <c r="AF160" s="5"/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9">
        <v>0.0</v>
      </c>
      <c r="Y161" s="19">
        <v>0.0</v>
      </c>
      <c r="Z161" s="19">
        <v>0.0</v>
      </c>
      <c r="AA161" s="19">
        <v>1.0</v>
      </c>
      <c r="AB161" s="19">
        <v>0.0</v>
      </c>
      <c r="AC161" s="19">
        <v>1.0</v>
      </c>
      <c r="AD161" s="13">
        <f t="shared" si="38"/>
        <v>2</v>
      </c>
      <c r="AE161" s="5"/>
      <c r="AF161" s="5"/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1.0</v>
      </c>
      <c r="AB162" s="19">
        <v>0.0</v>
      </c>
      <c r="AC162" s="19">
        <v>0.0</v>
      </c>
      <c r="AD162" s="13">
        <f t="shared" si="38"/>
        <v>1</v>
      </c>
      <c r="AE162" s="5"/>
      <c r="AF162" s="5"/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9">
        <v>0.0</v>
      </c>
      <c r="AD163" s="13">
        <f t="shared" si="38"/>
        <v>0</v>
      </c>
      <c r="AE163" s="5"/>
      <c r="AF163" s="5"/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9">
        <v>0.0</v>
      </c>
      <c r="W164" s="19">
        <v>0.0</v>
      </c>
      <c r="X164" s="19">
        <v>0.0</v>
      </c>
      <c r="Y164" s="19">
        <v>0.0</v>
      </c>
      <c r="Z164" s="19">
        <v>0.0</v>
      </c>
      <c r="AA164" s="19">
        <v>0.0</v>
      </c>
      <c r="AB164" s="19">
        <v>0.0</v>
      </c>
      <c r="AC164" s="19">
        <v>0.0</v>
      </c>
      <c r="AD164" s="13">
        <f t="shared" si="38"/>
        <v>0</v>
      </c>
      <c r="AE164" s="5"/>
      <c r="AF164" s="5"/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2.0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1.0</v>
      </c>
      <c r="AA165" s="19">
        <v>0.0</v>
      </c>
      <c r="AB165" s="19">
        <v>2.0</v>
      </c>
      <c r="AC165" s="19">
        <v>2.0</v>
      </c>
      <c r="AD165" s="13">
        <f t="shared" si="38"/>
        <v>7</v>
      </c>
      <c r="AE165" s="1"/>
      <c r="AF165" s="1"/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AD166" si="39">SUM(E158:E165)</f>
        <v>0</v>
      </c>
      <c r="F166" s="13">
        <f t="shared" si="39"/>
        <v>0</v>
      </c>
      <c r="G166" s="13">
        <f t="shared" si="39"/>
        <v>0</v>
      </c>
      <c r="H166" s="13">
        <f t="shared" si="39"/>
        <v>0</v>
      </c>
      <c r="I166" s="13">
        <f t="shared" si="39"/>
        <v>2</v>
      </c>
      <c r="J166" s="13">
        <f t="shared" si="39"/>
        <v>0</v>
      </c>
      <c r="K166" s="13">
        <f t="shared" si="39"/>
        <v>0</v>
      </c>
      <c r="L166" s="13">
        <f t="shared" si="39"/>
        <v>1</v>
      </c>
      <c r="M166" s="13">
        <f t="shared" si="39"/>
        <v>0</v>
      </c>
      <c r="N166" s="13">
        <f t="shared" si="39"/>
        <v>0</v>
      </c>
      <c r="O166" s="13">
        <f t="shared" si="39"/>
        <v>0</v>
      </c>
      <c r="P166" s="13">
        <f t="shared" si="39"/>
        <v>1</v>
      </c>
      <c r="Q166" s="13">
        <f t="shared" si="39"/>
        <v>0</v>
      </c>
      <c r="R166" s="13">
        <f t="shared" si="39"/>
        <v>0</v>
      </c>
      <c r="S166" s="13">
        <f t="shared" si="39"/>
        <v>0</v>
      </c>
      <c r="T166" s="13">
        <f t="shared" si="39"/>
        <v>0</v>
      </c>
      <c r="U166" s="13">
        <f t="shared" si="39"/>
        <v>0</v>
      </c>
      <c r="V166" s="13">
        <f t="shared" si="39"/>
        <v>0</v>
      </c>
      <c r="W166" s="13">
        <f t="shared" si="39"/>
        <v>2</v>
      </c>
      <c r="X166" s="13">
        <f t="shared" si="39"/>
        <v>0</v>
      </c>
      <c r="Y166" s="13">
        <f t="shared" si="39"/>
        <v>1</v>
      </c>
      <c r="Z166" s="13">
        <f t="shared" si="39"/>
        <v>1</v>
      </c>
      <c r="AA166" s="13">
        <f t="shared" si="39"/>
        <v>2</v>
      </c>
      <c r="AB166" s="13">
        <f t="shared" si="39"/>
        <v>2</v>
      </c>
      <c r="AC166" s="13">
        <f t="shared" si="39"/>
        <v>3</v>
      </c>
      <c r="AD166" s="13">
        <f t="shared" si="39"/>
        <v>15</v>
      </c>
      <c r="AE166" s="52"/>
      <c r="AF166" s="52"/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5"/>
      <c r="AF167" s="5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4.0</v>
      </c>
      <c r="F168" s="19">
        <v>3.0</v>
      </c>
      <c r="G168" s="19">
        <v>0.0</v>
      </c>
      <c r="H168" s="19">
        <v>8.0</v>
      </c>
      <c r="I168" s="19">
        <v>5.0</v>
      </c>
      <c r="J168" s="19">
        <v>5.0</v>
      </c>
      <c r="K168" s="19">
        <v>0.0</v>
      </c>
      <c r="L168" s="19">
        <v>5.0</v>
      </c>
      <c r="M168" s="19">
        <v>17.0</v>
      </c>
      <c r="N168" s="19">
        <v>3.0</v>
      </c>
      <c r="O168" s="19">
        <v>1.0</v>
      </c>
      <c r="P168" s="19">
        <v>4.0</v>
      </c>
      <c r="Q168" s="19">
        <v>5.0</v>
      </c>
      <c r="R168" s="19">
        <v>5.0</v>
      </c>
      <c r="S168" s="19">
        <v>2.0</v>
      </c>
      <c r="T168" s="19">
        <v>11.0</v>
      </c>
      <c r="U168" s="19">
        <v>4.0</v>
      </c>
      <c r="V168" s="19">
        <v>4.0</v>
      </c>
      <c r="W168" s="19">
        <v>4.0</v>
      </c>
      <c r="X168" s="19">
        <v>1.0</v>
      </c>
      <c r="Y168" s="19">
        <v>3.0</v>
      </c>
      <c r="Z168" s="19">
        <v>2.0</v>
      </c>
      <c r="AA168" s="19">
        <v>2.0</v>
      </c>
      <c r="AB168" s="19">
        <v>5.0</v>
      </c>
      <c r="AC168" s="19">
        <v>5.0</v>
      </c>
      <c r="AD168" s="13">
        <f t="shared" ref="AD168:AD175" si="40">SUM(E168:AC168)</f>
        <v>108</v>
      </c>
      <c r="AE168" s="5"/>
      <c r="AF168" s="5"/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11.0</v>
      </c>
      <c r="F169" s="19">
        <v>6.0</v>
      </c>
      <c r="G169" s="19">
        <v>20.0</v>
      </c>
      <c r="H169" s="19">
        <v>76.0</v>
      </c>
      <c r="I169" s="19">
        <v>42.0</v>
      </c>
      <c r="J169" s="19">
        <v>16.0</v>
      </c>
      <c r="K169" s="19">
        <v>6.0</v>
      </c>
      <c r="L169" s="19">
        <v>9.0</v>
      </c>
      <c r="M169" s="19">
        <v>15.0</v>
      </c>
      <c r="N169" s="19">
        <v>8.0</v>
      </c>
      <c r="O169" s="19">
        <v>19.0</v>
      </c>
      <c r="P169" s="19">
        <v>11.0</v>
      </c>
      <c r="Q169" s="19">
        <v>14.0</v>
      </c>
      <c r="R169" s="19">
        <v>27.0</v>
      </c>
      <c r="S169" s="19">
        <v>27.0</v>
      </c>
      <c r="T169" s="19">
        <v>9.0</v>
      </c>
      <c r="U169" s="19">
        <v>5.0</v>
      </c>
      <c r="V169" s="19">
        <v>12.0</v>
      </c>
      <c r="W169" s="19">
        <v>8.0</v>
      </c>
      <c r="X169" s="19">
        <v>3.0</v>
      </c>
      <c r="Y169" s="19">
        <v>15.0</v>
      </c>
      <c r="Z169" s="19">
        <v>7.0</v>
      </c>
      <c r="AA169" s="19">
        <v>21.0</v>
      </c>
      <c r="AB169" s="19">
        <v>8.0</v>
      </c>
      <c r="AC169" s="19">
        <v>20.0</v>
      </c>
      <c r="AD169" s="13">
        <f t="shared" si="40"/>
        <v>415</v>
      </c>
      <c r="AE169" s="5"/>
      <c r="AF169" s="5"/>
    </row>
    <row r="170" ht="12.75" customHeight="1">
      <c r="A170" s="18"/>
      <c r="B170" s="55">
        <v>2.0</v>
      </c>
      <c r="C170" s="50" t="s">
        <v>149</v>
      </c>
      <c r="D170" s="57"/>
      <c r="E170" s="19">
        <v>2.0</v>
      </c>
      <c r="F170" s="19">
        <v>0.0</v>
      </c>
      <c r="G170" s="19">
        <v>0.0</v>
      </c>
      <c r="H170" s="19">
        <v>0.0</v>
      </c>
      <c r="I170" s="19">
        <v>1.0</v>
      </c>
      <c r="J170" s="19">
        <v>2.0</v>
      </c>
      <c r="K170" s="19">
        <v>1.0</v>
      </c>
      <c r="L170" s="19">
        <v>1.0</v>
      </c>
      <c r="M170" s="19">
        <v>1.0</v>
      </c>
      <c r="N170" s="19">
        <v>3.0</v>
      </c>
      <c r="O170" s="19">
        <v>1.0</v>
      </c>
      <c r="P170" s="19">
        <v>1.0</v>
      </c>
      <c r="Q170" s="19">
        <v>0.0</v>
      </c>
      <c r="R170" s="19">
        <v>1.0</v>
      </c>
      <c r="S170" s="19">
        <v>6.0</v>
      </c>
      <c r="T170" s="19">
        <v>2.0</v>
      </c>
      <c r="U170" s="19">
        <v>0.0</v>
      </c>
      <c r="V170" s="19">
        <v>3.0</v>
      </c>
      <c r="W170" s="19">
        <v>0.0</v>
      </c>
      <c r="X170" s="19">
        <v>0.0</v>
      </c>
      <c r="Y170" s="19">
        <v>0.0</v>
      </c>
      <c r="Z170" s="19">
        <v>1.0</v>
      </c>
      <c r="AA170" s="19">
        <v>0.0</v>
      </c>
      <c r="AB170" s="19">
        <v>1.0</v>
      </c>
      <c r="AC170" s="19">
        <v>0.0</v>
      </c>
      <c r="AD170" s="13">
        <f t="shared" si="40"/>
        <v>27</v>
      </c>
      <c r="AE170" s="5"/>
      <c r="AF170" s="5"/>
    </row>
    <row r="171" ht="12.75" customHeight="1">
      <c r="A171" s="18"/>
      <c r="B171" s="55">
        <v>3.0</v>
      </c>
      <c r="C171" s="50" t="s">
        <v>150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1.0</v>
      </c>
      <c r="S171" s="19">
        <v>0.0</v>
      </c>
      <c r="T171" s="19">
        <v>0.0</v>
      </c>
      <c r="U171" s="19">
        <v>0.0</v>
      </c>
      <c r="V171" s="19">
        <v>1.0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1.0</v>
      </c>
      <c r="AB171" s="19">
        <v>0.0</v>
      </c>
      <c r="AC171" s="19">
        <v>0.0</v>
      </c>
      <c r="AD171" s="13">
        <f t="shared" si="40"/>
        <v>3</v>
      </c>
      <c r="AE171" s="5"/>
      <c r="AF171" s="5"/>
    </row>
    <row r="172" ht="12.75" customHeight="1">
      <c r="A172" s="18"/>
      <c r="B172" s="55">
        <v>4.0</v>
      </c>
      <c r="C172" s="50" t="s">
        <v>151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1.0</v>
      </c>
      <c r="J172" s="19">
        <v>1.0</v>
      </c>
      <c r="K172" s="19">
        <v>0.0</v>
      </c>
      <c r="L172" s="19">
        <v>4.0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1.0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2.0</v>
      </c>
      <c r="Z172" s="19">
        <v>0.0</v>
      </c>
      <c r="AA172" s="19">
        <v>0.0</v>
      </c>
      <c r="AB172" s="19">
        <v>0.0</v>
      </c>
      <c r="AC172" s="19">
        <v>0.0</v>
      </c>
      <c r="AD172" s="13">
        <f t="shared" si="40"/>
        <v>9</v>
      </c>
      <c r="AE172" s="5"/>
      <c r="AF172" s="5"/>
    </row>
    <row r="173" ht="12.75" customHeight="1">
      <c r="A173" s="18"/>
      <c r="B173" s="55">
        <v>5.0</v>
      </c>
      <c r="C173" s="50" t="s">
        <v>152</v>
      </c>
      <c r="D173" s="57"/>
      <c r="E173" s="19">
        <v>0.0</v>
      </c>
      <c r="F173" s="19">
        <v>0.0</v>
      </c>
      <c r="G173" s="19">
        <v>0.0</v>
      </c>
      <c r="H173" s="19">
        <v>0.0</v>
      </c>
      <c r="I173" s="19">
        <v>0.0</v>
      </c>
      <c r="J173" s="19">
        <v>0.0</v>
      </c>
      <c r="K173" s="19">
        <v>0.0</v>
      </c>
      <c r="L173" s="19">
        <v>1.0</v>
      </c>
      <c r="M173" s="19">
        <v>0.0</v>
      </c>
      <c r="N173" s="19">
        <v>0.0</v>
      </c>
      <c r="O173" s="19">
        <v>0.0</v>
      </c>
      <c r="P173" s="19">
        <v>0.0</v>
      </c>
      <c r="Q173" s="19">
        <v>0.0</v>
      </c>
      <c r="R173" s="19">
        <v>0.0</v>
      </c>
      <c r="S173" s="19">
        <v>1.0</v>
      </c>
      <c r="T173" s="19">
        <v>0.0</v>
      </c>
      <c r="U173" s="19">
        <v>2.0</v>
      </c>
      <c r="V173" s="19">
        <v>1.0</v>
      </c>
      <c r="W173" s="19">
        <v>0.0</v>
      </c>
      <c r="X173" s="19">
        <v>0.0</v>
      </c>
      <c r="Y173" s="19">
        <v>0.0</v>
      </c>
      <c r="Z173" s="19">
        <v>0.0</v>
      </c>
      <c r="AA173" s="19">
        <v>0.0</v>
      </c>
      <c r="AB173" s="19">
        <v>0.0</v>
      </c>
      <c r="AC173" s="19">
        <v>0.0</v>
      </c>
      <c r="AD173" s="13">
        <f t="shared" si="40"/>
        <v>5</v>
      </c>
      <c r="AE173" s="5"/>
      <c r="AF173" s="5"/>
    </row>
    <row r="174" ht="12.75" customHeight="1">
      <c r="A174" s="18"/>
      <c r="B174" s="55">
        <v>6.0</v>
      </c>
      <c r="C174" s="50" t="s">
        <v>153</v>
      </c>
      <c r="D174" s="57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0.0</v>
      </c>
      <c r="Y174" s="19">
        <v>1.0</v>
      </c>
      <c r="Z174" s="19">
        <v>0.0</v>
      </c>
      <c r="AA174" s="19">
        <v>0.0</v>
      </c>
      <c r="AB174" s="19">
        <v>0.0</v>
      </c>
      <c r="AC174" s="19">
        <v>0.0</v>
      </c>
      <c r="AD174" s="13">
        <f t="shared" si="40"/>
        <v>1</v>
      </c>
      <c r="AE174" s="1"/>
      <c r="AF174" s="1"/>
    </row>
    <row r="175" ht="12.75" customHeight="1">
      <c r="A175" s="18"/>
      <c r="B175" s="55">
        <v>7.0</v>
      </c>
      <c r="C175" s="50" t="s">
        <v>154</v>
      </c>
      <c r="D175" s="57"/>
      <c r="E175" s="19">
        <v>2.0</v>
      </c>
      <c r="F175" s="19">
        <v>0.0</v>
      </c>
      <c r="G175" s="19">
        <v>0.0</v>
      </c>
      <c r="H175" s="19">
        <v>0.0</v>
      </c>
      <c r="I175" s="19">
        <v>0.0</v>
      </c>
      <c r="J175" s="19">
        <v>0.0</v>
      </c>
      <c r="K175" s="19">
        <v>0.0</v>
      </c>
      <c r="L175" s="19">
        <v>0.0</v>
      </c>
      <c r="M175" s="19">
        <v>0.0</v>
      </c>
      <c r="N175" s="19">
        <v>0.0</v>
      </c>
      <c r="O175" s="19">
        <v>1.0</v>
      </c>
      <c r="P175" s="19">
        <v>0.0</v>
      </c>
      <c r="Q175" s="19">
        <v>0.0</v>
      </c>
      <c r="R175" s="19">
        <v>0.0</v>
      </c>
      <c r="S175" s="19">
        <v>0.0</v>
      </c>
      <c r="T175" s="19">
        <v>0.0</v>
      </c>
      <c r="U175" s="19">
        <v>1.0</v>
      </c>
      <c r="V175" s="19">
        <v>1.0</v>
      </c>
      <c r="W175" s="19">
        <v>1.0</v>
      </c>
      <c r="X175" s="19">
        <v>0.0</v>
      </c>
      <c r="Y175" s="19">
        <v>0.0</v>
      </c>
      <c r="Z175" s="19">
        <v>0.0</v>
      </c>
      <c r="AA175" s="19">
        <v>0.0</v>
      </c>
      <c r="AB175" s="19">
        <v>0.0</v>
      </c>
      <c r="AC175" s="19">
        <v>0.0</v>
      </c>
      <c r="AD175" s="13">
        <f t="shared" si="40"/>
        <v>6</v>
      </c>
      <c r="AE175" s="52"/>
      <c r="AF175" s="52"/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AD176" si="41">SUM(E168:E175)</f>
        <v>19</v>
      </c>
      <c r="F176" s="13">
        <f t="shared" si="41"/>
        <v>9</v>
      </c>
      <c r="G176" s="13">
        <f t="shared" si="41"/>
        <v>20</v>
      </c>
      <c r="H176" s="13">
        <f t="shared" si="41"/>
        <v>84</v>
      </c>
      <c r="I176" s="13">
        <f t="shared" si="41"/>
        <v>49</v>
      </c>
      <c r="J176" s="13">
        <f t="shared" si="41"/>
        <v>24</v>
      </c>
      <c r="K176" s="13">
        <f t="shared" si="41"/>
        <v>7</v>
      </c>
      <c r="L176" s="13">
        <f t="shared" si="41"/>
        <v>20</v>
      </c>
      <c r="M176" s="13">
        <f t="shared" si="41"/>
        <v>33</v>
      </c>
      <c r="N176" s="13">
        <f t="shared" si="41"/>
        <v>14</v>
      </c>
      <c r="O176" s="13">
        <f t="shared" si="41"/>
        <v>22</v>
      </c>
      <c r="P176" s="13">
        <f t="shared" si="41"/>
        <v>16</v>
      </c>
      <c r="Q176" s="13">
        <f t="shared" si="41"/>
        <v>19</v>
      </c>
      <c r="R176" s="13">
        <f t="shared" si="41"/>
        <v>34</v>
      </c>
      <c r="S176" s="13">
        <f t="shared" si="41"/>
        <v>37</v>
      </c>
      <c r="T176" s="13">
        <f t="shared" si="41"/>
        <v>22</v>
      </c>
      <c r="U176" s="13">
        <f t="shared" si="41"/>
        <v>12</v>
      </c>
      <c r="V176" s="13">
        <f t="shared" si="41"/>
        <v>22</v>
      </c>
      <c r="W176" s="13">
        <f t="shared" si="41"/>
        <v>13</v>
      </c>
      <c r="X176" s="13">
        <f t="shared" si="41"/>
        <v>4</v>
      </c>
      <c r="Y176" s="13">
        <f t="shared" si="41"/>
        <v>21</v>
      </c>
      <c r="Z176" s="13">
        <f t="shared" si="41"/>
        <v>10</v>
      </c>
      <c r="AA176" s="13">
        <f t="shared" si="41"/>
        <v>24</v>
      </c>
      <c r="AB176" s="13">
        <f t="shared" si="41"/>
        <v>14</v>
      </c>
      <c r="AC176" s="13">
        <f t="shared" si="41"/>
        <v>25</v>
      </c>
      <c r="AD176" s="13">
        <f t="shared" si="41"/>
        <v>574</v>
      </c>
      <c r="AE176" s="5"/>
      <c r="AF176" s="5"/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5"/>
      <c r="AF177" s="5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0.0</v>
      </c>
      <c r="F178" s="19">
        <v>0.0</v>
      </c>
      <c r="G178" s="19">
        <v>1.0</v>
      </c>
      <c r="H178" s="19">
        <v>0.0</v>
      </c>
      <c r="I178" s="19">
        <v>0.0</v>
      </c>
      <c r="J178" s="19">
        <v>1.0</v>
      </c>
      <c r="K178" s="19">
        <v>1.0</v>
      </c>
      <c r="L178" s="19">
        <v>2.0</v>
      </c>
      <c r="M178" s="19">
        <v>2.0</v>
      </c>
      <c r="N178" s="19">
        <v>2.0</v>
      </c>
      <c r="O178" s="19">
        <v>1.0</v>
      </c>
      <c r="P178" s="19">
        <v>1.0</v>
      </c>
      <c r="Q178" s="19">
        <v>1.0</v>
      </c>
      <c r="R178" s="19">
        <v>0.0</v>
      </c>
      <c r="S178" s="19">
        <v>3.0</v>
      </c>
      <c r="T178" s="19">
        <v>1.0</v>
      </c>
      <c r="U178" s="19">
        <v>1.0</v>
      </c>
      <c r="V178" s="19">
        <v>0.0</v>
      </c>
      <c r="W178" s="19">
        <v>0.0</v>
      </c>
      <c r="X178" s="19">
        <v>1.0</v>
      </c>
      <c r="Y178" s="19">
        <v>1.0</v>
      </c>
      <c r="Z178" s="19">
        <v>0.0</v>
      </c>
      <c r="AA178" s="19">
        <v>1.0</v>
      </c>
      <c r="AB178" s="19">
        <v>1.0</v>
      </c>
      <c r="AC178" s="19">
        <v>0.0</v>
      </c>
      <c r="AD178" s="13">
        <f t="shared" ref="AD178:AD185" si="42">SUM(E178:AC178)</f>
        <v>21</v>
      </c>
      <c r="AE178" s="5"/>
      <c r="AF178" s="5"/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0.0</v>
      </c>
      <c r="F179" s="19">
        <v>0.0</v>
      </c>
      <c r="G179" s="19">
        <v>0.0</v>
      </c>
      <c r="H179" s="19">
        <v>1.0</v>
      </c>
      <c r="I179" s="19">
        <v>0.0</v>
      </c>
      <c r="J179" s="19">
        <v>0.0</v>
      </c>
      <c r="K179" s="19">
        <v>0.0</v>
      </c>
      <c r="L179" s="19">
        <v>2.0</v>
      </c>
      <c r="M179" s="19">
        <v>0.0</v>
      </c>
      <c r="N179" s="19">
        <v>0.0</v>
      </c>
      <c r="O179" s="19">
        <v>1.0</v>
      </c>
      <c r="P179" s="19">
        <v>0.0</v>
      </c>
      <c r="Q179" s="19">
        <v>0.0</v>
      </c>
      <c r="R179" s="19">
        <v>0.0</v>
      </c>
      <c r="S179" s="19">
        <v>1.0</v>
      </c>
      <c r="T179" s="19">
        <v>0.0</v>
      </c>
      <c r="U179" s="19">
        <v>3.0</v>
      </c>
      <c r="V179" s="19">
        <v>1.0</v>
      </c>
      <c r="W179" s="19">
        <v>1.0</v>
      </c>
      <c r="X179" s="19">
        <v>0.0</v>
      </c>
      <c r="Y179" s="19">
        <v>0.0</v>
      </c>
      <c r="Z179" s="19">
        <v>0.0</v>
      </c>
      <c r="AA179" s="19">
        <v>1.0</v>
      </c>
      <c r="AB179" s="19">
        <v>1.0</v>
      </c>
      <c r="AC179" s="19">
        <v>3.0</v>
      </c>
      <c r="AD179" s="13">
        <f t="shared" si="42"/>
        <v>15</v>
      </c>
      <c r="AE179" s="5"/>
      <c r="AF179" s="5"/>
    </row>
    <row r="180" ht="12.75" customHeight="1">
      <c r="A180" s="18"/>
      <c r="B180" s="55">
        <v>2.0</v>
      </c>
      <c r="C180" s="50" t="s">
        <v>158</v>
      </c>
      <c r="D180" s="56"/>
      <c r="E180" s="19">
        <v>0.0</v>
      </c>
      <c r="F180" s="19">
        <v>0.0</v>
      </c>
      <c r="G180" s="19">
        <v>1.0</v>
      </c>
      <c r="H180" s="19">
        <v>0.0</v>
      </c>
      <c r="I180" s="19">
        <v>0.0</v>
      </c>
      <c r="J180" s="19">
        <v>0.0</v>
      </c>
      <c r="K180" s="19">
        <v>0.0</v>
      </c>
      <c r="L180" s="19">
        <v>1.0</v>
      </c>
      <c r="M180" s="19">
        <v>0.0</v>
      </c>
      <c r="N180" s="19">
        <v>1.0</v>
      </c>
      <c r="O180" s="19">
        <v>0.0</v>
      </c>
      <c r="P180" s="19">
        <v>0.0</v>
      </c>
      <c r="Q180" s="19">
        <v>1.0</v>
      </c>
      <c r="R180" s="19">
        <v>0.0</v>
      </c>
      <c r="S180" s="19">
        <v>0.0</v>
      </c>
      <c r="T180" s="19">
        <v>0.0</v>
      </c>
      <c r="U180" s="19">
        <v>0.0</v>
      </c>
      <c r="V180" s="19">
        <v>1.0</v>
      </c>
      <c r="W180" s="19">
        <v>0.0</v>
      </c>
      <c r="X180" s="19">
        <v>1.0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3">
        <f t="shared" si="42"/>
        <v>6</v>
      </c>
      <c r="AE180" s="5"/>
      <c r="AF180" s="5"/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1.0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1.0</v>
      </c>
      <c r="R181" s="19">
        <v>0.0</v>
      </c>
      <c r="S181" s="19">
        <v>0.0</v>
      </c>
      <c r="T181" s="19">
        <v>0.0</v>
      </c>
      <c r="U181" s="19">
        <v>0.0</v>
      </c>
      <c r="V181" s="19">
        <v>1.0</v>
      </c>
      <c r="W181" s="19">
        <v>0.0</v>
      </c>
      <c r="X181" s="19">
        <v>0.0</v>
      </c>
      <c r="Y181" s="19">
        <v>1.0</v>
      </c>
      <c r="Z181" s="19">
        <v>0.0</v>
      </c>
      <c r="AA181" s="19">
        <v>1.0</v>
      </c>
      <c r="AB181" s="19">
        <v>0.0</v>
      </c>
      <c r="AC181" s="19">
        <v>0.0</v>
      </c>
      <c r="AD181" s="13">
        <f t="shared" si="42"/>
        <v>5</v>
      </c>
      <c r="AE181" s="5"/>
      <c r="AF181" s="5"/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1.0</v>
      </c>
      <c r="P182" s="19">
        <v>0.0</v>
      </c>
      <c r="Q182" s="19">
        <v>0.0</v>
      </c>
      <c r="R182" s="19">
        <v>0.0</v>
      </c>
      <c r="S182" s="19">
        <v>0.0</v>
      </c>
      <c r="T182" s="19">
        <v>1.0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3">
        <f t="shared" si="42"/>
        <v>2</v>
      </c>
      <c r="AE182" s="5"/>
      <c r="AF182" s="5"/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1.0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3">
        <f t="shared" si="42"/>
        <v>1</v>
      </c>
      <c r="AE183" s="1"/>
      <c r="AF183" s="1"/>
    </row>
    <row r="184" ht="12.75" customHeight="1">
      <c r="A184" s="18"/>
      <c r="B184" s="55">
        <v>6.0</v>
      </c>
      <c r="C184" s="50" t="s">
        <v>162</v>
      </c>
      <c r="D184" s="56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1.0</v>
      </c>
      <c r="U184" s="19">
        <v>0.0</v>
      </c>
      <c r="V184" s="19">
        <v>0.0</v>
      </c>
      <c r="W184" s="19">
        <v>0.0</v>
      </c>
      <c r="X184" s="19">
        <v>0.0</v>
      </c>
      <c r="Y184" s="19">
        <v>1.0</v>
      </c>
      <c r="Z184" s="19">
        <v>0.0</v>
      </c>
      <c r="AA184" s="19">
        <v>0.0</v>
      </c>
      <c r="AB184" s="19">
        <v>0.0</v>
      </c>
      <c r="AC184" s="19">
        <v>0.0</v>
      </c>
      <c r="AD184" s="13">
        <f t="shared" si="42"/>
        <v>2</v>
      </c>
      <c r="AE184" s="52"/>
      <c r="AF184" s="52"/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1.0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9">
        <v>0.0</v>
      </c>
      <c r="S185" s="19">
        <v>0.0</v>
      </c>
      <c r="T185" s="19">
        <v>0.0</v>
      </c>
      <c r="U185" s="19">
        <v>0.0</v>
      </c>
      <c r="V185" s="19">
        <v>0.0</v>
      </c>
      <c r="W185" s="19">
        <v>0.0</v>
      </c>
      <c r="X185" s="19">
        <v>0.0</v>
      </c>
      <c r="Y185" s="19">
        <v>1.0</v>
      </c>
      <c r="Z185" s="19">
        <v>0.0</v>
      </c>
      <c r="AA185" s="19">
        <v>0.0</v>
      </c>
      <c r="AB185" s="19">
        <v>0.0</v>
      </c>
      <c r="AC185" s="19">
        <v>0.0</v>
      </c>
      <c r="AD185" s="13">
        <f t="shared" si="42"/>
        <v>2</v>
      </c>
      <c r="AE185" s="5"/>
      <c r="AF185" s="5"/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AD186" si="43">SUM(E178:E185)</f>
        <v>0</v>
      </c>
      <c r="F186" s="13">
        <f t="shared" si="43"/>
        <v>1</v>
      </c>
      <c r="G186" s="13">
        <f t="shared" si="43"/>
        <v>3</v>
      </c>
      <c r="H186" s="13">
        <f t="shared" si="43"/>
        <v>1</v>
      </c>
      <c r="I186" s="13">
        <f t="shared" si="43"/>
        <v>0</v>
      </c>
      <c r="J186" s="13">
        <f t="shared" si="43"/>
        <v>1</v>
      </c>
      <c r="K186" s="13">
        <f t="shared" si="43"/>
        <v>2</v>
      </c>
      <c r="L186" s="13">
        <f t="shared" si="43"/>
        <v>5</v>
      </c>
      <c r="M186" s="13">
        <f t="shared" si="43"/>
        <v>2</v>
      </c>
      <c r="N186" s="13">
        <f t="shared" si="43"/>
        <v>3</v>
      </c>
      <c r="O186" s="13">
        <f t="shared" si="43"/>
        <v>3</v>
      </c>
      <c r="P186" s="13">
        <f t="shared" si="43"/>
        <v>1</v>
      </c>
      <c r="Q186" s="13">
        <f t="shared" si="43"/>
        <v>3</v>
      </c>
      <c r="R186" s="13">
        <f t="shared" si="43"/>
        <v>0</v>
      </c>
      <c r="S186" s="13">
        <f t="shared" si="43"/>
        <v>4</v>
      </c>
      <c r="T186" s="13">
        <f t="shared" si="43"/>
        <v>3</v>
      </c>
      <c r="U186" s="13">
        <f t="shared" si="43"/>
        <v>4</v>
      </c>
      <c r="V186" s="13">
        <f t="shared" si="43"/>
        <v>3</v>
      </c>
      <c r="W186" s="13">
        <f t="shared" si="43"/>
        <v>1</v>
      </c>
      <c r="X186" s="13">
        <f t="shared" si="43"/>
        <v>2</v>
      </c>
      <c r="Y186" s="13">
        <f t="shared" si="43"/>
        <v>4</v>
      </c>
      <c r="Z186" s="13">
        <f t="shared" si="43"/>
        <v>0</v>
      </c>
      <c r="AA186" s="13">
        <f t="shared" si="43"/>
        <v>3</v>
      </c>
      <c r="AB186" s="13">
        <f t="shared" si="43"/>
        <v>2</v>
      </c>
      <c r="AC186" s="13">
        <f t="shared" si="43"/>
        <v>3</v>
      </c>
      <c r="AD186" s="13">
        <f t="shared" si="43"/>
        <v>54</v>
      </c>
      <c r="AE186" s="5"/>
      <c r="AF186" s="5"/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5"/>
      <c r="AF187" s="5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0.0</v>
      </c>
      <c r="F188" s="19">
        <v>0.0</v>
      </c>
      <c r="G188" s="19">
        <v>0.0</v>
      </c>
      <c r="H188" s="19">
        <v>0.0</v>
      </c>
      <c r="I188" s="19">
        <v>1.0</v>
      </c>
      <c r="J188" s="19">
        <v>0.0</v>
      </c>
      <c r="K188" s="19">
        <v>0.0</v>
      </c>
      <c r="L188" s="19">
        <v>0.0</v>
      </c>
      <c r="M188" s="19">
        <v>0.0</v>
      </c>
      <c r="N188" s="19">
        <v>0.0</v>
      </c>
      <c r="O188" s="19">
        <v>0.0</v>
      </c>
      <c r="P188" s="19">
        <v>1.0</v>
      </c>
      <c r="Q188" s="19">
        <v>0.0</v>
      </c>
      <c r="R188" s="19">
        <v>0.0</v>
      </c>
      <c r="S188" s="19">
        <v>0.0</v>
      </c>
      <c r="T188" s="19">
        <v>0.0</v>
      </c>
      <c r="U188" s="19">
        <v>1.0</v>
      </c>
      <c r="V188" s="19">
        <v>0.0</v>
      </c>
      <c r="W188" s="19">
        <v>0.0</v>
      </c>
      <c r="X188" s="19">
        <v>1.0</v>
      </c>
      <c r="Y188" s="19">
        <v>0.0</v>
      </c>
      <c r="Z188" s="19">
        <v>0.0</v>
      </c>
      <c r="AA188" s="19">
        <v>0.0</v>
      </c>
      <c r="AB188" s="19">
        <v>0.0</v>
      </c>
      <c r="AC188" s="19">
        <v>0.0</v>
      </c>
      <c r="AD188" s="13">
        <f t="shared" ref="AD188:AD195" si="44">SUM(E188:AC188)</f>
        <v>4</v>
      </c>
      <c r="AE188" s="5"/>
      <c r="AF188" s="5"/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4.0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2.0</v>
      </c>
      <c r="Z189" s="19">
        <v>0.0</v>
      </c>
      <c r="AA189" s="19">
        <v>0.0</v>
      </c>
      <c r="AB189" s="19">
        <v>0.0</v>
      </c>
      <c r="AC189" s="19">
        <v>0.0</v>
      </c>
      <c r="AD189" s="13">
        <f t="shared" si="44"/>
        <v>6</v>
      </c>
      <c r="AE189" s="5"/>
      <c r="AF189" s="5"/>
    </row>
    <row r="190" ht="12.75" customHeight="1">
      <c r="A190" s="18"/>
      <c r="B190" s="55">
        <v>2.0</v>
      </c>
      <c r="C190" s="50" t="s">
        <v>167</v>
      </c>
      <c r="D190" s="57"/>
      <c r="E190" s="19">
        <v>1.0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3">
        <f t="shared" si="44"/>
        <v>1</v>
      </c>
      <c r="AE190" s="5"/>
      <c r="AF190" s="5"/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3">
        <f t="shared" si="44"/>
        <v>0</v>
      </c>
      <c r="AE191" s="5"/>
      <c r="AF191" s="5"/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3">
        <f t="shared" si="44"/>
        <v>0</v>
      </c>
      <c r="AE192" s="1"/>
      <c r="AF192" s="1"/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3">
        <f t="shared" si="44"/>
        <v>0</v>
      </c>
      <c r="AE193" s="52"/>
      <c r="AF193" s="52"/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3">
        <f t="shared" si="44"/>
        <v>0</v>
      </c>
      <c r="AE194" s="5"/>
      <c r="AF194" s="5"/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3.0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3">
        <f t="shared" si="44"/>
        <v>3</v>
      </c>
      <c r="AE195" s="5"/>
      <c r="AF195" s="5"/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AD196" si="45">SUM(E188:E195)</f>
        <v>1</v>
      </c>
      <c r="F196" s="13">
        <f t="shared" si="45"/>
        <v>0</v>
      </c>
      <c r="G196" s="13">
        <f t="shared" si="45"/>
        <v>0</v>
      </c>
      <c r="H196" s="13">
        <f t="shared" si="45"/>
        <v>0</v>
      </c>
      <c r="I196" s="13">
        <f t="shared" si="45"/>
        <v>1</v>
      </c>
      <c r="J196" s="13">
        <f t="shared" si="45"/>
        <v>0</v>
      </c>
      <c r="K196" s="13">
        <f t="shared" si="45"/>
        <v>3</v>
      </c>
      <c r="L196" s="13">
        <f t="shared" si="45"/>
        <v>0</v>
      </c>
      <c r="M196" s="13">
        <f t="shared" si="45"/>
        <v>4</v>
      </c>
      <c r="N196" s="13">
        <f t="shared" si="45"/>
        <v>0</v>
      </c>
      <c r="O196" s="13">
        <f t="shared" si="45"/>
        <v>0</v>
      </c>
      <c r="P196" s="13">
        <f t="shared" si="45"/>
        <v>1</v>
      </c>
      <c r="Q196" s="13">
        <f t="shared" si="45"/>
        <v>0</v>
      </c>
      <c r="R196" s="13">
        <f t="shared" si="45"/>
        <v>0</v>
      </c>
      <c r="S196" s="13">
        <f t="shared" si="45"/>
        <v>0</v>
      </c>
      <c r="T196" s="13">
        <f t="shared" si="45"/>
        <v>0</v>
      </c>
      <c r="U196" s="13">
        <f t="shared" si="45"/>
        <v>1</v>
      </c>
      <c r="V196" s="13">
        <f t="shared" si="45"/>
        <v>0</v>
      </c>
      <c r="W196" s="13">
        <f t="shared" si="45"/>
        <v>0</v>
      </c>
      <c r="X196" s="13">
        <f t="shared" si="45"/>
        <v>1</v>
      </c>
      <c r="Y196" s="13">
        <f t="shared" si="45"/>
        <v>2</v>
      </c>
      <c r="Z196" s="13">
        <f t="shared" si="45"/>
        <v>0</v>
      </c>
      <c r="AA196" s="13">
        <f t="shared" si="45"/>
        <v>0</v>
      </c>
      <c r="AB196" s="13">
        <f t="shared" si="45"/>
        <v>0</v>
      </c>
      <c r="AC196" s="13">
        <f t="shared" si="45"/>
        <v>0</v>
      </c>
      <c r="AD196" s="13">
        <f t="shared" si="45"/>
        <v>14</v>
      </c>
      <c r="AE196" s="5"/>
      <c r="AF196" s="5"/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5"/>
      <c r="AF197" s="5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4.0</v>
      </c>
      <c r="F198" s="19">
        <v>3.0</v>
      </c>
      <c r="G198" s="19">
        <v>1.0</v>
      </c>
      <c r="H198" s="19">
        <v>0.0</v>
      </c>
      <c r="I198" s="19">
        <v>3.0</v>
      </c>
      <c r="J198" s="19">
        <v>1.0</v>
      </c>
      <c r="K198" s="19">
        <v>0.0</v>
      </c>
      <c r="L198" s="19">
        <v>1.0</v>
      </c>
      <c r="M198" s="19">
        <v>4.0</v>
      </c>
      <c r="N198" s="19">
        <v>0.0</v>
      </c>
      <c r="O198" s="19">
        <v>3.0</v>
      </c>
      <c r="P198" s="19">
        <v>3.0</v>
      </c>
      <c r="Q198" s="19">
        <v>4.0</v>
      </c>
      <c r="R198" s="19">
        <v>1.0</v>
      </c>
      <c r="S198" s="19">
        <v>3.0</v>
      </c>
      <c r="T198" s="19">
        <v>5.0</v>
      </c>
      <c r="U198" s="19">
        <v>0.0</v>
      </c>
      <c r="V198" s="19">
        <v>3.0</v>
      </c>
      <c r="W198" s="19">
        <v>4.0</v>
      </c>
      <c r="X198" s="19">
        <v>1.0</v>
      </c>
      <c r="Y198" s="19">
        <v>9.0</v>
      </c>
      <c r="Z198" s="19">
        <v>0.0</v>
      </c>
      <c r="AA198" s="19">
        <v>2.0</v>
      </c>
      <c r="AB198" s="19">
        <v>4.0</v>
      </c>
      <c r="AC198" s="19">
        <v>5.0</v>
      </c>
      <c r="AD198" s="13">
        <f t="shared" ref="AD198:AD205" si="46">SUM(E198:AC198)</f>
        <v>64</v>
      </c>
      <c r="AE198" s="5"/>
      <c r="AF198" s="5"/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1.0</v>
      </c>
      <c r="F199" s="19">
        <v>0.0</v>
      </c>
      <c r="G199" s="19">
        <v>2.0</v>
      </c>
      <c r="H199" s="19">
        <v>0.0</v>
      </c>
      <c r="I199" s="19">
        <v>0.0</v>
      </c>
      <c r="J199" s="19">
        <v>0.0</v>
      </c>
      <c r="K199" s="19">
        <v>2.0</v>
      </c>
      <c r="L199" s="19">
        <v>2.0</v>
      </c>
      <c r="M199" s="19">
        <v>1.0</v>
      </c>
      <c r="N199" s="19">
        <v>0.0</v>
      </c>
      <c r="O199" s="19">
        <v>0.0</v>
      </c>
      <c r="P199" s="19">
        <v>2.0</v>
      </c>
      <c r="Q199" s="19">
        <v>0.0</v>
      </c>
      <c r="R199" s="19">
        <v>0.0</v>
      </c>
      <c r="S199" s="19">
        <v>0.0</v>
      </c>
      <c r="T199" s="19">
        <v>0.0</v>
      </c>
      <c r="U199" s="19">
        <v>0.0</v>
      </c>
      <c r="V199" s="19">
        <v>0.0</v>
      </c>
      <c r="W199" s="19">
        <v>1.0</v>
      </c>
      <c r="X199" s="19">
        <v>1.0</v>
      </c>
      <c r="Y199" s="19">
        <v>1.0</v>
      </c>
      <c r="Z199" s="19">
        <v>0.0</v>
      </c>
      <c r="AA199" s="19">
        <v>0.0</v>
      </c>
      <c r="AB199" s="19">
        <v>1.0</v>
      </c>
      <c r="AC199" s="19">
        <v>0.0</v>
      </c>
      <c r="AD199" s="13">
        <f t="shared" si="46"/>
        <v>14</v>
      </c>
      <c r="AE199" s="5"/>
      <c r="AF199" s="5"/>
    </row>
    <row r="200" ht="12.75" customHeight="1">
      <c r="A200" s="18"/>
      <c r="B200" s="55">
        <v>2.0</v>
      </c>
      <c r="C200" s="50" t="s">
        <v>176</v>
      </c>
      <c r="D200" s="57"/>
      <c r="E200" s="19">
        <v>1.0</v>
      </c>
      <c r="F200" s="19">
        <v>1.0</v>
      </c>
      <c r="G200" s="19">
        <v>0.0</v>
      </c>
      <c r="H200" s="19">
        <v>0.0</v>
      </c>
      <c r="I200" s="19">
        <v>0.0</v>
      </c>
      <c r="J200" s="19">
        <v>0.0</v>
      </c>
      <c r="K200" s="19">
        <v>0.0</v>
      </c>
      <c r="L200" s="19">
        <v>4.0</v>
      </c>
      <c r="M200" s="19">
        <v>0.0</v>
      </c>
      <c r="N200" s="19">
        <v>0.0</v>
      </c>
      <c r="O200" s="19">
        <v>0.0</v>
      </c>
      <c r="P200" s="19">
        <v>0.0</v>
      </c>
      <c r="Q200" s="19">
        <v>0.0</v>
      </c>
      <c r="R200" s="19">
        <v>2.0</v>
      </c>
      <c r="S200" s="19">
        <v>0.0</v>
      </c>
      <c r="T200" s="19">
        <v>0.0</v>
      </c>
      <c r="U200" s="19">
        <v>0.0</v>
      </c>
      <c r="V200" s="19">
        <v>0.0</v>
      </c>
      <c r="W200" s="19">
        <v>23.0</v>
      </c>
      <c r="X200" s="19">
        <v>0.0</v>
      </c>
      <c r="Y200" s="19">
        <v>6.0</v>
      </c>
      <c r="Z200" s="19">
        <v>13.0</v>
      </c>
      <c r="AA200" s="19">
        <v>1.0</v>
      </c>
      <c r="AB200" s="19">
        <v>19.0</v>
      </c>
      <c r="AC200" s="19">
        <v>2.0</v>
      </c>
      <c r="AD200" s="13">
        <f t="shared" si="46"/>
        <v>72</v>
      </c>
      <c r="AE200" s="5"/>
      <c r="AF200" s="5"/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0.0</v>
      </c>
      <c r="G201" s="19">
        <v>0.0</v>
      </c>
      <c r="H201" s="19">
        <v>0.0</v>
      </c>
      <c r="I201" s="19">
        <v>1.0</v>
      </c>
      <c r="J201" s="19">
        <v>0.0</v>
      </c>
      <c r="K201" s="19">
        <v>0.0</v>
      </c>
      <c r="L201" s="19">
        <v>0.0</v>
      </c>
      <c r="M201" s="19">
        <v>0.0</v>
      </c>
      <c r="N201" s="19">
        <v>0.0</v>
      </c>
      <c r="O201" s="19">
        <v>0.0</v>
      </c>
      <c r="P201" s="19">
        <v>0.0</v>
      </c>
      <c r="Q201" s="19">
        <v>0.0</v>
      </c>
      <c r="R201" s="19">
        <v>0.0</v>
      </c>
      <c r="S201" s="19">
        <v>1.0</v>
      </c>
      <c r="T201" s="19">
        <v>0.0</v>
      </c>
      <c r="U201" s="19">
        <v>1.0</v>
      </c>
      <c r="V201" s="19">
        <v>0.0</v>
      </c>
      <c r="W201" s="19">
        <v>0.0</v>
      </c>
      <c r="X201" s="19">
        <v>0.0</v>
      </c>
      <c r="Y201" s="19">
        <v>0.0</v>
      </c>
      <c r="Z201" s="19">
        <v>0.0</v>
      </c>
      <c r="AA201" s="19">
        <v>1.0</v>
      </c>
      <c r="AB201" s="19">
        <v>1.0</v>
      </c>
      <c r="AC201" s="19">
        <v>0.0</v>
      </c>
      <c r="AD201" s="13">
        <f t="shared" si="46"/>
        <v>5</v>
      </c>
      <c r="AE201" s="1"/>
      <c r="AF201" s="1"/>
    </row>
    <row r="202" ht="12.75" customHeight="1">
      <c r="A202" s="18"/>
      <c r="B202" s="55">
        <v>4.0</v>
      </c>
      <c r="C202" s="50" t="s">
        <v>178</v>
      </c>
      <c r="D202" s="57"/>
      <c r="E202" s="19">
        <v>0.0</v>
      </c>
      <c r="F202" s="19">
        <v>0.0</v>
      </c>
      <c r="G202" s="19">
        <v>0.0</v>
      </c>
      <c r="H202" s="19">
        <v>0.0</v>
      </c>
      <c r="I202" s="19">
        <v>0.0</v>
      </c>
      <c r="J202" s="19">
        <v>0.0</v>
      </c>
      <c r="K202" s="19">
        <v>0.0</v>
      </c>
      <c r="L202" s="19">
        <v>1.0</v>
      </c>
      <c r="M202" s="19">
        <v>1.0</v>
      </c>
      <c r="N202" s="19">
        <v>0.0</v>
      </c>
      <c r="O202" s="19">
        <v>0.0</v>
      </c>
      <c r="P202" s="19">
        <v>0.0</v>
      </c>
      <c r="Q202" s="19">
        <v>0.0</v>
      </c>
      <c r="R202" s="19">
        <v>1.0</v>
      </c>
      <c r="S202" s="19">
        <v>0.0</v>
      </c>
      <c r="T202" s="19">
        <v>0.0</v>
      </c>
      <c r="U202" s="19">
        <v>0.0</v>
      </c>
      <c r="V202" s="19">
        <v>0.0</v>
      </c>
      <c r="W202" s="19">
        <v>0.0</v>
      </c>
      <c r="X202" s="19">
        <v>0.0</v>
      </c>
      <c r="Y202" s="19">
        <v>1.0</v>
      </c>
      <c r="Z202" s="19">
        <v>0.0</v>
      </c>
      <c r="AA202" s="19">
        <v>0.0</v>
      </c>
      <c r="AB202" s="19">
        <v>1.0</v>
      </c>
      <c r="AC202" s="19">
        <v>0.0</v>
      </c>
      <c r="AD202" s="13">
        <f t="shared" si="46"/>
        <v>5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1.0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9">
        <v>0.0</v>
      </c>
      <c r="T203" s="19">
        <v>0.0</v>
      </c>
      <c r="U203" s="19">
        <v>0.0</v>
      </c>
      <c r="V203" s="19">
        <v>0.0</v>
      </c>
      <c r="W203" s="19">
        <v>0.0</v>
      </c>
      <c r="X203" s="19">
        <v>0.0</v>
      </c>
      <c r="Y203" s="19">
        <v>0.0</v>
      </c>
      <c r="Z203" s="19">
        <v>0.0</v>
      </c>
      <c r="AA203" s="19">
        <v>0.0</v>
      </c>
      <c r="AB203" s="19">
        <v>0.0</v>
      </c>
      <c r="AC203" s="19">
        <v>1.0</v>
      </c>
      <c r="AD203" s="13">
        <f t="shared" si="46"/>
        <v>2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1.0</v>
      </c>
      <c r="M204" s="19">
        <v>1.0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1.0</v>
      </c>
      <c r="V204" s="19">
        <v>0.0</v>
      </c>
      <c r="W204" s="19">
        <v>1.0</v>
      </c>
      <c r="X204" s="19">
        <v>0.0</v>
      </c>
      <c r="Y204" s="19">
        <v>1.0</v>
      </c>
      <c r="Z204" s="19">
        <v>1.0</v>
      </c>
      <c r="AA204" s="19">
        <v>1.0</v>
      </c>
      <c r="AB204" s="19">
        <v>0.0</v>
      </c>
      <c r="AC204" s="19">
        <v>0.0</v>
      </c>
      <c r="AD204" s="13">
        <f t="shared" si="46"/>
        <v>7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30.0</v>
      </c>
      <c r="F205" s="19">
        <v>44.0</v>
      </c>
      <c r="G205" s="19">
        <v>43.0</v>
      </c>
      <c r="H205" s="19">
        <v>10.0</v>
      </c>
      <c r="I205" s="19">
        <v>4.0</v>
      </c>
      <c r="J205" s="19">
        <v>24.0</v>
      </c>
      <c r="K205" s="19">
        <v>9.0</v>
      </c>
      <c r="L205" s="19">
        <v>85.0</v>
      </c>
      <c r="M205" s="19">
        <v>58.0</v>
      </c>
      <c r="N205" s="19">
        <v>21.0</v>
      </c>
      <c r="O205" s="19">
        <v>20.0</v>
      </c>
      <c r="P205" s="19">
        <v>44.0</v>
      </c>
      <c r="Q205" s="19">
        <v>39.0</v>
      </c>
      <c r="R205" s="19">
        <v>33.0</v>
      </c>
      <c r="S205" s="19">
        <v>28.0</v>
      </c>
      <c r="T205" s="19">
        <v>48.0</v>
      </c>
      <c r="U205" s="19">
        <v>17.0</v>
      </c>
      <c r="V205" s="19">
        <v>57.0</v>
      </c>
      <c r="W205" s="19">
        <v>11.0</v>
      </c>
      <c r="X205" s="19">
        <v>5.0</v>
      </c>
      <c r="Y205" s="19">
        <v>31.0</v>
      </c>
      <c r="Z205" s="19">
        <v>1.0</v>
      </c>
      <c r="AA205" s="19">
        <v>12.0</v>
      </c>
      <c r="AB205" s="19">
        <v>3.0</v>
      </c>
      <c r="AC205" s="19">
        <v>30.0</v>
      </c>
      <c r="AD205" s="13">
        <f t="shared" si="46"/>
        <v>707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AD206" si="47">SUM(E198:E205)</f>
        <v>36</v>
      </c>
      <c r="F206" s="13">
        <f t="shared" si="47"/>
        <v>48</v>
      </c>
      <c r="G206" s="13">
        <f t="shared" si="47"/>
        <v>47</v>
      </c>
      <c r="H206" s="13">
        <f t="shared" si="47"/>
        <v>10</v>
      </c>
      <c r="I206" s="13">
        <f t="shared" si="47"/>
        <v>8</v>
      </c>
      <c r="J206" s="13">
        <f t="shared" si="47"/>
        <v>25</v>
      </c>
      <c r="K206" s="13">
        <f t="shared" si="47"/>
        <v>11</v>
      </c>
      <c r="L206" s="13">
        <f t="shared" si="47"/>
        <v>94</v>
      </c>
      <c r="M206" s="13">
        <f t="shared" si="47"/>
        <v>65</v>
      </c>
      <c r="N206" s="13">
        <f t="shared" si="47"/>
        <v>21</v>
      </c>
      <c r="O206" s="13">
        <f t="shared" si="47"/>
        <v>23</v>
      </c>
      <c r="P206" s="13">
        <f t="shared" si="47"/>
        <v>49</v>
      </c>
      <c r="Q206" s="13">
        <f t="shared" si="47"/>
        <v>43</v>
      </c>
      <c r="R206" s="13">
        <f t="shared" si="47"/>
        <v>37</v>
      </c>
      <c r="S206" s="13">
        <f t="shared" si="47"/>
        <v>32</v>
      </c>
      <c r="T206" s="13">
        <f t="shared" si="47"/>
        <v>53</v>
      </c>
      <c r="U206" s="13">
        <f t="shared" si="47"/>
        <v>19</v>
      </c>
      <c r="V206" s="13">
        <f t="shared" si="47"/>
        <v>60</v>
      </c>
      <c r="W206" s="13">
        <f t="shared" si="47"/>
        <v>40</v>
      </c>
      <c r="X206" s="13">
        <f t="shared" si="47"/>
        <v>7</v>
      </c>
      <c r="Y206" s="13">
        <f t="shared" si="47"/>
        <v>49</v>
      </c>
      <c r="Z206" s="13">
        <f t="shared" si="47"/>
        <v>15</v>
      </c>
      <c r="AA206" s="13">
        <f t="shared" si="47"/>
        <v>17</v>
      </c>
      <c r="AB206" s="13">
        <f t="shared" si="47"/>
        <v>29</v>
      </c>
      <c r="AC206" s="13">
        <f t="shared" si="47"/>
        <v>38</v>
      </c>
      <c r="AD206" s="13">
        <f t="shared" si="47"/>
        <v>876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1.0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1.0</v>
      </c>
      <c r="AA208" s="19">
        <v>0.0</v>
      </c>
      <c r="AB208" s="19">
        <v>0.0</v>
      </c>
      <c r="AC208" s="19">
        <v>0.0</v>
      </c>
      <c r="AD208" s="13">
        <f t="shared" ref="AD208:AD214" si="48">SUM(E208:AC208)</f>
        <v>2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9">
        <v>0.0</v>
      </c>
      <c r="S209" s="19">
        <v>0.0</v>
      </c>
      <c r="T209" s="19">
        <v>0.0</v>
      </c>
      <c r="U209" s="19">
        <v>0.0</v>
      </c>
      <c r="V209" s="19">
        <v>0.0</v>
      </c>
      <c r="W209" s="19">
        <v>0.0</v>
      </c>
      <c r="X209" s="19">
        <v>1.0</v>
      </c>
      <c r="Y209" s="19">
        <v>1.0</v>
      </c>
      <c r="Z209" s="19">
        <v>0.0</v>
      </c>
      <c r="AA209" s="19">
        <v>0.0</v>
      </c>
      <c r="AB209" s="19">
        <v>0.0</v>
      </c>
      <c r="AC209" s="19">
        <v>1.0</v>
      </c>
      <c r="AD209" s="13">
        <f t="shared" si="48"/>
        <v>3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9">
        <v>0.0</v>
      </c>
      <c r="U210" s="19">
        <v>0.0</v>
      </c>
      <c r="V210" s="19">
        <v>0.0</v>
      </c>
      <c r="W210" s="19">
        <v>0.0</v>
      </c>
      <c r="X210" s="19">
        <v>0.0</v>
      </c>
      <c r="Y210" s="19">
        <v>1.0</v>
      </c>
      <c r="Z210" s="19">
        <v>0.0</v>
      </c>
      <c r="AA210" s="19">
        <v>0.0</v>
      </c>
      <c r="AB210" s="19">
        <v>0.0</v>
      </c>
      <c r="AC210" s="19">
        <v>0.0</v>
      </c>
      <c r="AD210" s="13">
        <f t="shared" si="48"/>
        <v>1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0.0</v>
      </c>
      <c r="S211" s="19">
        <v>0.0</v>
      </c>
      <c r="T211" s="19">
        <v>0.0</v>
      </c>
      <c r="U211" s="19">
        <v>0.0</v>
      </c>
      <c r="V211" s="19">
        <v>0.0</v>
      </c>
      <c r="W211" s="19">
        <v>0.0</v>
      </c>
      <c r="X211" s="19">
        <v>0.0</v>
      </c>
      <c r="Y211" s="19">
        <v>0.0</v>
      </c>
      <c r="Z211" s="19">
        <v>0.0</v>
      </c>
      <c r="AA211" s="19">
        <v>0.0</v>
      </c>
      <c r="AB211" s="19">
        <v>0.0</v>
      </c>
      <c r="AC211" s="19">
        <v>0.0</v>
      </c>
      <c r="AD211" s="13">
        <f t="shared" si="48"/>
        <v>0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1.0</v>
      </c>
      <c r="F212" s="19">
        <v>0.0</v>
      </c>
      <c r="G212" s="19">
        <v>0.0</v>
      </c>
      <c r="H212" s="19">
        <v>1.0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9">
        <v>0.0</v>
      </c>
      <c r="S212" s="19">
        <v>0.0</v>
      </c>
      <c r="T212" s="19">
        <v>0.0</v>
      </c>
      <c r="U212" s="19">
        <v>0.0</v>
      </c>
      <c r="V212" s="19">
        <v>0.0</v>
      </c>
      <c r="W212" s="19">
        <v>0.0</v>
      </c>
      <c r="X212" s="19">
        <v>0.0</v>
      </c>
      <c r="Y212" s="19">
        <v>0.0</v>
      </c>
      <c r="Z212" s="19">
        <v>0.0</v>
      </c>
      <c r="AA212" s="19">
        <v>0.0</v>
      </c>
      <c r="AB212" s="19">
        <v>1.0</v>
      </c>
      <c r="AC212" s="19">
        <v>0.0</v>
      </c>
      <c r="AD212" s="13">
        <f t="shared" si="48"/>
        <v>3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9">
        <v>0.0</v>
      </c>
      <c r="S213" s="19">
        <v>0.0</v>
      </c>
      <c r="T213" s="19">
        <v>0.0</v>
      </c>
      <c r="U213" s="19">
        <v>0.0</v>
      </c>
      <c r="V213" s="19">
        <v>0.0</v>
      </c>
      <c r="W213" s="19">
        <v>0.0</v>
      </c>
      <c r="X213" s="19">
        <v>0.0</v>
      </c>
      <c r="Y213" s="19">
        <v>0.0</v>
      </c>
      <c r="Z213" s="19">
        <v>0.0</v>
      </c>
      <c r="AA213" s="19">
        <v>0.0</v>
      </c>
      <c r="AB213" s="19">
        <v>0.0</v>
      </c>
      <c r="AC213" s="19">
        <v>0.0</v>
      </c>
      <c r="AD213" s="13">
        <f t="shared" si="48"/>
        <v>0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0.0</v>
      </c>
      <c r="S214" s="19">
        <v>0.0</v>
      </c>
      <c r="T214" s="19">
        <v>0.0</v>
      </c>
      <c r="U214" s="19">
        <v>0.0</v>
      </c>
      <c r="V214" s="19">
        <v>0.0</v>
      </c>
      <c r="W214" s="19">
        <v>0.0</v>
      </c>
      <c r="X214" s="19">
        <v>0.0</v>
      </c>
      <c r="Y214" s="19">
        <v>0.0</v>
      </c>
      <c r="Z214" s="19">
        <v>0.0</v>
      </c>
      <c r="AA214" s="19">
        <v>0.0</v>
      </c>
      <c r="AB214" s="19">
        <v>0.0</v>
      </c>
      <c r="AC214" s="19">
        <v>0.0</v>
      </c>
      <c r="AD214" s="13">
        <f t="shared" si="48"/>
        <v>0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AD215" si="49">SUM(E208:E214)</f>
        <v>2</v>
      </c>
      <c r="F215" s="13">
        <f t="shared" si="49"/>
        <v>0</v>
      </c>
      <c r="G215" s="13">
        <f t="shared" si="49"/>
        <v>0</v>
      </c>
      <c r="H215" s="13">
        <f t="shared" si="49"/>
        <v>1</v>
      </c>
      <c r="I215" s="13">
        <f t="shared" si="49"/>
        <v>0</v>
      </c>
      <c r="J215" s="13">
        <f t="shared" si="49"/>
        <v>0</v>
      </c>
      <c r="K215" s="13">
        <f t="shared" si="49"/>
        <v>0</v>
      </c>
      <c r="L215" s="13">
        <f t="shared" si="49"/>
        <v>0</v>
      </c>
      <c r="M215" s="13">
        <f t="shared" si="49"/>
        <v>0</v>
      </c>
      <c r="N215" s="13">
        <f t="shared" si="49"/>
        <v>0</v>
      </c>
      <c r="O215" s="13">
        <f t="shared" si="49"/>
        <v>0</v>
      </c>
      <c r="P215" s="13">
        <f t="shared" si="49"/>
        <v>0</v>
      </c>
      <c r="Q215" s="13">
        <f t="shared" si="49"/>
        <v>0</v>
      </c>
      <c r="R215" s="13">
        <f t="shared" si="49"/>
        <v>0</v>
      </c>
      <c r="S215" s="13">
        <f t="shared" si="49"/>
        <v>0</v>
      </c>
      <c r="T215" s="13">
        <f t="shared" si="49"/>
        <v>0</v>
      </c>
      <c r="U215" s="13">
        <f t="shared" si="49"/>
        <v>0</v>
      </c>
      <c r="V215" s="13">
        <f t="shared" si="49"/>
        <v>0</v>
      </c>
      <c r="W215" s="13">
        <f t="shared" si="49"/>
        <v>0</v>
      </c>
      <c r="X215" s="13">
        <f t="shared" si="49"/>
        <v>1</v>
      </c>
      <c r="Y215" s="13">
        <f t="shared" si="49"/>
        <v>2</v>
      </c>
      <c r="Z215" s="13">
        <f t="shared" si="49"/>
        <v>1</v>
      </c>
      <c r="AA215" s="13">
        <f t="shared" si="49"/>
        <v>0</v>
      </c>
      <c r="AB215" s="13">
        <f t="shared" si="49"/>
        <v>1</v>
      </c>
      <c r="AC215" s="13">
        <f t="shared" si="49"/>
        <v>1</v>
      </c>
      <c r="AD215" s="13">
        <f t="shared" si="49"/>
        <v>9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AC218" si="50">E53+E63+E73+E83+E93+E103+E109+E119+E129+E136+E146+E156+E166+E176+E186+E196+E206+E215</f>
        <v>208</v>
      </c>
      <c r="F218" s="19">
        <f t="shared" si="50"/>
        <v>185</v>
      </c>
      <c r="G218" s="19">
        <f t="shared" si="50"/>
        <v>194</v>
      </c>
      <c r="H218" s="19">
        <f t="shared" si="50"/>
        <v>218</v>
      </c>
      <c r="I218" s="19">
        <f t="shared" si="50"/>
        <v>156</v>
      </c>
      <c r="J218" s="19">
        <f t="shared" si="50"/>
        <v>200</v>
      </c>
      <c r="K218" s="19">
        <f t="shared" si="50"/>
        <v>198</v>
      </c>
      <c r="L218" s="19">
        <f t="shared" si="50"/>
        <v>222</v>
      </c>
      <c r="M218" s="19">
        <f t="shared" si="50"/>
        <v>187</v>
      </c>
      <c r="N218" s="19">
        <f t="shared" si="50"/>
        <v>185</v>
      </c>
      <c r="O218" s="19">
        <f t="shared" si="50"/>
        <v>203</v>
      </c>
      <c r="P218" s="19">
        <f t="shared" si="50"/>
        <v>174</v>
      </c>
      <c r="Q218" s="19">
        <f t="shared" si="50"/>
        <v>185</v>
      </c>
      <c r="R218" s="19">
        <f t="shared" si="50"/>
        <v>199</v>
      </c>
      <c r="S218" s="19">
        <f t="shared" si="50"/>
        <v>190</v>
      </c>
      <c r="T218" s="19">
        <f t="shared" si="50"/>
        <v>183</v>
      </c>
      <c r="U218" s="19">
        <f t="shared" si="50"/>
        <v>206</v>
      </c>
      <c r="V218" s="19">
        <f t="shared" si="50"/>
        <v>191</v>
      </c>
      <c r="W218" s="19">
        <f t="shared" si="50"/>
        <v>169</v>
      </c>
      <c r="X218" s="19">
        <f t="shared" si="50"/>
        <v>116</v>
      </c>
      <c r="Y218" s="19">
        <f t="shared" si="50"/>
        <v>190</v>
      </c>
      <c r="Z218" s="19">
        <f t="shared" si="50"/>
        <v>189</v>
      </c>
      <c r="AA218" s="19">
        <f t="shared" si="50"/>
        <v>177</v>
      </c>
      <c r="AB218" s="19">
        <f t="shared" si="50"/>
        <v>186</v>
      </c>
      <c r="AC218" s="19">
        <f t="shared" si="50"/>
        <v>205</v>
      </c>
      <c r="AD218" s="13">
        <f t="shared" ref="AD218:AD220" si="51">SUM(E218:AC218)</f>
        <v>4716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30.0</v>
      </c>
      <c r="F219" s="19">
        <v>13.0</v>
      </c>
      <c r="G219" s="19">
        <v>15.0</v>
      </c>
      <c r="H219" s="19">
        <v>7.0</v>
      </c>
      <c r="I219" s="19">
        <v>22.0</v>
      </c>
      <c r="J219" s="19">
        <v>4.0</v>
      </c>
      <c r="K219" s="19">
        <v>5.0</v>
      </c>
      <c r="L219" s="19">
        <v>20.0</v>
      </c>
      <c r="M219" s="19">
        <v>23.0</v>
      </c>
      <c r="N219" s="19">
        <v>19.0</v>
      </c>
      <c r="O219" s="19">
        <v>6.0</v>
      </c>
      <c r="P219" s="19">
        <v>40.0</v>
      </c>
      <c r="Q219" s="19">
        <v>22.0</v>
      </c>
      <c r="R219" s="19">
        <v>10.0</v>
      </c>
      <c r="S219" s="19">
        <v>23.0</v>
      </c>
      <c r="T219" s="19">
        <v>20.0</v>
      </c>
      <c r="U219" s="19">
        <v>22.0</v>
      </c>
      <c r="V219" s="19">
        <v>38.0</v>
      </c>
      <c r="W219" s="19">
        <v>14.0</v>
      </c>
      <c r="X219" s="19">
        <v>5.0</v>
      </c>
      <c r="Y219" s="19">
        <v>13.0</v>
      </c>
      <c r="Z219" s="19">
        <v>16.0</v>
      </c>
      <c r="AA219" s="19">
        <v>12.0</v>
      </c>
      <c r="AB219" s="19">
        <v>36.0</v>
      </c>
      <c r="AC219" s="19">
        <v>18.0</v>
      </c>
      <c r="AD219" s="13">
        <f t="shared" si="51"/>
        <v>453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AC220" si="52">SUM(E218:E219)</f>
        <v>238</v>
      </c>
      <c r="F220" s="13">
        <f t="shared" si="52"/>
        <v>198</v>
      </c>
      <c r="G220" s="13">
        <f t="shared" si="52"/>
        <v>209</v>
      </c>
      <c r="H220" s="13">
        <f t="shared" si="52"/>
        <v>225</v>
      </c>
      <c r="I220" s="13">
        <f t="shared" si="52"/>
        <v>178</v>
      </c>
      <c r="J220" s="13">
        <f t="shared" si="52"/>
        <v>204</v>
      </c>
      <c r="K220" s="13">
        <f t="shared" si="52"/>
        <v>203</v>
      </c>
      <c r="L220" s="13">
        <f t="shared" si="52"/>
        <v>242</v>
      </c>
      <c r="M220" s="13">
        <f t="shared" si="52"/>
        <v>210</v>
      </c>
      <c r="N220" s="13">
        <f t="shared" si="52"/>
        <v>204</v>
      </c>
      <c r="O220" s="13">
        <f t="shared" si="52"/>
        <v>209</v>
      </c>
      <c r="P220" s="13">
        <f t="shared" si="52"/>
        <v>214</v>
      </c>
      <c r="Q220" s="13">
        <f t="shared" si="52"/>
        <v>207</v>
      </c>
      <c r="R220" s="13">
        <f t="shared" si="52"/>
        <v>209</v>
      </c>
      <c r="S220" s="13">
        <f t="shared" si="52"/>
        <v>213</v>
      </c>
      <c r="T220" s="13">
        <f t="shared" si="52"/>
        <v>203</v>
      </c>
      <c r="U220" s="13">
        <f t="shared" si="52"/>
        <v>228</v>
      </c>
      <c r="V220" s="13">
        <f t="shared" si="52"/>
        <v>229</v>
      </c>
      <c r="W220" s="13">
        <f t="shared" si="52"/>
        <v>183</v>
      </c>
      <c r="X220" s="13">
        <f t="shared" si="52"/>
        <v>121</v>
      </c>
      <c r="Y220" s="13">
        <f t="shared" si="52"/>
        <v>203</v>
      </c>
      <c r="Z220" s="13">
        <f t="shared" si="52"/>
        <v>205</v>
      </c>
      <c r="AA220" s="13">
        <f t="shared" si="52"/>
        <v>189</v>
      </c>
      <c r="AB220" s="13">
        <f t="shared" si="52"/>
        <v>222</v>
      </c>
      <c r="AC220" s="13">
        <f t="shared" si="52"/>
        <v>223</v>
      </c>
      <c r="AD220" s="13">
        <f t="shared" si="51"/>
        <v>5169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3:D53"/>
    <mergeCell ref="A54:E54"/>
    <mergeCell ref="C55:D55"/>
    <mergeCell ref="B63:D63"/>
    <mergeCell ref="A64:E64"/>
    <mergeCell ref="C65:D65"/>
    <mergeCell ref="B73:D73"/>
    <mergeCell ref="A74:E74"/>
    <mergeCell ref="C75:D75"/>
    <mergeCell ref="B83:D83"/>
    <mergeCell ref="A84:E84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C208:D208"/>
    <mergeCell ref="B215:D215"/>
    <mergeCell ref="B217:D217"/>
    <mergeCell ref="C218:D218"/>
    <mergeCell ref="C219:D219"/>
    <mergeCell ref="C220:D220"/>
    <mergeCell ref="A187:E187"/>
    <mergeCell ref="C188:D188"/>
    <mergeCell ref="B196:D196"/>
    <mergeCell ref="A197:E197"/>
    <mergeCell ref="C198:D198"/>
    <mergeCell ref="B206:D206"/>
    <mergeCell ref="A207:E207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C37"/>
    <mergeCell ref="B38:D38"/>
    <mergeCell ref="B39:C41"/>
    <mergeCell ref="A42:D42"/>
    <mergeCell ref="E42:AC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85:D85"/>
    <mergeCell ref="B93:D93"/>
    <mergeCell ref="A94:E94"/>
    <mergeCell ref="C95:D95"/>
  </mergeCells>
  <conditionalFormatting sqref="E14:AC15">
    <cfRule type="containsBlanks" dxfId="0" priority="1">
      <formula>LEN(TRIM(E14))=0</formula>
    </cfRule>
  </conditionalFormatting>
  <conditionalFormatting sqref="E19:AC20">
    <cfRule type="containsBlanks" dxfId="0" priority="2">
      <formula>LEN(TRIM(E19))=0</formula>
    </cfRule>
  </conditionalFormatting>
  <conditionalFormatting sqref="E22:AC23 E25:AC26 E33:AC33 E35:AC35 E39:AC40">
    <cfRule type="containsBlanks" dxfId="0" priority="3">
      <formula>LEN(TRIM(E22))=0</formula>
    </cfRule>
  </conditionalFormatting>
  <conditionalFormatting sqref="E30:AC30">
    <cfRule type="expression" dxfId="1" priority="4">
      <formula>E30&lt;&gt;E47</formula>
    </cfRule>
  </conditionalFormatting>
  <conditionalFormatting sqref="E30:AC30">
    <cfRule type="expression" dxfId="1" priority="5">
      <formula>E30&lt;&gt;E34</formula>
    </cfRule>
  </conditionalFormatting>
  <conditionalFormatting sqref="E45:AC52">
    <cfRule type="containsBlanks" dxfId="0" priority="6">
      <formula>LEN(TRIM(E45))=0</formula>
    </cfRule>
  </conditionalFormatting>
  <conditionalFormatting sqref="E55:AC62">
    <cfRule type="containsBlanks" dxfId="0" priority="7">
      <formula>LEN(TRIM(E55))=0</formula>
    </cfRule>
  </conditionalFormatting>
  <conditionalFormatting sqref="E65:AC72">
    <cfRule type="containsBlanks" dxfId="0" priority="8">
      <formula>LEN(TRIM(E65))=0</formula>
    </cfRule>
  </conditionalFormatting>
  <conditionalFormatting sqref="E75:AC82">
    <cfRule type="containsBlanks" dxfId="0" priority="9">
      <formula>LEN(TRIM(E75))=0</formula>
    </cfRule>
  </conditionalFormatting>
  <conditionalFormatting sqref="E85:AC92">
    <cfRule type="containsBlanks" dxfId="0" priority="10">
      <formula>LEN(TRIM(E85))=0</formula>
    </cfRule>
  </conditionalFormatting>
  <conditionalFormatting sqref="E95:AC102">
    <cfRule type="containsBlanks" dxfId="0" priority="11">
      <formula>LEN(TRIM(E95))=0</formula>
    </cfRule>
  </conditionalFormatting>
  <conditionalFormatting sqref="E105:AC108">
    <cfRule type="containsBlanks" dxfId="0" priority="12">
      <formula>LEN(TRIM(E105))=0</formula>
    </cfRule>
  </conditionalFormatting>
  <conditionalFormatting sqref="E111:AC118">
    <cfRule type="containsBlanks" dxfId="0" priority="13">
      <formula>LEN(TRIM(E111))=0</formula>
    </cfRule>
  </conditionalFormatting>
  <conditionalFormatting sqref="E121:AC128">
    <cfRule type="containsBlanks" dxfId="0" priority="14">
      <formula>LEN(TRIM(E121))=0</formula>
    </cfRule>
  </conditionalFormatting>
  <conditionalFormatting sqref="E131:AC135">
    <cfRule type="containsBlanks" dxfId="0" priority="15">
      <formula>LEN(TRIM(E131))=0</formula>
    </cfRule>
  </conditionalFormatting>
  <conditionalFormatting sqref="E138:AC145">
    <cfRule type="containsBlanks" dxfId="0" priority="16">
      <formula>LEN(TRIM(E138))=0</formula>
    </cfRule>
  </conditionalFormatting>
  <conditionalFormatting sqref="E148:AC155">
    <cfRule type="containsBlanks" dxfId="0" priority="17">
      <formula>LEN(TRIM(E148))=0</formula>
    </cfRule>
  </conditionalFormatting>
  <conditionalFormatting sqref="E158:AC165">
    <cfRule type="containsBlanks" dxfId="0" priority="18">
      <formula>LEN(TRIM(E158))=0</formula>
    </cfRule>
  </conditionalFormatting>
  <conditionalFormatting sqref="E168:AC175">
    <cfRule type="containsBlanks" dxfId="0" priority="19">
      <formula>LEN(TRIM(E168))=0</formula>
    </cfRule>
  </conditionalFormatting>
  <conditionalFormatting sqref="E178:AC185">
    <cfRule type="containsBlanks" dxfId="0" priority="20">
      <formula>LEN(TRIM(E178))=0</formula>
    </cfRule>
  </conditionalFormatting>
  <conditionalFormatting sqref="E188:AC195">
    <cfRule type="containsBlanks" dxfId="0" priority="21">
      <formula>LEN(TRIM(E188))=0</formula>
    </cfRule>
  </conditionalFormatting>
  <conditionalFormatting sqref="E198:AC205">
    <cfRule type="containsBlanks" dxfId="0" priority="22">
      <formula>LEN(TRIM(E198))=0</formula>
    </cfRule>
  </conditionalFormatting>
  <conditionalFormatting sqref="E208:AC214">
    <cfRule type="containsBlanks" dxfId="0" priority="23">
      <formula>LEN(TRIM(E208))=0</formula>
    </cfRule>
  </conditionalFormatting>
  <conditionalFormatting sqref="E218:AC219">
    <cfRule type="containsBlanks" dxfId="0" priority="24">
      <formula>LEN(TRIM(E218))=0</formula>
    </cfRule>
  </conditionalFormatting>
  <conditionalFormatting sqref="E34:AC34">
    <cfRule type="expression" dxfId="2" priority="25">
      <formula>E30&lt;&gt;E34</formula>
    </cfRule>
  </conditionalFormatting>
  <conditionalFormatting sqref="E34:AC34">
    <cfRule type="expression" dxfId="3" priority="26">
      <formula>E30=E34</formula>
    </cfRule>
  </conditionalFormatting>
  <conditionalFormatting sqref="E34:AC34">
    <cfRule type="expression" dxfId="1" priority="27">
      <formula>E34&lt;&gt;E30</formula>
    </cfRule>
  </conditionalFormatting>
  <conditionalFormatting sqref="E34:AC34">
    <cfRule type="expression" dxfId="1" priority="28">
      <formula>E34&lt;&gt;E62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8" width="8.71"/>
    <col customWidth="1" min="39" max="3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V11" s="1"/>
      <c r="W11" s="1"/>
      <c r="X11" s="1"/>
      <c r="Y11" s="1"/>
      <c r="Z11" s="1"/>
      <c r="AA11" s="1"/>
      <c r="AB11" s="1"/>
      <c r="AC11" s="1"/>
      <c r="AD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13" t="s">
        <v>227</v>
      </c>
      <c r="AE13" s="13" t="s">
        <v>228</v>
      </c>
      <c r="AF13" s="13" t="s">
        <v>229</v>
      </c>
      <c r="AG13" s="13" t="s">
        <v>230</v>
      </c>
      <c r="AH13" s="13" t="s">
        <v>231</v>
      </c>
      <c r="AI13" s="13" t="s">
        <v>232</v>
      </c>
      <c r="AJ13" s="13" t="s">
        <v>233</v>
      </c>
      <c r="AK13" s="13" t="s">
        <v>234</v>
      </c>
      <c r="AL13" s="13" t="s">
        <v>235</v>
      </c>
      <c r="AM13" s="36"/>
    </row>
    <row r="14" ht="12.75" customHeight="1">
      <c r="A14" s="18"/>
      <c r="B14" s="22" t="s">
        <v>11</v>
      </c>
      <c r="C14" s="23"/>
      <c r="D14" s="19" t="s">
        <v>12</v>
      </c>
      <c r="E14" s="19">
        <v>147.0</v>
      </c>
      <c r="F14" s="19">
        <v>147.0</v>
      </c>
      <c r="G14" s="19">
        <v>137.0</v>
      </c>
      <c r="H14" s="19">
        <v>154.0</v>
      </c>
      <c r="I14" s="19">
        <v>140.0</v>
      </c>
      <c r="J14" s="19">
        <v>139.0</v>
      </c>
      <c r="K14" s="19">
        <v>139.0</v>
      </c>
      <c r="L14" s="19">
        <v>148.0</v>
      </c>
      <c r="M14" s="19">
        <v>144.0</v>
      </c>
      <c r="N14" s="19">
        <v>94.0</v>
      </c>
      <c r="O14" s="19">
        <v>105.0</v>
      </c>
      <c r="P14" s="19">
        <v>134.0</v>
      </c>
      <c r="Q14" s="19">
        <v>117.0</v>
      </c>
      <c r="R14" s="19">
        <v>130.0</v>
      </c>
      <c r="S14" s="19">
        <v>131.0</v>
      </c>
      <c r="T14" s="19">
        <v>129.0</v>
      </c>
      <c r="U14" s="19">
        <v>129.0</v>
      </c>
      <c r="V14" s="19">
        <v>132.0</v>
      </c>
      <c r="W14" s="19">
        <v>133.0</v>
      </c>
      <c r="X14" s="19">
        <v>139.0</v>
      </c>
      <c r="Y14" s="19">
        <v>138.0</v>
      </c>
      <c r="Z14" s="19">
        <v>131.0</v>
      </c>
      <c r="AA14" s="19">
        <v>122.0</v>
      </c>
      <c r="AB14" s="19">
        <v>144.0</v>
      </c>
      <c r="AC14" s="19">
        <v>132.0</v>
      </c>
      <c r="AD14" s="19">
        <v>127.0</v>
      </c>
      <c r="AE14" s="19">
        <v>129.0</v>
      </c>
      <c r="AF14" s="19">
        <v>127.0</v>
      </c>
      <c r="AG14" s="19">
        <v>121.0</v>
      </c>
      <c r="AH14" s="19">
        <v>119.0</v>
      </c>
      <c r="AI14" s="19">
        <v>131.0</v>
      </c>
      <c r="AJ14" s="19">
        <v>131.0</v>
      </c>
      <c r="AK14" s="19">
        <v>116.0</v>
      </c>
      <c r="AL14" s="19">
        <v>123.0</v>
      </c>
      <c r="AM14" s="13">
        <f t="shared" ref="AM14:AM16" si="1">SUM(E14:AL14)</f>
        <v>4459</v>
      </c>
    </row>
    <row r="15" ht="12.75" customHeight="1">
      <c r="A15" s="18"/>
      <c r="B15" s="26"/>
      <c r="C15" s="27"/>
      <c r="D15" s="19" t="s">
        <v>13</v>
      </c>
      <c r="E15" s="19">
        <v>140.0</v>
      </c>
      <c r="F15" s="19">
        <v>146.0</v>
      </c>
      <c r="G15" s="19">
        <v>149.0</v>
      </c>
      <c r="H15" s="19">
        <v>140.0</v>
      </c>
      <c r="I15" s="19">
        <v>140.0</v>
      </c>
      <c r="J15" s="19">
        <v>138.0</v>
      </c>
      <c r="K15" s="19">
        <v>124.0</v>
      </c>
      <c r="L15" s="19">
        <v>143.0</v>
      </c>
      <c r="M15" s="19">
        <v>143.0</v>
      </c>
      <c r="N15" s="19">
        <v>91.0</v>
      </c>
      <c r="O15" s="19">
        <v>91.0</v>
      </c>
      <c r="P15" s="19">
        <v>126.0</v>
      </c>
      <c r="Q15" s="19">
        <v>134.0</v>
      </c>
      <c r="R15" s="19">
        <v>126.0</v>
      </c>
      <c r="S15" s="19">
        <v>124.0</v>
      </c>
      <c r="T15" s="19">
        <v>124.0</v>
      </c>
      <c r="U15" s="19">
        <v>122.0</v>
      </c>
      <c r="V15" s="19">
        <v>124.0</v>
      </c>
      <c r="W15" s="19">
        <v>118.0</v>
      </c>
      <c r="X15" s="19">
        <v>125.0</v>
      </c>
      <c r="Y15" s="19">
        <v>116.0</v>
      </c>
      <c r="Z15" s="19">
        <v>118.0</v>
      </c>
      <c r="AA15" s="19">
        <v>120.0</v>
      </c>
      <c r="AB15" s="19">
        <v>123.0</v>
      </c>
      <c r="AC15" s="19">
        <v>128.0</v>
      </c>
      <c r="AD15" s="19">
        <v>138.0</v>
      </c>
      <c r="AE15" s="19">
        <v>122.0</v>
      </c>
      <c r="AF15" s="19">
        <v>133.0</v>
      </c>
      <c r="AG15" s="19">
        <v>121.0</v>
      </c>
      <c r="AH15" s="19">
        <v>129.0</v>
      </c>
      <c r="AI15" s="19">
        <v>128.0</v>
      </c>
      <c r="AJ15" s="19">
        <v>128.0</v>
      </c>
      <c r="AK15" s="19">
        <v>126.0</v>
      </c>
      <c r="AL15" s="19">
        <v>123.0</v>
      </c>
      <c r="AM15" s="13">
        <f t="shared" si="1"/>
        <v>4321</v>
      </c>
    </row>
    <row r="16" ht="12.75" customHeight="1">
      <c r="A16" s="25"/>
      <c r="B16" s="21"/>
      <c r="C16" s="28"/>
      <c r="D16" s="13" t="s">
        <v>14</v>
      </c>
      <c r="E16" s="13">
        <f t="shared" ref="E16:AL16" si="2">SUM(E14:E15)</f>
        <v>287</v>
      </c>
      <c r="F16" s="13">
        <f t="shared" si="2"/>
        <v>293</v>
      </c>
      <c r="G16" s="13">
        <f t="shared" si="2"/>
        <v>286</v>
      </c>
      <c r="H16" s="13">
        <f t="shared" si="2"/>
        <v>294</v>
      </c>
      <c r="I16" s="13">
        <f t="shared" si="2"/>
        <v>280</v>
      </c>
      <c r="J16" s="13">
        <f t="shared" si="2"/>
        <v>277</v>
      </c>
      <c r="K16" s="13">
        <f t="shared" si="2"/>
        <v>263</v>
      </c>
      <c r="L16" s="13">
        <f t="shared" si="2"/>
        <v>291</v>
      </c>
      <c r="M16" s="13">
        <f t="shared" si="2"/>
        <v>287</v>
      </c>
      <c r="N16" s="13">
        <f t="shared" si="2"/>
        <v>185</v>
      </c>
      <c r="O16" s="13">
        <f t="shared" si="2"/>
        <v>196</v>
      </c>
      <c r="P16" s="13">
        <f t="shared" si="2"/>
        <v>260</v>
      </c>
      <c r="Q16" s="13">
        <f t="shared" si="2"/>
        <v>251</v>
      </c>
      <c r="R16" s="13">
        <f t="shared" si="2"/>
        <v>256</v>
      </c>
      <c r="S16" s="13">
        <f t="shared" si="2"/>
        <v>255</v>
      </c>
      <c r="T16" s="13">
        <f t="shared" si="2"/>
        <v>253</v>
      </c>
      <c r="U16" s="13">
        <f t="shared" si="2"/>
        <v>251</v>
      </c>
      <c r="V16" s="13">
        <f t="shared" si="2"/>
        <v>256</v>
      </c>
      <c r="W16" s="13">
        <f t="shared" si="2"/>
        <v>251</v>
      </c>
      <c r="X16" s="13">
        <f t="shared" si="2"/>
        <v>264</v>
      </c>
      <c r="Y16" s="13">
        <f t="shared" si="2"/>
        <v>254</v>
      </c>
      <c r="Z16" s="13">
        <f t="shared" si="2"/>
        <v>249</v>
      </c>
      <c r="AA16" s="13">
        <f t="shared" si="2"/>
        <v>242</v>
      </c>
      <c r="AB16" s="13">
        <f t="shared" si="2"/>
        <v>267</v>
      </c>
      <c r="AC16" s="13">
        <f t="shared" si="2"/>
        <v>260</v>
      </c>
      <c r="AD16" s="13">
        <f t="shared" si="2"/>
        <v>265</v>
      </c>
      <c r="AE16" s="13">
        <f t="shared" si="2"/>
        <v>251</v>
      </c>
      <c r="AF16" s="13">
        <f t="shared" si="2"/>
        <v>260</v>
      </c>
      <c r="AG16" s="13">
        <f t="shared" si="2"/>
        <v>242</v>
      </c>
      <c r="AH16" s="13">
        <f t="shared" si="2"/>
        <v>248</v>
      </c>
      <c r="AI16" s="13">
        <f t="shared" si="2"/>
        <v>259</v>
      </c>
      <c r="AJ16" s="13">
        <f t="shared" si="2"/>
        <v>259</v>
      </c>
      <c r="AK16" s="13">
        <f t="shared" si="2"/>
        <v>242</v>
      </c>
      <c r="AL16" s="13">
        <f t="shared" si="2"/>
        <v>246</v>
      </c>
      <c r="AM16" s="13">
        <f t="shared" si="1"/>
        <v>8780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69"/>
      <c r="R17" s="69"/>
      <c r="S17" s="69"/>
      <c r="T17" s="69"/>
      <c r="U17" s="69"/>
      <c r="V17" s="19"/>
      <c r="W17" s="19"/>
      <c r="X17" s="19"/>
      <c r="Y17" s="19"/>
      <c r="Z17" s="19"/>
      <c r="AA17" s="19"/>
      <c r="AB17" s="19"/>
      <c r="AC17" s="19"/>
      <c r="AD17" s="69"/>
      <c r="AE17" s="69"/>
      <c r="AF17" s="69"/>
      <c r="AG17" s="69"/>
      <c r="AH17" s="69"/>
      <c r="AI17" s="69"/>
      <c r="AJ17" s="69"/>
      <c r="AK17" s="69"/>
      <c r="AL17" s="69"/>
      <c r="AM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69"/>
      <c r="R18" s="69"/>
      <c r="S18" s="69"/>
      <c r="T18" s="69"/>
      <c r="U18" s="69"/>
      <c r="V18" s="19"/>
      <c r="W18" s="19"/>
      <c r="X18" s="19"/>
      <c r="Y18" s="19"/>
      <c r="Z18" s="19"/>
      <c r="AA18" s="19"/>
      <c r="AB18" s="19"/>
      <c r="AC18" s="19"/>
      <c r="AD18" s="69"/>
      <c r="AE18" s="69"/>
      <c r="AF18" s="69"/>
      <c r="AG18" s="69"/>
      <c r="AH18" s="69"/>
      <c r="AI18" s="69"/>
      <c r="AJ18" s="69"/>
      <c r="AK18" s="69"/>
      <c r="AL18" s="69"/>
      <c r="AM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100.0</v>
      </c>
      <c r="G19" s="19">
        <v>99.0</v>
      </c>
      <c r="H19" s="19">
        <v>118.0</v>
      </c>
      <c r="I19" s="19">
        <v>107.0</v>
      </c>
      <c r="J19" s="19">
        <v>112.0</v>
      </c>
      <c r="K19" s="19">
        <v>112.0</v>
      </c>
      <c r="L19" s="19">
        <v>117.0</v>
      </c>
      <c r="M19" s="19">
        <v>104.0</v>
      </c>
      <c r="N19" s="19">
        <v>72.0</v>
      </c>
      <c r="O19" s="19">
        <v>71.0</v>
      </c>
      <c r="P19" s="19">
        <v>100.0</v>
      </c>
      <c r="Q19" s="19">
        <v>98.0</v>
      </c>
      <c r="R19" s="19">
        <v>110.0</v>
      </c>
      <c r="S19" s="19">
        <v>100.0</v>
      </c>
      <c r="T19" s="19">
        <v>101.0</v>
      </c>
      <c r="U19" s="19">
        <v>85.0</v>
      </c>
      <c r="V19" s="19">
        <v>112.0</v>
      </c>
      <c r="W19" s="19">
        <v>90.0</v>
      </c>
      <c r="X19" s="19">
        <v>112.0</v>
      </c>
      <c r="Y19" s="19">
        <v>111.0</v>
      </c>
      <c r="Z19" s="19">
        <v>96.0</v>
      </c>
      <c r="AA19" s="19">
        <v>92.0</v>
      </c>
      <c r="AB19" s="19">
        <v>112.0</v>
      </c>
      <c r="AC19" s="19">
        <v>102.0</v>
      </c>
      <c r="AD19" s="19">
        <v>89.0</v>
      </c>
      <c r="AE19" s="19">
        <v>101.0</v>
      </c>
      <c r="AF19" s="19">
        <v>96.0</v>
      </c>
      <c r="AG19" s="19">
        <v>90.0</v>
      </c>
      <c r="AH19" s="19">
        <v>97.0</v>
      </c>
      <c r="AI19" s="19">
        <v>93.0</v>
      </c>
      <c r="AJ19" s="19">
        <v>104.0</v>
      </c>
      <c r="AK19" s="19">
        <v>88.0</v>
      </c>
      <c r="AL19" s="19">
        <v>94.0</v>
      </c>
      <c r="AM19" s="13">
        <f t="shared" ref="AM19:AM30" si="3">SUM(E19:AL19)</f>
        <v>3391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112.0</v>
      </c>
      <c r="G20" s="19">
        <v>110.0</v>
      </c>
      <c r="H20" s="19">
        <v>109.0</v>
      </c>
      <c r="I20" s="19">
        <v>124.0</v>
      </c>
      <c r="J20" s="19">
        <v>113.0</v>
      </c>
      <c r="K20" s="19">
        <v>108.0</v>
      </c>
      <c r="L20" s="19">
        <v>124.0</v>
      </c>
      <c r="M20" s="19">
        <v>110.0</v>
      </c>
      <c r="N20" s="19">
        <v>70.0</v>
      </c>
      <c r="O20" s="19">
        <v>64.0</v>
      </c>
      <c r="P20" s="19">
        <v>105.0</v>
      </c>
      <c r="Q20" s="19">
        <v>108.0</v>
      </c>
      <c r="R20" s="19">
        <v>102.0</v>
      </c>
      <c r="S20" s="19">
        <v>92.0</v>
      </c>
      <c r="T20" s="19">
        <v>108.0</v>
      </c>
      <c r="U20" s="19">
        <v>101.0</v>
      </c>
      <c r="V20" s="19">
        <v>103.0</v>
      </c>
      <c r="W20" s="19">
        <v>86.0</v>
      </c>
      <c r="X20" s="19">
        <v>110.0</v>
      </c>
      <c r="Y20" s="19">
        <v>94.0</v>
      </c>
      <c r="Z20" s="19">
        <v>95.0</v>
      </c>
      <c r="AA20" s="19">
        <v>99.0</v>
      </c>
      <c r="AB20" s="19">
        <v>102.0</v>
      </c>
      <c r="AC20" s="19">
        <v>109.0</v>
      </c>
      <c r="AD20" s="19">
        <v>113.0</v>
      </c>
      <c r="AE20" s="19">
        <v>101.0</v>
      </c>
      <c r="AF20" s="19">
        <v>115.0</v>
      </c>
      <c r="AG20" s="19">
        <v>104.0</v>
      </c>
      <c r="AH20" s="19">
        <v>106.0</v>
      </c>
      <c r="AI20" s="19">
        <v>102.0</v>
      </c>
      <c r="AJ20" s="19">
        <v>104.0</v>
      </c>
      <c r="AK20" s="19">
        <v>103.0</v>
      </c>
      <c r="AL20" s="19">
        <v>105.0</v>
      </c>
      <c r="AM20" s="13">
        <f t="shared" si="3"/>
        <v>3529</v>
      </c>
    </row>
    <row r="21" ht="12.75" customHeight="1">
      <c r="A21" s="35"/>
      <c r="B21" s="28"/>
      <c r="C21" s="36"/>
      <c r="D21" s="13" t="s">
        <v>14</v>
      </c>
      <c r="E21" s="13">
        <f t="shared" ref="E21:AL21" si="4">SUM(E19:E20)</f>
        <v>224</v>
      </c>
      <c r="F21" s="13">
        <f t="shared" si="4"/>
        <v>212</v>
      </c>
      <c r="G21" s="13">
        <f t="shared" si="4"/>
        <v>209</v>
      </c>
      <c r="H21" s="13">
        <f t="shared" si="4"/>
        <v>227</v>
      </c>
      <c r="I21" s="13">
        <f t="shared" si="4"/>
        <v>231</v>
      </c>
      <c r="J21" s="13">
        <f t="shared" si="4"/>
        <v>225</v>
      </c>
      <c r="K21" s="13">
        <f t="shared" si="4"/>
        <v>220</v>
      </c>
      <c r="L21" s="13">
        <f t="shared" si="4"/>
        <v>241</v>
      </c>
      <c r="M21" s="13">
        <f t="shared" si="4"/>
        <v>214</v>
      </c>
      <c r="N21" s="13">
        <f t="shared" si="4"/>
        <v>142</v>
      </c>
      <c r="O21" s="13">
        <f t="shared" si="4"/>
        <v>135</v>
      </c>
      <c r="P21" s="13">
        <f t="shared" si="4"/>
        <v>205</v>
      </c>
      <c r="Q21" s="13">
        <f t="shared" si="4"/>
        <v>206</v>
      </c>
      <c r="R21" s="13">
        <f t="shared" si="4"/>
        <v>212</v>
      </c>
      <c r="S21" s="13">
        <f t="shared" si="4"/>
        <v>192</v>
      </c>
      <c r="T21" s="13">
        <f t="shared" si="4"/>
        <v>209</v>
      </c>
      <c r="U21" s="13">
        <f t="shared" si="4"/>
        <v>186</v>
      </c>
      <c r="V21" s="13">
        <f t="shared" si="4"/>
        <v>215</v>
      </c>
      <c r="W21" s="13">
        <f t="shared" si="4"/>
        <v>176</v>
      </c>
      <c r="X21" s="13">
        <f t="shared" si="4"/>
        <v>222</v>
      </c>
      <c r="Y21" s="13">
        <f t="shared" si="4"/>
        <v>205</v>
      </c>
      <c r="Z21" s="13">
        <f t="shared" si="4"/>
        <v>191</v>
      </c>
      <c r="AA21" s="13">
        <f t="shared" si="4"/>
        <v>191</v>
      </c>
      <c r="AB21" s="13">
        <f t="shared" si="4"/>
        <v>214</v>
      </c>
      <c r="AC21" s="13">
        <f t="shared" si="4"/>
        <v>211</v>
      </c>
      <c r="AD21" s="13">
        <f t="shared" si="4"/>
        <v>202</v>
      </c>
      <c r="AE21" s="13">
        <f t="shared" si="4"/>
        <v>202</v>
      </c>
      <c r="AF21" s="13">
        <f t="shared" si="4"/>
        <v>211</v>
      </c>
      <c r="AG21" s="13">
        <f t="shared" si="4"/>
        <v>194</v>
      </c>
      <c r="AH21" s="13">
        <f t="shared" si="4"/>
        <v>203</v>
      </c>
      <c r="AI21" s="13">
        <f t="shared" si="4"/>
        <v>195</v>
      </c>
      <c r="AJ21" s="13">
        <f t="shared" si="4"/>
        <v>208</v>
      </c>
      <c r="AK21" s="13">
        <f t="shared" si="4"/>
        <v>191</v>
      </c>
      <c r="AL21" s="13">
        <f t="shared" si="4"/>
        <v>199</v>
      </c>
      <c r="AM21" s="13">
        <f t="shared" si="3"/>
        <v>6920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1.0</v>
      </c>
      <c r="I22" s="19">
        <v>1.0</v>
      </c>
      <c r="J22" s="19">
        <v>0.0</v>
      </c>
      <c r="K22" s="19">
        <v>0.0</v>
      </c>
      <c r="L22" s="19">
        <v>0.0</v>
      </c>
      <c r="M22" s="19">
        <v>2.0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1.0</v>
      </c>
      <c r="AE22" s="19">
        <v>1.0</v>
      </c>
      <c r="AF22" s="19">
        <v>0.0</v>
      </c>
      <c r="AG22" s="19">
        <v>0.0</v>
      </c>
      <c r="AH22" s="19">
        <v>2.0</v>
      </c>
      <c r="AI22" s="19">
        <v>0.0</v>
      </c>
      <c r="AJ22" s="19">
        <v>0.0</v>
      </c>
      <c r="AK22" s="19">
        <v>0.0</v>
      </c>
      <c r="AL22" s="19">
        <v>0.0</v>
      </c>
      <c r="AM22" s="13">
        <f t="shared" si="3"/>
        <v>10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1.0</v>
      </c>
      <c r="P23" s="19">
        <v>0.0</v>
      </c>
      <c r="Q23" s="19">
        <v>0.0</v>
      </c>
      <c r="R23" s="19">
        <v>1.0</v>
      </c>
      <c r="S23" s="19">
        <v>0.0</v>
      </c>
      <c r="T23" s="19">
        <v>1.0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1.0</v>
      </c>
      <c r="AC23" s="19">
        <v>0.0</v>
      </c>
      <c r="AD23" s="19">
        <v>1.0</v>
      </c>
      <c r="AE23" s="19">
        <v>0.0</v>
      </c>
      <c r="AF23" s="19">
        <v>0.0</v>
      </c>
      <c r="AG23" s="19">
        <v>0.0</v>
      </c>
      <c r="AH23" s="19">
        <v>1.0</v>
      </c>
      <c r="AI23" s="19">
        <v>0.0</v>
      </c>
      <c r="AJ23" s="19">
        <v>0.0</v>
      </c>
      <c r="AK23" s="19">
        <v>0.0</v>
      </c>
      <c r="AL23" s="19">
        <v>0.0</v>
      </c>
      <c r="AM23" s="13">
        <f t="shared" si="3"/>
        <v>9</v>
      </c>
    </row>
    <row r="24" ht="12.75" customHeight="1">
      <c r="A24" s="35"/>
      <c r="B24" s="28"/>
      <c r="C24" s="36"/>
      <c r="D24" s="13" t="s">
        <v>14</v>
      </c>
      <c r="E24" s="13">
        <f t="shared" ref="E24:AL24" si="5">SUM(E22:E23)</f>
        <v>1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3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1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2</v>
      </c>
      <c r="AC24" s="13">
        <f t="shared" si="5"/>
        <v>0</v>
      </c>
      <c r="AD24" s="13">
        <f t="shared" si="5"/>
        <v>2</v>
      </c>
      <c r="AE24" s="13">
        <f t="shared" si="5"/>
        <v>1</v>
      </c>
      <c r="AF24" s="13">
        <f t="shared" si="5"/>
        <v>0</v>
      </c>
      <c r="AG24" s="13">
        <f t="shared" si="5"/>
        <v>0</v>
      </c>
      <c r="AH24" s="13">
        <f t="shared" si="5"/>
        <v>3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3"/>
        <v>19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4.0</v>
      </c>
      <c r="M25" s="19">
        <v>3.0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1.0</v>
      </c>
      <c r="T25" s="19">
        <v>0.0</v>
      </c>
      <c r="U25" s="19">
        <v>1.0</v>
      </c>
      <c r="V25" s="19">
        <v>2.0</v>
      </c>
      <c r="W25" s="19">
        <v>0.0</v>
      </c>
      <c r="X25" s="19">
        <v>0.0</v>
      </c>
      <c r="Y25" s="19">
        <v>1.0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0.0</v>
      </c>
      <c r="AG25" s="19">
        <v>1.0</v>
      </c>
      <c r="AH25" s="19">
        <v>0.0</v>
      </c>
      <c r="AI25" s="19">
        <v>0.0</v>
      </c>
      <c r="AJ25" s="19">
        <v>0.0</v>
      </c>
      <c r="AK25" s="19">
        <v>0.0</v>
      </c>
      <c r="AL25" s="19">
        <v>0.0</v>
      </c>
      <c r="AM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4.0</v>
      </c>
      <c r="M26" s="19">
        <v>2.0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4.0</v>
      </c>
      <c r="T26" s="19">
        <v>0.0</v>
      </c>
      <c r="U26" s="19">
        <v>5.0</v>
      </c>
      <c r="V26" s="19">
        <v>4.0</v>
      </c>
      <c r="W26" s="19">
        <v>0.0</v>
      </c>
      <c r="X26" s="19">
        <v>0.0</v>
      </c>
      <c r="Y26" s="19">
        <v>1.0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2.0</v>
      </c>
      <c r="AH26" s="19">
        <v>0.0</v>
      </c>
      <c r="AI26" s="19">
        <v>0.0</v>
      </c>
      <c r="AJ26" s="19">
        <v>0.0</v>
      </c>
      <c r="AK26" s="19">
        <v>0.0</v>
      </c>
      <c r="AL26" s="19">
        <v>1.0</v>
      </c>
      <c r="AM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L27" si="6">SUM(E25:E26)</f>
        <v>0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8</v>
      </c>
      <c r="M27" s="13">
        <f t="shared" si="6"/>
        <v>5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5</v>
      </c>
      <c r="T27" s="13">
        <f t="shared" si="6"/>
        <v>0</v>
      </c>
      <c r="U27" s="13">
        <f t="shared" si="6"/>
        <v>6</v>
      </c>
      <c r="V27" s="13">
        <f t="shared" si="6"/>
        <v>6</v>
      </c>
      <c r="W27" s="13">
        <f t="shared" si="6"/>
        <v>0</v>
      </c>
      <c r="X27" s="13">
        <f t="shared" si="6"/>
        <v>0</v>
      </c>
      <c r="Y27" s="13">
        <f t="shared" si="6"/>
        <v>2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3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1</v>
      </c>
      <c r="AM27" s="13">
        <f t="shared" si="3"/>
        <v>40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L28" si="7">SUM(E19,E22,E25)</f>
        <v>107</v>
      </c>
      <c r="F28" s="13">
        <f t="shared" si="7"/>
        <v>101</v>
      </c>
      <c r="G28" s="13">
        <f t="shared" si="7"/>
        <v>99</v>
      </c>
      <c r="H28" s="13">
        <f t="shared" si="7"/>
        <v>119</v>
      </c>
      <c r="I28" s="13">
        <f t="shared" si="7"/>
        <v>108</v>
      </c>
      <c r="J28" s="13">
        <f t="shared" si="7"/>
        <v>112</v>
      </c>
      <c r="K28" s="13">
        <f t="shared" si="7"/>
        <v>112</v>
      </c>
      <c r="L28" s="13">
        <f t="shared" si="7"/>
        <v>121</v>
      </c>
      <c r="M28" s="13">
        <f t="shared" si="7"/>
        <v>109</v>
      </c>
      <c r="N28" s="13">
        <f t="shared" si="7"/>
        <v>72</v>
      </c>
      <c r="O28" s="13">
        <f t="shared" si="7"/>
        <v>71</v>
      </c>
      <c r="P28" s="13">
        <f t="shared" si="7"/>
        <v>100</v>
      </c>
      <c r="Q28" s="13">
        <f t="shared" si="7"/>
        <v>98</v>
      </c>
      <c r="R28" s="13">
        <f t="shared" si="7"/>
        <v>110</v>
      </c>
      <c r="S28" s="13">
        <f t="shared" si="7"/>
        <v>101</v>
      </c>
      <c r="T28" s="13">
        <f t="shared" si="7"/>
        <v>101</v>
      </c>
      <c r="U28" s="13">
        <f t="shared" si="7"/>
        <v>86</v>
      </c>
      <c r="V28" s="13">
        <f t="shared" si="7"/>
        <v>114</v>
      </c>
      <c r="W28" s="13">
        <f t="shared" si="7"/>
        <v>90</v>
      </c>
      <c r="X28" s="13">
        <f t="shared" si="7"/>
        <v>112</v>
      </c>
      <c r="Y28" s="13">
        <f t="shared" si="7"/>
        <v>112</v>
      </c>
      <c r="Z28" s="13">
        <f t="shared" si="7"/>
        <v>96</v>
      </c>
      <c r="AA28" s="13">
        <f t="shared" si="7"/>
        <v>92</v>
      </c>
      <c r="AB28" s="13">
        <f t="shared" si="7"/>
        <v>113</v>
      </c>
      <c r="AC28" s="13">
        <f t="shared" si="7"/>
        <v>102</v>
      </c>
      <c r="AD28" s="13">
        <f t="shared" si="7"/>
        <v>90</v>
      </c>
      <c r="AE28" s="13">
        <f t="shared" si="7"/>
        <v>102</v>
      </c>
      <c r="AF28" s="13">
        <f t="shared" si="7"/>
        <v>96</v>
      </c>
      <c r="AG28" s="13">
        <f t="shared" si="7"/>
        <v>91</v>
      </c>
      <c r="AH28" s="13">
        <f t="shared" si="7"/>
        <v>99</v>
      </c>
      <c r="AI28" s="13">
        <f t="shared" si="7"/>
        <v>93</v>
      </c>
      <c r="AJ28" s="13">
        <f t="shared" si="7"/>
        <v>104</v>
      </c>
      <c r="AK28" s="13">
        <f t="shared" si="7"/>
        <v>88</v>
      </c>
      <c r="AL28" s="13">
        <f t="shared" si="7"/>
        <v>94</v>
      </c>
      <c r="AM28" s="13">
        <f t="shared" si="3"/>
        <v>3415</v>
      </c>
    </row>
    <row r="29" ht="12.75" customHeight="1">
      <c r="A29" s="35"/>
      <c r="B29" s="27"/>
      <c r="C29" s="34"/>
      <c r="D29" s="13" t="s">
        <v>13</v>
      </c>
      <c r="E29" s="13">
        <f t="shared" ref="E29:AL29" si="8">SUM(E20,E23,E26)</f>
        <v>118</v>
      </c>
      <c r="F29" s="13">
        <f t="shared" si="8"/>
        <v>115</v>
      </c>
      <c r="G29" s="13">
        <f t="shared" si="8"/>
        <v>111</v>
      </c>
      <c r="H29" s="13">
        <f t="shared" si="8"/>
        <v>109</v>
      </c>
      <c r="I29" s="13">
        <f t="shared" si="8"/>
        <v>124</v>
      </c>
      <c r="J29" s="13">
        <f t="shared" si="8"/>
        <v>113</v>
      </c>
      <c r="K29" s="13">
        <f t="shared" si="8"/>
        <v>108</v>
      </c>
      <c r="L29" s="13">
        <f t="shared" si="8"/>
        <v>128</v>
      </c>
      <c r="M29" s="13">
        <f t="shared" si="8"/>
        <v>113</v>
      </c>
      <c r="N29" s="13">
        <f t="shared" si="8"/>
        <v>70</v>
      </c>
      <c r="O29" s="13">
        <f t="shared" si="8"/>
        <v>65</v>
      </c>
      <c r="P29" s="13">
        <f t="shared" si="8"/>
        <v>105</v>
      </c>
      <c r="Q29" s="13">
        <f t="shared" si="8"/>
        <v>108</v>
      </c>
      <c r="R29" s="13">
        <f t="shared" si="8"/>
        <v>103</v>
      </c>
      <c r="S29" s="13">
        <f t="shared" si="8"/>
        <v>96</v>
      </c>
      <c r="T29" s="13">
        <f t="shared" si="8"/>
        <v>109</v>
      </c>
      <c r="U29" s="13">
        <f t="shared" si="8"/>
        <v>107</v>
      </c>
      <c r="V29" s="13">
        <f t="shared" si="8"/>
        <v>107</v>
      </c>
      <c r="W29" s="13">
        <f t="shared" si="8"/>
        <v>86</v>
      </c>
      <c r="X29" s="13">
        <f t="shared" si="8"/>
        <v>110</v>
      </c>
      <c r="Y29" s="13">
        <f t="shared" si="8"/>
        <v>95</v>
      </c>
      <c r="Z29" s="13">
        <f t="shared" si="8"/>
        <v>95</v>
      </c>
      <c r="AA29" s="13">
        <f t="shared" si="8"/>
        <v>99</v>
      </c>
      <c r="AB29" s="13">
        <f t="shared" si="8"/>
        <v>103</v>
      </c>
      <c r="AC29" s="13">
        <f t="shared" si="8"/>
        <v>109</v>
      </c>
      <c r="AD29" s="13">
        <f t="shared" si="8"/>
        <v>114</v>
      </c>
      <c r="AE29" s="13">
        <f t="shared" si="8"/>
        <v>101</v>
      </c>
      <c r="AF29" s="13">
        <f t="shared" si="8"/>
        <v>115</v>
      </c>
      <c r="AG29" s="13">
        <f t="shared" si="8"/>
        <v>106</v>
      </c>
      <c r="AH29" s="13">
        <f t="shared" si="8"/>
        <v>107</v>
      </c>
      <c r="AI29" s="13">
        <f t="shared" si="8"/>
        <v>102</v>
      </c>
      <c r="AJ29" s="13">
        <f t="shared" si="8"/>
        <v>104</v>
      </c>
      <c r="AK29" s="13">
        <f t="shared" si="8"/>
        <v>103</v>
      </c>
      <c r="AL29" s="13">
        <f t="shared" si="8"/>
        <v>106</v>
      </c>
      <c r="AM29" s="13">
        <f t="shared" si="3"/>
        <v>3564</v>
      </c>
    </row>
    <row r="30" ht="12.75" customHeight="1">
      <c r="A30" s="35"/>
      <c r="B30" s="28"/>
      <c r="C30" s="36"/>
      <c r="D30" s="13" t="s">
        <v>14</v>
      </c>
      <c r="E30" s="13">
        <f t="shared" ref="E30:AL30" si="9">SUM(E28:E29)</f>
        <v>225</v>
      </c>
      <c r="F30" s="13">
        <f t="shared" si="9"/>
        <v>216</v>
      </c>
      <c r="G30" s="13">
        <f t="shared" si="9"/>
        <v>210</v>
      </c>
      <c r="H30" s="13">
        <f t="shared" si="9"/>
        <v>228</v>
      </c>
      <c r="I30" s="13">
        <f t="shared" si="9"/>
        <v>232</v>
      </c>
      <c r="J30" s="13">
        <f t="shared" si="9"/>
        <v>225</v>
      </c>
      <c r="K30" s="13">
        <f t="shared" si="9"/>
        <v>220</v>
      </c>
      <c r="L30" s="13">
        <f t="shared" si="9"/>
        <v>249</v>
      </c>
      <c r="M30" s="13">
        <f t="shared" si="9"/>
        <v>222</v>
      </c>
      <c r="N30" s="13">
        <f t="shared" si="9"/>
        <v>142</v>
      </c>
      <c r="O30" s="13">
        <f t="shared" si="9"/>
        <v>136</v>
      </c>
      <c r="P30" s="13">
        <f t="shared" si="9"/>
        <v>205</v>
      </c>
      <c r="Q30" s="13">
        <f t="shared" si="9"/>
        <v>206</v>
      </c>
      <c r="R30" s="13">
        <f t="shared" si="9"/>
        <v>213</v>
      </c>
      <c r="S30" s="13">
        <f t="shared" si="9"/>
        <v>197</v>
      </c>
      <c r="T30" s="13">
        <f t="shared" si="9"/>
        <v>210</v>
      </c>
      <c r="U30" s="13">
        <f t="shared" si="9"/>
        <v>193</v>
      </c>
      <c r="V30" s="13">
        <f t="shared" si="9"/>
        <v>221</v>
      </c>
      <c r="W30" s="13">
        <f t="shared" si="9"/>
        <v>176</v>
      </c>
      <c r="X30" s="13">
        <f t="shared" si="9"/>
        <v>222</v>
      </c>
      <c r="Y30" s="13">
        <f t="shared" si="9"/>
        <v>207</v>
      </c>
      <c r="Z30" s="13">
        <f t="shared" si="9"/>
        <v>191</v>
      </c>
      <c r="AA30" s="13">
        <f t="shared" si="9"/>
        <v>191</v>
      </c>
      <c r="AB30" s="13">
        <f t="shared" si="9"/>
        <v>216</v>
      </c>
      <c r="AC30" s="13">
        <f t="shared" si="9"/>
        <v>211</v>
      </c>
      <c r="AD30" s="13">
        <f t="shared" si="9"/>
        <v>204</v>
      </c>
      <c r="AE30" s="13">
        <f t="shared" si="9"/>
        <v>203</v>
      </c>
      <c r="AF30" s="13">
        <f t="shared" si="9"/>
        <v>211</v>
      </c>
      <c r="AG30" s="13">
        <f t="shared" si="9"/>
        <v>197</v>
      </c>
      <c r="AH30" s="13">
        <f t="shared" si="9"/>
        <v>206</v>
      </c>
      <c r="AI30" s="13">
        <f t="shared" si="9"/>
        <v>195</v>
      </c>
      <c r="AJ30" s="13">
        <f t="shared" si="9"/>
        <v>208</v>
      </c>
      <c r="AK30" s="13">
        <f t="shared" si="9"/>
        <v>191</v>
      </c>
      <c r="AL30" s="13">
        <f t="shared" si="9"/>
        <v>200</v>
      </c>
      <c r="AM30" s="13">
        <f t="shared" si="3"/>
        <v>6979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69"/>
      <c r="R31" s="69"/>
      <c r="S31" s="69"/>
      <c r="T31" s="69"/>
      <c r="U31" s="69"/>
      <c r="V31" s="19"/>
      <c r="W31" s="19"/>
      <c r="X31" s="19"/>
      <c r="Y31" s="19"/>
      <c r="Z31" s="19"/>
      <c r="AA31" s="19"/>
      <c r="AB31" s="19"/>
      <c r="AC31" s="19"/>
      <c r="AD31" s="69"/>
      <c r="AE31" s="69"/>
      <c r="AF31" s="69"/>
      <c r="AG31" s="69"/>
      <c r="AH31" s="69"/>
      <c r="AI31" s="69"/>
      <c r="AJ31" s="69"/>
      <c r="AK31" s="69"/>
      <c r="AL31" s="69"/>
      <c r="AM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1"/>
      <c r="O32" s="71"/>
      <c r="P32" s="71"/>
      <c r="Q32" s="71"/>
      <c r="R32" s="71"/>
      <c r="S32" s="71"/>
      <c r="T32" s="71"/>
      <c r="U32" s="71"/>
      <c r="V32" s="13"/>
      <c r="W32" s="13"/>
      <c r="X32" s="13"/>
      <c r="Y32" s="13"/>
      <c r="Z32" s="13"/>
      <c r="AA32" s="13"/>
      <c r="AB32" s="13"/>
      <c r="AC32" s="13"/>
      <c r="AD32" s="71"/>
      <c r="AE32" s="71"/>
      <c r="AF32" s="71"/>
      <c r="AG32" s="71"/>
      <c r="AH32" s="71"/>
      <c r="AI32" s="71"/>
      <c r="AJ32" s="71"/>
      <c r="AK32" s="71"/>
      <c r="AL32" s="71"/>
      <c r="AM32" s="70"/>
    </row>
    <row r="33" ht="12.75" customHeight="1">
      <c r="A33" s="19">
        <v>1.0</v>
      </c>
      <c r="B33" s="20" t="s">
        <v>27</v>
      </c>
      <c r="C33" s="15"/>
      <c r="D33" s="16"/>
      <c r="E33" s="19">
        <v>289.0</v>
      </c>
      <c r="F33" s="19">
        <v>299.0</v>
      </c>
      <c r="G33" s="19">
        <v>292.0</v>
      </c>
      <c r="H33" s="19">
        <v>300.0</v>
      </c>
      <c r="I33" s="19">
        <v>286.0</v>
      </c>
      <c r="J33" s="19">
        <v>283.0</v>
      </c>
      <c r="K33" s="19">
        <v>269.0</v>
      </c>
      <c r="L33" s="19">
        <v>297.0</v>
      </c>
      <c r="M33" s="19">
        <v>293.0</v>
      </c>
      <c r="N33" s="19">
        <v>189.0</v>
      </c>
      <c r="O33" s="19">
        <v>225.0</v>
      </c>
      <c r="P33" s="19">
        <v>266.0</v>
      </c>
      <c r="Q33" s="19">
        <v>257.0</v>
      </c>
      <c r="R33" s="19">
        <v>262.0</v>
      </c>
      <c r="S33" s="19">
        <v>261.0</v>
      </c>
      <c r="T33" s="19">
        <v>257.0</v>
      </c>
      <c r="U33" s="19">
        <v>257.0</v>
      </c>
      <c r="V33" s="19">
        <v>262.0</v>
      </c>
      <c r="W33" s="19">
        <v>257.0</v>
      </c>
      <c r="X33" s="19">
        <v>270.0</v>
      </c>
      <c r="Y33" s="19">
        <v>260.0</v>
      </c>
      <c r="Z33" s="19">
        <v>254.0</v>
      </c>
      <c r="AA33" s="19">
        <v>247.0</v>
      </c>
      <c r="AB33" s="19">
        <v>270.0</v>
      </c>
      <c r="AC33" s="19">
        <v>266.0</v>
      </c>
      <c r="AD33" s="19">
        <v>271.0</v>
      </c>
      <c r="AE33" s="19">
        <v>257.0</v>
      </c>
      <c r="AF33" s="19">
        <v>266.0</v>
      </c>
      <c r="AG33" s="19">
        <v>247.0</v>
      </c>
      <c r="AH33" s="19">
        <v>253.0</v>
      </c>
      <c r="AI33" s="19">
        <v>265.0</v>
      </c>
      <c r="AJ33" s="19">
        <v>266.0</v>
      </c>
      <c r="AK33" s="19">
        <v>247.0</v>
      </c>
      <c r="AL33" s="19">
        <v>251.0</v>
      </c>
      <c r="AM33" s="13">
        <f t="shared" ref="AM33:AM36" si="10">SUM(E33:AL33)</f>
        <v>8991</v>
      </c>
    </row>
    <row r="34" ht="12.75" customHeight="1">
      <c r="A34" s="19">
        <v>2.0</v>
      </c>
      <c r="B34" s="20" t="s">
        <v>28</v>
      </c>
      <c r="C34" s="15"/>
      <c r="D34" s="16"/>
      <c r="E34" s="13">
        <v>225.0</v>
      </c>
      <c r="F34" s="13">
        <v>216.0</v>
      </c>
      <c r="G34" s="13">
        <v>210.0</v>
      </c>
      <c r="H34" s="13">
        <v>228.0</v>
      </c>
      <c r="I34" s="13">
        <v>232.0</v>
      </c>
      <c r="J34" s="13">
        <v>225.0</v>
      </c>
      <c r="K34" s="13">
        <v>220.0</v>
      </c>
      <c r="L34" s="13">
        <v>249.0</v>
      </c>
      <c r="M34" s="13">
        <v>222.0</v>
      </c>
      <c r="N34" s="13">
        <v>142.0</v>
      </c>
      <c r="O34" s="13">
        <v>136.0</v>
      </c>
      <c r="P34" s="13">
        <v>205.0</v>
      </c>
      <c r="Q34" s="13">
        <v>206.0</v>
      </c>
      <c r="R34" s="13">
        <v>213.0</v>
      </c>
      <c r="S34" s="13">
        <v>197.0</v>
      </c>
      <c r="T34" s="13">
        <v>210.0</v>
      </c>
      <c r="U34" s="13">
        <v>193.0</v>
      </c>
      <c r="V34" s="13">
        <v>221.0</v>
      </c>
      <c r="W34" s="13">
        <v>176.0</v>
      </c>
      <c r="X34" s="13">
        <v>222.0</v>
      </c>
      <c r="Y34" s="13">
        <v>207.0</v>
      </c>
      <c r="Z34" s="13">
        <v>191.0</v>
      </c>
      <c r="AA34" s="13">
        <v>191.0</v>
      </c>
      <c r="AB34" s="13">
        <v>216.0</v>
      </c>
      <c r="AC34" s="13">
        <v>211.0</v>
      </c>
      <c r="AD34" s="13">
        <v>204.0</v>
      </c>
      <c r="AE34" s="13">
        <v>203.0</v>
      </c>
      <c r="AF34" s="13">
        <v>211.0</v>
      </c>
      <c r="AG34" s="13">
        <v>197.0</v>
      </c>
      <c r="AH34" s="13">
        <v>206.0</v>
      </c>
      <c r="AI34" s="13">
        <v>195.0</v>
      </c>
      <c r="AJ34" s="13">
        <v>208.0</v>
      </c>
      <c r="AK34" s="13">
        <v>191.0</v>
      </c>
      <c r="AL34" s="13">
        <v>200.0</v>
      </c>
      <c r="AM34" s="13">
        <f t="shared" si="10"/>
        <v>6979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13.0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3">
        <f t="shared" si="10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L36" si="11">E33-(E34+E35)</f>
        <v>64</v>
      </c>
      <c r="F36" s="13">
        <f t="shared" si="11"/>
        <v>83</v>
      </c>
      <c r="G36" s="13">
        <f t="shared" si="11"/>
        <v>82</v>
      </c>
      <c r="H36" s="13">
        <f t="shared" si="11"/>
        <v>72</v>
      </c>
      <c r="I36" s="13">
        <f t="shared" si="11"/>
        <v>54</v>
      </c>
      <c r="J36" s="13">
        <f t="shared" si="11"/>
        <v>58</v>
      </c>
      <c r="K36" s="13">
        <f t="shared" si="11"/>
        <v>49</v>
      </c>
      <c r="L36" s="13">
        <f t="shared" si="11"/>
        <v>48</v>
      </c>
      <c r="M36" s="13">
        <f t="shared" si="11"/>
        <v>71</v>
      </c>
      <c r="N36" s="13">
        <f t="shared" si="11"/>
        <v>47</v>
      </c>
      <c r="O36" s="13">
        <f t="shared" si="11"/>
        <v>89</v>
      </c>
      <c r="P36" s="13">
        <f t="shared" si="11"/>
        <v>61</v>
      </c>
      <c r="Q36" s="13">
        <f t="shared" si="11"/>
        <v>51</v>
      </c>
      <c r="R36" s="13">
        <f t="shared" si="11"/>
        <v>49</v>
      </c>
      <c r="S36" s="13">
        <f t="shared" si="11"/>
        <v>64</v>
      </c>
      <c r="T36" s="13">
        <f t="shared" si="11"/>
        <v>47</v>
      </c>
      <c r="U36" s="13">
        <f t="shared" si="11"/>
        <v>64</v>
      </c>
      <c r="V36" s="13">
        <f t="shared" si="11"/>
        <v>41</v>
      </c>
      <c r="W36" s="13">
        <f t="shared" si="11"/>
        <v>81</v>
      </c>
      <c r="X36" s="13">
        <f t="shared" si="11"/>
        <v>48</v>
      </c>
      <c r="Y36" s="13">
        <f t="shared" si="11"/>
        <v>52</v>
      </c>
      <c r="Z36" s="13">
        <f t="shared" si="11"/>
        <v>63</v>
      </c>
      <c r="AA36" s="13">
        <f t="shared" si="11"/>
        <v>56</v>
      </c>
      <c r="AB36" s="13">
        <f t="shared" si="11"/>
        <v>54</v>
      </c>
      <c r="AC36" s="13">
        <f t="shared" si="11"/>
        <v>55</v>
      </c>
      <c r="AD36" s="13">
        <f t="shared" si="11"/>
        <v>67</v>
      </c>
      <c r="AE36" s="13">
        <f t="shared" si="11"/>
        <v>54</v>
      </c>
      <c r="AF36" s="13">
        <f t="shared" si="11"/>
        <v>55</v>
      </c>
      <c r="AG36" s="13">
        <f t="shared" si="11"/>
        <v>37</v>
      </c>
      <c r="AH36" s="13">
        <f t="shared" si="11"/>
        <v>47</v>
      </c>
      <c r="AI36" s="13">
        <f t="shared" si="11"/>
        <v>70</v>
      </c>
      <c r="AJ36" s="13">
        <f t="shared" si="11"/>
        <v>58</v>
      </c>
      <c r="AK36" s="13">
        <f t="shared" si="11"/>
        <v>56</v>
      </c>
      <c r="AL36" s="13">
        <f t="shared" si="11"/>
        <v>51</v>
      </c>
      <c r="AM36" s="13">
        <f t="shared" si="10"/>
        <v>1998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6"/>
      <c r="Z37" s="19"/>
      <c r="AA37" s="19"/>
      <c r="AB37" s="19"/>
      <c r="AC37" s="19"/>
      <c r="AD37" s="69"/>
      <c r="AE37" s="75"/>
      <c r="AF37" s="75"/>
      <c r="AG37" s="75"/>
      <c r="AH37" s="75"/>
      <c r="AI37" s="75"/>
      <c r="AJ37" s="75"/>
      <c r="AK37" s="75"/>
      <c r="AL37" s="75"/>
      <c r="AM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1"/>
      <c r="O38" s="71"/>
      <c r="P38" s="71"/>
      <c r="Q38" s="71"/>
      <c r="R38" s="71"/>
      <c r="S38" s="71"/>
      <c r="T38" s="71"/>
      <c r="U38" s="71"/>
      <c r="V38" s="13"/>
      <c r="W38" s="13"/>
      <c r="X38" s="13"/>
      <c r="Y38" s="13"/>
      <c r="Z38" s="13"/>
      <c r="AA38" s="13"/>
      <c r="AB38" s="13"/>
      <c r="AC38" s="13"/>
      <c r="AD38" s="71"/>
      <c r="AE38" s="71"/>
      <c r="AF38" s="71"/>
      <c r="AG38" s="71"/>
      <c r="AH38" s="71"/>
      <c r="AI38" s="71"/>
      <c r="AJ38" s="71"/>
      <c r="AK38" s="71"/>
      <c r="AL38" s="71"/>
      <c r="AM38" s="7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3">
        <f t="shared" ref="AM39:AM41" si="12">SUM(E39:AL39)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6"/>
      <c r="Z42" s="19"/>
      <c r="AA42" s="19"/>
      <c r="AB42" s="19"/>
      <c r="AC42" s="19"/>
      <c r="AD42" s="69"/>
      <c r="AE42" s="19"/>
      <c r="AF42" s="69"/>
      <c r="AG42" s="19"/>
      <c r="AH42" s="69"/>
      <c r="AI42" s="19"/>
      <c r="AJ42" s="69"/>
      <c r="AK42" s="19"/>
      <c r="AL42" s="69"/>
      <c r="A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1"/>
      <c r="O43" s="13"/>
      <c r="P43" s="71"/>
      <c r="Q43" s="13"/>
      <c r="R43" s="71"/>
      <c r="S43" s="13"/>
      <c r="T43" s="71"/>
      <c r="U43" s="13"/>
      <c r="V43" s="13"/>
      <c r="W43" s="13"/>
      <c r="X43" s="13"/>
      <c r="Y43" s="13"/>
      <c r="Z43" s="13"/>
      <c r="AA43" s="13"/>
      <c r="AB43" s="13"/>
      <c r="AC43" s="13"/>
      <c r="AD43" s="71"/>
      <c r="AE43" s="13"/>
      <c r="AF43" s="71"/>
      <c r="AG43" s="13"/>
      <c r="AH43" s="71"/>
      <c r="AI43" s="13"/>
      <c r="AJ43" s="71"/>
      <c r="AK43" s="13"/>
      <c r="AL43" s="71"/>
      <c r="A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69"/>
      <c r="Q44" s="19"/>
      <c r="R44" s="69"/>
      <c r="S44" s="19"/>
      <c r="T44" s="69"/>
      <c r="U44" s="19"/>
      <c r="V44" s="19"/>
      <c r="W44" s="19"/>
      <c r="X44" s="19"/>
      <c r="Y44" s="19"/>
      <c r="Z44" s="19"/>
      <c r="AA44" s="19"/>
      <c r="AB44" s="19"/>
      <c r="AC44" s="19"/>
      <c r="AD44" s="69"/>
      <c r="AE44" s="19"/>
      <c r="AF44" s="69"/>
      <c r="AG44" s="19"/>
      <c r="AH44" s="69"/>
      <c r="AI44" s="19"/>
      <c r="AJ44" s="69"/>
      <c r="AK44" s="19"/>
      <c r="AL44" s="69"/>
      <c r="AM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10.0</v>
      </c>
      <c r="G45" s="19">
        <v>6.0</v>
      </c>
      <c r="H45" s="19">
        <v>19.0</v>
      </c>
      <c r="I45" s="19">
        <v>15.0</v>
      </c>
      <c r="J45" s="19">
        <v>24.0</v>
      </c>
      <c r="K45" s="19">
        <v>8.0</v>
      </c>
      <c r="L45" s="19">
        <v>14.0</v>
      </c>
      <c r="M45" s="19">
        <v>6.0</v>
      </c>
      <c r="N45" s="19">
        <v>10.0</v>
      </c>
      <c r="O45" s="19">
        <v>5.0</v>
      </c>
      <c r="P45" s="19">
        <v>5.0</v>
      </c>
      <c r="Q45" s="19">
        <v>5.0</v>
      </c>
      <c r="R45" s="19">
        <v>10.0</v>
      </c>
      <c r="S45" s="19">
        <v>4.0</v>
      </c>
      <c r="T45" s="19">
        <v>8.0</v>
      </c>
      <c r="U45" s="19">
        <v>3.0</v>
      </c>
      <c r="V45" s="19">
        <v>4.0</v>
      </c>
      <c r="W45" s="19">
        <v>1.0</v>
      </c>
      <c r="X45" s="19">
        <v>11.0</v>
      </c>
      <c r="Y45" s="19">
        <v>10.0</v>
      </c>
      <c r="Z45" s="19">
        <v>10.0</v>
      </c>
      <c r="AA45" s="19">
        <v>6.0</v>
      </c>
      <c r="AB45" s="19">
        <v>8.0</v>
      </c>
      <c r="AC45" s="19">
        <v>13.0</v>
      </c>
      <c r="AD45" s="19">
        <v>12.0</v>
      </c>
      <c r="AE45" s="19">
        <v>11.0</v>
      </c>
      <c r="AF45" s="19">
        <v>7.0</v>
      </c>
      <c r="AG45" s="19">
        <v>14.0</v>
      </c>
      <c r="AH45" s="19">
        <v>8.0</v>
      </c>
      <c r="AI45" s="19">
        <v>6.0</v>
      </c>
      <c r="AJ45" s="19">
        <v>10.0</v>
      </c>
      <c r="AK45" s="19">
        <v>6.0</v>
      </c>
      <c r="AL45" s="19">
        <v>8.0</v>
      </c>
      <c r="AM45" s="13">
        <f t="shared" ref="AM45:AM52" si="14">SUM(E45:AL45)</f>
        <v>305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13.0</v>
      </c>
      <c r="F46" s="19">
        <v>14.0</v>
      </c>
      <c r="G46" s="19">
        <v>8.0</v>
      </c>
      <c r="H46" s="19">
        <v>14.0</v>
      </c>
      <c r="I46" s="19">
        <v>9.0</v>
      </c>
      <c r="J46" s="19">
        <v>16.0</v>
      </c>
      <c r="K46" s="19">
        <v>17.0</v>
      </c>
      <c r="L46" s="19">
        <v>16.0</v>
      </c>
      <c r="M46" s="19">
        <v>9.0</v>
      </c>
      <c r="N46" s="19">
        <v>3.0</v>
      </c>
      <c r="O46" s="19">
        <v>4.0</v>
      </c>
      <c r="P46" s="19">
        <v>12.0</v>
      </c>
      <c r="Q46" s="19">
        <v>9.0</v>
      </c>
      <c r="R46" s="19">
        <v>29.0</v>
      </c>
      <c r="S46" s="19">
        <v>5.0</v>
      </c>
      <c r="T46" s="19">
        <v>8.0</v>
      </c>
      <c r="U46" s="19">
        <v>8.0</v>
      </c>
      <c r="V46" s="19">
        <v>10.0</v>
      </c>
      <c r="W46" s="19">
        <v>14.0</v>
      </c>
      <c r="X46" s="19">
        <v>21.0</v>
      </c>
      <c r="Y46" s="19">
        <v>23.0</v>
      </c>
      <c r="Z46" s="19">
        <v>13.0</v>
      </c>
      <c r="AA46" s="19">
        <v>14.0</v>
      </c>
      <c r="AB46" s="19">
        <v>29.0</v>
      </c>
      <c r="AC46" s="19">
        <v>10.0</v>
      </c>
      <c r="AD46" s="19">
        <v>33.0</v>
      </c>
      <c r="AE46" s="19">
        <v>35.0</v>
      </c>
      <c r="AF46" s="19">
        <v>17.0</v>
      </c>
      <c r="AG46" s="19">
        <v>14.0</v>
      </c>
      <c r="AH46" s="19">
        <v>26.0</v>
      </c>
      <c r="AI46" s="19">
        <v>17.0</v>
      </c>
      <c r="AJ46" s="19">
        <v>20.0</v>
      </c>
      <c r="AK46" s="19">
        <v>35.0</v>
      </c>
      <c r="AL46" s="19">
        <v>36.0</v>
      </c>
      <c r="AM46" s="13">
        <f t="shared" si="14"/>
        <v>561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4.0</v>
      </c>
      <c r="G47" s="19">
        <v>4.0</v>
      </c>
      <c r="H47" s="19">
        <v>6.0</v>
      </c>
      <c r="I47" s="19">
        <v>3.0</v>
      </c>
      <c r="J47" s="19">
        <v>4.0</v>
      </c>
      <c r="K47" s="19">
        <v>2.0</v>
      </c>
      <c r="L47" s="19">
        <v>5.0</v>
      </c>
      <c r="M47" s="19">
        <v>2.0</v>
      </c>
      <c r="N47" s="19">
        <v>0.0</v>
      </c>
      <c r="O47" s="19">
        <v>0.0</v>
      </c>
      <c r="P47" s="19">
        <v>0.0</v>
      </c>
      <c r="Q47" s="19">
        <v>1.0</v>
      </c>
      <c r="R47" s="19">
        <v>3.0</v>
      </c>
      <c r="S47" s="19">
        <v>0.0</v>
      </c>
      <c r="T47" s="19">
        <v>0.0</v>
      </c>
      <c r="U47" s="19">
        <v>1.0</v>
      </c>
      <c r="V47" s="19">
        <v>3.0</v>
      </c>
      <c r="W47" s="19">
        <v>2.0</v>
      </c>
      <c r="X47" s="19">
        <v>1.0</v>
      </c>
      <c r="Y47" s="19">
        <v>1.0</v>
      </c>
      <c r="Z47" s="19">
        <v>0.0</v>
      </c>
      <c r="AA47" s="19">
        <v>2.0</v>
      </c>
      <c r="AB47" s="19">
        <v>2.0</v>
      </c>
      <c r="AC47" s="19">
        <v>4.0</v>
      </c>
      <c r="AD47" s="19">
        <v>4.0</v>
      </c>
      <c r="AE47" s="19">
        <v>5.0</v>
      </c>
      <c r="AF47" s="19">
        <v>5.0</v>
      </c>
      <c r="AG47" s="19">
        <v>1.0</v>
      </c>
      <c r="AH47" s="19">
        <v>1.0</v>
      </c>
      <c r="AI47" s="19">
        <v>5.0</v>
      </c>
      <c r="AJ47" s="19">
        <v>4.0</v>
      </c>
      <c r="AK47" s="19">
        <v>2.0</v>
      </c>
      <c r="AL47" s="19">
        <v>2.0</v>
      </c>
      <c r="AM47" s="13">
        <f t="shared" si="14"/>
        <v>79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0.0</v>
      </c>
      <c r="I48" s="19">
        <v>0.0</v>
      </c>
      <c r="J48" s="19">
        <v>1.0</v>
      </c>
      <c r="K48" s="19">
        <v>1.0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1.0</v>
      </c>
      <c r="R48" s="19">
        <v>1.0</v>
      </c>
      <c r="S48" s="19">
        <v>0.0</v>
      </c>
      <c r="T48" s="19">
        <v>1.0</v>
      </c>
      <c r="U48" s="19">
        <v>1.0</v>
      </c>
      <c r="V48" s="19">
        <v>1.0</v>
      </c>
      <c r="W48" s="19">
        <v>1.0</v>
      </c>
      <c r="X48" s="19">
        <v>0.0</v>
      </c>
      <c r="Y48" s="19">
        <v>4.0</v>
      </c>
      <c r="Z48" s="19">
        <v>0.0</v>
      </c>
      <c r="AA48" s="19">
        <v>1.0</v>
      </c>
      <c r="AB48" s="19">
        <v>0.0</v>
      </c>
      <c r="AC48" s="19">
        <v>1.0</v>
      </c>
      <c r="AD48" s="19">
        <v>1.0</v>
      </c>
      <c r="AE48" s="19">
        <v>0.0</v>
      </c>
      <c r="AF48" s="19">
        <v>0.0</v>
      </c>
      <c r="AG48" s="19">
        <v>0.0</v>
      </c>
      <c r="AH48" s="19">
        <v>0.0</v>
      </c>
      <c r="AI48" s="19">
        <v>0.0</v>
      </c>
      <c r="AJ48" s="19">
        <v>1.0</v>
      </c>
      <c r="AK48" s="19">
        <v>0.0</v>
      </c>
      <c r="AL48" s="19">
        <v>1.0</v>
      </c>
      <c r="AM48" s="13">
        <f t="shared" si="14"/>
        <v>18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3.0</v>
      </c>
      <c r="G49" s="19">
        <v>0.0</v>
      </c>
      <c r="H49" s="19">
        <v>2.0</v>
      </c>
      <c r="I49" s="19">
        <v>2.0</v>
      </c>
      <c r="J49" s="19">
        <v>1.0</v>
      </c>
      <c r="K49" s="19">
        <v>3.0</v>
      </c>
      <c r="L49" s="19">
        <v>1.0</v>
      </c>
      <c r="M49" s="19">
        <v>0.0</v>
      </c>
      <c r="N49" s="19">
        <v>0.0</v>
      </c>
      <c r="O49" s="19">
        <v>0.0</v>
      </c>
      <c r="P49" s="19">
        <v>1.0</v>
      </c>
      <c r="Q49" s="19">
        <v>1.0</v>
      </c>
      <c r="R49" s="19">
        <v>1.0</v>
      </c>
      <c r="S49" s="19">
        <v>0.0</v>
      </c>
      <c r="T49" s="19">
        <v>0.0</v>
      </c>
      <c r="U49" s="19">
        <v>3.0</v>
      </c>
      <c r="V49" s="19">
        <v>0.0</v>
      </c>
      <c r="W49" s="19">
        <v>0.0</v>
      </c>
      <c r="X49" s="19">
        <v>2.0</v>
      </c>
      <c r="Y49" s="19">
        <v>1.0</v>
      </c>
      <c r="Z49" s="19">
        <v>1.0</v>
      </c>
      <c r="AA49" s="19">
        <v>0.0</v>
      </c>
      <c r="AB49" s="19">
        <v>0.0</v>
      </c>
      <c r="AC49" s="19">
        <v>0.0</v>
      </c>
      <c r="AD49" s="19">
        <v>1.0</v>
      </c>
      <c r="AE49" s="19">
        <v>1.0</v>
      </c>
      <c r="AF49" s="19">
        <v>0.0</v>
      </c>
      <c r="AG49" s="19">
        <v>0.0</v>
      </c>
      <c r="AH49" s="19">
        <v>2.0</v>
      </c>
      <c r="AI49" s="19">
        <v>0.0</v>
      </c>
      <c r="AJ49" s="19">
        <v>0.0</v>
      </c>
      <c r="AK49" s="19">
        <v>1.0</v>
      </c>
      <c r="AL49" s="19">
        <v>2.0</v>
      </c>
      <c r="AM49" s="13">
        <f t="shared" si="14"/>
        <v>30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0.0</v>
      </c>
      <c r="H50" s="19">
        <v>3.0</v>
      </c>
      <c r="I50" s="19">
        <v>1.0</v>
      </c>
      <c r="J50" s="19">
        <v>0.0</v>
      </c>
      <c r="K50" s="19">
        <v>0.0</v>
      </c>
      <c r="L50" s="19">
        <v>0.0</v>
      </c>
      <c r="M50" s="19">
        <v>0.0</v>
      </c>
      <c r="N50" s="19">
        <v>1.0</v>
      </c>
      <c r="O50" s="19">
        <v>0.0</v>
      </c>
      <c r="P50" s="19">
        <v>0.0</v>
      </c>
      <c r="Q50" s="19">
        <v>1.0</v>
      </c>
      <c r="R50" s="19">
        <v>0.0</v>
      </c>
      <c r="S50" s="19">
        <v>0.0</v>
      </c>
      <c r="T50" s="19">
        <v>0.0</v>
      </c>
      <c r="U50" s="19">
        <v>0.0</v>
      </c>
      <c r="V50" s="19">
        <v>1.0</v>
      </c>
      <c r="W50" s="19">
        <v>2.0</v>
      </c>
      <c r="X50" s="19">
        <v>2.0</v>
      </c>
      <c r="Y50" s="19">
        <v>0.0</v>
      </c>
      <c r="Z50" s="19">
        <v>0.0</v>
      </c>
      <c r="AA50" s="19">
        <v>0.0</v>
      </c>
      <c r="AB50" s="19">
        <v>1.0</v>
      </c>
      <c r="AC50" s="19">
        <v>2.0</v>
      </c>
      <c r="AD50" s="19">
        <v>1.0</v>
      </c>
      <c r="AE50" s="19">
        <v>0.0</v>
      </c>
      <c r="AF50" s="19">
        <v>1.0</v>
      </c>
      <c r="AG50" s="19">
        <v>1.0</v>
      </c>
      <c r="AH50" s="19">
        <v>1.0</v>
      </c>
      <c r="AI50" s="19">
        <v>0.0</v>
      </c>
      <c r="AJ50" s="19">
        <v>1.0</v>
      </c>
      <c r="AK50" s="19">
        <v>0.0</v>
      </c>
      <c r="AL50" s="19">
        <v>1.0</v>
      </c>
      <c r="AM50" s="13">
        <f t="shared" si="14"/>
        <v>21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2.0</v>
      </c>
      <c r="H51" s="19">
        <v>0.0</v>
      </c>
      <c r="I51" s="19">
        <v>1.0</v>
      </c>
      <c r="J51" s="19">
        <v>1.0</v>
      </c>
      <c r="K51" s="19">
        <v>1.0</v>
      </c>
      <c r="L51" s="19">
        <v>0.0</v>
      </c>
      <c r="M51" s="19">
        <v>0.0</v>
      </c>
      <c r="N51" s="19">
        <v>0.0</v>
      </c>
      <c r="O51" s="19">
        <v>1.0</v>
      </c>
      <c r="P51" s="19">
        <v>0.0</v>
      </c>
      <c r="Q51" s="19">
        <v>1.0</v>
      </c>
      <c r="R51" s="19">
        <v>1.0</v>
      </c>
      <c r="S51" s="19">
        <v>0.0</v>
      </c>
      <c r="T51" s="19">
        <v>0.0</v>
      </c>
      <c r="U51" s="19">
        <v>0.0</v>
      </c>
      <c r="V51" s="19">
        <v>1.0</v>
      </c>
      <c r="W51" s="19">
        <v>0.0</v>
      </c>
      <c r="X51" s="19">
        <v>0.0</v>
      </c>
      <c r="Y51" s="19">
        <v>1.0</v>
      </c>
      <c r="Z51" s="19">
        <v>0.0</v>
      </c>
      <c r="AA51" s="19">
        <v>0.0</v>
      </c>
      <c r="AB51" s="19">
        <v>0.0</v>
      </c>
      <c r="AC51" s="19">
        <v>1.0</v>
      </c>
      <c r="AD51" s="19">
        <v>0.0</v>
      </c>
      <c r="AE51" s="19">
        <v>0.0</v>
      </c>
      <c r="AF51" s="19">
        <v>1.0</v>
      </c>
      <c r="AG51" s="19">
        <v>0.0</v>
      </c>
      <c r="AH51" s="19">
        <v>0.0</v>
      </c>
      <c r="AI51" s="19">
        <v>1.0</v>
      </c>
      <c r="AJ51" s="19">
        <v>1.0</v>
      </c>
      <c r="AK51" s="19">
        <v>1.0</v>
      </c>
      <c r="AL51" s="19">
        <v>0.0</v>
      </c>
      <c r="AM51" s="13">
        <f t="shared" si="14"/>
        <v>16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1.0</v>
      </c>
      <c r="U52" s="19">
        <v>0.0</v>
      </c>
      <c r="V52" s="19">
        <v>0.0</v>
      </c>
      <c r="W52" s="19">
        <v>2.0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1.0</v>
      </c>
      <c r="AG52" s="19">
        <v>0.0</v>
      </c>
      <c r="AH52" s="19">
        <v>0.0</v>
      </c>
      <c r="AI52" s="19">
        <v>1.0</v>
      </c>
      <c r="AJ52" s="19">
        <v>0.0</v>
      </c>
      <c r="AK52" s="19">
        <v>0.0</v>
      </c>
      <c r="AL52" s="19">
        <v>0.0</v>
      </c>
      <c r="AM52" s="13">
        <f t="shared" si="14"/>
        <v>6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AM53" si="15">SUM(E45:E52)</f>
        <v>24</v>
      </c>
      <c r="F53" s="13">
        <f t="shared" si="15"/>
        <v>33</v>
      </c>
      <c r="G53" s="13">
        <f t="shared" si="15"/>
        <v>20</v>
      </c>
      <c r="H53" s="13">
        <f t="shared" si="15"/>
        <v>44</v>
      </c>
      <c r="I53" s="13">
        <f t="shared" si="15"/>
        <v>31</v>
      </c>
      <c r="J53" s="13">
        <f t="shared" si="15"/>
        <v>47</v>
      </c>
      <c r="K53" s="13">
        <f t="shared" si="15"/>
        <v>32</v>
      </c>
      <c r="L53" s="13">
        <f t="shared" si="15"/>
        <v>36</v>
      </c>
      <c r="M53" s="13">
        <f t="shared" si="15"/>
        <v>17</v>
      </c>
      <c r="N53" s="13">
        <f t="shared" si="15"/>
        <v>14</v>
      </c>
      <c r="O53" s="13">
        <f t="shared" si="15"/>
        <v>10</v>
      </c>
      <c r="P53" s="13">
        <f t="shared" si="15"/>
        <v>18</v>
      </c>
      <c r="Q53" s="13">
        <f t="shared" si="15"/>
        <v>19</v>
      </c>
      <c r="R53" s="13">
        <f t="shared" si="15"/>
        <v>45</v>
      </c>
      <c r="S53" s="13">
        <f t="shared" si="15"/>
        <v>9</v>
      </c>
      <c r="T53" s="13">
        <f t="shared" si="15"/>
        <v>18</v>
      </c>
      <c r="U53" s="13">
        <f t="shared" si="15"/>
        <v>16</v>
      </c>
      <c r="V53" s="13">
        <f t="shared" si="15"/>
        <v>20</v>
      </c>
      <c r="W53" s="13">
        <f t="shared" si="15"/>
        <v>22</v>
      </c>
      <c r="X53" s="13">
        <f t="shared" si="15"/>
        <v>37</v>
      </c>
      <c r="Y53" s="13">
        <f t="shared" si="15"/>
        <v>40</v>
      </c>
      <c r="Z53" s="13">
        <f t="shared" si="15"/>
        <v>24</v>
      </c>
      <c r="AA53" s="13">
        <f t="shared" si="15"/>
        <v>23</v>
      </c>
      <c r="AB53" s="13">
        <f t="shared" si="15"/>
        <v>40</v>
      </c>
      <c r="AC53" s="13">
        <f t="shared" si="15"/>
        <v>31</v>
      </c>
      <c r="AD53" s="13">
        <f t="shared" si="15"/>
        <v>52</v>
      </c>
      <c r="AE53" s="13">
        <f t="shared" si="15"/>
        <v>52</v>
      </c>
      <c r="AF53" s="13">
        <f t="shared" si="15"/>
        <v>32</v>
      </c>
      <c r="AG53" s="13">
        <f t="shared" si="15"/>
        <v>30</v>
      </c>
      <c r="AH53" s="13">
        <f t="shared" si="15"/>
        <v>38</v>
      </c>
      <c r="AI53" s="13">
        <f t="shared" si="15"/>
        <v>30</v>
      </c>
      <c r="AJ53" s="13">
        <f t="shared" si="15"/>
        <v>37</v>
      </c>
      <c r="AK53" s="13">
        <f t="shared" si="15"/>
        <v>45</v>
      </c>
      <c r="AL53" s="13">
        <f t="shared" si="15"/>
        <v>50</v>
      </c>
      <c r="AM53" s="13">
        <f t="shared" si="15"/>
        <v>1036</v>
      </c>
    </row>
    <row r="54" ht="12.75" customHeight="1">
      <c r="A54" s="45"/>
      <c r="B54" s="44"/>
      <c r="C54" s="44"/>
      <c r="D54" s="44"/>
      <c r="E54" s="44"/>
      <c r="AM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17.0</v>
      </c>
      <c r="F55" s="19">
        <v>15.0</v>
      </c>
      <c r="G55" s="19">
        <v>13.0</v>
      </c>
      <c r="H55" s="19">
        <v>10.0</v>
      </c>
      <c r="I55" s="19">
        <v>5.0</v>
      </c>
      <c r="J55" s="19">
        <v>9.0</v>
      </c>
      <c r="K55" s="19">
        <v>3.0</v>
      </c>
      <c r="L55" s="19">
        <v>4.0</v>
      </c>
      <c r="M55" s="19">
        <v>23.0</v>
      </c>
      <c r="N55" s="19">
        <v>9.0</v>
      </c>
      <c r="O55" s="19">
        <v>7.0</v>
      </c>
      <c r="P55" s="19">
        <v>8.0</v>
      </c>
      <c r="Q55" s="19">
        <v>5.0</v>
      </c>
      <c r="R55" s="19">
        <v>4.0</v>
      </c>
      <c r="S55" s="19">
        <v>4.0</v>
      </c>
      <c r="T55" s="19">
        <v>8.0</v>
      </c>
      <c r="U55" s="19">
        <v>5.0</v>
      </c>
      <c r="V55" s="19">
        <v>6.0</v>
      </c>
      <c r="W55" s="19">
        <v>1.0</v>
      </c>
      <c r="X55" s="19">
        <v>5.0</v>
      </c>
      <c r="Y55" s="19">
        <v>3.0</v>
      </c>
      <c r="Z55" s="19">
        <v>7.0</v>
      </c>
      <c r="AA55" s="19">
        <v>3.0</v>
      </c>
      <c r="AB55" s="19">
        <v>6.0</v>
      </c>
      <c r="AC55" s="19">
        <v>6.0</v>
      </c>
      <c r="AD55" s="19">
        <v>8.0</v>
      </c>
      <c r="AE55" s="19">
        <v>8.0</v>
      </c>
      <c r="AF55" s="19">
        <v>6.0</v>
      </c>
      <c r="AG55" s="19">
        <v>2.0</v>
      </c>
      <c r="AH55" s="19">
        <v>4.0</v>
      </c>
      <c r="AI55" s="19">
        <v>9.0</v>
      </c>
      <c r="AJ55" s="19">
        <v>0.0</v>
      </c>
      <c r="AK55" s="19">
        <v>4.0</v>
      </c>
      <c r="AL55" s="19">
        <v>3.0</v>
      </c>
      <c r="AM55" s="13">
        <f t="shared" ref="AM55:AM62" si="16">SUM(E55:AL55)</f>
        <v>230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36.0</v>
      </c>
      <c r="F56" s="19">
        <v>11.0</v>
      </c>
      <c r="G56" s="19">
        <v>6.0</v>
      </c>
      <c r="H56" s="19">
        <v>9.0</v>
      </c>
      <c r="I56" s="19">
        <v>5.0</v>
      </c>
      <c r="J56" s="19">
        <v>10.0</v>
      </c>
      <c r="K56" s="19">
        <v>5.0</v>
      </c>
      <c r="L56" s="19">
        <v>13.0</v>
      </c>
      <c r="M56" s="19">
        <v>19.0</v>
      </c>
      <c r="N56" s="19">
        <v>6.0</v>
      </c>
      <c r="O56" s="19">
        <v>7.0</v>
      </c>
      <c r="P56" s="19">
        <v>12.0</v>
      </c>
      <c r="Q56" s="19">
        <v>4.0</v>
      </c>
      <c r="R56" s="19">
        <v>11.0</v>
      </c>
      <c r="S56" s="19">
        <v>8.0</v>
      </c>
      <c r="T56" s="19">
        <v>10.0</v>
      </c>
      <c r="U56" s="19">
        <v>26.0</v>
      </c>
      <c r="V56" s="19">
        <v>12.0</v>
      </c>
      <c r="W56" s="19">
        <v>5.0</v>
      </c>
      <c r="X56" s="19">
        <v>1.0</v>
      </c>
      <c r="Y56" s="19">
        <v>10.0</v>
      </c>
      <c r="Z56" s="19">
        <v>3.0</v>
      </c>
      <c r="AA56" s="19">
        <v>14.0</v>
      </c>
      <c r="AB56" s="19">
        <v>10.0</v>
      </c>
      <c r="AC56" s="19">
        <v>12.0</v>
      </c>
      <c r="AD56" s="19">
        <v>7.0</v>
      </c>
      <c r="AE56" s="19">
        <v>6.0</v>
      </c>
      <c r="AF56" s="19">
        <v>8.0</v>
      </c>
      <c r="AG56" s="19">
        <v>6.0</v>
      </c>
      <c r="AH56" s="19">
        <v>8.0</v>
      </c>
      <c r="AI56" s="19">
        <v>0.0</v>
      </c>
      <c r="AJ56" s="19">
        <v>9.0</v>
      </c>
      <c r="AK56" s="19">
        <v>6.0</v>
      </c>
      <c r="AL56" s="19">
        <v>10.0</v>
      </c>
      <c r="AM56" s="13">
        <f t="shared" si="16"/>
        <v>325</v>
      </c>
    </row>
    <row r="57" ht="12.75" customHeight="1">
      <c r="A57" s="18"/>
      <c r="B57" s="55">
        <v>2.0</v>
      </c>
      <c r="C57" s="50" t="s">
        <v>50</v>
      </c>
      <c r="D57" s="56"/>
      <c r="E57" s="19">
        <v>10.0</v>
      </c>
      <c r="F57" s="19">
        <v>2.0</v>
      </c>
      <c r="G57" s="19">
        <v>6.0</v>
      </c>
      <c r="H57" s="19">
        <v>3.0</v>
      </c>
      <c r="I57" s="19">
        <v>1.0</v>
      </c>
      <c r="J57" s="19">
        <v>2.0</v>
      </c>
      <c r="K57" s="19">
        <v>5.0</v>
      </c>
      <c r="L57" s="19">
        <v>4.0</v>
      </c>
      <c r="M57" s="19">
        <v>4.0</v>
      </c>
      <c r="N57" s="19">
        <v>4.0</v>
      </c>
      <c r="O57" s="19">
        <v>0.0</v>
      </c>
      <c r="P57" s="19">
        <v>1.0</v>
      </c>
      <c r="Q57" s="19">
        <v>1.0</v>
      </c>
      <c r="R57" s="19">
        <v>3.0</v>
      </c>
      <c r="S57" s="19">
        <v>7.0</v>
      </c>
      <c r="T57" s="19">
        <v>1.0</v>
      </c>
      <c r="U57" s="19">
        <v>3.0</v>
      </c>
      <c r="V57" s="19">
        <v>1.0</v>
      </c>
      <c r="W57" s="19">
        <v>2.0</v>
      </c>
      <c r="X57" s="19">
        <v>2.0</v>
      </c>
      <c r="Y57" s="19">
        <v>2.0</v>
      </c>
      <c r="Z57" s="19">
        <v>0.0</v>
      </c>
      <c r="AA57" s="19">
        <v>1.0</v>
      </c>
      <c r="AB57" s="19">
        <v>1.0</v>
      </c>
      <c r="AC57" s="19">
        <v>2.0</v>
      </c>
      <c r="AD57" s="19">
        <v>1.0</v>
      </c>
      <c r="AE57" s="19">
        <v>4.0</v>
      </c>
      <c r="AF57" s="19">
        <v>2.0</v>
      </c>
      <c r="AG57" s="19">
        <v>2.0</v>
      </c>
      <c r="AH57" s="19">
        <v>4.0</v>
      </c>
      <c r="AI57" s="19">
        <v>2.0</v>
      </c>
      <c r="AJ57" s="19">
        <v>0.0</v>
      </c>
      <c r="AK57" s="19">
        <v>1.0</v>
      </c>
      <c r="AL57" s="19">
        <v>3.0</v>
      </c>
      <c r="AM57" s="13">
        <f t="shared" si="16"/>
        <v>87</v>
      </c>
    </row>
    <row r="58" ht="12.75" customHeight="1">
      <c r="A58" s="18"/>
      <c r="B58" s="55">
        <v>3.0</v>
      </c>
      <c r="C58" s="50" t="s">
        <v>51</v>
      </c>
      <c r="D58" s="56"/>
      <c r="E58" s="19">
        <v>2.0</v>
      </c>
      <c r="F58" s="19">
        <v>0.0</v>
      </c>
      <c r="G58" s="19">
        <v>3.0</v>
      </c>
      <c r="H58" s="19">
        <v>0.0</v>
      </c>
      <c r="I58" s="19">
        <v>3.0</v>
      </c>
      <c r="J58" s="19">
        <v>0.0</v>
      </c>
      <c r="K58" s="19">
        <v>0.0</v>
      </c>
      <c r="L58" s="19">
        <v>1.0</v>
      </c>
      <c r="M58" s="19">
        <v>0.0</v>
      </c>
      <c r="N58" s="19">
        <v>2.0</v>
      </c>
      <c r="O58" s="19">
        <v>0.0</v>
      </c>
      <c r="P58" s="19">
        <v>0.0</v>
      </c>
      <c r="Q58" s="19">
        <v>0.0</v>
      </c>
      <c r="R58" s="19">
        <v>1.0</v>
      </c>
      <c r="S58" s="19">
        <v>2.0</v>
      </c>
      <c r="T58" s="19">
        <v>1.0</v>
      </c>
      <c r="U58" s="19">
        <v>2.0</v>
      </c>
      <c r="V58" s="19">
        <v>1.0</v>
      </c>
      <c r="W58" s="19">
        <v>0.0</v>
      </c>
      <c r="X58" s="19">
        <v>0.0</v>
      </c>
      <c r="Y58" s="19">
        <v>2.0</v>
      </c>
      <c r="Z58" s="19">
        <v>1.0</v>
      </c>
      <c r="AA58" s="19">
        <v>2.0</v>
      </c>
      <c r="AB58" s="19">
        <v>2.0</v>
      </c>
      <c r="AC58" s="19">
        <v>1.0</v>
      </c>
      <c r="AD58" s="19">
        <v>2.0</v>
      </c>
      <c r="AE58" s="19">
        <v>0.0</v>
      </c>
      <c r="AF58" s="19">
        <v>1.0</v>
      </c>
      <c r="AG58" s="19">
        <v>1.0</v>
      </c>
      <c r="AH58" s="19">
        <v>4.0</v>
      </c>
      <c r="AI58" s="19">
        <v>2.0</v>
      </c>
      <c r="AJ58" s="19">
        <v>3.0</v>
      </c>
      <c r="AK58" s="19">
        <v>1.0</v>
      </c>
      <c r="AL58" s="19">
        <v>3.0</v>
      </c>
      <c r="AM58" s="13">
        <f t="shared" si="16"/>
        <v>43</v>
      </c>
    </row>
    <row r="59" ht="12.75" customHeight="1">
      <c r="A59" s="18"/>
      <c r="B59" s="55">
        <v>4.0</v>
      </c>
      <c r="C59" s="50" t="s">
        <v>52</v>
      </c>
      <c r="D59" s="56"/>
      <c r="E59" s="19">
        <v>0.0</v>
      </c>
      <c r="F59" s="19">
        <v>1.0</v>
      </c>
      <c r="G59" s="19">
        <v>1.0</v>
      </c>
      <c r="H59" s="19">
        <v>1.0</v>
      </c>
      <c r="I59" s="19">
        <v>3.0</v>
      </c>
      <c r="J59" s="19">
        <v>6.0</v>
      </c>
      <c r="K59" s="19">
        <v>1.0</v>
      </c>
      <c r="L59" s="19">
        <v>1.0</v>
      </c>
      <c r="M59" s="19">
        <v>2.0</v>
      </c>
      <c r="N59" s="19">
        <v>1.0</v>
      </c>
      <c r="O59" s="19">
        <v>0.0</v>
      </c>
      <c r="P59" s="19">
        <v>3.0</v>
      </c>
      <c r="Q59" s="19">
        <v>1.0</v>
      </c>
      <c r="R59" s="19">
        <v>1.0</v>
      </c>
      <c r="S59" s="19">
        <v>0.0</v>
      </c>
      <c r="T59" s="19">
        <v>0.0</v>
      </c>
      <c r="U59" s="19">
        <v>2.0</v>
      </c>
      <c r="V59" s="19">
        <v>2.0</v>
      </c>
      <c r="W59" s="19">
        <v>1.0</v>
      </c>
      <c r="X59" s="19">
        <v>2.0</v>
      </c>
      <c r="Y59" s="19">
        <v>2.0</v>
      </c>
      <c r="Z59" s="19">
        <v>1.0</v>
      </c>
      <c r="AA59" s="19">
        <v>1.0</v>
      </c>
      <c r="AB59" s="19">
        <v>1.0</v>
      </c>
      <c r="AC59" s="19">
        <v>1.0</v>
      </c>
      <c r="AD59" s="19">
        <v>3.0</v>
      </c>
      <c r="AE59" s="19">
        <v>1.0</v>
      </c>
      <c r="AF59" s="19">
        <v>0.0</v>
      </c>
      <c r="AG59" s="19">
        <v>0.0</v>
      </c>
      <c r="AH59" s="19">
        <v>0.0</v>
      </c>
      <c r="AI59" s="19">
        <v>1.0</v>
      </c>
      <c r="AJ59" s="19">
        <v>3.0</v>
      </c>
      <c r="AK59" s="19">
        <v>0.0</v>
      </c>
      <c r="AL59" s="19">
        <v>0.0</v>
      </c>
      <c r="AM59" s="13">
        <f t="shared" si="16"/>
        <v>43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1.0</v>
      </c>
      <c r="G60" s="19">
        <v>1.0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3.0</v>
      </c>
      <c r="N60" s="19">
        <v>0.0</v>
      </c>
      <c r="O60" s="19">
        <v>1.0</v>
      </c>
      <c r="P60" s="19">
        <v>1.0</v>
      </c>
      <c r="Q60" s="19">
        <v>0.0</v>
      </c>
      <c r="R60" s="19">
        <v>0.0</v>
      </c>
      <c r="S60" s="19">
        <v>0.0</v>
      </c>
      <c r="T60" s="19">
        <v>1.0</v>
      </c>
      <c r="U60" s="19">
        <v>0.0</v>
      </c>
      <c r="V60" s="19">
        <v>0.0</v>
      </c>
      <c r="W60" s="19">
        <v>1.0</v>
      </c>
      <c r="X60" s="19">
        <v>0.0</v>
      </c>
      <c r="Y60" s="19">
        <v>0.0</v>
      </c>
      <c r="Z60" s="19">
        <v>1.0</v>
      </c>
      <c r="AA60" s="19">
        <v>1.0</v>
      </c>
      <c r="AB60" s="19">
        <v>0.0</v>
      </c>
      <c r="AC60" s="19">
        <v>0.0</v>
      </c>
      <c r="AD60" s="19">
        <v>1.0</v>
      </c>
      <c r="AE60" s="19">
        <v>0.0</v>
      </c>
      <c r="AF60" s="19">
        <v>0.0</v>
      </c>
      <c r="AG60" s="19">
        <v>0.0</v>
      </c>
      <c r="AH60" s="19">
        <v>0.0</v>
      </c>
      <c r="AI60" s="19">
        <v>0.0</v>
      </c>
      <c r="AJ60" s="19">
        <v>0.0</v>
      </c>
      <c r="AK60" s="19">
        <v>0.0</v>
      </c>
      <c r="AL60" s="19">
        <v>0.0</v>
      </c>
      <c r="AM60" s="13">
        <f t="shared" si="16"/>
        <v>12</v>
      </c>
    </row>
    <row r="61" ht="12.75" customHeight="1">
      <c r="A61" s="18"/>
      <c r="B61" s="55">
        <v>6.0</v>
      </c>
      <c r="C61" s="50" t="s">
        <v>54</v>
      </c>
      <c r="D61" s="57"/>
      <c r="E61" s="19">
        <v>2.0</v>
      </c>
      <c r="F61" s="19">
        <v>1.0</v>
      </c>
      <c r="G61" s="19">
        <v>2.0</v>
      </c>
      <c r="H61" s="19">
        <v>0.0</v>
      </c>
      <c r="I61" s="19">
        <v>1.0</v>
      </c>
      <c r="J61" s="19">
        <v>1.0</v>
      </c>
      <c r="K61" s="19">
        <v>0.0</v>
      </c>
      <c r="L61" s="19">
        <v>0.0</v>
      </c>
      <c r="M61" s="19">
        <v>1.0</v>
      </c>
      <c r="N61" s="19">
        <v>1.0</v>
      </c>
      <c r="O61" s="19">
        <v>2.0</v>
      </c>
      <c r="P61" s="19">
        <v>0.0</v>
      </c>
      <c r="Q61" s="19">
        <v>2.0</v>
      </c>
      <c r="R61" s="19">
        <v>0.0</v>
      </c>
      <c r="S61" s="19">
        <v>1.0</v>
      </c>
      <c r="T61" s="19">
        <v>0.0</v>
      </c>
      <c r="U61" s="19">
        <v>1.0</v>
      </c>
      <c r="V61" s="19">
        <v>0.0</v>
      </c>
      <c r="W61" s="19">
        <v>1.0</v>
      </c>
      <c r="X61" s="19">
        <v>0.0</v>
      </c>
      <c r="Y61" s="19">
        <v>1.0</v>
      </c>
      <c r="Z61" s="19">
        <v>0.0</v>
      </c>
      <c r="AA61" s="19">
        <v>0.0</v>
      </c>
      <c r="AB61" s="19">
        <v>0.0</v>
      </c>
      <c r="AC61" s="19">
        <v>2.0</v>
      </c>
      <c r="AD61" s="19">
        <v>0.0</v>
      </c>
      <c r="AE61" s="19">
        <v>0.0</v>
      </c>
      <c r="AF61" s="19">
        <v>2.0</v>
      </c>
      <c r="AG61" s="19">
        <v>1.0</v>
      </c>
      <c r="AH61" s="19">
        <v>0.0</v>
      </c>
      <c r="AI61" s="19">
        <v>0.0</v>
      </c>
      <c r="AJ61" s="19">
        <v>0.0</v>
      </c>
      <c r="AK61" s="19">
        <v>0.0</v>
      </c>
      <c r="AL61" s="19">
        <v>0.0</v>
      </c>
      <c r="AM61" s="13">
        <f t="shared" si="16"/>
        <v>22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1.0</v>
      </c>
      <c r="AE62" s="19">
        <v>2.0</v>
      </c>
      <c r="AF62" s="19">
        <v>0.0</v>
      </c>
      <c r="AG62" s="19">
        <v>0.0</v>
      </c>
      <c r="AH62" s="19">
        <v>0.0</v>
      </c>
      <c r="AI62" s="19">
        <v>0.0</v>
      </c>
      <c r="AJ62" s="19">
        <v>0.0</v>
      </c>
      <c r="AK62" s="19">
        <v>0.0</v>
      </c>
      <c r="AL62" s="19">
        <v>1.0</v>
      </c>
      <c r="AM62" s="13">
        <f t="shared" si="16"/>
        <v>4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AM63" si="17">SUM(E55:E62)</f>
        <v>67</v>
      </c>
      <c r="F63" s="13">
        <f t="shared" si="17"/>
        <v>31</v>
      </c>
      <c r="G63" s="13">
        <f t="shared" si="17"/>
        <v>32</v>
      </c>
      <c r="H63" s="13">
        <f t="shared" si="17"/>
        <v>23</v>
      </c>
      <c r="I63" s="13">
        <f t="shared" si="17"/>
        <v>18</v>
      </c>
      <c r="J63" s="13">
        <f t="shared" si="17"/>
        <v>28</v>
      </c>
      <c r="K63" s="13">
        <f t="shared" si="17"/>
        <v>14</v>
      </c>
      <c r="L63" s="13">
        <f t="shared" si="17"/>
        <v>23</v>
      </c>
      <c r="M63" s="13">
        <f t="shared" si="17"/>
        <v>52</v>
      </c>
      <c r="N63" s="13">
        <f t="shared" si="17"/>
        <v>23</v>
      </c>
      <c r="O63" s="13">
        <f t="shared" si="17"/>
        <v>17</v>
      </c>
      <c r="P63" s="13">
        <f t="shared" si="17"/>
        <v>25</v>
      </c>
      <c r="Q63" s="13">
        <f t="shared" si="17"/>
        <v>13</v>
      </c>
      <c r="R63" s="13">
        <f t="shared" si="17"/>
        <v>20</v>
      </c>
      <c r="S63" s="13">
        <f t="shared" si="17"/>
        <v>22</v>
      </c>
      <c r="T63" s="13">
        <f t="shared" si="17"/>
        <v>21</v>
      </c>
      <c r="U63" s="13">
        <f t="shared" si="17"/>
        <v>39</v>
      </c>
      <c r="V63" s="13">
        <f t="shared" si="17"/>
        <v>22</v>
      </c>
      <c r="W63" s="13">
        <f t="shared" si="17"/>
        <v>11</v>
      </c>
      <c r="X63" s="13">
        <f t="shared" si="17"/>
        <v>10</v>
      </c>
      <c r="Y63" s="13">
        <f t="shared" si="17"/>
        <v>20</v>
      </c>
      <c r="Z63" s="13">
        <f t="shared" si="17"/>
        <v>13</v>
      </c>
      <c r="AA63" s="13">
        <f t="shared" si="17"/>
        <v>22</v>
      </c>
      <c r="AB63" s="13">
        <f t="shared" si="17"/>
        <v>20</v>
      </c>
      <c r="AC63" s="13">
        <f t="shared" si="17"/>
        <v>24</v>
      </c>
      <c r="AD63" s="13">
        <f t="shared" si="17"/>
        <v>23</v>
      </c>
      <c r="AE63" s="13">
        <f t="shared" si="17"/>
        <v>21</v>
      </c>
      <c r="AF63" s="13">
        <f t="shared" si="17"/>
        <v>19</v>
      </c>
      <c r="AG63" s="13">
        <f t="shared" si="17"/>
        <v>12</v>
      </c>
      <c r="AH63" s="13">
        <f t="shared" si="17"/>
        <v>20</v>
      </c>
      <c r="AI63" s="13">
        <f t="shared" si="17"/>
        <v>14</v>
      </c>
      <c r="AJ63" s="13">
        <f t="shared" si="17"/>
        <v>15</v>
      </c>
      <c r="AK63" s="13">
        <f t="shared" si="17"/>
        <v>12</v>
      </c>
      <c r="AL63" s="13">
        <f t="shared" si="17"/>
        <v>20</v>
      </c>
      <c r="AM63" s="13">
        <f t="shared" si="17"/>
        <v>766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13.0</v>
      </c>
      <c r="F65" s="19">
        <v>5.0</v>
      </c>
      <c r="G65" s="19">
        <v>5.0</v>
      </c>
      <c r="H65" s="19">
        <v>4.0</v>
      </c>
      <c r="I65" s="19">
        <v>9.0</v>
      </c>
      <c r="J65" s="19">
        <v>16.0</v>
      </c>
      <c r="K65" s="19">
        <v>4.0</v>
      </c>
      <c r="L65" s="19">
        <v>11.0</v>
      </c>
      <c r="M65" s="19">
        <v>8.0</v>
      </c>
      <c r="N65" s="19">
        <v>10.0</v>
      </c>
      <c r="O65" s="19">
        <v>7.0</v>
      </c>
      <c r="P65" s="19">
        <v>4.0</v>
      </c>
      <c r="Q65" s="19">
        <v>5.0</v>
      </c>
      <c r="R65" s="19">
        <v>6.0</v>
      </c>
      <c r="S65" s="19">
        <v>6.0</v>
      </c>
      <c r="T65" s="19">
        <v>8.0</v>
      </c>
      <c r="U65" s="19">
        <v>11.0</v>
      </c>
      <c r="V65" s="19">
        <v>8.0</v>
      </c>
      <c r="W65" s="19">
        <v>5.0</v>
      </c>
      <c r="X65" s="19">
        <v>3.0</v>
      </c>
      <c r="Y65" s="19">
        <v>6.0</v>
      </c>
      <c r="Z65" s="19">
        <v>4.0</v>
      </c>
      <c r="AA65" s="19">
        <v>3.0</v>
      </c>
      <c r="AB65" s="19">
        <v>4.0</v>
      </c>
      <c r="AC65" s="19">
        <v>2.0</v>
      </c>
      <c r="AD65" s="19">
        <v>3.0</v>
      </c>
      <c r="AE65" s="19">
        <v>8.0</v>
      </c>
      <c r="AF65" s="19">
        <v>0.0</v>
      </c>
      <c r="AG65" s="19">
        <v>3.0</v>
      </c>
      <c r="AH65" s="19">
        <v>1.0</v>
      </c>
      <c r="AI65" s="19">
        <v>10.0</v>
      </c>
      <c r="AJ65" s="19">
        <v>1.0</v>
      </c>
      <c r="AK65" s="19">
        <v>2.0</v>
      </c>
      <c r="AL65" s="19">
        <v>2.0</v>
      </c>
      <c r="AM65" s="13">
        <f t="shared" ref="AM65:AM72" si="18">SUM(E65:AL65)</f>
        <v>197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6.0</v>
      </c>
      <c r="F66" s="19">
        <v>8.0</v>
      </c>
      <c r="G66" s="19">
        <v>7.0</v>
      </c>
      <c r="H66" s="19">
        <v>10.0</v>
      </c>
      <c r="I66" s="19">
        <v>1.0</v>
      </c>
      <c r="J66" s="19">
        <v>6.0</v>
      </c>
      <c r="K66" s="19">
        <v>1.0</v>
      </c>
      <c r="L66" s="19">
        <v>3.0</v>
      </c>
      <c r="M66" s="19">
        <v>4.0</v>
      </c>
      <c r="N66" s="19">
        <v>3.0</v>
      </c>
      <c r="O66" s="19">
        <v>4.0</v>
      </c>
      <c r="P66" s="19">
        <v>5.0</v>
      </c>
      <c r="Q66" s="19">
        <v>6.0</v>
      </c>
      <c r="R66" s="19">
        <v>3.0</v>
      </c>
      <c r="S66" s="19">
        <v>8.0</v>
      </c>
      <c r="T66" s="19">
        <v>7.0</v>
      </c>
      <c r="U66" s="19">
        <v>3.0</v>
      </c>
      <c r="V66" s="19">
        <v>5.0</v>
      </c>
      <c r="W66" s="19">
        <v>5.0</v>
      </c>
      <c r="X66" s="19">
        <v>4.0</v>
      </c>
      <c r="Y66" s="19">
        <v>4.0</v>
      </c>
      <c r="Z66" s="19">
        <v>3.0</v>
      </c>
      <c r="AA66" s="19">
        <v>2.0</v>
      </c>
      <c r="AB66" s="19">
        <v>12.0</v>
      </c>
      <c r="AC66" s="19">
        <v>5.0</v>
      </c>
      <c r="AD66" s="19">
        <v>4.0</v>
      </c>
      <c r="AE66" s="19">
        <v>7.0</v>
      </c>
      <c r="AF66" s="19">
        <v>0.0</v>
      </c>
      <c r="AG66" s="19">
        <v>1.0</v>
      </c>
      <c r="AH66" s="19">
        <v>2.0</v>
      </c>
      <c r="AI66" s="19">
        <v>2.0</v>
      </c>
      <c r="AJ66" s="19">
        <v>0.0</v>
      </c>
      <c r="AK66" s="19">
        <v>1.0</v>
      </c>
      <c r="AL66" s="19">
        <v>0.0</v>
      </c>
      <c r="AM66" s="13">
        <f t="shared" si="18"/>
        <v>142</v>
      </c>
    </row>
    <row r="67" ht="12.75" customHeight="1">
      <c r="A67" s="18"/>
      <c r="B67" s="55">
        <v>2.0</v>
      </c>
      <c r="C67" s="50" t="s">
        <v>58</v>
      </c>
      <c r="D67" s="57"/>
      <c r="E67" s="19">
        <v>5.0</v>
      </c>
      <c r="F67" s="19">
        <v>0.0</v>
      </c>
      <c r="G67" s="19">
        <v>3.0</v>
      </c>
      <c r="H67" s="19">
        <v>1.0</v>
      </c>
      <c r="I67" s="19">
        <v>6.0</v>
      </c>
      <c r="J67" s="19">
        <v>3.0</v>
      </c>
      <c r="K67" s="19">
        <v>3.0</v>
      </c>
      <c r="L67" s="19">
        <v>2.0</v>
      </c>
      <c r="M67" s="19">
        <v>4.0</v>
      </c>
      <c r="N67" s="19">
        <v>13.0</v>
      </c>
      <c r="O67" s="19">
        <v>0.0</v>
      </c>
      <c r="P67" s="19">
        <v>34.0</v>
      </c>
      <c r="Q67" s="19">
        <v>17.0</v>
      </c>
      <c r="R67" s="19">
        <v>9.0</v>
      </c>
      <c r="S67" s="19">
        <v>2.0</v>
      </c>
      <c r="T67" s="19">
        <v>7.0</v>
      </c>
      <c r="U67" s="19">
        <v>3.0</v>
      </c>
      <c r="V67" s="19">
        <v>5.0</v>
      </c>
      <c r="W67" s="19">
        <v>2.0</v>
      </c>
      <c r="X67" s="19">
        <v>2.0</v>
      </c>
      <c r="Y67" s="19">
        <v>1.0</v>
      </c>
      <c r="Z67" s="19">
        <v>5.0</v>
      </c>
      <c r="AA67" s="19">
        <v>4.0</v>
      </c>
      <c r="AB67" s="19">
        <v>2.0</v>
      </c>
      <c r="AC67" s="19">
        <v>7.0</v>
      </c>
      <c r="AD67" s="19">
        <v>1.0</v>
      </c>
      <c r="AE67" s="19">
        <v>1.0</v>
      </c>
      <c r="AF67" s="19">
        <v>3.0</v>
      </c>
      <c r="AG67" s="19">
        <v>1.0</v>
      </c>
      <c r="AH67" s="19">
        <v>6.0</v>
      </c>
      <c r="AI67" s="19">
        <v>10.0</v>
      </c>
      <c r="AJ67" s="19">
        <v>1.0</v>
      </c>
      <c r="AK67" s="19">
        <v>0.0</v>
      </c>
      <c r="AL67" s="19">
        <v>2.0</v>
      </c>
      <c r="AM67" s="13">
        <f t="shared" si="18"/>
        <v>165</v>
      </c>
    </row>
    <row r="68" ht="12.75" customHeight="1">
      <c r="A68" s="18"/>
      <c r="B68" s="55">
        <v>3.0</v>
      </c>
      <c r="C68" s="50" t="s">
        <v>59</v>
      </c>
      <c r="D68" s="57"/>
      <c r="E68" s="19">
        <v>5.0</v>
      </c>
      <c r="F68" s="19">
        <v>1.0</v>
      </c>
      <c r="G68" s="19">
        <v>3.0</v>
      </c>
      <c r="H68" s="19">
        <v>3.0</v>
      </c>
      <c r="I68" s="19">
        <v>18.0</v>
      </c>
      <c r="J68" s="19">
        <v>16.0</v>
      </c>
      <c r="K68" s="19">
        <v>14.0</v>
      </c>
      <c r="L68" s="19">
        <v>25.0</v>
      </c>
      <c r="M68" s="19">
        <v>13.0</v>
      </c>
      <c r="N68" s="19">
        <v>12.0</v>
      </c>
      <c r="O68" s="19">
        <v>10.0</v>
      </c>
      <c r="P68" s="19">
        <v>3.0</v>
      </c>
      <c r="Q68" s="19">
        <v>4.0</v>
      </c>
      <c r="R68" s="19">
        <v>19.0</v>
      </c>
      <c r="S68" s="19">
        <v>15.0</v>
      </c>
      <c r="T68" s="19">
        <v>14.0</v>
      </c>
      <c r="U68" s="19">
        <v>5.0</v>
      </c>
      <c r="V68" s="19">
        <v>39.0</v>
      </c>
      <c r="W68" s="19">
        <v>11.0</v>
      </c>
      <c r="X68" s="19">
        <v>42.0</v>
      </c>
      <c r="Y68" s="19">
        <v>77.0</v>
      </c>
      <c r="Z68" s="19">
        <v>50.0</v>
      </c>
      <c r="AA68" s="19">
        <v>19.0</v>
      </c>
      <c r="AB68" s="19">
        <v>2.0</v>
      </c>
      <c r="AC68" s="19">
        <v>10.0</v>
      </c>
      <c r="AD68" s="19">
        <v>5.0</v>
      </c>
      <c r="AE68" s="19">
        <v>4.0</v>
      </c>
      <c r="AF68" s="19">
        <v>7.0</v>
      </c>
      <c r="AG68" s="19">
        <v>3.0</v>
      </c>
      <c r="AH68" s="19">
        <v>0.0</v>
      </c>
      <c r="AI68" s="19">
        <v>1.0</v>
      </c>
      <c r="AJ68" s="19">
        <v>2.0</v>
      </c>
      <c r="AK68" s="19">
        <v>2.0</v>
      </c>
      <c r="AL68" s="19">
        <v>1.0</v>
      </c>
      <c r="AM68" s="13">
        <f t="shared" si="18"/>
        <v>455</v>
      </c>
    </row>
    <row r="69" ht="12.75" customHeight="1">
      <c r="A69" s="18"/>
      <c r="B69" s="55">
        <v>4.0</v>
      </c>
      <c r="C69" s="50" t="s">
        <v>60</v>
      </c>
      <c r="D69" s="57"/>
      <c r="E69" s="19">
        <v>3.0</v>
      </c>
      <c r="F69" s="19">
        <v>1.0</v>
      </c>
      <c r="G69" s="19">
        <v>1.0</v>
      </c>
      <c r="H69" s="19">
        <v>1.0</v>
      </c>
      <c r="I69" s="19">
        <v>2.0</v>
      </c>
      <c r="J69" s="19">
        <v>0.0</v>
      </c>
      <c r="K69" s="19">
        <v>0.0</v>
      </c>
      <c r="L69" s="19">
        <v>0.0</v>
      </c>
      <c r="M69" s="19">
        <v>0.0</v>
      </c>
      <c r="N69" s="19">
        <v>1.0</v>
      </c>
      <c r="O69" s="19">
        <v>1.0</v>
      </c>
      <c r="P69" s="19">
        <v>1.0</v>
      </c>
      <c r="Q69" s="19">
        <v>1.0</v>
      </c>
      <c r="R69" s="19">
        <v>3.0</v>
      </c>
      <c r="S69" s="19">
        <v>2.0</v>
      </c>
      <c r="T69" s="19">
        <v>4.0</v>
      </c>
      <c r="U69" s="19">
        <v>1.0</v>
      </c>
      <c r="V69" s="19">
        <v>2.0</v>
      </c>
      <c r="W69" s="19">
        <v>0.0</v>
      </c>
      <c r="X69" s="19">
        <v>0.0</v>
      </c>
      <c r="Y69" s="19">
        <v>1.0</v>
      </c>
      <c r="Z69" s="19">
        <v>3.0</v>
      </c>
      <c r="AA69" s="19">
        <v>0.0</v>
      </c>
      <c r="AB69" s="19">
        <v>1.0</v>
      </c>
      <c r="AC69" s="19">
        <v>2.0</v>
      </c>
      <c r="AD69" s="19">
        <v>1.0</v>
      </c>
      <c r="AE69" s="19">
        <v>0.0</v>
      </c>
      <c r="AF69" s="19">
        <v>0.0</v>
      </c>
      <c r="AG69" s="19">
        <v>1.0</v>
      </c>
      <c r="AH69" s="19">
        <v>0.0</v>
      </c>
      <c r="AI69" s="19">
        <v>1.0</v>
      </c>
      <c r="AJ69" s="19">
        <v>0.0</v>
      </c>
      <c r="AK69" s="19">
        <v>0.0</v>
      </c>
      <c r="AL69" s="19">
        <v>1.0</v>
      </c>
      <c r="AM69" s="13">
        <f t="shared" si="18"/>
        <v>35</v>
      </c>
    </row>
    <row r="70" ht="12.75" customHeight="1">
      <c r="A70" s="18"/>
      <c r="B70" s="55">
        <v>5.0</v>
      </c>
      <c r="C70" s="50" t="s">
        <v>61</v>
      </c>
      <c r="D70" s="57"/>
      <c r="E70" s="19">
        <v>1.0</v>
      </c>
      <c r="F70" s="19">
        <v>0.0</v>
      </c>
      <c r="G70" s="19">
        <v>0.0</v>
      </c>
      <c r="H70" s="19">
        <v>2.0</v>
      </c>
      <c r="I70" s="19">
        <v>1.0</v>
      </c>
      <c r="J70" s="19">
        <v>0.0</v>
      </c>
      <c r="K70" s="19">
        <v>2.0</v>
      </c>
      <c r="L70" s="19">
        <v>0.0</v>
      </c>
      <c r="M70" s="19">
        <v>2.0</v>
      </c>
      <c r="N70" s="19">
        <v>3.0</v>
      </c>
      <c r="O70" s="19">
        <v>1.0</v>
      </c>
      <c r="P70" s="19">
        <v>3.0</v>
      </c>
      <c r="Q70" s="19">
        <v>5.0</v>
      </c>
      <c r="R70" s="19">
        <v>4.0</v>
      </c>
      <c r="S70" s="19">
        <v>0.0</v>
      </c>
      <c r="T70" s="19">
        <v>0.0</v>
      </c>
      <c r="U70" s="19">
        <v>2.0</v>
      </c>
      <c r="V70" s="19">
        <v>3.0</v>
      </c>
      <c r="W70" s="19">
        <v>1.0</v>
      </c>
      <c r="X70" s="19">
        <v>0.0</v>
      </c>
      <c r="Y70" s="19">
        <v>0.0</v>
      </c>
      <c r="Z70" s="19">
        <v>2.0</v>
      </c>
      <c r="AA70" s="19">
        <v>2.0</v>
      </c>
      <c r="AB70" s="19">
        <v>1.0</v>
      </c>
      <c r="AC70" s="19">
        <v>2.0</v>
      </c>
      <c r="AD70" s="19">
        <v>1.0</v>
      </c>
      <c r="AE70" s="19">
        <v>2.0</v>
      </c>
      <c r="AF70" s="19">
        <v>1.0</v>
      </c>
      <c r="AG70" s="19">
        <v>0.0</v>
      </c>
      <c r="AH70" s="19">
        <v>0.0</v>
      </c>
      <c r="AI70" s="19">
        <v>6.0</v>
      </c>
      <c r="AJ70" s="19">
        <v>2.0</v>
      </c>
      <c r="AK70" s="19">
        <v>0.0</v>
      </c>
      <c r="AL70" s="19">
        <v>2.0</v>
      </c>
      <c r="AM70" s="13">
        <f t="shared" si="18"/>
        <v>51</v>
      </c>
    </row>
    <row r="71" ht="12.75" customHeight="1">
      <c r="A71" s="18"/>
      <c r="B71" s="55">
        <v>6.0</v>
      </c>
      <c r="C71" s="50" t="s">
        <v>62</v>
      </c>
      <c r="D71" s="57"/>
      <c r="E71" s="19">
        <v>3.0</v>
      </c>
      <c r="F71" s="19">
        <v>1.0</v>
      </c>
      <c r="G71" s="19">
        <v>1.0</v>
      </c>
      <c r="H71" s="19">
        <v>2.0</v>
      </c>
      <c r="I71" s="19">
        <v>2.0</v>
      </c>
      <c r="J71" s="19">
        <v>1.0</v>
      </c>
      <c r="K71" s="19">
        <v>0.0</v>
      </c>
      <c r="L71" s="19">
        <v>0.0</v>
      </c>
      <c r="M71" s="19">
        <v>1.0</v>
      </c>
      <c r="N71" s="19">
        <v>1.0</v>
      </c>
      <c r="O71" s="19">
        <v>1.0</v>
      </c>
      <c r="P71" s="19">
        <v>0.0</v>
      </c>
      <c r="Q71" s="19">
        <v>1.0</v>
      </c>
      <c r="R71" s="19">
        <v>1.0</v>
      </c>
      <c r="S71" s="19">
        <v>1.0</v>
      </c>
      <c r="T71" s="19">
        <v>1.0</v>
      </c>
      <c r="U71" s="19">
        <v>2.0</v>
      </c>
      <c r="V71" s="19">
        <v>1.0</v>
      </c>
      <c r="W71" s="19">
        <v>1.0</v>
      </c>
      <c r="X71" s="19">
        <v>1.0</v>
      </c>
      <c r="Y71" s="19">
        <v>1.0</v>
      </c>
      <c r="Z71" s="19">
        <v>0.0</v>
      </c>
      <c r="AA71" s="19">
        <v>0.0</v>
      </c>
      <c r="AB71" s="19">
        <v>0.0</v>
      </c>
      <c r="AC71" s="19">
        <v>2.0</v>
      </c>
      <c r="AD71" s="19">
        <v>1.0</v>
      </c>
      <c r="AE71" s="19">
        <v>0.0</v>
      </c>
      <c r="AF71" s="19">
        <v>0.0</v>
      </c>
      <c r="AG71" s="19">
        <v>0.0</v>
      </c>
      <c r="AH71" s="19">
        <v>0.0</v>
      </c>
      <c r="AI71" s="19">
        <v>3.0</v>
      </c>
      <c r="AJ71" s="19">
        <v>0.0</v>
      </c>
      <c r="AK71" s="19">
        <v>0.0</v>
      </c>
      <c r="AL71" s="19">
        <v>0.0</v>
      </c>
      <c r="AM71" s="13">
        <f t="shared" si="18"/>
        <v>29</v>
      </c>
    </row>
    <row r="72" ht="12.75" customHeight="1">
      <c r="A72" s="18"/>
      <c r="B72" s="55">
        <v>7.0</v>
      </c>
      <c r="C72" s="50" t="s">
        <v>63</v>
      </c>
      <c r="D72" s="57"/>
      <c r="E72" s="19">
        <v>2.0</v>
      </c>
      <c r="F72" s="19">
        <v>9.0</v>
      </c>
      <c r="G72" s="19">
        <v>7.0</v>
      </c>
      <c r="H72" s="19">
        <v>8.0</v>
      </c>
      <c r="I72" s="19">
        <v>5.0</v>
      </c>
      <c r="J72" s="19">
        <v>0.0</v>
      </c>
      <c r="K72" s="19">
        <v>1.0</v>
      </c>
      <c r="L72" s="19">
        <v>2.0</v>
      </c>
      <c r="M72" s="19">
        <v>3.0</v>
      </c>
      <c r="N72" s="19">
        <v>3.0</v>
      </c>
      <c r="O72" s="19">
        <v>4.0</v>
      </c>
      <c r="P72" s="19">
        <v>0.0</v>
      </c>
      <c r="Q72" s="19">
        <v>4.0</v>
      </c>
      <c r="R72" s="19">
        <v>2.0</v>
      </c>
      <c r="S72" s="19">
        <v>7.0</v>
      </c>
      <c r="T72" s="19">
        <v>11.0</v>
      </c>
      <c r="U72" s="19">
        <v>1.0</v>
      </c>
      <c r="V72" s="19">
        <v>0.0</v>
      </c>
      <c r="W72" s="19">
        <v>1.0</v>
      </c>
      <c r="X72" s="19">
        <v>2.0</v>
      </c>
      <c r="Y72" s="19">
        <v>0.0</v>
      </c>
      <c r="Z72" s="19">
        <v>2.0</v>
      </c>
      <c r="AA72" s="19">
        <v>4.0</v>
      </c>
      <c r="AB72" s="19">
        <v>3.0</v>
      </c>
      <c r="AC72" s="19">
        <v>2.0</v>
      </c>
      <c r="AD72" s="19">
        <v>13.0</v>
      </c>
      <c r="AE72" s="19">
        <v>2.0</v>
      </c>
      <c r="AF72" s="19">
        <v>2.0</v>
      </c>
      <c r="AG72" s="19">
        <v>2.0</v>
      </c>
      <c r="AH72" s="19">
        <v>0.0</v>
      </c>
      <c r="AI72" s="19">
        <v>7.0</v>
      </c>
      <c r="AJ72" s="19">
        <v>3.0</v>
      </c>
      <c r="AK72" s="19">
        <v>0.0</v>
      </c>
      <c r="AL72" s="19">
        <v>3.0</v>
      </c>
      <c r="AM72" s="13">
        <f t="shared" si="18"/>
        <v>115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AM73" si="19">SUM(E65:E72)</f>
        <v>38</v>
      </c>
      <c r="F73" s="13">
        <f t="shared" si="19"/>
        <v>25</v>
      </c>
      <c r="G73" s="13">
        <f t="shared" si="19"/>
        <v>27</v>
      </c>
      <c r="H73" s="13">
        <f t="shared" si="19"/>
        <v>31</v>
      </c>
      <c r="I73" s="13">
        <f t="shared" si="19"/>
        <v>44</v>
      </c>
      <c r="J73" s="13">
        <f t="shared" si="19"/>
        <v>42</v>
      </c>
      <c r="K73" s="13">
        <f t="shared" si="19"/>
        <v>25</v>
      </c>
      <c r="L73" s="13">
        <f t="shared" si="19"/>
        <v>43</v>
      </c>
      <c r="M73" s="13">
        <f t="shared" si="19"/>
        <v>35</v>
      </c>
      <c r="N73" s="13">
        <f t="shared" si="19"/>
        <v>46</v>
      </c>
      <c r="O73" s="13">
        <f t="shared" si="19"/>
        <v>28</v>
      </c>
      <c r="P73" s="13">
        <f t="shared" si="19"/>
        <v>50</v>
      </c>
      <c r="Q73" s="13">
        <f t="shared" si="19"/>
        <v>43</v>
      </c>
      <c r="R73" s="13">
        <f t="shared" si="19"/>
        <v>47</v>
      </c>
      <c r="S73" s="13">
        <f t="shared" si="19"/>
        <v>41</v>
      </c>
      <c r="T73" s="13">
        <f t="shared" si="19"/>
        <v>52</v>
      </c>
      <c r="U73" s="13">
        <f t="shared" si="19"/>
        <v>28</v>
      </c>
      <c r="V73" s="13">
        <f t="shared" si="19"/>
        <v>63</v>
      </c>
      <c r="W73" s="13">
        <f t="shared" si="19"/>
        <v>26</v>
      </c>
      <c r="X73" s="13">
        <f t="shared" si="19"/>
        <v>54</v>
      </c>
      <c r="Y73" s="13">
        <f t="shared" si="19"/>
        <v>90</v>
      </c>
      <c r="Z73" s="13">
        <f t="shared" si="19"/>
        <v>69</v>
      </c>
      <c r="AA73" s="13">
        <f t="shared" si="19"/>
        <v>34</v>
      </c>
      <c r="AB73" s="13">
        <f t="shared" si="19"/>
        <v>25</v>
      </c>
      <c r="AC73" s="13">
        <f t="shared" si="19"/>
        <v>32</v>
      </c>
      <c r="AD73" s="13">
        <f t="shared" si="19"/>
        <v>29</v>
      </c>
      <c r="AE73" s="13">
        <f t="shared" si="19"/>
        <v>24</v>
      </c>
      <c r="AF73" s="13">
        <f t="shared" si="19"/>
        <v>13</v>
      </c>
      <c r="AG73" s="13">
        <f t="shared" si="19"/>
        <v>11</v>
      </c>
      <c r="AH73" s="13">
        <f t="shared" si="19"/>
        <v>9</v>
      </c>
      <c r="AI73" s="13">
        <f t="shared" si="19"/>
        <v>40</v>
      </c>
      <c r="AJ73" s="13">
        <f t="shared" si="19"/>
        <v>9</v>
      </c>
      <c r="AK73" s="13">
        <f t="shared" si="19"/>
        <v>5</v>
      </c>
      <c r="AL73" s="13">
        <f t="shared" si="19"/>
        <v>11</v>
      </c>
      <c r="AM73" s="13">
        <f t="shared" si="19"/>
        <v>1189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2.0</v>
      </c>
      <c r="F75" s="19">
        <v>4.0</v>
      </c>
      <c r="G75" s="19">
        <v>2.0</v>
      </c>
      <c r="H75" s="19">
        <v>3.0</v>
      </c>
      <c r="I75" s="19">
        <v>3.0</v>
      </c>
      <c r="J75" s="19">
        <v>1.0</v>
      </c>
      <c r="K75" s="19">
        <v>2.0</v>
      </c>
      <c r="L75" s="19">
        <v>1.0</v>
      </c>
      <c r="M75" s="19">
        <v>5.0</v>
      </c>
      <c r="N75" s="19">
        <v>4.0</v>
      </c>
      <c r="O75" s="19">
        <v>1.0</v>
      </c>
      <c r="P75" s="19">
        <v>3.0</v>
      </c>
      <c r="Q75" s="19">
        <v>4.0</v>
      </c>
      <c r="R75" s="19">
        <v>5.0</v>
      </c>
      <c r="S75" s="19">
        <v>5.0</v>
      </c>
      <c r="T75" s="19">
        <v>7.0</v>
      </c>
      <c r="U75" s="19">
        <v>6.0</v>
      </c>
      <c r="V75" s="19">
        <v>1.0</v>
      </c>
      <c r="W75" s="19">
        <v>4.0</v>
      </c>
      <c r="X75" s="19">
        <v>5.0</v>
      </c>
      <c r="Y75" s="19">
        <v>3.0</v>
      </c>
      <c r="Z75" s="19">
        <v>2.0</v>
      </c>
      <c r="AA75" s="19">
        <v>0.0</v>
      </c>
      <c r="AB75" s="19">
        <v>1.0</v>
      </c>
      <c r="AC75" s="19">
        <v>2.0</v>
      </c>
      <c r="AD75" s="19">
        <v>3.0</v>
      </c>
      <c r="AE75" s="19">
        <v>5.0</v>
      </c>
      <c r="AF75" s="19">
        <v>3.0</v>
      </c>
      <c r="AG75" s="19">
        <v>1.0</v>
      </c>
      <c r="AH75" s="19">
        <v>2.0</v>
      </c>
      <c r="AI75" s="19">
        <v>1.0</v>
      </c>
      <c r="AJ75" s="19">
        <v>2.0</v>
      </c>
      <c r="AK75" s="19">
        <v>2.0</v>
      </c>
      <c r="AL75" s="19">
        <v>2.0</v>
      </c>
      <c r="AM75" s="13">
        <f t="shared" ref="AM75:AM82" si="20">SUM(E75:AL75)</f>
        <v>97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1.0</v>
      </c>
      <c r="F76" s="19">
        <v>11.0</v>
      </c>
      <c r="G76" s="19">
        <v>1.0</v>
      </c>
      <c r="H76" s="19">
        <v>5.0</v>
      </c>
      <c r="I76" s="19">
        <v>5.0</v>
      </c>
      <c r="J76" s="19">
        <v>6.0</v>
      </c>
      <c r="K76" s="19">
        <v>4.0</v>
      </c>
      <c r="L76" s="19">
        <v>11.0</v>
      </c>
      <c r="M76" s="19">
        <v>10.0</v>
      </c>
      <c r="N76" s="19">
        <v>5.0</v>
      </c>
      <c r="O76" s="19">
        <v>4.0</v>
      </c>
      <c r="P76" s="19">
        <v>14.0</v>
      </c>
      <c r="Q76" s="19">
        <v>10.0</v>
      </c>
      <c r="R76" s="19">
        <v>17.0</v>
      </c>
      <c r="S76" s="19">
        <v>5.0</v>
      </c>
      <c r="T76" s="19">
        <v>7.0</v>
      </c>
      <c r="U76" s="19">
        <v>15.0</v>
      </c>
      <c r="V76" s="19">
        <v>16.0</v>
      </c>
      <c r="W76" s="19">
        <v>7.0</v>
      </c>
      <c r="X76" s="19">
        <v>17.0</v>
      </c>
      <c r="Y76" s="19">
        <v>11.0</v>
      </c>
      <c r="Z76" s="19">
        <v>15.0</v>
      </c>
      <c r="AA76" s="19">
        <v>11.0</v>
      </c>
      <c r="AB76" s="19">
        <v>9.0</v>
      </c>
      <c r="AC76" s="19">
        <v>4.0</v>
      </c>
      <c r="AD76" s="19">
        <v>5.0</v>
      </c>
      <c r="AE76" s="19">
        <v>9.0</v>
      </c>
      <c r="AF76" s="19">
        <v>6.0</v>
      </c>
      <c r="AG76" s="19">
        <v>2.0</v>
      </c>
      <c r="AH76" s="19">
        <v>2.0</v>
      </c>
      <c r="AI76" s="19">
        <v>5.0</v>
      </c>
      <c r="AJ76" s="19">
        <v>34.0</v>
      </c>
      <c r="AK76" s="19">
        <v>12.0</v>
      </c>
      <c r="AL76" s="19">
        <v>0.0</v>
      </c>
      <c r="AM76" s="13">
        <f t="shared" si="20"/>
        <v>296</v>
      </c>
    </row>
    <row r="77" ht="12.75" customHeight="1">
      <c r="A77" s="18"/>
      <c r="B77" s="55">
        <v>2.0</v>
      </c>
      <c r="C77" s="50" t="s">
        <v>66</v>
      </c>
      <c r="D77" s="57"/>
      <c r="E77" s="19">
        <v>5.0</v>
      </c>
      <c r="F77" s="19">
        <v>4.0</v>
      </c>
      <c r="G77" s="19">
        <v>2.0</v>
      </c>
      <c r="H77" s="19">
        <v>2.0</v>
      </c>
      <c r="I77" s="19">
        <v>3.0</v>
      </c>
      <c r="J77" s="19">
        <v>1.0</v>
      </c>
      <c r="K77" s="19">
        <v>1.0</v>
      </c>
      <c r="L77" s="19">
        <v>3.0</v>
      </c>
      <c r="M77" s="19">
        <v>6.0</v>
      </c>
      <c r="N77" s="19">
        <v>2.0</v>
      </c>
      <c r="O77" s="19">
        <v>2.0</v>
      </c>
      <c r="P77" s="19">
        <v>2.0</v>
      </c>
      <c r="Q77" s="19">
        <v>17.0</v>
      </c>
      <c r="R77" s="19">
        <v>4.0</v>
      </c>
      <c r="S77" s="19">
        <v>13.0</v>
      </c>
      <c r="T77" s="19">
        <v>32.0</v>
      </c>
      <c r="U77" s="19">
        <v>22.0</v>
      </c>
      <c r="V77" s="19">
        <v>39.0</v>
      </c>
      <c r="W77" s="19">
        <v>12.0</v>
      </c>
      <c r="X77" s="19">
        <v>0.0</v>
      </c>
      <c r="Y77" s="19">
        <v>0.0</v>
      </c>
      <c r="Z77" s="19">
        <v>0.0</v>
      </c>
      <c r="AA77" s="19">
        <v>7.0</v>
      </c>
      <c r="AB77" s="19">
        <v>1.0</v>
      </c>
      <c r="AC77" s="19">
        <v>4.0</v>
      </c>
      <c r="AD77" s="19">
        <v>1.0</v>
      </c>
      <c r="AE77" s="19">
        <v>3.0</v>
      </c>
      <c r="AF77" s="19">
        <v>5.0</v>
      </c>
      <c r="AG77" s="19">
        <v>5.0</v>
      </c>
      <c r="AH77" s="19">
        <v>0.0</v>
      </c>
      <c r="AI77" s="19">
        <v>2.0</v>
      </c>
      <c r="AJ77" s="19">
        <v>1.0</v>
      </c>
      <c r="AK77" s="19">
        <v>2.0</v>
      </c>
      <c r="AL77" s="19">
        <v>1.0</v>
      </c>
      <c r="AM77" s="13">
        <f t="shared" si="20"/>
        <v>204</v>
      </c>
    </row>
    <row r="78" ht="12.75" customHeight="1">
      <c r="A78" s="18"/>
      <c r="B78" s="55">
        <v>3.0</v>
      </c>
      <c r="C78" s="50" t="s">
        <v>67</v>
      </c>
      <c r="D78" s="57"/>
      <c r="E78" s="19">
        <v>0.0</v>
      </c>
      <c r="F78" s="19">
        <v>1.0</v>
      </c>
      <c r="G78" s="19">
        <v>0.0</v>
      </c>
      <c r="H78" s="19">
        <v>1.0</v>
      </c>
      <c r="I78" s="19">
        <v>0.0</v>
      </c>
      <c r="J78" s="19">
        <v>0.0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1.0</v>
      </c>
      <c r="Q78" s="19">
        <v>0.0</v>
      </c>
      <c r="R78" s="19">
        <v>1.0</v>
      </c>
      <c r="S78" s="19">
        <v>0.0</v>
      </c>
      <c r="T78" s="19">
        <v>0.0</v>
      </c>
      <c r="U78" s="19">
        <v>0.0</v>
      </c>
      <c r="V78" s="19">
        <v>1.0</v>
      </c>
      <c r="W78" s="19">
        <v>0.0</v>
      </c>
      <c r="X78" s="19">
        <v>1.0</v>
      </c>
      <c r="Y78" s="19">
        <v>0.0</v>
      </c>
      <c r="Z78" s="19">
        <v>0.0</v>
      </c>
      <c r="AA78" s="19">
        <v>0.0</v>
      </c>
      <c r="AB78" s="19">
        <v>0.0</v>
      </c>
      <c r="AC78" s="19">
        <v>0.0</v>
      </c>
      <c r="AD78" s="19">
        <v>0.0</v>
      </c>
      <c r="AE78" s="19">
        <v>2.0</v>
      </c>
      <c r="AF78" s="19">
        <v>0.0</v>
      </c>
      <c r="AG78" s="19">
        <v>0.0</v>
      </c>
      <c r="AH78" s="19">
        <v>0.0</v>
      </c>
      <c r="AI78" s="19">
        <v>0.0</v>
      </c>
      <c r="AJ78" s="19">
        <v>1.0</v>
      </c>
      <c r="AK78" s="19">
        <v>0.0</v>
      </c>
      <c r="AL78" s="19">
        <v>0.0</v>
      </c>
      <c r="AM78" s="13">
        <f t="shared" si="20"/>
        <v>9</v>
      </c>
    </row>
    <row r="79" ht="12.75" customHeight="1">
      <c r="A79" s="18"/>
      <c r="B79" s="55">
        <v>4.0</v>
      </c>
      <c r="C79" s="50" t="s">
        <v>68</v>
      </c>
      <c r="D79" s="57"/>
      <c r="E79" s="19">
        <v>0.0</v>
      </c>
      <c r="F79" s="19">
        <v>0.0</v>
      </c>
      <c r="G79" s="19">
        <v>0.0</v>
      </c>
      <c r="H79" s="19">
        <v>1.0</v>
      </c>
      <c r="I79" s="19">
        <v>1.0</v>
      </c>
      <c r="J79" s="19">
        <v>2.0</v>
      </c>
      <c r="K79" s="19">
        <v>0.0</v>
      </c>
      <c r="L79" s="19">
        <v>0.0</v>
      </c>
      <c r="M79" s="19">
        <v>2.0</v>
      </c>
      <c r="N79" s="19">
        <v>0.0</v>
      </c>
      <c r="O79" s="19">
        <v>0.0</v>
      </c>
      <c r="P79" s="19">
        <v>0.0</v>
      </c>
      <c r="Q79" s="19">
        <v>0.0</v>
      </c>
      <c r="R79" s="19">
        <v>0.0</v>
      </c>
      <c r="S79" s="19">
        <v>2.0</v>
      </c>
      <c r="T79" s="19">
        <v>0.0</v>
      </c>
      <c r="U79" s="19">
        <v>1.0</v>
      </c>
      <c r="V79" s="19">
        <v>0.0</v>
      </c>
      <c r="W79" s="19">
        <v>1.0</v>
      </c>
      <c r="X79" s="19">
        <v>0.0</v>
      </c>
      <c r="Y79" s="19">
        <v>0.0</v>
      </c>
      <c r="Z79" s="19">
        <v>0.0</v>
      </c>
      <c r="AA79" s="19">
        <v>0.0</v>
      </c>
      <c r="AB79" s="19">
        <v>0.0</v>
      </c>
      <c r="AC79" s="19">
        <v>1.0</v>
      </c>
      <c r="AD79" s="19">
        <v>0.0</v>
      </c>
      <c r="AE79" s="19">
        <v>0.0</v>
      </c>
      <c r="AF79" s="19">
        <v>0.0</v>
      </c>
      <c r="AG79" s="19">
        <v>0.0</v>
      </c>
      <c r="AH79" s="19">
        <v>0.0</v>
      </c>
      <c r="AI79" s="19">
        <v>0.0</v>
      </c>
      <c r="AJ79" s="19">
        <v>0.0</v>
      </c>
      <c r="AK79" s="19">
        <v>1.0</v>
      </c>
      <c r="AL79" s="19">
        <v>0.0</v>
      </c>
      <c r="AM79" s="13">
        <f t="shared" si="20"/>
        <v>12</v>
      </c>
    </row>
    <row r="80" ht="12.75" customHeight="1">
      <c r="A80" s="18"/>
      <c r="B80" s="55">
        <v>5.0</v>
      </c>
      <c r="C80" s="50" t="s">
        <v>69</v>
      </c>
      <c r="D80" s="57"/>
      <c r="E80" s="19">
        <v>1.0</v>
      </c>
      <c r="F80" s="19">
        <v>14.0</v>
      </c>
      <c r="G80" s="19">
        <v>5.0</v>
      </c>
      <c r="H80" s="19">
        <v>2.0</v>
      </c>
      <c r="I80" s="19">
        <v>0.0</v>
      </c>
      <c r="J80" s="19">
        <v>4.0</v>
      </c>
      <c r="K80" s="19">
        <v>8.0</v>
      </c>
      <c r="L80" s="19">
        <v>5.0</v>
      </c>
      <c r="M80" s="19">
        <v>2.0</v>
      </c>
      <c r="N80" s="19">
        <v>1.0</v>
      </c>
      <c r="O80" s="19">
        <v>2.0</v>
      </c>
      <c r="P80" s="19">
        <v>6.0</v>
      </c>
      <c r="Q80" s="19">
        <v>5.0</v>
      </c>
      <c r="R80" s="19">
        <v>3.0</v>
      </c>
      <c r="S80" s="19">
        <v>0.0</v>
      </c>
      <c r="T80" s="19">
        <v>0.0</v>
      </c>
      <c r="U80" s="19">
        <v>6.0</v>
      </c>
      <c r="V80" s="19">
        <v>3.0</v>
      </c>
      <c r="W80" s="19">
        <v>4.0</v>
      </c>
      <c r="X80" s="19">
        <v>5.0</v>
      </c>
      <c r="Y80" s="19">
        <v>2.0</v>
      </c>
      <c r="Z80" s="19">
        <v>3.0</v>
      </c>
      <c r="AA80" s="19">
        <v>3.0</v>
      </c>
      <c r="AB80" s="19">
        <v>7.0</v>
      </c>
      <c r="AC80" s="19">
        <v>3.0</v>
      </c>
      <c r="AD80" s="19">
        <v>0.0</v>
      </c>
      <c r="AE80" s="19">
        <v>2.0</v>
      </c>
      <c r="AF80" s="19">
        <v>4.0</v>
      </c>
      <c r="AG80" s="19">
        <v>11.0</v>
      </c>
      <c r="AH80" s="19">
        <v>1.0</v>
      </c>
      <c r="AI80" s="19">
        <v>0.0</v>
      </c>
      <c r="AJ80" s="19">
        <v>10.0</v>
      </c>
      <c r="AK80" s="19">
        <v>22.0</v>
      </c>
      <c r="AL80" s="19">
        <v>3.0</v>
      </c>
      <c r="AM80" s="13">
        <f t="shared" si="20"/>
        <v>147</v>
      </c>
    </row>
    <row r="81" ht="12.75" customHeight="1">
      <c r="A81" s="18"/>
      <c r="B81" s="55">
        <v>6.0</v>
      </c>
      <c r="C81" s="50" t="s">
        <v>70</v>
      </c>
      <c r="D81" s="57"/>
      <c r="E81" s="19">
        <v>0.0</v>
      </c>
      <c r="F81" s="19">
        <v>0.0</v>
      </c>
      <c r="G81" s="19">
        <v>0.0</v>
      </c>
      <c r="H81" s="19">
        <v>0.0</v>
      </c>
      <c r="I81" s="19">
        <v>1.0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1.0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9">
        <v>0.0</v>
      </c>
      <c r="Y81" s="19">
        <v>0.0</v>
      </c>
      <c r="Z81" s="19">
        <v>0.0</v>
      </c>
      <c r="AA81" s="19">
        <v>0.0</v>
      </c>
      <c r="AB81" s="19">
        <v>1.0</v>
      </c>
      <c r="AC81" s="19">
        <v>0.0</v>
      </c>
      <c r="AD81" s="19">
        <v>0.0</v>
      </c>
      <c r="AE81" s="19">
        <v>0.0</v>
      </c>
      <c r="AF81" s="19">
        <v>0.0</v>
      </c>
      <c r="AG81" s="19">
        <v>0.0</v>
      </c>
      <c r="AH81" s="19">
        <v>1.0</v>
      </c>
      <c r="AI81" s="19">
        <v>0.0</v>
      </c>
      <c r="AJ81" s="19">
        <v>0.0</v>
      </c>
      <c r="AK81" s="19">
        <v>1.0</v>
      </c>
      <c r="AL81" s="19">
        <v>0.0</v>
      </c>
      <c r="AM81" s="13">
        <f t="shared" si="20"/>
        <v>5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1.0</v>
      </c>
      <c r="G82" s="19">
        <v>0.0</v>
      </c>
      <c r="H82" s="19">
        <v>1.0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0.0</v>
      </c>
      <c r="V82" s="19">
        <v>0.0</v>
      </c>
      <c r="W82" s="19">
        <v>1.0</v>
      </c>
      <c r="X82" s="19">
        <v>0.0</v>
      </c>
      <c r="Y82" s="19">
        <v>0.0</v>
      </c>
      <c r="Z82" s="19">
        <v>0.0</v>
      </c>
      <c r="AA82" s="19">
        <v>0.0</v>
      </c>
      <c r="AB82" s="19">
        <v>1.0</v>
      </c>
      <c r="AC82" s="19">
        <v>0.0</v>
      </c>
      <c r="AD82" s="19">
        <v>0.0</v>
      </c>
      <c r="AE82" s="19">
        <v>0.0</v>
      </c>
      <c r="AF82" s="19">
        <v>0.0</v>
      </c>
      <c r="AG82" s="19">
        <v>1.0</v>
      </c>
      <c r="AH82" s="19">
        <v>0.0</v>
      </c>
      <c r="AI82" s="19">
        <v>0.0</v>
      </c>
      <c r="AJ82" s="19">
        <v>0.0</v>
      </c>
      <c r="AK82" s="19">
        <v>0.0</v>
      </c>
      <c r="AL82" s="19">
        <v>0.0</v>
      </c>
      <c r="AM82" s="13">
        <f t="shared" si="20"/>
        <v>5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AM83" si="21">SUM(E75:E82)</f>
        <v>9</v>
      </c>
      <c r="F83" s="13">
        <f t="shared" si="21"/>
        <v>35</v>
      </c>
      <c r="G83" s="13">
        <f t="shared" si="21"/>
        <v>10</v>
      </c>
      <c r="H83" s="13">
        <f t="shared" si="21"/>
        <v>15</v>
      </c>
      <c r="I83" s="13">
        <f t="shared" si="21"/>
        <v>13</v>
      </c>
      <c r="J83" s="13">
        <f t="shared" si="21"/>
        <v>14</v>
      </c>
      <c r="K83" s="13">
        <f t="shared" si="21"/>
        <v>15</v>
      </c>
      <c r="L83" s="13">
        <f t="shared" si="21"/>
        <v>20</v>
      </c>
      <c r="M83" s="13">
        <f t="shared" si="21"/>
        <v>25</v>
      </c>
      <c r="N83" s="13">
        <f t="shared" si="21"/>
        <v>12</v>
      </c>
      <c r="O83" s="13">
        <f t="shared" si="21"/>
        <v>9</v>
      </c>
      <c r="P83" s="13">
        <f t="shared" si="21"/>
        <v>26</v>
      </c>
      <c r="Q83" s="13">
        <f t="shared" si="21"/>
        <v>37</v>
      </c>
      <c r="R83" s="13">
        <f t="shared" si="21"/>
        <v>30</v>
      </c>
      <c r="S83" s="13">
        <f t="shared" si="21"/>
        <v>25</v>
      </c>
      <c r="T83" s="13">
        <f t="shared" si="21"/>
        <v>46</v>
      </c>
      <c r="U83" s="13">
        <f t="shared" si="21"/>
        <v>50</v>
      </c>
      <c r="V83" s="13">
        <f t="shared" si="21"/>
        <v>60</v>
      </c>
      <c r="W83" s="13">
        <f t="shared" si="21"/>
        <v>29</v>
      </c>
      <c r="X83" s="13">
        <f t="shared" si="21"/>
        <v>28</v>
      </c>
      <c r="Y83" s="13">
        <f t="shared" si="21"/>
        <v>16</v>
      </c>
      <c r="Z83" s="13">
        <f t="shared" si="21"/>
        <v>20</v>
      </c>
      <c r="AA83" s="13">
        <f t="shared" si="21"/>
        <v>21</v>
      </c>
      <c r="AB83" s="13">
        <f t="shared" si="21"/>
        <v>20</v>
      </c>
      <c r="AC83" s="13">
        <f t="shared" si="21"/>
        <v>14</v>
      </c>
      <c r="AD83" s="13">
        <f t="shared" si="21"/>
        <v>9</v>
      </c>
      <c r="AE83" s="13">
        <f t="shared" si="21"/>
        <v>21</v>
      </c>
      <c r="AF83" s="13">
        <f t="shared" si="21"/>
        <v>18</v>
      </c>
      <c r="AG83" s="13">
        <f t="shared" si="21"/>
        <v>20</v>
      </c>
      <c r="AH83" s="13">
        <f t="shared" si="21"/>
        <v>6</v>
      </c>
      <c r="AI83" s="13">
        <f t="shared" si="21"/>
        <v>8</v>
      </c>
      <c r="AJ83" s="13">
        <f t="shared" si="21"/>
        <v>48</v>
      </c>
      <c r="AK83" s="13">
        <f t="shared" si="21"/>
        <v>40</v>
      </c>
      <c r="AL83" s="13">
        <f t="shared" si="21"/>
        <v>6</v>
      </c>
      <c r="AM83" s="13">
        <f t="shared" si="21"/>
        <v>775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0.0</v>
      </c>
      <c r="F85" s="19">
        <v>3.0</v>
      </c>
      <c r="G85" s="19">
        <v>0.0</v>
      </c>
      <c r="H85" s="19">
        <v>0.0</v>
      </c>
      <c r="I85" s="19">
        <v>1.0</v>
      </c>
      <c r="J85" s="19">
        <v>0.0</v>
      </c>
      <c r="K85" s="19">
        <v>1.0</v>
      </c>
      <c r="L85" s="19">
        <v>1.0</v>
      </c>
      <c r="M85" s="19">
        <v>0.0</v>
      </c>
      <c r="N85" s="19">
        <v>0.0</v>
      </c>
      <c r="O85" s="19">
        <v>0.0</v>
      </c>
      <c r="P85" s="19">
        <v>2.0</v>
      </c>
      <c r="Q85" s="19">
        <v>1.0</v>
      </c>
      <c r="R85" s="19">
        <v>0.0</v>
      </c>
      <c r="S85" s="19">
        <v>0.0</v>
      </c>
      <c r="T85" s="19">
        <v>2.0</v>
      </c>
      <c r="U85" s="19">
        <v>4.0</v>
      </c>
      <c r="V85" s="19">
        <v>1.0</v>
      </c>
      <c r="W85" s="19">
        <v>1.0</v>
      </c>
      <c r="X85" s="19">
        <v>0.0</v>
      </c>
      <c r="Y85" s="19">
        <v>0.0</v>
      </c>
      <c r="Z85" s="19">
        <v>2.0</v>
      </c>
      <c r="AA85" s="19">
        <v>0.0</v>
      </c>
      <c r="AB85" s="19">
        <v>1.0</v>
      </c>
      <c r="AC85" s="19">
        <v>0.0</v>
      </c>
      <c r="AD85" s="19">
        <v>0.0</v>
      </c>
      <c r="AE85" s="19">
        <v>0.0</v>
      </c>
      <c r="AF85" s="19">
        <v>0.0</v>
      </c>
      <c r="AG85" s="19">
        <v>1.0</v>
      </c>
      <c r="AH85" s="19">
        <v>0.0</v>
      </c>
      <c r="AI85" s="19">
        <v>0.0</v>
      </c>
      <c r="AJ85" s="19">
        <v>1.0</v>
      </c>
      <c r="AK85" s="19">
        <v>2.0</v>
      </c>
      <c r="AL85" s="19">
        <v>2.0</v>
      </c>
      <c r="AM85" s="13">
        <f t="shared" ref="AM85:AM92" si="22">SUM(E85:AL85)</f>
        <v>26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0.0</v>
      </c>
      <c r="F86" s="19">
        <v>1.0</v>
      </c>
      <c r="G86" s="19">
        <v>0.0</v>
      </c>
      <c r="H86" s="19">
        <v>0.0</v>
      </c>
      <c r="I86" s="19">
        <v>2.0</v>
      </c>
      <c r="J86" s="19">
        <v>2.0</v>
      </c>
      <c r="K86" s="19">
        <v>0.0</v>
      </c>
      <c r="L86" s="19">
        <v>0.0</v>
      </c>
      <c r="M86" s="19">
        <v>0.0</v>
      </c>
      <c r="N86" s="19">
        <v>1.0</v>
      </c>
      <c r="O86" s="19">
        <v>0.0</v>
      </c>
      <c r="P86" s="19">
        <v>0.0</v>
      </c>
      <c r="Q86" s="19">
        <v>0.0</v>
      </c>
      <c r="R86" s="19">
        <v>1.0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0.0</v>
      </c>
      <c r="Y86" s="19">
        <v>0.0</v>
      </c>
      <c r="Z86" s="19">
        <v>3.0</v>
      </c>
      <c r="AA86" s="19">
        <v>2.0</v>
      </c>
      <c r="AB86" s="19">
        <v>1.0</v>
      </c>
      <c r="AC86" s="19">
        <v>0.0</v>
      </c>
      <c r="AD86" s="19">
        <v>0.0</v>
      </c>
      <c r="AE86" s="19">
        <v>0.0</v>
      </c>
      <c r="AF86" s="19">
        <v>0.0</v>
      </c>
      <c r="AG86" s="19">
        <v>0.0</v>
      </c>
      <c r="AH86" s="19">
        <v>0.0</v>
      </c>
      <c r="AI86" s="19">
        <v>1.0</v>
      </c>
      <c r="AJ86" s="19">
        <v>2.0</v>
      </c>
      <c r="AK86" s="19">
        <v>1.0</v>
      </c>
      <c r="AL86" s="19">
        <v>1.0</v>
      </c>
      <c r="AM86" s="13">
        <f t="shared" si="22"/>
        <v>18</v>
      </c>
    </row>
    <row r="87" ht="12.75" customHeight="1">
      <c r="A87" s="18"/>
      <c r="B87" s="55">
        <v>2.0</v>
      </c>
      <c r="C87" s="50" t="s">
        <v>75</v>
      </c>
      <c r="D87" s="57"/>
      <c r="E87" s="19">
        <v>0.0</v>
      </c>
      <c r="F87" s="19">
        <v>0.0</v>
      </c>
      <c r="G87" s="19">
        <v>1.0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0.0</v>
      </c>
      <c r="Q87" s="19">
        <v>4.0</v>
      </c>
      <c r="R87" s="19">
        <v>1.0</v>
      </c>
      <c r="S87" s="19">
        <v>0.0</v>
      </c>
      <c r="T87" s="19">
        <v>0.0</v>
      </c>
      <c r="U87" s="19">
        <v>0.0</v>
      </c>
      <c r="V87" s="19">
        <v>0.0</v>
      </c>
      <c r="W87" s="19">
        <v>3.0</v>
      </c>
      <c r="X87" s="19">
        <v>1.0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1.0</v>
      </c>
      <c r="AF87" s="19">
        <v>1.0</v>
      </c>
      <c r="AG87" s="19">
        <v>0.0</v>
      </c>
      <c r="AH87" s="19">
        <v>1.0</v>
      </c>
      <c r="AI87" s="19">
        <v>0.0</v>
      </c>
      <c r="AJ87" s="19">
        <v>0.0</v>
      </c>
      <c r="AK87" s="19">
        <v>1.0</v>
      </c>
      <c r="AL87" s="19">
        <v>2.0</v>
      </c>
      <c r="AM87" s="13">
        <f t="shared" si="22"/>
        <v>17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0.0</v>
      </c>
      <c r="G88" s="19">
        <v>1.0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2.0</v>
      </c>
      <c r="Y88" s="19">
        <v>0.0</v>
      </c>
      <c r="Z88" s="19">
        <v>0.0</v>
      </c>
      <c r="AA88" s="19">
        <v>0.0</v>
      </c>
      <c r="AB88" s="19">
        <v>0.0</v>
      </c>
      <c r="AC88" s="19">
        <v>0.0</v>
      </c>
      <c r="AD88" s="19">
        <v>0.0</v>
      </c>
      <c r="AE88" s="19">
        <v>0.0</v>
      </c>
      <c r="AF88" s="19">
        <v>0.0</v>
      </c>
      <c r="AG88" s="19">
        <v>0.0</v>
      </c>
      <c r="AH88" s="19">
        <v>1.0</v>
      </c>
      <c r="AI88" s="19">
        <v>0.0</v>
      </c>
      <c r="AJ88" s="19">
        <v>0.0</v>
      </c>
      <c r="AK88" s="19">
        <v>0.0</v>
      </c>
      <c r="AL88" s="19">
        <v>0.0</v>
      </c>
      <c r="AM88" s="13">
        <f t="shared" si="22"/>
        <v>4</v>
      </c>
    </row>
    <row r="89" ht="12.75" customHeight="1">
      <c r="A89" s="18"/>
      <c r="B89" s="55">
        <v>4.0</v>
      </c>
      <c r="C89" s="50" t="s">
        <v>77</v>
      </c>
      <c r="D89" s="57"/>
      <c r="E89" s="19">
        <v>2.0</v>
      </c>
      <c r="F89" s="19">
        <v>0.0</v>
      </c>
      <c r="G89" s="19">
        <v>0.0</v>
      </c>
      <c r="H89" s="19">
        <v>0.0</v>
      </c>
      <c r="I89" s="19">
        <v>1.0</v>
      </c>
      <c r="J89" s="19">
        <v>2.0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9">
        <v>1.0</v>
      </c>
      <c r="Q89" s="19">
        <v>0.0</v>
      </c>
      <c r="R89" s="19">
        <v>1.0</v>
      </c>
      <c r="S89" s="19">
        <v>0.0</v>
      </c>
      <c r="T89" s="19">
        <v>1.0</v>
      </c>
      <c r="U89" s="19">
        <v>1.0</v>
      </c>
      <c r="V89" s="19">
        <v>0.0</v>
      </c>
      <c r="W89" s="19">
        <v>1.0</v>
      </c>
      <c r="X89" s="19">
        <v>0.0</v>
      </c>
      <c r="Y89" s="19">
        <v>0.0</v>
      </c>
      <c r="Z89" s="19">
        <v>0.0</v>
      </c>
      <c r="AA89" s="19">
        <v>0.0</v>
      </c>
      <c r="AB89" s="19">
        <v>0.0</v>
      </c>
      <c r="AC89" s="19">
        <v>2.0</v>
      </c>
      <c r="AD89" s="19">
        <v>0.0</v>
      </c>
      <c r="AE89" s="19">
        <v>0.0</v>
      </c>
      <c r="AF89" s="19">
        <v>1.0</v>
      </c>
      <c r="AG89" s="19">
        <v>1.0</v>
      </c>
      <c r="AH89" s="19">
        <v>0.0</v>
      </c>
      <c r="AI89" s="19">
        <v>0.0</v>
      </c>
      <c r="AJ89" s="19">
        <v>0.0</v>
      </c>
      <c r="AK89" s="19">
        <v>0.0</v>
      </c>
      <c r="AL89" s="19">
        <v>0.0</v>
      </c>
      <c r="AM89" s="13">
        <f t="shared" si="22"/>
        <v>14</v>
      </c>
    </row>
    <row r="90" ht="12.75" customHeight="1">
      <c r="A90" s="18"/>
      <c r="B90" s="55">
        <v>5.0</v>
      </c>
      <c r="C90" s="50" t="s">
        <v>78</v>
      </c>
      <c r="D90" s="57"/>
      <c r="E90" s="19">
        <v>0.0</v>
      </c>
      <c r="F90" s="19">
        <v>1.0</v>
      </c>
      <c r="G90" s="19">
        <v>0.0</v>
      </c>
      <c r="H90" s="19">
        <v>1.0</v>
      </c>
      <c r="I90" s="19">
        <v>0.0</v>
      </c>
      <c r="J90" s="19">
        <v>0.0</v>
      </c>
      <c r="K90" s="19">
        <v>1.0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0.0</v>
      </c>
      <c r="R90" s="19">
        <v>0.0</v>
      </c>
      <c r="S90" s="19">
        <v>0.0</v>
      </c>
      <c r="T90" s="19">
        <v>0.0</v>
      </c>
      <c r="U90" s="19">
        <v>0.0</v>
      </c>
      <c r="V90" s="19">
        <v>1.0</v>
      </c>
      <c r="W90" s="19">
        <v>0.0</v>
      </c>
      <c r="X90" s="19">
        <v>0.0</v>
      </c>
      <c r="Y90" s="19">
        <v>0.0</v>
      </c>
      <c r="Z90" s="19">
        <v>0.0</v>
      </c>
      <c r="AA90" s="19">
        <v>0.0</v>
      </c>
      <c r="AB90" s="19">
        <v>0.0</v>
      </c>
      <c r="AC90" s="19">
        <v>0.0</v>
      </c>
      <c r="AD90" s="19">
        <v>0.0</v>
      </c>
      <c r="AE90" s="19">
        <v>0.0</v>
      </c>
      <c r="AF90" s="19">
        <v>0.0</v>
      </c>
      <c r="AG90" s="19">
        <v>0.0</v>
      </c>
      <c r="AH90" s="19">
        <v>0.0</v>
      </c>
      <c r="AI90" s="19">
        <v>0.0</v>
      </c>
      <c r="AJ90" s="19">
        <v>0.0</v>
      </c>
      <c r="AK90" s="19">
        <v>0.0</v>
      </c>
      <c r="AL90" s="19">
        <v>0.0</v>
      </c>
      <c r="AM90" s="13">
        <f t="shared" si="22"/>
        <v>4</v>
      </c>
    </row>
    <row r="91" ht="12.75" customHeight="1">
      <c r="A91" s="18"/>
      <c r="B91" s="55">
        <v>6.0</v>
      </c>
      <c r="C91" s="50" t="s">
        <v>79</v>
      </c>
      <c r="D91" s="57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1.0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9">
        <v>0.0</v>
      </c>
      <c r="AB91" s="19">
        <v>1.0</v>
      </c>
      <c r="AC91" s="19">
        <v>0.0</v>
      </c>
      <c r="AD91" s="19">
        <v>0.0</v>
      </c>
      <c r="AE91" s="19">
        <v>0.0</v>
      </c>
      <c r="AF91" s="19">
        <v>0.0</v>
      </c>
      <c r="AG91" s="19">
        <v>0.0</v>
      </c>
      <c r="AH91" s="19">
        <v>0.0</v>
      </c>
      <c r="AI91" s="19">
        <v>0.0</v>
      </c>
      <c r="AJ91" s="19">
        <v>1.0</v>
      </c>
      <c r="AK91" s="19">
        <v>0.0</v>
      </c>
      <c r="AL91" s="19">
        <v>1.0</v>
      </c>
      <c r="AM91" s="13">
        <f t="shared" si="22"/>
        <v>4</v>
      </c>
    </row>
    <row r="92" ht="12.75" customHeight="1">
      <c r="A92" s="18"/>
      <c r="B92" s="55">
        <v>7.0</v>
      </c>
      <c r="C92" s="50" t="s">
        <v>80</v>
      </c>
      <c r="D92" s="57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0.0</v>
      </c>
      <c r="Y92" s="19">
        <v>0.0</v>
      </c>
      <c r="Z92" s="19">
        <v>0.0</v>
      </c>
      <c r="AA92" s="19">
        <v>0.0</v>
      </c>
      <c r="AB92" s="19">
        <v>0.0</v>
      </c>
      <c r="AC92" s="19">
        <v>0.0</v>
      </c>
      <c r="AD92" s="19">
        <v>0.0</v>
      </c>
      <c r="AE92" s="19">
        <v>0.0</v>
      </c>
      <c r="AF92" s="19">
        <v>0.0</v>
      </c>
      <c r="AG92" s="19">
        <v>0.0</v>
      </c>
      <c r="AH92" s="19">
        <v>0.0</v>
      </c>
      <c r="AI92" s="19">
        <v>0.0</v>
      </c>
      <c r="AJ92" s="19">
        <v>0.0</v>
      </c>
      <c r="AK92" s="19">
        <v>0.0</v>
      </c>
      <c r="AL92" s="19">
        <v>0.0</v>
      </c>
      <c r="AM92" s="13">
        <f t="shared" si="22"/>
        <v>0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AM93" si="23">SUM(E85:E92)</f>
        <v>2</v>
      </c>
      <c r="F93" s="13">
        <f t="shared" si="23"/>
        <v>5</v>
      </c>
      <c r="G93" s="13">
        <f t="shared" si="23"/>
        <v>2</v>
      </c>
      <c r="H93" s="13">
        <f t="shared" si="23"/>
        <v>1</v>
      </c>
      <c r="I93" s="13">
        <f t="shared" si="23"/>
        <v>4</v>
      </c>
      <c r="J93" s="13">
        <f t="shared" si="23"/>
        <v>4</v>
      </c>
      <c r="K93" s="13">
        <f t="shared" si="23"/>
        <v>2</v>
      </c>
      <c r="L93" s="13">
        <f t="shared" si="23"/>
        <v>1</v>
      </c>
      <c r="M93" s="13">
        <f t="shared" si="23"/>
        <v>2</v>
      </c>
      <c r="N93" s="13">
        <f t="shared" si="23"/>
        <v>1</v>
      </c>
      <c r="O93" s="13">
        <f t="shared" si="23"/>
        <v>0</v>
      </c>
      <c r="P93" s="13">
        <f t="shared" si="23"/>
        <v>3</v>
      </c>
      <c r="Q93" s="13">
        <f t="shared" si="23"/>
        <v>5</v>
      </c>
      <c r="R93" s="13">
        <f t="shared" si="23"/>
        <v>3</v>
      </c>
      <c r="S93" s="13">
        <f t="shared" si="23"/>
        <v>0</v>
      </c>
      <c r="T93" s="13">
        <f t="shared" si="23"/>
        <v>3</v>
      </c>
      <c r="U93" s="13">
        <f t="shared" si="23"/>
        <v>5</v>
      </c>
      <c r="V93" s="13">
        <f t="shared" si="23"/>
        <v>2</v>
      </c>
      <c r="W93" s="13">
        <f t="shared" si="23"/>
        <v>5</v>
      </c>
      <c r="X93" s="13">
        <f t="shared" si="23"/>
        <v>3</v>
      </c>
      <c r="Y93" s="13">
        <f t="shared" si="23"/>
        <v>0</v>
      </c>
      <c r="Z93" s="13">
        <f t="shared" si="23"/>
        <v>5</v>
      </c>
      <c r="AA93" s="13">
        <f t="shared" si="23"/>
        <v>2</v>
      </c>
      <c r="AB93" s="13">
        <f t="shared" si="23"/>
        <v>3</v>
      </c>
      <c r="AC93" s="13">
        <f t="shared" si="23"/>
        <v>2</v>
      </c>
      <c r="AD93" s="13">
        <f t="shared" si="23"/>
        <v>0</v>
      </c>
      <c r="AE93" s="13">
        <f t="shared" si="23"/>
        <v>1</v>
      </c>
      <c r="AF93" s="13">
        <f t="shared" si="23"/>
        <v>2</v>
      </c>
      <c r="AG93" s="13">
        <f t="shared" si="23"/>
        <v>2</v>
      </c>
      <c r="AH93" s="13">
        <f t="shared" si="23"/>
        <v>2</v>
      </c>
      <c r="AI93" s="13">
        <f t="shared" si="23"/>
        <v>1</v>
      </c>
      <c r="AJ93" s="13">
        <f t="shared" si="23"/>
        <v>4</v>
      </c>
      <c r="AK93" s="13">
        <f t="shared" si="23"/>
        <v>4</v>
      </c>
      <c r="AL93" s="13">
        <f t="shared" si="23"/>
        <v>6</v>
      </c>
      <c r="AM93" s="13">
        <f t="shared" si="23"/>
        <v>87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0.0</v>
      </c>
      <c r="F95" s="19">
        <v>1.0</v>
      </c>
      <c r="G95" s="19">
        <v>0.0</v>
      </c>
      <c r="H95" s="19">
        <v>1.0</v>
      </c>
      <c r="I95" s="19">
        <v>0.0</v>
      </c>
      <c r="J95" s="19">
        <v>0.0</v>
      </c>
      <c r="K95" s="19">
        <v>0.0</v>
      </c>
      <c r="L95" s="19">
        <v>1.0</v>
      </c>
      <c r="M95" s="19">
        <v>0.0</v>
      </c>
      <c r="N95" s="19">
        <v>0.0</v>
      </c>
      <c r="O95" s="19">
        <v>0.0</v>
      </c>
      <c r="P95" s="19">
        <v>0.0</v>
      </c>
      <c r="Q95" s="19">
        <v>1.0</v>
      </c>
      <c r="R95" s="19">
        <v>0.0</v>
      </c>
      <c r="S95" s="19">
        <v>0.0</v>
      </c>
      <c r="T95" s="19">
        <v>0.0</v>
      </c>
      <c r="U95" s="19">
        <v>1.0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9">
        <v>0.0</v>
      </c>
      <c r="AE95" s="19">
        <v>0.0</v>
      </c>
      <c r="AF95" s="19">
        <v>0.0</v>
      </c>
      <c r="AG95" s="19">
        <v>1.0</v>
      </c>
      <c r="AH95" s="19">
        <v>0.0</v>
      </c>
      <c r="AI95" s="19">
        <v>2.0</v>
      </c>
      <c r="AJ95" s="19">
        <v>1.0</v>
      </c>
      <c r="AK95" s="19">
        <v>2.0</v>
      </c>
      <c r="AL95" s="19">
        <v>0.0</v>
      </c>
      <c r="AM95" s="13">
        <f t="shared" ref="AM95:AM102" si="24">SUM(E95:AL95)</f>
        <v>11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1.0</v>
      </c>
      <c r="F96" s="19">
        <v>0.0</v>
      </c>
      <c r="G96" s="19">
        <v>0.0</v>
      </c>
      <c r="H96" s="19">
        <v>1.0</v>
      </c>
      <c r="I96" s="19">
        <v>1.0</v>
      </c>
      <c r="J96" s="19">
        <v>2.0</v>
      </c>
      <c r="K96" s="19">
        <v>1.0</v>
      </c>
      <c r="L96" s="19">
        <v>0.0</v>
      </c>
      <c r="M96" s="19">
        <v>0.0</v>
      </c>
      <c r="N96" s="19">
        <v>1.0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1.0</v>
      </c>
      <c r="X96" s="19">
        <v>1.0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9">
        <v>0.0</v>
      </c>
      <c r="AG96" s="19">
        <v>1.0</v>
      </c>
      <c r="AH96" s="19">
        <v>0.0</v>
      </c>
      <c r="AI96" s="19">
        <v>0.0</v>
      </c>
      <c r="AJ96" s="19">
        <v>0.0</v>
      </c>
      <c r="AK96" s="19">
        <v>1.0</v>
      </c>
      <c r="AL96" s="19">
        <v>1.0</v>
      </c>
      <c r="AM96" s="13">
        <f t="shared" si="24"/>
        <v>12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1.0</v>
      </c>
      <c r="S97" s="19">
        <v>0.0</v>
      </c>
      <c r="T97" s="19">
        <v>0.0</v>
      </c>
      <c r="U97" s="19">
        <v>0.0</v>
      </c>
      <c r="V97" s="19">
        <v>0.0</v>
      </c>
      <c r="W97" s="19">
        <v>0.0</v>
      </c>
      <c r="X97" s="19">
        <v>0.0</v>
      </c>
      <c r="Y97" s="19">
        <v>1.0</v>
      </c>
      <c r="Z97" s="19">
        <v>0.0</v>
      </c>
      <c r="AA97" s="19">
        <v>0.0</v>
      </c>
      <c r="AB97" s="19">
        <v>0.0</v>
      </c>
      <c r="AC97" s="19">
        <v>0.0</v>
      </c>
      <c r="AD97" s="19">
        <v>0.0</v>
      </c>
      <c r="AE97" s="19">
        <v>0.0</v>
      </c>
      <c r="AF97" s="19">
        <v>0.0</v>
      </c>
      <c r="AG97" s="19">
        <v>1.0</v>
      </c>
      <c r="AH97" s="19">
        <v>0.0</v>
      </c>
      <c r="AI97" s="19">
        <v>0.0</v>
      </c>
      <c r="AJ97" s="19">
        <v>0.0</v>
      </c>
      <c r="AK97" s="19">
        <v>0.0</v>
      </c>
      <c r="AL97" s="19">
        <v>0.0</v>
      </c>
      <c r="AM97" s="13">
        <f t="shared" si="24"/>
        <v>3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1.0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1.0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9">
        <v>0.0</v>
      </c>
      <c r="AG98" s="19">
        <v>0.0</v>
      </c>
      <c r="AH98" s="19">
        <v>0.0</v>
      </c>
      <c r="AI98" s="19">
        <v>0.0</v>
      </c>
      <c r="AJ98" s="19">
        <v>0.0</v>
      </c>
      <c r="AK98" s="19">
        <v>0.0</v>
      </c>
      <c r="AL98" s="19">
        <v>0.0</v>
      </c>
      <c r="AM98" s="13">
        <f t="shared" si="24"/>
        <v>2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1.0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9">
        <v>0.0</v>
      </c>
      <c r="AG99" s="19">
        <v>0.0</v>
      </c>
      <c r="AH99" s="19">
        <v>0.0</v>
      </c>
      <c r="AI99" s="19">
        <v>0.0</v>
      </c>
      <c r="AJ99" s="19">
        <v>0.0</v>
      </c>
      <c r="AK99" s="19">
        <v>0.0</v>
      </c>
      <c r="AL99" s="19">
        <v>0.0</v>
      </c>
      <c r="AM99" s="13">
        <f t="shared" si="24"/>
        <v>1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9">
        <v>0.0</v>
      </c>
      <c r="AG100" s="19">
        <v>0.0</v>
      </c>
      <c r="AH100" s="19">
        <v>0.0</v>
      </c>
      <c r="AI100" s="19">
        <v>0.0</v>
      </c>
      <c r="AJ100" s="19">
        <v>0.0</v>
      </c>
      <c r="AK100" s="19">
        <v>0.0</v>
      </c>
      <c r="AL100" s="19">
        <v>0.0</v>
      </c>
      <c r="AM100" s="13">
        <f t="shared" si="24"/>
        <v>0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9">
        <v>0.0</v>
      </c>
      <c r="Y101" s="19">
        <v>0.0</v>
      </c>
      <c r="Z101" s="19">
        <v>0.0</v>
      </c>
      <c r="AA101" s="19">
        <v>0.0</v>
      </c>
      <c r="AB101" s="19">
        <v>0.0</v>
      </c>
      <c r="AC101" s="19">
        <v>0.0</v>
      </c>
      <c r="AD101" s="19">
        <v>0.0</v>
      </c>
      <c r="AE101" s="19">
        <v>0.0</v>
      </c>
      <c r="AF101" s="19">
        <v>0.0</v>
      </c>
      <c r="AG101" s="19">
        <v>0.0</v>
      </c>
      <c r="AH101" s="19">
        <v>0.0</v>
      </c>
      <c r="AI101" s="19">
        <v>0.0</v>
      </c>
      <c r="AJ101" s="19">
        <v>0.0</v>
      </c>
      <c r="AK101" s="19">
        <v>0.0</v>
      </c>
      <c r="AL101" s="19">
        <v>0.0</v>
      </c>
      <c r="AM101" s="13">
        <f t="shared" si="24"/>
        <v>0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9">
        <v>0.0</v>
      </c>
      <c r="W102" s="19">
        <v>0.0</v>
      </c>
      <c r="X102" s="19">
        <v>0.0</v>
      </c>
      <c r="Y102" s="19">
        <v>0.0</v>
      </c>
      <c r="Z102" s="19">
        <v>0.0</v>
      </c>
      <c r="AA102" s="19">
        <v>0.0</v>
      </c>
      <c r="AB102" s="19">
        <v>0.0</v>
      </c>
      <c r="AC102" s="19">
        <v>0.0</v>
      </c>
      <c r="AD102" s="19">
        <v>1.0</v>
      </c>
      <c r="AE102" s="19">
        <v>0.0</v>
      </c>
      <c r="AF102" s="19">
        <v>0.0</v>
      </c>
      <c r="AG102" s="19">
        <v>0.0</v>
      </c>
      <c r="AH102" s="19">
        <v>0.0</v>
      </c>
      <c r="AI102" s="19">
        <v>0.0</v>
      </c>
      <c r="AJ102" s="19">
        <v>0.0</v>
      </c>
      <c r="AK102" s="19">
        <v>0.0</v>
      </c>
      <c r="AL102" s="19">
        <v>0.0</v>
      </c>
      <c r="AM102" s="13">
        <f t="shared" si="24"/>
        <v>1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M103" si="25">SUM(E95:E102)</f>
        <v>1</v>
      </c>
      <c r="F103" s="13">
        <f t="shared" si="25"/>
        <v>1</v>
      </c>
      <c r="G103" s="13">
        <f t="shared" si="25"/>
        <v>1</v>
      </c>
      <c r="H103" s="13">
        <f t="shared" si="25"/>
        <v>2</v>
      </c>
      <c r="I103" s="13">
        <f t="shared" si="25"/>
        <v>2</v>
      </c>
      <c r="J103" s="13">
        <f t="shared" si="25"/>
        <v>2</v>
      </c>
      <c r="K103" s="13">
        <f t="shared" si="25"/>
        <v>1</v>
      </c>
      <c r="L103" s="13">
        <f t="shared" si="25"/>
        <v>1</v>
      </c>
      <c r="M103" s="13">
        <f t="shared" si="25"/>
        <v>0</v>
      </c>
      <c r="N103" s="13">
        <f t="shared" si="25"/>
        <v>1</v>
      </c>
      <c r="O103" s="13">
        <f t="shared" si="25"/>
        <v>0</v>
      </c>
      <c r="P103" s="13">
        <f t="shared" si="25"/>
        <v>0</v>
      </c>
      <c r="Q103" s="13">
        <f t="shared" si="25"/>
        <v>1</v>
      </c>
      <c r="R103" s="13">
        <f t="shared" si="25"/>
        <v>1</v>
      </c>
      <c r="S103" s="13">
        <f t="shared" si="25"/>
        <v>0</v>
      </c>
      <c r="T103" s="13">
        <f t="shared" si="25"/>
        <v>0</v>
      </c>
      <c r="U103" s="13">
        <f t="shared" si="25"/>
        <v>1</v>
      </c>
      <c r="V103" s="13">
        <f t="shared" si="25"/>
        <v>0</v>
      </c>
      <c r="W103" s="13">
        <f t="shared" si="25"/>
        <v>1</v>
      </c>
      <c r="X103" s="13">
        <f t="shared" si="25"/>
        <v>1</v>
      </c>
      <c r="Y103" s="13">
        <f t="shared" si="25"/>
        <v>1</v>
      </c>
      <c r="Z103" s="13">
        <f t="shared" si="25"/>
        <v>1</v>
      </c>
      <c r="AA103" s="13">
        <f t="shared" si="25"/>
        <v>0</v>
      </c>
      <c r="AB103" s="13">
        <f t="shared" si="25"/>
        <v>0</v>
      </c>
      <c r="AC103" s="13">
        <f t="shared" si="25"/>
        <v>0</v>
      </c>
      <c r="AD103" s="13">
        <f t="shared" si="25"/>
        <v>1</v>
      </c>
      <c r="AE103" s="13">
        <f t="shared" si="25"/>
        <v>0</v>
      </c>
      <c r="AF103" s="13">
        <f t="shared" si="25"/>
        <v>0</v>
      </c>
      <c r="AG103" s="13">
        <f t="shared" si="25"/>
        <v>3</v>
      </c>
      <c r="AH103" s="13">
        <f t="shared" si="25"/>
        <v>0</v>
      </c>
      <c r="AI103" s="13">
        <f t="shared" si="25"/>
        <v>2</v>
      </c>
      <c r="AJ103" s="13">
        <f t="shared" si="25"/>
        <v>1</v>
      </c>
      <c r="AK103" s="13">
        <f t="shared" si="25"/>
        <v>3</v>
      </c>
      <c r="AL103" s="13">
        <f t="shared" si="25"/>
        <v>1</v>
      </c>
      <c r="AM103" s="13">
        <f t="shared" si="25"/>
        <v>30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1.0</v>
      </c>
      <c r="F105" s="19">
        <v>1.0</v>
      </c>
      <c r="G105" s="19">
        <v>0.0</v>
      </c>
      <c r="H105" s="19">
        <v>0.0</v>
      </c>
      <c r="I105" s="19">
        <v>0.0</v>
      </c>
      <c r="J105" s="19">
        <v>3.0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1.0</v>
      </c>
      <c r="Q105" s="19">
        <v>3.0</v>
      </c>
      <c r="R105" s="19">
        <v>0.0</v>
      </c>
      <c r="S105" s="19">
        <v>0.0</v>
      </c>
      <c r="T105" s="19">
        <v>0.0</v>
      </c>
      <c r="U105" s="19">
        <v>0.0</v>
      </c>
      <c r="V105" s="19">
        <v>1.0</v>
      </c>
      <c r="W105" s="19">
        <v>0.0</v>
      </c>
      <c r="X105" s="19">
        <v>0.0</v>
      </c>
      <c r="Y105" s="19">
        <v>0.0</v>
      </c>
      <c r="Z105" s="19">
        <v>0.0</v>
      </c>
      <c r="AA105" s="19">
        <v>1.0</v>
      </c>
      <c r="AB105" s="19">
        <v>0.0</v>
      </c>
      <c r="AC105" s="19">
        <v>1.0</v>
      </c>
      <c r="AD105" s="19">
        <v>1.0</v>
      </c>
      <c r="AE105" s="19">
        <v>0.0</v>
      </c>
      <c r="AF105" s="19">
        <v>0.0</v>
      </c>
      <c r="AG105" s="19">
        <v>3.0</v>
      </c>
      <c r="AH105" s="19">
        <v>1.0</v>
      </c>
      <c r="AI105" s="19">
        <v>1.0</v>
      </c>
      <c r="AJ105" s="19">
        <v>1.0</v>
      </c>
      <c r="AK105" s="19">
        <v>0.0</v>
      </c>
      <c r="AL105" s="19">
        <v>1.0</v>
      </c>
      <c r="AM105" s="13">
        <f t="shared" ref="AM105:AM108" si="26">SUM(E105:AL105)</f>
        <v>20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0.0</v>
      </c>
      <c r="F106" s="19">
        <v>0.0</v>
      </c>
      <c r="G106" s="19">
        <v>0.0</v>
      </c>
      <c r="H106" s="19">
        <v>1.0</v>
      </c>
      <c r="I106" s="19">
        <v>0.0</v>
      </c>
      <c r="J106" s="19">
        <v>0.0</v>
      </c>
      <c r="K106" s="19">
        <v>0.0</v>
      </c>
      <c r="L106" s="19">
        <v>1.0</v>
      </c>
      <c r="M106" s="19">
        <v>1.0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1.0</v>
      </c>
      <c r="AA106" s="19">
        <v>1.0</v>
      </c>
      <c r="AB106" s="19">
        <v>0.0</v>
      </c>
      <c r="AC106" s="19">
        <v>0.0</v>
      </c>
      <c r="AD106" s="19">
        <v>0.0</v>
      </c>
      <c r="AE106" s="19">
        <v>0.0</v>
      </c>
      <c r="AF106" s="19">
        <v>0.0</v>
      </c>
      <c r="AG106" s="19">
        <v>0.0</v>
      </c>
      <c r="AH106" s="19">
        <v>0.0</v>
      </c>
      <c r="AI106" s="19">
        <v>1.0</v>
      </c>
      <c r="AJ106" s="19">
        <v>0.0</v>
      </c>
      <c r="AK106" s="19">
        <v>0.0</v>
      </c>
      <c r="AL106" s="19">
        <v>0.0</v>
      </c>
      <c r="AM106" s="13">
        <f t="shared" si="26"/>
        <v>6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1.0</v>
      </c>
      <c r="N107" s="19">
        <v>0.0</v>
      </c>
      <c r="O107" s="19">
        <v>0.0</v>
      </c>
      <c r="P107" s="19">
        <v>0.0</v>
      </c>
      <c r="Q107" s="19">
        <v>1.0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1.0</v>
      </c>
      <c r="AE107" s="19">
        <v>0.0</v>
      </c>
      <c r="AF107" s="19">
        <v>0.0</v>
      </c>
      <c r="AG107" s="19">
        <v>1.0</v>
      </c>
      <c r="AH107" s="19">
        <v>0.0</v>
      </c>
      <c r="AI107" s="19">
        <v>0.0</v>
      </c>
      <c r="AJ107" s="19">
        <v>0.0</v>
      </c>
      <c r="AK107" s="19">
        <v>0.0</v>
      </c>
      <c r="AL107" s="19">
        <v>0.0</v>
      </c>
      <c r="AM107" s="13">
        <f t="shared" si="26"/>
        <v>4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9">
        <v>0.0</v>
      </c>
      <c r="AG108" s="19">
        <v>0.0</v>
      </c>
      <c r="AH108" s="19">
        <v>0.0</v>
      </c>
      <c r="AI108" s="19">
        <v>0.0</v>
      </c>
      <c r="AJ108" s="19">
        <v>0.0</v>
      </c>
      <c r="AK108" s="19">
        <v>0.0</v>
      </c>
      <c r="AL108" s="19">
        <v>0.0</v>
      </c>
      <c r="AM108" s="13">
        <f t="shared" si="26"/>
        <v>0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AM109" si="27">SUM(E105:E108)</f>
        <v>1</v>
      </c>
      <c r="F109" s="13">
        <f t="shared" si="27"/>
        <v>1</v>
      </c>
      <c r="G109" s="13">
        <f t="shared" si="27"/>
        <v>0</v>
      </c>
      <c r="H109" s="13">
        <f t="shared" si="27"/>
        <v>1</v>
      </c>
      <c r="I109" s="13">
        <f t="shared" si="27"/>
        <v>0</v>
      </c>
      <c r="J109" s="13">
        <f t="shared" si="27"/>
        <v>3</v>
      </c>
      <c r="K109" s="13">
        <f t="shared" si="27"/>
        <v>0</v>
      </c>
      <c r="L109" s="13">
        <f t="shared" si="27"/>
        <v>1</v>
      </c>
      <c r="M109" s="13">
        <f t="shared" si="27"/>
        <v>2</v>
      </c>
      <c r="N109" s="13">
        <f t="shared" si="27"/>
        <v>0</v>
      </c>
      <c r="O109" s="13">
        <f t="shared" si="27"/>
        <v>0</v>
      </c>
      <c r="P109" s="13">
        <f t="shared" si="27"/>
        <v>1</v>
      </c>
      <c r="Q109" s="13">
        <f t="shared" si="27"/>
        <v>4</v>
      </c>
      <c r="R109" s="13">
        <f t="shared" si="27"/>
        <v>0</v>
      </c>
      <c r="S109" s="13">
        <f t="shared" si="27"/>
        <v>0</v>
      </c>
      <c r="T109" s="13">
        <f t="shared" si="27"/>
        <v>0</v>
      </c>
      <c r="U109" s="13">
        <f t="shared" si="27"/>
        <v>0</v>
      </c>
      <c r="V109" s="13">
        <f t="shared" si="27"/>
        <v>1</v>
      </c>
      <c r="W109" s="13">
        <f t="shared" si="27"/>
        <v>0</v>
      </c>
      <c r="X109" s="13">
        <f t="shared" si="27"/>
        <v>0</v>
      </c>
      <c r="Y109" s="13">
        <f t="shared" si="27"/>
        <v>0</v>
      </c>
      <c r="Z109" s="13">
        <f t="shared" si="27"/>
        <v>1</v>
      </c>
      <c r="AA109" s="13">
        <f t="shared" si="27"/>
        <v>2</v>
      </c>
      <c r="AB109" s="13">
        <f t="shared" si="27"/>
        <v>0</v>
      </c>
      <c r="AC109" s="13">
        <f t="shared" si="27"/>
        <v>1</v>
      </c>
      <c r="AD109" s="13">
        <f t="shared" si="27"/>
        <v>2</v>
      </c>
      <c r="AE109" s="13">
        <f t="shared" si="27"/>
        <v>0</v>
      </c>
      <c r="AF109" s="13">
        <f t="shared" si="27"/>
        <v>0</v>
      </c>
      <c r="AG109" s="13">
        <f t="shared" si="27"/>
        <v>4</v>
      </c>
      <c r="AH109" s="13">
        <f t="shared" si="27"/>
        <v>1</v>
      </c>
      <c r="AI109" s="13">
        <f t="shared" si="27"/>
        <v>2</v>
      </c>
      <c r="AJ109" s="13">
        <f t="shared" si="27"/>
        <v>1</v>
      </c>
      <c r="AK109" s="13">
        <f t="shared" si="27"/>
        <v>0</v>
      </c>
      <c r="AL109" s="13">
        <f t="shared" si="27"/>
        <v>1</v>
      </c>
      <c r="AM109" s="13">
        <f t="shared" si="27"/>
        <v>30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0.0</v>
      </c>
      <c r="F111" s="19">
        <v>0.0</v>
      </c>
      <c r="G111" s="19">
        <v>1.0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1.0</v>
      </c>
      <c r="Q111" s="19">
        <v>0.0</v>
      </c>
      <c r="R111" s="19">
        <v>0.0</v>
      </c>
      <c r="S111" s="19">
        <v>1.0</v>
      </c>
      <c r="T111" s="19">
        <v>1.0</v>
      </c>
      <c r="U111" s="19">
        <v>0.0</v>
      </c>
      <c r="V111" s="19">
        <v>0.0</v>
      </c>
      <c r="W111" s="19">
        <v>0.0</v>
      </c>
      <c r="X111" s="19">
        <v>0.0</v>
      </c>
      <c r="Y111" s="19">
        <v>1.0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2.0</v>
      </c>
      <c r="AE111" s="19">
        <v>0.0</v>
      </c>
      <c r="AF111" s="19">
        <v>0.0</v>
      </c>
      <c r="AG111" s="19">
        <v>1.0</v>
      </c>
      <c r="AH111" s="19">
        <v>0.0</v>
      </c>
      <c r="AI111" s="19">
        <v>0.0</v>
      </c>
      <c r="AJ111" s="19">
        <v>0.0</v>
      </c>
      <c r="AK111" s="19">
        <v>0.0</v>
      </c>
      <c r="AL111" s="19">
        <v>0.0</v>
      </c>
      <c r="AM111" s="13">
        <f t="shared" ref="AM111:AM118" si="28">SUM(E111:AL111)</f>
        <v>8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0.0</v>
      </c>
      <c r="F112" s="19">
        <v>1.0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1.0</v>
      </c>
      <c r="O112" s="19">
        <v>0.0</v>
      </c>
      <c r="P112" s="19">
        <v>0.0</v>
      </c>
      <c r="Q112" s="19">
        <v>0.0</v>
      </c>
      <c r="R112" s="19">
        <v>1.0</v>
      </c>
      <c r="S112" s="19">
        <v>1.0</v>
      </c>
      <c r="T112" s="19">
        <v>4.0</v>
      </c>
      <c r="U112" s="19">
        <v>4.0</v>
      </c>
      <c r="V112" s="19">
        <v>3.0</v>
      </c>
      <c r="W112" s="19">
        <v>1.0</v>
      </c>
      <c r="X112" s="19">
        <v>1.0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1.0</v>
      </c>
      <c r="AF112" s="19">
        <v>0.0</v>
      </c>
      <c r="AG112" s="19">
        <v>0.0</v>
      </c>
      <c r="AH112" s="19">
        <v>0.0</v>
      </c>
      <c r="AI112" s="19">
        <v>0.0</v>
      </c>
      <c r="AJ112" s="19">
        <v>0.0</v>
      </c>
      <c r="AK112" s="19">
        <v>2.0</v>
      </c>
      <c r="AL112" s="19">
        <v>2.0</v>
      </c>
      <c r="AM112" s="13">
        <f t="shared" si="28"/>
        <v>22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0.0</v>
      </c>
      <c r="F113" s="19">
        <v>2.0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0.0</v>
      </c>
      <c r="Q113" s="19">
        <v>2.0</v>
      </c>
      <c r="R113" s="19">
        <v>0.0</v>
      </c>
      <c r="S113" s="19">
        <v>0.0</v>
      </c>
      <c r="T113" s="19">
        <v>0.0</v>
      </c>
      <c r="U113" s="19">
        <v>0.0</v>
      </c>
      <c r="V113" s="19">
        <v>0.0</v>
      </c>
      <c r="W113" s="19">
        <v>0.0</v>
      </c>
      <c r="X113" s="19">
        <v>0.0</v>
      </c>
      <c r="Y113" s="19">
        <v>0.0</v>
      </c>
      <c r="Z113" s="19">
        <v>3.0</v>
      </c>
      <c r="AA113" s="19">
        <v>0.0</v>
      </c>
      <c r="AB113" s="19">
        <v>0.0</v>
      </c>
      <c r="AC113" s="19">
        <v>0.0</v>
      </c>
      <c r="AD113" s="19">
        <v>2.0</v>
      </c>
      <c r="AE113" s="19">
        <v>0.0</v>
      </c>
      <c r="AF113" s="19">
        <v>0.0</v>
      </c>
      <c r="AG113" s="19">
        <v>1.0</v>
      </c>
      <c r="AH113" s="19">
        <v>0.0</v>
      </c>
      <c r="AI113" s="19">
        <v>0.0</v>
      </c>
      <c r="AJ113" s="19">
        <v>0.0</v>
      </c>
      <c r="AK113" s="19">
        <v>0.0</v>
      </c>
      <c r="AL113" s="19">
        <v>0.0</v>
      </c>
      <c r="AM113" s="13">
        <f t="shared" si="28"/>
        <v>10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1.0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1.0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0.0</v>
      </c>
      <c r="AB114" s="19">
        <v>0.0</v>
      </c>
      <c r="AC114" s="19">
        <v>0.0</v>
      </c>
      <c r="AD114" s="19">
        <v>0.0</v>
      </c>
      <c r="AE114" s="19">
        <v>0.0</v>
      </c>
      <c r="AF114" s="19">
        <v>0.0</v>
      </c>
      <c r="AG114" s="19">
        <v>0.0</v>
      </c>
      <c r="AH114" s="19">
        <v>0.0</v>
      </c>
      <c r="AI114" s="19">
        <v>0.0</v>
      </c>
      <c r="AJ114" s="19">
        <v>0.0</v>
      </c>
      <c r="AK114" s="19">
        <v>0.0</v>
      </c>
      <c r="AL114" s="19">
        <v>0.0</v>
      </c>
      <c r="AM114" s="13">
        <f t="shared" si="28"/>
        <v>2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0.0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0.0</v>
      </c>
      <c r="S115" s="19">
        <v>1.0</v>
      </c>
      <c r="T115" s="19">
        <v>0.0</v>
      </c>
      <c r="U115" s="19">
        <v>0.0</v>
      </c>
      <c r="V115" s="19">
        <v>0.0</v>
      </c>
      <c r="W115" s="19">
        <v>0.0</v>
      </c>
      <c r="X115" s="19">
        <v>0.0</v>
      </c>
      <c r="Y115" s="19">
        <v>0.0</v>
      </c>
      <c r="Z115" s="19">
        <v>0.0</v>
      </c>
      <c r="AA115" s="19">
        <v>0.0</v>
      </c>
      <c r="AB115" s="19">
        <v>0.0</v>
      </c>
      <c r="AC115" s="19">
        <v>0.0</v>
      </c>
      <c r="AD115" s="19">
        <v>0.0</v>
      </c>
      <c r="AE115" s="19">
        <v>0.0</v>
      </c>
      <c r="AF115" s="19">
        <v>0.0</v>
      </c>
      <c r="AG115" s="19">
        <v>0.0</v>
      </c>
      <c r="AH115" s="19">
        <v>0.0</v>
      </c>
      <c r="AI115" s="19">
        <v>0.0</v>
      </c>
      <c r="AJ115" s="19">
        <v>0.0</v>
      </c>
      <c r="AK115" s="19">
        <v>0.0</v>
      </c>
      <c r="AL115" s="19">
        <v>0.0</v>
      </c>
      <c r="AM115" s="13">
        <f t="shared" si="28"/>
        <v>1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9">
        <v>0.0</v>
      </c>
      <c r="T116" s="19">
        <v>0.0</v>
      </c>
      <c r="U116" s="19">
        <v>0.0</v>
      </c>
      <c r="V116" s="19">
        <v>0.0</v>
      </c>
      <c r="W116" s="19">
        <v>0.0</v>
      </c>
      <c r="X116" s="19">
        <v>0.0</v>
      </c>
      <c r="Y116" s="19">
        <v>0.0</v>
      </c>
      <c r="Z116" s="19">
        <v>1.0</v>
      </c>
      <c r="AA116" s="19">
        <v>0.0</v>
      </c>
      <c r="AB116" s="19">
        <v>0.0</v>
      </c>
      <c r="AC116" s="19">
        <v>0.0</v>
      </c>
      <c r="AD116" s="19">
        <v>0.0</v>
      </c>
      <c r="AE116" s="19">
        <v>0.0</v>
      </c>
      <c r="AF116" s="19">
        <v>0.0</v>
      </c>
      <c r="AG116" s="19">
        <v>0.0</v>
      </c>
      <c r="AH116" s="19">
        <v>0.0</v>
      </c>
      <c r="AI116" s="19">
        <v>0.0</v>
      </c>
      <c r="AJ116" s="19">
        <v>0.0</v>
      </c>
      <c r="AK116" s="19">
        <v>0.0</v>
      </c>
      <c r="AL116" s="19">
        <v>0.0</v>
      </c>
      <c r="AM116" s="13">
        <f t="shared" si="28"/>
        <v>1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1.0</v>
      </c>
      <c r="AD117" s="19">
        <v>0.0</v>
      </c>
      <c r="AE117" s="19">
        <v>0.0</v>
      </c>
      <c r="AF117" s="19">
        <v>0.0</v>
      </c>
      <c r="AG117" s="19">
        <v>0.0</v>
      </c>
      <c r="AH117" s="19">
        <v>0.0</v>
      </c>
      <c r="AI117" s="19">
        <v>0.0</v>
      </c>
      <c r="AJ117" s="19">
        <v>0.0</v>
      </c>
      <c r="AK117" s="19">
        <v>0.0</v>
      </c>
      <c r="AL117" s="19">
        <v>0.0</v>
      </c>
      <c r="AM117" s="13">
        <f t="shared" si="28"/>
        <v>1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1.0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9">
        <v>0.0</v>
      </c>
      <c r="AG118" s="19">
        <v>0.0</v>
      </c>
      <c r="AH118" s="19">
        <v>0.0</v>
      </c>
      <c r="AI118" s="19">
        <v>0.0</v>
      </c>
      <c r="AJ118" s="19">
        <v>0.0</v>
      </c>
      <c r="AK118" s="19">
        <v>1.0</v>
      </c>
      <c r="AL118" s="19">
        <v>0.0</v>
      </c>
      <c r="AM118" s="13">
        <f t="shared" si="28"/>
        <v>2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AM119" si="29">SUM(E111:E118)</f>
        <v>0</v>
      </c>
      <c r="F119" s="13">
        <f t="shared" si="29"/>
        <v>3</v>
      </c>
      <c r="G119" s="13">
        <f t="shared" si="29"/>
        <v>1</v>
      </c>
      <c r="H119" s="13">
        <f t="shared" si="29"/>
        <v>0</v>
      </c>
      <c r="I119" s="13">
        <f t="shared" si="29"/>
        <v>1</v>
      </c>
      <c r="J119" s="13">
        <f t="shared" si="29"/>
        <v>0</v>
      </c>
      <c r="K119" s="13">
        <f t="shared" si="29"/>
        <v>0</v>
      </c>
      <c r="L119" s="13">
        <f t="shared" si="29"/>
        <v>0</v>
      </c>
      <c r="M119" s="13">
        <f t="shared" si="29"/>
        <v>0</v>
      </c>
      <c r="N119" s="13">
        <f t="shared" si="29"/>
        <v>1</v>
      </c>
      <c r="O119" s="13">
        <f t="shared" si="29"/>
        <v>0</v>
      </c>
      <c r="P119" s="13">
        <f t="shared" si="29"/>
        <v>1</v>
      </c>
      <c r="Q119" s="13">
        <f t="shared" si="29"/>
        <v>2</v>
      </c>
      <c r="R119" s="13">
        <f t="shared" si="29"/>
        <v>1</v>
      </c>
      <c r="S119" s="13">
        <f t="shared" si="29"/>
        <v>3</v>
      </c>
      <c r="T119" s="13">
        <f t="shared" si="29"/>
        <v>6</v>
      </c>
      <c r="U119" s="13">
        <f t="shared" si="29"/>
        <v>4</v>
      </c>
      <c r="V119" s="13">
        <f t="shared" si="29"/>
        <v>3</v>
      </c>
      <c r="W119" s="13">
        <f t="shared" si="29"/>
        <v>1</v>
      </c>
      <c r="X119" s="13">
        <f t="shared" si="29"/>
        <v>1</v>
      </c>
      <c r="Y119" s="13">
        <f t="shared" si="29"/>
        <v>1</v>
      </c>
      <c r="Z119" s="13">
        <f t="shared" si="29"/>
        <v>5</v>
      </c>
      <c r="AA119" s="13">
        <f t="shared" si="29"/>
        <v>0</v>
      </c>
      <c r="AB119" s="13">
        <f t="shared" si="29"/>
        <v>0</v>
      </c>
      <c r="AC119" s="13">
        <f t="shared" si="29"/>
        <v>1</v>
      </c>
      <c r="AD119" s="13">
        <f t="shared" si="29"/>
        <v>4</v>
      </c>
      <c r="AE119" s="13">
        <f t="shared" si="29"/>
        <v>1</v>
      </c>
      <c r="AF119" s="13">
        <f t="shared" si="29"/>
        <v>0</v>
      </c>
      <c r="AG119" s="13">
        <f t="shared" si="29"/>
        <v>2</v>
      </c>
      <c r="AH119" s="13">
        <f t="shared" si="29"/>
        <v>0</v>
      </c>
      <c r="AI119" s="13">
        <f t="shared" si="29"/>
        <v>0</v>
      </c>
      <c r="AJ119" s="13">
        <f t="shared" si="29"/>
        <v>0</v>
      </c>
      <c r="AK119" s="13">
        <f t="shared" si="29"/>
        <v>3</v>
      </c>
      <c r="AL119" s="13">
        <f t="shared" si="29"/>
        <v>2</v>
      </c>
      <c r="AM119" s="13">
        <f t="shared" si="29"/>
        <v>47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9">
        <v>0.0</v>
      </c>
      <c r="AD121" s="19">
        <v>0.0</v>
      </c>
      <c r="AE121" s="19">
        <v>0.0</v>
      </c>
      <c r="AF121" s="19">
        <v>0.0</v>
      </c>
      <c r="AG121" s="19">
        <v>0.0</v>
      </c>
      <c r="AH121" s="19">
        <v>0.0</v>
      </c>
      <c r="AI121" s="19"/>
      <c r="AJ121" s="19"/>
      <c r="AK121" s="19"/>
      <c r="AL121" s="19"/>
      <c r="AM121" s="13">
        <f t="shared" ref="AM121:AM128" si="30">SUM(E121:AL121)</f>
        <v>0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1.0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9">
        <v>0.0</v>
      </c>
      <c r="AE122" s="19">
        <v>0.0</v>
      </c>
      <c r="AF122" s="19">
        <v>0.0</v>
      </c>
      <c r="AG122" s="19">
        <v>0.0</v>
      </c>
      <c r="AH122" s="19">
        <v>0.0</v>
      </c>
      <c r="AI122" s="19"/>
      <c r="AJ122" s="19"/>
      <c r="AK122" s="19"/>
      <c r="AL122" s="19"/>
      <c r="AM122" s="13">
        <f t="shared" si="30"/>
        <v>1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19">
        <v>0.0</v>
      </c>
      <c r="AG123" s="19">
        <v>0.0</v>
      </c>
      <c r="AH123" s="19">
        <v>0.0</v>
      </c>
      <c r="AI123" s="19"/>
      <c r="AJ123" s="19"/>
      <c r="AK123" s="19"/>
      <c r="AL123" s="19"/>
      <c r="AM123" s="13">
        <f t="shared" si="30"/>
        <v>0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0.0</v>
      </c>
      <c r="AA124" s="19">
        <v>0.0</v>
      </c>
      <c r="AB124" s="19">
        <v>0.0</v>
      </c>
      <c r="AC124" s="19">
        <v>0.0</v>
      </c>
      <c r="AD124" s="19">
        <v>0.0</v>
      </c>
      <c r="AE124" s="19">
        <v>0.0</v>
      </c>
      <c r="AF124" s="19">
        <v>0.0</v>
      </c>
      <c r="AG124" s="19">
        <v>0.0</v>
      </c>
      <c r="AH124" s="19">
        <v>0.0</v>
      </c>
      <c r="AI124" s="19"/>
      <c r="AJ124" s="19"/>
      <c r="AK124" s="19"/>
      <c r="AL124" s="19"/>
      <c r="AM124" s="13">
        <f t="shared" si="30"/>
        <v>0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9">
        <v>0.0</v>
      </c>
      <c r="T125" s="19">
        <v>0.0</v>
      </c>
      <c r="U125" s="19">
        <v>0.0</v>
      </c>
      <c r="V125" s="19">
        <v>0.0</v>
      </c>
      <c r="W125" s="19">
        <v>0.0</v>
      </c>
      <c r="X125" s="19">
        <v>0.0</v>
      </c>
      <c r="Y125" s="19">
        <v>0.0</v>
      </c>
      <c r="Z125" s="19">
        <v>0.0</v>
      </c>
      <c r="AA125" s="19">
        <v>0.0</v>
      </c>
      <c r="AB125" s="19">
        <v>0.0</v>
      </c>
      <c r="AC125" s="19">
        <v>0.0</v>
      </c>
      <c r="AD125" s="19">
        <v>0.0</v>
      </c>
      <c r="AE125" s="19">
        <v>0.0</v>
      </c>
      <c r="AF125" s="19">
        <v>0.0</v>
      </c>
      <c r="AG125" s="19">
        <v>0.0</v>
      </c>
      <c r="AH125" s="19">
        <v>0.0</v>
      </c>
      <c r="AI125" s="19"/>
      <c r="AJ125" s="19"/>
      <c r="AK125" s="19"/>
      <c r="AL125" s="19"/>
      <c r="AM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0.0</v>
      </c>
      <c r="T126" s="19">
        <v>0.0</v>
      </c>
      <c r="U126" s="19">
        <v>0.0</v>
      </c>
      <c r="V126" s="19">
        <v>0.0</v>
      </c>
      <c r="W126" s="19">
        <v>0.0</v>
      </c>
      <c r="X126" s="19">
        <v>0.0</v>
      </c>
      <c r="Y126" s="19">
        <v>0.0</v>
      </c>
      <c r="Z126" s="19">
        <v>0.0</v>
      </c>
      <c r="AA126" s="19">
        <v>0.0</v>
      </c>
      <c r="AB126" s="19">
        <v>0.0</v>
      </c>
      <c r="AC126" s="19">
        <v>0.0</v>
      </c>
      <c r="AD126" s="19">
        <v>0.0</v>
      </c>
      <c r="AE126" s="19">
        <v>0.0</v>
      </c>
      <c r="AF126" s="19">
        <v>0.0</v>
      </c>
      <c r="AG126" s="19">
        <v>0.0</v>
      </c>
      <c r="AH126" s="19">
        <v>0.0</v>
      </c>
      <c r="AI126" s="19"/>
      <c r="AJ126" s="19"/>
      <c r="AK126" s="19"/>
      <c r="AL126" s="19"/>
      <c r="AM126" s="13">
        <f t="shared" si="30"/>
        <v>0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9">
        <v>0.0</v>
      </c>
      <c r="T127" s="19">
        <v>0.0</v>
      </c>
      <c r="U127" s="19">
        <v>0.0</v>
      </c>
      <c r="V127" s="19">
        <v>0.0</v>
      </c>
      <c r="W127" s="19">
        <v>0.0</v>
      </c>
      <c r="X127" s="19">
        <v>0.0</v>
      </c>
      <c r="Y127" s="19">
        <v>0.0</v>
      </c>
      <c r="Z127" s="19">
        <v>0.0</v>
      </c>
      <c r="AA127" s="19">
        <v>0.0</v>
      </c>
      <c r="AB127" s="19">
        <v>0.0</v>
      </c>
      <c r="AC127" s="19">
        <v>0.0</v>
      </c>
      <c r="AD127" s="19">
        <v>0.0</v>
      </c>
      <c r="AE127" s="19">
        <v>0.0</v>
      </c>
      <c r="AF127" s="19">
        <v>0.0</v>
      </c>
      <c r="AG127" s="19">
        <v>0.0</v>
      </c>
      <c r="AH127" s="19">
        <v>0.0</v>
      </c>
      <c r="AI127" s="19"/>
      <c r="AJ127" s="19"/>
      <c r="AK127" s="19"/>
      <c r="AL127" s="19"/>
      <c r="AM127" s="13">
        <f t="shared" si="30"/>
        <v>0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9">
        <v>0.0</v>
      </c>
      <c r="T128" s="19">
        <v>0.0</v>
      </c>
      <c r="U128" s="19">
        <v>0.0</v>
      </c>
      <c r="V128" s="19">
        <v>0.0</v>
      </c>
      <c r="W128" s="19">
        <v>0.0</v>
      </c>
      <c r="X128" s="19">
        <v>0.0</v>
      </c>
      <c r="Y128" s="19">
        <v>0.0</v>
      </c>
      <c r="Z128" s="19">
        <v>0.0</v>
      </c>
      <c r="AA128" s="19">
        <v>0.0</v>
      </c>
      <c r="AB128" s="19">
        <v>0.0</v>
      </c>
      <c r="AC128" s="19">
        <v>0.0</v>
      </c>
      <c r="AD128" s="19">
        <v>0.0</v>
      </c>
      <c r="AE128" s="19">
        <v>0.0</v>
      </c>
      <c r="AF128" s="19">
        <v>0.0</v>
      </c>
      <c r="AG128" s="19">
        <v>0.0</v>
      </c>
      <c r="AH128" s="19">
        <v>0.0</v>
      </c>
      <c r="AI128" s="19"/>
      <c r="AJ128" s="19"/>
      <c r="AK128" s="19"/>
      <c r="AL128" s="19"/>
      <c r="AM128" s="13">
        <f t="shared" si="30"/>
        <v>0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AM129" si="31">SUM(E121:E128)</f>
        <v>0</v>
      </c>
      <c r="F129" s="13">
        <f t="shared" si="31"/>
        <v>0</v>
      </c>
      <c r="G129" s="13">
        <f t="shared" si="31"/>
        <v>0</v>
      </c>
      <c r="H129" s="13">
        <f t="shared" si="31"/>
        <v>0</v>
      </c>
      <c r="I129" s="13">
        <f t="shared" si="31"/>
        <v>0</v>
      </c>
      <c r="J129" s="13">
        <f t="shared" si="31"/>
        <v>0</v>
      </c>
      <c r="K129" s="13">
        <f t="shared" si="31"/>
        <v>0</v>
      </c>
      <c r="L129" s="13">
        <f t="shared" si="31"/>
        <v>0</v>
      </c>
      <c r="M129" s="13">
        <f t="shared" si="31"/>
        <v>0</v>
      </c>
      <c r="N129" s="13">
        <f t="shared" si="31"/>
        <v>0</v>
      </c>
      <c r="O129" s="13">
        <f t="shared" si="31"/>
        <v>0</v>
      </c>
      <c r="P129" s="13">
        <f t="shared" si="31"/>
        <v>0</v>
      </c>
      <c r="Q129" s="13">
        <f t="shared" si="31"/>
        <v>0</v>
      </c>
      <c r="R129" s="13">
        <f t="shared" si="31"/>
        <v>0</v>
      </c>
      <c r="S129" s="13">
        <f t="shared" si="31"/>
        <v>0</v>
      </c>
      <c r="T129" s="13">
        <f t="shared" si="31"/>
        <v>0</v>
      </c>
      <c r="U129" s="13">
        <f t="shared" si="31"/>
        <v>1</v>
      </c>
      <c r="V129" s="13">
        <f t="shared" si="31"/>
        <v>0</v>
      </c>
      <c r="W129" s="13">
        <f t="shared" si="31"/>
        <v>0</v>
      </c>
      <c r="X129" s="13">
        <f t="shared" si="31"/>
        <v>0</v>
      </c>
      <c r="Y129" s="13">
        <f t="shared" si="31"/>
        <v>0</v>
      </c>
      <c r="Z129" s="13">
        <f t="shared" si="31"/>
        <v>0</v>
      </c>
      <c r="AA129" s="13">
        <f t="shared" si="31"/>
        <v>0</v>
      </c>
      <c r="AB129" s="13">
        <f t="shared" si="31"/>
        <v>0</v>
      </c>
      <c r="AC129" s="13">
        <f t="shared" si="31"/>
        <v>0</v>
      </c>
      <c r="AD129" s="13">
        <f t="shared" si="31"/>
        <v>0</v>
      </c>
      <c r="AE129" s="13">
        <f t="shared" si="31"/>
        <v>0</v>
      </c>
      <c r="AF129" s="13">
        <f t="shared" si="31"/>
        <v>0</v>
      </c>
      <c r="AG129" s="13">
        <f t="shared" si="31"/>
        <v>0</v>
      </c>
      <c r="AH129" s="13">
        <f t="shared" si="31"/>
        <v>0</v>
      </c>
      <c r="AI129" s="13">
        <f t="shared" si="31"/>
        <v>0</v>
      </c>
      <c r="AJ129" s="13">
        <f t="shared" si="31"/>
        <v>0</v>
      </c>
      <c r="AK129" s="13">
        <f t="shared" si="31"/>
        <v>0</v>
      </c>
      <c r="AL129" s="13">
        <f t="shared" si="31"/>
        <v>0</v>
      </c>
      <c r="AM129" s="13">
        <f t="shared" si="31"/>
        <v>1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0.0</v>
      </c>
      <c r="F131" s="19">
        <v>0.0</v>
      </c>
      <c r="G131" s="19">
        <v>1.0</v>
      </c>
      <c r="H131" s="19">
        <v>0.0</v>
      </c>
      <c r="I131" s="19">
        <v>0.0</v>
      </c>
      <c r="J131" s="19">
        <v>0.0</v>
      </c>
      <c r="K131" s="19">
        <v>1.0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19">
        <v>0.0</v>
      </c>
      <c r="AG131" s="19">
        <v>0.0</v>
      </c>
      <c r="AH131" s="19">
        <v>0.0</v>
      </c>
      <c r="AI131" s="19"/>
      <c r="AJ131" s="19"/>
      <c r="AK131" s="19"/>
      <c r="AL131" s="19"/>
      <c r="AM131" s="13">
        <f t="shared" ref="AM131:AM135" si="32">SUM(E132:AL132)</f>
        <v>4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0.0</v>
      </c>
      <c r="F132" s="19">
        <v>0.0</v>
      </c>
      <c r="G132" s="19">
        <v>1.0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1.0</v>
      </c>
      <c r="AB132" s="19">
        <v>0.0</v>
      </c>
      <c r="AC132" s="19">
        <v>0.0</v>
      </c>
      <c r="AD132" s="19">
        <v>0.0</v>
      </c>
      <c r="AE132" s="19">
        <v>0.0</v>
      </c>
      <c r="AF132" s="19">
        <v>0.0</v>
      </c>
      <c r="AG132" s="19">
        <v>0.0</v>
      </c>
      <c r="AH132" s="19">
        <v>0.0</v>
      </c>
      <c r="AI132" s="19"/>
      <c r="AJ132" s="19">
        <v>1.0</v>
      </c>
      <c r="AK132" s="19"/>
      <c r="AL132" s="19"/>
      <c r="AM132" s="13">
        <f t="shared" si="32"/>
        <v>5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0.0</v>
      </c>
      <c r="G133" s="19">
        <v>0.0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9">
        <v>1.0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1.0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9">
        <v>0.0</v>
      </c>
      <c r="AG133" s="19">
        <v>0.0</v>
      </c>
      <c r="AH133" s="19">
        <v>1.0</v>
      </c>
      <c r="AI133" s="19"/>
      <c r="AJ133" s="19"/>
      <c r="AK133" s="19">
        <v>1.0</v>
      </c>
      <c r="AL133" s="19"/>
      <c r="AM133" s="13">
        <f t="shared" si="32"/>
        <v>2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1.0</v>
      </c>
      <c r="Z134" s="19">
        <v>0.0</v>
      </c>
      <c r="AA134" s="19">
        <v>0.0</v>
      </c>
      <c r="AB134" s="19">
        <v>0.0</v>
      </c>
      <c r="AC134" s="19">
        <v>1.0</v>
      </c>
      <c r="AD134" s="19">
        <v>0.0</v>
      </c>
      <c r="AE134" s="19">
        <v>0.0</v>
      </c>
      <c r="AF134" s="19">
        <v>0.0</v>
      </c>
      <c r="AG134" s="19">
        <v>0.0</v>
      </c>
      <c r="AH134" s="19">
        <v>0.0</v>
      </c>
      <c r="AI134" s="19"/>
      <c r="AJ134" s="19"/>
      <c r="AK134" s="19"/>
      <c r="AL134" s="19"/>
      <c r="AM134" s="13">
        <f t="shared" si="32"/>
        <v>3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1.0</v>
      </c>
      <c r="F135" s="19">
        <v>1.0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1.0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9">
        <v>0.0</v>
      </c>
      <c r="AG135" s="19">
        <v>0.0</v>
      </c>
      <c r="AH135" s="19">
        <v>0.0</v>
      </c>
      <c r="AI135" s="19"/>
      <c r="AJ135" s="19"/>
      <c r="AK135" s="19"/>
      <c r="AL135" s="19"/>
      <c r="AM135" s="13">
        <f t="shared" si="32"/>
        <v>16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AM136" si="33">SUM(E131:E135)</f>
        <v>1</v>
      </c>
      <c r="F136" s="13">
        <f t="shared" si="33"/>
        <v>1</v>
      </c>
      <c r="G136" s="13">
        <f t="shared" si="33"/>
        <v>2</v>
      </c>
      <c r="H136" s="13">
        <f t="shared" si="33"/>
        <v>1</v>
      </c>
      <c r="I136" s="13">
        <f t="shared" si="33"/>
        <v>0</v>
      </c>
      <c r="J136" s="13">
        <f t="shared" si="33"/>
        <v>0</v>
      </c>
      <c r="K136" s="13">
        <f t="shared" si="33"/>
        <v>1</v>
      </c>
      <c r="L136" s="13">
        <f t="shared" si="33"/>
        <v>1</v>
      </c>
      <c r="M136" s="13">
        <f t="shared" si="33"/>
        <v>1</v>
      </c>
      <c r="N136" s="13">
        <f t="shared" si="33"/>
        <v>0</v>
      </c>
      <c r="O136" s="13">
        <f t="shared" si="33"/>
        <v>0</v>
      </c>
      <c r="P136" s="13">
        <f t="shared" si="33"/>
        <v>0</v>
      </c>
      <c r="Q136" s="13">
        <f t="shared" si="33"/>
        <v>0</v>
      </c>
      <c r="R136" s="13">
        <f t="shared" si="33"/>
        <v>0</v>
      </c>
      <c r="S136" s="13">
        <f t="shared" si="33"/>
        <v>0</v>
      </c>
      <c r="T136" s="13">
        <f t="shared" si="33"/>
        <v>0</v>
      </c>
      <c r="U136" s="13">
        <f t="shared" si="33"/>
        <v>1</v>
      </c>
      <c r="V136" s="13">
        <f t="shared" si="33"/>
        <v>0</v>
      </c>
      <c r="W136" s="13">
        <f t="shared" si="33"/>
        <v>0</v>
      </c>
      <c r="X136" s="13">
        <f t="shared" si="33"/>
        <v>1</v>
      </c>
      <c r="Y136" s="13">
        <f t="shared" si="33"/>
        <v>1</v>
      </c>
      <c r="Z136" s="13">
        <f t="shared" si="33"/>
        <v>0</v>
      </c>
      <c r="AA136" s="13">
        <f t="shared" si="33"/>
        <v>1</v>
      </c>
      <c r="AB136" s="13">
        <f t="shared" si="33"/>
        <v>0</v>
      </c>
      <c r="AC136" s="13">
        <f t="shared" si="33"/>
        <v>1</v>
      </c>
      <c r="AD136" s="13">
        <f t="shared" si="33"/>
        <v>0</v>
      </c>
      <c r="AE136" s="13">
        <f t="shared" si="33"/>
        <v>0</v>
      </c>
      <c r="AF136" s="13">
        <f t="shared" si="33"/>
        <v>0</v>
      </c>
      <c r="AG136" s="13">
        <f t="shared" si="33"/>
        <v>0</v>
      </c>
      <c r="AH136" s="13">
        <f t="shared" si="33"/>
        <v>1</v>
      </c>
      <c r="AI136" s="13">
        <f t="shared" si="33"/>
        <v>0</v>
      </c>
      <c r="AJ136" s="13">
        <f t="shared" si="33"/>
        <v>1</v>
      </c>
      <c r="AK136" s="13">
        <f t="shared" si="33"/>
        <v>1</v>
      </c>
      <c r="AL136" s="13">
        <f t="shared" si="33"/>
        <v>0</v>
      </c>
      <c r="AM136" s="13">
        <f t="shared" si="33"/>
        <v>30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0.0</v>
      </c>
      <c r="F138" s="19">
        <v>1.0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1.0</v>
      </c>
      <c r="S138" s="19">
        <v>0.0</v>
      </c>
      <c r="T138" s="19">
        <v>0.0</v>
      </c>
      <c r="U138" s="19">
        <v>0.0</v>
      </c>
      <c r="V138" s="19">
        <v>1.0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0.0</v>
      </c>
      <c r="AB138" s="19">
        <v>0.0</v>
      </c>
      <c r="AC138" s="19">
        <v>0.0</v>
      </c>
      <c r="AD138" s="19">
        <v>0.0</v>
      </c>
      <c r="AE138" s="19">
        <v>0.0</v>
      </c>
      <c r="AF138" s="19">
        <v>0.0</v>
      </c>
      <c r="AG138" s="19">
        <v>0.0</v>
      </c>
      <c r="AH138" s="19">
        <v>0.0</v>
      </c>
      <c r="AI138" s="19">
        <v>0.0</v>
      </c>
      <c r="AJ138" s="19">
        <v>0.0</v>
      </c>
      <c r="AK138" s="19">
        <v>1.0</v>
      </c>
      <c r="AL138" s="19">
        <v>0.0</v>
      </c>
      <c r="AM138" s="13">
        <f t="shared" ref="AM138:AM145" si="34">SUM(E138:AL138)</f>
        <v>4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0.0</v>
      </c>
      <c r="G139" s="19">
        <v>0.0</v>
      </c>
      <c r="H139" s="19">
        <v>1.0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1.0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9">
        <v>0.0</v>
      </c>
      <c r="AD139" s="19">
        <v>0.0</v>
      </c>
      <c r="AE139" s="19">
        <v>0.0</v>
      </c>
      <c r="AF139" s="19">
        <v>0.0</v>
      </c>
      <c r="AG139" s="19">
        <v>0.0</v>
      </c>
      <c r="AH139" s="19">
        <v>1.0</v>
      </c>
      <c r="AI139" s="19">
        <v>0.0</v>
      </c>
      <c r="AJ139" s="19">
        <v>0.0</v>
      </c>
      <c r="AK139" s="19">
        <v>0.0</v>
      </c>
      <c r="AL139" s="19">
        <v>0.0</v>
      </c>
      <c r="AM139" s="13">
        <f t="shared" si="34"/>
        <v>3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1.0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1.0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0.0</v>
      </c>
      <c r="AE140" s="19">
        <v>0.0</v>
      </c>
      <c r="AF140" s="19">
        <v>0.0</v>
      </c>
      <c r="AG140" s="19">
        <v>0.0</v>
      </c>
      <c r="AH140" s="19">
        <v>0.0</v>
      </c>
      <c r="AI140" s="19">
        <v>0.0</v>
      </c>
      <c r="AJ140" s="19">
        <v>0.0</v>
      </c>
      <c r="AK140" s="19">
        <v>0.0</v>
      </c>
      <c r="AL140" s="19">
        <v>0.0</v>
      </c>
      <c r="AM140" s="13">
        <f t="shared" si="34"/>
        <v>2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1.0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1.0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9">
        <v>0.0</v>
      </c>
      <c r="AG141" s="19">
        <v>0.0</v>
      </c>
      <c r="AH141" s="19">
        <v>0.0</v>
      </c>
      <c r="AI141" s="19">
        <v>0.0</v>
      </c>
      <c r="AJ141" s="19">
        <v>0.0</v>
      </c>
      <c r="AK141" s="19">
        <v>0.0</v>
      </c>
      <c r="AL141" s="19">
        <v>0.0</v>
      </c>
      <c r="AM141" s="13">
        <f t="shared" si="34"/>
        <v>2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9">
        <v>0.0</v>
      </c>
      <c r="AG142" s="19">
        <v>0.0</v>
      </c>
      <c r="AH142" s="19">
        <v>0.0</v>
      </c>
      <c r="AI142" s="19">
        <v>0.0</v>
      </c>
      <c r="AJ142" s="19">
        <v>0.0</v>
      </c>
      <c r="AK142" s="19">
        <v>0.0</v>
      </c>
      <c r="AL142" s="19">
        <v>0.0</v>
      </c>
      <c r="AM142" s="13">
        <f t="shared" si="34"/>
        <v>0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1.0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9">
        <v>0.0</v>
      </c>
      <c r="AG143" s="19">
        <v>0.0</v>
      </c>
      <c r="AH143" s="19">
        <v>0.0</v>
      </c>
      <c r="AI143" s="19">
        <v>0.0</v>
      </c>
      <c r="AJ143" s="19">
        <v>0.0</v>
      </c>
      <c r="AK143" s="19">
        <v>0.0</v>
      </c>
      <c r="AL143" s="19">
        <v>0.0</v>
      </c>
      <c r="AM143" s="13">
        <f t="shared" si="34"/>
        <v>1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9">
        <v>0.0</v>
      </c>
      <c r="AG144" s="19">
        <v>0.0</v>
      </c>
      <c r="AH144" s="19">
        <v>0.0</v>
      </c>
      <c r="AI144" s="19">
        <v>0.0</v>
      </c>
      <c r="AJ144" s="19">
        <v>0.0</v>
      </c>
      <c r="AK144" s="19">
        <v>0.0</v>
      </c>
      <c r="AL144" s="19">
        <v>0.0</v>
      </c>
      <c r="AM144" s="13">
        <f t="shared" si="34"/>
        <v>0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1.0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9">
        <v>0.0</v>
      </c>
      <c r="AG145" s="19">
        <v>0.0</v>
      </c>
      <c r="AH145" s="19">
        <v>0.0</v>
      </c>
      <c r="AI145" s="19">
        <v>0.0</v>
      </c>
      <c r="AJ145" s="19">
        <v>0.0</v>
      </c>
      <c r="AK145" s="19">
        <v>0.0</v>
      </c>
      <c r="AL145" s="19">
        <v>0.0</v>
      </c>
      <c r="AM145" s="13">
        <f t="shared" si="34"/>
        <v>1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AM146" si="35">SUM(E138:E145)</f>
        <v>0</v>
      </c>
      <c r="F146" s="13">
        <f t="shared" si="35"/>
        <v>1</v>
      </c>
      <c r="G146" s="13">
        <f t="shared" si="35"/>
        <v>1</v>
      </c>
      <c r="H146" s="13">
        <f t="shared" si="35"/>
        <v>1</v>
      </c>
      <c r="I146" s="13">
        <f t="shared" si="35"/>
        <v>0</v>
      </c>
      <c r="J146" s="13">
        <f t="shared" si="35"/>
        <v>1</v>
      </c>
      <c r="K146" s="13">
        <f t="shared" si="35"/>
        <v>0</v>
      </c>
      <c r="L146" s="13">
        <f t="shared" si="35"/>
        <v>0</v>
      </c>
      <c r="M146" s="13">
        <f t="shared" si="35"/>
        <v>0</v>
      </c>
      <c r="N146" s="13">
        <f t="shared" si="35"/>
        <v>0</v>
      </c>
      <c r="O146" s="13">
        <f t="shared" si="35"/>
        <v>0</v>
      </c>
      <c r="P146" s="13">
        <f t="shared" si="35"/>
        <v>0</v>
      </c>
      <c r="Q146" s="13">
        <f t="shared" si="35"/>
        <v>0</v>
      </c>
      <c r="R146" s="13">
        <f t="shared" si="35"/>
        <v>2</v>
      </c>
      <c r="S146" s="13">
        <f t="shared" si="35"/>
        <v>3</v>
      </c>
      <c r="T146" s="13">
        <f t="shared" si="35"/>
        <v>0</v>
      </c>
      <c r="U146" s="13">
        <f t="shared" si="35"/>
        <v>0</v>
      </c>
      <c r="V146" s="13">
        <f t="shared" si="35"/>
        <v>1</v>
      </c>
      <c r="W146" s="13">
        <f t="shared" si="35"/>
        <v>0</v>
      </c>
      <c r="X146" s="13">
        <f t="shared" si="35"/>
        <v>0</v>
      </c>
      <c r="Y146" s="13">
        <f t="shared" si="35"/>
        <v>0</v>
      </c>
      <c r="Z146" s="13">
        <f t="shared" si="35"/>
        <v>1</v>
      </c>
      <c r="AA146" s="13">
        <f t="shared" si="35"/>
        <v>0</v>
      </c>
      <c r="AB146" s="13">
        <f t="shared" si="35"/>
        <v>0</v>
      </c>
      <c r="AC146" s="13">
        <f t="shared" si="35"/>
        <v>0</v>
      </c>
      <c r="AD146" s="13">
        <f t="shared" si="35"/>
        <v>0</v>
      </c>
      <c r="AE146" s="13">
        <f t="shared" si="35"/>
        <v>0</v>
      </c>
      <c r="AF146" s="13">
        <f t="shared" si="35"/>
        <v>0</v>
      </c>
      <c r="AG146" s="13">
        <f t="shared" si="35"/>
        <v>0</v>
      </c>
      <c r="AH146" s="13">
        <f t="shared" si="35"/>
        <v>1</v>
      </c>
      <c r="AI146" s="13">
        <f t="shared" si="35"/>
        <v>0</v>
      </c>
      <c r="AJ146" s="13">
        <f t="shared" si="35"/>
        <v>0</v>
      </c>
      <c r="AK146" s="13">
        <f t="shared" si="35"/>
        <v>1</v>
      </c>
      <c r="AL146" s="13">
        <f t="shared" si="35"/>
        <v>0</v>
      </c>
      <c r="AM146" s="13">
        <f t="shared" si="35"/>
        <v>13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0.0</v>
      </c>
      <c r="F148" s="19">
        <v>0.0</v>
      </c>
      <c r="G148" s="19">
        <v>0.0</v>
      </c>
      <c r="H148" s="19">
        <v>5.0</v>
      </c>
      <c r="I148" s="19">
        <v>0.0</v>
      </c>
      <c r="J148" s="19">
        <v>3.0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2.0</v>
      </c>
      <c r="S148" s="19">
        <v>0.0</v>
      </c>
      <c r="T148" s="19">
        <v>1.0</v>
      </c>
      <c r="U148" s="19">
        <v>1.0</v>
      </c>
      <c r="V148" s="19">
        <v>0.0</v>
      </c>
      <c r="W148" s="19">
        <v>0.0</v>
      </c>
      <c r="X148" s="19">
        <v>1.0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1.0</v>
      </c>
      <c r="AE148" s="19">
        <v>0.0</v>
      </c>
      <c r="AF148" s="19">
        <v>0.0</v>
      </c>
      <c r="AG148" s="19">
        <v>0.0</v>
      </c>
      <c r="AH148" s="19">
        <v>0.0</v>
      </c>
      <c r="AI148" s="19">
        <v>0.0</v>
      </c>
      <c r="AJ148" s="19">
        <v>1.0</v>
      </c>
      <c r="AK148" s="19">
        <v>0.0</v>
      </c>
      <c r="AL148" s="19">
        <v>0.0</v>
      </c>
      <c r="AM148" s="13">
        <f t="shared" ref="AM148:AM155" si="36">SUM(E148:AL148)</f>
        <v>15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1.0</v>
      </c>
      <c r="F149" s="19">
        <v>0.0</v>
      </c>
      <c r="G149" s="19">
        <v>0.0</v>
      </c>
      <c r="H149" s="19">
        <v>1.0</v>
      </c>
      <c r="I149" s="19">
        <v>0.0</v>
      </c>
      <c r="J149" s="19">
        <v>0.0</v>
      </c>
      <c r="K149" s="19">
        <v>0.0</v>
      </c>
      <c r="L149" s="19">
        <v>0.0</v>
      </c>
      <c r="M149" s="19">
        <v>1.0</v>
      </c>
      <c r="N149" s="19">
        <v>1.0</v>
      </c>
      <c r="O149" s="19">
        <v>0.0</v>
      </c>
      <c r="P149" s="19">
        <v>0.0</v>
      </c>
      <c r="Q149" s="19">
        <v>1.0</v>
      </c>
      <c r="R149" s="19">
        <v>0.0</v>
      </c>
      <c r="S149" s="19">
        <v>1.0</v>
      </c>
      <c r="T149" s="19">
        <v>0.0</v>
      </c>
      <c r="U149" s="19">
        <v>0.0</v>
      </c>
      <c r="V149" s="19">
        <v>0.0</v>
      </c>
      <c r="W149" s="19">
        <v>0.0</v>
      </c>
      <c r="X149" s="19">
        <v>0.0</v>
      </c>
      <c r="Y149" s="19">
        <v>0.0</v>
      </c>
      <c r="Z149" s="19">
        <v>0.0</v>
      </c>
      <c r="AA149" s="19">
        <v>1.0</v>
      </c>
      <c r="AB149" s="19">
        <v>0.0</v>
      </c>
      <c r="AC149" s="19">
        <v>0.0</v>
      </c>
      <c r="AD149" s="19">
        <v>0.0</v>
      </c>
      <c r="AE149" s="19">
        <v>0.0</v>
      </c>
      <c r="AF149" s="19">
        <v>0.0</v>
      </c>
      <c r="AG149" s="19">
        <v>0.0</v>
      </c>
      <c r="AH149" s="19">
        <v>0.0</v>
      </c>
      <c r="AI149" s="19">
        <v>0.0</v>
      </c>
      <c r="AJ149" s="19">
        <v>0.0</v>
      </c>
      <c r="AK149" s="19">
        <v>0.0</v>
      </c>
      <c r="AL149" s="19">
        <v>0.0</v>
      </c>
      <c r="AM149" s="13">
        <f t="shared" si="36"/>
        <v>7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0.0</v>
      </c>
      <c r="F150" s="19">
        <v>0.0</v>
      </c>
      <c r="G150" s="19">
        <v>0.0</v>
      </c>
      <c r="H150" s="19">
        <v>1.0</v>
      </c>
      <c r="I150" s="19">
        <v>0.0</v>
      </c>
      <c r="J150" s="19">
        <v>0.0</v>
      </c>
      <c r="K150" s="19">
        <v>1.0</v>
      </c>
      <c r="L150" s="19">
        <v>0.0</v>
      </c>
      <c r="M150" s="19">
        <v>0.0</v>
      </c>
      <c r="N150" s="19">
        <v>0.0</v>
      </c>
      <c r="O150" s="19">
        <v>0.0</v>
      </c>
      <c r="P150" s="19">
        <v>0.0</v>
      </c>
      <c r="Q150" s="19">
        <v>0.0</v>
      </c>
      <c r="R150" s="19">
        <v>0.0</v>
      </c>
      <c r="S150" s="19">
        <v>0.0</v>
      </c>
      <c r="T150" s="19">
        <v>1.0</v>
      </c>
      <c r="U150" s="19">
        <v>0.0</v>
      </c>
      <c r="V150" s="19">
        <v>0.0</v>
      </c>
      <c r="W150" s="19">
        <v>0.0</v>
      </c>
      <c r="X150" s="19">
        <v>0.0</v>
      </c>
      <c r="Y150" s="19">
        <v>0.0</v>
      </c>
      <c r="Z150" s="19">
        <v>0.0</v>
      </c>
      <c r="AA150" s="19">
        <v>2.0</v>
      </c>
      <c r="AB150" s="19">
        <v>0.0</v>
      </c>
      <c r="AC150" s="19">
        <v>0.0</v>
      </c>
      <c r="AD150" s="19">
        <v>0.0</v>
      </c>
      <c r="AE150" s="19">
        <v>1.0</v>
      </c>
      <c r="AF150" s="19">
        <v>0.0</v>
      </c>
      <c r="AG150" s="19">
        <v>0.0</v>
      </c>
      <c r="AH150" s="19">
        <v>1.0</v>
      </c>
      <c r="AI150" s="19">
        <v>1.0</v>
      </c>
      <c r="AJ150" s="19">
        <v>0.0</v>
      </c>
      <c r="AK150" s="19">
        <v>0.0</v>
      </c>
      <c r="AL150" s="19">
        <v>0.0</v>
      </c>
      <c r="AM150" s="13">
        <f t="shared" si="36"/>
        <v>8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1.0</v>
      </c>
      <c r="H151" s="19">
        <v>0.0</v>
      </c>
      <c r="I151" s="19">
        <v>0.0</v>
      </c>
      <c r="J151" s="19">
        <v>0.0</v>
      </c>
      <c r="K151" s="19">
        <v>1.0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1.0</v>
      </c>
      <c r="V151" s="19">
        <v>0.0</v>
      </c>
      <c r="W151" s="19">
        <v>0.0</v>
      </c>
      <c r="X151" s="19">
        <v>0.0</v>
      </c>
      <c r="Y151" s="19">
        <v>0.0</v>
      </c>
      <c r="Z151" s="19">
        <v>0.0</v>
      </c>
      <c r="AA151" s="19">
        <v>1.0</v>
      </c>
      <c r="AB151" s="19">
        <v>0.0</v>
      </c>
      <c r="AC151" s="19">
        <v>0.0</v>
      </c>
      <c r="AD151" s="19">
        <v>0.0</v>
      </c>
      <c r="AE151" s="19">
        <v>0.0</v>
      </c>
      <c r="AF151" s="19">
        <v>0.0</v>
      </c>
      <c r="AG151" s="19">
        <v>0.0</v>
      </c>
      <c r="AH151" s="19">
        <v>0.0</v>
      </c>
      <c r="AI151" s="19">
        <v>1.0</v>
      </c>
      <c r="AJ151" s="19">
        <v>0.0</v>
      </c>
      <c r="AK151" s="19">
        <v>0.0</v>
      </c>
      <c r="AL151" s="19">
        <v>0.0</v>
      </c>
      <c r="AM151" s="13">
        <f t="shared" si="36"/>
        <v>5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1.0</v>
      </c>
      <c r="F152" s="19">
        <v>0.0</v>
      </c>
      <c r="G152" s="19">
        <v>0.0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9">
        <v>0.0</v>
      </c>
      <c r="S152" s="19">
        <v>0.0</v>
      </c>
      <c r="T152" s="19">
        <v>0.0</v>
      </c>
      <c r="U152" s="19">
        <v>0.0</v>
      </c>
      <c r="V152" s="19">
        <v>0.0</v>
      </c>
      <c r="W152" s="19">
        <v>0.0</v>
      </c>
      <c r="X152" s="19">
        <v>0.0</v>
      </c>
      <c r="Y152" s="19">
        <v>0.0</v>
      </c>
      <c r="Z152" s="19">
        <v>0.0</v>
      </c>
      <c r="AA152" s="19">
        <v>0.0</v>
      </c>
      <c r="AB152" s="19">
        <v>0.0</v>
      </c>
      <c r="AC152" s="19">
        <v>0.0</v>
      </c>
      <c r="AD152" s="19">
        <v>0.0</v>
      </c>
      <c r="AE152" s="19">
        <v>1.0</v>
      </c>
      <c r="AF152" s="19">
        <v>0.0</v>
      </c>
      <c r="AG152" s="19">
        <v>0.0</v>
      </c>
      <c r="AH152" s="19">
        <v>0.0</v>
      </c>
      <c r="AI152" s="19">
        <v>0.0</v>
      </c>
      <c r="AJ152" s="19">
        <v>0.0</v>
      </c>
      <c r="AK152" s="19">
        <v>0.0</v>
      </c>
      <c r="AL152" s="19">
        <v>0.0</v>
      </c>
      <c r="AM152" s="13">
        <f t="shared" si="36"/>
        <v>2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9">
        <v>0.0</v>
      </c>
      <c r="AG153" s="19">
        <v>0.0</v>
      </c>
      <c r="AH153" s="19">
        <v>0.0</v>
      </c>
      <c r="AI153" s="19">
        <v>0.0</v>
      </c>
      <c r="AJ153" s="19">
        <v>0.0</v>
      </c>
      <c r="AK153" s="19">
        <v>0.0</v>
      </c>
      <c r="AL153" s="19">
        <v>0.0</v>
      </c>
      <c r="AM153" s="13">
        <f t="shared" si="36"/>
        <v>0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1.0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9">
        <v>0.0</v>
      </c>
      <c r="AG154" s="19">
        <v>0.0</v>
      </c>
      <c r="AH154" s="19">
        <v>0.0</v>
      </c>
      <c r="AI154" s="19">
        <v>0.0</v>
      </c>
      <c r="AJ154" s="19">
        <v>0.0</v>
      </c>
      <c r="AK154" s="19">
        <v>0.0</v>
      </c>
      <c r="AL154" s="19">
        <v>0.0</v>
      </c>
      <c r="AM154" s="13">
        <f t="shared" si="36"/>
        <v>1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9">
        <v>0.0</v>
      </c>
      <c r="AG155" s="19">
        <v>1.0</v>
      </c>
      <c r="AH155" s="19">
        <v>0.0</v>
      </c>
      <c r="AI155" s="19">
        <v>0.0</v>
      </c>
      <c r="AJ155" s="19">
        <v>0.0</v>
      </c>
      <c r="AK155" s="19">
        <v>0.0</v>
      </c>
      <c r="AL155" s="19">
        <v>0.0</v>
      </c>
      <c r="AM155" s="13">
        <f t="shared" si="36"/>
        <v>1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AM156" si="37">SUM(E148:E155)</f>
        <v>2</v>
      </c>
      <c r="F156" s="13">
        <f t="shared" si="37"/>
        <v>0</v>
      </c>
      <c r="G156" s="13">
        <f t="shared" si="37"/>
        <v>1</v>
      </c>
      <c r="H156" s="13">
        <f t="shared" si="37"/>
        <v>7</v>
      </c>
      <c r="I156" s="13">
        <f t="shared" si="37"/>
        <v>0</v>
      </c>
      <c r="J156" s="13">
        <f t="shared" si="37"/>
        <v>3</v>
      </c>
      <c r="K156" s="13">
        <f t="shared" si="37"/>
        <v>2</v>
      </c>
      <c r="L156" s="13">
        <f t="shared" si="37"/>
        <v>0</v>
      </c>
      <c r="M156" s="13">
        <f t="shared" si="37"/>
        <v>1</v>
      </c>
      <c r="N156" s="13">
        <f t="shared" si="37"/>
        <v>2</v>
      </c>
      <c r="O156" s="13">
        <f t="shared" si="37"/>
        <v>0</v>
      </c>
      <c r="P156" s="13">
        <f t="shared" si="37"/>
        <v>0</v>
      </c>
      <c r="Q156" s="13">
        <f t="shared" si="37"/>
        <v>1</v>
      </c>
      <c r="R156" s="13">
        <f t="shared" si="37"/>
        <v>2</v>
      </c>
      <c r="S156" s="13">
        <f t="shared" si="37"/>
        <v>1</v>
      </c>
      <c r="T156" s="13">
        <f t="shared" si="37"/>
        <v>2</v>
      </c>
      <c r="U156" s="13">
        <f t="shared" si="37"/>
        <v>2</v>
      </c>
      <c r="V156" s="13">
        <f t="shared" si="37"/>
        <v>0</v>
      </c>
      <c r="W156" s="13">
        <f t="shared" si="37"/>
        <v>0</v>
      </c>
      <c r="X156" s="13">
        <f t="shared" si="37"/>
        <v>1</v>
      </c>
      <c r="Y156" s="13">
        <f t="shared" si="37"/>
        <v>0</v>
      </c>
      <c r="Z156" s="13">
        <f t="shared" si="37"/>
        <v>0</v>
      </c>
      <c r="AA156" s="13">
        <f t="shared" si="37"/>
        <v>4</v>
      </c>
      <c r="AB156" s="13">
        <f t="shared" si="37"/>
        <v>0</v>
      </c>
      <c r="AC156" s="13">
        <f t="shared" si="37"/>
        <v>0</v>
      </c>
      <c r="AD156" s="13">
        <f t="shared" si="37"/>
        <v>1</v>
      </c>
      <c r="AE156" s="13">
        <f t="shared" si="37"/>
        <v>2</v>
      </c>
      <c r="AF156" s="13">
        <f t="shared" si="37"/>
        <v>0</v>
      </c>
      <c r="AG156" s="13">
        <f t="shared" si="37"/>
        <v>1</v>
      </c>
      <c r="AH156" s="13">
        <f t="shared" si="37"/>
        <v>1</v>
      </c>
      <c r="AI156" s="13">
        <f t="shared" si="37"/>
        <v>2</v>
      </c>
      <c r="AJ156" s="13">
        <f t="shared" si="37"/>
        <v>1</v>
      </c>
      <c r="AK156" s="13">
        <f t="shared" si="37"/>
        <v>0</v>
      </c>
      <c r="AL156" s="13">
        <f t="shared" si="37"/>
        <v>0</v>
      </c>
      <c r="AM156" s="13">
        <f t="shared" si="37"/>
        <v>39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V157" s="72"/>
      <c r="W157" s="72"/>
      <c r="X157" s="72"/>
      <c r="Y157" s="72"/>
      <c r="Z157" s="72"/>
      <c r="AA157" s="72"/>
      <c r="AB157" s="72"/>
      <c r="AC157" s="72"/>
      <c r="AD157" s="72"/>
      <c r="AM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9">
        <v>0.0</v>
      </c>
      <c r="S158" s="19">
        <v>0.0</v>
      </c>
      <c r="T158" s="19">
        <v>0.0</v>
      </c>
      <c r="U158" s="19">
        <v>0.0</v>
      </c>
      <c r="V158" s="19">
        <v>0.0</v>
      </c>
      <c r="W158" s="19">
        <v>0.0</v>
      </c>
      <c r="X158" s="19">
        <v>0.0</v>
      </c>
      <c r="Y158" s="19">
        <v>0.0</v>
      </c>
      <c r="Z158" s="19">
        <v>0.0</v>
      </c>
      <c r="AA158" s="19">
        <v>0.0</v>
      </c>
      <c r="AB158" s="19">
        <v>0.0</v>
      </c>
      <c r="AC158" s="19">
        <v>0.0</v>
      </c>
      <c r="AD158" s="19">
        <v>0.0</v>
      </c>
      <c r="AE158" s="19">
        <v>0.0</v>
      </c>
      <c r="AF158" s="19">
        <v>0.0</v>
      </c>
      <c r="AG158" s="19">
        <v>0.0</v>
      </c>
      <c r="AH158" s="19">
        <v>0.0</v>
      </c>
      <c r="AI158" s="19">
        <v>0.0</v>
      </c>
      <c r="AJ158" s="19">
        <v>0.0</v>
      </c>
      <c r="AK158" s="19">
        <v>0.0</v>
      </c>
      <c r="AL158" s="19">
        <v>0.0</v>
      </c>
      <c r="AM158" s="13">
        <f t="shared" ref="AM158:AM165" si="38">SUM(E158:AL158)</f>
        <v>0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2.0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0.0</v>
      </c>
      <c r="AA159" s="19">
        <v>0.0</v>
      </c>
      <c r="AB159" s="19">
        <v>0.0</v>
      </c>
      <c r="AC159" s="19">
        <v>0.0</v>
      </c>
      <c r="AD159" s="19">
        <v>0.0</v>
      </c>
      <c r="AE159" s="19">
        <v>0.0</v>
      </c>
      <c r="AF159" s="19">
        <v>0.0</v>
      </c>
      <c r="AG159" s="19">
        <v>0.0</v>
      </c>
      <c r="AH159" s="19">
        <v>0.0</v>
      </c>
      <c r="AI159" s="19">
        <v>0.0</v>
      </c>
      <c r="AJ159" s="19">
        <v>0.0</v>
      </c>
      <c r="AK159" s="19">
        <v>0.0</v>
      </c>
      <c r="AL159" s="19">
        <v>0.0</v>
      </c>
      <c r="AM159" s="13">
        <f t="shared" si="38"/>
        <v>2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1.0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1.0</v>
      </c>
      <c r="W160" s="19">
        <v>0.0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  <c r="AC160" s="19">
        <v>0.0</v>
      </c>
      <c r="AD160" s="19">
        <v>0.0</v>
      </c>
      <c r="AE160" s="19">
        <v>0.0</v>
      </c>
      <c r="AF160" s="19">
        <v>0.0</v>
      </c>
      <c r="AG160" s="19">
        <v>0.0</v>
      </c>
      <c r="AH160" s="19">
        <v>0.0</v>
      </c>
      <c r="AI160" s="19">
        <v>0.0</v>
      </c>
      <c r="AJ160" s="19">
        <v>0.0</v>
      </c>
      <c r="AK160" s="19">
        <v>0.0</v>
      </c>
      <c r="AL160" s="19">
        <v>0.0</v>
      </c>
      <c r="AM160" s="13">
        <f t="shared" si="38"/>
        <v>2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1.0</v>
      </c>
      <c r="W161" s="19">
        <v>0.0</v>
      </c>
      <c r="X161" s="19">
        <v>0.0</v>
      </c>
      <c r="Y161" s="19">
        <v>0.0</v>
      </c>
      <c r="Z161" s="19">
        <v>0.0</v>
      </c>
      <c r="AA161" s="19">
        <v>0.0</v>
      </c>
      <c r="AB161" s="19">
        <v>0.0</v>
      </c>
      <c r="AC161" s="19">
        <v>0.0</v>
      </c>
      <c r="AD161" s="19">
        <v>0.0</v>
      </c>
      <c r="AE161" s="19">
        <v>0.0</v>
      </c>
      <c r="AF161" s="19">
        <v>0.0</v>
      </c>
      <c r="AG161" s="19">
        <v>0.0</v>
      </c>
      <c r="AH161" s="19">
        <v>0.0</v>
      </c>
      <c r="AI161" s="19">
        <v>0.0</v>
      </c>
      <c r="AJ161" s="19">
        <v>0.0</v>
      </c>
      <c r="AK161" s="19">
        <v>0.0</v>
      </c>
      <c r="AL161" s="19">
        <v>0.0</v>
      </c>
      <c r="AM161" s="13">
        <f t="shared" si="38"/>
        <v>1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0.0</v>
      </c>
      <c r="AB162" s="19">
        <v>0.0</v>
      </c>
      <c r="AC162" s="19">
        <v>0.0</v>
      </c>
      <c r="AD162" s="19">
        <v>1.0</v>
      </c>
      <c r="AE162" s="19">
        <v>0.0</v>
      </c>
      <c r="AF162" s="19">
        <v>0.0</v>
      </c>
      <c r="AG162" s="19">
        <v>0.0</v>
      </c>
      <c r="AH162" s="19">
        <v>0.0</v>
      </c>
      <c r="AI162" s="19">
        <v>0.0</v>
      </c>
      <c r="AJ162" s="19">
        <v>0.0</v>
      </c>
      <c r="AK162" s="19">
        <v>0.0</v>
      </c>
      <c r="AL162" s="19">
        <v>0.0</v>
      </c>
      <c r="AM162" s="13">
        <f t="shared" si="38"/>
        <v>1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1.0</v>
      </c>
      <c r="J163" s="19">
        <v>0.0</v>
      </c>
      <c r="K163" s="19">
        <v>1.0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1.0</v>
      </c>
      <c r="R163" s="19">
        <v>0.0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9">
        <v>0.0</v>
      </c>
      <c r="AD163" s="19">
        <v>0.0</v>
      </c>
      <c r="AE163" s="19">
        <v>0.0</v>
      </c>
      <c r="AF163" s="19">
        <v>0.0</v>
      </c>
      <c r="AG163" s="19">
        <v>0.0</v>
      </c>
      <c r="AH163" s="19">
        <v>0.0</v>
      </c>
      <c r="AI163" s="19">
        <v>0.0</v>
      </c>
      <c r="AJ163" s="19">
        <v>0.0</v>
      </c>
      <c r="AK163" s="19">
        <v>0.0</v>
      </c>
      <c r="AL163" s="19">
        <v>0.0</v>
      </c>
      <c r="AM163" s="13">
        <f t="shared" si="38"/>
        <v>3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9">
        <v>0.0</v>
      </c>
      <c r="W164" s="19">
        <v>0.0</v>
      </c>
      <c r="X164" s="19">
        <v>0.0</v>
      </c>
      <c r="Y164" s="19">
        <v>0.0</v>
      </c>
      <c r="Z164" s="19">
        <v>0.0</v>
      </c>
      <c r="AA164" s="19">
        <v>0.0</v>
      </c>
      <c r="AB164" s="19">
        <v>0.0</v>
      </c>
      <c r="AC164" s="19">
        <v>0.0</v>
      </c>
      <c r="AD164" s="19">
        <v>0.0</v>
      </c>
      <c r="AE164" s="19">
        <v>0.0</v>
      </c>
      <c r="AF164" s="19">
        <v>0.0</v>
      </c>
      <c r="AG164" s="19">
        <v>0.0</v>
      </c>
      <c r="AH164" s="19">
        <v>0.0</v>
      </c>
      <c r="AI164" s="19">
        <v>0.0</v>
      </c>
      <c r="AJ164" s="19">
        <v>0.0</v>
      </c>
      <c r="AK164" s="19">
        <v>0.0</v>
      </c>
      <c r="AL164" s="19">
        <v>0.0</v>
      </c>
      <c r="AM164" s="13">
        <f t="shared" si="38"/>
        <v>0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9">
        <v>0.0</v>
      </c>
      <c r="AG165" s="19">
        <v>0.0</v>
      </c>
      <c r="AH165" s="19">
        <v>0.0</v>
      </c>
      <c r="AI165" s="19">
        <v>0.0</v>
      </c>
      <c r="AJ165" s="19">
        <v>0.0</v>
      </c>
      <c r="AK165" s="19">
        <v>0.0</v>
      </c>
      <c r="AL165" s="19">
        <v>0.0</v>
      </c>
      <c r="AM165" s="13">
        <f t="shared" si="38"/>
        <v>0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AM166" si="39">SUM(E158:E165)</f>
        <v>1</v>
      </c>
      <c r="F166" s="13">
        <f t="shared" si="39"/>
        <v>0</v>
      </c>
      <c r="G166" s="13">
        <f t="shared" si="39"/>
        <v>0</v>
      </c>
      <c r="H166" s="13">
        <f t="shared" si="39"/>
        <v>0</v>
      </c>
      <c r="I166" s="13">
        <f t="shared" si="39"/>
        <v>1</v>
      </c>
      <c r="J166" s="13">
        <f t="shared" si="39"/>
        <v>0</v>
      </c>
      <c r="K166" s="13">
        <f t="shared" si="39"/>
        <v>1</v>
      </c>
      <c r="L166" s="13">
        <f t="shared" si="39"/>
        <v>0</v>
      </c>
      <c r="M166" s="13">
        <f t="shared" si="39"/>
        <v>0</v>
      </c>
      <c r="N166" s="13">
        <f t="shared" si="39"/>
        <v>0</v>
      </c>
      <c r="O166" s="13">
        <f t="shared" si="39"/>
        <v>0</v>
      </c>
      <c r="P166" s="13">
        <f t="shared" si="39"/>
        <v>0</v>
      </c>
      <c r="Q166" s="13">
        <f t="shared" si="39"/>
        <v>1</v>
      </c>
      <c r="R166" s="13">
        <f t="shared" si="39"/>
        <v>0</v>
      </c>
      <c r="S166" s="13">
        <f t="shared" si="39"/>
        <v>0</v>
      </c>
      <c r="T166" s="13">
        <f t="shared" si="39"/>
        <v>2</v>
      </c>
      <c r="U166" s="13">
        <f t="shared" si="39"/>
        <v>0</v>
      </c>
      <c r="V166" s="13">
        <f t="shared" si="39"/>
        <v>2</v>
      </c>
      <c r="W166" s="13">
        <f t="shared" si="39"/>
        <v>0</v>
      </c>
      <c r="X166" s="13">
        <f t="shared" si="39"/>
        <v>0</v>
      </c>
      <c r="Y166" s="13">
        <f t="shared" si="39"/>
        <v>0</v>
      </c>
      <c r="Z166" s="13">
        <f t="shared" si="39"/>
        <v>0</v>
      </c>
      <c r="AA166" s="13">
        <f t="shared" si="39"/>
        <v>0</v>
      </c>
      <c r="AB166" s="13">
        <f t="shared" si="39"/>
        <v>0</v>
      </c>
      <c r="AC166" s="13">
        <f t="shared" si="39"/>
        <v>0</v>
      </c>
      <c r="AD166" s="13">
        <f t="shared" si="39"/>
        <v>1</v>
      </c>
      <c r="AE166" s="13">
        <f t="shared" si="39"/>
        <v>0</v>
      </c>
      <c r="AF166" s="13">
        <f t="shared" si="39"/>
        <v>0</v>
      </c>
      <c r="AG166" s="13">
        <f t="shared" si="39"/>
        <v>0</v>
      </c>
      <c r="AH166" s="13">
        <f t="shared" si="39"/>
        <v>0</v>
      </c>
      <c r="AI166" s="13">
        <f t="shared" si="39"/>
        <v>0</v>
      </c>
      <c r="AJ166" s="13">
        <f t="shared" si="39"/>
        <v>0</v>
      </c>
      <c r="AK166" s="13">
        <f t="shared" si="39"/>
        <v>0</v>
      </c>
      <c r="AL166" s="13">
        <f t="shared" si="39"/>
        <v>0</v>
      </c>
      <c r="AM166" s="13">
        <f t="shared" si="39"/>
        <v>9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2.0</v>
      </c>
      <c r="F168" s="19">
        <v>4.0</v>
      </c>
      <c r="G168" s="19">
        <v>7.0</v>
      </c>
      <c r="H168" s="19">
        <v>10.0</v>
      </c>
      <c r="I168" s="19">
        <v>9.0</v>
      </c>
      <c r="J168" s="19">
        <v>3.0</v>
      </c>
      <c r="K168" s="19">
        <v>1.0</v>
      </c>
      <c r="L168" s="19">
        <v>2.0</v>
      </c>
      <c r="M168" s="19">
        <v>8.0</v>
      </c>
      <c r="N168" s="19">
        <v>4.0</v>
      </c>
      <c r="O168" s="19">
        <v>1.0</v>
      </c>
      <c r="P168" s="19">
        <v>4.0</v>
      </c>
      <c r="Q168" s="19">
        <v>3.0</v>
      </c>
      <c r="R168" s="19">
        <v>6.0</v>
      </c>
      <c r="S168" s="19">
        <v>3.0</v>
      </c>
      <c r="T168" s="19">
        <v>11.0</v>
      </c>
      <c r="U168" s="19">
        <v>3.0</v>
      </c>
      <c r="V168" s="19">
        <v>2.0</v>
      </c>
      <c r="W168" s="19">
        <v>1.0</v>
      </c>
      <c r="X168" s="19">
        <v>2.0</v>
      </c>
      <c r="Y168" s="19">
        <v>0.0</v>
      </c>
      <c r="Z168" s="19">
        <v>0.0</v>
      </c>
      <c r="AA168" s="19">
        <v>4.0</v>
      </c>
      <c r="AB168" s="19">
        <v>4.0</v>
      </c>
      <c r="AC168" s="19">
        <v>3.0</v>
      </c>
      <c r="AD168" s="19">
        <v>2.0</v>
      </c>
      <c r="AE168" s="19">
        <v>5.0</v>
      </c>
      <c r="AF168" s="19">
        <v>6.0</v>
      </c>
      <c r="AG168" s="19">
        <v>7.0</v>
      </c>
      <c r="AH168" s="19">
        <v>5.0</v>
      </c>
      <c r="AI168" s="19">
        <v>2.0</v>
      </c>
      <c r="AJ168" s="19">
        <v>4.0</v>
      </c>
      <c r="AK168" s="19">
        <v>3.0</v>
      </c>
      <c r="AL168" s="19">
        <v>0.0</v>
      </c>
      <c r="AM168" s="13">
        <f t="shared" ref="AM168:AM175" si="40">SUM(E168:AL168)</f>
        <v>131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8.0</v>
      </c>
      <c r="F169" s="19">
        <v>4.0</v>
      </c>
      <c r="G169" s="19">
        <v>18.0</v>
      </c>
      <c r="H169" s="19">
        <v>56.0</v>
      </c>
      <c r="I169" s="19">
        <v>37.0</v>
      </c>
      <c r="J169" s="19">
        <v>26.0</v>
      </c>
      <c r="K169" s="19">
        <v>103.0</v>
      </c>
      <c r="L169" s="19">
        <v>19.0</v>
      </c>
      <c r="M169" s="19">
        <v>37.0</v>
      </c>
      <c r="N169" s="19">
        <v>5.0</v>
      </c>
      <c r="O169" s="19">
        <v>6.0</v>
      </c>
      <c r="P169" s="19">
        <v>10.0</v>
      </c>
      <c r="Q169" s="19">
        <v>15.0</v>
      </c>
      <c r="R169" s="19">
        <v>3.0</v>
      </c>
      <c r="S169" s="19">
        <v>9.0</v>
      </c>
      <c r="T169" s="19">
        <v>9.0</v>
      </c>
      <c r="U169" s="19">
        <v>7.0</v>
      </c>
      <c r="V169" s="19">
        <v>7.0</v>
      </c>
      <c r="W169" s="19">
        <v>7.0</v>
      </c>
      <c r="X169" s="19">
        <v>4.0</v>
      </c>
      <c r="Y169" s="19">
        <v>2.0</v>
      </c>
      <c r="Z169" s="19">
        <v>0.0</v>
      </c>
      <c r="AA169" s="19">
        <v>3.0</v>
      </c>
      <c r="AB169" s="19">
        <v>6.0</v>
      </c>
      <c r="AC169" s="19">
        <v>8.0</v>
      </c>
      <c r="AD169" s="19">
        <v>10.0</v>
      </c>
      <c r="AE169" s="19">
        <v>2.0</v>
      </c>
      <c r="AF169" s="19">
        <v>6.0</v>
      </c>
      <c r="AG169" s="19">
        <v>15.0</v>
      </c>
      <c r="AH169" s="19">
        <v>6.0</v>
      </c>
      <c r="AI169" s="19">
        <v>2.0</v>
      </c>
      <c r="AJ169" s="19">
        <v>3.0</v>
      </c>
      <c r="AK169" s="19">
        <v>3.0</v>
      </c>
      <c r="AL169" s="19">
        <v>6.0</v>
      </c>
      <c r="AM169" s="13">
        <f t="shared" si="40"/>
        <v>462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0.0</v>
      </c>
      <c r="F170" s="19">
        <v>4.0</v>
      </c>
      <c r="G170" s="19">
        <v>7.0</v>
      </c>
      <c r="H170" s="19">
        <v>2.0</v>
      </c>
      <c r="I170" s="19">
        <v>4.0</v>
      </c>
      <c r="J170" s="19">
        <v>0.0</v>
      </c>
      <c r="K170" s="19">
        <v>2.0</v>
      </c>
      <c r="L170" s="19">
        <v>0.0</v>
      </c>
      <c r="M170" s="19">
        <v>1.0</v>
      </c>
      <c r="N170" s="19">
        <v>1.0</v>
      </c>
      <c r="O170" s="19">
        <v>0.0</v>
      </c>
      <c r="P170" s="19">
        <v>1.0</v>
      </c>
      <c r="Q170" s="19">
        <v>1.0</v>
      </c>
      <c r="R170" s="19">
        <v>1.0</v>
      </c>
      <c r="S170" s="19">
        <v>3.0</v>
      </c>
      <c r="T170" s="19">
        <v>1.0</v>
      </c>
      <c r="U170" s="19">
        <v>0.0</v>
      </c>
      <c r="V170" s="19">
        <v>2.0</v>
      </c>
      <c r="W170" s="19">
        <v>1.0</v>
      </c>
      <c r="X170" s="19">
        <v>0.0</v>
      </c>
      <c r="Y170" s="19">
        <v>1.0</v>
      </c>
      <c r="Z170" s="19">
        <v>2.0</v>
      </c>
      <c r="AA170" s="19">
        <v>0.0</v>
      </c>
      <c r="AB170" s="19">
        <v>2.0</v>
      </c>
      <c r="AC170" s="19">
        <v>0.0</v>
      </c>
      <c r="AD170" s="19">
        <v>0.0</v>
      </c>
      <c r="AE170" s="19">
        <v>3.0</v>
      </c>
      <c r="AF170" s="19">
        <v>1.0</v>
      </c>
      <c r="AG170" s="19">
        <v>1.0</v>
      </c>
      <c r="AH170" s="19">
        <v>0.0</v>
      </c>
      <c r="AI170" s="19">
        <v>3.0</v>
      </c>
      <c r="AJ170" s="19">
        <v>1.0</v>
      </c>
      <c r="AK170" s="19">
        <v>2.0</v>
      </c>
      <c r="AL170" s="19">
        <v>2.0</v>
      </c>
      <c r="AM170" s="13">
        <f t="shared" si="40"/>
        <v>49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2.0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1.0</v>
      </c>
      <c r="T171" s="19">
        <v>0.0</v>
      </c>
      <c r="U171" s="19">
        <v>2.0</v>
      </c>
      <c r="V171" s="19">
        <v>0.0</v>
      </c>
      <c r="W171" s="19">
        <v>0.0</v>
      </c>
      <c r="X171" s="19">
        <v>1.0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1.0</v>
      </c>
      <c r="AE171" s="19">
        <v>2.0</v>
      </c>
      <c r="AF171" s="19">
        <v>2.0</v>
      </c>
      <c r="AG171" s="19">
        <v>1.0</v>
      </c>
      <c r="AH171" s="19">
        <v>1.0</v>
      </c>
      <c r="AI171" s="19">
        <v>0.0</v>
      </c>
      <c r="AJ171" s="19">
        <v>0.0</v>
      </c>
      <c r="AK171" s="19">
        <v>0.0</v>
      </c>
      <c r="AL171" s="19">
        <v>1.0</v>
      </c>
      <c r="AM171" s="13">
        <f t="shared" si="40"/>
        <v>14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1.0</v>
      </c>
      <c r="T172" s="19">
        <v>1.0</v>
      </c>
      <c r="U172" s="19">
        <v>0.0</v>
      </c>
      <c r="V172" s="19">
        <v>1.0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1.0</v>
      </c>
      <c r="AD172" s="19">
        <v>1.0</v>
      </c>
      <c r="AE172" s="19">
        <v>0.0</v>
      </c>
      <c r="AF172" s="19">
        <v>0.0</v>
      </c>
      <c r="AG172" s="19">
        <v>1.0</v>
      </c>
      <c r="AH172" s="19">
        <v>1.0</v>
      </c>
      <c r="AI172" s="19">
        <v>0.0</v>
      </c>
      <c r="AJ172" s="19">
        <v>0.0</v>
      </c>
      <c r="AK172" s="19">
        <v>0.0</v>
      </c>
      <c r="AL172" s="19">
        <v>0.0</v>
      </c>
      <c r="AM172" s="13">
        <f t="shared" si="40"/>
        <v>7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0.0</v>
      </c>
      <c r="F173" s="19">
        <v>0.0</v>
      </c>
      <c r="G173" s="19">
        <v>0.0</v>
      </c>
      <c r="H173" s="19">
        <v>0.0</v>
      </c>
      <c r="I173" s="19">
        <v>0.0</v>
      </c>
      <c r="J173" s="19">
        <v>0.0</v>
      </c>
      <c r="K173" s="19">
        <v>0.0</v>
      </c>
      <c r="L173" s="19">
        <v>0.0</v>
      </c>
      <c r="M173" s="19">
        <v>0.0</v>
      </c>
      <c r="N173" s="19">
        <v>0.0</v>
      </c>
      <c r="O173" s="19">
        <v>0.0</v>
      </c>
      <c r="P173" s="19">
        <v>0.0</v>
      </c>
      <c r="Q173" s="19">
        <v>0.0</v>
      </c>
      <c r="R173" s="19">
        <v>0.0</v>
      </c>
      <c r="S173" s="19">
        <v>1.0</v>
      </c>
      <c r="T173" s="19">
        <v>0.0</v>
      </c>
      <c r="U173" s="19">
        <v>0.0</v>
      </c>
      <c r="V173" s="19">
        <v>1.0</v>
      </c>
      <c r="W173" s="19">
        <v>0.0</v>
      </c>
      <c r="X173" s="19">
        <v>0.0</v>
      </c>
      <c r="Y173" s="19">
        <v>0.0</v>
      </c>
      <c r="Z173" s="19">
        <v>0.0</v>
      </c>
      <c r="AA173" s="19">
        <v>0.0</v>
      </c>
      <c r="AB173" s="19">
        <v>0.0</v>
      </c>
      <c r="AC173" s="19">
        <v>0.0</v>
      </c>
      <c r="AD173" s="19">
        <v>0.0</v>
      </c>
      <c r="AE173" s="19">
        <v>1.0</v>
      </c>
      <c r="AF173" s="19">
        <v>0.0</v>
      </c>
      <c r="AG173" s="19">
        <v>0.0</v>
      </c>
      <c r="AH173" s="19">
        <v>0.0</v>
      </c>
      <c r="AI173" s="19">
        <v>0.0</v>
      </c>
      <c r="AJ173" s="19">
        <v>0.0</v>
      </c>
      <c r="AK173" s="19">
        <v>0.0</v>
      </c>
      <c r="AL173" s="19">
        <v>0.0</v>
      </c>
      <c r="AM173" s="13">
        <f t="shared" si="40"/>
        <v>3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0.0</v>
      </c>
      <c r="F174" s="19">
        <v>0.0</v>
      </c>
      <c r="G174" s="19">
        <v>0.0</v>
      </c>
      <c r="H174" s="19">
        <v>0.0</v>
      </c>
      <c r="I174" s="19">
        <v>1.0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0.0</v>
      </c>
      <c r="AB174" s="19">
        <v>0.0</v>
      </c>
      <c r="AC174" s="19">
        <v>0.0</v>
      </c>
      <c r="AD174" s="19">
        <v>0.0</v>
      </c>
      <c r="AE174" s="19">
        <v>0.0</v>
      </c>
      <c r="AF174" s="19">
        <v>1.0</v>
      </c>
      <c r="AG174" s="19">
        <v>0.0</v>
      </c>
      <c r="AH174" s="19">
        <v>1.0</v>
      </c>
      <c r="AI174" s="19">
        <v>0.0</v>
      </c>
      <c r="AJ174" s="19">
        <v>0.0</v>
      </c>
      <c r="AK174" s="19">
        <v>0.0</v>
      </c>
      <c r="AL174" s="19">
        <v>0.0</v>
      </c>
      <c r="AM174" s="13">
        <f t="shared" si="40"/>
        <v>3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1.0</v>
      </c>
      <c r="F175" s="19">
        <v>0.0</v>
      </c>
      <c r="G175" s="19">
        <v>0.0</v>
      </c>
      <c r="H175" s="19">
        <v>0.0</v>
      </c>
      <c r="I175" s="19">
        <v>0.0</v>
      </c>
      <c r="J175" s="19">
        <v>1.0</v>
      </c>
      <c r="K175" s="19">
        <v>0.0</v>
      </c>
      <c r="L175" s="19">
        <v>0.0</v>
      </c>
      <c r="M175" s="19">
        <v>1.0</v>
      </c>
      <c r="N175" s="19">
        <v>0.0</v>
      </c>
      <c r="O175" s="19">
        <v>0.0</v>
      </c>
      <c r="P175" s="19">
        <v>2.0</v>
      </c>
      <c r="Q175" s="19">
        <v>0.0</v>
      </c>
      <c r="R175" s="19">
        <v>0.0</v>
      </c>
      <c r="S175" s="19">
        <v>0.0</v>
      </c>
      <c r="T175" s="19">
        <v>0.0</v>
      </c>
      <c r="U175" s="19">
        <v>0.0</v>
      </c>
      <c r="V175" s="19">
        <v>3.0</v>
      </c>
      <c r="W175" s="19">
        <v>0.0</v>
      </c>
      <c r="X175" s="19">
        <v>0.0</v>
      </c>
      <c r="Y175" s="19">
        <v>0.0</v>
      </c>
      <c r="Z175" s="19">
        <v>1.0</v>
      </c>
      <c r="AA175" s="19">
        <v>1.0</v>
      </c>
      <c r="AB175" s="19">
        <v>1.0</v>
      </c>
      <c r="AC175" s="19">
        <v>0.0</v>
      </c>
      <c r="AD175" s="19">
        <v>0.0</v>
      </c>
      <c r="AE175" s="19">
        <v>0.0</v>
      </c>
      <c r="AF175" s="19">
        <v>1.0</v>
      </c>
      <c r="AG175" s="19">
        <v>2.0</v>
      </c>
      <c r="AH175" s="19">
        <v>2.0</v>
      </c>
      <c r="AI175" s="19">
        <v>0.0</v>
      </c>
      <c r="AJ175" s="19">
        <v>4.0</v>
      </c>
      <c r="AK175" s="19">
        <v>0.0</v>
      </c>
      <c r="AL175" s="19">
        <v>5.0</v>
      </c>
      <c r="AM175" s="13">
        <f t="shared" si="40"/>
        <v>25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AM176" si="41">SUM(E168:E175)</f>
        <v>11</v>
      </c>
      <c r="F176" s="13">
        <f t="shared" si="41"/>
        <v>12</v>
      </c>
      <c r="G176" s="13">
        <f t="shared" si="41"/>
        <v>32</v>
      </c>
      <c r="H176" s="13">
        <f t="shared" si="41"/>
        <v>68</v>
      </c>
      <c r="I176" s="13">
        <f t="shared" si="41"/>
        <v>51</v>
      </c>
      <c r="J176" s="13">
        <f t="shared" si="41"/>
        <v>32</v>
      </c>
      <c r="K176" s="13">
        <f t="shared" si="41"/>
        <v>106</v>
      </c>
      <c r="L176" s="13">
        <f t="shared" si="41"/>
        <v>21</v>
      </c>
      <c r="M176" s="13">
        <f t="shared" si="41"/>
        <v>47</v>
      </c>
      <c r="N176" s="13">
        <f t="shared" si="41"/>
        <v>10</v>
      </c>
      <c r="O176" s="13">
        <f t="shared" si="41"/>
        <v>7</v>
      </c>
      <c r="P176" s="13">
        <f t="shared" si="41"/>
        <v>17</v>
      </c>
      <c r="Q176" s="13">
        <f t="shared" si="41"/>
        <v>19</v>
      </c>
      <c r="R176" s="13">
        <f t="shared" si="41"/>
        <v>10</v>
      </c>
      <c r="S176" s="13">
        <f t="shared" si="41"/>
        <v>18</v>
      </c>
      <c r="T176" s="13">
        <f t="shared" si="41"/>
        <v>22</v>
      </c>
      <c r="U176" s="13">
        <f t="shared" si="41"/>
        <v>12</v>
      </c>
      <c r="V176" s="13">
        <f t="shared" si="41"/>
        <v>16</v>
      </c>
      <c r="W176" s="13">
        <f t="shared" si="41"/>
        <v>9</v>
      </c>
      <c r="X176" s="13">
        <f t="shared" si="41"/>
        <v>7</v>
      </c>
      <c r="Y176" s="13">
        <f t="shared" si="41"/>
        <v>3</v>
      </c>
      <c r="Z176" s="13">
        <f t="shared" si="41"/>
        <v>3</v>
      </c>
      <c r="AA176" s="13">
        <f t="shared" si="41"/>
        <v>8</v>
      </c>
      <c r="AB176" s="13">
        <f t="shared" si="41"/>
        <v>13</v>
      </c>
      <c r="AC176" s="13">
        <f t="shared" si="41"/>
        <v>12</v>
      </c>
      <c r="AD176" s="13">
        <f t="shared" si="41"/>
        <v>14</v>
      </c>
      <c r="AE176" s="13">
        <f t="shared" si="41"/>
        <v>13</v>
      </c>
      <c r="AF176" s="13">
        <f t="shared" si="41"/>
        <v>17</v>
      </c>
      <c r="AG176" s="13">
        <f t="shared" si="41"/>
        <v>27</v>
      </c>
      <c r="AH176" s="13">
        <f t="shared" si="41"/>
        <v>16</v>
      </c>
      <c r="AI176" s="13">
        <f t="shared" si="41"/>
        <v>7</v>
      </c>
      <c r="AJ176" s="13">
        <f t="shared" si="41"/>
        <v>12</v>
      </c>
      <c r="AK176" s="13">
        <f t="shared" si="41"/>
        <v>8</v>
      </c>
      <c r="AL176" s="13">
        <f t="shared" si="41"/>
        <v>14</v>
      </c>
      <c r="AM176" s="13">
        <f t="shared" si="41"/>
        <v>694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2.0</v>
      </c>
      <c r="F178" s="19">
        <v>1.0</v>
      </c>
      <c r="G178" s="19">
        <v>2.0</v>
      </c>
      <c r="H178" s="19">
        <v>1.0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1.0</v>
      </c>
      <c r="O178" s="19">
        <v>1.0</v>
      </c>
      <c r="P178" s="19">
        <v>1.0</v>
      </c>
      <c r="Q178" s="19">
        <v>0.0</v>
      </c>
      <c r="R178" s="19">
        <v>1.0</v>
      </c>
      <c r="S178" s="19">
        <v>2.0</v>
      </c>
      <c r="T178" s="19">
        <v>0.0</v>
      </c>
      <c r="U178" s="19">
        <v>0.0</v>
      </c>
      <c r="V178" s="19">
        <v>2.0</v>
      </c>
      <c r="W178" s="19">
        <v>4.0</v>
      </c>
      <c r="X178" s="19">
        <v>1.0</v>
      </c>
      <c r="Y178" s="19">
        <v>1.0</v>
      </c>
      <c r="Z178" s="19">
        <v>1.0</v>
      </c>
      <c r="AA178" s="19">
        <v>0.0</v>
      </c>
      <c r="AB178" s="19">
        <v>0.0</v>
      </c>
      <c r="AC178" s="19">
        <v>3.0</v>
      </c>
      <c r="AD178" s="19">
        <v>3.0</v>
      </c>
      <c r="AE178" s="19">
        <v>3.0</v>
      </c>
      <c r="AF178" s="19">
        <v>0.0</v>
      </c>
      <c r="AG178" s="19">
        <v>1.0</v>
      </c>
      <c r="AH178" s="19">
        <v>1.0</v>
      </c>
      <c r="AI178" s="19">
        <v>3.0</v>
      </c>
      <c r="AJ178" s="19">
        <v>0.0</v>
      </c>
      <c r="AK178" s="19">
        <v>0.0</v>
      </c>
      <c r="AL178" s="19">
        <v>1.0</v>
      </c>
      <c r="AM178" s="13">
        <f t="shared" ref="AM178:AM185" si="42">SUM(E178:AL178)</f>
        <v>36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2.0</v>
      </c>
      <c r="F179" s="19">
        <v>1.0</v>
      </c>
      <c r="G179" s="19">
        <v>2.0</v>
      </c>
      <c r="H179" s="19">
        <v>2.0</v>
      </c>
      <c r="I179" s="19">
        <v>0.0</v>
      </c>
      <c r="J179" s="19">
        <v>2.0</v>
      </c>
      <c r="K179" s="19">
        <v>0.0</v>
      </c>
      <c r="L179" s="19">
        <v>0.0</v>
      </c>
      <c r="M179" s="19">
        <v>1.0</v>
      </c>
      <c r="N179" s="19">
        <v>0.0</v>
      </c>
      <c r="O179" s="19">
        <v>0.0</v>
      </c>
      <c r="P179" s="19">
        <v>2.0</v>
      </c>
      <c r="Q179" s="19">
        <v>0.0</v>
      </c>
      <c r="R179" s="19">
        <v>1.0</v>
      </c>
      <c r="S179" s="19">
        <v>1.0</v>
      </c>
      <c r="T179" s="19">
        <v>0.0</v>
      </c>
      <c r="U179" s="19">
        <v>0.0</v>
      </c>
      <c r="V179" s="19">
        <v>0.0</v>
      </c>
      <c r="W179" s="19">
        <v>1.0</v>
      </c>
      <c r="X179" s="19">
        <v>1.0</v>
      </c>
      <c r="Y179" s="19">
        <v>0.0</v>
      </c>
      <c r="Z179" s="19">
        <v>0.0</v>
      </c>
      <c r="AA179" s="19">
        <v>2.0</v>
      </c>
      <c r="AB179" s="19">
        <v>1.0</v>
      </c>
      <c r="AC179" s="19">
        <v>0.0</v>
      </c>
      <c r="AD179" s="19">
        <v>0.0</v>
      </c>
      <c r="AE179" s="19">
        <v>0.0</v>
      </c>
      <c r="AF179" s="19">
        <v>0.0</v>
      </c>
      <c r="AG179" s="19">
        <v>1.0</v>
      </c>
      <c r="AH179" s="19">
        <v>2.0</v>
      </c>
      <c r="AI179" s="19">
        <v>0.0</v>
      </c>
      <c r="AJ179" s="19">
        <v>0.0</v>
      </c>
      <c r="AK179" s="19">
        <v>0.0</v>
      </c>
      <c r="AL179" s="19">
        <v>1.0</v>
      </c>
      <c r="AM179" s="13">
        <f t="shared" si="42"/>
        <v>23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2.0</v>
      </c>
      <c r="F180" s="19">
        <v>2.0</v>
      </c>
      <c r="G180" s="19">
        <v>57.0</v>
      </c>
      <c r="H180" s="19">
        <v>0.0</v>
      </c>
      <c r="I180" s="19">
        <v>2.0</v>
      </c>
      <c r="J180" s="19">
        <v>0.0</v>
      </c>
      <c r="K180" s="19">
        <v>0.0</v>
      </c>
      <c r="L180" s="19">
        <v>1.0</v>
      </c>
      <c r="M180" s="19">
        <v>5.0</v>
      </c>
      <c r="N180" s="19">
        <v>1.0</v>
      </c>
      <c r="O180" s="19">
        <v>30.0</v>
      </c>
      <c r="P180" s="19">
        <v>5.0</v>
      </c>
      <c r="Q180" s="19">
        <v>27.0</v>
      </c>
      <c r="R180" s="19">
        <v>0.0</v>
      </c>
      <c r="S180" s="19">
        <v>4.0</v>
      </c>
      <c r="T180" s="19">
        <v>9.0</v>
      </c>
      <c r="U180" s="19">
        <v>1.0</v>
      </c>
      <c r="V180" s="19">
        <v>3.0</v>
      </c>
      <c r="W180" s="19">
        <v>6.0</v>
      </c>
      <c r="X180" s="19">
        <v>1.0</v>
      </c>
      <c r="Y180" s="19">
        <v>0.0</v>
      </c>
      <c r="Z180" s="19">
        <v>0.0</v>
      </c>
      <c r="AA180" s="19">
        <v>2.0</v>
      </c>
      <c r="AB180" s="19">
        <v>0.0</v>
      </c>
      <c r="AC180" s="19">
        <v>4.0</v>
      </c>
      <c r="AD180" s="19">
        <v>2.0</v>
      </c>
      <c r="AE180" s="19">
        <v>0.0</v>
      </c>
      <c r="AF180" s="19">
        <v>0.0</v>
      </c>
      <c r="AG180" s="19">
        <v>2.0</v>
      </c>
      <c r="AH180" s="19">
        <v>2.0</v>
      </c>
      <c r="AI180" s="19">
        <v>0.0</v>
      </c>
      <c r="AJ180" s="19">
        <v>2.0</v>
      </c>
      <c r="AK180" s="19">
        <v>0.0</v>
      </c>
      <c r="AL180" s="19">
        <v>1.0</v>
      </c>
      <c r="AM180" s="13">
        <f t="shared" si="42"/>
        <v>171</v>
      </c>
    </row>
    <row r="181" ht="12.75" customHeight="1">
      <c r="A181" s="18"/>
      <c r="B181" s="55">
        <v>3.0</v>
      </c>
      <c r="C181" s="63" t="s">
        <v>159</v>
      </c>
      <c r="E181" s="19">
        <v>1.0</v>
      </c>
      <c r="F181" s="19">
        <v>0.0</v>
      </c>
      <c r="G181" s="19">
        <v>0.0</v>
      </c>
      <c r="H181" s="19">
        <v>1.0</v>
      </c>
      <c r="I181" s="19">
        <v>2.0</v>
      </c>
      <c r="J181" s="19">
        <v>0.0</v>
      </c>
      <c r="K181" s="19">
        <v>0.0</v>
      </c>
      <c r="L181" s="19">
        <v>1.0</v>
      </c>
      <c r="M181" s="19">
        <v>0.0</v>
      </c>
      <c r="N181" s="19">
        <v>1.0</v>
      </c>
      <c r="O181" s="19">
        <v>0.0</v>
      </c>
      <c r="P181" s="19">
        <v>0.0</v>
      </c>
      <c r="Q181" s="19">
        <v>0.0</v>
      </c>
      <c r="R181" s="19">
        <v>1.0</v>
      </c>
      <c r="S181" s="19">
        <v>1.0</v>
      </c>
      <c r="T181" s="19">
        <v>1.0</v>
      </c>
      <c r="U181" s="19">
        <v>1.0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9">
        <v>0.0</v>
      </c>
      <c r="AG181" s="19">
        <v>0.0</v>
      </c>
      <c r="AH181" s="19">
        <v>0.0</v>
      </c>
      <c r="AI181" s="19">
        <v>0.0</v>
      </c>
      <c r="AJ181" s="19">
        <v>0.0</v>
      </c>
      <c r="AK181" s="19">
        <v>0.0</v>
      </c>
      <c r="AL181" s="19">
        <v>1.0</v>
      </c>
      <c r="AM181" s="13">
        <f t="shared" si="42"/>
        <v>11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1.0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9">
        <v>0.0</v>
      </c>
      <c r="AG182" s="19">
        <v>0.0</v>
      </c>
      <c r="AH182" s="19">
        <v>0.0</v>
      </c>
      <c r="AI182" s="19">
        <v>0.0</v>
      </c>
      <c r="AJ182" s="19">
        <v>0.0</v>
      </c>
      <c r="AK182" s="19">
        <v>0.0</v>
      </c>
      <c r="AL182" s="19">
        <v>0.0</v>
      </c>
      <c r="AM182" s="13">
        <f t="shared" si="42"/>
        <v>1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1.0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1.0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1.0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9">
        <v>0.0</v>
      </c>
      <c r="AG183" s="19">
        <v>0.0</v>
      </c>
      <c r="AH183" s="19">
        <v>0.0</v>
      </c>
      <c r="AI183" s="19">
        <v>0.0</v>
      </c>
      <c r="AJ183" s="19">
        <v>0.0</v>
      </c>
      <c r="AK183" s="19">
        <v>0.0</v>
      </c>
      <c r="AL183" s="19">
        <v>0.0</v>
      </c>
      <c r="AM183" s="13">
        <f t="shared" si="42"/>
        <v>3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0.0</v>
      </c>
      <c r="F184" s="19">
        <v>0.0</v>
      </c>
      <c r="G184" s="19">
        <v>0.0</v>
      </c>
      <c r="H184" s="19">
        <v>0.0</v>
      </c>
      <c r="I184" s="19">
        <v>1.0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9">
        <v>0.0</v>
      </c>
      <c r="AG184" s="19">
        <v>0.0</v>
      </c>
      <c r="AH184" s="19">
        <v>0.0</v>
      </c>
      <c r="AI184" s="19">
        <v>0.0</v>
      </c>
      <c r="AJ184" s="19">
        <v>0.0</v>
      </c>
      <c r="AK184" s="19">
        <v>0.0</v>
      </c>
      <c r="AL184" s="19">
        <v>0.0</v>
      </c>
      <c r="AM184" s="13">
        <f t="shared" si="42"/>
        <v>1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1.0</v>
      </c>
      <c r="N185" s="19">
        <v>0.0</v>
      </c>
      <c r="O185" s="19">
        <v>0.0</v>
      </c>
      <c r="P185" s="19">
        <v>0.0</v>
      </c>
      <c r="Q185" s="19">
        <v>0.0</v>
      </c>
      <c r="R185" s="19">
        <v>0.0</v>
      </c>
      <c r="S185" s="19">
        <v>0.0</v>
      </c>
      <c r="T185" s="19">
        <v>1.0</v>
      </c>
      <c r="U185" s="19">
        <v>1.0</v>
      </c>
      <c r="V185" s="19">
        <v>0.0</v>
      </c>
      <c r="W185" s="19">
        <v>2.0</v>
      </c>
      <c r="X185" s="19">
        <v>0.0</v>
      </c>
      <c r="Y185" s="19">
        <v>0.0</v>
      </c>
      <c r="Z185" s="19">
        <v>0.0</v>
      </c>
      <c r="AA185" s="19">
        <v>0.0</v>
      </c>
      <c r="AB185" s="19">
        <v>0.0</v>
      </c>
      <c r="AC185" s="19">
        <v>0.0</v>
      </c>
      <c r="AD185" s="19">
        <v>0.0</v>
      </c>
      <c r="AE185" s="19">
        <v>1.0</v>
      </c>
      <c r="AF185" s="19">
        <v>0.0</v>
      </c>
      <c r="AG185" s="19">
        <v>0.0</v>
      </c>
      <c r="AH185" s="19">
        <v>0.0</v>
      </c>
      <c r="AI185" s="19">
        <v>0.0</v>
      </c>
      <c r="AJ185" s="19">
        <v>0.0</v>
      </c>
      <c r="AK185" s="19">
        <v>0.0</v>
      </c>
      <c r="AL185" s="19">
        <v>0.0</v>
      </c>
      <c r="AM185" s="13">
        <f t="shared" si="42"/>
        <v>6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AM186" si="43">SUM(E178:E185)</f>
        <v>8</v>
      </c>
      <c r="F186" s="13">
        <f t="shared" si="43"/>
        <v>4</v>
      </c>
      <c r="G186" s="13">
        <f t="shared" si="43"/>
        <v>61</v>
      </c>
      <c r="H186" s="13">
        <f t="shared" si="43"/>
        <v>4</v>
      </c>
      <c r="I186" s="13">
        <f t="shared" si="43"/>
        <v>5</v>
      </c>
      <c r="J186" s="13">
        <f t="shared" si="43"/>
        <v>2</v>
      </c>
      <c r="K186" s="13">
        <f t="shared" si="43"/>
        <v>0</v>
      </c>
      <c r="L186" s="13">
        <f t="shared" si="43"/>
        <v>3</v>
      </c>
      <c r="M186" s="13">
        <f t="shared" si="43"/>
        <v>7</v>
      </c>
      <c r="N186" s="13">
        <f t="shared" si="43"/>
        <v>3</v>
      </c>
      <c r="O186" s="13">
        <f t="shared" si="43"/>
        <v>32</v>
      </c>
      <c r="P186" s="13">
        <f t="shared" si="43"/>
        <v>8</v>
      </c>
      <c r="Q186" s="13">
        <f t="shared" si="43"/>
        <v>27</v>
      </c>
      <c r="R186" s="13">
        <f t="shared" si="43"/>
        <v>3</v>
      </c>
      <c r="S186" s="13">
        <f t="shared" si="43"/>
        <v>9</v>
      </c>
      <c r="T186" s="13">
        <f t="shared" si="43"/>
        <v>11</v>
      </c>
      <c r="U186" s="13">
        <f t="shared" si="43"/>
        <v>3</v>
      </c>
      <c r="V186" s="13">
        <f t="shared" si="43"/>
        <v>5</v>
      </c>
      <c r="W186" s="13">
        <f t="shared" si="43"/>
        <v>13</v>
      </c>
      <c r="X186" s="13">
        <f t="shared" si="43"/>
        <v>3</v>
      </c>
      <c r="Y186" s="13">
        <f t="shared" si="43"/>
        <v>1</v>
      </c>
      <c r="Z186" s="13">
        <f t="shared" si="43"/>
        <v>1</v>
      </c>
      <c r="AA186" s="13">
        <f t="shared" si="43"/>
        <v>4</v>
      </c>
      <c r="AB186" s="13">
        <f t="shared" si="43"/>
        <v>1</v>
      </c>
      <c r="AC186" s="13">
        <f t="shared" si="43"/>
        <v>7</v>
      </c>
      <c r="AD186" s="13">
        <f t="shared" si="43"/>
        <v>5</v>
      </c>
      <c r="AE186" s="13">
        <f t="shared" si="43"/>
        <v>4</v>
      </c>
      <c r="AF186" s="13">
        <f t="shared" si="43"/>
        <v>0</v>
      </c>
      <c r="AG186" s="13">
        <f t="shared" si="43"/>
        <v>4</v>
      </c>
      <c r="AH186" s="13">
        <f t="shared" si="43"/>
        <v>5</v>
      </c>
      <c r="AI186" s="13">
        <f t="shared" si="43"/>
        <v>3</v>
      </c>
      <c r="AJ186" s="13">
        <f t="shared" si="43"/>
        <v>2</v>
      </c>
      <c r="AK186" s="13">
        <f t="shared" si="43"/>
        <v>0</v>
      </c>
      <c r="AL186" s="13">
        <f t="shared" si="43"/>
        <v>4</v>
      </c>
      <c r="AM186" s="13">
        <f t="shared" si="43"/>
        <v>252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0.0</v>
      </c>
      <c r="F188" s="19">
        <v>0.0</v>
      </c>
      <c r="G188" s="19">
        <v>0.0</v>
      </c>
      <c r="H188" s="19">
        <v>1.0</v>
      </c>
      <c r="I188" s="19">
        <v>0.0</v>
      </c>
      <c r="J188" s="19">
        <v>0.0</v>
      </c>
      <c r="K188" s="19">
        <v>0.0</v>
      </c>
      <c r="L188" s="19">
        <v>1.0</v>
      </c>
      <c r="M188" s="19">
        <v>0.0</v>
      </c>
      <c r="N188" s="19">
        <v>0.0</v>
      </c>
      <c r="O188" s="19">
        <v>0.0</v>
      </c>
      <c r="P188" s="19">
        <v>0.0</v>
      </c>
      <c r="Q188" s="19">
        <v>1.0</v>
      </c>
      <c r="R188" s="19">
        <v>3.0</v>
      </c>
      <c r="S188" s="19">
        <v>0.0</v>
      </c>
      <c r="T188" s="19">
        <v>0.0</v>
      </c>
      <c r="U188" s="19">
        <v>1.0</v>
      </c>
      <c r="V188" s="19">
        <v>0.0</v>
      </c>
      <c r="W188" s="19">
        <v>0.0</v>
      </c>
      <c r="X188" s="19">
        <v>0.0</v>
      </c>
      <c r="Y188" s="19">
        <v>0.0</v>
      </c>
      <c r="Z188" s="19">
        <v>0.0</v>
      </c>
      <c r="AA188" s="19">
        <v>6.0</v>
      </c>
      <c r="AB188" s="19">
        <v>3.0</v>
      </c>
      <c r="AC188" s="19">
        <v>1.0</v>
      </c>
      <c r="AD188" s="19">
        <v>0.0</v>
      </c>
      <c r="AE188" s="19">
        <v>0.0</v>
      </c>
      <c r="AF188" s="19">
        <v>0.0</v>
      </c>
      <c r="AG188" s="19">
        <v>0.0</v>
      </c>
      <c r="AH188" s="19">
        <v>0.0</v>
      </c>
      <c r="AI188" s="19">
        <v>0.0</v>
      </c>
      <c r="AJ188" s="19">
        <v>1.0</v>
      </c>
      <c r="AK188" s="19">
        <v>0.0</v>
      </c>
      <c r="AL188" s="19">
        <v>0.0</v>
      </c>
      <c r="AM188" s="13">
        <f t="shared" ref="AM188:AM195" si="44">SUM(E188:AL188)</f>
        <v>18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1.0</v>
      </c>
      <c r="F189" s="19">
        <v>0.0</v>
      </c>
      <c r="G189" s="19">
        <v>1.0</v>
      </c>
      <c r="H189" s="19">
        <v>1.0</v>
      </c>
      <c r="I189" s="19">
        <v>0.0</v>
      </c>
      <c r="J189" s="19">
        <v>0.0</v>
      </c>
      <c r="K189" s="19">
        <v>0.0</v>
      </c>
      <c r="L189" s="19">
        <v>3.0</v>
      </c>
      <c r="M189" s="19">
        <v>3.0</v>
      </c>
      <c r="N189" s="19">
        <v>0.0</v>
      </c>
      <c r="O189" s="19">
        <v>0.0</v>
      </c>
      <c r="P189" s="19">
        <v>0.0</v>
      </c>
      <c r="Q189" s="19">
        <v>1.0</v>
      </c>
      <c r="R189" s="19">
        <v>0.0</v>
      </c>
      <c r="S189" s="19">
        <v>1.0</v>
      </c>
      <c r="T189" s="19">
        <v>0.0</v>
      </c>
      <c r="U189" s="19">
        <v>1.0</v>
      </c>
      <c r="V189" s="19">
        <v>0.0</v>
      </c>
      <c r="W189" s="19">
        <v>0.0</v>
      </c>
      <c r="X189" s="19">
        <v>1.0</v>
      </c>
      <c r="Y189" s="19">
        <v>0.0</v>
      </c>
      <c r="Z189" s="19">
        <v>1.0</v>
      </c>
      <c r="AA189" s="19">
        <v>2.0</v>
      </c>
      <c r="AB189" s="19">
        <v>2.0</v>
      </c>
      <c r="AC189" s="19">
        <v>0.0</v>
      </c>
      <c r="AD189" s="19">
        <v>0.0</v>
      </c>
      <c r="AE189" s="19">
        <v>1.0</v>
      </c>
      <c r="AF189" s="19">
        <v>1.0</v>
      </c>
      <c r="AG189" s="19">
        <v>0.0</v>
      </c>
      <c r="AH189" s="19">
        <v>2.0</v>
      </c>
      <c r="AI189" s="19">
        <v>0.0</v>
      </c>
      <c r="AJ189" s="19">
        <v>0.0</v>
      </c>
      <c r="AK189" s="19">
        <v>1.0</v>
      </c>
      <c r="AL189" s="19">
        <v>1.0</v>
      </c>
      <c r="AM189" s="13">
        <f t="shared" si="44"/>
        <v>24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9">
        <v>0.0</v>
      </c>
      <c r="AG190" s="19">
        <v>0.0</v>
      </c>
      <c r="AH190" s="19">
        <v>1.0</v>
      </c>
      <c r="AI190" s="19">
        <v>0.0</v>
      </c>
      <c r="AJ190" s="19">
        <v>0.0</v>
      </c>
      <c r="AK190" s="19">
        <v>0.0</v>
      </c>
      <c r="AL190" s="19">
        <v>0.0</v>
      </c>
      <c r="AM190" s="13">
        <f t="shared" si="44"/>
        <v>1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9">
        <v>0.0</v>
      </c>
      <c r="AG191" s="19">
        <v>0.0</v>
      </c>
      <c r="AH191" s="19">
        <v>0.0</v>
      </c>
      <c r="AI191" s="19">
        <v>0.0</v>
      </c>
      <c r="AJ191" s="19">
        <v>0.0</v>
      </c>
      <c r="AK191" s="19">
        <v>0.0</v>
      </c>
      <c r="AL191" s="19">
        <v>0.0</v>
      </c>
      <c r="AM191" s="13">
        <f t="shared" si="44"/>
        <v>0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9">
        <v>0.0</v>
      </c>
      <c r="AG192" s="19">
        <v>0.0</v>
      </c>
      <c r="AH192" s="19">
        <v>0.0</v>
      </c>
      <c r="AI192" s="19">
        <v>0.0</v>
      </c>
      <c r="AJ192" s="19">
        <v>0.0</v>
      </c>
      <c r="AK192" s="19">
        <v>0.0</v>
      </c>
      <c r="AL192" s="19">
        <v>0.0</v>
      </c>
      <c r="AM192" s="13">
        <f t="shared" si="44"/>
        <v>0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1.0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9">
        <v>0.0</v>
      </c>
      <c r="AG193" s="19">
        <v>0.0</v>
      </c>
      <c r="AH193" s="19">
        <v>0.0</v>
      </c>
      <c r="AI193" s="19">
        <v>0.0</v>
      </c>
      <c r="AJ193" s="19">
        <v>0.0</v>
      </c>
      <c r="AK193" s="19">
        <v>0.0</v>
      </c>
      <c r="AL193" s="19">
        <v>0.0</v>
      </c>
      <c r="AM193" s="13">
        <f t="shared" si="44"/>
        <v>1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9">
        <v>0.0</v>
      </c>
      <c r="AG194" s="19">
        <v>0.0</v>
      </c>
      <c r="AH194" s="19">
        <v>0.0</v>
      </c>
      <c r="AI194" s="19">
        <v>0.0</v>
      </c>
      <c r="AJ194" s="19">
        <v>0.0</v>
      </c>
      <c r="AK194" s="19">
        <v>0.0</v>
      </c>
      <c r="AL194" s="19">
        <v>0.0</v>
      </c>
      <c r="AM194" s="13">
        <f t="shared" si="44"/>
        <v>0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3.0</v>
      </c>
      <c r="F195" s="19">
        <v>1.0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1.0</v>
      </c>
      <c r="W195" s="19">
        <v>1.0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1.0</v>
      </c>
      <c r="AD195" s="19">
        <v>0.0</v>
      </c>
      <c r="AE195" s="19">
        <v>0.0</v>
      </c>
      <c r="AF195" s="19">
        <v>0.0</v>
      </c>
      <c r="AG195" s="19">
        <v>0.0</v>
      </c>
      <c r="AH195" s="19">
        <v>1.0</v>
      </c>
      <c r="AI195" s="19">
        <v>0.0</v>
      </c>
      <c r="AJ195" s="19">
        <v>0.0</v>
      </c>
      <c r="AK195" s="19">
        <v>0.0</v>
      </c>
      <c r="AL195" s="19">
        <v>0.0</v>
      </c>
      <c r="AM195" s="13">
        <f t="shared" si="44"/>
        <v>8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AM196" si="45">SUM(E188:E195)</f>
        <v>4</v>
      </c>
      <c r="F196" s="13">
        <f t="shared" si="45"/>
        <v>1</v>
      </c>
      <c r="G196" s="13">
        <f t="shared" si="45"/>
        <v>1</v>
      </c>
      <c r="H196" s="13">
        <f t="shared" si="45"/>
        <v>2</v>
      </c>
      <c r="I196" s="13">
        <f t="shared" si="45"/>
        <v>0</v>
      </c>
      <c r="J196" s="13">
        <f t="shared" si="45"/>
        <v>0</v>
      </c>
      <c r="K196" s="13">
        <f t="shared" si="45"/>
        <v>0</v>
      </c>
      <c r="L196" s="13">
        <f t="shared" si="45"/>
        <v>4</v>
      </c>
      <c r="M196" s="13">
        <f t="shared" si="45"/>
        <v>3</v>
      </c>
      <c r="N196" s="13">
        <f t="shared" si="45"/>
        <v>1</v>
      </c>
      <c r="O196" s="13">
        <f t="shared" si="45"/>
        <v>0</v>
      </c>
      <c r="P196" s="13">
        <f t="shared" si="45"/>
        <v>0</v>
      </c>
      <c r="Q196" s="13">
        <f t="shared" si="45"/>
        <v>2</v>
      </c>
      <c r="R196" s="13">
        <f t="shared" si="45"/>
        <v>3</v>
      </c>
      <c r="S196" s="13">
        <f t="shared" si="45"/>
        <v>1</v>
      </c>
      <c r="T196" s="13">
        <f t="shared" si="45"/>
        <v>0</v>
      </c>
      <c r="U196" s="13">
        <f t="shared" si="45"/>
        <v>2</v>
      </c>
      <c r="V196" s="13">
        <f t="shared" si="45"/>
        <v>1</v>
      </c>
      <c r="W196" s="13">
        <f t="shared" si="45"/>
        <v>1</v>
      </c>
      <c r="X196" s="13">
        <f t="shared" si="45"/>
        <v>1</v>
      </c>
      <c r="Y196" s="13">
        <f t="shared" si="45"/>
        <v>0</v>
      </c>
      <c r="Z196" s="13">
        <f t="shared" si="45"/>
        <v>1</v>
      </c>
      <c r="AA196" s="13">
        <f t="shared" si="45"/>
        <v>8</v>
      </c>
      <c r="AB196" s="13">
        <f t="shared" si="45"/>
        <v>5</v>
      </c>
      <c r="AC196" s="13">
        <f t="shared" si="45"/>
        <v>2</v>
      </c>
      <c r="AD196" s="13">
        <f t="shared" si="45"/>
        <v>0</v>
      </c>
      <c r="AE196" s="13">
        <f t="shared" si="45"/>
        <v>1</v>
      </c>
      <c r="AF196" s="13">
        <f t="shared" si="45"/>
        <v>1</v>
      </c>
      <c r="AG196" s="13">
        <f t="shared" si="45"/>
        <v>0</v>
      </c>
      <c r="AH196" s="13">
        <f t="shared" si="45"/>
        <v>4</v>
      </c>
      <c r="AI196" s="13">
        <f t="shared" si="45"/>
        <v>0</v>
      </c>
      <c r="AJ196" s="13">
        <f t="shared" si="45"/>
        <v>1</v>
      </c>
      <c r="AK196" s="13">
        <f t="shared" si="45"/>
        <v>1</v>
      </c>
      <c r="AL196" s="13">
        <f t="shared" si="45"/>
        <v>1</v>
      </c>
      <c r="AM196" s="13">
        <f t="shared" si="45"/>
        <v>52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3.0</v>
      </c>
      <c r="F198" s="19">
        <v>2.0</v>
      </c>
      <c r="G198" s="19">
        <v>0.0</v>
      </c>
      <c r="H198" s="19">
        <v>0.0</v>
      </c>
      <c r="I198" s="19">
        <v>5.0</v>
      </c>
      <c r="J198" s="19">
        <v>3.0</v>
      </c>
      <c r="K198" s="19">
        <v>0.0</v>
      </c>
      <c r="L198" s="19">
        <v>8.0</v>
      </c>
      <c r="M198" s="19">
        <v>0.0</v>
      </c>
      <c r="N198" s="19">
        <v>2.0</v>
      </c>
      <c r="O198" s="19">
        <v>1.0</v>
      </c>
      <c r="P198" s="19">
        <v>1.0</v>
      </c>
      <c r="Q198" s="19">
        <v>1.0</v>
      </c>
      <c r="R198" s="19">
        <v>1.0</v>
      </c>
      <c r="S198" s="19">
        <v>2.0</v>
      </c>
      <c r="T198" s="19">
        <v>2.0</v>
      </c>
      <c r="U198" s="19">
        <v>2.0</v>
      </c>
      <c r="V198" s="19">
        <v>0.0</v>
      </c>
      <c r="W198" s="19">
        <v>3.0</v>
      </c>
      <c r="X198" s="19">
        <v>2.0</v>
      </c>
      <c r="Y198" s="19">
        <v>0.0</v>
      </c>
      <c r="Z198" s="19">
        <v>2.0</v>
      </c>
      <c r="AA198" s="19">
        <v>5.0</v>
      </c>
      <c r="AB198" s="19">
        <v>4.0</v>
      </c>
      <c r="AC198" s="19">
        <v>2.0</v>
      </c>
      <c r="AD198" s="19">
        <v>2.0</v>
      </c>
      <c r="AE198" s="19">
        <v>4.0</v>
      </c>
      <c r="AF198" s="19">
        <v>1.0</v>
      </c>
      <c r="AG198" s="19">
        <v>3.0</v>
      </c>
      <c r="AH198" s="19">
        <v>4.0</v>
      </c>
      <c r="AI198" s="19">
        <v>3.0</v>
      </c>
      <c r="AJ198" s="19">
        <v>0.0</v>
      </c>
      <c r="AK198" s="19">
        <v>1.0</v>
      </c>
      <c r="AL198" s="19">
        <v>0.0</v>
      </c>
      <c r="AM198" s="13">
        <f t="shared" ref="AM198:AM205" si="46">SUM(E198:AL198)</f>
        <v>69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1.0</v>
      </c>
      <c r="F199" s="19">
        <v>0.0</v>
      </c>
      <c r="G199" s="19">
        <v>0.0</v>
      </c>
      <c r="H199" s="19">
        <v>0.0</v>
      </c>
      <c r="I199" s="19">
        <v>0.0</v>
      </c>
      <c r="J199" s="19">
        <v>1.0</v>
      </c>
      <c r="K199" s="19">
        <v>0.0</v>
      </c>
      <c r="L199" s="19">
        <v>0.0</v>
      </c>
      <c r="M199" s="19">
        <v>0.0</v>
      </c>
      <c r="N199" s="19">
        <v>0.0</v>
      </c>
      <c r="O199" s="19">
        <v>0.0</v>
      </c>
      <c r="P199" s="19">
        <v>0.0</v>
      </c>
      <c r="Q199" s="19">
        <v>0.0</v>
      </c>
      <c r="R199" s="19">
        <v>0.0</v>
      </c>
      <c r="S199" s="19">
        <v>0.0</v>
      </c>
      <c r="T199" s="19">
        <v>0.0</v>
      </c>
      <c r="U199" s="19">
        <v>1.0</v>
      </c>
      <c r="V199" s="19">
        <v>1.0</v>
      </c>
      <c r="W199" s="19">
        <v>0.0</v>
      </c>
      <c r="X199" s="19">
        <v>0.0</v>
      </c>
      <c r="Y199" s="19">
        <v>0.0</v>
      </c>
      <c r="Z199" s="19">
        <v>0.0</v>
      </c>
      <c r="AA199" s="19">
        <v>1.0</v>
      </c>
      <c r="AB199" s="19">
        <v>3.0</v>
      </c>
      <c r="AC199" s="19">
        <v>1.0</v>
      </c>
      <c r="AD199" s="19">
        <v>0.0</v>
      </c>
      <c r="AE199" s="19">
        <v>0.0</v>
      </c>
      <c r="AF199" s="19">
        <v>0.0</v>
      </c>
      <c r="AG199" s="19">
        <v>0.0</v>
      </c>
      <c r="AH199" s="19">
        <v>1.0</v>
      </c>
      <c r="AI199" s="19">
        <v>0.0</v>
      </c>
      <c r="AJ199" s="19">
        <v>0.0</v>
      </c>
      <c r="AK199" s="19">
        <v>2.0</v>
      </c>
      <c r="AL199" s="19">
        <v>1.0</v>
      </c>
      <c r="AM199" s="13">
        <f t="shared" si="46"/>
        <v>13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0.0</v>
      </c>
      <c r="F200" s="19">
        <v>2.0</v>
      </c>
      <c r="G200" s="19">
        <v>1.0</v>
      </c>
      <c r="H200" s="19">
        <v>1.0</v>
      </c>
      <c r="I200" s="19">
        <v>0.0</v>
      </c>
      <c r="J200" s="19">
        <v>0.0</v>
      </c>
      <c r="K200" s="19">
        <v>0.0</v>
      </c>
      <c r="L200" s="19">
        <v>3.0</v>
      </c>
      <c r="M200" s="19">
        <v>0.0</v>
      </c>
      <c r="N200" s="19">
        <v>3.0</v>
      </c>
      <c r="O200" s="19">
        <v>0.0</v>
      </c>
      <c r="P200" s="19">
        <v>10.0</v>
      </c>
      <c r="Q200" s="19">
        <v>1.0</v>
      </c>
      <c r="R200" s="19">
        <v>2.0</v>
      </c>
      <c r="S200" s="19">
        <v>0.0</v>
      </c>
      <c r="T200" s="19">
        <v>1.0</v>
      </c>
      <c r="U200" s="19">
        <v>1.0</v>
      </c>
      <c r="V200" s="19">
        <v>4.0</v>
      </c>
      <c r="W200" s="19">
        <v>0.0</v>
      </c>
      <c r="X200" s="19">
        <v>2.0</v>
      </c>
      <c r="Y200" s="19">
        <v>0.0</v>
      </c>
      <c r="Z200" s="19">
        <v>0.0</v>
      </c>
      <c r="AA200" s="19">
        <v>1.0</v>
      </c>
      <c r="AB200" s="19">
        <v>1.0</v>
      </c>
      <c r="AC200" s="19">
        <v>2.0</v>
      </c>
      <c r="AD200" s="19">
        <v>0.0</v>
      </c>
      <c r="AE200" s="19">
        <v>0.0</v>
      </c>
      <c r="AF200" s="19">
        <v>1.0</v>
      </c>
      <c r="AG200" s="19">
        <v>0.0</v>
      </c>
      <c r="AH200" s="19">
        <v>0.0</v>
      </c>
      <c r="AI200" s="19">
        <v>0.0</v>
      </c>
      <c r="AJ200" s="19">
        <v>0.0</v>
      </c>
      <c r="AK200" s="19">
        <v>0.0</v>
      </c>
      <c r="AL200" s="19">
        <v>0.0</v>
      </c>
      <c r="AM200" s="13">
        <f t="shared" si="46"/>
        <v>36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0.0</v>
      </c>
      <c r="G201" s="19">
        <v>0.0</v>
      </c>
      <c r="H201" s="19">
        <v>0.0</v>
      </c>
      <c r="I201" s="19">
        <v>0.0</v>
      </c>
      <c r="J201" s="19">
        <v>0.0</v>
      </c>
      <c r="K201" s="19">
        <v>0.0</v>
      </c>
      <c r="L201" s="19">
        <v>0.0</v>
      </c>
      <c r="M201" s="19">
        <v>0.0</v>
      </c>
      <c r="N201" s="19">
        <v>0.0</v>
      </c>
      <c r="O201" s="19">
        <v>0.0</v>
      </c>
      <c r="P201" s="19">
        <v>0.0</v>
      </c>
      <c r="Q201" s="19">
        <v>1.0</v>
      </c>
      <c r="R201" s="19">
        <v>0.0</v>
      </c>
      <c r="S201" s="19">
        <v>0.0</v>
      </c>
      <c r="T201" s="19">
        <v>0.0</v>
      </c>
      <c r="U201" s="19">
        <v>0.0</v>
      </c>
      <c r="V201" s="19">
        <v>0.0</v>
      </c>
      <c r="W201" s="19">
        <v>0.0</v>
      </c>
      <c r="X201" s="19">
        <v>0.0</v>
      </c>
      <c r="Y201" s="19">
        <v>1.0</v>
      </c>
      <c r="Z201" s="19">
        <v>0.0</v>
      </c>
      <c r="AA201" s="19">
        <v>0.0</v>
      </c>
      <c r="AB201" s="19">
        <v>0.0</v>
      </c>
      <c r="AC201" s="19">
        <v>0.0</v>
      </c>
      <c r="AD201" s="19">
        <v>1.0</v>
      </c>
      <c r="AE201" s="19">
        <v>0.0</v>
      </c>
      <c r="AF201" s="19">
        <v>0.0</v>
      </c>
      <c r="AG201" s="19">
        <v>0.0</v>
      </c>
      <c r="AH201" s="19">
        <v>0.0</v>
      </c>
      <c r="AI201" s="19">
        <v>0.0</v>
      </c>
      <c r="AJ201" s="19">
        <v>1.0</v>
      </c>
      <c r="AK201" s="19">
        <v>0.0</v>
      </c>
      <c r="AL201" s="19">
        <v>0.0</v>
      </c>
      <c r="AM201" s="13">
        <f t="shared" si="46"/>
        <v>4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0.0</v>
      </c>
      <c r="F202" s="19">
        <v>0.0</v>
      </c>
      <c r="G202" s="19">
        <v>0.0</v>
      </c>
      <c r="H202" s="19">
        <v>0.0</v>
      </c>
      <c r="I202" s="19">
        <v>0.0</v>
      </c>
      <c r="J202" s="19">
        <v>0.0</v>
      </c>
      <c r="K202" s="19">
        <v>0.0</v>
      </c>
      <c r="L202" s="19">
        <v>2.0</v>
      </c>
      <c r="M202" s="19">
        <v>0.0</v>
      </c>
      <c r="N202" s="19">
        <v>0.0</v>
      </c>
      <c r="O202" s="19">
        <v>0.0</v>
      </c>
      <c r="P202" s="19">
        <v>0.0</v>
      </c>
      <c r="Q202" s="19">
        <v>0.0</v>
      </c>
      <c r="R202" s="19">
        <v>1.0</v>
      </c>
      <c r="S202" s="19">
        <v>0.0</v>
      </c>
      <c r="T202" s="19">
        <v>0.0</v>
      </c>
      <c r="U202" s="19">
        <v>1.0</v>
      </c>
      <c r="V202" s="19">
        <v>1.0</v>
      </c>
      <c r="W202" s="19">
        <v>0.0</v>
      </c>
      <c r="X202" s="19">
        <v>0.0</v>
      </c>
      <c r="Y202" s="19">
        <v>0.0</v>
      </c>
      <c r="Z202" s="19">
        <v>1.0</v>
      </c>
      <c r="AA202" s="19">
        <v>0.0</v>
      </c>
      <c r="AB202" s="19">
        <v>1.0</v>
      </c>
      <c r="AC202" s="19">
        <v>1.0</v>
      </c>
      <c r="AD202" s="19">
        <v>0.0</v>
      </c>
      <c r="AE202" s="19">
        <v>0.0</v>
      </c>
      <c r="AF202" s="19">
        <v>0.0</v>
      </c>
      <c r="AG202" s="19">
        <v>0.0</v>
      </c>
      <c r="AH202" s="19">
        <v>0.0</v>
      </c>
      <c r="AI202" s="19">
        <v>0.0</v>
      </c>
      <c r="AJ202" s="19">
        <v>0.0</v>
      </c>
      <c r="AK202" s="19">
        <v>0.0</v>
      </c>
      <c r="AL202" s="19">
        <v>0.0</v>
      </c>
      <c r="AM202" s="13">
        <f t="shared" si="46"/>
        <v>8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1.0</v>
      </c>
      <c r="F203" s="19">
        <v>0.0</v>
      </c>
      <c r="G203" s="19">
        <v>0.0</v>
      </c>
      <c r="H203" s="19">
        <v>0.0</v>
      </c>
      <c r="I203" s="19">
        <v>0.0</v>
      </c>
      <c r="J203" s="19">
        <v>1.0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9">
        <v>0.0</v>
      </c>
      <c r="T203" s="19">
        <v>0.0</v>
      </c>
      <c r="U203" s="19">
        <v>0.0</v>
      </c>
      <c r="V203" s="19">
        <v>0.0</v>
      </c>
      <c r="W203" s="19">
        <v>0.0</v>
      </c>
      <c r="X203" s="19">
        <v>0.0</v>
      </c>
      <c r="Y203" s="19">
        <v>0.0</v>
      </c>
      <c r="Z203" s="19">
        <v>0.0</v>
      </c>
      <c r="AA203" s="19">
        <v>0.0</v>
      </c>
      <c r="AB203" s="19">
        <v>0.0</v>
      </c>
      <c r="AC203" s="19">
        <v>0.0</v>
      </c>
      <c r="AD203" s="19">
        <v>1.0</v>
      </c>
      <c r="AE203" s="19">
        <v>1.0</v>
      </c>
      <c r="AF203" s="19">
        <v>0.0</v>
      </c>
      <c r="AG203" s="19">
        <v>0.0</v>
      </c>
      <c r="AH203" s="19">
        <v>0.0</v>
      </c>
      <c r="AI203" s="19">
        <v>0.0</v>
      </c>
      <c r="AJ203" s="19">
        <v>0.0</v>
      </c>
      <c r="AK203" s="19">
        <v>0.0</v>
      </c>
      <c r="AL203" s="19">
        <v>0.0</v>
      </c>
      <c r="AM203" s="13">
        <f t="shared" si="46"/>
        <v>4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1.0</v>
      </c>
      <c r="AD204" s="19">
        <v>0.0</v>
      </c>
      <c r="AE204" s="19">
        <v>1.0</v>
      </c>
      <c r="AF204" s="19">
        <v>1.0</v>
      </c>
      <c r="AG204" s="19">
        <v>0.0</v>
      </c>
      <c r="AH204" s="19">
        <v>0.0</v>
      </c>
      <c r="AI204" s="19">
        <v>0.0</v>
      </c>
      <c r="AJ204" s="19">
        <v>1.0</v>
      </c>
      <c r="AK204" s="19">
        <v>0.0</v>
      </c>
      <c r="AL204" s="19">
        <v>0.0</v>
      </c>
      <c r="AM204" s="13">
        <f t="shared" si="46"/>
        <v>4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19.0</v>
      </c>
      <c r="F205" s="19">
        <v>23.0</v>
      </c>
      <c r="G205" s="19">
        <v>0.0</v>
      </c>
      <c r="H205" s="19">
        <v>6.0</v>
      </c>
      <c r="I205" s="19">
        <v>25.0</v>
      </c>
      <c r="J205" s="19">
        <v>25.0</v>
      </c>
      <c r="K205" s="19">
        <v>3.0</v>
      </c>
      <c r="L205" s="19">
        <v>61.0</v>
      </c>
      <c r="M205" s="19">
        <v>9.0</v>
      </c>
      <c r="N205" s="19">
        <v>4.0</v>
      </c>
      <c r="O205" s="19">
        <v>4.0</v>
      </c>
      <c r="P205" s="19">
        <v>18.0</v>
      </c>
      <c r="Q205" s="19">
        <v>19.0</v>
      </c>
      <c r="R205" s="19">
        <v>16.0</v>
      </c>
      <c r="S205" s="19">
        <v>10.0</v>
      </c>
      <c r="T205" s="19">
        <v>2.0</v>
      </c>
      <c r="U205" s="19">
        <v>6.0</v>
      </c>
      <c r="V205" s="19">
        <v>12.0</v>
      </c>
      <c r="W205" s="19">
        <v>44.0</v>
      </c>
      <c r="X205" s="19">
        <v>60.0</v>
      </c>
      <c r="Y205" s="19">
        <v>24.0</v>
      </c>
      <c r="Z205" s="19">
        <v>27.0</v>
      </c>
      <c r="AA205" s="19">
        <v>47.0</v>
      </c>
      <c r="AB205" s="19">
        <v>66.0</v>
      </c>
      <c r="AC205" s="19">
        <v>59.0</v>
      </c>
      <c r="AD205" s="19">
        <v>38.0</v>
      </c>
      <c r="AE205" s="19">
        <v>47.0</v>
      </c>
      <c r="AF205" s="19">
        <v>86.0</v>
      </c>
      <c r="AG205" s="19">
        <v>65.0</v>
      </c>
      <c r="AH205" s="19">
        <v>74.0</v>
      </c>
      <c r="AI205" s="19">
        <v>26.0</v>
      </c>
      <c r="AJ205" s="19">
        <v>55.0</v>
      </c>
      <c r="AK205" s="19">
        <v>50.0</v>
      </c>
      <c r="AL205" s="19">
        <v>62.0</v>
      </c>
      <c r="AM205" s="13">
        <f t="shared" si="46"/>
        <v>1092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AM206" si="47">SUM(E198:E205)</f>
        <v>24</v>
      </c>
      <c r="F206" s="13">
        <f t="shared" si="47"/>
        <v>27</v>
      </c>
      <c r="G206" s="13">
        <f t="shared" si="47"/>
        <v>1</v>
      </c>
      <c r="H206" s="13">
        <f t="shared" si="47"/>
        <v>7</v>
      </c>
      <c r="I206" s="13">
        <f t="shared" si="47"/>
        <v>30</v>
      </c>
      <c r="J206" s="13">
        <f t="shared" si="47"/>
        <v>30</v>
      </c>
      <c r="K206" s="13">
        <f t="shared" si="47"/>
        <v>3</v>
      </c>
      <c r="L206" s="13">
        <f t="shared" si="47"/>
        <v>74</v>
      </c>
      <c r="M206" s="13">
        <f t="shared" si="47"/>
        <v>9</v>
      </c>
      <c r="N206" s="13">
        <f t="shared" si="47"/>
        <v>9</v>
      </c>
      <c r="O206" s="13">
        <f t="shared" si="47"/>
        <v>5</v>
      </c>
      <c r="P206" s="13">
        <f t="shared" si="47"/>
        <v>29</v>
      </c>
      <c r="Q206" s="13">
        <f t="shared" si="47"/>
        <v>22</v>
      </c>
      <c r="R206" s="13">
        <f t="shared" si="47"/>
        <v>20</v>
      </c>
      <c r="S206" s="13">
        <f t="shared" si="47"/>
        <v>12</v>
      </c>
      <c r="T206" s="13">
        <f t="shared" si="47"/>
        <v>5</v>
      </c>
      <c r="U206" s="13">
        <f t="shared" si="47"/>
        <v>11</v>
      </c>
      <c r="V206" s="13">
        <f t="shared" si="47"/>
        <v>18</v>
      </c>
      <c r="W206" s="13">
        <f t="shared" si="47"/>
        <v>47</v>
      </c>
      <c r="X206" s="13">
        <f t="shared" si="47"/>
        <v>64</v>
      </c>
      <c r="Y206" s="13">
        <f t="shared" si="47"/>
        <v>25</v>
      </c>
      <c r="Z206" s="13">
        <f t="shared" si="47"/>
        <v>30</v>
      </c>
      <c r="AA206" s="13">
        <f t="shared" si="47"/>
        <v>54</v>
      </c>
      <c r="AB206" s="13">
        <f t="shared" si="47"/>
        <v>75</v>
      </c>
      <c r="AC206" s="13">
        <f t="shared" si="47"/>
        <v>66</v>
      </c>
      <c r="AD206" s="13">
        <f t="shared" si="47"/>
        <v>42</v>
      </c>
      <c r="AE206" s="13">
        <f t="shared" si="47"/>
        <v>53</v>
      </c>
      <c r="AF206" s="13">
        <f t="shared" si="47"/>
        <v>89</v>
      </c>
      <c r="AG206" s="13">
        <f t="shared" si="47"/>
        <v>68</v>
      </c>
      <c r="AH206" s="13">
        <f t="shared" si="47"/>
        <v>79</v>
      </c>
      <c r="AI206" s="13">
        <f t="shared" si="47"/>
        <v>29</v>
      </c>
      <c r="AJ206" s="13">
        <f t="shared" si="47"/>
        <v>57</v>
      </c>
      <c r="AK206" s="13">
        <f t="shared" si="47"/>
        <v>53</v>
      </c>
      <c r="AL206" s="13">
        <f t="shared" si="47"/>
        <v>63</v>
      </c>
      <c r="AM206" s="13">
        <f t="shared" si="47"/>
        <v>1230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1.0</v>
      </c>
      <c r="F208" s="19">
        <v>0.0</v>
      </c>
      <c r="G208" s="19">
        <v>1.0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9">
        <v>0.0</v>
      </c>
      <c r="AG208" s="19">
        <v>0.0</v>
      </c>
      <c r="AH208" s="19">
        <v>0.0</v>
      </c>
      <c r="AI208" s="19">
        <v>0.0</v>
      </c>
      <c r="AJ208" s="19">
        <v>0.0</v>
      </c>
      <c r="AK208" s="19">
        <v>1.0</v>
      </c>
      <c r="AL208" s="19">
        <v>0.0</v>
      </c>
      <c r="AM208" s="13">
        <f t="shared" ref="AM208:AM214" si="48">SUM(E208:AL208)</f>
        <v>3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9">
        <v>0.0</v>
      </c>
      <c r="S209" s="19">
        <v>0.0</v>
      </c>
      <c r="T209" s="19">
        <v>0.0</v>
      </c>
      <c r="U209" s="19">
        <v>0.0</v>
      </c>
      <c r="V209" s="19">
        <v>0.0</v>
      </c>
      <c r="W209" s="19">
        <v>0.0</v>
      </c>
      <c r="X209" s="19">
        <v>0.0</v>
      </c>
      <c r="Y209" s="19">
        <v>0.0</v>
      </c>
      <c r="Z209" s="19">
        <v>0.0</v>
      </c>
      <c r="AA209" s="19">
        <v>0.0</v>
      </c>
      <c r="AB209" s="19">
        <v>0.0</v>
      </c>
      <c r="AC209" s="19">
        <v>0.0</v>
      </c>
      <c r="AD209" s="19">
        <v>0.0</v>
      </c>
      <c r="AE209" s="19">
        <v>0.0</v>
      </c>
      <c r="AF209" s="19">
        <v>0.0</v>
      </c>
      <c r="AG209" s="19">
        <v>0.0</v>
      </c>
      <c r="AH209" s="19">
        <v>0.0</v>
      </c>
      <c r="AI209" s="19">
        <v>0.0</v>
      </c>
      <c r="AJ209" s="19">
        <v>0.0</v>
      </c>
      <c r="AK209" s="19">
        <v>1.0</v>
      </c>
      <c r="AL209" s="19">
        <v>0.0</v>
      </c>
      <c r="AM209" s="13">
        <f t="shared" si="48"/>
        <v>1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1.0</v>
      </c>
      <c r="I210" s="19">
        <v>0.0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1.0</v>
      </c>
      <c r="T210" s="19">
        <v>0.0</v>
      </c>
      <c r="U210" s="19">
        <v>0.0</v>
      </c>
      <c r="V210" s="19">
        <v>0.0</v>
      </c>
      <c r="W210" s="19">
        <v>0.0</v>
      </c>
      <c r="X210" s="19">
        <v>0.0</v>
      </c>
      <c r="Y210" s="19">
        <v>0.0</v>
      </c>
      <c r="Z210" s="19">
        <v>0.0</v>
      </c>
      <c r="AA210" s="19">
        <v>0.0</v>
      </c>
      <c r="AB210" s="19">
        <v>0.0</v>
      </c>
      <c r="AC210" s="19">
        <v>0.0</v>
      </c>
      <c r="AD210" s="19">
        <v>0.0</v>
      </c>
      <c r="AE210" s="19">
        <v>1.0</v>
      </c>
      <c r="AF210" s="19">
        <v>0.0</v>
      </c>
      <c r="AG210" s="19">
        <v>0.0</v>
      </c>
      <c r="AH210" s="19">
        <v>0.0</v>
      </c>
      <c r="AI210" s="19">
        <v>0.0</v>
      </c>
      <c r="AJ210" s="19">
        <v>0.0</v>
      </c>
      <c r="AK210" s="19">
        <v>0.0</v>
      </c>
      <c r="AL210" s="19">
        <v>0.0</v>
      </c>
      <c r="AM210" s="13">
        <f t="shared" si="48"/>
        <v>3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0.0</v>
      </c>
      <c r="S211" s="19">
        <v>0.0</v>
      </c>
      <c r="T211" s="19">
        <v>0.0</v>
      </c>
      <c r="U211" s="19">
        <v>0.0</v>
      </c>
      <c r="V211" s="19">
        <v>0.0</v>
      </c>
      <c r="W211" s="19">
        <v>0.0</v>
      </c>
      <c r="X211" s="19">
        <v>0.0</v>
      </c>
      <c r="Y211" s="19">
        <v>0.0</v>
      </c>
      <c r="Z211" s="19">
        <v>0.0</v>
      </c>
      <c r="AA211" s="19">
        <v>0.0</v>
      </c>
      <c r="AB211" s="19">
        <v>0.0</v>
      </c>
      <c r="AC211" s="19">
        <v>0.0</v>
      </c>
      <c r="AD211" s="19">
        <v>0.0</v>
      </c>
      <c r="AE211" s="19">
        <v>0.0</v>
      </c>
      <c r="AF211" s="19">
        <v>0.0</v>
      </c>
      <c r="AG211" s="19">
        <v>0.0</v>
      </c>
      <c r="AH211" s="19">
        <v>0.0</v>
      </c>
      <c r="AI211" s="19">
        <v>0.0</v>
      </c>
      <c r="AJ211" s="19">
        <v>0.0</v>
      </c>
      <c r="AK211" s="19">
        <v>0.0</v>
      </c>
      <c r="AL211" s="19">
        <v>0.0</v>
      </c>
      <c r="AM211" s="13">
        <f t="shared" si="48"/>
        <v>0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1.0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9">
        <v>0.0</v>
      </c>
      <c r="S212" s="19">
        <v>0.0</v>
      </c>
      <c r="T212" s="19">
        <v>0.0</v>
      </c>
      <c r="U212" s="19">
        <v>0.0</v>
      </c>
      <c r="V212" s="19">
        <v>0.0</v>
      </c>
      <c r="W212" s="19">
        <v>0.0</v>
      </c>
      <c r="X212" s="19">
        <v>0.0</v>
      </c>
      <c r="Y212" s="19">
        <v>0.0</v>
      </c>
      <c r="Z212" s="19">
        <v>0.0</v>
      </c>
      <c r="AA212" s="19">
        <v>0.0</v>
      </c>
      <c r="AB212" s="19">
        <v>0.0</v>
      </c>
      <c r="AC212" s="19">
        <v>0.0</v>
      </c>
      <c r="AD212" s="19">
        <v>0.0</v>
      </c>
      <c r="AE212" s="19">
        <v>0.0</v>
      </c>
      <c r="AF212" s="19">
        <v>0.0</v>
      </c>
      <c r="AG212" s="19">
        <v>0.0</v>
      </c>
      <c r="AH212" s="19">
        <v>0.0</v>
      </c>
      <c r="AI212" s="19">
        <v>0.0</v>
      </c>
      <c r="AJ212" s="19">
        <v>0.0</v>
      </c>
      <c r="AK212" s="19">
        <v>0.0</v>
      </c>
      <c r="AL212" s="19">
        <v>0.0</v>
      </c>
      <c r="AM212" s="13">
        <f t="shared" si="48"/>
        <v>1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1.0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9">
        <v>0.0</v>
      </c>
      <c r="S213" s="19">
        <v>0.0</v>
      </c>
      <c r="T213" s="19">
        <v>0.0</v>
      </c>
      <c r="U213" s="19">
        <v>0.0</v>
      </c>
      <c r="V213" s="19">
        <v>0.0</v>
      </c>
      <c r="W213" s="19">
        <v>0.0</v>
      </c>
      <c r="X213" s="19">
        <v>0.0</v>
      </c>
      <c r="Y213" s="19">
        <v>0.0</v>
      </c>
      <c r="Z213" s="19">
        <v>0.0</v>
      </c>
      <c r="AA213" s="19">
        <v>0.0</v>
      </c>
      <c r="AB213" s="19">
        <v>0.0</v>
      </c>
      <c r="AC213" s="19">
        <v>0.0</v>
      </c>
      <c r="AD213" s="19">
        <v>0.0</v>
      </c>
      <c r="AE213" s="19">
        <v>0.0</v>
      </c>
      <c r="AF213" s="19">
        <v>0.0</v>
      </c>
      <c r="AG213" s="19">
        <v>0.0</v>
      </c>
      <c r="AH213" s="19">
        <v>0.0</v>
      </c>
      <c r="AI213" s="19">
        <v>0.0</v>
      </c>
      <c r="AJ213" s="19">
        <v>0.0</v>
      </c>
      <c r="AK213" s="19">
        <v>1.0</v>
      </c>
      <c r="AL213" s="19">
        <v>0.0</v>
      </c>
      <c r="AM213" s="13">
        <f t="shared" si="48"/>
        <v>2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1.0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0.0</v>
      </c>
      <c r="S214" s="19">
        <v>0.0</v>
      </c>
      <c r="T214" s="19">
        <v>0.0</v>
      </c>
      <c r="U214" s="19">
        <v>0.0</v>
      </c>
      <c r="V214" s="19">
        <v>0.0</v>
      </c>
      <c r="W214" s="19">
        <v>0.0</v>
      </c>
      <c r="X214" s="19">
        <v>0.0</v>
      </c>
      <c r="Y214" s="19">
        <v>0.0</v>
      </c>
      <c r="Z214" s="19">
        <v>0.0</v>
      </c>
      <c r="AA214" s="19">
        <v>0.0</v>
      </c>
      <c r="AB214" s="19">
        <v>0.0</v>
      </c>
      <c r="AC214" s="19">
        <v>0.0</v>
      </c>
      <c r="AD214" s="19">
        <v>0.0</v>
      </c>
      <c r="AE214" s="19">
        <v>0.0</v>
      </c>
      <c r="AF214" s="19">
        <v>0.0</v>
      </c>
      <c r="AG214" s="19">
        <v>0.0</v>
      </c>
      <c r="AH214" s="19">
        <v>0.0</v>
      </c>
      <c r="AI214" s="19">
        <v>0.0</v>
      </c>
      <c r="AJ214" s="19">
        <v>0.0</v>
      </c>
      <c r="AK214" s="19">
        <v>0.0</v>
      </c>
      <c r="AL214" s="19">
        <v>0.0</v>
      </c>
      <c r="AM214" s="13">
        <f t="shared" si="48"/>
        <v>1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AM215" si="49">SUM(E208:E214)</f>
        <v>2</v>
      </c>
      <c r="F215" s="13">
        <f t="shared" si="49"/>
        <v>0</v>
      </c>
      <c r="G215" s="13">
        <f t="shared" si="49"/>
        <v>1</v>
      </c>
      <c r="H215" s="13">
        <f t="shared" si="49"/>
        <v>1</v>
      </c>
      <c r="I215" s="13">
        <f t="shared" si="49"/>
        <v>1</v>
      </c>
      <c r="J215" s="13">
        <f t="shared" si="49"/>
        <v>0</v>
      </c>
      <c r="K215" s="13">
        <f t="shared" si="49"/>
        <v>0</v>
      </c>
      <c r="L215" s="13">
        <f t="shared" si="49"/>
        <v>1</v>
      </c>
      <c r="M215" s="13">
        <f t="shared" si="49"/>
        <v>0</v>
      </c>
      <c r="N215" s="13">
        <f t="shared" si="49"/>
        <v>0</v>
      </c>
      <c r="O215" s="13">
        <f t="shared" si="49"/>
        <v>0</v>
      </c>
      <c r="P215" s="13">
        <f t="shared" si="49"/>
        <v>0</v>
      </c>
      <c r="Q215" s="13">
        <f t="shared" si="49"/>
        <v>0</v>
      </c>
      <c r="R215" s="13">
        <f t="shared" si="49"/>
        <v>0</v>
      </c>
      <c r="S215" s="13">
        <f t="shared" si="49"/>
        <v>1</v>
      </c>
      <c r="T215" s="13">
        <f t="shared" si="49"/>
        <v>0</v>
      </c>
      <c r="U215" s="13">
        <f t="shared" si="49"/>
        <v>0</v>
      </c>
      <c r="V215" s="13">
        <f t="shared" si="49"/>
        <v>0</v>
      </c>
      <c r="W215" s="13">
        <f t="shared" si="49"/>
        <v>0</v>
      </c>
      <c r="X215" s="13">
        <f t="shared" si="49"/>
        <v>0</v>
      </c>
      <c r="Y215" s="13">
        <f t="shared" si="49"/>
        <v>0</v>
      </c>
      <c r="Z215" s="13">
        <f t="shared" si="49"/>
        <v>0</v>
      </c>
      <c r="AA215" s="13">
        <f t="shared" si="49"/>
        <v>0</v>
      </c>
      <c r="AB215" s="13">
        <f t="shared" si="49"/>
        <v>0</v>
      </c>
      <c r="AC215" s="13">
        <f t="shared" si="49"/>
        <v>0</v>
      </c>
      <c r="AD215" s="13">
        <f t="shared" si="49"/>
        <v>0</v>
      </c>
      <c r="AE215" s="13">
        <f t="shared" si="49"/>
        <v>1</v>
      </c>
      <c r="AF215" s="13">
        <f t="shared" si="49"/>
        <v>0</v>
      </c>
      <c r="AG215" s="13">
        <f t="shared" si="49"/>
        <v>0</v>
      </c>
      <c r="AH215" s="13">
        <f t="shared" si="49"/>
        <v>0</v>
      </c>
      <c r="AI215" s="13">
        <f t="shared" si="49"/>
        <v>0</v>
      </c>
      <c r="AJ215" s="13">
        <f t="shared" si="49"/>
        <v>0</v>
      </c>
      <c r="AK215" s="13">
        <f t="shared" si="49"/>
        <v>3</v>
      </c>
      <c r="AL215" s="13">
        <f t="shared" si="49"/>
        <v>0</v>
      </c>
      <c r="AM215" s="13">
        <f t="shared" si="49"/>
        <v>11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71"/>
      <c r="O217" s="71"/>
      <c r="P217" s="71"/>
      <c r="Q217" s="71"/>
      <c r="R217" s="71"/>
      <c r="S217" s="71"/>
      <c r="T217" s="71"/>
      <c r="U217" s="71"/>
      <c r="V217" s="13"/>
      <c r="W217" s="13"/>
      <c r="X217" s="13"/>
      <c r="Y217" s="13"/>
      <c r="Z217" s="13"/>
      <c r="AA217" s="13"/>
      <c r="AB217" s="13"/>
      <c r="AC217" s="13"/>
      <c r="AD217" s="71"/>
      <c r="AE217" s="71"/>
      <c r="AF217" s="71"/>
      <c r="AG217" s="71"/>
      <c r="AH217" s="71"/>
      <c r="AI217" s="71"/>
      <c r="AJ217" s="71"/>
      <c r="AK217" s="71"/>
      <c r="AL217" s="71"/>
      <c r="AM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AL218" si="50">E53+E63+E73+E83+E93+E103+E109+E119+E129+E136+E146+E156+E166+E176+E186+E196+E206+E215</f>
        <v>195</v>
      </c>
      <c r="F218" s="19">
        <f t="shared" si="50"/>
        <v>180</v>
      </c>
      <c r="G218" s="19">
        <f t="shared" si="50"/>
        <v>193</v>
      </c>
      <c r="H218" s="19">
        <f t="shared" si="50"/>
        <v>208</v>
      </c>
      <c r="I218" s="19">
        <f t="shared" si="50"/>
        <v>201</v>
      </c>
      <c r="J218" s="19">
        <f t="shared" si="50"/>
        <v>208</v>
      </c>
      <c r="K218" s="19">
        <f t="shared" si="50"/>
        <v>202</v>
      </c>
      <c r="L218" s="19">
        <f t="shared" si="50"/>
        <v>229</v>
      </c>
      <c r="M218" s="19">
        <f t="shared" si="50"/>
        <v>201</v>
      </c>
      <c r="N218" s="19">
        <f t="shared" si="50"/>
        <v>123</v>
      </c>
      <c r="O218" s="19">
        <f t="shared" si="50"/>
        <v>108</v>
      </c>
      <c r="P218" s="19">
        <f t="shared" si="50"/>
        <v>178</v>
      </c>
      <c r="Q218" s="19">
        <f t="shared" si="50"/>
        <v>196</v>
      </c>
      <c r="R218" s="19">
        <f t="shared" si="50"/>
        <v>187</v>
      </c>
      <c r="S218" s="19">
        <f t="shared" si="50"/>
        <v>145</v>
      </c>
      <c r="T218" s="19">
        <f t="shared" si="50"/>
        <v>188</v>
      </c>
      <c r="U218" s="19">
        <f t="shared" si="50"/>
        <v>175</v>
      </c>
      <c r="V218" s="19">
        <f t="shared" si="50"/>
        <v>214</v>
      </c>
      <c r="W218" s="19">
        <f t="shared" si="50"/>
        <v>165</v>
      </c>
      <c r="X218" s="19">
        <f t="shared" si="50"/>
        <v>211</v>
      </c>
      <c r="Y218" s="19">
        <f t="shared" si="50"/>
        <v>198</v>
      </c>
      <c r="Z218" s="19">
        <f t="shared" si="50"/>
        <v>174</v>
      </c>
      <c r="AA218" s="19">
        <f t="shared" si="50"/>
        <v>183</v>
      </c>
      <c r="AB218" s="19">
        <f t="shared" si="50"/>
        <v>202</v>
      </c>
      <c r="AC218" s="19">
        <f t="shared" si="50"/>
        <v>193</v>
      </c>
      <c r="AD218" s="19">
        <f t="shared" si="50"/>
        <v>183</v>
      </c>
      <c r="AE218" s="19">
        <f t="shared" si="50"/>
        <v>194</v>
      </c>
      <c r="AF218" s="19">
        <f t="shared" si="50"/>
        <v>191</v>
      </c>
      <c r="AG218" s="19">
        <f t="shared" si="50"/>
        <v>184</v>
      </c>
      <c r="AH218" s="19">
        <f t="shared" si="50"/>
        <v>183</v>
      </c>
      <c r="AI218" s="19">
        <f t="shared" si="50"/>
        <v>138</v>
      </c>
      <c r="AJ218" s="19">
        <f t="shared" si="50"/>
        <v>189</v>
      </c>
      <c r="AK218" s="19">
        <f t="shared" si="50"/>
        <v>179</v>
      </c>
      <c r="AL218" s="19">
        <f t="shared" si="50"/>
        <v>179</v>
      </c>
      <c r="AM218" s="13">
        <f t="shared" ref="AM218:AM220" si="51">SUM(E218:AL218)</f>
        <v>6277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30.0</v>
      </c>
      <c r="F219" s="19">
        <v>36.0</v>
      </c>
      <c r="G219" s="19">
        <v>17.0</v>
      </c>
      <c r="H219" s="19">
        <v>20.0</v>
      </c>
      <c r="I219" s="19">
        <v>31.0</v>
      </c>
      <c r="J219" s="19">
        <v>17.0</v>
      </c>
      <c r="K219" s="19">
        <v>18.0</v>
      </c>
      <c r="L219" s="19">
        <v>20.0</v>
      </c>
      <c r="M219" s="19">
        <v>21.0</v>
      </c>
      <c r="N219" s="19">
        <v>19.0</v>
      </c>
      <c r="O219" s="19">
        <v>28.0</v>
      </c>
      <c r="P219" s="19">
        <v>27.0</v>
      </c>
      <c r="Q219" s="19">
        <v>10.0</v>
      </c>
      <c r="R219" s="19">
        <v>26.0</v>
      </c>
      <c r="S219" s="19">
        <v>52.0</v>
      </c>
      <c r="T219" s="19">
        <v>22.0</v>
      </c>
      <c r="U219" s="19">
        <v>18.0</v>
      </c>
      <c r="V219" s="19">
        <v>7.0</v>
      </c>
      <c r="W219" s="19">
        <v>11.0</v>
      </c>
      <c r="X219" s="19">
        <v>11.0</v>
      </c>
      <c r="Y219" s="19">
        <v>9.0</v>
      </c>
      <c r="Z219" s="19">
        <v>17.0</v>
      </c>
      <c r="AA219" s="19">
        <v>8.0</v>
      </c>
      <c r="AB219" s="19">
        <v>14.0</v>
      </c>
      <c r="AC219" s="19">
        <v>18.0</v>
      </c>
      <c r="AD219" s="19">
        <v>21.0</v>
      </c>
      <c r="AE219" s="19">
        <v>9.0</v>
      </c>
      <c r="AF219" s="19">
        <v>20.0</v>
      </c>
      <c r="AG219" s="19">
        <v>13.0</v>
      </c>
      <c r="AH219" s="19">
        <v>23.0</v>
      </c>
      <c r="AI219" s="19">
        <v>57.0</v>
      </c>
      <c r="AJ219" s="19">
        <v>19.0</v>
      </c>
      <c r="AK219" s="19">
        <v>12.0</v>
      </c>
      <c r="AL219" s="19">
        <v>21.0</v>
      </c>
      <c r="AM219" s="13">
        <f t="shared" si="51"/>
        <v>702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AL220" si="52">SUM(E218:E219)</f>
        <v>225</v>
      </c>
      <c r="F220" s="13">
        <f t="shared" si="52"/>
        <v>216</v>
      </c>
      <c r="G220" s="13">
        <f t="shared" si="52"/>
        <v>210</v>
      </c>
      <c r="H220" s="13">
        <f t="shared" si="52"/>
        <v>228</v>
      </c>
      <c r="I220" s="13">
        <f t="shared" si="52"/>
        <v>232</v>
      </c>
      <c r="J220" s="13">
        <f t="shared" si="52"/>
        <v>225</v>
      </c>
      <c r="K220" s="13">
        <f t="shared" si="52"/>
        <v>220</v>
      </c>
      <c r="L220" s="13">
        <f t="shared" si="52"/>
        <v>249</v>
      </c>
      <c r="M220" s="13">
        <f t="shared" si="52"/>
        <v>222</v>
      </c>
      <c r="N220" s="13">
        <f t="shared" si="52"/>
        <v>142</v>
      </c>
      <c r="O220" s="13">
        <f t="shared" si="52"/>
        <v>136</v>
      </c>
      <c r="P220" s="13">
        <f t="shared" si="52"/>
        <v>205</v>
      </c>
      <c r="Q220" s="13">
        <f t="shared" si="52"/>
        <v>206</v>
      </c>
      <c r="R220" s="13">
        <f t="shared" si="52"/>
        <v>213</v>
      </c>
      <c r="S220" s="13">
        <f t="shared" si="52"/>
        <v>197</v>
      </c>
      <c r="T220" s="13">
        <f t="shared" si="52"/>
        <v>210</v>
      </c>
      <c r="U220" s="13">
        <f t="shared" si="52"/>
        <v>193</v>
      </c>
      <c r="V220" s="13">
        <f t="shared" si="52"/>
        <v>221</v>
      </c>
      <c r="W220" s="13">
        <f t="shared" si="52"/>
        <v>176</v>
      </c>
      <c r="X220" s="13">
        <f t="shared" si="52"/>
        <v>222</v>
      </c>
      <c r="Y220" s="13">
        <f t="shared" si="52"/>
        <v>207</v>
      </c>
      <c r="Z220" s="13">
        <f t="shared" si="52"/>
        <v>191</v>
      </c>
      <c r="AA220" s="13">
        <f t="shared" si="52"/>
        <v>191</v>
      </c>
      <c r="AB220" s="13">
        <f t="shared" si="52"/>
        <v>216</v>
      </c>
      <c r="AC220" s="13">
        <f t="shared" si="52"/>
        <v>211</v>
      </c>
      <c r="AD220" s="13">
        <f t="shared" si="52"/>
        <v>204</v>
      </c>
      <c r="AE220" s="13">
        <f t="shared" si="52"/>
        <v>203</v>
      </c>
      <c r="AF220" s="13">
        <f t="shared" si="52"/>
        <v>211</v>
      </c>
      <c r="AG220" s="13">
        <f t="shared" si="52"/>
        <v>197</v>
      </c>
      <c r="AH220" s="13">
        <f t="shared" si="52"/>
        <v>206</v>
      </c>
      <c r="AI220" s="13">
        <f t="shared" si="52"/>
        <v>195</v>
      </c>
      <c r="AJ220" s="13">
        <f t="shared" si="52"/>
        <v>208</v>
      </c>
      <c r="AK220" s="13">
        <f t="shared" si="52"/>
        <v>191</v>
      </c>
      <c r="AL220" s="13">
        <f t="shared" si="52"/>
        <v>200</v>
      </c>
      <c r="AM220" s="13">
        <f t="shared" si="51"/>
        <v>6979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63:D63"/>
    <mergeCell ref="A64:E64"/>
    <mergeCell ref="C65:D65"/>
    <mergeCell ref="B73:D73"/>
    <mergeCell ref="A74:E74"/>
    <mergeCell ref="C75:D75"/>
    <mergeCell ref="B83:D83"/>
    <mergeCell ref="A84:E84"/>
    <mergeCell ref="C85:D85"/>
    <mergeCell ref="B93:D93"/>
    <mergeCell ref="A94:E94"/>
    <mergeCell ref="C95:D95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A187:E187"/>
    <mergeCell ref="C188:D188"/>
    <mergeCell ref="B217:D217"/>
    <mergeCell ref="C218:D218"/>
    <mergeCell ref="C219:D219"/>
    <mergeCell ref="C220:D220"/>
    <mergeCell ref="B196:D196"/>
    <mergeCell ref="A197:E197"/>
    <mergeCell ref="C198:D198"/>
    <mergeCell ref="B206:D206"/>
    <mergeCell ref="A207:E207"/>
    <mergeCell ref="C208:D208"/>
    <mergeCell ref="B215:D215"/>
    <mergeCell ref="B12:D12"/>
    <mergeCell ref="E12:AL12"/>
    <mergeCell ref="AM12:A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Y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Y42"/>
    <mergeCell ref="B43:D43"/>
    <mergeCell ref="A44:D44"/>
    <mergeCell ref="C45:D45"/>
    <mergeCell ref="B53:D53"/>
    <mergeCell ref="A54:E54"/>
    <mergeCell ref="C55:D55"/>
    <mergeCell ref="C46:D46"/>
    <mergeCell ref="C47:D47"/>
    <mergeCell ref="C48:D48"/>
    <mergeCell ref="C49:D49"/>
    <mergeCell ref="C50:D50"/>
    <mergeCell ref="C51:D51"/>
    <mergeCell ref="C52:D52"/>
  </mergeCells>
  <conditionalFormatting sqref="E34:T34 V34:AJ34">
    <cfRule type="expression" dxfId="1" priority="1">
      <formula>E34&lt;&gt;E62</formula>
    </cfRule>
  </conditionalFormatting>
  <conditionalFormatting sqref="E14:AL15">
    <cfRule type="containsBlanks" dxfId="0" priority="2">
      <formula>LEN(TRIM(E14))=0</formula>
    </cfRule>
  </conditionalFormatting>
  <conditionalFormatting sqref="E19:AL20">
    <cfRule type="containsBlanks" dxfId="0" priority="3">
      <formula>LEN(TRIM(E19))=0</formula>
    </cfRule>
  </conditionalFormatting>
  <conditionalFormatting sqref="E22:AL23 E25:AL26 E33:AL33 E35:AL35 E39:AL40">
    <cfRule type="containsBlanks" dxfId="0" priority="4">
      <formula>LEN(TRIM(E22))=0</formula>
    </cfRule>
  </conditionalFormatting>
  <conditionalFormatting sqref="E30:AL30">
    <cfRule type="expression" dxfId="1" priority="5">
      <formula>E30&lt;&gt;E47</formula>
    </cfRule>
  </conditionalFormatting>
  <conditionalFormatting sqref="E30:AL30">
    <cfRule type="expression" dxfId="1" priority="6">
      <formula>E30&lt;&gt;E34</formula>
    </cfRule>
  </conditionalFormatting>
  <conditionalFormatting sqref="E34:AL34">
    <cfRule type="expression" dxfId="2" priority="7">
      <formula>E30&lt;&gt;E34</formula>
    </cfRule>
  </conditionalFormatting>
  <conditionalFormatting sqref="E34:AL34">
    <cfRule type="expression" dxfId="3" priority="8">
      <formula>E30=E34</formula>
    </cfRule>
  </conditionalFormatting>
  <conditionalFormatting sqref="E34:AL34">
    <cfRule type="expression" dxfId="1" priority="9">
      <formula>E34&lt;&gt;E30</formula>
    </cfRule>
  </conditionalFormatting>
  <conditionalFormatting sqref="E45:AL52">
    <cfRule type="containsBlanks" dxfId="0" priority="10">
      <formula>LEN(TRIM(E45))=0</formula>
    </cfRule>
  </conditionalFormatting>
  <conditionalFormatting sqref="E55:AL62">
    <cfRule type="containsBlanks" dxfId="0" priority="11">
      <formula>LEN(TRIM(E55))=0</formula>
    </cfRule>
  </conditionalFormatting>
  <conditionalFormatting sqref="E65:AL72">
    <cfRule type="containsBlanks" dxfId="0" priority="12">
      <formula>LEN(TRIM(E65))=0</formula>
    </cfRule>
  </conditionalFormatting>
  <conditionalFormatting sqref="E75:AL82">
    <cfRule type="containsBlanks" dxfId="0" priority="13">
      <formula>LEN(TRIM(E75))=0</formula>
    </cfRule>
  </conditionalFormatting>
  <conditionalFormatting sqref="E85:AL92">
    <cfRule type="containsBlanks" dxfId="0" priority="14">
      <formula>LEN(TRIM(E85))=0</formula>
    </cfRule>
  </conditionalFormatting>
  <conditionalFormatting sqref="E95:AL102">
    <cfRule type="containsBlanks" dxfId="0" priority="15">
      <formula>LEN(TRIM(E95))=0</formula>
    </cfRule>
  </conditionalFormatting>
  <conditionalFormatting sqref="E105:AL108">
    <cfRule type="containsBlanks" dxfId="0" priority="16">
      <formula>LEN(TRIM(E105))=0</formula>
    </cfRule>
  </conditionalFormatting>
  <conditionalFormatting sqref="E111:AL118">
    <cfRule type="containsBlanks" dxfId="0" priority="17">
      <formula>LEN(TRIM(E111))=0</formula>
    </cfRule>
  </conditionalFormatting>
  <conditionalFormatting sqref="T121:AL128">
    <cfRule type="containsBlanks" dxfId="0" priority="18">
      <formula>LEN(TRIM(T121))=0</formula>
    </cfRule>
  </conditionalFormatting>
  <conditionalFormatting sqref="E131:AL135">
    <cfRule type="containsBlanks" dxfId="0" priority="19">
      <formula>LEN(TRIM(E131))=0</formula>
    </cfRule>
  </conditionalFormatting>
  <conditionalFormatting sqref="E138:AL145">
    <cfRule type="containsBlanks" dxfId="0" priority="20">
      <formula>LEN(TRIM(E138))=0</formula>
    </cfRule>
  </conditionalFormatting>
  <conditionalFormatting sqref="E148:AL155">
    <cfRule type="containsBlanks" dxfId="0" priority="21">
      <formula>LEN(TRIM(E148))=0</formula>
    </cfRule>
  </conditionalFormatting>
  <conditionalFormatting sqref="E158:AL165">
    <cfRule type="containsBlanks" dxfId="0" priority="22">
      <formula>LEN(TRIM(E158))=0</formula>
    </cfRule>
  </conditionalFormatting>
  <conditionalFormatting sqref="E168:AL175">
    <cfRule type="containsBlanks" dxfId="0" priority="23">
      <formula>LEN(TRIM(E168))=0</formula>
    </cfRule>
  </conditionalFormatting>
  <conditionalFormatting sqref="E178:AL185">
    <cfRule type="containsBlanks" dxfId="0" priority="24">
      <formula>LEN(TRIM(E178))=0</formula>
    </cfRule>
  </conditionalFormatting>
  <conditionalFormatting sqref="E188:AL195">
    <cfRule type="containsBlanks" dxfId="0" priority="25">
      <formula>LEN(TRIM(E188))=0</formula>
    </cfRule>
  </conditionalFormatting>
  <conditionalFormatting sqref="E198:AL205">
    <cfRule type="containsBlanks" dxfId="0" priority="26">
      <formula>LEN(TRIM(E198))=0</formula>
    </cfRule>
  </conditionalFormatting>
  <conditionalFormatting sqref="E208:AL214">
    <cfRule type="containsBlanks" dxfId="0" priority="27">
      <formula>LEN(TRIM(E208))=0</formula>
    </cfRule>
  </conditionalFormatting>
  <conditionalFormatting sqref="E218:AL219">
    <cfRule type="containsBlanks" dxfId="0" priority="28">
      <formula>LEN(TRIM(E218))=0</formula>
    </cfRule>
  </conditionalFormatting>
  <conditionalFormatting sqref="U34">
    <cfRule type="expression" dxfId="1" priority="29">
      <formula>U34&lt;&gt;U47</formula>
    </cfRule>
  </conditionalFormatting>
  <conditionalFormatting sqref="AK34:AL34">
    <cfRule type="expression" dxfId="1" priority="30">
      <formula>AK34&lt;&gt;AK47</formula>
    </cfRule>
  </conditionalFormatting>
  <conditionalFormatting sqref="E121:S128">
    <cfRule type="containsBlanks" dxfId="0" priority="31">
      <formula>LEN(TRIM(E121))=0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13" t="s">
        <v>227</v>
      </c>
      <c r="AE13" s="13" t="s">
        <v>228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121.0</v>
      </c>
      <c r="F14" s="19">
        <v>121.0</v>
      </c>
      <c r="G14" s="19">
        <v>145.0</v>
      </c>
      <c r="H14" s="19">
        <v>129.0</v>
      </c>
      <c r="I14" s="19">
        <v>120.0</v>
      </c>
      <c r="J14" s="19">
        <v>134.0</v>
      </c>
      <c r="K14" s="19">
        <v>117.0</v>
      </c>
      <c r="L14" s="19">
        <v>139.0</v>
      </c>
      <c r="M14" s="19">
        <v>91.0</v>
      </c>
      <c r="N14" s="19">
        <v>126.0</v>
      </c>
      <c r="O14" s="19">
        <v>144.0</v>
      </c>
      <c r="P14" s="19">
        <v>132.0</v>
      </c>
      <c r="Q14" s="19">
        <v>104.0</v>
      </c>
      <c r="R14" s="19">
        <v>147.0</v>
      </c>
      <c r="S14" s="19">
        <v>143.0</v>
      </c>
      <c r="T14" s="19">
        <v>146.0</v>
      </c>
      <c r="U14" s="19">
        <v>136.0</v>
      </c>
      <c r="V14" s="19">
        <v>143.0</v>
      </c>
      <c r="W14" s="19">
        <v>118.0</v>
      </c>
      <c r="X14" s="19">
        <v>145.0</v>
      </c>
      <c r="Y14" s="19">
        <v>139.0</v>
      </c>
      <c r="Z14" s="19">
        <v>141.0</v>
      </c>
      <c r="AA14" s="19">
        <v>140.0</v>
      </c>
      <c r="AB14" s="19">
        <v>154.0</v>
      </c>
      <c r="AC14" s="19">
        <v>149.0</v>
      </c>
      <c r="AD14" s="19">
        <v>104.0</v>
      </c>
      <c r="AE14" s="19">
        <v>104.0</v>
      </c>
      <c r="AF14" s="13">
        <f t="shared" ref="AF14:AF16" si="1">SUM(E14:AE14)</f>
        <v>3532</v>
      </c>
    </row>
    <row r="15" ht="12.75" customHeight="1">
      <c r="A15" s="18"/>
      <c r="B15" s="26"/>
      <c r="C15" s="27"/>
      <c r="D15" s="19" t="s">
        <v>13</v>
      </c>
      <c r="E15" s="19">
        <v>121.0</v>
      </c>
      <c r="F15" s="19">
        <v>125.0</v>
      </c>
      <c r="G15" s="19">
        <v>132.0</v>
      </c>
      <c r="H15" s="19">
        <v>131.0</v>
      </c>
      <c r="I15" s="19">
        <v>128.0</v>
      </c>
      <c r="J15" s="19">
        <v>123.0</v>
      </c>
      <c r="K15" s="19">
        <v>130.0</v>
      </c>
      <c r="L15" s="19">
        <v>139.0</v>
      </c>
      <c r="M15" s="19">
        <v>97.0</v>
      </c>
      <c r="N15" s="19">
        <v>125.0</v>
      </c>
      <c r="O15" s="19">
        <v>137.0</v>
      </c>
      <c r="P15" s="19">
        <v>135.0</v>
      </c>
      <c r="Q15" s="19">
        <v>113.0</v>
      </c>
      <c r="R15" s="19">
        <v>119.0</v>
      </c>
      <c r="S15" s="19">
        <v>138.0</v>
      </c>
      <c r="T15" s="19">
        <v>141.0</v>
      </c>
      <c r="U15" s="19">
        <v>145.0</v>
      </c>
      <c r="V15" s="19">
        <v>143.0</v>
      </c>
      <c r="W15" s="19">
        <v>104.0</v>
      </c>
      <c r="X15" s="19">
        <v>133.0</v>
      </c>
      <c r="Y15" s="19">
        <v>143.0</v>
      </c>
      <c r="Z15" s="19">
        <v>145.0</v>
      </c>
      <c r="AA15" s="19">
        <v>140.0</v>
      </c>
      <c r="AB15" s="19">
        <v>139.0</v>
      </c>
      <c r="AC15" s="19">
        <v>144.0</v>
      </c>
      <c r="AD15" s="19">
        <v>104.0</v>
      </c>
      <c r="AE15" s="19">
        <v>119.0</v>
      </c>
      <c r="AF15" s="13">
        <f t="shared" si="1"/>
        <v>3493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242</v>
      </c>
      <c r="F16" s="13">
        <f t="shared" si="2"/>
        <v>246</v>
      </c>
      <c r="G16" s="13">
        <f t="shared" si="2"/>
        <v>277</v>
      </c>
      <c r="H16" s="13">
        <f t="shared" si="2"/>
        <v>260</v>
      </c>
      <c r="I16" s="13">
        <f t="shared" si="2"/>
        <v>248</v>
      </c>
      <c r="J16" s="13">
        <f t="shared" si="2"/>
        <v>257</v>
      </c>
      <c r="K16" s="13">
        <f t="shared" si="2"/>
        <v>247</v>
      </c>
      <c r="L16" s="13">
        <f t="shared" si="2"/>
        <v>278</v>
      </c>
      <c r="M16" s="13">
        <f t="shared" si="2"/>
        <v>188</v>
      </c>
      <c r="N16" s="13">
        <f t="shared" si="2"/>
        <v>251</v>
      </c>
      <c r="O16" s="13">
        <f t="shared" si="2"/>
        <v>281</v>
      </c>
      <c r="P16" s="13">
        <f t="shared" si="2"/>
        <v>267</v>
      </c>
      <c r="Q16" s="13">
        <f t="shared" si="2"/>
        <v>217</v>
      </c>
      <c r="R16" s="13">
        <f t="shared" si="2"/>
        <v>266</v>
      </c>
      <c r="S16" s="13">
        <f t="shared" si="2"/>
        <v>281</v>
      </c>
      <c r="T16" s="13">
        <f t="shared" si="2"/>
        <v>287</v>
      </c>
      <c r="U16" s="13">
        <f t="shared" si="2"/>
        <v>281</v>
      </c>
      <c r="V16" s="13">
        <f t="shared" si="2"/>
        <v>286</v>
      </c>
      <c r="W16" s="13">
        <f t="shared" si="2"/>
        <v>222</v>
      </c>
      <c r="X16" s="13">
        <f t="shared" si="2"/>
        <v>278</v>
      </c>
      <c r="Y16" s="13">
        <f t="shared" si="2"/>
        <v>282</v>
      </c>
      <c r="Z16" s="13">
        <f t="shared" si="2"/>
        <v>286</v>
      </c>
      <c r="AA16" s="13">
        <f t="shared" si="2"/>
        <v>280</v>
      </c>
      <c r="AB16" s="13">
        <f t="shared" si="2"/>
        <v>293</v>
      </c>
      <c r="AC16" s="13">
        <f t="shared" si="2"/>
        <v>293</v>
      </c>
      <c r="AD16" s="13">
        <f t="shared" si="2"/>
        <v>208</v>
      </c>
      <c r="AE16" s="13">
        <f t="shared" si="2"/>
        <v>223</v>
      </c>
      <c r="AF16" s="13">
        <f t="shared" si="1"/>
        <v>7025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83.0</v>
      </c>
      <c r="F19" s="19">
        <v>95.0</v>
      </c>
      <c r="G19" s="19">
        <v>107.0</v>
      </c>
      <c r="H19" s="19">
        <v>104.0</v>
      </c>
      <c r="I19" s="19">
        <v>95.0</v>
      </c>
      <c r="J19" s="19">
        <v>106.0</v>
      </c>
      <c r="K19" s="19">
        <v>100.0</v>
      </c>
      <c r="L19" s="19">
        <v>98.0</v>
      </c>
      <c r="M19" s="19">
        <v>78.0</v>
      </c>
      <c r="N19" s="19">
        <v>103.0</v>
      </c>
      <c r="O19" s="19">
        <v>102.0</v>
      </c>
      <c r="P19" s="19">
        <v>102.0</v>
      </c>
      <c r="Q19" s="19">
        <v>92.0</v>
      </c>
      <c r="R19" s="19">
        <v>128.0</v>
      </c>
      <c r="S19" s="19">
        <v>113.0</v>
      </c>
      <c r="T19" s="19">
        <v>108.0</v>
      </c>
      <c r="U19" s="19">
        <v>119.0</v>
      </c>
      <c r="V19" s="19">
        <v>104.0</v>
      </c>
      <c r="W19" s="19">
        <v>77.0</v>
      </c>
      <c r="X19" s="19">
        <v>106.0</v>
      </c>
      <c r="Y19" s="19">
        <v>102.0</v>
      </c>
      <c r="Z19" s="19">
        <v>107.0</v>
      </c>
      <c r="AA19" s="19">
        <v>106.0</v>
      </c>
      <c r="AB19" s="19">
        <v>123.0</v>
      </c>
      <c r="AC19" s="19">
        <v>115.0</v>
      </c>
      <c r="AD19" s="19">
        <v>69.0</v>
      </c>
      <c r="AE19" s="19">
        <v>79.0</v>
      </c>
      <c r="AF19" s="13">
        <f t="shared" ref="AF19:AF30" si="3">SUM(E19:AE19)</f>
        <v>2721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97.0</v>
      </c>
      <c r="G20" s="19">
        <v>108.0</v>
      </c>
      <c r="H20" s="19">
        <v>113.0</v>
      </c>
      <c r="I20" s="19">
        <v>96.0</v>
      </c>
      <c r="J20" s="19">
        <v>99.0</v>
      </c>
      <c r="K20" s="19">
        <v>113.0</v>
      </c>
      <c r="L20" s="19">
        <v>108.0</v>
      </c>
      <c r="M20" s="19">
        <v>80.0</v>
      </c>
      <c r="N20" s="19">
        <v>97.0</v>
      </c>
      <c r="O20" s="19">
        <v>122.0</v>
      </c>
      <c r="P20" s="19">
        <v>111.0</v>
      </c>
      <c r="Q20" s="19">
        <v>99.0</v>
      </c>
      <c r="R20" s="19">
        <v>104.0</v>
      </c>
      <c r="S20" s="19">
        <v>112.0</v>
      </c>
      <c r="T20" s="19">
        <v>105.0</v>
      </c>
      <c r="U20" s="19">
        <v>124.0</v>
      </c>
      <c r="V20" s="19">
        <v>114.0</v>
      </c>
      <c r="W20" s="19">
        <v>73.0</v>
      </c>
      <c r="X20" s="19">
        <v>99.0</v>
      </c>
      <c r="Y20" s="19">
        <v>110.0</v>
      </c>
      <c r="Z20" s="19">
        <v>118.0</v>
      </c>
      <c r="AA20" s="19">
        <v>110.0</v>
      </c>
      <c r="AB20" s="19">
        <v>106.0</v>
      </c>
      <c r="AC20" s="19">
        <v>103.0</v>
      </c>
      <c r="AD20" s="19">
        <v>68.0</v>
      </c>
      <c r="AE20" s="19">
        <v>94.0</v>
      </c>
      <c r="AF20" s="13">
        <f t="shared" si="3"/>
        <v>2776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176</v>
      </c>
      <c r="F21" s="13">
        <f t="shared" si="4"/>
        <v>192</v>
      </c>
      <c r="G21" s="13">
        <f t="shared" si="4"/>
        <v>215</v>
      </c>
      <c r="H21" s="13">
        <f t="shared" si="4"/>
        <v>217</v>
      </c>
      <c r="I21" s="13">
        <f t="shared" si="4"/>
        <v>191</v>
      </c>
      <c r="J21" s="13">
        <f t="shared" si="4"/>
        <v>205</v>
      </c>
      <c r="K21" s="13">
        <f t="shared" si="4"/>
        <v>213</v>
      </c>
      <c r="L21" s="13">
        <f t="shared" si="4"/>
        <v>206</v>
      </c>
      <c r="M21" s="13">
        <f t="shared" si="4"/>
        <v>158</v>
      </c>
      <c r="N21" s="13">
        <f t="shared" si="4"/>
        <v>200</v>
      </c>
      <c r="O21" s="13">
        <f t="shared" si="4"/>
        <v>224</v>
      </c>
      <c r="P21" s="13">
        <f t="shared" si="4"/>
        <v>213</v>
      </c>
      <c r="Q21" s="13">
        <f t="shared" si="4"/>
        <v>191</v>
      </c>
      <c r="R21" s="13">
        <f t="shared" si="4"/>
        <v>232</v>
      </c>
      <c r="S21" s="13">
        <f t="shared" si="4"/>
        <v>225</v>
      </c>
      <c r="T21" s="13">
        <f t="shared" si="4"/>
        <v>213</v>
      </c>
      <c r="U21" s="13">
        <f t="shared" si="4"/>
        <v>243</v>
      </c>
      <c r="V21" s="13">
        <f t="shared" si="4"/>
        <v>218</v>
      </c>
      <c r="W21" s="13">
        <f t="shared" si="4"/>
        <v>150</v>
      </c>
      <c r="X21" s="13">
        <f t="shared" si="4"/>
        <v>205</v>
      </c>
      <c r="Y21" s="13">
        <f t="shared" si="4"/>
        <v>212</v>
      </c>
      <c r="Z21" s="13">
        <f t="shared" si="4"/>
        <v>225</v>
      </c>
      <c r="AA21" s="13">
        <f t="shared" si="4"/>
        <v>216</v>
      </c>
      <c r="AB21" s="13">
        <f t="shared" si="4"/>
        <v>229</v>
      </c>
      <c r="AC21" s="13">
        <f t="shared" si="4"/>
        <v>218</v>
      </c>
      <c r="AD21" s="13">
        <f t="shared" si="4"/>
        <v>137</v>
      </c>
      <c r="AE21" s="13">
        <f t="shared" si="4"/>
        <v>173</v>
      </c>
      <c r="AF21" s="13">
        <f t="shared" si="3"/>
        <v>5497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1.0</v>
      </c>
      <c r="AB22" s="19">
        <v>0.0</v>
      </c>
      <c r="AC22" s="19">
        <v>0.0</v>
      </c>
      <c r="AD22" s="19">
        <v>0.0</v>
      </c>
      <c r="AE22" s="19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3.0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3">
        <f t="shared" si="3"/>
        <v>3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83</v>
      </c>
      <c r="F28" s="13">
        <f t="shared" si="7"/>
        <v>95</v>
      </c>
      <c r="G28" s="13">
        <f t="shared" si="7"/>
        <v>107</v>
      </c>
      <c r="H28" s="13">
        <f t="shared" si="7"/>
        <v>104</v>
      </c>
      <c r="I28" s="13">
        <f t="shared" si="7"/>
        <v>95</v>
      </c>
      <c r="J28" s="13">
        <f t="shared" si="7"/>
        <v>106</v>
      </c>
      <c r="K28" s="13">
        <f t="shared" si="7"/>
        <v>100</v>
      </c>
      <c r="L28" s="13">
        <f t="shared" si="7"/>
        <v>98</v>
      </c>
      <c r="M28" s="13">
        <f t="shared" si="7"/>
        <v>78</v>
      </c>
      <c r="N28" s="13">
        <f t="shared" si="7"/>
        <v>103</v>
      </c>
      <c r="O28" s="13">
        <f t="shared" si="7"/>
        <v>102</v>
      </c>
      <c r="P28" s="13">
        <f t="shared" si="7"/>
        <v>102</v>
      </c>
      <c r="Q28" s="13">
        <f t="shared" si="7"/>
        <v>92</v>
      </c>
      <c r="R28" s="13">
        <f t="shared" si="7"/>
        <v>128</v>
      </c>
      <c r="S28" s="13">
        <f t="shared" si="7"/>
        <v>113</v>
      </c>
      <c r="T28" s="13">
        <f t="shared" si="7"/>
        <v>108</v>
      </c>
      <c r="U28" s="13">
        <f t="shared" si="7"/>
        <v>119</v>
      </c>
      <c r="V28" s="13">
        <f t="shared" si="7"/>
        <v>104</v>
      </c>
      <c r="W28" s="13">
        <f t="shared" si="7"/>
        <v>77</v>
      </c>
      <c r="X28" s="13">
        <f t="shared" si="7"/>
        <v>106</v>
      </c>
      <c r="Y28" s="13">
        <f t="shared" si="7"/>
        <v>102</v>
      </c>
      <c r="Z28" s="13">
        <f t="shared" si="7"/>
        <v>107</v>
      </c>
      <c r="AA28" s="13">
        <f t="shared" si="7"/>
        <v>107</v>
      </c>
      <c r="AB28" s="13">
        <f t="shared" si="7"/>
        <v>123</v>
      </c>
      <c r="AC28" s="13">
        <f t="shared" si="7"/>
        <v>115</v>
      </c>
      <c r="AD28" s="13">
        <f t="shared" si="7"/>
        <v>69</v>
      </c>
      <c r="AE28" s="13">
        <f t="shared" si="7"/>
        <v>79</v>
      </c>
      <c r="AF28" s="13">
        <f t="shared" si="3"/>
        <v>2722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93</v>
      </c>
      <c r="F29" s="13">
        <f t="shared" si="8"/>
        <v>97</v>
      </c>
      <c r="G29" s="13">
        <f t="shared" si="8"/>
        <v>108</v>
      </c>
      <c r="H29" s="13">
        <f t="shared" si="8"/>
        <v>113</v>
      </c>
      <c r="I29" s="13">
        <f t="shared" si="8"/>
        <v>96</v>
      </c>
      <c r="J29" s="13">
        <f t="shared" si="8"/>
        <v>99</v>
      </c>
      <c r="K29" s="13">
        <f t="shared" si="8"/>
        <v>113</v>
      </c>
      <c r="L29" s="13">
        <f t="shared" si="8"/>
        <v>108</v>
      </c>
      <c r="M29" s="13">
        <f t="shared" si="8"/>
        <v>80</v>
      </c>
      <c r="N29" s="13">
        <f t="shared" si="8"/>
        <v>97</v>
      </c>
      <c r="O29" s="13">
        <f t="shared" si="8"/>
        <v>122</v>
      </c>
      <c r="P29" s="13">
        <f t="shared" si="8"/>
        <v>114</v>
      </c>
      <c r="Q29" s="13">
        <f t="shared" si="8"/>
        <v>99</v>
      </c>
      <c r="R29" s="13">
        <f t="shared" si="8"/>
        <v>104</v>
      </c>
      <c r="S29" s="13">
        <f t="shared" si="8"/>
        <v>112</v>
      </c>
      <c r="T29" s="13">
        <f t="shared" si="8"/>
        <v>105</v>
      </c>
      <c r="U29" s="13">
        <f t="shared" si="8"/>
        <v>124</v>
      </c>
      <c r="V29" s="13">
        <f t="shared" si="8"/>
        <v>114</v>
      </c>
      <c r="W29" s="13">
        <f t="shared" si="8"/>
        <v>73</v>
      </c>
      <c r="X29" s="13">
        <f t="shared" si="8"/>
        <v>99</v>
      </c>
      <c r="Y29" s="13">
        <f t="shared" si="8"/>
        <v>110</v>
      </c>
      <c r="Z29" s="13">
        <f t="shared" si="8"/>
        <v>118</v>
      </c>
      <c r="AA29" s="13">
        <f t="shared" si="8"/>
        <v>110</v>
      </c>
      <c r="AB29" s="13">
        <f t="shared" si="8"/>
        <v>106</v>
      </c>
      <c r="AC29" s="13">
        <f t="shared" si="8"/>
        <v>103</v>
      </c>
      <c r="AD29" s="13">
        <f t="shared" si="8"/>
        <v>68</v>
      </c>
      <c r="AE29" s="13">
        <f t="shared" si="8"/>
        <v>94</v>
      </c>
      <c r="AF29" s="13">
        <f t="shared" si="3"/>
        <v>2779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176</v>
      </c>
      <c r="F30" s="13">
        <f t="shared" si="9"/>
        <v>192</v>
      </c>
      <c r="G30" s="13">
        <f t="shared" si="9"/>
        <v>215</v>
      </c>
      <c r="H30" s="13">
        <f t="shared" si="9"/>
        <v>217</v>
      </c>
      <c r="I30" s="13">
        <f t="shared" si="9"/>
        <v>191</v>
      </c>
      <c r="J30" s="13">
        <f t="shared" si="9"/>
        <v>205</v>
      </c>
      <c r="K30" s="13">
        <f t="shared" si="9"/>
        <v>213</v>
      </c>
      <c r="L30" s="13">
        <f t="shared" si="9"/>
        <v>206</v>
      </c>
      <c r="M30" s="13">
        <f t="shared" si="9"/>
        <v>158</v>
      </c>
      <c r="N30" s="13">
        <f t="shared" si="9"/>
        <v>200</v>
      </c>
      <c r="O30" s="13">
        <f t="shared" si="9"/>
        <v>224</v>
      </c>
      <c r="P30" s="13">
        <f t="shared" si="9"/>
        <v>216</v>
      </c>
      <c r="Q30" s="13">
        <f t="shared" si="9"/>
        <v>191</v>
      </c>
      <c r="R30" s="13">
        <f t="shared" si="9"/>
        <v>232</v>
      </c>
      <c r="S30" s="13">
        <f t="shared" si="9"/>
        <v>225</v>
      </c>
      <c r="T30" s="13">
        <f t="shared" si="9"/>
        <v>213</v>
      </c>
      <c r="U30" s="13">
        <f t="shared" si="9"/>
        <v>243</v>
      </c>
      <c r="V30" s="13">
        <f t="shared" si="9"/>
        <v>218</v>
      </c>
      <c r="W30" s="13">
        <f t="shared" si="9"/>
        <v>150</v>
      </c>
      <c r="X30" s="13">
        <f t="shared" si="9"/>
        <v>205</v>
      </c>
      <c r="Y30" s="13">
        <f t="shared" si="9"/>
        <v>212</v>
      </c>
      <c r="Z30" s="13">
        <f t="shared" si="9"/>
        <v>225</v>
      </c>
      <c r="AA30" s="13">
        <f t="shared" si="9"/>
        <v>217</v>
      </c>
      <c r="AB30" s="13">
        <f t="shared" si="9"/>
        <v>229</v>
      </c>
      <c r="AC30" s="13">
        <f t="shared" si="9"/>
        <v>218</v>
      </c>
      <c r="AD30" s="13">
        <f t="shared" si="9"/>
        <v>137</v>
      </c>
      <c r="AE30" s="13">
        <f t="shared" si="9"/>
        <v>173</v>
      </c>
      <c r="AF30" s="13">
        <f t="shared" si="3"/>
        <v>5501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0"/>
    </row>
    <row r="33" ht="12.75" customHeight="1">
      <c r="A33" s="19">
        <v>1.0</v>
      </c>
      <c r="B33" s="20" t="s">
        <v>27</v>
      </c>
      <c r="C33" s="15"/>
      <c r="D33" s="16"/>
      <c r="E33" s="19">
        <v>247.0</v>
      </c>
      <c r="F33" s="19">
        <v>251.0</v>
      </c>
      <c r="G33" s="19">
        <v>283.0</v>
      </c>
      <c r="H33" s="19">
        <v>266.0</v>
      </c>
      <c r="I33" s="19">
        <v>253.0</v>
      </c>
      <c r="J33" s="19">
        <v>263.0</v>
      </c>
      <c r="K33" s="19">
        <v>253.0</v>
      </c>
      <c r="L33" s="19">
        <v>284.0</v>
      </c>
      <c r="M33" s="19">
        <v>192.0</v>
      </c>
      <c r="N33" s="19">
        <v>256.0</v>
      </c>
      <c r="O33" s="19">
        <v>287.0</v>
      </c>
      <c r="P33" s="19">
        <v>289.0</v>
      </c>
      <c r="Q33" s="19">
        <v>222.0</v>
      </c>
      <c r="R33" s="19">
        <v>272.0</v>
      </c>
      <c r="S33" s="19">
        <v>288.0</v>
      </c>
      <c r="T33" s="19">
        <v>293.0</v>
      </c>
      <c r="U33" s="19">
        <v>287.0</v>
      </c>
      <c r="V33" s="19">
        <v>292.0</v>
      </c>
      <c r="W33" s="19">
        <v>227.0</v>
      </c>
      <c r="X33" s="19">
        <v>294.0</v>
      </c>
      <c r="Y33" s="19">
        <v>288.0</v>
      </c>
      <c r="Z33" s="19">
        <v>292.0</v>
      </c>
      <c r="AA33" s="19">
        <v>286.0</v>
      </c>
      <c r="AB33" s="19">
        <v>299.0</v>
      </c>
      <c r="AC33" s="19">
        <v>299.0</v>
      </c>
      <c r="AD33" s="19">
        <v>213.0</v>
      </c>
      <c r="AE33" s="19">
        <v>228.0</v>
      </c>
      <c r="AF33" s="13">
        <f t="shared" ref="AF33:AF36" si="10">SUM(E33:AE33)</f>
        <v>7204</v>
      </c>
    </row>
    <row r="34" ht="12.75" customHeight="1">
      <c r="A34" s="19">
        <v>2.0</v>
      </c>
      <c r="B34" s="20" t="s">
        <v>28</v>
      </c>
      <c r="C34" s="15"/>
      <c r="D34" s="16"/>
      <c r="E34" s="13">
        <v>176.0</v>
      </c>
      <c r="F34" s="13">
        <v>192.0</v>
      </c>
      <c r="G34" s="13">
        <v>215.0</v>
      </c>
      <c r="H34" s="13">
        <v>217.0</v>
      </c>
      <c r="I34" s="13">
        <v>191.0</v>
      </c>
      <c r="J34" s="13">
        <v>205.0</v>
      </c>
      <c r="K34" s="13">
        <v>213.0</v>
      </c>
      <c r="L34" s="13">
        <v>206.0</v>
      </c>
      <c r="M34" s="13">
        <v>158.0</v>
      </c>
      <c r="N34" s="13">
        <v>200.0</v>
      </c>
      <c r="O34" s="13">
        <v>224.0</v>
      </c>
      <c r="P34" s="13">
        <v>216.0</v>
      </c>
      <c r="Q34" s="13">
        <v>191.0</v>
      </c>
      <c r="R34" s="13">
        <v>232.0</v>
      </c>
      <c r="S34" s="13">
        <v>225.0</v>
      </c>
      <c r="T34" s="13">
        <v>213.0</v>
      </c>
      <c r="U34" s="13">
        <v>243.0</v>
      </c>
      <c r="V34" s="13">
        <v>218.0</v>
      </c>
      <c r="W34" s="13">
        <v>150.0</v>
      </c>
      <c r="X34" s="13">
        <v>205.0</v>
      </c>
      <c r="Y34" s="13">
        <v>212.0</v>
      </c>
      <c r="Z34" s="13">
        <v>225.0</v>
      </c>
      <c r="AA34" s="13">
        <v>217.0</v>
      </c>
      <c r="AB34" s="13">
        <v>229.0</v>
      </c>
      <c r="AC34" s="13">
        <v>218.0</v>
      </c>
      <c r="AD34" s="13">
        <v>137.0</v>
      </c>
      <c r="AE34" s="13">
        <v>173.0</v>
      </c>
      <c r="AF34" s="13">
        <f t="shared" si="10"/>
        <v>5501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5.0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2.0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71</v>
      </c>
      <c r="F36" s="13">
        <f t="shared" si="11"/>
        <v>59</v>
      </c>
      <c r="G36" s="13">
        <f t="shared" si="11"/>
        <v>68</v>
      </c>
      <c r="H36" s="13">
        <f t="shared" si="11"/>
        <v>49</v>
      </c>
      <c r="I36" s="13">
        <f t="shared" si="11"/>
        <v>62</v>
      </c>
      <c r="J36" s="13">
        <f t="shared" si="11"/>
        <v>58</v>
      </c>
      <c r="K36" s="13">
        <f t="shared" si="11"/>
        <v>40</v>
      </c>
      <c r="L36" s="13">
        <f t="shared" si="11"/>
        <v>78</v>
      </c>
      <c r="M36" s="13">
        <f t="shared" si="11"/>
        <v>34</v>
      </c>
      <c r="N36" s="13">
        <f t="shared" si="11"/>
        <v>51</v>
      </c>
      <c r="O36" s="13">
        <f t="shared" si="11"/>
        <v>63</v>
      </c>
      <c r="P36" s="13">
        <f t="shared" si="11"/>
        <v>73</v>
      </c>
      <c r="Q36" s="13">
        <f t="shared" si="11"/>
        <v>31</v>
      </c>
      <c r="R36" s="13">
        <f t="shared" si="11"/>
        <v>40</v>
      </c>
      <c r="S36" s="13">
        <f t="shared" si="11"/>
        <v>63</v>
      </c>
      <c r="T36" s="13">
        <f t="shared" si="11"/>
        <v>78</v>
      </c>
      <c r="U36" s="13">
        <f t="shared" si="11"/>
        <v>44</v>
      </c>
      <c r="V36" s="13">
        <f t="shared" si="11"/>
        <v>74</v>
      </c>
      <c r="W36" s="13">
        <f t="shared" si="11"/>
        <v>77</v>
      </c>
      <c r="X36" s="13">
        <f t="shared" si="11"/>
        <v>89</v>
      </c>
      <c r="Y36" s="13">
        <f t="shared" si="11"/>
        <v>76</v>
      </c>
      <c r="Z36" s="13">
        <f t="shared" si="11"/>
        <v>67</v>
      </c>
      <c r="AA36" s="13">
        <f t="shared" si="11"/>
        <v>69</v>
      </c>
      <c r="AB36" s="13">
        <f t="shared" si="11"/>
        <v>70</v>
      </c>
      <c r="AC36" s="13">
        <f t="shared" si="11"/>
        <v>81</v>
      </c>
      <c r="AD36" s="13">
        <f t="shared" si="11"/>
        <v>76</v>
      </c>
      <c r="AE36" s="13">
        <f t="shared" si="11"/>
        <v>55</v>
      </c>
      <c r="AF36" s="13">
        <f t="shared" si="10"/>
        <v>1696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9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>
        <v>2.0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>
        <v>2.0</v>
      </c>
      <c r="X40" s="19"/>
      <c r="Y40" s="19"/>
      <c r="Z40" s="19"/>
      <c r="AA40" s="19"/>
      <c r="AB40" s="19"/>
      <c r="AC40" s="19"/>
      <c r="AD40" s="19"/>
      <c r="AE40" s="19"/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2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2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69"/>
      <c r="Q42" s="19"/>
      <c r="R42" s="69"/>
      <c r="S42" s="19"/>
      <c r="T42" s="69"/>
      <c r="U42" s="19"/>
      <c r="V42" s="69"/>
      <c r="W42" s="19"/>
      <c r="X42" s="19"/>
      <c r="Y42" s="69"/>
      <c r="Z42" s="19"/>
      <c r="AA42" s="69"/>
      <c r="AB42" s="19"/>
      <c r="AC42" s="69"/>
      <c r="AD42" s="19"/>
      <c r="AE42" s="6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1"/>
      <c r="O43" s="13"/>
      <c r="P43" s="71"/>
      <c r="Q43" s="13"/>
      <c r="R43" s="71"/>
      <c r="S43" s="13"/>
      <c r="T43" s="71"/>
      <c r="U43" s="13"/>
      <c r="V43" s="71"/>
      <c r="W43" s="13"/>
      <c r="X43" s="13"/>
      <c r="Y43" s="71"/>
      <c r="Z43" s="13"/>
      <c r="AA43" s="71"/>
      <c r="AB43" s="13"/>
      <c r="AC43" s="71"/>
      <c r="AD43" s="13"/>
      <c r="AE43" s="71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69"/>
      <c r="Q44" s="19"/>
      <c r="R44" s="69"/>
      <c r="S44" s="19"/>
      <c r="T44" s="69"/>
      <c r="U44" s="19"/>
      <c r="V44" s="69"/>
      <c r="W44" s="19"/>
      <c r="X44" s="19"/>
      <c r="Y44" s="69"/>
      <c r="Z44" s="19"/>
      <c r="AA44" s="69"/>
      <c r="AB44" s="19"/>
      <c r="AC44" s="69"/>
      <c r="AD44" s="19"/>
      <c r="AE44" s="6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2.0</v>
      </c>
      <c r="F45" s="19">
        <v>2.0</v>
      </c>
      <c r="G45" s="19">
        <v>10.0</v>
      </c>
      <c r="H45" s="19">
        <v>5.0</v>
      </c>
      <c r="I45" s="19">
        <v>6.0</v>
      </c>
      <c r="J45" s="19">
        <v>4.0</v>
      </c>
      <c r="K45" s="19">
        <v>7.0</v>
      </c>
      <c r="L45" s="19">
        <v>7.0</v>
      </c>
      <c r="M45" s="19">
        <v>1.0</v>
      </c>
      <c r="N45" s="19">
        <v>8.0</v>
      </c>
      <c r="O45" s="19">
        <v>9.0</v>
      </c>
      <c r="P45" s="19">
        <v>4.0</v>
      </c>
      <c r="Q45" s="19">
        <v>0.0</v>
      </c>
      <c r="R45" s="19">
        <v>1.0</v>
      </c>
      <c r="S45" s="19">
        <v>0.0</v>
      </c>
      <c r="T45" s="19">
        <v>8.0</v>
      </c>
      <c r="U45" s="19">
        <v>6.0</v>
      </c>
      <c r="V45" s="19">
        <v>8.0</v>
      </c>
      <c r="W45" s="19">
        <v>3.0</v>
      </c>
      <c r="X45" s="19">
        <v>7.0</v>
      </c>
      <c r="Y45" s="19">
        <v>7.0</v>
      </c>
      <c r="Z45" s="19">
        <v>4.0</v>
      </c>
      <c r="AA45" s="19">
        <v>5.0</v>
      </c>
      <c r="AB45" s="19">
        <v>12.0</v>
      </c>
      <c r="AC45" s="19">
        <v>4.0</v>
      </c>
      <c r="AD45" s="19">
        <v>9.0</v>
      </c>
      <c r="AE45" s="19">
        <v>3.0</v>
      </c>
      <c r="AF45" s="13">
        <f t="shared" ref="AF45:AF52" si="14">SUM(E45:AE45)</f>
        <v>142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1.0</v>
      </c>
      <c r="F46" s="19">
        <v>1.0</v>
      </c>
      <c r="G46" s="19">
        <v>22.0</v>
      </c>
      <c r="H46" s="19">
        <v>15.0</v>
      </c>
      <c r="I46" s="19">
        <v>3.0</v>
      </c>
      <c r="J46" s="19">
        <v>6.0</v>
      </c>
      <c r="K46" s="19">
        <v>10.0</v>
      </c>
      <c r="L46" s="19">
        <v>15.0</v>
      </c>
      <c r="M46" s="19">
        <v>10.0</v>
      </c>
      <c r="N46" s="19">
        <v>9.0</v>
      </c>
      <c r="O46" s="19">
        <v>25.0</v>
      </c>
      <c r="P46" s="19">
        <v>6.0</v>
      </c>
      <c r="Q46" s="19">
        <v>25.0</v>
      </c>
      <c r="R46" s="19">
        <v>10.0</v>
      </c>
      <c r="S46" s="19">
        <v>14.0</v>
      </c>
      <c r="T46" s="19">
        <v>18.0</v>
      </c>
      <c r="U46" s="19">
        <v>25.0</v>
      </c>
      <c r="V46" s="19">
        <v>8.0</v>
      </c>
      <c r="W46" s="19">
        <v>9.0</v>
      </c>
      <c r="X46" s="19">
        <v>7.0</v>
      </c>
      <c r="Y46" s="19">
        <v>4.0</v>
      </c>
      <c r="Z46" s="19">
        <v>11.0</v>
      </c>
      <c r="AA46" s="19">
        <v>17.0</v>
      </c>
      <c r="AB46" s="19">
        <v>42.0</v>
      </c>
      <c r="AC46" s="19">
        <v>12.0</v>
      </c>
      <c r="AD46" s="19">
        <v>7.0</v>
      </c>
      <c r="AE46" s="19">
        <v>13.0</v>
      </c>
      <c r="AF46" s="13">
        <f t="shared" si="14"/>
        <v>345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0.0</v>
      </c>
      <c r="G47" s="19">
        <v>2.0</v>
      </c>
      <c r="H47" s="19">
        <v>2.0</v>
      </c>
      <c r="I47" s="19">
        <v>1.0</v>
      </c>
      <c r="J47" s="19">
        <v>2.0</v>
      </c>
      <c r="K47" s="19">
        <v>2.0</v>
      </c>
      <c r="L47" s="19">
        <v>1.0</v>
      </c>
      <c r="M47" s="19">
        <v>2.0</v>
      </c>
      <c r="N47" s="19">
        <v>3.0</v>
      </c>
      <c r="O47" s="19">
        <v>1.0</v>
      </c>
      <c r="P47" s="19">
        <v>1.0</v>
      </c>
      <c r="Q47" s="19">
        <v>0.0</v>
      </c>
      <c r="R47" s="19">
        <v>1.0</v>
      </c>
      <c r="S47" s="19">
        <v>0.0</v>
      </c>
      <c r="T47" s="19">
        <v>1.0</v>
      </c>
      <c r="U47" s="19">
        <v>4.0</v>
      </c>
      <c r="V47" s="19">
        <v>0.0</v>
      </c>
      <c r="W47" s="19">
        <v>1.0</v>
      </c>
      <c r="X47" s="19">
        <v>1.0</v>
      </c>
      <c r="Y47" s="19">
        <v>1.0</v>
      </c>
      <c r="Z47" s="19">
        <v>1.0</v>
      </c>
      <c r="AA47" s="19">
        <v>1.0</v>
      </c>
      <c r="AB47" s="19">
        <v>3.0</v>
      </c>
      <c r="AC47" s="19">
        <v>2.0</v>
      </c>
      <c r="AD47" s="19">
        <v>3.0</v>
      </c>
      <c r="AE47" s="19">
        <v>1.0</v>
      </c>
      <c r="AF47" s="13">
        <f t="shared" si="14"/>
        <v>40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2.0</v>
      </c>
      <c r="I48" s="19">
        <v>1.0</v>
      </c>
      <c r="J48" s="19">
        <v>0.0</v>
      </c>
      <c r="K48" s="19">
        <v>0.0</v>
      </c>
      <c r="L48" s="19">
        <v>0.0</v>
      </c>
      <c r="M48" s="19">
        <v>0.0</v>
      </c>
      <c r="N48" s="19">
        <v>1.0</v>
      </c>
      <c r="O48" s="19">
        <v>0.0</v>
      </c>
      <c r="P48" s="19">
        <v>0.0</v>
      </c>
      <c r="Q48" s="19">
        <v>0.0</v>
      </c>
      <c r="R48" s="19">
        <v>0.0</v>
      </c>
      <c r="S48" s="19">
        <v>0.0</v>
      </c>
      <c r="T48" s="19">
        <v>0.0</v>
      </c>
      <c r="U48" s="19">
        <v>1.0</v>
      </c>
      <c r="V48" s="19">
        <v>0.0</v>
      </c>
      <c r="W48" s="19">
        <v>0.0</v>
      </c>
      <c r="X48" s="19">
        <v>0.0</v>
      </c>
      <c r="Y48" s="19">
        <v>1.0</v>
      </c>
      <c r="Z48" s="19">
        <v>0.0</v>
      </c>
      <c r="AA48" s="19">
        <v>0.0</v>
      </c>
      <c r="AB48" s="19">
        <v>0.0</v>
      </c>
      <c r="AC48" s="19">
        <v>0.0</v>
      </c>
      <c r="AD48" s="19">
        <v>1.0</v>
      </c>
      <c r="AE48" s="19">
        <v>0.0</v>
      </c>
      <c r="AF48" s="13">
        <f t="shared" si="14"/>
        <v>7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2.0</v>
      </c>
      <c r="H49" s="19">
        <v>0.0</v>
      </c>
      <c r="I49" s="19">
        <v>1.0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1.0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9">
        <v>1.0</v>
      </c>
      <c r="W49" s="19">
        <v>1.0</v>
      </c>
      <c r="X49" s="19">
        <v>0.0</v>
      </c>
      <c r="Y49" s="19">
        <v>1.0</v>
      </c>
      <c r="Z49" s="19">
        <v>2.0</v>
      </c>
      <c r="AA49" s="19">
        <v>3.0</v>
      </c>
      <c r="AB49" s="19">
        <v>0.0</v>
      </c>
      <c r="AC49" s="19">
        <v>3.0</v>
      </c>
      <c r="AD49" s="19">
        <v>0.0</v>
      </c>
      <c r="AE49" s="19">
        <v>0.0</v>
      </c>
      <c r="AF49" s="13">
        <f t="shared" si="14"/>
        <v>16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1.0</v>
      </c>
      <c r="G50" s="19">
        <v>1.0</v>
      </c>
      <c r="H50" s="19">
        <v>0.0</v>
      </c>
      <c r="I50" s="19">
        <v>0.0</v>
      </c>
      <c r="J50" s="19">
        <v>1.0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1.0</v>
      </c>
      <c r="S50" s="19">
        <v>0.0</v>
      </c>
      <c r="T50" s="19">
        <v>0.0</v>
      </c>
      <c r="U50" s="19">
        <v>1.0</v>
      </c>
      <c r="V50" s="19">
        <v>0.0</v>
      </c>
      <c r="W50" s="19">
        <v>1.0</v>
      </c>
      <c r="X50" s="19">
        <v>1.0</v>
      </c>
      <c r="Y50" s="19">
        <v>0.0</v>
      </c>
      <c r="Z50" s="19">
        <v>0.0</v>
      </c>
      <c r="AA50" s="19">
        <v>1.0</v>
      </c>
      <c r="AB50" s="19">
        <v>1.0</v>
      </c>
      <c r="AC50" s="19">
        <v>1.0</v>
      </c>
      <c r="AD50" s="19">
        <v>0.0</v>
      </c>
      <c r="AE50" s="19">
        <v>0.0</v>
      </c>
      <c r="AF50" s="13">
        <f t="shared" si="14"/>
        <v>11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1.0</v>
      </c>
      <c r="H51" s="19">
        <v>2.0</v>
      </c>
      <c r="I51" s="19">
        <v>0.0</v>
      </c>
      <c r="J51" s="19">
        <v>1.0</v>
      </c>
      <c r="K51" s="19">
        <v>1.0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1.0</v>
      </c>
      <c r="U51" s="19">
        <v>1.0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3">
        <f t="shared" si="14"/>
        <v>7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2.0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1.0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1.0</v>
      </c>
      <c r="AB52" s="19">
        <v>0.0</v>
      </c>
      <c r="AC52" s="19">
        <v>0.0</v>
      </c>
      <c r="AD52" s="19">
        <v>0.0</v>
      </c>
      <c r="AE52" s="19">
        <v>0.0</v>
      </c>
      <c r="AF52" s="13">
        <f t="shared" si="14"/>
        <v>4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AF53" si="15">SUM(E45:E52)</f>
        <v>8</v>
      </c>
      <c r="F53" s="13">
        <f t="shared" si="15"/>
        <v>4</v>
      </c>
      <c r="G53" s="13">
        <f t="shared" si="15"/>
        <v>38</v>
      </c>
      <c r="H53" s="13">
        <f t="shared" si="15"/>
        <v>28</v>
      </c>
      <c r="I53" s="13">
        <f t="shared" si="15"/>
        <v>12</v>
      </c>
      <c r="J53" s="13">
        <f t="shared" si="15"/>
        <v>14</v>
      </c>
      <c r="K53" s="13">
        <f t="shared" si="15"/>
        <v>20</v>
      </c>
      <c r="L53" s="13">
        <f t="shared" si="15"/>
        <v>23</v>
      </c>
      <c r="M53" s="13">
        <f t="shared" si="15"/>
        <v>13</v>
      </c>
      <c r="N53" s="13">
        <f t="shared" si="15"/>
        <v>21</v>
      </c>
      <c r="O53" s="13">
        <f t="shared" si="15"/>
        <v>36</v>
      </c>
      <c r="P53" s="13">
        <f t="shared" si="15"/>
        <v>12</v>
      </c>
      <c r="Q53" s="13">
        <f t="shared" si="15"/>
        <v>25</v>
      </c>
      <c r="R53" s="13">
        <f t="shared" si="15"/>
        <v>13</v>
      </c>
      <c r="S53" s="13">
        <f t="shared" si="15"/>
        <v>14</v>
      </c>
      <c r="T53" s="13">
        <f t="shared" si="15"/>
        <v>28</v>
      </c>
      <c r="U53" s="13">
        <f t="shared" si="15"/>
        <v>38</v>
      </c>
      <c r="V53" s="13">
        <f t="shared" si="15"/>
        <v>17</v>
      </c>
      <c r="W53" s="13">
        <f t="shared" si="15"/>
        <v>15</v>
      </c>
      <c r="X53" s="13">
        <f t="shared" si="15"/>
        <v>16</v>
      </c>
      <c r="Y53" s="13">
        <f t="shared" si="15"/>
        <v>14</v>
      </c>
      <c r="Z53" s="13">
        <f t="shared" si="15"/>
        <v>18</v>
      </c>
      <c r="AA53" s="13">
        <f t="shared" si="15"/>
        <v>28</v>
      </c>
      <c r="AB53" s="13">
        <f t="shared" si="15"/>
        <v>58</v>
      </c>
      <c r="AC53" s="13">
        <f t="shared" si="15"/>
        <v>22</v>
      </c>
      <c r="AD53" s="13">
        <f t="shared" si="15"/>
        <v>20</v>
      </c>
      <c r="AE53" s="13">
        <f t="shared" si="15"/>
        <v>17</v>
      </c>
      <c r="AF53" s="13">
        <f t="shared" si="15"/>
        <v>572</v>
      </c>
    </row>
    <row r="54" ht="12.75" customHeight="1">
      <c r="A54" s="45"/>
      <c r="B54" s="44"/>
      <c r="C54" s="44"/>
      <c r="D54" s="44"/>
      <c r="E54" s="44"/>
      <c r="AF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11.0</v>
      </c>
      <c r="F55" s="19">
        <v>9.0</v>
      </c>
      <c r="G55" s="19">
        <v>17.0</v>
      </c>
      <c r="H55" s="19">
        <v>14.0</v>
      </c>
      <c r="I55" s="19">
        <v>2.0</v>
      </c>
      <c r="J55" s="19">
        <v>7.0</v>
      </c>
      <c r="K55" s="19">
        <v>3.0</v>
      </c>
      <c r="L55" s="19">
        <v>7.0</v>
      </c>
      <c r="M55" s="19">
        <v>6.0</v>
      </c>
      <c r="N55" s="19">
        <v>10.0</v>
      </c>
      <c r="O55" s="19">
        <v>5.0</v>
      </c>
      <c r="P55" s="19">
        <v>4.0</v>
      </c>
      <c r="Q55" s="19">
        <v>2.0</v>
      </c>
      <c r="R55" s="19">
        <v>1.0</v>
      </c>
      <c r="S55" s="19">
        <v>5.0</v>
      </c>
      <c r="T55" s="19">
        <v>2.0</v>
      </c>
      <c r="U55" s="19">
        <v>7.0</v>
      </c>
      <c r="V55" s="19">
        <v>6.0</v>
      </c>
      <c r="W55" s="19">
        <v>6.0</v>
      </c>
      <c r="X55" s="19">
        <v>8.0</v>
      </c>
      <c r="Y55" s="19">
        <v>7.0</v>
      </c>
      <c r="Z55" s="19">
        <v>5.0</v>
      </c>
      <c r="AA55" s="19">
        <v>6.0</v>
      </c>
      <c r="AB55" s="19">
        <v>13.0</v>
      </c>
      <c r="AC55" s="19">
        <v>11.0</v>
      </c>
      <c r="AD55" s="19">
        <v>5.0</v>
      </c>
      <c r="AE55" s="19">
        <v>5.0</v>
      </c>
      <c r="AF55" s="13">
        <f t="shared" ref="AF55:AF62" si="16">SUM(E55:AE55)</f>
        <v>184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5.0</v>
      </c>
      <c r="F56" s="19">
        <v>9.0</v>
      </c>
      <c r="G56" s="19">
        <v>9.0</v>
      </c>
      <c r="H56" s="19">
        <v>6.0</v>
      </c>
      <c r="I56" s="19">
        <v>3.0</v>
      </c>
      <c r="J56" s="19">
        <v>1.0</v>
      </c>
      <c r="K56" s="19">
        <v>3.0</v>
      </c>
      <c r="L56" s="19">
        <v>9.0</v>
      </c>
      <c r="M56" s="19">
        <v>6.0</v>
      </c>
      <c r="N56" s="19">
        <v>4.0</v>
      </c>
      <c r="O56" s="19">
        <v>7.0</v>
      </c>
      <c r="P56" s="19">
        <v>4.0</v>
      </c>
      <c r="Q56" s="19">
        <v>7.0</v>
      </c>
      <c r="R56" s="19">
        <v>10.0</v>
      </c>
      <c r="S56" s="19">
        <v>6.0</v>
      </c>
      <c r="T56" s="19">
        <v>4.0</v>
      </c>
      <c r="U56" s="19">
        <v>3.0</v>
      </c>
      <c r="V56" s="19">
        <v>12.0</v>
      </c>
      <c r="W56" s="19">
        <v>4.0</v>
      </c>
      <c r="X56" s="19">
        <v>1.0</v>
      </c>
      <c r="Y56" s="19">
        <v>11.0</v>
      </c>
      <c r="Z56" s="19">
        <v>5.0</v>
      </c>
      <c r="AA56" s="19">
        <v>9.0</v>
      </c>
      <c r="AB56" s="19">
        <v>7.0</v>
      </c>
      <c r="AC56" s="19">
        <v>9.0</v>
      </c>
      <c r="AD56" s="19">
        <v>6.0</v>
      </c>
      <c r="AE56" s="19">
        <v>4.0</v>
      </c>
      <c r="AF56" s="13">
        <f t="shared" si="16"/>
        <v>164</v>
      </c>
    </row>
    <row r="57" ht="12.75" customHeight="1">
      <c r="A57" s="18"/>
      <c r="B57" s="55">
        <v>2.0</v>
      </c>
      <c r="C57" s="50" t="s">
        <v>50</v>
      </c>
      <c r="D57" s="56"/>
      <c r="E57" s="19">
        <v>3.0</v>
      </c>
      <c r="F57" s="19">
        <v>0.0</v>
      </c>
      <c r="G57" s="19">
        <v>1.0</v>
      </c>
      <c r="H57" s="19">
        <v>3.0</v>
      </c>
      <c r="I57" s="19">
        <v>1.0</v>
      </c>
      <c r="J57" s="19">
        <v>8.0</v>
      </c>
      <c r="K57" s="19">
        <v>2.0</v>
      </c>
      <c r="L57" s="19">
        <v>2.0</v>
      </c>
      <c r="M57" s="19">
        <v>0.0</v>
      </c>
      <c r="N57" s="19">
        <v>7.0</v>
      </c>
      <c r="O57" s="19">
        <v>4.0</v>
      </c>
      <c r="P57" s="19">
        <v>4.0</v>
      </c>
      <c r="Q57" s="19">
        <v>4.0</v>
      </c>
      <c r="R57" s="19">
        <v>3.0</v>
      </c>
      <c r="S57" s="19">
        <v>3.0</v>
      </c>
      <c r="T57" s="19">
        <v>3.0</v>
      </c>
      <c r="U57" s="19">
        <v>0.0</v>
      </c>
      <c r="V57" s="19">
        <v>3.0</v>
      </c>
      <c r="W57" s="19">
        <v>3.0</v>
      </c>
      <c r="X57" s="19">
        <v>3.0</v>
      </c>
      <c r="Y57" s="19">
        <v>4.0</v>
      </c>
      <c r="Z57" s="19">
        <v>1.0</v>
      </c>
      <c r="AA57" s="19">
        <v>2.0</v>
      </c>
      <c r="AB57" s="19">
        <v>3.0</v>
      </c>
      <c r="AC57" s="19">
        <v>5.0</v>
      </c>
      <c r="AD57" s="19">
        <v>3.0</v>
      </c>
      <c r="AE57" s="19">
        <v>0.0</v>
      </c>
      <c r="AF57" s="13">
        <f t="shared" si="16"/>
        <v>75</v>
      </c>
    </row>
    <row r="58" ht="12.75" customHeight="1">
      <c r="A58" s="18"/>
      <c r="B58" s="55">
        <v>3.0</v>
      </c>
      <c r="C58" s="50" t="s">
        <v>51</v>
      </c>
      <c r="D58" s="56"/>
      <c r="E58" s="19">
        <v>1.0</v>
      </c>
      <c r="F58" s="19">
        <v>1.0</v>
      </c>
      <c r="G58" s="19">
        <v>0.0</v>
      </c>
      <c r="H58" s="19">
        <v>0.0</v>
      </c>
      <c r="I58" s="19">
        <v>3.0</v>
      </c>
      <c r="J58" s="19">
        <v>1.0</v>
      </c>
      <c r="K58" s="19">
        <v>0.0</v>
      </c>
      <c r="L58" s="19">
        <v>1.0</v>
      </c>
      <c r="M58" s="19">
        <v>2.0</v>
      </c>
      <c r="N58" s="19">
        <v>3.0</v>
      </c>
      <c r="O58" s="19">
        <v>2.0</v>
      </c>
      <c r="P58" s="19">
        <v>1.0</v>
      </c>
      <c r="Q58" s="19">
        <v>0.0</v>
      </c>
      <c r="R58" s="19">
        <v>1.0</v>
      </c>
      <c r="S58" s="19">
        <v>0.0</v>
      </c>
      <c r="T58" s="19">
        <v>0.0</v>
      </c>
      <c r="U58" s="19">
        <v>2.0</v>
      </c>
      <c r="V58" s="19">
        <v>2.0</v>
      </c>
      <c r="W58" s="19">
        <v>1.0</v>
      </c>
      <c r="X58" s="19">
        <v>11.0</v>
      </c>
      <c r="Y58" s="19">
        <v>2.0</v>
      </c>
      <c r="Z58" s="19">
        <v>2.0</v>
      </c>
      <c r="AA58" s="19">
        <v>4.0</v>
      </c>
      <c r="AB58" s="19">
        <v>5.0</v>
      </c>
      <c r="AC58" s="19">
        <v>1.0</v>
      </c>
      <c r="AD58" s="19">
        <v>0.0</v>
      </c>
      <c r="AE58" s="19">
        <v>0.0</v>
      </c>
      <c r="AF58" s="13">
        <f t="shared" si="16"/>
        <v>46</v>
      </c>
    </row>
    <row r="59" ht="12.75" customHeight="1">
      <c r="A59" s="18"/>
      <c r="B59" s="55">
        <v>4.0</v>
      </c>
      <c r="C59" s="50" t="s">
        <v>52</v>
      </c>
      <c r="D59" s="56"/>
      <c r="E59" s="19">
        <v>4.0</v>
      </c>
      <c r="F59" s="19">
        <v>2.0</v>
      </c>
      <c r="G59" s="19">
        <v>1.0</v>
      </c>
      <c r="H59" s="19">
        <v>1.0</v>
      </c>
      <c r="I59" s="19">
        <v>1.0</v>
      </c>
      <c r="J59" s="19">
        <v>2.0</v>
      </c>
      <c r="K59" s="19">
        <v>2.0</v>
      </c>
      <c r="L59" s="19">
        <v>1.0</v>
      </c>
      <c r="M59" s="19">
        <v>0.0</v>
      </c>
      <c r="N59" s="19">
        <v>1.0</v>
      </c>
      <c r="O59" s="19">
        <v>2.0</v>
      </c>
      <c r="P59" s="19">
        <v>0.0</v>
      </c>
      <c r="Q59" s="19">
        <v>0.0</v>
      </c>
      <c r="R59" s="19">
        <v>0.0</v>
      </c>
      <c r="S59" s="19">
        <v>1.0</v>
      </c>
      <c r="T59" s="19">
        <v>0.0</v>
      </c>
      <c r="U59" s="19">
        <v>0.0</v>
      </c>
      <c r="V59" s="19">
        <v>0.0</v>
      </c>
      <c r="W59" s="19">
        <v>0.0</v>
      </c>
      <c r="X59" s="19">
        <v>2.0</v>
      </c>
      <c r="Y59" s="19">
        <v>2.0</v>
      </c>
      <c r="Z59" s="19">
        <v>5.0</v>
      </c>
      <c r="AA59" s="19">
        <v>0.0</v>
      </c>
      <c r="AB59" s="19">
        <v>0.0</v>
      </c>
      <c r="AC59" s="19">
        <v>2.0</v>
      </c>
      <c r="AD59" s="19">
        <v>0.0</v>
      </c>
      <c r="AE59" s="19">
        <v>0.0</v>
      </c>
      <c r="AF59" s="13">
        <f t="shared" si="16"/>
        <v>29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2.0</v>
      </c>
      <c r="L60" s="19">
        <v>1.0</v>
      </c>
      <c r="M60" s="19">
        <v>0.0</v>
      </c>
      <c r="N60" s="19">
        <v>0.0</v>
      </c>
      <c r="O60" s="19">
        <v>0.0</v>
      </c>
      <c r="P60" s="19">
        <v>0.0</v>
      </c>
      <c r="Q60" s="19">
        <v>1.0</v>
      </c>
      <c r="R60" s="19">
        <v>0.0</v>
      </c>
      <c r="S60" s="19">
        <v>1.0</v>
      </c>
      <c r="T60" s="19">
        <v>0.0</v>
      </c>
      <c r="U60" s="19">
        <v>2.0</v>
      </c>
      <c r="V60" s="19">
        <v>1.0</v>
      </c>
      <c r="W60" s="19">
        <v>1.0</v>
      </c>
      <c r="X60" s="19">
        <v>1.0</v>
      </c>
      <c r="Y60" s="19">
        <v>0.0</v>
      </c>
      <c r="Z60" s="19">
        <v>1.0</v>
      </c>
      <c r="AA60" s="19">
        <v>0.0</v>
      </c>
      <c r="AB60" s="19">
        <v>0.0</v>
      </c>
      <c r="AC60" s="19">
        <v>0.0</v>
      </c>
      <c r="AD60" s="19">
        <v>0.0</v>
      </c>
      <c r="AE60" s="19">
        <v>0.0</v>
      </c>
      <c r="AF60" s="13">
        <f t="shared" si="16"/>
        <v>11</v>
      </c>
    </row>
    <row r="61" ht="12.75" customHeight="1">
      <c r="A61" s="18"/>
      <c r="B61" s="55">
        <v>6.0</v>
      </c>
      <c r="C61" s="50" t="s">
        <v>54</v>
      </c>
      <c r="D61" s="57"/>
      <c r="E61" s="19">
        <v>0.0</v>
      </c>
      <c r="F61" s="19">
        <v>0.0</v>
      </c>
      <c r="G61" s="19">
        <v>1.0</v>
      </c>
      <c r="H61" s="19">
        <v>0.0</v>
      </c>
      <c r="I61" s="19">
        <v>0.0</v>
      </c>
      <c r="J61" s="19">
        <v>2.0</v>
      </c>
      <c r="K61" s="19">
        <v>1.0</v>
      </c>
      <c r="L61" s="19">
        <v>0.0</v>
      </c>
      <c r="M61" s="19">
        <v>2.0</v>
      </c>
      <c r="N61" s="19">
        <v>0.0</v>
      </c>
      <c r="O61" s="19">
        <v>0.0</v>
      </c>
      <c r="P61" s="19">
        <v>1.0</v>
      </c>
      <c r="Q61" s="19">
        <v>0.0</v>
      </c>
      <c r="R61" s="19">
        <v>0.0</v>
      </c>
      <c r="S61" s="19">
        <v>2.0</v>
      </c>
      <c r="T61" s="19">
        <v>1.0</v>
      </c>
      <c r="U61" s="19">
        <v>0.0</v>
      </c>
      <c r="V61" s="19">
        <v>0.0</v>
      </c>
      <c r="W61" s="19">
        <v>1.0</v>
      </c>
      <c r="X61" s="19">
        <v>1.0</v>
      </c>
      <c r="Y61" s="19">
        <v>1.0</v>
      </c>
      <c r="Z61" s="19">
        <v>1.0</v>
      </c>
      <c r="AA61" s="19">
        <v>0.0</v>
      </c>
      <c r="AB61" s="19">
        <v>1.0</v>
      </c>
      <c r="AC61" s="19">
        <v>2.0</v>
      </c>
      <c r="AD61" s="19">
        <v>1.0</v>
      </c>
      <c r="AE61" s="19">
        <v>0.0</v>
      </c>
      <c r="AF61" s="13">
        <f t="shared" si="16"/>
        <v>18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1.0</v>
      </c>
      <c r="J62" s="19">
        <v>0.0</v>
      </c>
      <c r="K62" s="19">
        <v>0.0</v>
      </c>
      <c r="L62" s="19">
        <v>1.0</v>
      </c>
      <c r="M62" s="19">
        <v>0.0</v>
      </c>
      <c r="N62" s="19">
        <v>0.0</v>
      </c>
      <c r="O62" s="19">
        <v>1.0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1.0</v>
      </c>
      <c r="V62" s="19">
        <v>0.0</v>
      </c>
      <c r="W62" s="19">
        <v>0.0</v>
      </c>
      <c r="X62" s="19">
        <v>0.0</v>
      </c>
      <c r="Y62" s="19">
        <v>1.0</v>
      </c>
      <c r="Z62" s="19">
        <v>0.0</v>
      </c>
      <c r="AA62" s="19">
        <v>0.0</v>
      </c>
      <c r="AB62" s="19">
        <v>0.0</v>
      </c>
      <c r="AC62" s="19">
        <v>0.0</v>
      </c>
      <c r="AD62" s="19">
        <v>1.0</v>
      </c>
      <c r="AE62" s="19">
        <v>1.0</v>
      </c>
      <c r="AF62" s="13">
        <f t="shared" si="16"/>
        <v>7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AF63" si="17">SUM(E55:E62)</f>
        <v>24</v>
      </c>
      <c r="F63" s="13">
        <f t="shared" si="17"/>
        <v>21</v>
      </c>
      <c r="G63" s="13">
        <f t="shared" si="17"/>
        <v>29</v>
      </c>
      <c r="H63" s="13">
        <f t="shared" si="17"/>
        <v>24</v>
      </c>
      <c r="I63" s="13">
        <f t="shared" si="17"/>
        <v>11</v>
      </c>
      <c r="J63" s="13">
        <f t="shared" si="17"/>
        <v>21</v>
      </c>
      <c r="K63" s="13">
        <f t="shared" si="17"/>
        <v>13</v>
      </c>
      <c r="L63" s="13">
        <f t="shared" si="17"/>
        <v>22</v>
      </c>
      <c r="M63" s="13">
        <f t="shared" si="17"/>
        <v>16</v>
      </c>
      <c r="N63" s="13">
        <f t="shared" si="17"/>
        <v>25</v>
      </c>
      <c r="O63" s="13">
        <f t="shared" si="17"/>
        <v>21</v>
      </c>
      <c r="P63" s="13">
        <f t="shared" si="17"/>
        <v>14</v>
      </c>
      <c r="Q63" s="13">
        <f t="shared" si="17"/>
        <v>14</v>
      </c>
      <c r="R63" s="13">
        <f t="shared" si="17"/>
        <v>15</v>
      </c>
      <c r="S63" s="13">
        <f t="shared" si="17"/>
        <v>18</v>
      </c>
      <c r="T63" s="13">
        <f t="shared" si="17"/>
        <v>10</v>
      </c>
      <c r="U63" s="13">
        <f t="shared" si="17"/>
        <v>15</v>
      </c>
      <c r="V63" s="13">
        <f t="shared" si="17"/>
        <v>24</v>
      </c>
      <c r="W63" s="13">
        <f t="shared" si="17"/>
        <v>16</v>
      </c>
      <c r="X63" s="13">
        <f t="shared" si="17"/>
        <v>27</v>
      </c>
      <c r="Y63" s="13">
        <f t="shared" si="17"/>
        <v>28</v>
      </c>
      <c r="Z63" s="13">
        <f t="shared" si="17"/>
        <v>20</v>
      </c>
      <c r="AA63" s="13">
        <f t="shared" si="17"/>
        <v>21</v>
      </c>
      <c r="AB63" s="13">
        <f t="shared" si="17"/>
        <v>29</v>
      </c>
      <c r="AC63" s="13">
        <f t="shared" si="17"/>
        <v>30</v>
      </c>
      <c r="AD63" s="13">
        <f t="shared" si="17"/>
        <v>16</v>
      </c>
      <c r="AE63" s="13">
        <f t="shared" si="17"/>
        <v>10</v>
      </c>
      <c r="AF63" s="13">
        <f t="shared" si="17"/>
        <v>534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15.0</v>
      </c>
      <c r="F65" s="19">
        <v>7.0</v>
      </c>
      <c r="G65" s="19">
        <v>9.0</v>
      </c>
      <c r="H65" s="19">
        <v>4.0</v>
      </c>
      <c r="I65" s="19">
        <v>6.0</v>
      </c>
      <c r="J65" s="19">
        <v>6.0</v>
      </c>
      <c r="K65" s="19">
        <v>3.0</v>
      </c>
      <c r="L65" s="19">
        <v>6.0</v>
      </c>
      <c r="M65" s="19">
        <v>0.0</v>
      </c>
      <c r="N65" s="19">
        <v>9.0</v>
      </c>
      <c r="O65" s="19">
        <v>6.0</v>
      </c>
      <c r="P65" s="19">
        <v>6.0</v>
      </c>
      <c r="Q65" s="19">
        <v>1.0</v>
      </c>
      <c r="R65" s="19">
        <v>4.0</v>
      </c>
      <c r="S65" s="19">
        <v>11.0</v>
      </c>
      <c r="T65" s="19">
        <v>5.0</v>
      </c>
      <c r="U65" s="19">
        <v>7.0</v>
      </c>
      <c r="V65" s="19">
        <v>6.0</v>
      </c>
      <c r="W65" s="19">
        <v>3.0</v>
      </c>
      <c r="X65" s="19">
        <v>3.0</v>
      </c>
      <c r="Y65" s="19">
        <v>17.0</v>
      </c>
      <c r="Z65" s="19">
        <v>3.0</v>
      </c>
      <c r="AA65" s="19">
        <v>4.0</v>
      </c>
      <c r="AB65" s="19">
        <v>6.0</v>
      </c>
      <c r="AC65" s="19">
        <v>12.0</v>
      </c>
      <c r="AD65" s="19">
        <v>3.0</v>
      </c>
      <c r="AE65" s="19">
        <v>5.0</v>
      </c>
      <c r="AF65" s="13">
        <f t="shared" ref="AF65:AF72" si="18">SUM(E65:AE65)</f>
        <v>167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1.0</v>
      </c>
      <c r="F66" s="19">
        <v>4.0</v>
      </c>
      <c r="G66" s="19">
        <v>1.0</v>
      </c>
      <c r="H66" s="19">
        <v>5.0</v>
      </c>
      <c r="I66" s="19">
        <v>1.0</v>
      </c>
      <c r="J66" s="19">
        <v>6.0</v>
      </c>
      <c r="K66" s="19">
        <v>1.0</v>
      </c>
      <c r="L66" s="19">
        <v>3.0</v>
      </c>
      <c r="M66" s="19">
        <v>1.0</v>
      </c>
      <c r="N66" s="19">
        <v>3.0</v>
      </c>
      <c r="O66" s="19">
        <v>6.0</v>
      </c>
      <c r="P66" s="19">
        <v>2.0</v>
      </c>
      <c r="Q66" s="19">
        <v>2.0</v>
      </c>
      <c r="R66" s="19">
        <v>7.0</v>
      </c>
      <c r="S66" s="19">
        <v>8.0</v>
      </c>
      <c r="T66" s="19">
        <v>4.0</v>
      </c>
      <c r="U66" s="19">
        <v>2.0</v>
      </c>
      <c r="V66" s="19">
        <v>1.0</v>
      </c>
      <c r="W66" s="19">
        <v>5.0</v>
      </c>
      <c r="X66" s="19">
        <v>9.0</v>
      </c>
      <c r="Y66" s="19">
        <v>2.0</v>
      </c>
      <c r="Z66" s="19">
        <v>4.0</v>
      </c>
      <c r="AA66" s="19">
        <v>4.0</v>
      </c>
      <c r="AB66" s="19">
        <v>14.0</v>
      </c>
      <c r="AC66" s="19">
        <v>2.0</v>
      </c>
      <c r="AD66" s="19">
        <v>2.0</v>
      </c>
      <c r="AE66" s="19">
        <v>3.0</v>
      </c>
      <c r="AF66" s="13">
        <f t="shared" si="18"/>
        <v>103</v>
      </c>
    </row>
    <row r="67" ht="12.75" customHeight="1">
      <c r="A67" s="18"/>
      <c r="B67" s="55">
        <v>2.0</v>
      </c>
      <c r="C67" s="50" t="s">
        <v>58</v>
      </c>
      <c r="D67" s="57"/>
      <c r="E67" s="19">
        <v>4.0</v>
      </c>
      <c r="F67" s="19">
        <v>0.0</v>
      </c>
      <c r="G67" s="19">
        <v>2.0</v>
      </c>
      <c r="H67" s="19">
        <v>5.0</v>
      </c>
      <c r="I67" s="19">
        <v>2.0</v>
      </c>
      <c r="J67" s="19">
        <v>2.0</v>
      </c>
      <c r="K67" s="19">
        <v>0.0</v>
      </c>
      <c r="L67" s="19">
        <v>1.0</v>
      </c>
      <c r="M67" s="19">
        <v>0.0</v>
      </c>
      <c r="N67" s="19">
        <v>3.0</v>
      </c>
      <c r="O67" s="19">
        <v>4.0</v>
      </c>
      <c r="P67" s="19">
        <v>1.0</v>
      </c>
      <c r="Q67" s="19">
        <v>1.0</v>
      </c>
      <c r="R67" s="19">
        <v>1.0</v>
      </c>
      <c r="S67" s="19">
        <v>3.0</v>
      </c>
      <c r="T67" s="19">
        <v>1.0</v>
      </c>
      <c r="U67" s="19">
        <v>1.0</v>
      </c>
      <c r="V67" s="19">
        <v>0.0</v>
      </c>
      <c r="W67" s="19">
        <v>10.0</v>
      </c>
      <c r="X67" s="19">
        <v>3.0</v>
      </c>
      <c r="Y67" s="19">
        <v>1.0</v>
      </c>
      <c r="Z67" s="19">
        <v>1.0</v>
      </c>
      <c r="AA67" s="19">
        <v>2.0</v>
      </c>
      <c r="AB67" s="19">
        <v>8.0</v>
      </c>
      <c r="AC67" s="19">
        <v>9.0</v>
      </c>
      <c r="AD67" s="19">
        <v>3.0</v>
      </c>
      <c r="AE67" s="19">
        <v>4.0</v>
      </c>
      <c r="AF67" s="13">
        <f t="shared" si="18"/>
        <v>72</v>
      </c>
    </row>
    <row r="68" ht="12.75" customHeight="1">
      <c r="A68" s="18"/>
      <c r="B68" s="55">
        <v>3.0</v>
      </c>
      <c r="C68" s="50" t="s">
        <v>59</v>
      </c>
      <c r="D68" s="57"/>
      <c r="E68" s="19">
        <v>42.0</v>
      </c>
      <c r="F68" s="19">
        <v>23.0</v>
      </c>
      <c r="G68" s="19">
        <v>1.0</v>
      </c>
      <c r="H68" s="19">
        <v>9.0</v>
      </c>
      <c r="I68" s="19">
        <v>2.0</v>
      </c>
      <c r="J68" s="19">
        <v>3.0</v>
      </c>
      <c r="K68" s="19">
        <v>0.0</v>
      </c>
      <c r="L68" s="19">
        <v>10.0</v>
      </c>
      <c r="M68" s="19">
        <v>2.0</v>
      </c>
      <c r="N68" s="19">
        <v>5.0</v>
      </c>
      <c r="O68" s="19">
        <v>33.0</v>
      </c>
      <c r="P68" s="19">
        <v>34.0</v>
      </c>
      <c r="Q68" s="19">
        <v>6.0</v>
      </c>
      <c r="R68" s="19">
        <v>17.0</v>
      </c>
      <c r="S68" s="19">
        <v>9.0</v>
      </c>
      <c r="T68" s="19">
        <v>20.0</v>
      </c>
      <c r="U68" s="19">
        <v>3.0</v>
      </c>
      <c r="V68" s="19">
        <v>6.0</v>
      </c>
      <c r="W68" s="19">
        <v>7.0</v>
      </c>
      <c r="X68" s="19">
        <v>11.0</v>
      </c>
      <c r="Y68" s="19">
        <v>13.0</v>
      </c>
      <c r="Z68" s="19">
        <v>4.0</v>
      </c>
      <c r="AA68" s="19">
        <v>1.0</v>
      </c>
      <c r="AB68" s="19">
        <v>4.0</v>
      </c>
      <c r="AC68" s="19">
        <v>2.0</v>
      </c>
      <c r="AD68" s="19">
        <v>3.0</v>
      </c>
      <c r="AE68" s="19">
        <v>7.0</v>
      </c>
      <c r="AF68" s="13">
        <f t="shared" si="18"/>
        <v>277</v>
      </c>
    </row>
    <row r="69" ht="12.75" customHeight="1">
      <c r="A69" s="18"/>
      <c r="B69" s="55">
        <v>4.0</v>
      </c>
      <c r="C69" s="50" t="s">
        <v>60</v>
      </c>
      <c r="D69" s="57"/>
      <c r="E69" s="19">
        <v>4.0</v>
      </c>
      <c r="F69" s="19">
        <v>0.0</v>
      </c>
      <c r="G69" s="19">
        <v>2.0</v>
      </c>
      <c r="H69" s="19">
        <v>3.0</v>
      </c>
      <c r="I69" s="19">
        <v>2.0</v>
      </c>
      <c r="J69" s="19">
        <v>0.0</v>
      </c>
      <c r="K69" s="19">
        <v>1.0</v>
      </c>
      <c r="L69" s="19">
        <v>0.0</v>
      </c>
      <c r="M69" s="19">
        <v>1.0</v>
      </c>
      <c r="N69" s="19">
        <v>4.0</v>
      </c>
      <c r="O69" s="19">
        <v>2.0</v>
      </c>
      <c r="P69" s="19">
        <v>3.0</v>
      </c>
      <c r="Q69" s="19">
        <v>0.0</v>
      </c>
      <c r="R69" s="19">
        <v>6.0</v>
      </c>
      <c r="S69" s="19">
        <v>8.0</v>
      </c>
      <c r="T69" s="19">
        <v>3.0</v>
      </c>
      <c r="U69" s="19">
        <v>5.0</v>
      </c>
      <c r="V69" s="19">
        <v>3.0</v>
      </c>
      <c r="W69" s="19">
        <v>6.0</v>
      </c>
      <c r="X69" s="19">
        <v>0.0</v>
      </c>
      <c r="Y69" s="19">
        <v>3.0</v>
      </c>
      <c r="Z69" s="19">
        <v>0.0</v>
      </c>
      <c r="AA69" s="19">
        <v>1.0</v>
      </c>
      <c r="AB69" s="19">
        <v>1.0</v>
      </c>
      <c r="AC69" s="19">
        <v>4.0</v>
      </c>
      <c r="AD69" s="19">
        <v>0.0</v>
      </c>
      <c r="AE69" s="19">
        <v>4.0</v>
      </c>
      <c r="AF69" s="13">
        <f t="shared" si="18"/>
        <v>66</v>
      </c>
    </row>
    <row r="70" ht="12.75" customHeight="1">
      <c r="A70" s="18"/>
      <c r="B70" s="55">
        <v>5.0</v>
      </c>
      <c r="C70" s="50" t="s">
        <v>61</v>
      </c>
      <c r="D70" s="57"/>
      <c r="E70" s="19">
        <v>2.0</v>
      </c>
      <c r="F70" s="19">
        <v>4.0</v>
      </c>
      <c r="G70" s="19">
        <v>6.0</v>
      </c>
      <c r="H70" s="19">
        <v>4.0</v>
      </c>
      <c r="I70" s="19">
        <v>2.0</v>
      </c>
      <c r="J70" s="19">
        <v>0.0</v>
      </c>
      <c r="K70" s="19">
        <v>1.0</v>
      </c>
      <c r="L70" s="19">
        <v>1.0</v>
      </c>
      <c r="M70" s="19">
        <v>5.0</v>
      </c>
      <c r="N70" s="19">
        <v>4.0</v>
      </c>
      <c r="O70" s="19">
        <v>3.0</v>
      </c>
      <c r="P70" s="19">
        <v>3.0</v>
      </c>
      <c r="Q70" s="19">
        <v>0.0</v>
      </c>
      <c r="R70" s="19">
        <v>0.0</v>
      </c>
      <c r="S70" s="19">
        <v>3.0</v>
      </c>
      <c r="T70" s="19">
        <v>2.0</v>
      </c>
      <c r="U70" s="19">
        <v>3.0</v>
      </c>
      <c r="V70" s="19">
        <v>2.0</v>
      </c>
      <c r="W70" s="19">
        <v>2.0</v>
      </c>
      <c r="X70" s="19">
        <v>0.0</v>
      </c>
      <c r="Y70" s="19">
        <v>2.0</v>
      </c>
      <c r="Z70" s="19">
        <v>2.0</v>
      </c>
      <c r="AA70" s="19">
        <v>1.0</v>
      </c>
      <c r="AB70" s="19">
        <v>5.0</v>
      </c>
      <c r="AC70" s="19">
        <v>3.0</v>
      </c>
      <c r="AD70" s="19">
        <v>2.0</v>
      </c>
      <c r="AE70" s="19">
        <v>1.0</v>
      </c>
      <c r="AF70" s="13">
        <f t="shared" si="18"/>
        <v>63</v>
      </c>
    </row>
    <row r="71" ht="12.75" customHeight="1">
      <c r="A71" s="18"/>
      <c r="B71" s="55">
        <v>6.0</v>
      </c>
      <c r="C71" s="50" t="s">
        <v>62</v>
      </c>
      <c r="D71" s="57"/>
      <c r="E71" s="19">
        <v>5.0</v>
      </c>
      <c r="F71" s="19">
        <v>2.0</v>
      </c>
      <c r="G71" s="19">
        <v>0.0</v>
      </c>
      <c r="H71" s="19">
        <v>0.0</v>
      </c>
      <c r="I71" s="19">
        <v>1.0</v>
      </c>
      <c r="J71" s="19">
        <v>2.0</v>
      </c>
      <c r="K71" s="19">
        <v>0.0</v>
      </c>
      <c r="L71" s="19">
        <v>1.0</v>
      </c>
      <c r="M71" s="19">
        <v>0.0</v>
      </c>
      <c r="N71" s="19">
        <v>0.0</v>
      </c>
      <c r="O71" s="19">
        <v>0.0</v>
      </c>
      <c r="P71" s="19">
        <v>2.0</v>
      </c>
      <c r="Q71" s="19">
        <v>0.0</v>
      </c>
      <c r="R71" s="19">
        <v>1.0</v>
      </c>
      <c r="S71" s="19">
        <v>0.0</v>
      </c>
      <c r="T71" s="19">
        <v>0.0</v>
      </c>
      <c r="U71" s="19">
        <v>0.0</v>
      </c>
      <c r="V71" s="19">
        <v>0.0</v>
      </c>
      <c r="W71" s="19">
        <v>0.0</v>
      </c>
      <c r="X71" s="19">
        <v>0.0</v>
      </c>
      <c r="Y71" s="19">
        <v>1.0</v>
      </c>
      <c r="Z71" s="19">
        <v>0.0</v>
      </c>
      <c r="AA71" s="19">
        <v>2.0</v>
      </c>
      <c r="AB71" s="19">
        <v>0.0</v>
      </c>
      <c r="AC71" s="19">
        <v>1.0</v>
      </c>
      <c r="AD71" s="19">
        <v>3.0</v>
      </c>
      <c r="AE71" s="19">
        <v>0.0</v>
      </c>
      <c r="AF71" s="13">
        <f t="shared" si="18"/>
        <v>21</v>
      </c>
    </row>
    <row r="72" ht="12.75" customHeight="1">
      <c r="A72" s="18"/>
      <c r="B72" s="55">
        <v>7.0</v>
      </c>
      <c r="C72" s="50" t="s">
        <v>63</v>
      </c>
      <c r="D72" s="57"/>
      <c r="E72" s="19">
        <v>3.0</v>
      </c>
      <c r="F72" s="19">
        <v>2.0</v>
      </c>
      <c r="G72" s="19">
        <v>3.0</v>
      </c>
      <c r="H72" s="19">
        <v>0.0</v>
      </c>
      <c r="I72" s="19">
        <v>1.0</v>
      </c>
      <c r="J72" s="19">
        <v>3.0</v>
      </c>
      <c r="K72" s="19">
        <v>1.0</v>
      </c>
      <c r="L72" s="19">
        <v>1.0</v>
      </c>
      <c r="M72" s="19">
        <v>0.0</v>
      </c>
      <c r="N72" s="19">
        <v>4.0</v>
      </c>
      <c r="O72" s="19">
        <v>0.0</v>
      </c>
      <c r="P72" s="19">
        <v>2.0</v>
      </c>
      <c r="Q72" s="19">
        <v>0.0</v>
      </c>
      <c r="R72" s="19">
        <v>0.0</v>
      </c>
      <c r="S72" s="19">
        <v>3.0</v>
      </c>
      <c r="T72" s="19">
        <v>2.0</v>
      </c>
      <c r="U72" s="19">
        <v>5.0</v>
      </c>
      <c r="V72" s="19">
        <v>0.0</v>
      </c>
      <c r="W72" s="19">
        <v>3.0</v>
      </c>
      <c r="X72" s="19">
        <v>4.0</v>
      </c>
      <c r="Y72" s="19">
        <v>4.0</v>
      </c>
      <c r="Z72" s="19">
        <v>4.0</v>
      </c>
      <c r="AA72" s="19">
        <v>1.0</v>
      </c>
      <c r="AB72" s="19">
        <v>2.0</v>
      </c>
      <c r="AC72" s="19">
        <v>6.0</v>
      </c>
      <c r="AD72" s="19">
        <v>1.0</v>
      </c>
      <c r="AE72" s="19">
        <v>1.0</v>
      </c>
      <c r="AF72" s="13">
        <f t="shared" si="18"/>
        <v>56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AF73" si="19">SUM(E65:E72)</f>
        <v>76</v>
      </c>
      <c r="F73" s="13">
        <f t="shared" si="19"/>
        <v>42</v>
      </c>
      <c r="G73" s="13">
        <f t="shared" si="19"/>
        <v>24</v>
      </c>
      <c r="H73" s="13">
        <f t="shared" si="19"/>
        <v>30</v>
      </c>
      <c r="I73" s="13">
        <f t="shared" si="19"/>
        <v>17</v>
      </c>
      <c r="J73" s="13">
        <f t="shared" si="19"/>
        <v>22</v>
      </c>
      <c r="K73" s="13">
        <f t="shared" si="19"/>
        <v>7</v>
      </c>
      <c r="L73" s="13">
        <f t="shared" si="19"/>
        <v>23</v>
      </c>
      <c r="M73" s="13">
        <f t="shared" si="19"/>
        <v>9</v>
      </c>
      <c r="N73" s="13">
        <f t="shared" si="19"/>
        <v>32</v>
      </c>
      <c r="O73" s="13">
        <f t="shared" si="19"/>
        <v>54</v>
      </c>
      <c r="P73" s="13">
        <f t="shared" si="19"/>
        <v>53</v>
      </c>
      <c r="Q73" s="13">
        <f t="shared" si="19"/>
        <v>10</v>
      </c>
      <c r="R73" s="13">
        <f t="shared" si="19"/>
        <v>36</v>
      </c>
      <c r="S73" s="13">
        <f t="shared" si="19"/>
        <v>45</v>
      </c>
      <c r="T73" s="13">
        <f t="shared" si="19"/>
        <v>37</v>
      </c>
      <c r="U73" s="13">
        <f t="shared" si="19"/>
        <v>26</v>
      </c>
      <c r="V73" s="13">
        <f t="shared" si="19"/>
        <v>18</v>
      </c>
      <c r="W73" s="13">
        <f t="shared" si="19"/>
        <v>36</v>
      </c>
      <c r="X73" s="13">
        <f t="shared" si="19"/>
        <v>30</v>
      </c>
      <c r="Y73" s="13">
        <f t="shared" si="19"/>
        <v>43</v>
      </c>
      <c r="Z73" s="13">
        <f t="shared" si="19"/>
        <v>18</v>
      </c>
      <c r="AA73" s="13">
        <f t="shared" si="19"/>
        <v>16</v>
      </c>
      <c r="AB73" s="13">
        <f t="shared" si="19"/>
        <v>40</v>
      </c>
      <c r="AC73" s="13">
        <f t="shared" si="19"/>
        <v>39</v>
      </c>
      <c r="AD73" s="13">
        <f t="shared" si="19"/>
        <v>17</v>
      </c>
      <c r="AE73" s="13">
        <f t="shared" si="19"/>
        <v>25</v>
      </c>
      <c r="AF73" s="13">
        <f t="shared" si="19"/>
        <v>825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0.0</v>
      </c>
      <c r="F75" s="19">
        <v>2.0</v>
      </c>
      <c r="G75" s="19">
        <v>5.0</v>
      </c>
      <c r="H75" s="19">
        <v>6.0</v>
      </c>
      <c r="I75" s="19">
        <v>4.0</v>
      </c>
      <c r="J75" s="19">
        <v>3.0</v>
      </c>
      <c r="K75" s="19">
        <v>1.0</v>
      </c>
      <c r="L75" s="19">
        <v>3.0</v>
      </c>
      <c r="M75" s="19">
        <v>1.0</v>
      </c>
      <c r="N75" s="19">
        <v>0.0</v>
      </c>
      <c r="O75" s="19">
        <v>1.0</v>
      </c>
      <c r="P75" s="19">
        <v>9.0</v>
      </c>
      <c r="Q75" s="19">
        <v>1.0</v>
      </c>
      <c r="R75" s="19">
        <v>7.0</v>
      </c>
      <c r="S75" s="19">
        <v>8.0</v>
      </c>
      <c r="T75" s="19">
        <v>1.0</v>
      </c>
      <c r="U75" s="19">
        <v>1.0</v>
      </c>
      <c r="V75" s="19">
        <v>1.0</v>
      </c>
      <c r="W75" s="19">
        <v>4.0</v>
      </c>
      <c r="X75" s="19">
        <v>2.0</v>
      </c>
      <c r="Y75" s="19">
        <v>5.0</v>
      </c>
      <c r="Z75" s="19">
        <v>0.0</v>
      </c>
      <c r="AA75" s="19">
        <v>1.0</v>
      </c>
      <c r="AB75" s="19">
        <v>1.0</v>
      </c>
      <c r="AC75" s="19">
        <v>1.0</v>
      </c>
      <c r="AD75" s="19">
        <v>1.0</v>
      </c>
      <c r="AE75" s="19">
        <v>2.0</v>
      </c>
      <c r="AF75" s="13">
        <f t="shared" ref="AF75:AF82" si="20">SUM(E75:AE75)</f>
        <v>71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0.0</v>
      </c>
      <c r="F76" s="19">
        <v>9.0</v>
      </c>
      <c r="G76" s="19">
        <v>5.0</v>
      </c>
      <c r="H76" s="19">
        <v>5.0</v>
      </c>
      <c r="I76" s="19">
        <v>14.0</v>
      </c>
      <c r="J76" s="19">
        <v>7.0</v>
      </c>
      <c r="K76" s="19">
        <v>16.0</v>
      </c>
      <c r="L76" s="19">
        <v>6.0</v>
      </c>
      <c r="M76" s="19">
        <v>2.0</v>
      </c>
      <c r="N76" s="19">
        <v>9.0</v>
      </c>
      <c r="O76" s="19">
        <v>12.0</v>
      </c>
      <c r="P76" s="19">
        <v>27.0</v>
      </c>
      <c r="Q76" s="19">
        <v>62.0</v>
      </c>
      <c r="R76" s="19">
        <v>65.0</v>
      </c>
      <c r="S76" s="19">
        <v>36.0</v>
      </c>
      <c r="T76" s="19">
        <v>14.0</v>
      </c>
      <c r="U76" s="19">
        <v>1.0</v>
      </c>
      <c r="V76" s="19">
        <v>4.0</v>
      </c>
      <c r="W76" s="19">
        <v>4.0</v>
      </c>
      <c r="X76" s="19">
        <v>2.0</v>
      </c>
      <c r="Y76" s="19">
        <v>2.0</v>
      </c>
      <c r="Z76" s="19">
        <v>4.0</v>
      </c>
      <c r="AA76" s="19">
        <v>1.0</v>
      </c>
      <c r="AB76" s="19">
        <v>6.0</v>
      </c>
      <c r="AC76" s="19">
        <v>10.0</v>
      </c>
      <c r="AD76" s="19">
        <v>7.0</v>
      </c>
      <c r="AE76" s="19">
        <v>2.0</v>
      </c>
      <c r="AF76" s="13">
        <f t="shared" si="20"/>
        <v>332</v>
      </c>
    </row>
    <row r="77" ht="12.75" customHeight="1">
      <c r="A77" s="18"/>
      <c r="B77" s="55">
        <v>2.0</v>
      </c>
      <c r="C77" s="50" t="s">
        <v>66</v>
      </c>
      <c r="D77" s="57"/>
      <c r="E77" s="19">
        <v>1.0</v>
      </c>
      <c r="F77" s="19">
        <v>18.0</v>
      </c>
      <c r="G77" s="19">
        <v>3.0</v>
      </c>
      <c r="H77" s="19">
        <v>4.0</v>
      </c>
      <c r="I77" s="19">
        <v>0.0</v>
      </c>
      <c r="J77" s="19">
        <v>3.0</v>
      </c>
      <c r="K77" s="19">
        <v>0.0</v>
      </c>
      <c r="L77" s="19">
        <v>3.0</v>
      </c>
      <c r="M77" s="19">
        <v>3.0</v>
      </c>
      <c r="N77" s="19">
        <v>1.0</v>
      </c>
      <c r="O77" s="19">
        <v>7.0</v>
      </c>
      <c r="P77" s="19">
        <v>1.0</v>
      </c>
      <c r="Q77" s="19">
        <v>4.0</v>
      </c>
      <c r="R77" s="19">
        <v>1.0</v>
      </c>
      <c r="S77" s="19">
        <v>3.0</v>
      </c>
      <c r="T77" s="19">
        <v>1.0</v>
      </c>
      <c r="U77" s="19">
        <v>6.0</v>
      </c>
      <c r="V77" s="19">
        <v>5.0</v>
      </c>
      <c r="W77" s="19">
        <v>3.0</v>
      </c>
      <c r="X77" s="19">
        <v>0.0</v>
      </c>
      <c r="Y77" s="19">
        <v>0.0</v>
      </c>
      <c r="Z77" s="19">
        <v>7.0</v>
      </c>
      <c r="AA77" s="19">
        <v>4.0</v>
      </c>
      <c r="AB77" s="19">
        <v>1.0</v>
      </c>
      <c r="AC77" s="19">
        <v>3.0</v>
      </c>
      <c r="AD77" s="19">
        <v>2.0</v>
      </c>
      <c r="AE77" s="19">
        <v>6.0</v>
      </c>
      <c r="AF77" s="13">
        <f t="shared" si="20"/>
        <v>90</v>
      </c>
    </row>
    <row r="78" ht="12.75" customHeight="1">
      <c r="A78" s="18"/>
      <c r="B78" s="55">
        <v>3.0</v>
      </c>
      <c r="C78" s="50" t="s">
        <v>67</v>
      </c>
      <c r="D78" s="57"/>
      <c r="E78" s="19">
        <v>0.0</v>
      </c>
      <c r="F78" s="19">
        <v>1.0</v>
      </c>
      <c r="G78" s="19">
        <v>2.0</v>
      </c>
      <c r="H78" s="19">
        <v>1.0</v>
      </c>
      <c r="I78" s="19">
        <v>0.0</v>
      </c>
      <c r="J78" s="19">
        <v>1.0</v>
      </c>
      <c r="K78" s="19">
        <v>1.0</v>
      </c>
      <c r="L78" s="19">
        <v>0.0</v>
      </c>
      <c r="M78" s="19">
        <v>0.0</v>
      </c>
      <c r="N78" s="19">
        <v>0.0</v>
      </c>
      <c r="O78" s="19">
        <v>0.0</v>
      </c>
      <c r="P78" s="19">
        <v>1.0</v>
      </c>
      <c r="Q78" s="19">
        <v>0.0</v>
      </c>
      <c r="R78" s="19">
        <v>1.0</v>
      </c>
      <c r="S78" s="19">
        <v>0.0</v>
      </c>
      <c r="T78" s="19">
        <v>0.0</v>
      </c>
      <c r="U78" s="19">
        <v>0.0</v>
      </c>
      <c r="V78" s="19">
        <v>0.0</v>
      </c>
      <c r="W78" s="19">
        <v>0.0</v>
      </c>
      <c r="X78" s="19">
        <v>0.0</v>
      </c>
      <c r="Y78" s="19">
        <v>1.0</v>
      </c>
      <c r="Z78" s="19">
        <v>0.0</v>
      </c>
      <c r="AA78" s="19">
        <v>0.0</v>
      </c>
      <c r="AB78" s="19">
        <v>1.0</v>
      </c>
      <c r="AC78" s="19">
        <v>0.0</v>
      </c>
      <c r="AD78" s="19">
        <v>0.0</v>
      </c>
      <c r="AE78" s="19">
        <v>0.0</v>
      </c>
      <c r="AF78" s="13">
        <f t="shared" si="20"/>
        <v>10</v>
      </c>
    </row>
    <row r="79" ht="12.75" customHeight="1">
      <c r="A79" s="18"/>
      <c r="B79" s="55">
        <v>4.0</v>
      </c>
      <c r="C79" s="50" t="s">
        <v>68</v>
      </c>
      <c r="D79" s="57"/>
      <c r="E79" s="19">
        <v>0.0</v>
      </c>
      <c r="F79" s="19">
        <v>0.0</v>
      </c>
      <c r="G79" s="19">
        <v>0.0</v>
      </c>
      <c r="H79" s="19">
        <v>3.0</v>
      </c>
      <c r="I79" s="19">
        <v>0.0</v>
      </c>
      <c r="J79" s="19">
        <v>0.0</v>
      </c>
      <c r="K79" s="19">
        <v>0.0</v>
      </c>
      <c r="L79" s="19">
        <v>0.0</v>
      </c>
      <c r="M79" s="19">
        <v>0.0</v>
      </c>
      <c r="N79" s="19">
        <v>0.0</v>
      </c>
      <c r="O79" s="19">
        <v>1.0</v>
      </c>
      <c r="P79" s="19">
        <v>0.0</v>
      </c>
      <c r="Q79" s="19">
        <v>0.0</v>
      </c>
      <c r="R79" s="19">
        <v>3.0</v>
      </c>
      <c r="S79" s="19">
        <v>0.0</v>
      </c>
      <c r="T79" s="19">
        <v>0.0</v>
      </c>
      <c r="U79" s="19">
        <v>0.0</v>
      </c>
      <c r="V79" s="19">
        <v>0.0</v>
      </c>
      <c r="W79" s="19">
        <v>1.0</v>
      </c>
      <c r="X79" s="19">
        <v>0.0</v>
      </c>
      <c r="Y79" s="19">
        <v>4.0</v>
      </c>
      <c r="Z79" s="19">
        <v>0.0</v>
      </c>
      <c r="AA79" s="19">
        <v>0.0</v>
      </c>
      <c r="AB79" s="19">
        <v>0.0</v>
      </c>
      <c r="AC79" s="19">
        <v>0.0</v>
      </c>
      <c r="AD79" s="19">
        <v>0.0</v>
      </c>
      <c r="AE79" s="19">
        <v>1.0</v>
      </c>
      <c r="AF79" s="13">
        <f t="shared" si="20"/>
        <v>13</v>
      </c>
    </row>
    <row r="80" ht="12.75" customHeight="1">
      <c r="A80" s="18"/>
      <c r="B80" s="55">
        <v>5.0</v>
      </c>
      <c r="C80" s="50" t="s">
        <v>69</v>
      </c>
      <c r="D80" s="57"/>
      <c r="E80" s="19">
        <v>0.0</v>
      </c>
      <c r="F80" s="19">
        <v>2.0</v>
      </c>
      <c r="G80" s="19">
        <v>2.0</v>
      </c>
      <c r="H80" s="19">
        <v>0.0</v>
      </c>
      <c r="I80" s="19">
        <v>0.0</v>
      </c>
      <c r="J80" s="19">
        <v>3.0</v>
      </c>
      <c r="K80" s="19">
        <v>0.0</v>
      </c>
      <c r="L80" s="19">
        <v>0.0</v>
      </c>
      <c r="M80" s="19">
        <v>0.0</v>
      </c>
      <c r="N80" s="19">
        <v>0.0</v>
      </c>
      <c r="O80" s="19">
        <v>3.0</v>
      </c>
      <c r="P80" s="19">
        <v>1.0</v>
      </c>
      <c r="Q80" s="19">
        <v>1.0</v>
      </c>
      <c r="R80" s="19">
        <v>0.0</v>
      </c>
      <c r="S80" s="19">
        <v>0.0</v>
      </c>
      <c r="T80" s="19">
        <v>2.0</v>
      </c>
      <c r="U80" s="19">
        <v>11.0</v>
      </c>
      <c r="V80" s="19">
        <v>9.0</v>
      </c>
      <c r="W80" s="19">
        <v>0.0</v>
      </c>
      <c r="X80" s="19">
        <v>2.0</v>
      </c>
      <c r="Y80" s="19">
        <v>1.0</v>
      </c>
      <c r="Z80" s="19">
        <v>15.0</v>
      </c>
      <c r="AA80" s="19">
        <v>0.0</v>
      </c>
      <c r="AB80" s="19">
        <v>4.0</v>
      </c>
      <c r="AC80" s="19">
        <v>0.0</v>
      </c>
      <c r="AD80" s="19">
        <v>2.0</v>
      </c>
      <c r="AE80" s="19">
        <v>1.0</v>
      </c>
      <c r="AF80" s="13">
        <f t="shared" si="20"/>
        <v>59</v>
      </c>
    </row>
    <row r="81" ht="12.75" customHeight="1">
      <c r="A81" s="18"/>
      <c r="B81" s="55">
        <v>6.0</v>
      </c>
      <c r="C81" s="50" t="s">
        <v>70</v>
      </c>
      <c r="D81" s="57"/>
      <c r="E81" s="19">
        <v>0.0</v>
      </c>
      <c r="F81" s="19">
        <v>0.0</v>
      </c>
      <c r="G81" s="19">
        <v>0.0</v>
      </c>
      <c r="H81" s="19">
        <v>1.0</v>
      </c>
      <c r="I81" s="19">
        <v>0.0</v>
      </c>
      <c r="J81" s="19">
        <v>0.0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0.0</v>
      </c>
      <c r="S81" s="19">
        <v>0.0</v>
      </c>
      <c r="T81" s="19">
        <v>0.0</v>
      </c>
      <c r="U81" s="19">
        <v>0.0</v>
      </c>
      <c r="V81" s="19">
        <v>1.0</v>
      </c>
      <c r="W81" s="19">
        <v>0.0</v>
      </c>
      <c r="X81" s="19">
        <v>0.0</v>
      </c>
      <c r="Y81" s="19">
        <v>0.0</v>
      </c>
      <c r="Z81" s="19">
        <v>0.0</v>
      </c>
      <c r="AA81" s="19">
        <v>0.0</v>
      </c>
      <c r="AB81" s="19">
        <v>0.0</v>
      </c>
      <c r="AC81" s="19">
        <v>0.0</v>
      </c>
      <c r="AD81" s="19">
        <v>0.0</v>
      </c>
      <c r="AE81" s="19">
        <v>0.0</v>
      </c>
      <c r="AF81" s="13">
        <f t="shared" si="20"/>
        <v>2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2.0</v>
      </c>
      <c r="O82" s="19">
        <v>0.0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0.0</v>
      </c>
      <c r="V82" s="19">
        <v>1.0</v>
      </c>
      <c r="W82" s="19">
        <v>0.0</v>
      </c>
      <c r="X82" s="19">
        <v>0.0</v>
      </c>
      <c r="Y82" s="19">
        <v>0.0</v>
      </c>
      <c r="Z82" s="19">
        <v>0.0</v>
      </c>
      <c r="AA82" s="19">
        <v>0.0</v>
      </c>
      <c r="AB82" s="19">
        <v>0.0</v>
      </c>
      <c r="AC82" s="19">
        <v>0.0</v>
      </c>
      <c r="AD82" s="19">
        <v>0.0</v>
      </c>
      <c r="AE82" s="19">
        <v>0.0</v>
      </c>
      <c r="AF82" s="13">
        <f t="shared" si="20"/>
        <v>3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AF83" si="21">SUM(E75:E82)</f>
        <v>1</v>
      </c>
      <c r="F83" s="13">
        <f t="shared" si="21"/>
        <v>32</v>
      </c>
      <c r="G83" s="13">
        <f t="shared" si="21"/>
        <v>17</v>
      </c>
      <c r="H83" s="13">
        <f t="shared" si="21"/>
        <v>20</v>
      </c>
      <c r="I83" s="13">
        <f t="shared" si="21"/>
        <v>18</v>
      </c>
      <c r="J83" s="13">
        <f t="shared" si="21"/>
        <v>17</v>
      </c>
      <c r="K83" s="13">
        <f t="shared" si="21"/>
        <v>18</v>
      </c>
      <c r="L83" s="13">
        <f t="shared" si="21"/>
        <v>12</v>
      </c>
      <c r="M83" s="13">
        <f t="shared" si="21"/>
        <v>6</v>
      </c>
      <c r="N83" s="13">
        <f t="shared" si="21"/>
        <v>12</v>
      </c>
      <c r="O83" s="13">
        <f t="shared" si="21"/>
        <v>24</v>
      </c>
      <c r="P83" s="13">
        <f t="shared" si="21"/>
        <v>39</v>
      </c>
      <c r="Q83" s="13">
        <f t="shared" si="21"/>
        <v>68</v>
      </c>
      <c r="R83" s="13">
        <f t="shared" si="21"/>
        <v>77</v>
      </c>
      <c r="S83" s="13">
        <f t="shared" si="21"/>
        <v>47</v>
      </c>
      <c r="T83" s="13">
        <f t="shared" si="21"/>
        <v>18</v>
      </c>
      <c r="U83" s="13">
        <f t="shared" si="21"/>
        <v>19</v>
      </c>
      <c r="V83" s="13">
        <f t="shared" si="21"/>
        <v>21</v>
      </c>
      <c r="W83" s="13">
        <f t="shared" si="21"/>
        <v>12</v>
      </c>
      <c r="X83" s="13">
        <f t="shared" si="21"/>
        <v>6</v>
      </c>
      <c r="Y83" s="13">
        <f t="shared" si="21"/>
        <v>13</v>
      </c>
      <c r="Z83" s="13">
        <f t="shared" si="21"/>
        <v>26</v>
      </c>
      <c r="AA83" s="13">
        <f t="shared" si="21"/>
        <v>6</v>
      </c>
      <c r="AB83" s="13">
        <f t="shared" si="21"/>
        <v>13</v>
      </c>
      <c r="AC83" s="13">
        <f t="shared" si="21"/>
        <v>14</v>
      </c>
      <c r="AD83" s="13">
        <f t="shared" si="21"/>
        <v>12</v>
      </c>
      <c r="AE83" s="13">
        <f t="shared" si="21"/>
        <v>12</v>
      </c>
      <c r="AF83" s="13">
        <f t="shared" si="21"/>
        <v>580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1.0</v>
      </c>
      <c r="F85" s="19">
        <v>4.0</v>
      </c>
      <c r="G85" s="19">
        <v>3.0</v>
      </c>
      <c r="H85" s="19">
        <v>3.0</v>
      </c>
      <c r="I85" s="19">
        <v>4.0</v>
      </c>
      <c r="J85" s="19">
        <v>4.0</v>
      </c>
      <c r="K85" s="19">
        <v>1.0</v>
      </c>
      <c r="L85" s="19">
        <v>8.0</v>
      </c>
      <c r="M85" s="19">
        <v>6.0</v>
      </c>
      <c r="N85" s="19">
        <v>0.0</v>
      </c>
      <c r="O85" s="19">
        <v>0.0</v>
      </c>
      <c r="P85" s="19">
        <v>1.0</v>
      </c>
      <c r="Q85" s="19">
        <v>0.0</v>
      </c>
      <c r="R85" s="19">
        <v>0.0</v>
      </c>
      <c r="S85" s="19">
        <v>0.0</v>
      </c>
      <c r="T85" s="19">
        <v>1.0</v>
      </c>
      <c r="U85" s="19">
        <v>0.0</v>
      </c>
      <c r="V85" s="19">
        <v>1.0</v>
      </c>
      <c r="W85" s="19">
        <v>0.0</v>
      </c>
      <c r="X85" s="19">
        <v>0.0</v>
      </c>
      <c r="Y85" s="19">
        <v>0.0</v>
      </c>
      <c r="Z85" s="19">
        <v>0.0</v>
      </c>
      <c r="AA85" s="19">
        <v>1.0</v>
      </c>
      <c r="AB85" s="19">
        <v>0.0</v>
      </c>
      <c r="AC85" s="19">
        <v>1.0</v>
      </c>
      <c r="AD85" s="19">
        <v>0.0</v>
      </c>
      <c r="AE85" s="19">
        <v>0.0</v>
      </c>
      <c r="AF85" s="13">
        <f t="shared" ref="AF85:AF92" si="22">SUM(E85:AE85)</f>
        <v>39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1.0</v>
      </c>
      <c r="F86" s="19">
        <v>4.0</v>
      </c>
      <c r="G86" s="19">
        <v>7.0</v>
      </c>
      <c r="H86" s="19">
        <v>4.0</v>
      </c>
      <c r="I86" s="19">
        <v>5.0</v>
      </c>
      <c r="J86" s="19">
        <v>6.0</v>
      </c>
      <c r="K86" s="19">
        <v>3.0</v>
      </c>
      <c r="L86" s="19">
        <v>6.0</v>
      </c>
      <c r="M86" s="19">
        <v>10.0</v>
      </c>
      <c r="N86" s="19">
        <v>3.0</v>
      </c>
      <c r="O86" s="19">
        <v>0.0</v>
      </c>
      <c r="P86" s="19">
        <v>9.0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0.0</v>
      </c>
      <c r="W86" s="19">
        <v>0.0</v>
      </c>
      <c r="X86" s="19">
        <v>1.0</v>
      </c>
      <c r="Y86" s="19">
        <v>1.0</v>
      </c>
      <c r="Z86" s="19">
        <v>0.0</v>
      </c>
      <c r="AA86" s="19">
        <v>2.0</v>
      </c>
      <c r="AB86" s="19">
        <v>0.0</v>
      </c>
      <c r="AC86" s="19">
        <v>0.0</v>
      </c>
      <c r="AD86" s="19">
        <v>2.0</v>
      </c>
      <c r="AE86" s="19">
        <v>0.0</v>
      </c>
      <c r="AF86" s="13">
        <f t="shared" si="22"/>
        <v>64</v>
      </c>
    </row>
    <row r="87" ht="12.75" customHeight="1">
      <c r="A87" s="18"/>
      <c r="B87" s="55">
        <v>2.0</v>
      </c>
      <c r="C87" s="50" t="s">
        <v>75</v>
      </c>
      <c r="D87" s="57"/>
      <c r="E87" s="19">
        <v>0.0</v>
      </c>
      <c r="F87" s="19">
        <v>1.0</v>
      </c>
      <c r="G87" s="19">
        <v>1.0</v>
      </c>
      <c r="H87" s="19">
        <v>1.0</v>
      </c>
      <c r="I87" s="19">
        <v>0.0</v>
      </c>
      <c r="J87" s="19">
        <v>1.0</v>
      </c>
      <c r="K87" s="19">
        <v>0.0</v>
      </c>
      <c r="L87" s="19">
        <v>0.0</v>
      </c>
      <c r="M87" s="19">
        <v>1.0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1.0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3">
        <f t="shared" si="22"/>
        <v>6</v>
      </c>
    </row>
    <row r="88" ht="12.75" customHeight="1">
      <c r="A88" s="18"/>
      <c r="B88" s="55">
        <v>3.0</v>
      </c>
      <c r="C88" s="50" t="s">
        <v>76</v>
      </c>
      <c r="D88" s="57"/>
      <c r="E88" s="19">
        <v>1.0</v>
      </c>
      <c r="F88" s="19">
        <v>0.0</v>
      </c>
      <c r="G88" s="19">
        <v>1.0</v>
      </c>
      <c r="H88" s="19">
        <v>3.0</v>
      </c>
      <c r="I88" s="19">
        <v>1.0</v>
      </c>
      <c r="J88" s="19">
        <v>2.0</v>
      </c>
      <c r="K88" s="19">
        <v>0.0</v>
      </c>
      <c r="L88" s="19">
        <v>2.0</v>
      </c>
      <c r="M88" s="19">
        <v>1.0</v>
      </c>
      <c r="N88" s="19">
        <v>1.0</v>
      </c>
      <c r="O88" s="19">
        <v>0.0</v>
      </c>
      <c r="P88" s="19">
        <v>2.0</v>
      </c>
      <c r="Q88" s="19">
        <v>1.0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1.0</v>
      </c>
      <c r="AB88" s="19">
        <v>0.0</v>
      </c>
      <c r="AC88" s="19">
        <v>0.0</v>
      </c>
      <c r="AD88" s="19">
        <v>0.0</v>
      </c>
      <c r="AE88" s="19">
        <v>0.0</v>
      </c>
      <c r="AF88" s="13">
        <f t="shared" si="22"/>
        <v>16</v>
      </c>
    </row>
    <row r="89" ht="12.75" customHeight="1">
      <c r="A89" s="18"/>
      <c r="B89" s="55">
        <v>4.0</v>
      </c>
      <c r="C89" s="50" t="s">
        <v>77</v>
      </c>
      <c r="D89" s="57"/>
      <c r="E89" s="19">
        <v>0.0</v>
      </c>
      <c r="F89" s="19">
        <v>2.0</v>
      </c>
      <c r="G89" s="19">
        <v>1.0</v>
      </c>
      <c r="H89" s="19">
        <v>0.0</v>
      </c>
      <c r="I89" s="19">
        <v>0.0</v>
      </c>
      <c r="J89" s="19">
        <v>1.0</v>
      </c>
      <c r="K89" s="19">
        <v>0.0</v>
      </c>
      <c r="L89" s="19">
        <v>5.0</v>
      </c>
      <c r="M89" s="19">
        <v>0.0</v>
      </c>
      <c r="N89" s="19">
        <v>1.0</v>
      </c>
      <c r="O89" s="19">
        <v>3.0</v>
      </c>
      <c r="P89" s="19">
        <v>0.0</v>
      </c>
      <c r="Q89" s="19">
        <v>0.0</v>
      </c>
      <c r="R89" s="19">
        <v>0.0</v>
      </c>
      <c r="S89" s="19">
        <v>0.0</v>
      </c>
      <c r="T89" s="19">
        <v>0.0</v>
      </c>
      <c r="U89" s="19">
        <v>1.0</v>
      </c>
      <c r="V89" s="19">
        <v>0.0</v>
      </c>
      <c r="W89" s="19">
        <v>0.0</v>
      </c>
      <c r="X89" s="19">
        <v>0.0</v>
      </c>
      <c r="Y89" s="19">
        <v>0.0</v>
      </c>
      <c r="Z89" s="19">
        <v>1.0</v>
      </c>
      <c r="AA89" s="19">
        <v>0.0</v>
      </c>
      <c r="AB89" s="19">
        <v>0.0</v>
      </c>
      <c r="AC89" s="19">
        <v>0.0</v>
      </c>
      <c r="AD89" s="19">
        <v>0.0</v>
      </c>
      <c r="AE89" s="19">
        <v>0.0</v>
      </c>
      <c r="AF89" s="13">
        <f t="shared" si="22"/>
        <v>15</v>
      </c>
    </row>
    <row r="90" ht="12.75" customHeight="1">
      <c r="A90" s="18"/>
      <c r="B90" s="55">
        <v>5.0</v>
      </c>
      <c r="C90" s="50" t="s">
        <v>78</v>
      </c>
      <c r="D90" s="57"/>
      <c r="E90" s="19">
        <v>0.0</v>
      </c>
      <c r="F90" s="19">
        <v>1.0</v>
      </c>
      <c r="G90" s="19">
        <v>0.0</v>
      </c>
      <c r="H90" s="19">
        <v>0.0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0.0</v>
      </c>
      <c r="R90" s="19">
        <v>0.0</v>
      </c>
      <c r="S90" s="19">
        <v>0.0</v>
      </c>
      <c r="T90" s="19">
        <v>0.0</v>
      </c>
      <c r="U90" s="19">
        <v>0.0</v>
      </c>
      <c r="V90" s="19">
        <v>0.0</v>
      </c>
      <c r="W90" s="19">
        <v>0.0</v>
      </c>
      <c r="X90" s="19">
        <v>1.0</v>
      </c>
      <c r="Y90" s="19">
        <v>0.0</v>
      </c>
      <c r="Z90" s="19">
        <v>0.0</v>
      </c>
      <c r="AA90" s="19">
        <v>1.0</v>
      </c>
      <c r="AB90" s="19">
        <v>0.0</v>
      </c>
      <c r="AC90" s="19">
        <v>0.0</v>
      </c>
      <c r="AD90" s="19">
        <v>0.0</v>
      </c>
      <c r="AE90" s="19">
        <v>0.0</v>
      </c>
      <c r="AF90" s="13">
        <f t="shared" si="22"/>
        <v>3</v>
      </c>
    </row>
    <row r="91" ht="12.75" customHeight="1">
      <c r="A91" s="18"/>
      <c r="B91" s="55">
        <v>6.0</v>
      </c>
      <c r="C91" s="50" t="s">
        <v>79</v>
      </c>
      <c r="D91" s="57"/>
      <c r="E91" s="19">
        <v>0.0</v>
      </c>
      <c r="F91" s="19">
        <v>2.0</v>
      </c>
      <c r="G91" s="19">
        <v>0.0</v>
      </c>
      <c r="H91" s="19">
        <v>1.0</v>
      </c>
      <c r="I91" s="19">
        <v>0.0</v>
      </c>
      <c r="J91" s="19">
        <v>3.0</v>
      </c>
      <c r="K91" s="19">
        <v>1.0</v>
      </c>
      <c r="L91" s="19">
        <v>1.0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9">
        <v>0.0</v>
      </c>
      <c r="AB91" s="19">
        <v>0.0</v>
      </c>
      <c r="AC91" s="19">
        <v>0.0</v>
      </c>
      <c r="AD91" s="19">
        <v>0.0</v>
      </c>
      <c r="AE91" s="19">
        <v>0.0</v>
      </c>
      <c r="AF91" s="13">
        <f t="shared" si="22"/>
        <v>8</v>
      </c>
    </row>
    <row r="92" ht="12.75" customHeight="1">
      <c r="A92" s="18"/>
      <c r="B92" s="55">
        <v>7.0</v>
      </c>
      <c r="C92" s="50" t="s">
        <v>80</v>
      </c>
      <c r="D92" s="57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0.0</v>
      </c>
      <c r="Y92" s="19">
        <v>0.0</v>
      </c>
      <c r="Z92" s="19">
        <v>1.0</v>
      </c>
      <c r="AA92" s="19">
        <v>0.0</v>
      </c>
      <c r="AB92" s="19">
        <v>0.0</v>
      </c>
      <c r="AC92" s="19">
        <v>0.0</v>
      </c>
      <c r="AD92" s="19">
        <v>0.0</v>
      </c>
      <c r="AE92" s="19">
        <v>0.0</v>
      </c>
      <c r="AF92" s="13">
        <f t="shared" si="22"/>
        <v>1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AF93" si="23">SUM(E85:E92)</f>
        <v>3</v>
      </c>
      <c r="F93" s="13">
        <f t="shared" si="23"/>
        <v>14</v>
      </c>
      <c r="G93" s="13">
        <f t="shared" si="23"/>
        <v>13</v>
      </c>
      <c r="H93" s="13">
        <f t="shared" si="23"/>
        <v>12</v>
      </c>
      <c r="I93" s="13">
        <f t="shared" si="23"/>
        <v>10</v>
      </c>
      <c r="J93" s="13">
        <f t="shared" si="23"/>
        <v>17</v>
      </c>
      <c r="K93" s="13">
        <f t="shared" si="23"/>
        <v>5</v>
      </c>
      <c r="L93" s="13">
        <f t="shared" si="23"/>
        <v>22</v>
      </c>
      <c r="M93" s="13">
        <f t="shared" si="23"/>
        <v>18</v>
      </c>
      <c r="N93" s="13">
        <f t="shared" si="23"/>
        <v>5</v>
      </c>
      <c r="O93" s="13">
        <f t="shared" si="23"/>
        <v>3</v>
      </c>
      <c r="P93" s="13">
        <f t="shared" si="23"/>
        <v>12</v>
      </c>
      <c r="Q93" s="13">
        <f t="shared" si="23"/>
        <v>1</v>
      </c>
      <c r="R93" s="13">
        <f t="shared" si="23"/>
        <v>0</v>
      </c>
      <c r="S93" s="13">
        <f t="shared" si="23"/>
        <v>0</v>
      </c>
      <c r="T93" s="13">
        <f t="shared" si="23"/>
        <v>2</v>
      </c>
      <c r="U93" s="13">
        <f t="shared" si="23"/>
        <v>1</v>
      </c>
      <c r="V93" s="13">
        <f t="shared" si="23"/>
        <v>1</v>
      </c>
      <c r="W93" s="13">
        <f t="shared" si="23"/>
        <v>0</v>
      </c>
      <c r="X93" s="13">
        <f t="shared" si="23"/>
        <v>2</v>
      </c>
      <c r="Y93" s="13">
        <f t="shared" si="23"/>
        <v>1</v>
      </c>
      <c r="Z93" s="13">
        <f t="shared" si="23"/>
        <v>2</v>
      </c>
      <c r="AA93" s="13">
        <f t="shared" si="23"/>
        <v>5</v>
      </c>
      <c r="AB93" s="13">
        <f t="shared" si="23"/>
        <v>0</v>
      </c>
      <c r="AC93" s="13">
        <f t="shared" si="23"/>
        <v>1</v>
      </c>
      <c r="AD93" s="13">
        <f t="shared" si="23"/>
        <v>2</v>
      </c>
      <c r="AE93" s="13">
        <f t="shared" si="23"/>
        <v>0</v>
      </c>
      <c r="AF93" s="13">
        <f t="shared" si="23"/>
        <v>152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1.0</v>
      </c>
      <c r="F95" s="19">
        <v>1.0</v>
      </c>
      <c r="G95" s="19">
        <v>0.0</v>
      </c>
      <c r="H95" s="19">
        <v>1.0</v>
      </c>
      <c r="I95" s="19">
        <v>0.0</v>
      </c>
      <c r="J95" s="19">
        <v>2.0</v>
      </c>
      <c r="K95" s="19">
        <v>0.0</v>
      </c>
      <c r="L95" s="19">
        <v>2.0</v>
      </c>
      <c r="M95" s="19">
        <v>1.0</v>
      </c>
      <c r="N95" s="19">
        <v>0.0</v>
      </c>
      <c r="O95" s="19">
        <v>2.0</v>
      </c>
      <c r="P95" s="19">
        <v>0.0</v>
      </c>
      <c r="Q95" s="19">
        <v>0.0</v>
      </c>
      <c r="R95" s="19">
        <v>0.0</v>
      </c>
      <c r="S95" s="19">
        <v>1.0</v>
      </c>
      <c r="T95" s="19">
        <v>2.0</v>
      </c>
      <c r="U95" s="19">
        <v>0.0</v>
      </c>
      <c r="V95" s="19">
        <v>0.0</v>
      </c>
      <c r="W95" s="19">
        <v>1.0</v>
      </c>
      <c r="X95" s="19">
        <v>0.0</v>
      </c>
      <c r="Y95" s="19">
        <v>2.0</v>
      </c>
      <c r="Z95" s="19">
        <v>2.0</v>
      </c>
      <c r="AA95" s="19">
        <v>1.0</v>
      </c>
      <c r="AB95" s="19">
        <v>0.0</v>
      </c>
      <c r="AC95" s="19">
        <v>1.0</v>
      </c>
      <c r="AD95" s="19">
        <v>0.0</v>
      </c>
      <c r="AE95" s="19">
        <v>1.0</v>
      </c>
      <c r="AF95" s="13">
        <f t="shared" ref="AF95:AF102" si="24">SUM(E95:AE95)</f>
        <v>21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0.0</v>
      </c>
      <c r="F96" s="19">
        <v>1.0</v>
      </c>
      <c r="G96" s="19">
        <v>0.0</v>
      </c>
      <c r="H96" s="19">
        <v>0.0</v>
      </c>
      <c r="I96" s="19">
        <v>0.0</v>
      </c>
      <c r="J96" s="19">
        <v>1.0</v>
      </c>
      <c r="K96" s="19">
        <v>1.0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1.0</v>
      </c>
      <c r="S96" s="19">
        <v>1.0</v>
      </c>
      <c r="T96" s="19">
        <v>0.0</v>
      </c>
      <c r="U96" s="19">
        <v>1.0</v>
      </c>
      <c r="V96" s="19">
        <v>0.0</v>
      </c>
      <c r="W96" s="19">
        <v>1.0</v>
      </c>
      <c r="X96" s="19">
        <v>0.0</v>
      </c>
      <c r="Y96" s="19">
        <v>0.0</v>
      </c>
      <c r="Z96" s="19">
        <v>0.0</v>
      </c>
      <c r="AA96" s="19">
        <v>0.0</v>
      </c>
      <c r="AB96" s="19">
        <v>1.0</v>
      </c>
      <c r="AC96" s="19">
        <v>0.0</v>
      </c>
      <c r="AD96" s="19">
        <v>0.0</v>
      </c>
      <c r="AE96" s="19">
        <v>0.0</v>
      </c>
      <c r="AF96" s="13">
        <f t="shared" si="24"/>
        <v>8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1.0</v>
      </c>
      <c r="G97" s="19">
        <v>1.0</v>
      </c>
      <c r="H97" s="19">
        <v>2.0</v>
      </c>
      <c r="I97" s="19">
        <v>0.0</v>
      </c>
      <c r="J97" s="19">
        <v>0.0</v>
      </c>
      <c r="K97" s="19">
        <v>0.0</v>
      </c>
      <c r="L97" s="19">
        <v>1.0</v>
      </c>
      <c r="M97" s="19">
        <v>0.0</v>
      </c>
      <c r="N97" s="19">
        <v>1.0</v>
      </c>
      <c r="O97" s="19">
        <v>1.0</v>
      </c>
      <c r="P97" s="19">
        <v>0.0</v>
      </c>
      <c r="Q97" s="19">
        <v>0.0</v>
      </c>
      <c r="R97" s="19">
        <v>0.0</v>
      </c>
      <c r="S97" s="19">
        <v>0.0</v>
      </c>
      <c r="T97" s="19">
        <v>1.0</v>
      </c>
      <c r="U97" s="19">
        <v>0.0</v>
      </c>
      <c r="V97" s="19">
        <v>0.0</v>
      </c>
      <c r="W97" s="19">
        <v>1.0</v>
      </c>
      <c r="X97" s="19">
        <v>1.0</v>
      </c>
      <c r="Y97" s="19">
        <v>0.0</v>
      </c>
      <c r="Z97" s="19">
        <v>1.0</v>
      </c>
      <c r="AA97" s="19">
        <v>1.0</v>
      </c>
      <c r="AB97" s="19">
        <v>0.0</v>
      </c>
      <c r="AC97" s="19">
        <v>0.0</v>
      </c>
      <c r="AD97" s="19">
        <v>0.0</v>
      </c>
      <c r="AE97" s="19">
        <v>0.0</v>
      </c>
      <c r="AF97" s="13">
        <f t="shared" si="24"/>
        <v>12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1.0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1.0</v>
      </c>
      <c r="X98" s="19">
        <v>0.0</v>
      </c>
      <c r="Y98" s="19">
        <v>1.0</v>
      </c>
      <c r="Z98" s="19">
        <v>0.0</v>
      </c>
      <c r="AA98" s="19">
        <v>0.0</v>
      </c>
      <c r="AB98" s="19">
        <v>1.0</v>
      </c>
      <c r="AC98" s="19">
        <v>0.0</v>
      </c>
      <c r="AD98" s="19">
        <v>0.0</v>
      </c>
      <c r="AE98" s="19">
        <v>0.0</v>
      </c>
      <c r="AF98" s="13">
        <f t="shared" si="24"/>
        <v>4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1.0</v>
      </c>
      <c r="M99" s="19">
        <v>2.0</v>
      </c>
      <c r="N99" s="19">
        <v>1.0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1.0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3">
        <f t="shared" si="24"/>
        <v>5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3">
        <f t="shared" si="24"/>
        <v>0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1.0</v>
      </c>
      <c r="O101" s="19">
        <v>0.0</v>
      </c>
      <c r="P101" s="19">
        <v>0.0</v>
      </c>
      <c r="Q101" s="19">
        <v>0.0</v>
      </c>
      <c r="R101" s="19">
        <v>0.0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9">
        <v>0.0</v>
      </c>
      <c r="Y101" s="19">
        <v>0.0</v>
      </c>
      <c r="Z101" s="19">
        <v>0.0</v>
      </c>
      <c r="AA101" s="19">
        <v>0.0</v>
      </c>
      <c r="AB101" s="19">
        <v>0.0</v>
      </c>
      <c r="AC101" s="19">
        <v>0.0</v>
      </c>
      <c r="AD101" s="19">
        <v>0.0</v>
      </c>
      <c r="AE101" s="19">
        <v>0.0</v>
      </c>
      <c r="AF101" s="13">
        <f t="shared" si="24"/>
        <v>1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9">
        <v>0.0</v>
      </c>
      <c r="W102" s="19">
        <v>0.0</v>
      </c>
      <c r="X102" s="19">
        <v>0.0</v>
      </c>
      <c r="Y102" s="19">
        <v>0.0</v>
      </c>
      <c r="Z102" s="19">
        <v>0.0</v>
      </c>
      <c r="AA102" s="19">
        <v>0.0</v>
      </c>
      <c r="AB102" s="19">
        <v>0.0</v>
      </c>
      <c r="AC102" s="19">
        <v>0.0</v>
      </c>
      <c r="AD102" s="19">
        <v>0.0</v>
      </c>
      <c r="AE102" s="19">
        <v>0.0</v>
      </c>
      <c r="AF102" s="13">
        <f t="shared" si="24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F103" si="25">SUM(E95:E102)</f>
        <v>1</v>
      </c>
      <c r="F103" s="13">
        <f t="shared" si="25"/>
        <v>3</v>
      </c>
      <c r="G103" s="13">
        <f t="shared" si="25"/>
        <v>1</v>
      </c>
      <c r="H103" s="13">
        <f t="shared" si="25"/>
        <v>3</v>
      </c>
      <c r="I103" s="13">
        <f t="shared" si="25"/>
        <v>0</v>
      </c>
      <c r="J103" s="13">
        <f t="shared" si="25"/>
        <v>3</v>
      </c>
      <c r="K103" s="13">
        <f t="shared" si="25"/>
        <v>1</v>
      </c>
      <c r="L103" s="13">
        <f t="shared" si="25"/>
        <v>5</v>
      </c>
      <c r="M103" s="13">
        <f t="shared" si="25"/>
        <v>3</v>
      </c>
      <c r="N103" s="13">
        <f t="shared" si="25"/>
        <v>3</v>
      </c>
      <c r="O103" s="13">
        <f t="shared" si="25"/>
        <v>3</v>
      </c>
      <c r="P103" s="13">
        <f t="shared" si="25"/>
        <v>0</v>
      </c>
      <c r="Q103" s="13">
        <f t="shared" si="25"/>
        <v>0</v>
      </c>
      <c r="R103" s="13">
        <f t="shared" si="25"/>
        <v>1</v>
      </c>
      <c r="S103" s="13">
        <f t="shared" si="25"/>
        <v>2</v>
      </c>
      <c r="T103" s="13">
        <f t="shared" si="25"/>
        <v>3</v>
      </c>
      <c r="U103" s="13">
        <f t="shared" si="25"/>
        <v>1</v>
      </c>
      <c r="V103" s="13">
        <f t="shared" si="25"/>
        <v>0</v>
      </c>
      <c r="W103" s="13">
        <f t="shared" si="25"/>
        <v>4</v>
      </c>
      <c r="X103" s="13">
        <f t="shared" si="25"/>
        <v>1</v>
      </c>
      <c r="Y103" s="13">
        <f t="shared" si="25"/>
        <v>4</v>
      </c>
      <c r="Z103" s="13">
        <f t="shared" si="25"/>
        <v>3</v>
      </c>
      <c r="AA103" s="13">
        <f t="shared" si="25"/>
        <v>2</v>
      </c>
      <c r="AB103" s="13">
        <f t="shared" si="25"/>
        <v>2</v>
      </c>
      <c r="AC103" s="13">
        <f t="shared" si="25"/>
        <v>1</v>
      </c>
      <c r="AD103" s="13">
        <f t="shared" si="25"/>
        <v>0</v>
      </c>
      <c r="AE103" s="13">
        <f t="shared" si="25"/>
        <v>1</v>
      </c>
      <c r="AF103" s="13">
        <f t="shared" si="25"/>
        <v>51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2.0</v>
      </c>
      <c r="F105" s="19">
        <v>1.0</v>
      </c>
      <c r="G105" s="19">
        <v>1.0</v>
      </c>
      <c r="H105" s="19">
        <v>0.0</v>
      </c>
      <c r="I105" s="19">
        <v>1.0</v>
      </c>
      <c r="J105" s="19">
        <v>0.0</v>
      </c>
      <c r="K105" s="19">
        <v>1.0</v>
      </c>
      <c r="L105" s="19">
        <v>2.0</v>
      </c>
      <c r="M105" s="19">
        <v>0.0</v>
      </c>
      <c r="N105" s="19">
        <v>1.0</v>
      </c>
      <c r="O105" s="19">
        <v>2.0</v>
      </c>
      <c r="P105" s="19">
        <v>0.0</v>
      </c>
      <c r="Q105" s="19">
        <v>0.0</v>
      </c>
      <c r="R105" s="19">
        <v>1.0</v>
      </c>
      <c r="S105" s="19">
        <v>0.0</v>
      </c>
      <c r="T105" s="19">
        <v>1.0</v>
      </c>
      <c r="U105" s="19">
        <v>0.0</v>
      </c>
      <c r="V105" s="19">
        <v>1.0</v>
      </c>
      <c r="W105" s="19">
        <v>1.0</v>
      </c>
      <c r="X105" s="19">
        <v>0.0</v>
      </c>
      <c r="Y105" s="19">
        <v>2.0</v>
      </c>
      <c r="Z105" s="19">
        <v>1.0</v>
      </c>
      <c r="AA105" s="19">
        <v>2.0</v>
      </c>
      <c r="AB105" s="19">
        <v>0.0</v>
      </c>
      <c r="AC105" s="19">
        <v>0.0</v>
      </c>
      <c r="AD105" s="19">
        <v>1.0</v>
      </c>
      <c r="AE105" s="19">
        <v>0.0</v>
      </c>
      <c r="AF105" s="13">
        <f t="shared" ref="AF105:AF108" si="26">SUM(E105:AE105)</f>
        <v>21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2.0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1.0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2.0</v>
      </c>
      <c r="AB106" s="19">
        <v>2.0</v>
      </c>
      <c r="AC106" s="19">
        <v>0.0</v>
      </c>
      <c r="AD106" s="19">
        <v>0.0</v>
      </c>
      <c r="AE106" s="19">
        <v>0.0</v>
      </c>
      <c r="AF106" s="13">
        <f t="shared" si="26"/>
        <v>7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1.0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3">
        <f t="shared" si="26"/>
        <v>1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1.0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3">
        <f t="shared" si="26"/>
        <v>1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AF109" si="27">SUM(E105:E108)</f>
        <v>2</v>
      </c>
      <c r="F109" s="13">
        <f t="shared" si="27"/>
        <v>1</v>
      </c>
      <c r="G109" s="13">
        <f t="shared" si="27"/>
        <v>1</v>
      </c>
      <c r="H109" s="13">
        <f t="shared" si="27"/>
        <v>0</v>
      </c>
      <c r="I109" s="13">
        <f t="shared" si="27"/>
        <v>3</v>
      </c>
      <c r="J109" s="13">
        <f t="shared" si="27"/>
        <v>0</v>
      </c>
      <c r="K109" s="13">
        <f t="shared" si="27"/>
        <v>1</v>
      </c>
      <c r="L109" s="13">
        <f t="shared" si="27"/>
        <v>2</v>
      </c>
      <c r="M109" s="13">
        <f t="shared" si="27"/>
        <v>0</v>
      </c>
      <c r="N109" s="13">
        <f t="shared" si="27"/>
        <v>1</v>
      </c>
      <c r="O109" s="13">
        <f t="shared" si="27"/>
        <v>3</v>
      </c>
      <c r="P109" s="13">
        <f t="shared" si="27"/>
        <v>0</v>
      </c>
      <c r="Q109" s="13">
        <f t="shared" si="27"/>
        <v>0</v>
      </c>
      <c r="R109" s="13">
        <f t="shared" si="27"/>
        <v>3</v>
      </c>
      <c r="S109" s="13">
        <f t="shared" si="27"/>
        <v>0</v>
      </c>
      <c r="T109" s="13">
        <f t="shared" si="27"/>
        <v>1</v>
      </c>
      <c r="U109" s="13">
        <f t="shared" si="27"/>
        <v>0</v>
      </c>
      <c r="V109" s="13">
        <f t="shared" si="27"/>
        <v>1</v>
      </c>
      <c r="W109" s="13">
        <f t="shared" si="27"/>
        <v>1</v>
      </c>
      <c r="X109" s="13">
        <f t="shared" si="27"/>
        <v>0</v>
      </c>
      <c r="Y109" s="13">
        <f t="shared" si="27"/>
        <v>2</v>
      </c>
      <c r="Z109" s="13">
        <f t="shared" si="27"/>
        <v>1</v>
      </c>
      <c r="AA109" s="13">
        <f t="shared" si="27"/>
        <v>4</v>
      </c>
      <c r="AB109" s="13">
        <f t="shared" si="27"/>
        <v>2</v>
      </c>
      <c r="AC109" s="13">
        <f t="shared" si="27"/>
        <v>0</v>
      </c>
      <c r="AD109" s="13">
        <f t="shared" si="27"/>
        <v>1</v>
      </c>
      <c r="AE109" s="13">
        <f t="shared" si="27"/>
        <v>0</v>
      </c>
      <c r="AF109" s="13">
        <f t="shared" si="27"/>
        <v>30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1.0</v>
      </c>
      <c r="L111" s="19">
        <v>0.0</v>
      </c>
      <c r="M111" s="19">
        <v>0.0</v>
      </c>
      <c r="N111" s="19">
        <v>0.0</v>
      </c>
      <c r="O111" s="19">
        <v>1.0</v>
      </c>
      <c r="P111" s="19">
        <v>1.0</v>
      </c>
      <c r="Q111" s="19">
        <v>0.0</v>
      </c>
      <c r="R111" s="19">
        <v>2.0</v>
      </c>
      <c r="S111" s="19">
        <v>1.0</v>
      </c>
      <c r="T111" s="19">
        <v>0.0</v>
      </c>
      <c r="U111" s="19">
        <v>0.0</v>
      </c>
      <c r="V111" s="19">
        <v>2.0</v>
      </c>
      <c r="W111" s="19">
        <v>1.0</v>
      </c>
      <c r="X111" s="19">
        <v>1.0</v>
      </c>
      <c r="Y111" s="19">
        <v>1.0</v>
      </c>
      <c r="Z111" s="19">
        <v>2.0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1.0</v>
      </c>
      <c r="AF111" s="13">
        <f t="shared" ref="AF111:AF118" si="28">SUM(E111:AE111)</f>
        <v>14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1.0</v>
      </c>
      <c r="F112" s="19">
        <v>0.0</v>
      </c>
      <c r="G112" s="19">
        <v>0.0</v>
      </c>
      <c r="H112" s="19">
        <v>0.0</v>
      </c>
      <c r="I112" s="19">
        <v>2.0</v>
      </c>
      <c r="J112" s="19">
        <v>1.0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2.0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1.0</v>
      </c>
      <c r="X112" s="19">
        <v>0.0</v>
      </c>
      <c r="Y112" s="19">
        <v>0.0</v>
      </c>
      <c r="Z112" s="19">
        <v>5.0</v>
      </c>
      <c r="AA112" s="19">
        <v>2.0</v>
      </c>
      <c r="AB112" s="19">
        <v>1.0</v>
      </c>
      <c r="AC112" s="19">
        <v>1.0</v>
      </c>
      <c r="AD112" s="19">
        <v>0.0</v>
      </c>
      <c r="AE112" s="19">
        <v>0.0</v>
      </c>
      <c r="AF112" s="13">
        <f t="shared" si="28"/>
        <v>16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0.0</v>
      </c>
      <c r="F113" s="19">
        <v>0.0</v>
      </c>
      <c r="G113" s="19">
        <v>0.0</v>
      </c>
      <c r="H113" s="19">
        <v>2.0</v>
      </c>
      <c r="I113" s="19">
        <v>0.0</v>
      </c>
      <c r="J113" s="19">
        <v>0.0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>
        <v>1.0</v>
      </c>
      <c r="Q113" s="19">
        <v>0.0</v>
      </c>
      <c r="R113" s="19">
        <v>0.0</v>
      </c>
      <c r="S113" s="19">
        <v>0.0</v>
      </c>
      <c r="T113" s="19">
        <v>1.0</v>
      </c>
      <c r="U113" s="19">
        <v>0.0</v>
      </c>
      <c r="V113" s="19">
        <v>1.0</v>
      </c>
      <c r="W113" s="19">
        <v>0.0</v>
      </c>
      <c r="X113" s="19">
        <v>0.0</v>
      </c>
      <c r="Y113" s="19">
        <v>0.0</v>
      </c>
      <c r="Z113" s="19">
        <v>0.0</v>
      </c>
      <c r="AA113" s="19">
        <v>0.0</v>
      </c>
      <c r="AB113" s="19">
        <v>0.0</v>
      </c>
      <c r="AC113" s="19">
        <v>0.0</v>
      </c>
      <c r="AD113" s="19">
        <v>0.0</v>
      </c>
      <c r="AE113" s="19">
        <v>0.0</v>
      </c>
      <c r="AF113" s="13">
        <f t="shared" si="28"/>
        <v>5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1.0</v>
      </c>
      <c r="AB114" s="19">
        <v>0.0</v>
      </c>
      <c r="AC114" s="19">
        <v>0.0</v>
      </c>
      <c r="AD114" s="19">
        <v>0.0</v>
      </c>
      <c r="AE114" s="19">
        <v>0.0</v>
      </c>
      <c r="AF114" s="13">
        <f t="shared" si="28"/>
        <v>1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0.0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0.0</v>
      </c>
      <c r="S115" s="19">
        <v>0.0</v>
      </c>
      <c r="T115" s="19">
        <v>0.0</v>
      </c>
      <c r="U115" s="19">
        <v>0.0</v>
      </c>
      <c r="V115" s="19">
        <v>0.0</v>
      </c>
      <c r="W115" s="19">
        <v>0.0</v>
      </c>
      <c r="X115" s="19">
        <v>0.0</v>
      </c>
      <c r="Y115" s="19">
        <v>0.0</v>
      </c>
      <c r="Z115" s="19">
        <v>0.0</v>
      </c>
      <c r="AA115" s="19">
        <v>0.0</v>
      </c>
      <c r="AB115" s="19">
        <v>0.0</v>
      </c>
      <c r="AC115" s="19">
        <v>0.0</v>
      </c>
      <c r="AD115" s="19">
        <v>0.0</v>
      </c>
      <c r="AE115" s="19">
        <v>0.0</v>
      </c>
      <c r="AF115" s="13">
        <f t="shared" si="28"/>
        <v>0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19">
        <v>2.0</v>
      </c>
      <c r="L116" s="19">
        <v>0.0</v>
      </c>
      <c r="M116" s="19">
        <v>0.0</v>
      </c>
      <c r="N116" s="19">
        <v>0.0</v>
      </c>
      <c r="O116" s="19">
        <v>0.0</v>
      </c>
      <c r="P116" s="19">
        <v>1.0</v>
      </c>
      <c r="Q116" s="19">
        <v>0.0</v>
      </c>
      <c r="R116" s="19">
        <v>0.0</v>
      </c>
      <c r="S116" s="19">
        <v>0.0</v>
      </c>
      <c r="T116" s="19">
        <v>0.0</v>
      </c>
      <c r="U116" s="19">
        <v>0.0</v>
      </c>
      <c r="V116" s="19">
        <v>0.0</v>
      </c>
      <c r="W116" s="19">
        <v>0.0</v>
      </c>
      <c r="X116" s="19">
        <v>0.0</v>
      </c>
      <c r="Y116" s="19">
        <v>0.0</v>
      </c>
      <c r="Z116" s="19">
        <v>0.0</v>
      </c>
      <c r="AA116" s="19">
        <v>0.0</v>
      </c>
      <c r="AB116" s="19">
        <v>0.0</v>
      </c>
      <c r="AC116" s="19">
        <v>0.0</v>
      </c>
      <c r="AD116" s="19">
        <v>0.0</v>
      </c>
      <c r="AE116" s="19">
        <v>0.0</v>
      </c>
      <c r="AF116" s="13">
        <f t="shared" si="28"/>
        <v>3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13">
        <f t="shared" si="28"/>
        <v>0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3">
        <f t="shared" si="28"/>
        <v>0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AF119" si="29">SUM(E111:E118)</f>
        <v>1</v>
      </c>
      <c r="F119" s="13">
        <f t="shared" si="29"/>
        <v>0</v>
      </c>
      <c r="G119" s="13">
        <f t="shared" si="29"/>
        <v>0</v>
      </c>
      <c r="H119" s="13">
        <f t="shared" si="29"/>
        <v>2</v>
      </c>
      <c r="I119" s="13">
        <f t="shared" si="29"/>
        <v>2</v>
      </c>
      <c r="J119" s="13">
        <f t="shared" si="29"/>
        <v>1</v>
      </c>
      <c r="K119" s="13">
        <f t="shared" si="29"/>
        <v>3</v>
      </c>
      <c r="L119" s="13">
        <f t="shared" si="29"/>
        <v>0</v>
      </c>
      <c r="M119" s="13">
        <f t="shared" si="29"/>
        <v>0</v>
      </c>
      <c r="N119" s="13">
        <f t="shared" si="29"/>
        <v>0</v>
      </c>
      <c r="O119" s="13">
        <f t="shared" si="29"/>
        <v>1</v>
      </c>
      <c r="P119" s="13">
        <f t="shared" si="29"/>
        <v>5</v>
      </c>
      <c r="Q119" s="13">
        <f t="shared" si="29"/>
        <v>0</v>
      </c>
      <c r="R119" s="13">
        <f t="shared" si="29"/>
        <v>2</v>
      </c>
      <c r="S119" s="13">
        <f t="shared" si="29"/>
        <v>1</v>
      </c>
      <c r="T119" s="13">
        <f t="shared" si="29"/>
        <v>1</v>
      </c>
      <c r="U119" s="13">
        <f t="shared" si="29"/>
        <v>0</v>
      </c>
      <c r="V119" s="13">
        <f t="shared" si="29"/>
        <v>3</v>
      </c>
      <c r="W119" s="13">
        <f t="shared" si="29"/>
        <v>2</v>
      </c>
      <c r="X119" s="13">
        <f t="shared" si="29"/>
        <v>1</v>
      </c>
      <c r="Y119" s="13">
        <f t="shared" si="29"/>
        <v>1</v>
      </c>
      <c r="Z119" s="13">
        <f t="shared" si="29"/>
        <v>7</v>
      </c>
      <c r="AA119" s="13">
        <f t="shared" si="29"/>
        <v>3</v>
      </c>
      <c r="AB119" s="13">
        <f t="shared" si="29"/>
        <v>1</v>
      </c>
      <c r="AC119" s="13">
        <f t="shared" si="29"/>
        <v>1</v>
      </c>
      <c r="AD119" s="13">
        <f t="shared" si="29"/>
        <v>0</v>
      </c>
      <c r="AE119" s="13">
        <f t="shared" si="29"/>
        <v>1</v>
      </c>
      <c r="AF119" s="13">
        <f t="shared" si="29"/>
        <v>39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1.0</v>
      </c>
      <c r="Y121" s="19">
        <v>0.0</v>
      </c>
      <c r="Z121" s="19">
        <v>0.0</v>
      </c>
      <c r="AA121" s="19">
        <v>0.0</v>
      </c>
      <c r="AB121" s="19">
        <v>1.0</v>
      </c>
      <c r="AC121" s="19">
        <v>0.0</v>
      </c>
      <c r="AD121" s="19">
        <v>0.0</v>
      </c>
      <c r="AE121" s="19">
        <v>0.0</v>
      </c>
      <c r="AF121" s="13">
        <f t="shared" ref="AF121:AF128" si="30">SUM(E121:AE121)</f>
        <v>2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1.0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9">
        <v>0.0</v>
      </c>
      <c r="AE122" s="19">
        <v>0.0</v>
      </c>
      <c r="AF122" s="13">
        <f t="shared" si="30"/>
        <v>1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13">
        <f t="shared" si="30"/>
        <v>0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0.0</v>
      </c>
      <c r="AA124" s="19">
        <v>0.0</v>
      </c>
      <c r="AB124" s="19">
        <v>0.0</v>
      </c>
      <c r="AC124" s="19">
        <v>0.0</v>
      </c>
      <c r="AD124" s="19">
        <v>0.0</v>
      </c>
      <c r="AE124" s="19">
        <v>0.0</v>
      </c>
      <c r="AF124" s="13">
        <f t="shared" si="30"/>
        <v>0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9">
        <v>0.0</v>
      </c>
      <c r="T125" s="19">
        <v>0.0</v>
      </c>
      <c r="U125" s="19">
        <v>0.0</v>
      </c>
      <c r="V125" s="19">
        <v>0.0</v>
      </c>
      <c r="W125" s="19">
        <v>0.0</v>
      </c>
      <c r="X125" s="19">
        <v>0.0</v>
      </c>
      <c r="Y125" s="19">
        <v>0.0</v>
      </c>
      <c r="Z125" s="19">
        <v>0.0</v>
      </c>
      <c r="AA125" s="19">
        <v>0.0</v>
      </c>
      <c r="AB125" s="19">
        <v>0.0</v>
      </c>
      <c r="AC125" s="19">
        <v>0.0</v>
      </c>
      <c r="AD125" s="19">
        <v>0.0</v>
      </c>
      <c r="AE125" s="19">
        <v>0.0</v>
      </c>
      <c r="AF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1.0</v>
      </c>
      <c r="Q126" s="19">
        <v>0.0</v>
      </c>
      <c r="R126" s="19">
        <v>0.0</v>
      </c>
      <c r="S126" s="19">
        <v>0.0</v>
      </c>
      <c r="T126" s="19">
        <v>0.0</v>
      </c>
      <c r="U126" s="19">
        <v>0.0</v>
      </c>
      <c r="V126" s="19">
        <v>0.0</v>
      </c>
      <c r="W126" s="19">
        <v>0.0</v>
      </c>
      <c r="X126" s="19">
        <v>0.0</v>
      </c>
      <c r="Y126" s="19">
        <v>0.0</v>
      </c>
      <c r="Z126" s="19">
        <v>0.0</v>
      </c>
      <c r="AA126" s="19">
        <v>0.0</v>
      </c>
      <c r="AB126" s="19">
        <v>0.0</v>
      </c>
      <c r="AC126" s="19">
        <v>1.0</v>
      </c>
      <c r="AD126" s="19">
        <v>0.0</v>
      </c>
      <c r="AE126" s="19">
        <v>0.0</v>
      </c>
      <c r="AF126" s="13">
        <f t="shared" si="30"/>
        <v>2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9">
        <v>0.0</v>
      </c>
      <c r="T127" s="19">
        <v>0.0</v>
      </c>
      <c r="U127" s="19">
        <v>0.0</v>
      </c>
      <c r="V127" s="19">
        <v>0.0</v>
      </c>
      <c r="W127" s="19">
        <v>0.0</v>
      </c>
      <c r="X127" s="19">
        <v>0.0</v>
      </c>
      <c r="Y127" s="19">
        <v>0.0</v>
      </c>
      <c r="Z127" s="19">
        <v>0.0</v>
      </c>
      <c r="AA127" s="19">
        <v>0.0</v>
      </c>
      <c r="AB127" s="19">
        <v>0.0</v>
      </c>
      <c r="AC127" s="19">
        <v>0.0</v>
      </c>
      <c r="AD127" s="19">
        <v>0.0</v>
      </c>
      <c r="AE127" s="19">
        <v>0.0</v>
      </c>
      <c r="AF127" s="13">
        <f t="shared" si="30"/>
        <v>0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9">
        <v>0.0</v>
      </c>
      <c r="T128" s="19">
        <v>0.0</v>
      </c>
      <c r="U128" s="19">
        <v>0.0</v>
      </c>
      <c r="V128" s="19">
        <v>0.0</v>
      </c>
      <c r="W128" s="19">
        <v>0.0</v>
      </c>
      <c r="X128" s="19">
        <v>0.0</v>
      </c>
      <c r="Y128" s="19">
        <v>0.0</v>
      </c>
      <c r="Z128" s="19">
        <v>0.0</v>
      </c>
      <c r="AA128" s="19">
        <v>0.0</v>
      </c>
      <c r="AB128" s="19">
        <v>0.0</v>
      </c>
      <c r="AC128" s="19">
        <v>0.0</v>
      </c>
      <c r="AD128" s="19">
        <v>0.0</v>
      </c>
      <c r="AE128" s="19">
        <v>0.0</v>
      </c>
      <c r="AF128" s="13">
        <f t="shared" si="30"/>
        <v>0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AF129" si="31">SUM(E121:E128)</f>
        <v>0</v>
      </c>
      <c r="F129" s="13">
        <f t="shared" si="31"/>
        <v>0</v>
      </c>
      <c r="G129" s="13">
        <f t="shared" si="31"/>
        <v>0</v>
      </c>
      <c r="H129" s="13">
        <f t="shared" si="31"/>
        <v>0</v>
      </c>
      <c r="I129" s="13">
        <f t="shared" si="31"/>
        <v>0</v>
      </c>
      <c r="J129" s="13">
        <f t="shared" si="31"/>
        <v>0</v>
      </c>
      <c r="K129" s="13">
        <f t="shared" si="31"/>
        <v>0</v>
      </c>
      <c r="L129" s="13">
        <f t="shared" si="31"/>
        <v>0</v>
      </c>
      <c r="M129" s="13">
        <f t="shared" si="31"/>
        <v>0</v>
      </c>
      <c r="N129" s="13">
        <f t="shared" si="31"/>
        <v>0</v>
      </c>
      <c r="O129" s="13">
        <f t="shared" si="31"/>
        <v>1</v>
      </c>
      <c r="P129" s="13">
        <f t="shared" si="31"/>
        <v>1</v>
      </c>
      <c r="Q129" s="13">
        <f t="shared" si="31"/>
        <v>0</v>
      </c>
      <c r="R129" s="13">
        <f t="shared" si="31"/>
        <v>0</v>
      </c>
      <c r="S129" s="13">
        <f t="shared" si="31"/>
        <v>0</v>
      </c>
      <c r="T129" s="13">
        <f t="shared" si="31"/>
        <v>0</v>
      </c>
      <c r="U129" s="13">
        <f t="shared" si="31"/>
        <v>0</v>
      </c>
      <c r="V129" s="13">
        <f t="shared" si="31"/>
        <v>0</v>
      </c>
      <c r="W129" s="13">
        <f t="shared" si="31"/>
        <v>0</v>
      </c>
      <c r="X129" s="13">
        <f t="shared" si="31"/>
        <v>1</v>
      </c>
      <c r="Y129" s="13">
        <f t="shared" si="31"/>
        <v>0</v>
      </c>
      <c r="Z129" s="13">
        <f t="shared" si="31"/>
        <v>0</v>
      </c>
      <c r="AA129" s="13">
        <f t="shared" si="31"/>
        <v>0</v>
      </c>
      <c r="AB129" s="13">
        <f t="shared" si="31"/>
        <v>1</v>
      </c>
      <c r="AC129" s="13">
        <f t="shared" si="31"/>
        <v>1</v>
      </c>
      <c r="AD129" s="13">
        <f t="shared" si="31"/>
        <v>0</v>
      </c>
      <c r="AE129" s="13">
        <f t="shared" si="31"/>
        <v>0</v>
      </c>
      <c r="AF129" s="13">
        <f t="shared" si="31"/>
        <v>5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1.0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1.0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13">
        <f t="shared" ref="AF131:AF135" si="32">SUM(E131:AE131)</f>
        <v>2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1.0</v>
      </c>
      <c r="F132" s="19">
        <v>0.0</v>
      </c>
      <c r="G132" s="19">
        <v>0.0</v>
      </c>
      <c r="H132" s="19">
        <v>1.0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1.0</v>
      </c>
      <c r="P132" s="19">
        <v>0.0</v>
      </c>
      <c r="Q132" s="19">
        <v>0.0</v>
      </c>
      <c r="R132" s="19">
        <v>2.0</v>
      </c>
      <c r="S132" s="19">
        <v>0.0</v>
      </c>
      <c r="T132" s="19">
        <v>0.0</v>
      </c>
      <c r="U132" s="19">
        <v>2.0</v>
      </c>
      <c r="V132" s="19">
        <v>1.0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1.0</v>
      </c>
      <c r="AC132" s="19">
        <v>1.0</v>
      </c>
      <c r="AD132" s="19">
        <v>0.0</v>
      </c>
      <c r="AE132" s="19">
        <v>0.0</v>
      </c>
      <c r="AF132" s="13">
        <f t="shared" si="32"/>
        <v>10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1.0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1.0</v>
      </c>
      <c r="AD133" s="19">
        <v>0.0</v>
      </c>
      <c r="AE133" s="19">
        <v>0.0</v>
      </c>
      <c r="AF133" s="13">
        <f t="shared" si="32"/>
        <v>3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3">
        <f t="shared" si="32"/>
        <v>0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1.0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1.0</v>
      </c>
      <c r="AD135" s="19">
        <v>0.0</v>
      </c>
      <c r="AE135" s="19">
        <v>0.0</v>
      </c>
      <c r="AF135" s="13">
        <f t="shared" si="32"/>
        <v>2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AF136" si="33">SUM(E131:E135)</f>
        <v>1</v>
      </c>
      <c r="F136" s="13">
        <f t="shared" si="33"/>
        <v>0</v>
      </c>
      <c r="G136" s="13">
        <f t="shared" si="33"/>
        <v>0</v>
      </c>
      <c r="H136" s="13">
        <f t="shared" si="33"/>
        <v>1</v>
      </c>
      <c r="I136" s="13">
        <f t="shared" si="33"/>
        <v>0</v>
      </c>
      <c r="J136" s="13">
        <f t="shared" si="33"/>
        <v>1</v>
      </c>
      <c r="K136" s="13">
        <f t="shared" si="33"/>
        <v>1</v>
      </c>
      <c r="L136" s="13">
        <f t="shared" si="33"/>
        <v>0</v>
      </c>
      <c r="M136" s="13">
        <f t="shared" si="33"/>
        <v>0</v>
      </c>
      <c r="N136" s="13">
        <f t="shared" si="33"/>
        <v>0</v>
      </c>
      <c r="O136" s="13">
        <f t="shared" si="33"/>
        <v>1</v>
      </c>
      <c r="P136" s="13">
        <f t="shared" si="33"/>
        <v>0</v>
      </c>
      <c r="Q136" s="13">
        <f t="shared" si="33"/>
        <v>0</v>
      </c>
      <c r="R136" s="13">
        <f t="shared" si="33"/>
        <v>2</v>
      </c>
      <c r="S136" s="13">
        <f t="shared" si="33"/>
        <v>1</v>
      </c>
      <c r="T136" s="13">
        <f t="shared" si="33"/>
        <v>0</v>
      </c>
      <c r="U136" s="13">
        <f t="shared" si="33"/>
        <v>2</v>
      </c>
      <c r="V136" s="13">
        <f t="shared" si="33"/>
        <v>1</v>
      </c>
      <c r="W136" s="13">
        <f t="shared" si="33"/>
        <v>1</v>
      </c>
      <c r="X136" s="13">
        <f t="shared" si="33"/>
        <v>1</v>
      </c>
      <c r="Y136" s="13">
        <f t="shared" si="33"/>
        <v>0</v>
      </c>
      <c r="Z136" s="13">
        <f t="shared" si="33"/>
        <v>0</v>
      </c>
      <c r="AA136" s="13">
        <f t="shared" si="33"/>
        <v>0</v>
      </c>
      <c r="AB136" s="13">
        <f t="shared" si="33"/>
        <v>1</v>
      </c>
      <c r="AC136" s="13">
        <f t="shared" si="33"/>
        <v>3</v>
      </c>
      <c r="AD136" s="13">
        <f t="shared" si="33"/>
        <v>0</v>
      </c>
      <c r="AE136" s="13">
        <f t="shared" si="33"/>
        <v>0</v>
      </c>
      <c r="AF136" s="13">
        <f t="shared" si="33"/>
        <v>17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1.0</v>
      </c>
      <c r="J138" s="19">
        <v>0.0</v>
      </c>
      <c r="K138" s="19">
        <v>0.0</v>
      </c>
      <c r="L138" s="19">
        <v>1.0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1.0</v>
      </c>
      <c r="S138" s="19">
        <v>1.0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1.0</v>
      </c>
      <c r="AA138" s="19">
        <v>0.0</v>
      </c>
      <c r="AB138" s="19">
        <v>0.0</v>
      </c>
      <c r="AC138" s="19">
        <v>0.0</v>
      </c>
      <c r="AD138" s="19">
        <v>0.0</v>
      </c>
      <c r="AE138" s="19">
        <v>0.0</v>
      </c>
      <c r="AF138" s="13">
        <f t="shared" ref="AF138:AF145" si="34">SUM(E138:AE138)</f>
        <v>5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9">
        <v>0.0</v>
      </c>
      <c r="AD139" s="19">
        <v>0.0</v>
      </c>
      <c r="AE139" s="19">
        <v>0.0</v>
      </c>
      <c r="AF139" s="13">
        <f t="shared" si="34"/>
        <v>0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1.0</v>
      </c>
      <c r="M140" s="19">
        <v>0.0</v>
      </c>
      <c r="N140" s="19">
        <v>0.0</v>
      </c>
      <c r="O140" s="19">
        <v>0.0</v>
      </c>
      <c r="P140" s="19">
        <v>1.0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1.0</v>
      </c>
      <c r="AE140" s="19">
        <v>0.0</v>
      </c>
      <c r="AF140" s="13">
        <f t="shared" si="34"/>
        <v>3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1.0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3">
        <f t="shared" si="34"/>
        <v>1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3">
        <f t="shared" si="34"/>
        <v>0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3">
        <f t="shared" si="34"/>
        <v>0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3">
        <f t="shared" si="34"/>
        <v>0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AF146" si="35">SUM(E138:E145)</f>
        <v>1</v>
      </c>
      <c r="F146" s="13">
        <f t="shared" si="35"/>
        <v>0</v>
      </c>
      <c r="G146" s="13">
        <f t="shared" si="35"/>
        <v>0</v>
      </c>
      <c r="H146" s="13">
        <f t="shared" si="35"/>
        <v>0</v>
      </c>
      <c r="I146" s="13">
        <f t="shared" si="35"/>
        <v>1</v>
      </c>
      <c r="J146" s="13">
        <f t="shared" si="35"/>
        <v>0</v>
      </c>
      <c r="K146" s="13">
        <f t="shared" si="35"/>
        <v>0</v>
      </c>
      <c r="L146" s="13">
        <f t="shared" si="35"/>
        <v>2</v>
      </c>
      <c r="M146" s="13">
        <f t="shared" si="35"/>
        <v>0</v>
      </c>
      <c r="N146" s="13">
        <f t="shared" si="35"/>
        <v>0</v>
      </c>
      <c r="O146" s="13">
        <f t="shared" si="35"/>
        <v>0</v>
      </c>
      <c r="P146" s="13">
        <f t="shared" si="35"/>
        <v>1</v>
      </c>
      <c r="Q146" s="13">
        <f t="shared" si="35"/>
        <v>0</v>
      </c>
      <c r="R146" s="13">
        <f t="shared" si="35"/>
        <v>1</v>
      </c>
      <c r="S146" s="13">
        <f t="shared" si="35"/>
        <v>1</v>
      </c>
      <c r="T146" s="13">
        <f t="shared" si="35"/>
        <v>0</v>
      </c>
      <c r="U146" s="13">
        <f t="shared" si="35"/>
        <v>0</v>
      </c>
      <c r="V146" s="13">
        <f t="shared" si="35"/>
        <v>0</v>
      </c>
      <c r="W146" s="13">
        <f t="shared" si="35"/>
        <v>0</v>
      </c>
      <c r="X146" s="13">
        <f t="shared" si="35"/>
        <v>0</v>
      </c>
      <c r="Y146" s="13">
        <f t="shared" si="35"/>
        <v>0</v>
      </c>
      <c r="Z146" s="13">
        <f t="shared" si="35"/>
        <v>1</v>
      </c>
      <c r="AA146" s="13">
        <f t="shared" si="35"/>
        <v>0</v>
      </c>
      <c r="AB146" s="13">
        <f t="shared" si="35"/>
        <v>0</v>
      </c>
      <c r="AC146" s="13">
        <f t="shared" si="35"/>
        <v>0</v>
      </c>
      <c r="AD146" s="13">
        <f t="shared" si="35"/>
        <v>1</v>
      </c>
      <c r="AE146" s="13">
        <f t="shared" si="35"/>
        <v>0</v>
      </c>
      <c r="AF146" s="13">
        <f t="shared" si="35"/>
        <v>9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0.0</v>
      </c>
      <c r="F148" s="19">
        <v>0.0</v>
      </c>
      <c r="G148" s="19">
        <v>2.0</v>
      </c>
      <c r="H148" s="19">
        <v>0.0</v>
      </c>
      <c r="I148" s="19">
        <v>1.0</v>
      </c>
      <c r="J148" s="19">
        <v>0.0</v>
      </c>
      <c r="K148" s="19">
        <v>0.0</v>
      </c>
      <c r="L148" s="19">
        <v>0.0</v>
      </c>
      <c r="M148" s="19">
        <v>1.0</v>
      </c>
      <c r="N148" s="19">
        <v>2.0</v>
      </c>
      <c r="O148" s="19">
        <v>0.0</v>
      </c>
      <c r="P148" s="19">
        <v>0.0</v>
      </c>
      <c r="Q148" s="19">
        <v>0.0</v>
      </c>
      <c r="R148" s="19">
        <v>0.0</v>
      </c>
      <c r="S148" s="19">
        <v>1.0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1.0</v>
      </c>
      <c r="AF148" s="13">
        <f t="shared" ref="AF148:AF155" si="36">SUM(E148:AE148)</f>
        <v>8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0.0</v>
      </c>
      <c r="F149" s="19">
        <v>0.0</v>
      </c>
      <c r="G149" s="19">
        <v>0.0</v>
      </c>
      <c r="H149" s="19">
        <v>1.0</v>
      </c>
      <c r="I149" s="19">
        <v>0.0</v>
      </c>
      <c r="J149" s="19">
        <v>0.0</v>
      </c>
      <c r="K149" s="19">
        <v>0.0</v>
      </c>
      <c r="L149" s="19">
        <v>0.0</v>
      </c>
      <c r="M149" s="19">
        <v>0.0</v>
      </c>
      <c r="N149" s="19">
        <v>0.0</v>
      </c>
      <c r="O149" s="19">
        <v>0.0</v>
      </c>
      <c r="P149" s="19">
        <v>0.0</v>
      </c>
      <c r="Q149" s="19">
        <v>1.0</v>
      </c>
      <c r="R149" s="19">
        <v>0.0</v>
      </c>
      <c r="S149" s="19">
        <v>0.0</v>
      </c>
      <c r="T149" s="19">
        <v>0.0</v>
      </c>
      <c r="U149" s="19">
        <v>1.0</v>
      </c>
      <c r="V149" s="19">
        <v>0.0</v>
      </c>
      <c r="W149" s="19">
        <v>0.0</v>
      </c>
      <c r="X149" s="19">
        <v>0.0</v>
      </c>
      <c r="Y149" s="19">
        <v>0.0</v>
      </c>
      <c r="Z149" s="19">
        <v>1.0</v>
      </c>
      <c r="AA149" s="19">
        <v>0.0</v>
      </c>
      <c r="AB149" s="19">
        <v>0.0</v>
      </c>
      <c r="AC149" s="19">
        <v>0.0</v>
      </c>
      <c r="AD149" s="19">
        <v>0.0</v>
      </c>
      <c r="AE149" s="19">
        <v>0.0</v>
      </c>
      <c r="AF149" s="13">
        <f t="shared" si="36"/>
        <v>4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0.0</v>
      </c>
      <c r="F150" s="19">
        <v>0.0</v>
      </c>
      <c r="G150" s="19">
        <v>0.0</v>
      </c>
      <c r="H150" s="19">
        <v>0.0</v>
      </c>
      <c r="I150" s="19">
        <v>0.0</v>
      </c>
      <c r="J150" s="19">
        <v>1.0</v>
      </c>
      <c r="K150" s="19">
        <v>0.0</v>
      </c>
      <c r="L150" s="19">
        <v>0.0</v>
      </c>
      <c r="M150" s="19">
        <v>0.0</v>
      </c>
      <c r="N150" s="19">
        <v>0.0</v>
      </c>
      <c r="O150" s="19">
        <v>0.0</v>
      </c>
      <c r="P150" s="19">
        <v>0.0</v>
      </c>
      <c r="Q150" s="19">
        <v>0.0</v>
      </c>
      <c r="R150" s="19">
        <v>0.0</v>
      </c>
      <c r="S150" s="19">
        <v>0.0</v>
      </c>
      <c r="T150" s="19">
        <v>0.0</v>
      </c>
      <c r="U150" s="19">
        <v>0.0</v>
      </c>
      <c r="V150" s="19">
        <v>0.0</v>
      </c>
      <c r="W150" s="19">
        <v>0.0</v>
      </c>
      <c r="X150" s="19">
        <v>0.0</v>
      </c>
      <c r="Y150" s="19">
        <v>0.0</v>
      </c>
      <c r="Z150" s="19">
        <v>1.0</v>
      </c>
      <c r="AA150" s="19">
        <v>0.0</v>
      </c>
      <c r="AB150" s="19">
        <v>0.0</v>
      </c>
      <c r="AC150" s="19">
        <v>0.0</v>
      </c>
      <c r="AD150" s="19">
        <v>0.0</v>
      </c>
      <c r="AE150" s="19">
        <v>0.0</v>
      </c>
      <c r="AF150" s="13">
        <f t="shared" si="36"/>
        <v>2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1.0</v>
      </c>
      <c r="K151" s="19">
        <v>0.0</v>
      </c>
      <c r="L151" s="19">
        <v>0.0</v>
      </c>
      <c r="M151" s="19">
        <v>0.0</v>
      </c>
      <c r="N151" s="19">
        <v>0.0</v>
      </c>
      <c r="O151" s="19">
        <v>1.0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0.0</v>
      </c>
      <c r="AA151" s="19">
        <v>0.0</v>
      </c>
      <c r="AB151" s="19">
        <v>0.0</v>
      </c>
      <c r="AC151" s="19">
        <v>0.0</v>
      </c>
      <c r="AD151" s="19">
        <v>0.0</v>
      </c>
      <c r="AE151" s="19">
        <v>0.0</v>
      </c>
      <c r="AF151" s="13">
        <f t="shared" si="36"/>
        <v>2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0.0</v>
      </c>
      <c r="G152" s="19">
        <v>0.0</v>
      </c>
      <c r="H152" s="19">
        <v>0.0</v>
      </c>
      <c r="I152" s="19">
        <v>1.0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9">
        <v>0.0</v>
      </c>
      <c r="S152" s="19">
        <v>1.0</v>
      </c>
      <c r="T152" s="19">
        <v>0.0</v>
      </c>
      <c r="U152" s="19">
        <v>0.0</v>
      </c>
      <c r="V152" s="19">
        <v>0.0</v>
      </c>
      <c r="W152" s="19">
        <v>0.0</v>
      </c>
      <c r="X152" s="19">
        <v>0.0</v>
      </c>
      <c r="Y152" s="19">
        <v>0.0</v>
      </c>
      <c r="Z152" s="19">
        <v>0.0</v>
      </c>
      <c r="AA152" s="19">
        <v>2.0</v>
      </c>
      <c r="AB152" s="19">
        <v>0.0</v>
      </c>
      <c r="AC152" s="19">
        <v>0.0</v>
      </c>
      <c r="AD152" s="19">
        <v>0.0</v>
      </c>
      <c r="AE152" s="19">
        <v>0.0</v>
      </c>
      <c r="AF152" s="13">
        <f t="shared" si="36"/>
        <v>4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3">
        <f t="shared" si="36"/>
        <v>0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1.0</v>
      </c>
      <c r="H154" s="19">
        <v>0.0</v>
      </c>
      <c r="I154" s="19">
        <v>0.0</v>
      </c>
      <c r="J154" s="19">
        <v>0.0</v>
      </c>
      <c r="K154" s="19">
        <v>0.0</v>
      </c>
      <c r="L154" s="19">
        <v>1.0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3">
        <f t="shared" si="36"/>
        <v>2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3.0</v>
      </c>
      <c r="F155" s="19">
        <v>1.0</v>
      </c>
      <c r="G155" s="19">
        <v>0.0</v>
      </c>
      <c r="H155" s="19">
        <v>0.0</v>
      </c>
      <c r="I155" s="19">
        <v>0.0</v>
      </c>
      <c r="J155" s="19">
        <v>0.0</v>
      </c>
      <c r="K155" s="19">
        <v>1.0</v>
      </c>
      <c r="L155" s="19">
        <v>1.0</v>
      </c>
      <c r="M155" s="19">
        <v>0.0</v>
      </c>
      <c r="N155" s="19">
        <v>17.0</v>
      </c>
      <c r="O155" s="19">
        <v>1.0</v>
      </c>
      <c r="P155" s="19">
        <v>2.0</v>
      </c>
      <c r="Q155" s="19">
        <v>0.0</v>
      </c>
      <c r="R155" s="19">
        <v>0.0</v>
      </c>
      <c r="S155" s="19">
        <v>1.0</v>
      </c>
      <c r="T155" s="19">
        <v>0.0</v>
      </c>
      <c r="U155" s="19">
        <v>1.0</v>
      </c>
      <c r="V155" s="19">
        <v>1.0</v>
      </c>
      <c r="W155" s="19">
        <v>0.0</v>
      </c>
      <c r="X155" s="19">
        <v>0.0</v>
      </c>
      <c r="Y155" s="19">
        <v>3.0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3">
        <f t="shared" si="36"/>
        <v>32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AF156" si="37">SUM(E148:E155)</f>
        <v>3</v>
      </c>
      <c r="F156" s="13">
        <f t="shared" si="37"/>
        <v>1</v>
      </c>
      <c r="G156" s="13">
        <f t="shared" si="37"/>
        <v>3</v>
      </c>
      <c r="H156" s="13">
        <f t="shared" si="37"/>
        <v>1</v>
      </c>
      <c r="I156" s="13">
        <f t="shared" si="37"/>
        <v>2</v>
      </c>
      <c r="J156" s="13">
        <f t="shared" si="37"/>
        <v>2</v>
      </c>
      <c r="K156" s="13">
        <f t="shared" si="37"/>
        <v>1</v>
      </c>
      <c r="L156" s="13">
        <f t="shared" si="37"/>
        <v>2</v>
      </c>
      <c r="M156" s="13">
        <f t="shared" si="37"/>
        <v>1</v>
      </c>
      <c r="N156" s="13">
        <f t="shared" si="37"/>
        <v>19</v>
      </c>
      <c r="O156" s="13">
        <f t="shared" si="37"/>
        <v>2</v>
      </c>
      <c r="P156" s="13">
        <f t="shared" si="37"/>
        <v>2</v>
      </c>
      <c r="Q156" s="13">
        <f t="shared" si="37"/>
        <v>1</v>
      </c>
      <c r="R156" s="13">
        <f t="shared" si="37"/>
        <v>0</v>
      </c>
      <c r="S156" s="13">
        <f t="shared" si="37"/>
        <v>3</v>
      </c>
      <c r="T156" s="13">
        <f t="shared" si="37"/>
        <v>0</v>
      </c>
      <c r="U156" s="13">
        <f t="shared" si="37"/>
        <v>2</v>
      </c>
      <c r="V156" s="13">
        <f t="shared" si="37"/>
        <v>1</v>
      </c>
      <c r="W156" s="13">
        <f t="shared" si="37"/>
        <v>0</v>
      </c>
      <c r="X156" s="13">
        <f t="shared" si="37"/>
        <v>0</v>
      </c>
      <c r="Y156" s="13">
        <f t="shared" si="37"/>
        <v>3</v>
      </c>
      <c r="Z156" s="13">
        <f t="shared" si="37"/>
        <v>2</v>
      </c>
      <c r="AA156" s="13">
        <f t="shared" si="37"/>
        <v>2</v>
      </c>
      <c r="AB156" s="13">
        <f t="shared" si="37"/>
        <v>0</v>
      </c>
      <c r="AC156" s="13">
        <f t="shared" si="37"/>
        <v>0</v>
      </c>
      <c r="AD156" s="13">
        <f t="shared" si="37"/>
        <v>0</v>
      </c>
      <c r="AE156" s="13">
        <f t="shared" si="37"/>
        <v>1</v>
      </c>
      <c r="AF156" s="13">
        <f t="shared" si="37"/>
        <v>54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AF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9">
        <v>0.0</v>
      </c>
      <c r="S158" s="19">
        <v>0.0</v>
      </c>
      <c r="T158" s="19">
        <v>0.0</v>
      </c>
      <c r="U158" s="19">
        <v>0.0</v>
      </c>
      <c r="V158" s="19">
        <v>0.0</v>
      </c>
      <c r="W158" s="19">
        <v>0.0</v>
      </c>
      <c r="X158" s="19">
        <v>0.0</v>
      </c>
      <c r="Y158" s="19">
        <v>1.0</v>
      </c>
      <c r="Z158" s="19">
        <v>0.0</v>
      </c>
      <c r="AA158" s="19">
        <v>0.0</v>
      </c>
      <c r="AB158" s="19">
        <v>0.0</v>
      </c>
      <c r="AC158" s="19">
        <v>0.0</v>
      </c>
      <c r="AD158" s="19">
        <v>0.0</v>
      </c>
      <c r="AE158" s="19">
        <v>0.0</v>
      </c>
      <c r="AF158" s="13">
        <f t="shared" ref="AF158:AF165" si="38">SUM(E158:AE158)</f>
        <v>1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1.0</v>
      </c>
      <c r="L159" s="19">
        <v>2.0</v>
      </c>
      <c r="M159" s="19">
        <v>1.0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0.0</v>
      </c>
      <c r="AA159" s="19">
        <v>1.0</v>
      </c>
      <c r="AB159" s="19">
        <v>0.0</v>
      </c>
      <c r="AC159" s="19">
        <v>0.0</v>
      </c>
      <c r="AD159" s="19">
        <v>0.0</v>
      </c>
      <c r="AE159" s="19">
        <v>0.0</v>
      </c>
      <c r="AF159" s="13">
        <f t="shared" si="38"/>
        <v>5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  <c r="AC160" s="19">
        <v>0.0</v>
      </c>
      <c r="AD160" s="19">
        <v>1.0</v>
      </c>
      <c r="AE160" s="19">
        <v>0.0</v>
      </c>
      <c r="AF160" s="13">
        <f t="shared" si="38"/>
        <v>1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9">
        <v>0.0</v>
      </c>
      <c r="Y161" s="19">
        <v>0.0</v>
      </c>
      <c r="Z161" s="19">
        <v>0.0</v>
      </c>
      <c r="AA161" s="19">
        <v>0.0</v>
      </c>
      <c r="AB161" s="19">
        <v>0.0</v>
      </c>
      <c r="AC161" s="19">
        <v>0.0</v>
      </c>
      <c r="AD161" s="19">
        <v>0.0</v>
      </c>
      <c r="AE161" s="19">
        <v>0.0</v>
      </c>
      <c r="AF161" s="13">
        <f t="shared" si="38"/>
        <v>0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1.0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0.0</v>
      </c>
      <c r="AB162" s="19">
        <v>0.0</v>
      </c>
      <c r="AC162" s="19">
        <v>0.0</v>
      </c>
      <c r="AD162" s="19">
        <v>0.0</v>
      </c>
      <c r="AE162" s="19">
        <v>0.0</v>
      </c>
      <c r="AF162" s="13">
        <f t="shared" si="38"/>
        <v>1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9">
        <v>0.0</v>
      </c>
      <c r="AD163" s="19">
        <v>0.0</v>
      </c>
      <c r="AE163" s="19">
        <v>0.0</v>
      </c>
      <c r="AF163" s="13">
        <f t="shared" si="38"/>
        <v>0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1.0</v>
      </c>
      <c r="V164" s="19">
        <v>0.0</v>
      </c>
      <c r="W164" s="19">
        <v>0.0</v>
      </c>
      <c r="X164" s="19">
        <v>0.0</v>
      </c>
      <c r="Y164" s="19">
        <v>0.0</v>
      </c>
      <c r="Z164" s="19">
        <v>0.0</v>
      </c>
      <c r="AA164" s="19">
        <v>0.0</v>
      </c>
      <c r="AB164" s="19">
        <v>0.0</v>
      </c>
      <c r="AC164" s="19">
        <v>0.0</v>
      </c>
      <c r="AD164" s="19">
        <v>0.0</v>
      </c>
      <c r="AE164" s="19">
        <v>0.0</v>
      </c>
      <c r="AF164" s="13">
        <f t="shared" si="38"/>
        <v>1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1.0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1.0</v>
      </c>
      <c r="AE165" s="19">
        <v>0.0</v>
      </c>
      <c r="AF165" s="13">
        <f t="shared" si="38"/>
        <v>3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AF166" si="39">SUM(E158:E165)</f>
        <v>0</v>
      </c>
      <c r="F166" s="13">
        <f t="shared" si="39"/>
        <v>0</v>
      </c>
      <c r="G166" s="13">
        <f t="shared" si="39"/>
        <v>1</v>
      </c>
      <c r="H166" s="13">
        <f t="shared" si="39"/>
        <v>0</v>
      </c>
      <c r="I166" s="13">
        <f t="shared" si="39"/>
        <v>0</v>
      </c>
      <c r="J166" s="13">
        <f t="shared" si="39"/>
        <v>0</v>
      </c>
      <c r="K166" s="13">
        <f t="shared" si="39"/>
        <v>1</v>
      </c>
      <c r="L166" s="13">
        <f t="shared" si="39"/>
        <v>2</v>
      </c>
      <c r="M166" s="13">
        <f t="shared" si="39"/>
        <v>1</v>
      </c>
      <c r="N166" s="13">
        <f t="shared" si="39"/>
        <v>0</v>
      </c>
      <c r="O166" s="13">
        <f t="shared" si="39"/>
        <v>0</v>
      </c>
      <c r="P166" s="13">
        <f t="shared" si="39"/>
        <v>0</v>
      </c>
      <c r="Q166" s="13">
        <f t="shared" si="39"/>
        <v>1</v>
      </c>
      <c r="R166" s="13">
        <f t="shared" si="39"/>
        <v>0</v>
      </c>
      <c r="S166" s="13">
        <f t="shared" si="39"/>
        <v>0</v>
      </c>
      <c r="T166" s="13">
        <f t="shared" si="39"/>
        <v>0</v>
      </c>
      <c r="U166" s="13">
        <f t="shared" si="39"/>
        <v>1</v>
      </c>
      <c r="V166" s="13">
        <f t="shared" si="39"/>
        <v>1</v>
      </c>
      <c r="W166" s="13">
        <f t="shared" si="39"/>
        <v>0</v>
      </c>
      <c r="X166" s="13">
        <f t="shared" si="39"/>
        <v>0</v>
      </c>
      <c r="Y166" s="13">
        <f t="shared" si="39"/>
        <v>1</v>
      </c>
      <c r="Z166" s="13">
        <f t="shared" si="39"/>
        <v>0</v>
      </c>
      <c r="AA166" s="13">
        <f t="shared" si="39"/>
        <v>1</v>
      </c>
      <c r="AB166" s="13">
        <f t="shared" si="39"/>
        <v>0</v>
      </c>
      <c r="AC166" s="13">
        <f t="shared" si="39"/>
        <v>0</v>
      </c>
      <c r="AD166" s="13">
        <f t="shared" si="39"/>
        <v>2</v>
      </c>
      <c r="AE166" s="13">
        <f t="shared" si="39"/>
        <v>0</v>
      </c>
      <c r="AF166" s="13">
        <f t="shared" si="39"/>
        <v>12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4.0</v>
      </c>
      <c r="F168" s="19">
        <v>8.0</v>
      </c>
      <c r="G168" s="19">
        <v>12.0</v>
      </c>
      <c r="H168" s="19">
        <v>16.0</v>
      </c>
      <c r="I168" s="19">
        <v>10.0</v>
      </c>
      <c r="J168" s="19">
        <v>1.0</v>
      </c>
      <c r="K168" s="19">
        <v>3.0</v>
      </c>
      <c r="L168" s="19">
        <v>5.0</v>
      </c>
      <c r="M168" s="19">
        <v>6.0</v>
      </c>
      <c r="N168" s="19">
        <v>2.0</v>
      </c>
      <c r="O168" s="19">
        <v>10.0</v>
      </c>
      <c r="P168" s="19">
        <v>7.0</v>
      </c>
      <c r="Q168" s="19">
        <v>1.0</v>
      </c>
      <c r="R168" s="19">
        <v>2.0</v>
      </c>
      <c r="S168" s="19">
        <v>2.0</v>
      </c>
      <c r="T168" s="19">
        <v>4.0</v>
      </c>
      <c r="U168" s="19">
        <v>5.0</v>
      </c>
      <c r="V168" s="19">
        <v>3.0</v>
      </c>
      <c r="W168" s="19">
        <v>3.0</v>
      </c>
      <c r="X168" s="19">
        <v>8.0</v>
      </c>
      <c r="Y168" s="19">
        <v>5.0</v>
      </c>
      <c r="Z168" s="19">
        <v>6.0</v>
      </c>
      <c r="AA168" s="19">
        <v>3.0</v>
      </c>
      <c r="AB168" s="19">
        <v>6.0</v>
      </c>
      <c r="AC168" s="19">
        <v>3.0</v>
      </c>
      <c r="AD168" s="19">
        <v>1.0</v>
      </c>
      <c r="AE168" s="19">
        <v>4.0</v>
      </c>
      <c r="AF168" s="13">
        <f t="shared" ref="AF168:AF175" si="40">SUM(E168:AE168)</f>
        <v>140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15.0</v>
      </c>
      <c r="F169" s="19">
        <v>11.0</v>
      </c>
      <c r="G169" s="19">
        <v>20.0</v>
      </c>
      <c r="H169" s="19">
        <v>15.0</v>
      </c>
      <c r="I169" s="19">
        <v>52.0</v>
      </c>
      <c r="J169" s="19">
        <v>44.0</v>
      </c>
      <c r="K169" s="19">
        <v>1.0</v>
      </c>
      <c r="L169" s="19">
        <v>18.0</v>
      </c>
      <c r="M169" s="19">
        <v>8.0</v>
      </c>
      <c r="N169" s="19">
        <v>26.0</v>
      </c>
      <c r="O169" s="19">
        <v>29.0</v>
      </c>
      <c r="P169" s="19">
        <v>35.0</v>
      </c>
      <c r="Q169" s="19">
        <v>11.0</v>
      </c>
      <c r="R169" s="19">
        <v>9.0</v>
      </c>
      <c r="S169" s="19">
        <v>36.0</v>
      </c>
      <c r="T169" s="19">
        <v>12.0</v>
      </c>
      <c r="U169" s="19">
        <v>17.0</v>
      </c>
      <c r="V169" s="19">
        <v>32.0</v>
      </c>
      <c r="W169" s="19">
        <v>20.0</v>
      </c>
      <c r="X169" s="19">
        <v>19.0</v>
      </c>
      <c r="Y169" s="19">
        <v>30.0</v>
      </c>
      <c r="Z169" s="19">
        <v>10.0</v>
      </c>
      <c r="AA169" s="19">
        <v>19.0</v>
      </c>
      <c r="AB169" s="19">
        <v>17.0</v>
      </c>
      <c r="AC169" s="19">
        <v>11.0</v>
      </c>
      <c r="AD169" s="19">
        <v>25.0</v>
      </c>
      <c r="AE169" s="19">
        <v>19.0</v>
      </c>
      <c r="AF169" s="13">
        <f t="shared" si="40"/>
        <v>561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0.0</v>
      </c>
      <c r="F170" s="19">
        <v>3.0</v>
      </c>
      <c r="G170" s="19">
        <v>2.0</v>
      </c>
      <c r="H170" s="19">
        <v>2.0</v>
      </c>
      <c r="I170" s="19">
        <v>1.0</v>
      </c>
      <c r="J170" s="19">
        <v>3.0</v>
      </c>
      <c r="K170" s="19">
        <v>1.0</v>
      </c>
      <c r="L170" s="19">
        <v>1.0</v>
      </c>
      <c r="M170" s="19">
        <v>1.0</v>
      </c>
      <c r="N170" s="19">
        <v>3.0</v>
      </c>
      <c r="O170" s="19">
        <v>1.0</v>
      </c>
      <c r="P170" s="19">
        <v>0.0</v>
      </c>
      <c r="Q170" s="19">
        <v>0.0</v>
      </c>
      <c r="R170" s="19">
        <v>0.0</v>
      </c>
      <c r="S170" s="19">
        <v>6.0</v>
      </c>
      <c r="T170" s="19">
        <v>1.0</v>
      </c>
      <c r="U170" s="19">
        <v>0.0</v>
      </c>
      <c r="V170" s="19">
        <v>0.0</v>
      </c>
      <c r="W170" s="19">
        <v>1.0</v>
      </c>
      <c r="X170" s="19">
        <v>1.0</v>
      </c>
      <c r="Y170" s="19">
        <v>2.0</v>
      </c>
      <c r="Z170" s="19">
        <v>0.0</v>
      </c>
      <c r="AA170" s="19">
        <v>0.0</v>
      </c>
      <c r="AB170" s="19">
        <v>2.0</v>
      </c>
      <c r="AC170" s="19">
        <v>2.0</v>
      </c>
      <c r="AD170" s="19">
        <v>0.0</v>
      </c>
      <c r="AE170" s="19">
        <v>1.0</v>
      </c>
      <c r="AF170" s="13">
        <f t="shared" si="40"/>
        <v>34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0.0</v>
      </c>
      <c r="F171" s="19">
        <v>0.0</v>
      </c>
      <c r="G171" s="19">
        <v>1.0</v>
      </c>
      <c r="H171" s="19">
        <v>0.0</v>
      </c>
      <c r="I171" s="19">
        <v>0.0</v>
      </c>
      <c r="J171" s="19">
        <v>1.0</v>
      </c>
      <c r="K171" s="19">
        <v>2.0</v>
      </c>
      <c r="L171" s="19">
        <v>0.0</v>
      </c>
      <c r="M171" s="19">
        <v>0.0</v>
      </c>
      <c r="N171" s="19">
        <v>1.0</v>
      </c>
      <c r="O171" s="19">
        <v>0.0</v>
      </c>
      <c r="P171" s="19">
        <v>0.0</v>
      </c>
      <c r="Q171" s="19">
        <v>0.0</v>
      </c>
      <c r="R171" s="19">
        <v>1.0</v>
      </c>
      <c r="S171" s="19">
        <v>0.0</v>
      </c>
      <c r="T171" s="19">
        <v>0.0</v>
      </c>
      <c r="U171" s="19">
        <v>1.0</v>
      </c>
      <c r="V171" s="19">
        <v>0.0</v>
      </c>
      <c r="W171" s="19">
        <v>0.0</v>
      </c>
      <c r="X171" s="19">
        <v>2.0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0.0</v>
      </c>
      <c r="AF171" s="13">
        <f t="shared" si="40"/>
        <v>9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1.0</v>
      </c>
      <c r="F172" s="19">
        <v>3.0</v>
      </c>
      <c r="G172" s="19">
        <v>2.0</v>
      </c>
      <c r="H172" s="19">
        <v>1.0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2.0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1.0</v>
      </c>
      <c r="Y172" s="19">
        <v>0.0</v>
      </c>
      <c r="Z172" s="19">
        <v>0.0</v>
      </c>
      <c r="AA172" s="19">
        <v>0.0</v>
      </c>
      <c r="AB172" s="19">
        <v>2.0</v>
      </c>
      <c r="AC172" s="19">
        <v>1.0</v>
      </c>
      <c r="AD172" s="19">
        <v>0.0</v>
      </c>
      <c r="AE172" s="19">
        <v>0.0</v>
      </c>
      <c r="AF172" s="13">
        <f t="shared" si="40"/>
        <v>13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0.0</v>
      </c>
      <c r="F173" s="19">
        <v>0.0</v>
      </c>
      <c r="G173" s="19">
        <v>2.0</v>
      </c>
      <c r="H173" s="19">
        <v>0.0</v>
      </c>
      <c r="I173" s="19">
        <v>0.0</v>
      </c>
      <c r="J173" s="19">
        <v>1.0</v>
      </c>
      <c r="K173" s="19">
        <v>0.0</v>
      </c>
      <c r="L173" s="19">
        <v>0.0</v>
      </c>
      <c r="M173" s="19">
        <v>0.0</v>
      </c>
      <c r="N173" s="19">
        <v>0.0</v>
      </c>
      <c r="O173" s="19">
        <v>0.0</v>
      </c>
      <c r="P173" s="19">
        <v>1.0</v>
      </c>
      <c r="Q173" s="19">
        <v>0.0</v>
      </c>
      <c r="R173" s="19">
        <v>0.0</v>
      </c>
      <c r="S173" s="19">
        <v>0.0</v>
      </c>
      <c r="T173" s="19">
        <v>0.0</v>
      </c>
      <c r="U173" s="19">
        <v>0.0</v>
      </c>
      <c r="V173" s="19">
        <v>0.0</v>
      </c>
      <c r="W173" s="19">
        <v>0.0</v>
      </c>
      <c r="X173" s="19">
        <v>0.0</v>
      </c>
      <c r="Y173" s="19">
        <v>0.0</v>
      </c>
      <c r="Z173" s="19">
        <v>0.0</v>
      </c>
      <c r="AA173" s="19">
        <v>0.0</v>
      </c>
      <c r="AB173" s="19">
        <v>0.0</v>
      </c>
      <c r="AC173" s="19">
        <v>1.0</v>
      </c>
      <c r="AD173" s="19">
        <v>0.0</v>
      </c>
      <c r="AE173" s="19">
        <v>0.0</v>
      </c>
      <c r="AF173" s="13">
        <f t="shared" si="40"/>
        <v>5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0.0</v>
      </c>
      <c r="F174" s="19">
        <v>0.0</v>
      </c>
      <c r="G174" s="19">
        <v>0.0</v>
      </c>
      <c r="H174" s="19">
        <v>0.0</v>
      </c>
      <c r="I174" s="19">
        <v>1.0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0.0</v>
      </c>
      <c r="W174" s="19">
        <v>0.0</v>
      </c>
      <c r="X174" s="19">
        <v>0.0</v>
      </c>
      <c r="Y174" s="19">
        <v>0.0</v>
      </c>
      <c r="Z174" s="19">
        <v>1.0</v>
      </c>
      <c r="AA174" s="19">
        <v>0.0</v>
      </c>
      <c r="AB174" s="19">
        <v>0.0</v>
      </c>
      <c r="AC174" s="19">
        <v>0.0</v>
      </c>
      <c r="AD174" s="19">
        <v>0.0</v>
      </c>
      <c r="AE174" s="19">
        <v>0.0</v>
      </c>
      <c r="AF174" s="13">
        <f t="shared" si="40"/>
        <v>2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1.0</v>
      </c>
      <c r="F175" s="19">
        <v>0.0</v>
      </c>
      <c r="G175" s="19">
        <v>0.0</v>
      </c>
      <c r="H175" s="19">
        <v>3.0</v>
      </c>
      <c r="I175" s="19">
        <v>3.0</v>
      </c>
      <c r="J175" s="19">
        <v>1.0</v>
      </c>
      <c r="K175" s="19">
        <v>0.0</v>
      </c>
      <c r="L175" s="19">
        <v>1.0</v>
      </c>
      <c r="M175" s="19">
        <v>2.0</v>
      </c>
      <c r="N175" s="19">
        <v>1.0</v>
      </c>
      <c r="O175" s="19">
        <v>1.0</v>
      </c>
      <c r="P175" s="19">
        <v>2.0</v>
      </c>
      <c r="Q175" s="19">
        <v>0.0</v>
      </c>
      <c r="R175" s="19">
        <v>0.0</v>
      </c>
      <c r="S175" s="19">
        <v>1.0</v>
      </c>
      <c r="T175" s="19">
        <v>0.0</v>
      </c>
      <c r="U175" s="19">
        <v>0.0</v>
      </c>
      <c r="V175" s="19">
        <v>2.0</v>
      </c>
      <c r="W175" s="19">
        <v>0.0</v>
      </c>
      <c r="X175" s="19">
        <v>1.0</v>
      </c>
      <c r="Y175" s="19">
        <v>1.0</v>
      </c>
      <c r="Z175" s="19">
        <v>2.0</v>
      </c>
      <c r="AA175" s="19">
        <v>0.0</v>
      </c>
      <c r="AB175" s="19">
        <v>0.0</v>
      </c>
      <c r="AC175" s="19">
        <v>2.0</v>
      </c>
      <c r="AD175" s="19">
        <v>2.0</v>
      </c>
      <c r="AE175" s="19">
        <v>0.0</v>
      </c>
      <c r="AF175" s="13">
        <f t="shared" si="40"/>
        <v>26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AF176" si="41">SUM(E168:E175)</f>
        <v>21</v>
      </c>
      <c r="F176" s="13">
        <f t="shared" si="41"/>
        <v>25</v>
      </c>
      <c r="G176" s="13">
        <f t="shared" si="41"/>
        <v>39</v>
      </c>
      <c r="H176" s="13">
        <f t="shared" si="41"/>
        <v>37</v>
      </c>
      <c r="I176" s="13">
        <f t="shared" si="41"/>
        <v>67</v>
      </c>
      <c r="J176" s="13">
        <f t="shared" si="41"/>
        <v>51</v>
      </c>
      <c r="K176" s="13">
        <f t="shared" si="41"/>
        <v>7</v>
      </c>
      <c r="L176" s="13">
        <f t="shared" si="41"/>
        <v>25</v>
      </c>
      <c r="M176" s="13">
        <f t="shared" si="41"/>
        <v>17</v>
      </c>
      <c r="N176" s="13">
        <f t="shared" si="41"/>
        <v>35</v>
      </c>
      <c r="O176" s="13">
        <f t="shared" si="41"/>
        <v>41</v>
      </c>
      <c r="P176" s="13">
        <f t="shared" si="41"/>
        <v>45</v>
      </c>
      <c r="Q176" s="13">
        <f t="shared" si="41"/>
        <v>12</v>
      </c>
      <c r="R176" s="13">
        <f t="shared" si="41"/>
        <v>12</v>
      </c>
      <c r="S176" s="13">
        <f t="shared" si="41"/>
        <v>45</v>
      </c>
      <c r="T176" s="13">
        <f t="shared" si="41"/>
        <v>17</v>
      </c>
      <c r="U176" s="13">
        <f t="shared" si="41"/>
        <v>23</v>
      </c>
      <c r="V176" s="13">
        <f t="shared" si="41"/>
        <v>37</v>
      </c>
      <c r="W176" s="13">
        <f t="shared" si="41"/>
        <v>24</v>
      </c>
      <c r="X176" s="13">
        <f t="shared" si="41"/>
        <v>32</v>
      </c>
      <c r="Y176" s="13">
        <f t="shared" si="41"/>
        <v>38</v>
      </c>
      <c r="Z176" s="13">
        <f t="shared" si="41"/>
        <v>19</v>
      </c>
      <c r="AA176" s="13">
        <f t="shared" si="41"/>
        <v>22</v>
      </c>
      <c r="AB176" s="13">
        <f t="shared" si="41"/>
        <v>27</v>
      </c>
      <c r="AC176" s="13">
        <f t="shared" si="41"/>
        <v>20</v>
      </c>
      <c r="AD176" s="13">
        <f t="shared" si="41"/>
        <v>28</v>
      </c>
      <c r="AE176" s="13">
        <f t="shared" si="41"/>
        <v>24</v>
      </c>
      <c r="AF176" s="13">
        <f t="shared" si="41"/>
        <v>790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3.0</v>
      </c>
      <c r="F178" s="19">
        <v>3.0</v>
      </c>
      <c r="G178" s="19">
        <v>2.0</v>
      </c>
      <c r="H178" s="19">
        <v>0.0</v>
      </c>
      <c r="I178" s="19">
        <v>1.0</v>
      </c>
      <c r="J178" s="19">
        <v>0.0</v>
      </c>
      <c r="K178" s="19">
        <v>0.0</v>
      </c>
      <c r="L178" s="19">
        <v>0.0</v>
      </c>
      <c r="M178" s="19">
        <v>1.0</v>
      </c>
      <c r="N178" s="19">
        <v>2.0</v>
      </c>
      <c r="O178" s="19">
        <v>2.0</v>
      </c>
      <c r="P178" s="19">
        <v>0.0</v>
      </c>
      <c r="Q178" s="19">
        <v>0.0</v>
      </c>
      <c r="R178" s="19">
        <v>0.0</v>
      </c>
      <c r="S178" s="19">
        <v>1.0</v>
      </c>
      <c r="T178" s="19">
        <v>1.0</v>
      </c>
      <c r="U178" s="19">
        <v>0.0</v>
      </c>
      <c r="V178" s="19">
        <v>2.0</v>
      </c>
      <c r="W178" s="19">
        <v>2.0</v>
      </c>
      <c r="X178" s="19">
        <v>0.0</v>
      </c>
      <c r="Y178" s="19">
        <v>1.0</v>
      </c>
      <c r="Z178" s="19">
        <v>0.0</v>
      </c>
      <c r="AA178" s="19">
        <v>3.0</v>
      </c>
      <c r="AB178" s="19">
        <v>0.0</v>
      </c>
      <c r="AC178" s="19">
        <v>0.0</v>
      </c>
      <c r="AD178" s="19">
        <v>0.0</v>
      </c>
      <c r="AE178" s="19">
        <v>1.0</v>
      </c>
      <c r="AF178" s="13">
        <f t="shared" ref="AF178:AF185" si="42">SUM(E178:AE178)</f>
        <v>25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1.0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1.0</v>
      </c>
      <c r="M179" s="19">
        <v>0.0</v>
      </c>
      <c r="N179" s="19">
        <v>4.0</v>
      </c>
      <c r="O179" s="19">
        <v>3.0</v>
      </c>
      <c r="P179" s="19">
        <v>1.0</v>
      </c>
      <c r="Q179" s="19">
        <v>0.0</v>
      </c>
      <c r="R179" s="19">
        <v>1.0</v>
      </c>
      <c r="S179" s="19">
        <v>0.0</v>
      </c>
      <c r="T179" s="19">
        <v>0.0</v>
      </c>
      <c r="U179" s="19">
        <v>1.0</v>
      </c>
      <c r="V179" s="19">
        <v>1.0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1.0</v>
      </c>
      <c r="AB179" s="19">
        <v>3.0</v>
      </c>
      <c r="AC179" s="19">
        <v>1.0</v>
      </c>
      <c r="AD179" s="19">
        <v>0.0</v>
      </c>
      <c r="AE179" s="19">
        <v>0.0</v>
      </c>
      <c r="AF179" s="13">
        <f t="shared" si="42"/>
        <v>19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2.0</v>
      </c>
      <c r="F180" s="19">
        <v>0.0</v>
      </c>
      <c r="G180" s="19">
        <v>0.0</v>
      </c>
      <c r="H180" s="19">
        <v>1.0</v>
      </c>
      <c r="I180" s="19">
        <v>3.0</v>
      </c>
      <c r="J180" s="19">
        <v>7.0</v>
      </c>
      <c r="K180" s="19">
        <v>1.0</v>
      </c>
      <c r="L180" s="19">
        <v>7.0</v>
      </c>
      <c r="M180" s="19">
        <v>0.0</v>
      </c>
      <c r="N180" s="19">
        <v>4.0</v>
      </c>
      <c r="O180" s="19">
        <v>0.0</v>
      </c>
      <c r="P180" s="19">
        <v>1.0</v>
      </c>
      <c r="Q180" s="19">
        <v>21.0</v>
      </c>
      <c r="R180" s="19">
        <v>4.0</v>
      </c>
      <c r="S180" s="19">
        <v>4.0</v>
      </c>
      <c r="T180" s="19">
        <v>1.0</v>
      </c>
      <c r="U180" s="19">
        <v>0.0</v>
      </c>
      <c r="V180" s="19">
        <v>10.0</v>
      </c>
      <c r="W180" s="19">
        <v>6.0</v>
      </c>
      <c r="X180" s="19">
        <v>8.0</v>
      </c>
      <c r="Y180" s="19">
        <v>4.0</v>
      </c>
      <c r="Z180" s="19">
        <v>14.0</v>
      </c>
      <c r="AA180" s="19">
        <v>2.0</v>
      </c>
      <c r="AB180" s="19">
        <v>0.0</v>
      </c>
      <c r="AC180" s="19">
        <v>0.0</v>
      </c>
      <c r="AD180" s="19">
        <v>4.0</v>
      </c>
      <c r="AE180" s="19">
        <v>0.0</v>
      </c>
      <c r="AF180" s="13">
        <f t="shared" si="42"/>
        <v>104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1.0</v>
      </c>
      <c r="X181" s="19">
        <v>0.0</v>
      </c>
      <c r="Y181" s="19">
        <v>0.0</v>
      </c>
      <c r="Z181" s="19">
        <v>3.0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3">
        <f t="shared" si="42"/>
        <v>4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1.0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3">
        <f t="shared" si="42"/>
        <v>1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0.0</v>
      </c>
      <c r="H183" s="19">
        <v>1.0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3">
        <f t="shared" si="42"/>
        <v>1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1.0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1.0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1.0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1.0</v>
      </c>
      <c r="AA184" s="19">
        <v>0.0</v>
      </c>
      <c r="AB184" s="19">
        <v>0.0</v>
      </c>
      <c r="AC184" s="19">
        <v>0.0</v>
      </c>
      <c r="AD184" s="19">
        <v>0.0</v>
      </c>
      <c r="AE184" s="19">
        <v>0.0</v>
      </c>
      <c r="AF184" s="13">
        <f t="shared" si="42"/>
        <v>4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1.0</v>
      </c>
      <c r="O185" s="19">
        <v>0.0</v>
      </c>
      <c r="P185" s="19">
        <v>1.0</v>
      </c>
      <c r="Q185" s="19">
        <v>0.0</v>
      </c>
      <c r="R185" s="19">
        <v>0.0</v>
      </c>
      <c r="S185" s="19">
        <v>0.0</v>
      </c>
      <c r="T185" s="19">
        <v>0.0</v>
      </c>
      <c r="U185" s="19">
        <v>0.0</v>
      </c>
      <c r="V185" s="19">
        <v>0.0</v>
      </c>
      <c r="W185" s="19">
        <v>0.0</v>
      </c>
      <c r="X185" s="19">
        <v>0.0</v>
      </c>
      <c r="Y185" s="19">
        <v>0.0</v>
      </c>
      <c r="Z185" s="19">
        <v>0.0</v>
      </c>
      <c r="AA185" s="19">
        <v>0.0</v>
      </c>
      <c r="AB185" s="19">
        <v>0.0</v>
      </c>
      <c r="AC185" s="19">
        <v>0.0</v>
      </c>
      <c r="AD185" s="19">
        <v>0.0</v>
      </c>
      <c r="AE185" s="19">
        <v>0.0</v>
      </c>
      <c r="AF185" s="13">
        <f t="shared" si="42"/>
        <v>2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AF186" si="43">SUM(E178:E185)</f>
        <v>7</v>
      </c>
      <c r="F186" s="13">
        <f t="shared" si="43"/>
        <v>4</v>
      </c>
      <c r="G186" s="13">
        <f t="shared" si="43"/>
        <v>2</v>
      </c>
      <c r="H186" s="13">
        <f t="shared" si="43"/>
        <v>2</v>
      </c>
      <c r="I186" s="13">
        <f t="shared" si="43"/>
        <v>4</v>
      </c>
      <c r="J186" s="13">
        <f t="shared" si="43"/>
        <v>7</v>
      </c>
      <c r="K186" s="13">
        <f t="shared" si="43"/>
        <v>2</v>
      </c>
      <c r="L186" s="13">
        <f t="shared" si="43"/>
        <v>9</v>
      </c>
      <c r="M186" s="13">
        <f t="shared" si="43"/>
        <v>1</v>
      </c>
      <c r="N186" s="13">
        <f t="shared" si="43"/>
        <v>11</v>
      </c>
      <c r="O186" s="13">
        <f t="shared" si="43"/>
        <v>5</v>
      </c>
      <c r="P186" s="13">
        <f t="shared" si="43"/>
        <v>3</v>
      </c>
      <c r="Q186" s="13">
        <f t="shared" si="43"/>
        <v>21</v>
      </c>
      <c r="R186" s="13">
        <f t="shared" si="43"/>
        <v>5</v>
      </c>
      <c r="S186" s="13">
        <f t="shared" si="43"/>
        <v>5</v>
      </c>
      <c r="T186" s="13">
        <f t="shared" si="43"/>
        <v>3</v>
      </c>
      <c r="U186" s="13">
        <f t="shared" si="43"/>
        <v>1</v>
      </c>
      <c r="V186" s="13">
        <f t="shared" si="43"/>
        <v>13</v>
      </c>
      <c r="W186" s="13">
        <f t="shared" si="43"/>
        <v>9</v>
      </c>
      <c r="X186" s="13">
        <f t="shared" si="43"/>
        <v>8</v>
      </c>
      <c r="Y186" s="13">
        <f t="shared" si="43"/>
        <v>5</v>
      </c>
      <c r="Z186" s="13">
        <f t="shared" si="43"/>
        <v>18</v>
      </c>
      <c r="AA186" s="13">
        <f t="shared" si="43"/>
        <v>6</v>
      </c>
      <c r="AB186" s="13">
        <f t="shared" si="43"/>
        <v>3</v>
      </c>
      <c r="AC186" s="13">
        <f t="shared" si="43"/>
        <v>1</v>
      </c>
      <c r="AD186" s="13">
        <f t="shared" si="43"/>
        <v>4</v>
      </c>
      <c r="AE186" s="13">
        <f t="shared" si="43"/>
        <v>1</v>
      </c>
      <c r="AF186" s="13">
        <f t="shared" si="43"/>
        <v>160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0.0</v>
      </c>
      <c r="F188" s="19">
        <v>0.0</v>
      </c>
      <c r="G188" s="19">
        <v>3.0</v>
      </c>
      <c r="H188" s="19">
        <v>0.0</v>
      </c>
      <c r="I188" s="19">
        <v>0.0</v>
      </c>
      <c r="J188" s="19">
        <v>0.0</v>
      </c>
      <c r="K188" s="19">
        <v>0.0</v>
      </c>
      <c r="L188" s="19">
        <v>0.0</v>
      </c>
      <c r="M188" s="19">
        <v>1.0</v>
      </c>
      <c r="N188" s="19">
        <v>0.0</v>
      </c>
      <c r="O188" s="19">
        <v>0.0</v>
      </c>
      <c r="P188" s="19">
        <v>0.0</v>
      </c>
      <c r="Q188" s="19">
        <v>0.0</v>
      </c>
      <c r="R188" s="19">
        <v>0.0</v>
      </c>
      <c r="S188" s="19">
        <v>0.0</v>
      </c>
      <c r="T188" s="19">
        <v>1.0</v>
      </c>
      <c r="U188" s="19">
        <v>0.0</v>
      </c>
      <c r="V188" s="19">
        <v>0.0</v>
      </c>
      <c r="W188" s="19">
        <v>0.0</v>
      </c>
      <c r="X188" s="19">
        <v>0.0</v>
      </c>
      <c r="Y188" s="19">
        <v>0.0</v>
      </c>
      <c r="Z188" s="19">
        <v>0.0</v>
      </c>
      <c r="AA188" s="19">
        <v>0.0</v>
      </c>
      <c r="AB188" s="19">
        <v>0.0</v>
      </c>
      <c r="AC188" s="19">
        <v>0.0</v>
      </c>
      <c r="AD188" s="19">
        <v>1.0</v>
      </c>
      <c r="AE188" s="19">
        <v>0.0</v>
      </c>
      <c r="AF188" s="13">
        <f t="shared" ref="AF188:AF195" si="44">SUM(E188:AE188)</f>
        <v>6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1.0</v>
      </c>
      <c r="N189" s="19">
        <v>2.0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1.0</v>
      </c>
      <c r="V189" s="19">
        <v>3.0</v>
      </c>
      <c r="W189" s="19">
        <v>3.0</v>
      </c>
      <c r="X189" s="19">
        <v>1.0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1.0</v>
      </c>
      <c r="AF189" s="13">
        <f t="shared" si="44"/>
        <v>12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1.0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3">
        <f t="shared" si="44"/>
        <v>1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3">
        <f t="shared" si="44"/>
        <v>0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3">
        <f t="shared" si="44"/>
        <v>0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3">
        <f t="shared" si="44"/>
        <v>0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3">
        <f t="shared" si="44"/>
        <v>0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1.0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1.0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1.0</v>
      </c>
      <c r="AB195" s="19">
        <v>0.0</v>
      </c>
      <c r="AC195" s="19">
        <v>0.0</v>
      </c>
      <c r="AD195" s="19">
        <v>0.0</v>
      </c>
      <c r="AE195" s="19">
        <v>0.0</v>
      </c>
      <c r="AF195" s="13">
        <f t="shared" si="44"/>
        <v>3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AF196" si="45">SUM(E188:E195)</f>
        <v>0</v>
      </c>
      <c r="F196" s="13">
        <f t="shared" si="45"/>
        <v>0</v>
      </c>
      <c r="G196" s="13">
        <f t="shared" si="45"/>
        <v>3</v>
      </c>
      <c r="H196" s="13">
        <f t="shared" si="45"/>
        <v>0</v>
      </c>
      <c r="I196" s="13">
        <f t="shared" si="45"/>
        <v>0</v>
      </c>
      <c r="J196" s="13">
        <f t="shared" si="45"/>
        <v>0</v>
      </c>
      <c r="K196" s="13">
        <f t="shared" si="45"/>
        <v>0</v>
      </c>
      <c r="L196" s="13">
        <f t="shared" si="45"/>
        <v>0</v>
      </c>
      <c r="M196" s="13">
        <f t="shared" si="45"/>
        <v>2</v>
      </c>
      <c r="N196" s="13">
        <f t="shared" si="45"/>
        <v>3</v>
      </c>
      <c r="O196" s="13">
        <f t="shared" si="45"/>
        <v>0</v>
      </c>
      <c r="P196" s="13">
        <f t="shared" si="45"/>
        <v>0</v>
      </c>
      <c r="Q196" s="13">
        <f t="shared" si="45"/>
        <v>0</v>
      </c>
      <c r="R196" s="13">
        <f t="shared" si="45"/>
        <v>0</v>
      </c>
      <c r="S196" s="13">
        <f t="shared" si="45"/>
        <v>0</v>
      </c>
      <c r="T196" s="13">
        <f t="shared" si="45"/>
        <v>2</v>
      </c>
      <c r="U196" s="13">
        <f t="shared" si="45"/>
        <v>1</v>
      </c>
      <c r="V196" s="13">
        <f t="shared" si="45"/>
        <v>3</v>
      </c>
      <c r="W196" s="13">
        <f t="shared" si="45"/>
        <v>3</v>
      </c>
      <c r="X196" s="13">
        <f t="shared" si="45"/>
        <v>1</v>
      </c>
      <c r="Y196" s="13">
        <f t="shared" si="45"/>
        <v>1</v>
      </c>
      <c r="Z196" s="13">
        <f t="shared" si="45"/>
        <v>0</v>
      </c>
      <c r="AA196" s="13">
        <f t="shared" si="45"/>
        <v>1</v>
      </c>
      <c r="AB196" s="13">
        <f t="shared" si="45"/>
        <v>0</v>
      </c>
      <c r="AC196" s="13">
        <f t="shared" si="45"/>
        <v>0</v>
      </c>
      <c r="AD196" s="13">
        <f t="shared" si="45"/>
        <v>1</v>
      </c>
      <c r="AE196" s="13">
        <f t="shared" si="45"/>
        <v>1</v>
      </c>
      <c r="AF196" s="13">
        <f t="shared" si="45"/>
        <v>22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2.0</v>
      </c>
      <c r="F198" s="19">
        <v>0.0</v>
      </c>
      <c r="G198" s="19">
        <v>2.0</v>
      </c>
      <c r="H198" s="19">
        <v>0.0</v>
      </c>
      <c r="I198" s="19">
        <v>0.0</v>
      </c>
      <c r="J198" s="19">
        <v>2.0</v>
      </c>
      <c r="K198" s="19">
        <v>6.0</v>
      </c>
      <c r="L198" s="19">
        <v>1.0</v>
      </c>
      <c r="M198" s="19">
        <v>3.0</v>
      </c>
      <c r="N198" s="19">
        <v>0.0</v>
      </c>
      <c r="O198" s="19">
        <v>1.0</v>
      </c>
      <c r="P198" s="19">
        <v>0.0</v>
      </c>
      <c r="Q198" s="19">
        <v>1.0</v>
      </c>
      <c r="R198" s="19">
        <v>2.0</v>
      </c>
      <c r="S198" s="19">
        <v>0.0</v>
      </c>
      <c r="T198" s="19">
        <v>4.0</v>
      </c>
      <c r="U198" s="19">
        <v>5.0</v>
      </c>
      <c r="V198" s="19">
        <v>10.0</v>
      </c>
      <c r="W198" s="19">
        <v>3.0</v>
      </c>
      <c r="X198" s="19">
        <v>12.0</v>
      </c>
      <c r="Y198" s="19">
        <v>1.0</v>
      </c>
      <c r="Z198" s="19">
        <v>4.0</v>
      </c>
      <c r="AA198" s="19">
        <v>4.0</v>
      </c>
      <c r="AB198" s="19">
        <v>1.0</v>
      </c>
      <c r="AC198" s="19">
        <v>4.0</v>
      </c>
      <c r="AD198" s="19">
        <v>2.0</v>
      </c>
      <c r="AE198" s="19">
        <v>3.0</v>
      </c>
      <c r="AF198" s="13">
        <f t="shared" ref="AF198:AF205" si="46">SUM(E198:AE198)</f>
        <v>73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0.0</v>
      </c>
      <c r="F199" s="19">
        <v>0.0</v>
      </c>
      <c r="G199" s="19">
        <v>0.0</v>
      </c>
      <c r="H199" s="19">
        <v>0.0</v>
      </c>
      <c r="I199" s="19">
        <v>0.0</v>
      </c>
      <c r="J199" s="19">
        <v>0.0</v>
      </c>
      <c r="K199" s="19">
        <v>1.0</v>
      </c>
      <c r="L199" s="19">
        <v>0.0</v>
      </c>
      <c r="M199" s="19">
        <v>0.0</v>
      </c>
      <c r="N199" s="19">
        <v>0.0</v>
      </c>
      <c r="O199" s="19">
        <v>0.0</v>
      </c>
      <c r="P199" s="19">
        <v>0.0</v>
      </c>
      <c r="Q199" s="19">
        <v>1.0</v>
      </c>
      <c r="R199" s="19">
        <v>0.0</v>
      </c>
      <c r="S199" s="19">
        <v>2.0</v>
      </c>
      <c r="T199" s="19">
        <v>3.0</v>
      </c>
      <c r="U199" s="19">
        <v>0.0</v>
      </c>
      <c r="V199" s="19">
        <v>0.0</v>
      </c>
      <c r="W199" s="19">
        <v>0.0</v>
      </c>
      <c r="X199" s="19">
        <v>1.0</v>
      </c>
      <c r="Y199" s="19">
        <v>0.0</v>
      </c>
      <c r="Z199" s="19">
        <v>0.0</v>
      </c>
      <c r="AA199" s="19">
        <v>1.0</v>
      </c>
      <c r="AB199" s="19">
        <v>0.0</v>
      </c>
      <c r="AC199" s="19">
        <v>1.0</v>
      </c>
      <c r="AD199" s="19">
        <v>1.0</v>
      </c>
      <c r="AE199" s="19">
        <v>0.0</v>
      </c>
      <c r="AF199" s="13">
        <f t="shared" si="46"/>
        <v>11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0.0</v>
      </c>
      <c r="F200" s="19">
        <v>7.0</v>
      </c>
      <c r="G200" s="19">
        <v>0.0</v>
      </c>
      <c r="H200" s="19">
        <v>3.0</v>
      </c>
      <c r="I200" s="19">
        <v>0.0</v>
      </c>
      <c r="J200" s="19">
        <v>0.0</v>
      </c>
      <c r="K200" s="19">
        <v>7.0</v>
      </c>
      <c r="L200" s="19">
        <v>0.0</v>
      </c>
      <c r="M200" s="19">
        <v>3.0</v>
      </c>
      <c r="N200" s="19">
        <v>3.0</v>
      </c>
      <c r="O200" s="19">
        <v>0.0</v>
      </c>
      <c r="P200" s="19">
        <v>0.0</v>
      </c>
      <c r="Q200" s="19">
        <v>0.0</v>
      </c>
      <c r="R200" s="19">
        <v>0.0</v>
      </c>
      <c r="S200" s="19">
        <v>0.0</v>
      </c>
      <c r="T200" s="19">
        <v>2.0</v>
      </c>
      <c r="U200" s="19">
        <v>3.0</v>
      </c>
      <c r="V200" s="19">
        <v>0.0</v>
      </c>
      <c r="W200" s="19">
        <v>1.0</v>
      </c>
      <c r="X200" s="19">
        <v>4.0</v>
      </c>
      <c r="Y200" s="19">
        <v>2.0</v>
      </c>
      <c r="Z200" s="19">
        <v>0.0</v>
      </c>
      <c r="AA200" s="19">
        <v>3.0</v>
      </c>
      <c r="AB200" s="19">
        <v>0.0</v>
      </c>
      <c r="AC200" s="19">
        <v>4.0</v>
      </c>
      <c r="AD200" s="19">
        <v>0.0</v>
      </c>
      <c r="AE200" s="19">
        <v>2.0</v>
      </c>
      <c r="AF200" s="13">
        <f t="shared" si="46"/>
        <v>44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0.0</v>
      </c>
      <c r="G201" s="19">
        <v>0.0</v>
      </c>
      <c r="H201" s="19">
        <v>0.0</v>
      </c>
      <c r="I201" s="19">
        <v>0.0</v>
      </c>
      <c r="J201" s="19">
        <v>0.0</v>
      </c>
      <c r="K201" s="19">
        <v>0.0</v>
      </c>
      <c r="L201" s="19">
        <v>0.0</v>
      </c>
      <c r="M201" s="19">
        <v>0.0</v>
      </c>
      <c r="N201" s="19">
        <v>0.0</v>
      </c>
      <c r="O201" s="19">
        <v>0.0</v>
      </c>
      <c r="P201" s="19">
        <v>0.0</v>
      </c>
      <c r="Q201" s="19">
        <v>0.0</v>
      </c>
      <c r="R201" s="19">
        <v>0.0</v>
      </c>
      <c r="S201" s="19">
        <v>0.0</v>
      </c>
      <c r="T201" s="19">
        <v>1.0</v>
      </c>
      <c r="U201" s="19">
        <v>0.0</v>
      </c>
      <c r="V201" s="19">
        <v>0.0</v>
      </c>
      <c r="W201" s="19">
        <v>0.0</v>
      </c>
      <c r="X201" s="19">
        <v>1.0</v>
      </c>
      <c r="Y201" s="19">
        <v>1.0</v>
      </c>
      <c r="Z201" s="19">
        <v>0.0</v>
      </c>
      <c r="AA201" s="19">
        <v>0.0</v>
      </c>
      <c r="AB201" s="19">
        <v>0.0</v>
      </c>
      <c r="AC201" s="19">
        <v>1.0</v>
      </c>
      <c r="AD201" s="19">
        <v>0.0</v>
      </c>
      <c r="AE201" s="19">
        <v>0.0</v>
      </c>
      <c r="AF201" s="13">
        <f t="shared" si="46"/>
        <v>4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0.0</v>
      </c>
      <c r="F202" s="19">
        <v>0.0</v>
      </c>
      <c r="G202" s="19">
        <v>0.0</v>
      </c>
      <c r="H202" s="19">
        <v>1.0</v>
      </c>
      <c r="I202" s="19">
        <v>0.0</v>
      </c>
      <c r="J202" s="19">
        <v>0.0</v>
      </c>
      <c r="K202" s="19">
        <v>1.0</v>
      </c>
      <c r="L202" s="19">
        <v>0.0</v>
      </c>
      <c r="M202" s="19">
        <v>0.0</v>
      </c>
      <c r="N202" s="19">
        <v>0.0</v>
      </c>
      <c r="O202" s="19">
        <v>1.0</v>
      </c>
      <c r="P202" s="19">
        <v>1.0</v>
      </c>
      <c r="Q202" s="19">
        <v>0.0</v>
      </c>
      <c r="R202" s="19">
        <v>1.0</v>
      </c>
      <c r="S202" s="19">
        <v>0.0</v>
      </c>
      <c r="T202" s="19">
        <v>0.0</v>
      </c>
      <c r="U202" s="19">
        <v>3.0</v>
      </c>
      <c r="V202" s="19">
        <v>0.0</v>
      </c>
      <c r="W202" s="19">
        <v>1.0</v>
      </c>
      <c r="X202" s="19">
        <v>0.0</v>
      </c>
      <c r="Y202" s="19">
        <v>1.0</v>
      </c>
      <c r="Z202" s="19">
        <v>0.0</v>
      </c>
      <c r="AA202" s="19">
        <v>1.0</v>
      </c>
      <c r="AB202" s="19">
        <v>0.0</v>
      </c>
      <c r="AC202" s="19">
        <v>0.0</v>
      </c>
      <c r="AD202" s="19">
        <v>0.0</v>
      </c>
      <c r="AE202" s="19">
        <v>0.0</v>
      </c>
      <c r="AF202" s="13">
        <f t="shared" si="46"/>
        <v>11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9">
        <v>0.0</v>
      </c>
      <c r="T203" s="19">
        <v>0.0</v>
      </c>
      <c r="U203" s="19">
        <v>0.0</v>
      </c>
      <c r="V203" s="19">
        <v>0.0</v>
      </c>
      <c r="W203" s="19">
        <v>0.0</v>
      </c>
      <c r="X203" s="19">
        <v>0.0</v>
      </c>
      <c r="Y203" s="19">
        <v>0.0</v>
      </c>
      <c r="Z203" s="19">
        <v>0.0</v>
      </c>
      <c r="AA203" s="19">
        <v>1.0</v>
      </c>
      <c r="AB203" s="19">
        <v>0.0</v>
      </c>
      <c r="AC203" s="19">
        <v>1.0</v>
      </c>
      <c r="AD203" s="19">
        <v>0.0</v>
      </c>
      <c r="AE203" s="19">
        <v>0.0</v>
      </c>
      <c r="AF203" s="13">
        <f t="shared" si="46"/>
        <v>2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1.0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1.0</v>
      </c>
      <c r="U204" s="19">
        <v>1.0</v>
      </c>
      <c r="V204" s="19">
        <v>1.0</v>
      </c>
      <c r="W204" s="19">
        <v>0.0</v>
      </c>
      <c r="X204" s="19">
        <v>0.0</v>
      </c>
      <c r="Y204" s="19">
        <v>0.0</v>
      </c>
      <c r="Z204" s="19">
        <v>2.0</v>
      </c>
      <c r="AA204" s="19">
        <v>0.0</v>
      </c>
      <c r="AB204" s="19">
        <v>0.0</v>
      </c>
      <c r="AC204" s="19">
        <v>1.0</v>
      </c>
      <c r="AD204" s="19">
        <v>0.0</v>
      </c>
      <c r="AE204" s="19">
        <v>0.0</v>
      </c>
      <c r="AF204" s="13">
        <f t="shared" si="46"/>
        <v>7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6.0</v>
      </c>
      <c r="F205" s="19">
        <v>7.0</v>
      </c>
      <c r="G205" s="19">
        <v>18.0</v>
      </c>
      <c r="H205" s="19">
        <v>23.0</v>
      </c>
      <c r="I205" s="19">
        <v>35.0</v>
      </c>
      <c r="J205" s="19">
        <v>32.0</v>
      </c>
      <c r="K205" s="19">
        <v>112.0</v>
      </c>
      <c r="L205" s="19">
        <v>37.0</v>
      </c>
      <c r="M205" s="19">
        <v>56.0</v>
      </c>
      <c r="N205" s="19">
        <v>14.0</v>
      </c>
      <c r="O205" s="19">
        <v>9.0</v>
      </c>
      <c r="P205" s="19">
        <v>8.0</v>
      </c>
      <c r="Q205" s="19">
        <v>33.0</v>
      </c>
      <c r="R205" s="19">
        <v>56.0</v>
      </c>
      <c r="S205" s="19">
        <v>29.0</v>
      </c>
      <c r="T205" s="19">
        <v>57.0</v>
      </c>
      <c r="U205" s="19">
        <v>67.0</v>
      </c>
      <c r="V205" s="19">
        <v>40.0</v>
      </c>
      <c r="W205" s="19">
        <v>17.0</v>
      </c>
      <c r="X205" s="19">
        <v>41.0</v>
      </c>
      <c r="Y205" s="19">
        <v>26.0</v>
      </c>
      <c r="Z205" s="19">
        <v>62.0</v>
      </c>
      <c r="AA205" s="19">
        <v>68.0</v>
      </c>
      <c r="AB205" s="19">
        <v>27.0</v>
      </c>
      <c r="AC205" s="19">
        <v>58.0</v>
      </c>
      <c r="AD205" s="19">
        <v>14.0</v>
      </c>
      <c r="AE205" s="19">
        <v>49.0</v>
      </c>
      <c r="AF205" s="13">
        <f t="shared" si="46"/>
        <v>1001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AF206" si="47">SUM(E198:E205)</f>
        <v>8</v>
      </c>
      <c r="F206" s="13">
        <f t="shared" si="47"/>
        <v>14</v>
      </c>
      <c r="G206" s="13">
        <f t="shared" si="47"/>
        <v>20</v>
      </c>
      <c r="H206" s="13">
        <f t="shared" si="47"/>
        <v>27</v>
      </c>
      <c r="I206" s="13">
        <f t="shared" si="47"/>
        <v>35</v>
      </c>
      <c r="J206" s="13">
        <f t="shared" si="47"/>
        <v>34</v>
      </c>
      <c r="K206" s="13">
        <f t="shared" si="47"/>
        <v>127</v>
      </c>
      <c r="L206" s="13">
        <f t="shared" si="47"/>
        <v>39</v>
      </c>
      <c r="M206" s="13">
        <f t="shared" si="47"/>
        <v>62</v>
      </c>
      <c r="N206" s="13">
        <f t="shared" si="47"/>
        <v>17</v>
      </c>
      <c r="O206" s="13">
        <f t="shared" si="47"/>
        <v>11</v>
      </c>
      <c r="P206" s="13">
        <f t="shared" si="47"/>
        <v>9</v>
      </c>
      <c r="Q206" s="13">
        <f t="shared" si="47"/>
        <v>35</v>
      </c>
      <c r="R206" s="13">
        <f t="shared" si="47"/>
        <v>59</v>
      </c>
      <c r="S206" s="13">
        <f t="shared" si="47"/>
        <v>31</v>
      </c>
      <c r="T206" s="13">
        <f t="shared" si="47"/>
        <v>68</v>
      </c>
      <c r="U206" s="13">
        <f t="shared" si="47"/>
        <v>79</v>
      </c>
      <c r="V206" s="13">
        <f t="shared" si="47"/>
        <v>51</v>
      </c>
      <c r="W206" s="13">
        <f t="shared" si="47"/>
        <v>22</v>
      </c>
      <c r="X206" s="13">
        <f t="shared" si="47"/>
        <v>59</v>
      </c>
      <c r="Y206" s="13">
        <f t="shared" si="47"/>
        <v>31</v>
      </c>
      <c r="Z206" s="13">
        <f t="shared" si="47"/>
        <v>68</v>
      </c>
      <c r="AA206" s="13">
        <f t="shared" si="47"/>
        <v>78</v>
      </c>
      <c r="AB206" s="13">
        <f t="shared" si="47"/>
        <v>28</v>
      </c>
      <c r="AC206" s="13">
        <f t="shared" si="47"/>
        <v>70</v>
      </c>
      <c r="AD206" s="13">
        <f t="shared" si="47"/>
        <v>17</v>
      </c>
      <c r="AE206" s="13">
        <f t="shared" si="47"/>
        <v>54</v>
      </c>
      <c r="AF206" s="13">
        <f t="shared" si="47"/>
        <v>1153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1.0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3">
        <f t="shared" ref="AF208:AF214" si="48">SUM(E208:AE208)</f>
        <v>1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9">
        <v>1.0</v>
      </c>
      <c r="S209" s="19">
        <v>0.0</v>
      </c>
      <c r="T209" s="19">
        <v>0.0</v>
      </c>
      <c r="U209" s="19">
        <v>0.0</v>
      </c>
      <c r="V209" s="19">
        <v>0.0</v>
      </c>
      <c r="W209" s="19">
        <v>0.0</v>
      </c>
      <c r="X209" s="19">
        <v>0.0</v>
      </c>
      <c r="Y209" s="19">
        <v>0.0</v>
      </c>
      <c r="Z209" s="19">
        <v>0.0</v>
      </c>
      <c r="AA209" s="19">
        <v>0.0</v>
      </c>
      <c r="AB209" s="19">
        <v>0.0</v>
      </c>
      <c r="AC209" s="19">
        <v>0.0</v>
      </c>
      <c r="AD209" s="19">
        <v>0.0</v>
      </c>
      <c r="AE209" s="19">
        <v>0.0</v>
      </c>
      <c r="AF209" s="13">
        <f t="shared" si="48"/>
        <v>1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9">
        <v>0.0</v>
      </c>
      <c r="U210" s="19">
        <v>0.0</v>
      </c>
      <c r="V210" s="19">
        <v>0.0</v>
      </c>
      <c r="W210" s="19">
        <v>0.0</v>
      </c>
      <c r="X210" s="19">
        <v>0.0</v>
      </c>
      <c r="Y210" s="19">
        <v>0.0</v>
      </c>
      <c r="Z210" s="19">
        <v>0.0</v>
      </c>
      <c r="AA210" s="19">
        <v>0.0</v>
      </c>
      <c r="AB210" s="19">
        <v>0.0</v>
      </c>
      <c r="AC210" s="19">
        <v>0.0</v>
      </c>
      <c r="AD210" s="19">
        <v>0.0</v>
      </c>
      <c r="AE210" s="19">
        <v>0.0</v>
      </c>
      <c r="AF210" s="13">
        <f t="shared" si="48"/>
        <v>0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0.0</v>
      </c>
      <c r="S211" s="19">
        <v>0.0</v>
      </c>
      <c r="T211" s="19">
        <v>0.0</v>
      </c>
      <c r="U211" s="19">
        <v>0.0</v>
      </c>
      <c r="V211" s="19">
        <v>0.0</v>
      </c>
      <c r="W211" s="19">
        <v>0.0</v>
      </c>
      <c r="X211" s="19">
        <v>0.0</v>
      </c>
      <c r="Y211" s="19">
        <v>0.0</v>
      </c>
      <c r="Z211" s="19">
        <v>0.0</v>
      </c>
      <c r="AA211" s="19">
        <v>0.0</v>
      </c>
      <c r="AB211" s="19">
        <v>0.0</v>
      </c>
      <c r="AC211" s="19">
        <v>0.0</v>
      </c>
      <c r="AD211" s="19">
        <v>0.0</v>
      </c>
      <c r="AE211" s="19">
        <v>0.0</v>
      </c>
      <c r="AF211" s="13">
        <f t="shared" si="48"/>
        <v>0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9">
        <v>0.0</v>
      </c>
      <c r="S212" s="19">
        <v>0.0</v>
      </c>
      <c r="T212" s="19">
        <v>0.0</v>
      </c>
      <c r="U212" s="19">
        <v>0.0</v>
      </c>
      <c r="V212" s="19">
        <v>0.0</v>
      </c>
      <c r="W212" s="19">
        <v>0.0</v>
      </c>
      <c r="X212" s="19">
        <v>0.0</v>
      </c>
      <c r="Y212" s="19">
        <v>0.0</v>
      </c>
      <c r="Z212" s="19">
        <v>0.0</v>
      </c>
      <c r="AA212" s="19">
        <v>0.0</v>
      </c>
      <c r="AB212" s="19">
        <v>0.0</v>
      </c>
      <c r="AC212" s="19">
        <v>0.0</v>
      </c>
      <c r="AD212" s="19">
        <v>0.0</v>
      </c>
      <c r="AE212" s="19">
        <v>0.0</v>
      </c>
      <c r="AF212" s="13">
        <f t="shared" si="48"/>
        <v>0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9">
        <v>0.0</v>
      </c>
      <c r="S213" s="19">
        <v>0.0</v>
      </c>
      <c r="T213" s="19">
        <v>0.0</v>
      </c>
      <c r="U213" s="19">
        <v>1.0</v>
      </c>
      <c r="V213" s="19">
        <v>0.0</v>
      </c>
      <c r="W213" s="19">
        <v>0.0</v>
      </c>
      <c r="X213" s="19">
        <v>0.0</v>
      </c>
      <c r="Y213" s="19">
        <v>0.0</v>
      </c>
      <c r="Z213" s="19">
        <v>0.0</v>
      </c>
      <c r="AA213" s="19">
        <v>0.0</v>
      </c>
      <c r="AB213" s="19">
        <v>0.0</v>
      </c>
      <c r="AC213" s="19">
        <v>0.0</v>
      </c>
      <c r="AD213" s="19">
        <v>0.0</v>
      </c>
      <c r="AE213" s="19">
        <v>1.0</v>
      </c>
      <c r="AF213" s="13">
        <f t="shared" si="48"/>
        <v>2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0.0</v>
      </c>
      <c r="S214" s="19">
        <v>0.0</v>
      </c>
      <c r="T214" s="19">
        <v>0.0</v>
      </c>
      <c r="U214" s="19">
        <v>0.0</v>
      </c>
      <c r="V214" s="19">
        <v>0.0</v>
      </c>
      <c r="W214" s="19">
        <v>0.0</v>
      </c>
      <c r="X214" s="19">
        <v>0.0</v>
      </c>
      <c r="Y214" s="19">
        <v>0.0</v>
      </c>
      <c r="Z214" s="19">
        <v>0.0</v>
      </c>
      <c r="AA214" s="19">
        <v>0.0</v>
      </c>
      <c r="AB214" s="19">
        <v>0.0</v>
      </c>
      <c r="AC214" s="19">
        <v>0.0</v>
      </c>
      <c r="AD214" s="19">
        <v>0.0</v>
      </c>
      <c r="AE214" s="19">
        <v>0.0</v>
      </c>
      <c r="AF214" s="13">
        <f t="shared" si="48"/>
        <v>0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AF215" si="49">SUM(E208:E214)</f>
        <v>0</v>
      </c>
      <c r="F215" s="13">
        <f t="shared" si="49"/>
        <v>0</v>
      </c>
      <c r="G215" s="13">
        <f t="shared" si="49"/>
        <v>0</v>
      </c>
      <c r="H215" s="13">
        <f t="shared" si="49"/>
        <v>0</v>
      </c>
      <c r="I215" s="13">
        <f t="shared" si="49"/>
        <v>0</v>
      </c>
      <c r="J215" s="13">
        <f t="shared" si="49"/>
        <v>0</v>
      </c>
      <c r="K215" s="13">
        <f t="shared" si="49"/>
        <v>0</v>
      </c>
      <c r="L215" s="13">
        <f t="shared" si="49"/>
        <v>0</v>
      </c>
      <c r="M215" s="13">
        <f t="shared" si="49"/>
        <v>0</v>
      </c>
      <c r="N215" s="13">
        <f t="shared" si="49"/>
        <v>0</v>
      </c>
      <c r="O215" s="13">
        <f t="shared" si="49"/>
        <v>0</v>
      </c>
      <c r="P215" s="13">
        <f t="shared" si="49"/>
        <v>0</v>
      </c>
      <c r="Q215" s="13">
        <f t="shared" si="49"/>
        <v>0</v>
      </c>
      <c r="R215" s="13">
        <f t="shared" si="49"/>
        <v>1</v>
      </c>
      <c r="S215" s="13">
        <f t="shared" si="49"/>
        <v>0</v>
      </c>
      <c r="T215" s="13">
        <f t="shared" si="49"/>
        <v>0</v>
      </c>
      <c r="U215" s="13">
        <f t="shared" si="49"/>
        <v>1</v>
      </c>
      <c r="V215" s="13">
        <f t="shared" si="49"/>
        <v>0</v>
      </c>
      <c r="W215" s="13">
        <f t="shared" si="49"/>
        <v>0</v>
      </c>
      <c r="X215" s="13">
        <f t="shared" si="49"/>
        <v>1</v>
      </c>
      <c r="Y215" s="13">
        <f t="shared" si="49"/>
        <v>0</v>
      </c>
      <c r="Z215" s="13">
        <f t="shared" si="49"/>
        <v>0</v>
      </c>
      <c r="AA215" s="13">
        <f t="shared" si="49"/>
        <v>0</v>
      </c>
      <c r="AB215" s="13">
        <f t="shared" si="49"/>
        <v>0</v>
      </c>
      <c r="AC215" s="13">
        <f t="shared" si="49"/>
        <v>0</v>
      </c>
      <c r="AD215" s="13">
        <f t="shared" si="49"/>
        <v>0</v>
      </c>
      <c r="AE215" s="13">
        <f t="shared" si="49"/>
        <v>1</v>
      </c>
      <c r="AF215" s="13">
        <f t="shared" si="49"/>
        <v>4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AE218" si="50">E53+E63+E73+E83+E93+E103+E109+E119+E129+E136+E146+E156+E166+E176+E186+E196+E206+E215</f>
        <v>157</v>
      </c>
      <c r="F218" s="19">
        <f t="shared" si="50"/>
        <v>161</v>
      </c>
      <c r="G218" s="19">
        <f t="shared" si="50"/>
        <v>191</v>
      </c>
      <c r="H218" s="19">
        <f t="shared" si="50"/>
        <v>187</v>
      </c>
      <c r="I218" s="19">
        <f t="shared" si="50"/>
        <v>182</v>
      </c>
      <c r="J218" s="19">
        <f t="shared" si="50"/>
        <v>190</v>
      </c>
      <c r="K218" s="19">
        <f t="shared" si="50"/>
        <v>207</v>
      </c>
      <c r="L218" s="19">
        <f t="shared" si="50"/>
        <v>188</v>
      </c>
      <c r="M218" s="19">
        <f t="shared" si="50"/>
        <v>149</v>
      </c>
      <c r="N218" s="19">
        <f t="shared" si="50"/>
        <v>184</v>
      </c>
      <c r="O218" s="19">
        <f t="shared" si="50"/>
        <v>206</v>
      </c>
      <c r="P218" s="19">
        <f t="shared" si="50"/>
        <v>196</v>
      </c>
      <c r="Q218" s="19">
        <f t="shared" si="50"/>
        <v>188</v>
      </c>
      <c r="R218" s="19">
        <f t="shared" si="50"/>
        <v>227</v>
      </c>
      <c r="S218" s="19">
        <f t="shared" si="50"/>
        <v>213</v>
      </c>
      <c r="T218" s="19">
        <f t="shared" si="50"/>
        <v>190</v>
      </c>
      <c r="U218" s="19">
        <f t="shared" si="50"/>
        <v>210</v>
      </c>
      <c r="V218" s="19">
        <f t="shared" si="50"/>
        <v>192</v>
      </c>
      <c r="W218" s="19">
        <f t="shared" si="50"/>
        <v>145</v>
      </c>
      <c r="X218" s="19">
        <f t="shared" si="50"/>
        <v>186</v>
      </c>
      <c r="Y218" s="19">
        <f t="shared" si="50"/>
        <v>185</v>
      </c>
      <c r="Z218" s="19">
        <f t="shared" si="50"/>
        <v>203</v>
      </c>
      <c r="AA218" s="19">
        <f t="shared" si="50"/>
        <v>195</v>
      </c>
      <c r="AB218" s="19">
        <f t="shared" si="50"/>
        <v>205</v>
      </c>
      <c r="AC218" s="19">
        <f t="shared" si="50"/>
        <v>203</v>
      </c>
      <c r="AD218" s="19">
        <f t="shared" si="50"/>
        <v>121</v>
      </c>
      <c r="AE218" s="19">
        <f t="shared" si="50"/>
        <v>148</v>
      </c>
      <c r="AF218" s="13">
        <f t="shared" ref="AF218:AF220" si="51">SUM(E218:AE218)</f>
        <v>5009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19.0</v>
      </c>
      <c r="F219" s="19">
        <v>31.0</v>
      </c>
      <c r="G219" s="19">
        <v>24.0</v>
      </c>
      <c r="H219" s="19">
        <v>30.0</v>
      </c>
      <c r="I219" s="19">
        <v>9.0</v>
      </c>
      <c r="J219" s="19">
        <v>15.0</v>
      </c>
      <c r="K219" s="19">
        <v>6.0</v>
      </c>
      <c r="L219" s="19">
        <v>18.0</v>
      </c>
      <c r="M219" s="19">
        <v>9.0</v>
      </c>
      <c r="N219" s="19">
        <v>17.0</v>
      </c>
      <c r="O219" s="19">
        <v>18.0</v>
      </c>
      <c r="P219" s="19">
        <v>20.0</v>
      </c>
      <c r="Q219" s="19">
        <v>2.0</v>
      </c>
      <c r="R219" s="19">
        <v>5.0</v>
      </c>
      <c r="S219" s="19">
        <v>12.0</v>
      </c>
      <c r="T219" s="19">
        <v>23.0</v>
      </c>
      <c r="U219" s="19">
        <v>33.0</v>
      </c>
      <c r="V219" s="19">
        <v>26.0</v>
      </c>
      <c r="W219" s="19">
        <v>5.0</v>
      </c>
      <c r="X219" s="19">
        <v>19.0</v>
      </c>
      <c r="Y219" s="19">
        <v>27.0</v>
      </c>
      <c r="Z219" s="19">
        <v>22.0</v>
      </c>
      <c r="AA219" s="19">
        <v>22.0</v>
      </c>
      <c r="AB219" s="19">
        <v>24.0</v>
      </c>
      <c r="AC219" s="19">
        <v>15.0</v>
      </c>
      <c r="AD219" s="19">
        <v>16.0</v>
      </c>
      <c r="AE219" s="19">
        <v>25.0</v>
      </c>
      <c r="AF219" s="13">
        <f t="shared" si="51"/>
        <v>492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AE220" si="52">SUM(E218:E219)</f>
        <v>176</v>
      </c>
      <c r="F220" s="13">
        <f t="shared" si="52"/>
        <v>192</v>
      </c>
      <c r="G220" s="13">
        <f t="shared" si="52"/>
        <v>215</v>
      </c>
      <c r="H220" s="13">
        <f t="shared" si="52"/>
        <v>217</v>
      </c>
      <c r="I220" s="13">
        <f t="shared" si="52"/>
        <v>191</v>
      </c>
      <c r="J220" s="13">
        <f t="shared" si="52"/>
        <v>205</v>
      </c>
      <c r="K220" s="13">
        <f t="shared" si="52"/>
        <v>213</v>
      </c>
      <c r="L220" s="13">
        <f t="shared" si="52"/>
        <v>206</v>
      </c>
      <c r="M220" s="13">
        <f t="shared" si="52"/>
        <v>158</v>
      </c>
      <c r="N220" s="13">
        <f t="shared" si="52"/>
        <v>201</v>
      </c>
      <c r="O220" s="13">
        <f t="shared" si="52"/>
        <v>224</v>
      </c>
      <c r="P220" s="13">
        <f t="shared" si="52"/>
        <v>216</v>
      </c>
      <c r="Q220" s="13">
        <f t="shared" si="52"/>
        <v>190</v>
      </c>
      <c r="R220" s="13">
        <f t="shared" si="52"/>
        <v>232</v>
      </c>
      <c r="S220" s="13">
        <f t="shared" si="52"/>
        <v>225</v>
      </c>
      <c r="T220" s="13">
        <f t="shared" si="52"/>
        <v>213</v>
      </c>
      <c r="U220" s="13">
        <f t="shared" si="52"/>
        <v>243</v>
      </c>
      <c r="V220" s="13">
        <f t="shared" si="52"/>
        <v>218</v>
      </c>
      <c r="W220" s="13">
        <f t="shared" si="52"/>
        <v>150</v>
      </c>
      <c r="X220" s="13">
        <f t="shared" si="52"/>
        <v>205</v>
      </c>
      <c r="Y220" s="13">
        <f t="shared" si="52"/>
        <v>212</v>
      </c>
      <c r="Z220" s="13">
        <f t="shared" si="52"/>
        <v>225</v>
      </c>
      <c r="AA220" s="13">
        <f t="shared" si="52"/>
        <v>217</v>
      </c>
      <c r="AB220" s="13">
        <f t="shared" si="52"/>
        <v>229</v>
      </c>
      <c r="AC220" s="13">
        <f t="shared" si="52"/>
        <v>218</v>
      </c>
      <c r="AD220" s="13">
        <f t="shared" si="52"/>
        <v>137</v>
      </c>
      <c r="AE220" s="13">
        <f t="shared" si="52"/>
        <v>173</v>
      </c>
      <c r="AF220" s="13">
        <f t="shared" si="51"/>
        <v>5501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63:D63"/>
    <mergeCell ref="A64:E64"/>
    <mergeCell ref="C65:D65"/>
    <mergeCell ref="B73:D73"/>
    <mergeCell ref="A74:E74"/>
    <mergeCell ref="C75:D75"/>
    <mergeCell ref="B83:D83"/>
    <mergeCell ref="A84:E84"/>
    <mergeCell ref="C85:D85"/>
    <mergeCell ref="B93:D93"/>
    <mergeCell ref="A94:E94"/>
    <mergeCell ref="C95:D95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A187:E187"/>
    <mergeCell ref="C188:D188"/>
    <mergeCell ref="B217:D217"/>
    <mergeCell ref="C218:D218"/>
    <mergeCell ref="C219:D219"/>
    <mergeCell ref="C220:D220"/>
    <mergeCell ref="B196:D196"/>
    <mergeCell ref="A197:E197"/>
    <mergeCell ref="C198:D198"/>
    <mergeCell ref="B206:D206"/>
    <mergeCell ref="A207:E207"/>
    <mergeCell ref="C208:D208"/>
    <mergeCell ref="B215:D215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3:D53"/>
    <mergeCell ref="A54:E54"/>
    <mergeCell ref="C55:D55"/>
    <mergeCell ref="C46:D46"/>
    <mergeCell ref="C47:D47"/>
    <mergeCell ref="C48:D48"/>
    <mergeCell ref="C49:D49"/>
    <mergeCell ref="C50:D50"/>
    <mergeCell ref="C51:D51"/>
    <mergeCell ref="C52:D52"/>
  </mergeCells>
  <conditionalFormatting sqref="E34:T34 V34 X34:AA34 AC34">
    <cfRule type="expression" dxfId="1" priority="1">
      <formula>E34&lt;&gt;E62</formula>
    </cfRule>
  </conditionalFormatting>
  <conditionalFormatting sqref="E14:AE15">
    <cfRule type="containsBlanks" dxfId="0" priority="2">
      <formula>LEN(TRIM(E14))=0</formula>
    </cfRule>
  </conditionalFormatting>
  <conditionalFormatting sqref="E19:AE20">
    <cfRule type="containsBlanks" dxfId="0" priority="3">
      <formula>LEN(TRIM(E19))=0</formula>
    </cfRule>
  </conditionalFormatting>
  <conditionalFormatting sqref="E22:AE23 E25:AE26 E33:AE33 E35:AE35 E39:AE40">
    <cfRule type="containsBlanks" dxfId="0" priority="4">
      <formula>LEN(TRIM(E22))=0</formula>
    </cfRule>
  </conditionalFormatting>
  <conditionalFormatting sqref="E30:AE30">
    <cfRule type="expression" dxfId="1" priority="5">
      <formula>E30&lt;&gt;E47</formula>
    </cfRule>
  </conditionalFormatting>
  <conditionalFormatting sqref="E30:AE30">
    <cfRule type="expression" dxfId="1" priority="6">
      <formula>E30&lt;&gt;E34</formula>
    </cfRule>
  </conditionalFormatting>
  <conditionalFormatting sqref="E34:AE34">
    <cfRule type="expression" dxfId="2" priority="7">
      <formula>E30&lt;&gt;E34</formula>
    </cfRule>
  </conditionalFormatting>
  <conditionalFormatting sqref="E34:AE34">
    <cfRule type="expression" dxfId="3" priority="8">
      <formula>E30=E34</formula>
    </cfRule>
  </conditionalFormatting>
  <conditionalFormatting sqref="E34:AE34">
    <cfRule type="expression" dxfId="1" priority="9">
      <formula>E34&lt;&gt;E30</formula>
    </cfRule>
  </conditionalFormatting>
  <conditionalFormatting sqref="E45:AE52">
    <cfRule type="containsBlanks" dxfId="0" priority="10">
      <formula>LEN(TRIM(E45))=0</formula>
    </cfRule>
  </conditionalFormatting>
  <conditionalFormatting sqref="E55:AE62">
    <cfRule type="containsBlanks" dxfId="0" priority="11">
      <formula>LEN(TRIM(E55))=0</formula>
    </cfRule>
  </conditionalFormatting>
  <conditionalFormatting sqref="E65:AE72">
    <cfRule type="containsBlanks" dxfId="0" priority="12">
      <formula>LEN(TRIM(E65))=0</formula>
    </cfRule>
  </conditionalFormatting>
  <conditionalFormatting sqref="E75:AE82">
    <cfRule type="containsBlanks" dxfId="0" priority="13">
      <formula>LEN(TRIM(E75))=0</formula>
    </cfRule>
  </conditionalFormatting>
  <conditionalFormatting sqref="E85:AE92">
    <cfRule type="containsBlanks" dxfId="0" priority="14">
      <formula>LEN(TRIM(E85))=0</formula>
    </cfRule>
  </conditionalFormatting>
  <conditionalFormatting sqref="E95:AE102">
    <cfRule type="containsBlanks" dxfId="0" priority="15">
      <formula>LEN(TRIM(E95))=0</formula>
    </cfRule>
  </conditionalFormatting>
  <conditionalFormatting sqref="E105:AE108">
    <cfRule type="containsBlanks" dxfId="0" priority="16">
      <formula>LEN(TRIM(E105))=0</formula>
    </cfRule>
  </conditionalFormatting>
  <conditionalFormatting sqref="E111:AE118">
    <cfRule type="containsBlanks" dxfId="0" priority="17">
      <formula>LEN(TRIM(E111))=0</formula>
    </cfRule>
  </conditionalFormatting>
  <conditionalFormatting sqref="E121:AE128">
    <cfRule type="containsBlanks" dxfId="0" priority="18">
      <formula>LEN(TRIM(E121))=0</formula>
    </cfRule>
  </conditionalFormatting>
  <conditionalFormatting sqref="E131:AE135">
    <cfRule type="containsBlanks" dxfId="0" priority="19">
      <formula>LEN(TRIM(E131))=0</formula>
    </cfRule>
  </conditionalFormatting>
  <conditionalFormatting sqref="E138:AE145">
    <cfRule type="containsBlanks" dxfId="0" priority="20">
      <formula>LEN(TRIM(E138))=0</formula>
    </cfRule>
  </conditionalFormatting>
  <conditionalFormatting sqref="E148:AE155">
    <cfRule type="containsBlanks" dxfId="0" priority="21">
      <formula>LEN(TRIM(E148))=0</formula>
    </cfRule>
  </conditionalFormatting>
  <conditionalFormatting sqref="E158:AE165">
    <cfRule type="containsBlanks" dxfId="0" priority="22">
      <formula>LEN(TRIM(E158))=0</formula>
    </cfRule>
  </conditionalFormatting>
  <conditionalFormatting sqref="E168:AE175">
    <cfRule type="containsBlanks" dxfId="0" priority="23">
      <formula>LEN(TRIM(E168))=0</formula>
    </cfRule>
  </conditionalFormatting>
  <conditionalFormatting sqref="E178:AE185">
    <cfRule type="containsBlanks" dxfId="0" priority="24">
      <formula>LEN(TRIM(E178))=0</formula>
    </cfRule>
  </conditionalFormatting>
  <conditionalFormatting sqref="E188:AE195">
    <cfRule type="containsBlanks" dxfId="0" priority="25">
      <formula>LEN(TRIM(E188))=0</formula>
    </cfRule>
  </conditionalFormatting>
  <conditionalFormatting sqref="E198:AE205">
    <cfRule type="containsBlanks" dxfId="0" priority="26">
      <formula>LEN(TRIM(E198))=0</formula>
    </cfRule>
  </conditionalFormatting>
  <conditionalFormatting sqref="E208:AE214">
    <cfRule type="containsBlanks" dxfId="0" priority="27">
      <formula>LEN(TRIM(E208))=0</formula>
    </cfRule>
  </conditionalFormatting>
  <conditionalFormatting sqref="E218:AE219">
    <cfRule type="containsBlanks" dxfId="0" priority="28">
      <formula>LEN(TRIM(E218))=0</formula>
    </cfRule>
  </conditionalFormatting>
  <conditionalFormatting sqref="U34">
    <cfRule type="expression" dxfId="1" priority="29">
      <formula>U34&lt;&gt;U47</formula>
    </cfRule>
  </conditionalFormatting>
  <conditionalFormatting sqref="W34">
    <cfRule type="expression" dxfId="1" priority="30">
      <formula>W34&lt;&gt;W47</formula>
    </cfRule>
  </conditionalFormatting>
  <conditionalFormatting sqref="AB34">
    <cfRule type="expression" dxfId="1" priority="31">
      <formula>AB34&lt;&gt;AB47</formula>
    </cfRule>
  </conditionalFormatting>
  <conditionalFormatting sqref="AD34:AE34">
    <cfRule type="expression" dxfId="1" priority="32">
      <formula>AD34&lt;&gt;AD47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108.0</v>
      </c>
      <c r="F14" s="19">
        <v>112.0</v>
      </c>
      <c r="G14" s="19">
        <v>113.0</v>
      </c>
      <c r="H14" s="19">
        <v>115.0</v>
      </c>
      <c r="I14" s="19">
        <v>136.0</v>
      </c>
      <c r="J14" s="19">
        <v>130.0</v>
      </c>
      <c r="K14" s="19">
        <v>128.0</v>
      </c>
      <c r="L14" s="19">
        <v>134.0</v>
      </c>
      <c r="M14" s="19">
        <v>130.0</v>
      </c>
      <c r="N14" s="19">
        <v>131.0</v>
      </c>
      <c r="O14" s="19">
        <v>136.0</v>
      </c>
      <c r="P14" s="19">
        <v>79.0</v>
      </c>
      <c r="Q14" s="19">
        <v>123.0</v>
      </c>
      <c r="R14" s="19">
        <v>111.0</v>
      </c>
      <c r="S14" s="19">
        <v>100.0</v>
      </c>
      <c r="T14" s="19">
        <v>114.0</v>
      </c>
      <c r="U14" s="19">
        <v>98.0</v>
      </c>
      <c r="V14" s="13">
        <f t="shared" ref="V14:V16" si="1">SUM(E14:U14)</f>
        <v>1998</v>
      </c>
    </row>
    <row r="15" ht="12.75" customHeight="1">
      <c r="A15" s="18"/>
      <c r="B15" s="26"/>
      <c r="C15" s="27"/>
      <c r="D15" s="19" t="s">
        <v>13</v>
      </c>
      <c r="E15" s="19">
        <v>113.0</v>
      </c>
      <c r="F15" s="19">
        <v>106.0</v>
      </c>
      <c r="G15" s="19">
        <v>112.0</v>
      </c>
      <c r="H15" s="19">
        <v>115.0</v>
      </c>
      <c r="I15" s="19">
        <v>120.0</v>
      </c>
      <c r="J15" s="19">
        <v>133.0</v>
      </c>
      <c r="K15" s="19">
        <v>127.0</v>
      </c>
      <c r="L15" s="19">
        <v>130.0</v>
      </c>
      <c r="M15" s="19">
        <v>127.0</v>
      </c>
      <c r="N15" s="19">
        <v>126.0</v>
      </c>
      <c r="O15" s="19">
        <v>122.0</v>
      </c>
      <c r="P15" s="19">
        <v>92.0</v>
      </c>
      <c r="Q15" s="19">
        <v>121.0</v>
      </c>
      <c r="R15" s="19">
        <v>107.0</v>
      </c>
      <c r="S15" s="19">
        <v>96.0</v>
      </c>
      <c r="T15" s="19">
        <v>105.0</v>
      </c>
      <c r="U15" s="19">
        <v>92.0</v>
      </c>
      <c r="V15" s="13">
        <f t="shared" si="1"/>
        <v>1944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221</v>
      </c>
      <c r="F16" s="13">
        <f t="shared" si="2"/>
        <v>218</v>
      </c>
      <c r="G16" s="13">
        <f t="shared" si="2"/>
        <v>225</v>
      </c>
      <c r="H16" s="13">
        <f t="shared" si="2"/>
        <v>230</v>
      </c>
      <c r="I16" s="13">
        <f t="shared" si="2"/>
        <v>256</v>
      </c>
      <c r="J16" s="13">
        <f t="shared" si="2"/>
        <v>263</v>
      </c>
      <c r="K16" s="13">
        <f t="shared" si="2"/>
        <v>255</v>
      </c>
      <c r="L16" s="13">
        <f t="shared" si="2"/>
        <v>264</v>
      </c>
      <c r="M16" s="13">
        <f t="shared" si="2"/>
        <v>257</v>
      </c>
      <c r="N16" s="13">
        <f t="shared" si="2"/>
        <v>257</v>
      </c>
      <c r="O16" s="13">
        <f t="shared" si="2"/>
        <v>258</v>
      </c>
      <c r="P16" s="13">
        <f t="shared" si="2"/>
        <v>171</v>
      </c>
      <c r="Q16" s="13">
        <f t="shared" si="2"/>
        <v>244</v>
      </c>
      <c r="R16" s="13">
        <f t="shared" si="2"/>
        <v>218</v>
      </c>
      <c r="S16" s="13">
        <f t="shared" si="2"/>
        <v>196</v>
      </c>
      <c r="T16" s="13">
        <f t="shared" si="2"/>
        <v>219</v>
      </c>
      <c r="U16" s="13">
        <f t="shared" si="2"/>
        <v>190</v>
      </c>
      <c r="V16" s="13">
        <f t="shared" si="1"/>
        <v>3942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69"/>
      <c r="R17" s="19"/>
      <c r="S17" s="19"/>
      <c r="T17" s="69"/>
      <c r="U17" s="69"/>
      <c r="V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69"/>
      <c r="R18" s="19"/>
      <c r="S18" s="19"/>
      <c r="T18" s="69"/>
      <c r="U18" s="69"/>
      <c r="V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95.0</v>
      </c>
      <c r="G19" s="19">
        <v>88.0</v>
      </c>
      <c r="H19" s="19">
        <v>91.0</v>
      </c>
      <c r="I19" s="19">
        <v>111.0</v>
      </c>
      <c r="J19" s="19">
        <v>115.0</v>
      </c>
      <c r="K19" s="19">
        <v>109.0</v>
      </c>
      <c r="L19" s="19">
        <v>118.0</v>
      </c>
      <c r="M19" s="19">
        <v>99.0</v>
      </c>
      <c r="N19" s="19">
        <v>92.0</v>
      </c>
      <c r="O19" s="19">
        <v>93.0</v>
      </c>
      <c r="P19" s="19">
        <v>67.0</v>
      </c>
      <c r="Q19" s="19">
        <v>102.0</v>
      </c>
      <c r="R19" s="19">
        <v>85.0</v>
      </c>
      <c r="S19" s="19">
        <v>76.0</v>
      </c>
      <c r="T19" s="19">
        <v>94.0</v>
      </c>
      <c r="U19" s="19">
        <v>82.0</v>
      </c>
      <c r="V19" s="13">
        <f t="shared" ref="V19:V30" si="3">SUM(E19:U19)</f>
        <v>1609</v>
      </c>
    </row>
    <row r="20" ht="12.75" customHeight="1">
      <c r="A20" s="33"/>
      <c r="B20" s="27"/>
      <c r="C20" s="34"/>
      <c r="D20" s="19" t="s">
        <v>13</v>
      </c>
      <c r="E20" s="19">
        <v>83.0</v>
      </c>
      <c r="F20" s="19">
        <v>86.0</v>
      </c>
      <c r="G20" s="19">
        <v>94.0</v>
      </c>
      <c r="H20" s="19">
        <v>97.0</v>
      </c>
      <c r="I20" s="19">
        <v>104.0</v>
      </c>
      <c r="J20" s="19">
        <v>107.0</v>
      </c>
      <c r="K20" s="19">
        <v>107.0</v>
      </c>
      <c r="L20" s="19">
        <v>117.0</v>
      </c>
      <c r="M20" s="19">
        <v>98.0</v>
      </c>
      <c r="N20" s="19">
        <v>94.0</v>
      </c>
      <c r="O20" s="19">
        <v>97.0</v>
      </c>
      <c r="P20" s="19">
        <v>77.0</v>
      </c>
      <c r="Q20" s="19">
        <v>103.0</v>
      </c>
      <c r="R20" s="19">
        <v>87.0</v>
      </c>
      <c r="S20" s="19">
        <v>76.0</v>
      </c>
      <c r="T20" s="19">
        <v>86.0</v>
      </c>
      <c r="U20" s="19">
        <v>77.0</v>
      </c>
      <c r="V20" s="13">
        <f t="shared" si="3"/>
        <v>1590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175</v>
      </c>
      <c r="F21" s="13">
        <f t="shared" si="4"/>
        <v>181</v>
      </c>
      <c r="G21" s="13">
        <f t="shared" si="4"/>
        <v>182</v>
      </c>
      <c r="H21" s="13">
        <f t="shared" si="4"/>
        <v>188</v>
      </c>
      <c r="I21" s="13">
        <f t="shared" si="4"/>
        <v>215</v>
      </c>
      <c r="J21" s="13">
        <f t="shared" si="4"/>
        <v>222</v>
      </c>
      <c r="K21" s="13">
        <f t="shared" si="4"/>
        <v>216</v>
      </c>
      <c r="L21" s="13">
        <f t="shared" si="4"/>
        <v>235</v>
      </c>
      <c r="M21" s="13">
        <f t="shared" si="4"/>
        <v>197</v>
      </c>
      <c r="N21" s="13">
        <f t="shared" si="4"/>
        <v>186</v>
      </c>
      <c r="O21" s="13">
        <f t="shared" si="4"/>
        <v>190</v>
      </c>
      <c r="P21" s="13">
        <f t="shared" si="4"/>
        <v>144</v>
      </c>
      <c r="Q21" s="13">
        <f t="shared" si="4"/>
        <v>205</v>
      </c>
      <c r="R21" s="13">
        <f t="shared" si="4"/>
        <v>172</v>
      </c>
      <c r="S21" s="13">
        <f t="shared" si="4"/>
        <v>152</v>
      </c>
      <c r="T21" s="13">
        <f t="shared" si="4"/>
        <v>180</v>
      </c>
      <c r="U21" s="13">
        <f t="shared" si="4"/>
        <v>159</v>
      </c>
      <c r="V21" s="13">
        <f t="shared" si="3"/>
        <v>3199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9">
        <v>0.0</v>
      </c>
      <c r="L22" s="19">
        <v>0.0</v>
      </c>
      <c r="M22" s="19">
        <v>2.0</v>
      </c>
      <c r="N22" s="19">
        <v>0.0</v>
      </c>
      <c r="O22" s="19">
        <v>1.0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1.0</v>
      </c>
      <c r="L23" s="19">
        <v>0.0</v>
      </c>
      <c r="M23" s="19">
        <v>2.0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0</v>
      </c>
      <c r="M24" s="13">
        <f t="shared" si="5"/>
        <v>4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1.0</v>
      </c>
      <c r="R25" s="19">
        <v>0.0</v>
      </c>
      <c r="S25" s="19">
        <v>0.0</v>
      </c>
      <c r="T25" s="19">
        <v>0.0</v>
      </c>
      <c r="U25" s="19">
        <v>0.0</v>
      </c>
      <c r="V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1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3"/>
        <v>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92</v>
      </c>
      <c r="F28" s="13">
        <f t="shared" si="7"/>
        <v>95</v>
      </c>
      <c r="G28" s="13">
        <f t="shared" si="7"/>
        <v>88</v>
      </c>
      <c r="H28" s="13">
        <f t="shared" si="7"/>
        <v>92</v>
      </c>
      <c r="I28" s="13">
        <f t="shared" si="7"/>
        <v>111</v>
      </c>
      <c r="J28" s="13">
        <f t="shared" si="7"/>
        <v>115</v>
      </c>
      <c r="K28" s="13">
        <f t="shared" si="7"/>
        <v>109</v>
      </c>
      <c r="L28" s="13">
        <f t="shared" si="7"/>
        <v>118</v>
      </c>
      <c r="M28" s="13">
        <f t="shared" si="7"/>
        <v>101</v>
      </c>
      <c r="N28" s="13">
        <f t="shared" si="7"/>
        <v>92</v>
      </c>
      <c r="O28" s="13">
        <f t="shared" si="7"/>
        <v>94</v>
      </c>
      <c r="P28" s="13">
        <f t="shared" si="7"/>
        <v>67</v>
      </c>
      <c r="Q28" s="13">
        <f t="shared" si="7"/>
        <v>104</v>
      </c>
      <c r="R28" s="13">
        <f t="shared" si="7"/>
        <v>85</v>
      </c>
      <c r="S28" s="13">
        <f t="shared" si="7"/>
        <v>76</v>
      </c>
      <c r="T28" s="13">
        <f t="shared" si="7"/>
        <v>94</v>
      </c>
      <c r="U28" s="13">
        <f t="shared" si="7"/>
        <v>82</v>
      </c>
      <c r="V28" s="13">
        <f t="shared" si="3"/>
        <v>1615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83</v>
      </c>
      <c r="F29" s="13">
        <f t="shared" si="8"/>
        <v>86</v>
      </c>
      <c r="G29" s="13">
        <f t="shared" si="8"/>
        <v>94</v>
      </c>
      <c r="H29" s="13">
        <f t="shared" si="8"/>
        <v>97</v>
      </c>
      <c r="I29" s="13">
        <f t="shared" si="8"/>
        <v>104</v>
      </c>
      <c r="J29" s="13">
        <f t="shared" si="8"/>
        <v>108</v>
      </c>
      <c r="K29" s="13">
        <f t="shared" si="8"/>
        <v>108</v>
      </c>
      <c r="L29" s="13">
        <f t="shared" si="8"/>
        <v>117</v>
      </c>
      <c r="M29" s="13">
        <f t="shared" si="8"/>
        <v>100</v>
      </c>
      <c r="N29" s="13">
        <f t="shared" si="8"/>
        <v>95</v>
      </c>
      <c r="O29" s="13">
        <f t="shared" si="8"/>
        <v>97</v>
      </c>
      <c r="P29" s="13">
        <f t="shared" si="8"/>
        <v>77</v>
      </c>
      <c r="Q29" s="13">
        <f t="shared" si="8"/>
        <v>103</v>
      </c>
      <c r="R29" s="13">
        <f t="shared" si="8"/>
        <v>87</v>
      </c>
      <c r="S29" s="13">
        <f t="shared" si="8"/>
        <v>76</v>
      </c>
      <c r="T29" s="13">
        <f t="shared" si="8"/>
        <v>86</v>
      </c>
      <c r="U29" s="13">
        <f t="shared" si="8"/>
        <v>77</v>
      </c>
      <c r="V29" s="13">
        <f t="shared" si="3"/>
        <v>1595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175</v>
      </c>
      <c r="F30" s="13">
        <f t="shared" si="9"/>
        <v>181</v>
      </c>
      <c r="G30" s="13">
        <f t="shared" si="9"/>
        <v>182</v>
      </c>
      <c r="H30" s="13">
        <f t="shared" si="9"/>
        <v>189</v>
      </c>
      <c r="I30" s="13">
        <f t="shared" si="9"/>
        <v>215</v>
      </c>
      <c r="J30" s="13">
        <f t="shared" si="9"/>
        <v>223</v>
      </c>
      <c r="K30" s="13">
        <f t="shared" si="9"/>
        <v>217</v>
      </c>
      <c r="L30" s="13">
        <f t="shared" si="9"/>
        <v>235</v>
      </c>
      <c r="M30" s="13">
        <f t="shared" si="9"/>
        <v>201</v>
      </c>
      <c r="N30" s="13">
        <f t="shared" si="9"/>
        <v>187</v>
      </c>
      <c r="O30" s="13">
        <f t="shared" si="9"/>
        <v>191</v>
      </c>
      <c r="P30" s="13">
        <f t="shared" si="9"/>
        <v>144</v>
      </c>
      <c r="Q30" s="13">
        <f t="shared" si="9"/>
        <v>207</v>
      </c>
      <c r="R30" s="13">
        <f t="shared" si="9"/>
        <v>172</v>
      </c>
      <c r="S30" s="13">
        <f t="shared" si="9"/>
        <v>152</v>
      </c>
      <c r="T30" s="13">
        <f t="shared" si="9"/>
        <v>180</v>
      </c>
      <c r="U30" s="13">
        <f t="shared" si="9"/>
        <v>159</v>
      </c>
      <c r="V30" s="13">
        <f t="shared" si="3"/>
        <v>3210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69"/>
      <c r="R31" s="19"/>
      <c r="S31" s="19"/>
      <c r="T31" s="69"/>
      <c r="U31" s="69"/>
      <c r="V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1"/>
      <c r="O32" s="71"/>
      <c r="P32" s="71"/>
      <c r="Q32" s="71"/>
      <c r="R32" s="13"/>
      <c r="S32" s="13"/>
      <c r="T32" s="71"/>
      <c r="U32" s="71"/>
      <c r="V32" s="70"/>
    </row>
    <row r="33" ht="12.75" customHeight="1">
      <c r="A33" s="19">
        <v>1.0</v>
      </c>
      <c r="B33" s="20" t="s">
        <v>27</v>
      </c>
      <c r="C33" s="15"/>
      <c r="D33" s="16"/>
      <c r="E33" s="19">
        <v>221.0</v>
      </c>
      <c r="F33" s="19">
        <v>223.0</v>
      </c>
      <c r="G33" s="19">
        <v>230.0</v>
      </c>
      <c r="H33" s="19">
        <v>226.0</v>
      </c>
      <c r="I33" s="19">
        <v>262.0</v>
      </c>
      <c r="J33" s="19">
        <v>269.0</v>
      </c>
      <c r="K33" s="19">
        <v>261.0</v>
      </c>
      <c r="L33" s="19">
        <v>270.0</v>
      </c>
      <c r="M33" s="19">
        <v>263.0</v>
      </c>
      <c r="N33" s="19">
        <v>263.0</v>
      </c>
      <c r="O33" s="19">
        <v>264.0</v>
      </c>
      <c r="P33" s="19">
        <v>172.0</v>
      </c>
      <c r="Q33" s="19">
        <v>248.0</v>
      </c>
      <c r="R33" s="19">
        <v>223.0</v>
      </c>
      <c r="S33" s="19">
        <v>200.0</v>
      </c>
      <c r="T33" s="19">
        <v>219.0</v>
      </c>
      <c r="U33" s="19">
        <v>194.0</v>
      </c>
      <c r="V33" s="13">
        <f t="shared" ref="V33:V36" si="10">SUM(E33:U33)</f>
        <v>4008</v>
      </c>
    </row>
    <row r="34" ht="12.75" customHeight="1">
      <c r="A34" s="19">
        <v>2.0</v>
      </c>
      <c r="B34" s="20" t="s">
        <v>28</v>
      </c>
      <c r="C34" s="15"/>
      <c r="D34" s="16"/>
      <c r="E34" s="13">
        <v>175.0</v>
      </c>
      <c r="F34" s="13">
        <v>181.0</v>
      </c>
      <c r="G34" s="13">
        <v>182.0</v>
      </c>
      <c r="H34" s="13">
        <v>189.0</v>
      </c>
      <c r="I34" s="13">
        <v>215.0</v>
      </c>
      <c r="J34" s="13">
        <v>223.0</v>
      </c>
      <c r="K34" s="13">
        <v>217.0</v>
      </c>
      <c r="L34" s="13">
        <v>235.0</v>
      </c>
      <c r="M34" s="13">
        <v>201.0</v>
      </c>
      <c r="N34" s="13">
        <v>187.0</v>
      </c>
      <c r="O34" s="13">
        <v>191.0</v>
      </c>
      <c r="P34" s="13">
        <v>144.0</v>
      </c>
      <c r="Q34" s="13">
        <v>207.0</v>
      </c>
      <c r="R34" s="13">
        <v>172.0</v>
      </c>
      <c r="S34" s="13">
        <v>152.0</v>
      </c>
      <c r="T34" s="13">
        <v>180.0</v>
      </c>
      <c r="U34" s="13">
        <v>159.0</v>
      </c>
      <c r="V34" s="13">
        <f t="shared" si="10"/>
        <v>3210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2.0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46</v>
      </c>
      <c r="F36" s="13">
        <f t="shared" si="11"/>
        <v>40</v>
      </c>
      <c r="G36" s="13">
        <f t="shared" si="11"/>
        <v>48</v>
      </c>
      <c r="H36" s="13">
        <f t="shared" si="11"/>
        <v>37</v>
      </c>
      <c r="I36" s="13">
        <f t="shared" si="11"/>
        <v>47</v>
      </c>
      <c r="J36" s="13">
        <f t="shared" si="11"/>
        <v>46</v>
      </c>
      <c r="K36" s="13">
        <f t="shared" si="11"/>
        <v>44</v>
      </c>
      <c r="L36" s="13">
        <f t="shared" si="11"/>
        <v>35</v>
      </c>
      <c r="M36" s="13">
        <f t="shared" si="11"/>
        <v>62</v>
      </c>
      <c r="N36" s="13">
        <f t="shared" si="11"/>
        <v>76</v>
      </c>
      <c r="O36" s="13">
        <f t="shared" si="11"/>
        <v>73</v>
      </c>
      <c r="P36" s="13">
        <f t="shared" si="11"/>
        <v>28</v>
      </c>
      <c r="Q36" s="13">
        <f t="shared" si="11"/>
        <v>41</v>
      </c>
      <c r="R36" s="13">
        <f t="shared" si="11"/>
        <v>51</v>
      </c>
      <c r="S36" s="13">
        <f t="shared" si="11"/>
        <v>48</v>
      </c>
      <c r="T36" s="13">
        <f t="shared" si="11"/>
        <v>39</v>
      </c>
      <c r="U36" s="13">
        <f t="shared" si="11"/>
        <v>35</v>
      </c>
      <c r="V36" s="13">
        <f t="shared" si="10"/>
        <v>796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9"/>
      <c r="O37" s="75"/>
      <c r="P37" s="75"/>
      <c r="Q37" s="75"/>
      <c r="R37" s="19"/>
      <c r="S37" s="19"/>
      <c r="T37" s="69"/>
      <c r="U37" s="75"/>
      <c r="V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1"/>
      <c r="O38" s="71"/>
      <c r="P38" s="71"/>
      <c r="Q38" s="71"/>
      <c r="R38" s="13"/>
      <c r="S38" s="13"/>
      <c r="T38" s="71"/>
      <c r="U38" s="71"/>
      <c r="V38" s="70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>
        <v>2.0</v>
      </c>
      <c r="V39" s="13">
        <f t="shared" ref="V39:V41" si="12">SUM(E39:U39)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69"/>
      <c r="Q42" s="19"/>
      <c r="R42" s="19"/>
      <c r="S42" s="19"/>
      <c r="T42" s="69"/>
      <c r="U42" s="19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1"/>
      <c r="O43" s="13"/>
      <c r="P43" s="71"/>
      <c r="Q43" s="13"/>
      <c r="R43" s="13"/>
      <c r="S43" s="13"/>
      <c r="T43" s="71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69"/>
      <c r="Q44" s="19"/>
      <c r="R44" s="19"/>
      <c r="S44" s="19"/>
      <c r="T44" s="69"/>
      <c r="U44" s="19"/>
      <c r="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4.0</v>
      </c>
      <c r="G45" s="19">
        <v>5.0</v>
      </c>
      <c r="H45" s="19">
        <v>10.0</v>
      </c>
      <c r="I45" s="19">
        <v>6.0</v>
      </c>
      <c r="J45" s="19">
        <v>4.0</v>
      </c>
      <c r="K45" s="19">
        <v>6.0</v>
      </c>
      <c r="L45" s="19">
        <v>7.0</v>
      </c>
      <c r="M45" s="19">
        <v>3.0</v>
      </c>
      <c r="N45" s="19">
        <v>6.0</v>
      </c>
      <c r="O45" s="19">
        <v>4.0</v>
      </c>
      <c r="P45" s="19">
        <v>5.0</v>
      </c>
      <c r="Q45" s="19">
        <v>4.0</v>
      </c>
      <c r="R45" s="19">
        <v>2.0</v>
      </c>
      <c r="S45" s="19">
        <v>2.0</v>
      </c>
      <c r="T45" s="19">
        <v>1.0</v>
      </c>
      <c r="U45" s="19">
        <v>0.0</v>
      </c>
      <c r="V45" s="13">
        <f t="shared" ref="V45:V52" si="14">SUM(E45:U45)</f>
        <v>77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19.0</v>
      </c>
      <c r="F46" s="19">
        <v>16.0</v>
      </c>
      <c r="G46" s="19">
        <v>14.0</v>
      </c>
      <c r="H46" s="19">
        <v>15.0</v>
      </c>
      <c r="I46" s="19">
        <v>44.0</v>
      </c>
      <c r="J46" s="19">
        <v>11.0</v>
      </c>
      <c r="K46" s="19">
        <v>21.0</v>
      </c>
      <c r="L46" s="19">
        <v>22.0</v>
      </c>
      <c r="M46" s="19">
        <v>8.0</v>
      </c>
      <c r="N46" s="19">
        <v>22.0</v>
      </c>
      <c r="O46" s="19">
        <v>12.0</v>
      </c>
      <c r="P46" s="19">
        <v>5.0</v>
      </c>
      <c r="Q46" s="19">
        <v>47.0</v>
      </c>
      <c r="R46" s="19">
        <v>22.0</v>
      </c>
      <c r="S46" s="19">
        <v>6.0</v>
      </c>
      <c r="T46" s="19">
        <v>2.0</v>
      </c>
      <c r="U46" s="19">
        <v>2.0</v>
      </c>
      <c r="V46" s="13">
        <f t="shared" si="14"/>
        <v>288</v>
      </c>
    </row>
    <row r="47" ht="12.75" customHeight="1">
      <c r="A47" s="18"/>
      <c r="B47" s="55">
        <v>2.0</v>
      </c>
      <c r="C47" s="50" t="s">
        <v>41</v>
      </c>
      <c r="D47" s="16"/>
      <c r="E47" s="19">
        <v>4.0</v>
      </c>
      <c r="F47" s="19">
        <v>2.0</v>
      </c>
      <c r="G47" s="19">
        <v>1.0</v>
      </c>
      <c r="H47" s="19">
        <v>3.0</v>
      </c>
      <c r="I47" s="19">
        <v>1.0</v>
      </c>
      <c r="J47" s="19">
        <v>0.0</v>
      </c>
      <c r="K47" s="19">
        <v>2.0</v>
      </c>
      <c r="L47" s="19">
        <v>2.0</v>
      </c>
      <c r="M47" s="19">
        <v>0.0</v>
      </c>
      <c r="N47" s="19">
        <v>2.0</v>
      </c>
      <c r="O47" s="19">
        <v>0.0</v>
      </c>
      <c r="P47" s="19">
        <v>0.0</v>
      </c>
      <c r="Q47" s="19">
        <v>0.0</v>
      </c>
      <c r="R47" s="19">
        <v>1.0</v>
      </c>
      <c r="S47" s="19">
        <v>0.0</v>
      </c>
      <c r="T47" s="19">
        <v>1.0</v>
      </c>
      <c r="U47" s="19">
        <v>0.0</v>
      </c>
      <c r="V47" s="13">
        <f t="shared" si="14"/>
        <v>19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1.0</v>
      </c>
      <c r="H48" s="19">
        <v>1.0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1.0</v>
      </c>
      <c r="P48" s="19">
        <v>0.0</v>
      </c>
      <c r="Q48" s="19">
        <v>1.0</v>
      </c>
      <c r="R48" s="19">
        <v>0.0</v>
      </c>
      <c r="S48" s="19">
        <v>0.0</v>
      </c>
      <c r="T48" s="19">
        <v>1.0</v>
      </c>
      <c r="U48" s="19">
        <v>0.0</v>
      </c>
      <c r="V48" s="13">
        <f t="shared" si="14"/>
        <v>6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1.0</v>
      </c>
      <c r="H49" s="19">
        <v>3.0</v>
      </c>
      <c r="I49" s="19">
        <v>0.0</v>
      </c>
      <c r="J49" s="19">
        <v>1.0</v>
      </c>
      <c r="K49" s="19">
        <v>3.0</v>
      </c>
      <c r="L49" s="19">
        <v>2.0</v>
      </c>
      <c r="M49" s="19">
        <v>0.0</v>
      </c>
      <c r="N49" s="19">
        <v>0.0</v>
      </c>
      <c r="O49" s="19">
        <v>1.0</v>
      </c>
      <c r="P49" s="19">
        <v>0.0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3">
        <f t="shared" si="14"/>
        <v>12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1.0</v>
      </c>
      <c r="L50" s="19">
        <v>0.0</v>
      </c>
      <c r="M50" s="19">
        <v>2.0</v>
      </c>
      <c r="N50" s="19">
        <v>0.0</v>
      </c>
      <c r="O50" s="19">
        <v>0.0</v>
      </c>
      <c r="P50" s="19">
        <v>0.0</v>
      </c>
      <c r="Q50" s="19">
        <v>2.0</v>
      </c>
      <c r="R50" s="19">
        <v>0.0</v>
      </c>
      <c r="S50" s="19">
        <v>0.0</v>
      </c>
      <c r="T50" s="19">
        <v>0.0</v>
      </c>
      <c r="U50" s="19">
        <v>0.0</v>
      </c>
      <c r="V50" s="13">
        <f t="shared" si="14"/>
        <v>5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1.0</v>
      </c>
      <c r="H51" s="19">
        <v>0.0</v>
      </c>
      <c r="I51" s="19">
        <v>0.0</v>
      </c>
      <c r="J51" s="19">
        <v>1.0</v>
      </c>
      <c r="K51" s="19">
        <v>0.0</v>
      </c>
      <c r="L51" s="19">
        <v>0.0</v>
      </c>
      <c r="M51" s="19">
        <v>0.0</v>
      </c>
      <c r="N51" s="19">
        <v>0.0</v>
      </c>
      <c r="O51" s="19">
        <v>3.0</v>
      </c>
      <c r="P51" s="19">
        <v>0.0</v>
      </c>
      <c r="Q51" s="19">
        <v>0.0</v>
      </c>
      <c r="R51" s="19">
        <v>0.0</v>
      </c>
      <c r="S51" s="19">
        <v>1.0</v>
      </c>
      <c r="T51" s="19">
        <v>0.0</v>
      </c>
      <c r="U51" s="19">
        <v>0.0</v>
      </c>
      <c r="V51" s="13">
        <f t="shared" si="14"/>
        <v>6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1.0</v>
      </c>
      <c r="P52" s="19">
        <v>1.0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3">
        <f t="shared" si="14"/>
        <v>3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V53" si="15">SUM(E45:E52)</f>
        <v>32</v>
      </c>
      <c r="F53" s="13">
        <f t="shared" si="15"/>
        <v>23</v>
      </c>
      <c r="G53" s="13">
        <f t="shared" si="15"/>
        <v>23</v>
      </c>
      <c r="H53" s="13">
        <f t="shared" si="15"/>
        <v>33</v>
      </c>
      <c r="I53" s="13">
        <f t="shared" si="15"/>
        <v>51</v>
      </c>
      <c r="J53" s="13">
        <f t="shared" si="15"/>
        <v>17</v>
      </c>
      <c r="K53" s="13">
        <f t="shared" si="15"/>
        <v>33</v>
      </c>
      <c r="L53" s="13">
        <f t="shared" si="15"/>
        <v>33</v>
      </c>
      <c r="M53" s="13">
        <f t="shared" si="15"/>
        <v>13</v>
      </c>
      <c r="N53" s="13">
        <f t="shared" si="15"/>
        <v>30</v>
      </c>
      <c r="O53" s="13">
        <f t="shared" si="15"/>
        <v>22</v>
      </c>
      <c r="P53" s="13">
        <f t="shared" si="15"/>
        <v>11</v>
      </c>
      <c r="Q53" s="13">
        <f t="shared" si="15"/>
        <v>54</v>
      </c>
      <c r="R53" s="13">
        <f t="shared" si="15"/>
        <v>25</v>
      </c>
      <c r="S53" s="13">
        <f t="shared" si="15"/>
        <v>9</v>
      </c>
      <c r="T53" s="13">
        <f t="shared" si="15"/>
        <v>5</v>
      </c>
      <c r="U53" s="13">
        <f t="shared" si="15"/>
        <v>2</v>
      </c>
      <c r="V53" s="13">
        <f t="shared" si="15"/>
        <v>416</v>
      </c>
    </row>
    <row r="54" ht="12.75" customHeight="1">
      <c r="A54" s="45"/>
      <c r="B54" s="44"/>
      <c r="C54" s="44"/>
      <c r="D54" s="44"/>
      <c r="E54" s="44"/>
      <c r="V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7.0</v>
      </c>
      <c r="F55" s="19">
        <v>2.0</v>
      </c>
      <c r="G55" s="19">
        <v>4.0</v>
      </c>
      <c r="H55" s="19">
        <v>4.0</v>
      </c>
      <c r="I55" s="19">
        <v>2.0</v>
      </c>
      <c r="J55" s="19">
        <v>10.0</v>
      </c>
      <c r="K55" s="19">
        <v>3.0</v>
      </c>
      <c r="L55" s="19">
        <v>2.0</v>
      </c>
      <c r="M55" s="19">
        <v>5.0</v>
      </c>
      <c r="N55" s="19">
        <v>3.0</v>
      </c>
      <c r="O55" s="19">
        <v>10.0</v>
      </c>
      <c r="P55" s="19">
        <v>5.0</v>
      </c>
      <c r="Q55" s="19">
        <v>2.0</v>
      </c>
      <c r="R55" s="19">
        <v>3.0</v>
      </c>
      <c r="S55" s="19">
        <v>2.0</v>
      </c>
      <c r="T55" s="19">
        <v>2.0</v>
      </c>
      <c r="U55" s="19">
        <v>5.0</v>
      </c>
      <c r="V55" s="13">
        <f t="shared" ref="V55:V62" si="16">SUM(E55:U55)</f>
        <v>71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4.0</v>
      </c>
      <c r="F56" s="19">
        <v>0.0</v>
      </c>
      <c r="G56" s="19">
        <v>4.0</v>
      </c>
      <c r="H56" s="19">
        <v>3.0</v>
      </c>
      <c r="I56" s="19">
        <v>12.0</v>
      </c>
      <c r="J56" s="19">
        <v>30.0</v>
      </c>
      <c r="K56" s="19">
        <v>7.0</v>
      </c>
      <c r="L56" s="19">
        <v>4.0</v>
      </c>
      <c r="M56" s="19">
        <v>8.0</v>
      </c>
      <c r="N56" s="19">
        <v>7.0</v>
      </c>
      <c r="O56" s="19">
        <v>15.0</v>
      </c>
      <c r="P56" s="19">
        <v>6.0</v>
      </c>
      <c r="Q56" s="19">
        <v>6.0</v>
      </c>
      <c r="R56" s="19">
        <v>3.0</v>
      </c>
      <c r="S56" s="19">
        <v>1.0</v>
      </c>
      <c r="T56" s="19">
        <v>0.0</v>
      </c>
      <c r="U56" s="19">
        <v>4.0</v>
      </c>
      <c r="V56" s="13">
        <f t="shared" si="16"/>
        <v>114</v>
      </c>
    </row>
    <row r="57" ht="12.75" customHeight="1">
      <c r="A57" s="18"/>
      <c r="B57" s="55">
        <v>2.0</v>
      </c>
      <c r="C57" s="50" t="s">
        <v>50</v>
      </c>
      <c r="D57" s="56"/>
      <c r="E57" s="19">
        <v>1.0</v>
      </c>
      <c r="F57" s="19">
        <v>0.0</v>
      </c>
      <c r="G57" s="19">
        <v>1.0</v>
      </c>
      <c r="H57" s="19">
        <v>1.0</v>
      </c>
      <c r="I57" s="19">
        <v>5.0</v>
      </c>
      <c r="J57" s="19">
        <v>6.0</v>
      </c>
      <c r="K57" s="19">
        <v>1.0</v>
      </c>
      <c r="L57" s="19">
        <v>3.0</v>
      </c>
      <c r="M57" s="19">
        <v>2.0</v>
      </c>
      <c r="N57" s="19">
        <v>2.0</v>
      </c>
      <c r="O57" s="19">
        <v>5.0</v>
      </c>
      <c r="P57" s="19">
        <v>0.0</v>
      </c>
      <c r="Q57" s="19">
        <v>2.0</v>
      </c>
      <c r="R57" s="19">
        <v>0.0</v>
      </c>
      <c r="S57" s="19">
        <v>0.0</v>
      </c>
      <c r="T57" s="19">
        <v>0.0</v>
      </c>
      <c r="U57" s="19">
        <v>3.0</v>
      </c>
      <c r="V57" s="13">
        <f t="shared" si="16"/>
        <v>32</v>
      </c>
    </row>
    <row r="58" ht="12.75" customHeight="1">
      <c r="A58" s="18"/>
      <c r="B58" s="55">
        <v>3.0</v>
      </c>
      <c r="C58" s="50" t="s">
        <v>51</v>
      </c>
      <c r="D58" s="56"/>
      <c r="E58" s="19">
        <v>2.0</v>
      </c>
      <c r="F58" s="19">
        <v>1.0</v>
      </c>
      <c r="G58" s="19">
        <v>1.0</v>
      </c>
      <c r="H58" s="19">
        <v>1.0</v>
      </c>
      <c r="I58" s="19">
        <v>1.0</v>
      </c>
      <c r="J58" s="19">
        <v>1.0</v>
      </c>
      <c r="K58" s="19">
        <v>0.0</v>
      </c>
      <c r="L58" s="19">
        <v>2.0</v>
      </c>
      <c r="M58" s="19">
        <v>1.0</v>
      </c>
      <c r="N58" s="19">
        <v>2.0</v>
      </c>
      <c r="O58" s="19">
        <v>0.0</v>
      </c>
      <c r="P58" s="19">
        <v>0.0</v>
      </c>
      <c r="Q58" s="19">
        <v>0.0</v>
      </c>
      <c r="R58" s="19">
        <v>0.0</v>
      </c>
      <c r="S58" s="19">
        <v>2.0</v>
      </c>
      <c r="T58" s="19">
        <v>0.0</v>
      </c>
      <c r="U58" s="19">
        <v>0.0</v>
      </c>
      <c r="V58" s="13">
        <f t="shared" si="16"/>
        <v>14</v>
      </c>
    </row>
    <row r="59" ht="12.75" customHeight="1">
      <c r="A59" s="18"/>
      <c r="B59" s="55">
        <v>4.0</v>
      </c>
      <c r="C59" s="50" t="s">
        <v>52</v>
      </c>
      <c r="D59" s="56"/>
      <c r="E59" s="19">
        <v>1.0</v>
      </c>
      <c r="F59" s="19">
        <v>0.0</v>
      </c>
      <c r="G59" s="19">
        <v>0.0</v>
      </c>
      <c r="H59" s="19">
        <v>1.0</v>
      </c>
      <c r="I59" s="19">
        <v>0.0</v>
      </c>
      <c r="J59" s="19">
        <v>3.0</v>
      </c>
      <c r="K59" s="19">
        <v>2.0</v>
      </c>
      <c r="L59" s="19">
        <v>0.0</v>
      </c>
      <c r="M59" s="19">
        <v>0.0</v>
      </c>
      <c r="N59" s="19">
        <v>4.0</v>
      </c>
      <c r="O59" s="19">
        <v>1.0</v>
      </c>
      <c r="P59" s="19">
        <v>5.0</v>
      </c>
      <c r="Q59" s="19">
        <v>3.0</v>
      </c>
      <c r="R59" s="19">
        <v>0.0</v>
      </c>
      <c r="S59" s="19">
        <v>0.0</v>
      </c>
      <c r="T59" s="19">
        <v>0.0</v>
      </c>
      <c r="U59" s="19">
        <v>0.0</v>
      </c>
      <c r="V59" s="13">
        <f t="shared" si="16"/>
        <v>20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2.0</v>
      </c>
      <c r="K60" s="19">
        <v>0.0</v>
      </c>
      <c r="L60" s="19">
        <v>1.0</v>
      </c>
      <c r="M60" s="19">
        <v>0.0</v>
      </c>
      <c r="N60" s="19">
        <v>0.0</v>
      </c>
      <c r="O60" s="19">
        <v>1.0</v>
      </c>
      <c r="P60" s="19">
        <v>1.0</v>
      </c>
      <c r="Q60" s="19">
        <v>0.0</v>
      </c>
      <c r="R60" s="19">
        <v>0.0</v>
      </c>
      <c r="S60" s="19">
        <v>0.0</v>
      </c>
      <c r="T60" s="19">
        <v>0.0</v>
      </c>
      <c r="U60" s="19">
        <v>0.0</v>
      </c>
      <c r="V60" s="13">
        <f t="shared" si="16"/>
        <v>5</v>
      </c>
    </row>
    <row r="61" ht="12.75" customHeight="1">
      <c r="A61" s="18"/>
      <c r="B61" s="55">
        <v>6.0</v>
      </c>
      <c r="C61" s="50" t="s">
        <v>54</v>
      </c>
      <c r="D61" s="57"/>
      <c r="E61" s="19">
        <v>0.0</v>
      </c>
      <c r="F61" s="19">
        <v>0.0</v>
      </c>
      <c r="G61" s="19">
        <v>0.0</v>
      </c>
      <c r="H61" s="19">
        <v>0.0</v>
      </c>
      <c r="I61" s="19">
        <v>0.0</v>
      </c>
      <c r="J61" s="19">
        <v>1.0</v>
      </c>
      <c r="K61" s="19">
        <v>0.0</v>
      </c>
      <c r="L61" s="19">
        <v>0.0</v>
      </c>
      <c r="M61" s="19">
        <v>1.0</v>
      </c>
      <c r="N61" s="19">
        <v>1.0</v>
      </c>
      <c r="O61" s="19">
        <v>0.0</v>
      </c>
      <c r="P61" s="19">
        <v>0.0</v>
      </c>
      <c r="Q61" s="19">
        <v>1.0</v>
      </c>
      <c r="R61" s="19">
        <v>0.0</v>
      </c>
      <c r="S61" s="19">
        <v>0.0</v>
      </c>
      <c r="T61" s="19">
        <v>0.0</v>
      </c>
      <c r="U61" s="19">
        <v>0.0</v>
      </c>
      <c r="V61" s="13">
        <f t="shared" si="16"/>
        <v>4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1.0</v>
      </c>
      <c r="G62" s="19">
        <v>0.0</v>
      </c>
      <c r="H62" s="19">
        <v>1.0</v>
      </c>
      <c r="I62" s="19">
        <v>0.0</v>
      </c>
      <c r="J62" s="19">
        <v>0.0</v>
      </c>
      <c r="K62" s="19">
        <v>0.0</v>
      </c>
      <c r="L62" s="19">
        <v>1.0</v>
      </c>
      <c r="M62" s="19">
        <v>0.0</v>
      </c>
      <c r="N62" s="19">
        <v>0.0</v>
      </c>
      <c r="O62" s="19">
        <v>0.0</v>
      </c>
      <c r="P62" s="19">
        <v>0.0</v>
      </c>
      <c r="Q62" s="19">
        <v>1.0</v>
      </c>
      <c r="R62" s="19">
        <v>1.0</v>
      </c>
      <c r="S62" s="19">
        <v>0.0</v>
      </c>
      <c r="T62" s="19">
        <v>0.0</v>
      </c>
      <c r="U62" s="19">
        <v>0.0</v>
      </c>
      <c r="V62" s="13">
        <f t="shared" si="16"/>
        <v>5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V63" si="17">SUM(E55:E62)</f>
        <v>15</v>
      </c>
      <c r="F63" s="13">
        <f t="shared" si="17"/>
        <v>4</v>
      </c>
      <c r="G63" s="13">
        <f t="shared" si="17"/>
        <v>10</v>
      </c>
      <c r="H63" s="13">
        <f t="shared" si="17"/>
        <v>11</v>
      </c>
      <c r="I63" s="13">
        <f t="shared" si="17"/>
        <v>20</v>
      </c>
      <c r="J63" s="13">
        <f t="shared" si="17"/>
        <v>53</v>
      </c>
      <c r="K63" s="13">
        <f t="shared" si="17"/>
        <v>13</v>
      </c>
      <c r="L63" s="13">
        <f t="shared" si="17"/>
        <v>13</v>
      </c>
      <c r="M63" s="13">
        <f t="shared" si="17"/>
        <v>17</v>
      </c>
      <c r="N63" s="13">
        <f t="shared" si="17"/>
        <v>19</v>
      </c>
      <c r="O63" s="13">
        <f t="shared" si="17"/>
        <v>32</v>
      </c>
      <c r="P63" s="13">
        <f t="shared" si="17"/>
        <v>17</v>
      </c>
      <c r="Q63" s="13">
        <f t="shared" si="17"/>
        <v>15</v>
      </c>
      <c r="R63" s="13">
        <f t="shared" si="17"/>
        <v>7</v>
      </c>
      <c r="S63" s="13">
        <f t="shared" si="17"/>
        <v>5</v>
      </c>
      <c r="T63" s="13">
        <f t="shared" si="17"/>
        <v>2</v>
      </c>
      <c r="U63" s="13">
        <f t="shared" si="17"/>
        <v>12</v>
      </c>
      <c r="V63" s="13">
        <f t="shared" si="17"/>
        <v>265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6.0</v>
      </c>
      <c r="F65" s="19">
        <v>11.0</v>
      </c>
      <c r="G65" s="19">
        <v>9.0</v>
      </c>
      <c r="H65" s="19">
        <v>2.0</v>
      </c>
      <c r="I65" s="19">
        <v>5.0</v>
      </c>
      <c r="J65" s="19">
        <v>6.0</v>
      </c>
      <c r="K65" s="19">
        <v>8.0</v>
      </c>
      <c r="L65" s="19">
        <v>5.0</v>
      </c>
      <c r="M65" s="19">
        <v>5.0</v>
      </c>
      <c r="N65" s="19">
        <v>15.0</v>
      </c>
      <c r="O65" s="19">
        <v>8.0</v>
      </c>
      <c r="P65" s="19">
        <v>6.0</v>
      </c>
      <c r="Q65" s="19">
        <v>4.0</v>
      </c>
      <c r="R65" s="19">
        <v>3.0</v>
      </c>
      <c r="S65" s="19">
        <v>0.0</v>
      </c>
      <c r="T65" s="19">
        <v>5.0</v>
      </c>
      <c r="U65" s="19">
        <v>4.0</v>
      </c>
      <c r="V65" s="13">
        <f t="shared" ref="V65:V72" si="18">SUM(E65:U65)</f>
        <v>102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8.0</v>
      </c>
      <c r="F66" s="19">
        <v>13.0</v>
      </c>
      <c r="G66" s="19">
        <v>15.0</v>
      </c>
      <c r="H66" s="19">
        <v>3.0</v>
      </c>
      <c r="I66" s="19">
        <v>3.0</v>
      </c>
      <c r="J66" s="19">
        <v>4.0</v>
      </c>
      <c r="K66" s="19">
        <v>11.0</v>
      </c>
      <c r="L66" s="19">
        <v>2.0</v>
      </c>
      <c r="M66" s="19">
        <v>7.0</v>
      </c>
      <c r="N66" s="19">
        <v>6.0</v>
      </c>
      <c r="O66" s="19">
        <v>4.0</v>
      </c>
      <c r="P66" s="19">
        <v>6.0</v>
      </c>
      <c r="Q66" s="19">
        <v>3.0</v>
      </c>
      <c r="R66" s="19">
        <v>4.0</v>
      </c>
      <c r="S66" s="19">
        <v>1.0</v>
      </c>
      <c r="T66" s="19">
        <v>1.0</v>
      </c>
      <c r="U66" s="19">
        <v>0.0</v>
      </c>
      <c r="V66" s="13">
        <f t="shared" si="18"/>
        <v>91</v>
      </c>
    </row>
    <row r="67" ht="12.75" customHeight="1">
      <c r="A67" s="18"/>
      <c r="B67" s="55">
        <v>2.0</v>
      </c>
      <c r="C67" s="50" t="s">
        <v>58</v>
      </c>
      <c r="D67" s="57"/>
      <c r="E67" s="19">
        <v>0.0</v>
      </c>
      <c r="F67" s="19">
        <v>1.0</v>
      </c>
      <c r="G67" s="19">
        <v>4.0</v>
      </c>
      <c r="H67" s="19">
        <v>1.0</v>
      </c>
      <c r="I67" s="19">
        <v>1.0</v>
      </c>
      <c r="J67" s="19">
        <v>0.0</v>
      </c>
      <c r="K67" s="19">
        <v>0.0</v>
      </c>
      <c r="L67" s="19">
        <v>1.0</v>
      </c>
      <c r="M67" s="19">
        <v>5.0</v>
      </c>
      <c r="N67" s="19">
        <v>8.0</v>
      </c>
      <c r="O67" s="19">
        <v>34.0</v>
      </c>
      <c r="P67" s="19">
        <v>12.0</v>
      </c>
      <c r="Q67" s="19">
        <v>0.0</v>
      </c>
      <c r="R67" s="19">
        <v>1.0</v>
      </c>
      <c r="S67" s="19">
        <v>0.0</v>
      </c>
      <c r="T67" s="19">
        <v>0.0</v>
      </c>
      <c r="U67" s="19">
        <v>2.0</v>
      </c>
      <c r="V67" s="13">
        <f t="shared" si="18"/>
        <v>70</v>
      </c>
    </row>
    <row r="68" ht="12.75" customHeight="1">
      <c r="A68" s="18"/>
      <c r="B68" s="55">
        <v>3.0</v>
      </c>
      <c r="C68" s="50" t="s">
        <v>59</v>
      </c>
      <c r="D68" s="57"/>
      <c r="E68" s="19">
        <v>23.0</v>
      </c>
      <c r="F68" s="19">
        <v>51.0</v>
      </c>
      <c r="G68" s="19">
        <v>2.0</v>
      </c>
      <c r="H68" s="19">
        <v>5.0</v>
      </c>
      <c r="I68" s="19">
        <v>3.0</v>
      </c>
      <c r="J68" s="19">
        <v>4.0</v>
      </c>
      <c r="K68" s="19">
        <v>10.0</v>
      </c>
      <c r="L68" s="19">
        <v>23.0</v>
      </c>
      <c r="M68" s="19">
        <v>24.0</v>
      </c>
      <c r="N68" s="19">
        <v>8.0</v>
      </c>
      <c r="O68" s="19">
        <v>5.0</v>
      </c>
      <c r="P68" s="19">
        <v>2.0</v>
      </c>
      <c r="Q68" s="19">
        <v>1.0</v>
      </c>
      <c r="R68" s="19">
        <v>1.0</v>
      </c>
      <c r="S68" s="19">
        <v>0.0</v>
      </c>
      <c r="T68" s="19">
        <v>0.0</v>
      </c>
      <c r="U68" s="19">
        <v>22.0</v>
      </c>
      <c r="V68" s="13">
        <f t="shared" si="18"/>
        <v>184</v>
      </c>
    </row>
    <row r="69" ht="12.75" customHeight="1">
      <c r="A69" s="18"/>
      <c r="B69" s="55">
        <v>4.0</v>
      </c>
      <c r="C69" s="50" t="s">
        <v>60</v>
      </c>
      <c r="D69" s="57"/>
      <c r="E69" s="19">
        <v>0.0</v>
      </c>
      <c r="F69" s="19">
        <v>4.0</v>
      </c>
      <c r="G69" s="19">
        <v>4.0</v>
      </c>
      <c r="H69" s="19">
        <v>0.0</v>
      </c>
      <c r="I69" s="19">
        <v>3.0</v>
      </c>
      <c r="J69" s="19">
        <v>4.0</v>
      </c>
      <c r="K69" s="19">
        <v>1.0</v>
      </c>
      <c r="L69" s="19">
        <v>1.0</v>
      </c>
      <c r="M69" s="19">
        <v>3.0</v>
      </c>
      <c r="N69" s="19">
        <v>2.0</v>
      </c>
      <c r="O69" s="19">
        <v>3.0</v>
      </c>
      <c r="P69" s="19">
        <v>1.0</v>
      </c>
      <c r="Q69" s="19">
        <v>3.0</v>
      </c>
      <c r="R69" s="19">
        <v>0.0</v>
      </c>
      <c r="S69" s="19">
        <v>0.0</v>
      </c>
      <c r="T69" s="19">
        <v>1.0</v>
      </c>
      <c r="U69" s="19">
        <v>0.0</v>
      </c>
      <c r="V69" s="13">
        <f t="shared" si="18"/>
        <v>30</v>
      </c>
    </row>
    <row r="70" ht="12.75" customHeight="1">
      <c r="A70" s="18"/>
      <c r="B70" s="55">
        <v>5.0</v>
      </c>
      <c r="C70" s="50" t="s">
        <v>61</v>
      </c>
      <c r="D70" s="57"/>
      <c r="E70" s="19">
        <v>2.0</v>
      </c>
      <c r="F70" s="19">
        <v>1.0</v>
      </c>
      <c r="G70" s="19">
        <v>1.0</v>
      </c>
      <c r="H70" s="19">
        <v>2.0</v>
      </c>
      <c r="I70" s="19">
        <v>2.0</v>
      </c>
      <c r="J70" s="19">
        <v>0.0</v>
      </c>
      <c r="K70" s="19">
        <v>2.0</v>
      </c>
      <c r="L70" s="19">
        <v>4.0</v>
      </c>
      <c r="M70" s="19">
        <v>2.0</v>
      </c>
      <c r="N70" s="19">
        <v>2.0</v>
      </c>
      <c r="O70" s="19">
        <v>1.0</v>
      </c>
      <c r="P70" s="19">
        <v>0.0</v>
      </c>
      <c r="Q70" s="19">
        <v>11.0</v>
      </c>
      <c r="R70" s="19">
        <v>8.0</v>
      </c>
      <c r="S70" s="19">
        <v>0.0</v>
      </c>
      <c r="T70" s="19">
        <v>0.0</v>
      </c>
      <c r="U70" s="19">
        <v>0.0</v>
      </c>
      <c r="V70" s="13">
        <f t="shared" si="18"/>
        <v>38</v>
      </c>
    </row>
    <row r="71" ht="12.75" customHeight="1">
      <c r="A71" s="18"/>
      <c r="B71" s="55">
        <v>6.0</v>
      </c>
      <c r="C71" s="50" t="s">
        <v>62</v>
      </c>
      <c r="D71" s="57"/>
      <c r="E71" s="19">
        <v>1.0</v>
      </c>
      <c r="F71" s="19">
        <v>2.0</v>
      </c>
      <c r="G71" s="19">
        <v>0.0</v>
      </c>
      <c r="H71" s="19">
        <v>2.0</v>
      </c>
      <c r="I71" s="19">
        <v>2.0</v>
      </c>
      <c r="J71" s="19">
        <v>0.0</v>
      </c>
      <c r="K71" s="19">
        <v>1.0</v>
      </c>
      <c r="L71" s="19">
        <v>1.0</v>
      </c>
      <c r="M71" s="19">
        <v>2.0</v>
      </c>
      <c r="N71" s="19">
        <v>1.0</v>
      </c>
      <c r="O71" s="19">
        <v>0.0</v>
      </c>
      <c r="P71" s="19">
        <v>3.0</v>
      </c>
      <c r="Q71" s="19">
        <v>0.0</v>
      </c>
      <c r="R71" s="19">
        <v>1.0</v>
      </c>
      <c r="S71" s="19">
        <v>0.0</v>
      </c>
      <c r="T71" s="19">
        <v>0.0</v>
      </c>
      <c r="U71" s="19">
        <v>1.0</v>
      </c>
      <c r="V71" s="13">
        <f t="shared" si="18"/>
        <v>17</v>
      </c>
    </row>
    <row r="72" ht="12.75" customHeight="1">
      <c r="A72" s="18"/>
      <c r="B72" s="55">
        <v>7.0</v>
      </c>
      <c r="C72" s="50" t="s">
        <v>63</v>
      </c>
      <c r="D72" s="57"/>
      <c r="E72" s="19">
        <v>2.0</v>
      </c>
      <c r="F72" s="19">
        <v>2.0</v>
      </c>
      <c r="G72" s="19">
        <v>1.0</v>
      </c>
      <c r="H72" s="19">
        <v>3.0</v>
      </c>
      <c r="I72" s="19">
        <v>2.0</v>
      </c>
      <c r="J72" s="19">
        <v>2.0</v>
      </c>
      <c r="K72" s="19">
        <v>1.0</v>
      </c>
      <c r="L72" s="19">
        <v>6.0</v>
      </c>
      <c r="M72" s="19">
        <v>3.0</v>
      </c>
      <c r="N72" s="19">
        <v>2.0</v>
      </c>
      <c r="O72" s="19">
        <v>2.0</v>
      </c>
      <c r="P72" s="19">
        <v>0.0</v>
      </c>
      <c r="Q72" s="19">
        <v>6.0</v>
      </c>
      <c r="R72" s="19">
        <v>1.0</v>
      </c>
      <c r="S72" s="19">
        <v>2.0</v>
      </c>
      <c r="T72" s="19">
        <v>51.0</v>
      </c>
      <c r="U72" s="19">
        <v>23.0</v>
      </c>
      <c r="V72" s="13">
        <f t="shared" si="18"/>
        <v>109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V73" si="19">SUM(E65:E72)</f>
        <v>42</v>
      </c>
      <c r="F73" s="13">
        <f t="shared" si="19"/>
        <v>85</v>
      </c>
      <c r="G73" s="13">
        <f t="shared" si="19"/>
        <v>36</v>
      </c>
      <c r="H73" s="13">
        <f t="shared" si="19"/>
        <v>18</v>
      </c>
      <c r="I73" s="13">
        <f t="shared" si="19"/>
        <v>21</v>
      </c>
      <c r="J73" s="13">
        <f t="shared" si="19"/>
        <v>20</v>
      </c>
      <c r="K73" s="13">
        <f t="shared" si="19"/>
        <v>34</v>
      </c>
      <c r="L73" s="13">
        <f t="shared" si="19"/>
        <v>43</v>
      </c>
      <c r="M73" s="13">
        <f t="shared" si="19"/>
        <v>51</v>
      </c>
      <c r="N73" s="13">
        <f t="shared" si="19"/>
        <v>44</v>
      </c>
      <c r="O73" s="13">
        <f t="shared" si="19"/>
        <v>57</v>
      </c>
      <c r="P73" s="13">
        <f t="shared" si="19"/>
        <v>30</v>
      </c>
      <c r="Q73" s="13">
        <f t="shared" si="19"/>
        <v>28</v>
      </c>
      <c r="R73" s="13">
        <f t="shared" si="19"/>
        <v>19</v>
      </c>
      <c r="S73" s="13">
        <f t="shared" si="19"/>
        <v>3</v>
      </c>
      <c r="T73" s="13">
        <f t="shared" si="19"/>
        <v>58</v>
      </c>
      <c r="U73" s="13">
        <f t="shared" si="19"/>
        <v>52</v>
      </c>
      <c r="V73" s="13">
        <f t="shared" si="19"/>
        <v>641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3.0</v>
      </c>
      <c r="F75" s="19">
        <v>1.0</v>
      </c>
      <c r="G75" s="19">
        <v>2.0</v>
      </c>
      <c r="H75" s="19">
        <v>3.0</v>
      </c>
      <c r="I75" s="19">
        <v>3.0</v>
      </c>
      <c r="J75" s="19">
        <v>5.0</v>
      </c>
      <c r="K75" s="19">
        <v>4.0</v>
      </c>
      <c r="L75" s="19">
        <v>3.0</v>
      </c>
      <c r="M75" s="19">
        <v>7.0</v>
      </c>
      <c r="N75" s="19">
        <v>7.0</v>
      </c>
      <c r="O75" s="19">
        <v>2.0</v>
      </c>
      <c r="P75" s="19">
        <v>1.0</v>
      </c>
      <c r="Q75" s="19">
        <v>0.0</v>
      </c>
      <c r="R75" s="19">
        <v>1.0</v>
      </c>
      <c r="S75" s="19">
        <v>3.0</v>
      </c>
      <c r="T75" s="19">
        <v>3.0</v>
      </c>
      <c r="U75" s="19">
        <v>3.0</v>
      </c>
      <c r="V75" s="13">
        <f t="shared" ref="V75:V82" si="20">SUM(E75:U75)</f>
        <v>51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2.0</v>
      </c>
      <c r="F76" s="19">
        <v>0.0</v>
      </c>
      <c r="G76" s="19">
        <v>7.0</v>
      </c>
      <c r="H76" s="19">
        <v>2.0</v>
      </c>
      <c r="I76" s="19">
        <v>46.0</v>
      </c>
      <c r="J76" s="19">
        <v>13.0</v>
      </c>
      <c r="K76" s="19">
        <v>16.0</v>
      </c>
      <c r="L76" s="19">
        <v>50.0</v>
      </c>
      <c r="M76" s="19">
        <v>8.0</v>
      </c>
      <c r="N76" s="19">
        <v>11.0</v>
      </c>
      <c r="O76" s="19">
        <v>4.0</v>
      </c>
      <c r="P76" s="19">
        <v>4.0</v>
      </c>
      <c r="Q76" s="19">
        <v>2.0</v>
      </c>
      <c r="R76" s="19">
        <v>3.0</v>
      </c>
      <c r="S76" s="19">
        <v>4.0</v>
      </c>
      <c r="T76" s="19">
        <v>30.0</v>
      </c>
      <c r="U76" s="19">
        <v>21.0</v>
      </c>
      <c r="V76" s="13">
        <f t="shared" si="20"/>
        <v>223</v>
      </c>
    </row>
    <row r="77" ht="12.75" customHeight="1">
      <c r="A77" s="18"/>
      <c r="B77" s="55">
        <v>2.0</v>
      </c>
      <c r="C77" s="50" t="s">
        <v>66</v>
      </c>
      <c r="D77" s="57"/>
      <c r="E77" s="19">
        <v>0.0</v>
      </c>
      <c r="F77" s="19">
        <v>2.0</v>
      </c>
      <c r="G77" s="19">
        <v>5.0</v>
      </c>
      <c r="H77" s="19">
        <v>1.0</v>
      </c>
      <c r="I77" s="19">
        <v>1.0</v>
      </c>
      <c r="J77" s="19">
        <v>2.0</v>
      </c>
      <c r="K77" s="19">
        <v>2.0</v>
      </c>
      <c r="L77" s="19">
        <v>2.0</v>
      </c>
      <c r="M77" s="19">
        <v>6.0</v>
      </c>
      <c r="N77" s="19">
        <v>2.0</v>
      </c>
      <c r="O77" s="19">
        <v>4.0</v>
      </c>
      <c r="P77" s="19">
        <v>13.0</v>
      </c>
      <c r="Q77" s="19">
        <v>0.0</v>
      </c>
      <c r="R77" s="19">
        <v>8.0</v>
      </c>
      <c r="S77" s="19">
        <v>6.0</v>
      </c>
      <c r="T77" s="19">
        <v>3.0</v>
      </c>
      <c r="U77" s="19">
        <v>2.0</v>
      </c>
      <c r="V77" s="13">
        <f t="shared" si="20"/>
        <v>59</v>
      </c>
    </row>
    <row r="78" ht="12.75" customHeight="1">
      <c r="A78" s="18"/>
      <c r="B78" s="55">
        <v>3.0</v>
      </c>
      <c r="C78" s="50" t="s">
        <v>67</v>
      </c>
      <c r="D78" s="57"/>
      <c r="E78" s="19">
        <v>0.0</v>
      </c>
      <c r="F78" s="19">
        <v>0.0</v>
      </c>
      <c r="G78" s="19">
        <v>0.0</v>
      </c>
      <c r="H78" s="19">
        <v>1.0</v>
      </c>
      <c r="I78" s="19">
        <v>0.0</v>
      </c>
      <c r="J78" s="19">
        <v>0.0</v>
      </c>
      <c r="K78" s="19">
        <v>0.0</v>
      </c>
      <c r="L78" s="19">
        <v>1.0</v>
      </c>
      <c r="M78" s="19">
        <v>0.0</v>
      </c>
      <c r="N78" s="19">
        <v>0.0</v>
      </c>
      <c r="O78" s="19">
        <v>0.0</v>
      </c>
      <c r="P78" s="19">
        <v>1.0</v>
      </c>
      <c r="Q78" s="19">
        <v>0.0</v>
      </c>
      <c r="R78" s="19">
        <v>0.0</v>
      </c>
      <c r="S78" s="19">
        <v>0.0</v>
      </c>
      <c r="T78" s="19">
        <v>0.0</v>
      </c>
      <c r="U78" s="19">
        <v>1.0</v>
      </c>
      <c r="V78" s="13">
        <f t="shared" si="20"/>
        <v>4</v>
      </c>
    </row>
    <row r="79" ht="12.75" customHeight="1">
      <c r="A79" s="18"/>
      <c r="B79" s="55">
        <v>4.0</v>
      </c>
      <c r="C79" s="50" t="s">
        <v>68</v>
      </c>
      <c r="D79" s="57"/>
      <c r="E79" s="19">
        <v>1.0</v>
      </c>
      <c r="F79" s="19">
        <v>0.0</v>
      </c>
      <c r="G79" s="19">
        <v>1.0</v>
      </c>
      <c r="H79" s="19">
        <v>1.0</v>
      </c>
      <c r="I79" s="19">
        <v>0.0</v>
      </c>
      <c r="J79" s="19">
        <v>0.0</v>
      </c>
      <c r="K79" s="19">
        <v>0.0</v>
      </c>
      <c r="L79" s="19">
        <v>1.0</v>
      </c>
      <c r="M79" s="19">
        <v>0.0</v>
      </c>
      <c r="N79" s="19">
        <v>0.0</v>
      </c>
      <c r="O79" s="19">
        <v>1.0</v>
      </c>
      <c r="P79" s="19">
        <v>1.0</v>
      </c>
      <c r="Q79" s="19">
        <v>0.0</v>
      </c>
      <c r="R79" s="19">
        <v>0.0</v>
      </c>
      <c r="S79" s="19">
        <v>1.0</v>
      </c>
      <c r="T79" s="19">
        <v>1.0</v>
      </c>
      <c r="U79" s="19">
        <v>1.0</v>
      </c>
      <c r="V79" s="13">
        <f t="shared" si="20"/>
        <v>9</v>
      </c>
    </row>
    <row r="80" ht="12.75" customHeight="1">
      <c r="A80" s="18"/>
      <c r="B80" s="55">
        <v>5.0</v>
      </c>
      <c r="C80" s="50" t="s">
        <v>69</v>
      </c>
      <c r="D80" s="57"/>
      <c r="E80" s="19">
        <v>1.0</v>
      </c>
      <c r="F80" s="19">
        <v>0.0</v>
      </c>
      <c r="G80" s="19">
        <v>0.0</v>
      </c>
      <c r="H80" s="19">
        <v>4.0</v>
      </c>
      <c r="I80" s="19">
        <v>0.0</v>
      </c>
      <c r="J80" s="19">
        <v>1.0</v>
      </c>
      <c r="K80" s="19">
        <v>21.0</v>
      </c>
      <c r="L80" s="19">
        <v>33.0</v>
      </c>
      <c r="M80" s="19">
        <v>22.0</v>
      </c>
      <c r="N80" s="19">
        <v>6.0</v>
      </c>
      <c r="O80" s="19">
        <v>1.0</v>
      </c>
      <c r="P80" s="19">
        <v>1.0</v>
      </c>
      <c r="Q80" s="19">
        <v>0.0</v>
      </c>
      <c r="R80" s="19">
        <v>0.0</v>
      </c>
      <c r="S80" s="19">
        <v>1.0</v>
      </c>
      <c r="T80" s="19">
        <v>0.0</v>
      </c>
      <c r="U80" s="19">
        <v>0.0</v>
      </c>
      <c r="V80" s="13">
        <f t="shared" si="20"/>
        <v>91</v>
      </c>
    </row>
    <row r="81" ht="12.75" customHeight="1">
      <c r="A81" s="18"/>
      <c r="B81" s="55">
        <v>6.0</v>
      </c>
      <c r="C81" s="50" t="s">
        <v>70</v>
      </c>
      <c r="D81" s="57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0.0</v>
      </c>
      <c r="M81" s="19">
        <v>1.0</v>
      </c>
      <c r="N81" s="19">
        <v>0.0</v>
      </c>
      <c r="O81" s="19">
        <v>0.0</v>
      </c>
      <c r="P81" s="19">
        <v>0.0</v>
      </c>
      <c r="Q81" s="19">
        <v>0.0</v>
      </c>
      <c r="R81" s="19">
        <v>0.0</v>
      </c>
      <c r="S81" s="19">
        <v>0.0</v>
      </c>
      <c r="T81" s="19">
        <v>0.0</v>
      </c>
      <c r="U81" s="19">
        <v>0.0</v>
      </c>
      <c r="V81" s="13">
        <f t="shared" si="20"/>
        <v>1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1.0</v>
      </c>
      <c r="N82" s="19">
        <v>0.0</v>
      </c>
      <c r="O82" s="19">
        <v>0.0</v>
      </c>
      <c r="P82" s="19">
        <v>0.0</v>
      </c>
      <c r="Q82" s="19">
        <v>0.0</v>
      </c>
      <c r="R82" s="19">
        <v>2.0</v>
      </c>
      <c r="S82" s="19">
        <v>0.0</v>
      </c>
      <c r="T82" s="19">
        <v>0.0</v>
      </c>
      <c r="U82" s="19">
        <v>0.0</v>
      </c>
      <c r="V82" s="13">
        <f t="shared" si="20"/>
        <v>3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V83" si="21">SUM(E75:E82)</f>
        <v>7</v>
      </c>
      <c r="F83" s="13">
        <f t="shared" si="21"/>
        <v>3</v>
      </c>
      <c r="G83" s="13">
        <f t="shared" si="21"/>
        <v>15</v>
      </c>
      <c r="H83" s="13">
        <f t="shared" si="21"/>
        <v>12</v>
      </c>
      <c r="I83" s="13">
        <f t="shared" si="21"/>
        <v>50</v>
      </c>
      <c r="J83" s="13">
        <f t="shared" si="21"/>
        <v>21</v>
      </c>
      <c r="K83" s="13">
        <f t="shared" si="21"/>
        <v>43</v>
      </c>
      <c r="L83" s="13">
        <f t="shared" si="21"/>
        <v>90</v>
      </c>
      <c r="M83" s="13">
        <f t="shared" si="21"/>
        <v>45</v>
      </c>
      <c r="N83" s="13">
        <f t="shared" si="21"/>
        <v>26</v>
      </c>
      <c r="O83" s="13">
        <f t="shared" si="21"/>
        <v>12</v>
      </c>
      <c r="P83" s="13">
        <f t="shared" si="21"/>
        <v>21</v>
      </c>
      <c r="Q83" s="13">
        <f t="shared" si="21"/>
        <v>2</v>
      </c>
      <c r="R83" s="13">
        <f t="shared" si="21"/>
        <v>14</v>
      </c>
      <c r="S83" s="13">
        <f t="shared" si="21"/>
        <v>15</v>
      </c>
      <c r="T83" s="13">
        <f t="shared" si="21"/>
        <v>37</v>
      </c>
      <c r="U83" s="13">
        <f t="shared" si="21"/>
        <v>28</v>
      </c>
      <c r="V83" s="13">
        <f t="shared" si="21"/>
        <v>441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0.0</v>
      </c>
      <c r="F85" s="19">
        <v>1.0</v>
      </c>
      <c r="G85" s="19">
        <v>1.0</v>
      </c>
      <c r="H85" s="19">
        <v>0.0</v>
      </c>
      <c r="I85" s="19">
        <v>0.0</v>
      </c>
      <c r="J85" s="19">
        <v>1.0</v>
      </c>
      <c r="K85" s="19">
        <v>2.0</v>
      </c>
      <c r="L85" s="19">
        <v>1.0</v>
      </c>
      <c r="M85" s="19">
        <v>0.0</v>
      </c>
      <c r="N85" s="19">
        <v>0.0</v>
      </c>
      <c r="O85" s="19">
        <v>1.0</v>
      </c>
      <c r="P85" s="19">
        <v>1.0</v>
      </c>
      <c r="Q85" s="19">
        <v>0.0</v>
      </c>
      <c r="R85" s="19">
        <v>0.0</v>
      </c>
      <c r="S85" s="19">
        <v>3.0</v>
      </c>
      <c r="T85" s="19">
        <v>0.0</v>
      </c>
      <c r="U85" s="19">
        <v>0.0</v>
      </c>
      <c r="V85" s="13">
        <f t="shared" ref="V85:V92" si="22">SUM(E85:U85)</f>
        <v>11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1.0</v>
      </c>
      <c r="J86" s="19">
        <v>0.0</v>
      </c>
      <c r="K86" s="19">
        <v>1.0</v>
      </c>
      <c r="L86" s="19">
        <v>1.0</v>
      </c>
      <c r="M86" s="19">
        <v>0.0</v>
      </c>
      <c r="N86" s="19">
        <v>0.0</v>
      </c>
      <c r="O86" s="19">
        <v>0.0</v>
      </c>
      <c r="P86" s="19">
        <v>1.0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3">
        <f t="shared" si="22"/>
        <v>4</v>
      </c>
    </row>
    <row r="87" ht="12.75" customHeight="1">
      <c r="A87" s="18"/>
      <c r="B87" s="55">
        <v>2.0</v>
      </c>
      <c r="C87" s="50" t="s">
        <v>75</v>
      </c>
      <c r="D87" s="57"/>
      <c r="E87" s="19">
        <v>1.0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3">
        <f t="shared" si="22"/>
        <v>1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0.0</v>
      </c>
      <c r="G88" s="19">
        <v>0.0</v>
      </c>
      <c r="H88" s="19">
        <v>1.0</v>
      </c>
      <c r="I88" s="19">
        <v>1.0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3">
        <f t="shared" si="22"/>
        <v>2</v>
      </c>
    </row>
    <row r="89" ht="12.75" customHeight="1">
      <c r="A89" s="18"/>
      <c r="B89" s="55">
        <v>4.0</v>
      </c>
      <c r="C89" s="50" t="s">
        <v>77</v>
      </c>
      <c r="D89" s="57"/>
      <c r="E89" s="19">
        <v>0.0</v>
      </c>
      <c r="F89" s="19">
        <v>0.0</v>
      </c>
      <c r="G89" s="19">
        <v>1.0</v>
      </c>
      <c r="H89" s="19">
        <v>0.0</v>
      </c>
      <c r="I89" s="19">
        <v>1.0</v>
      </c>
      <c r="J89" s="19">
        <v>0.0</v>
      </c>
      <c r="K89" s="19">
        <v>1.0</v>
      </c>
      <c r="L89" s="19">
        <v>2.0</v>
      </c>
      <c r="M89" s="19">
        <v>1.0</v>
      </c>
      <c r="N89" s="19">
        <v>1.0</v>
      </c>
      <c r="O89" s="19">
        <v>0.0</v>
      </c>
      <c r="P89" s="19">
        <v>0.0</v>
      </c>
      <c r="Q89" s="19">
        <v>0.0</v>
      </c>
      <c r="R89" s="19">
        <v>0.0</v>
      </c>
      <c r="S89" s="19">
        <v>0.0</v>
      </c>
      <c r="T89" s="19">
        <v>0.0</v>
      </c>
      <c r="U89" s="19">
        <v>0.0</v>
      </c>
      <c r="V89" s="13">
        <f t="shared" si="22"/>
        <v>7</v>
      </c>
    </row>
    <row r="90" ht="12.75" customHeight="1">
      <c r="A90" s="18"/>
      <c r="B90" s="55">
        <v>5.0</v>
      </c>
      <c r="C90" s="50" t="s">
        <v>78</v>
      </c>
      <c r="D90" s="57"/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1.0</v>
      </c>
      <c r="R90" s="19">
        <v>0.0</v>
      </c>
      <c r="S90" s="19">
        <v>0.0</v>
      </c>
      <c r="T90" s="19">
        <v>0.0</v>
      </c>
      <c r="U90" s="19">
        <v>0.0</v>
      </c>
      <c r="V90" s="13">
        <f t="shared" si="22"/>
        <v>1</v>
      </c>
    </row>
    <row r="91" ht="12.75" customHeight="1">
      <c r="A91" s="18"/>
      <c r="B91" s="55">
        <v>6.0</v>
      </c>
      <c r="C91" s="50" t="s">
        <v>79</v>
      </c>
      <c r="D91" s="57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0.0</v>
      </c>
      <c r="V91" s="13">
        <f t="shared" si="22"/>
        <v>0</v>
      </c>
    </row>
    <row r="92" ht="12.75" customHeight="1">
      <c r="A92" s="18"/>
      <c r="B92" s="55">
        <v>7.0</v>
      </c>
      <c r="C92" s="50" t="s">
        <v>80</v>
      </c>
      <c r="D92" s="57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1.0</v>
      </c>
      <c r="V92" s="13">
        <f t="shared" si="22"/>
        <v>1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V93" si="23">SUM(E85:E92)</f>
        <v>1</v>
      </c>
      <c r="F93" s="13">
        <f t="shared" si="23"/>
        <v>1</v>
      </c>
      <c r="G93" s="13">
        <f t="shared" si="23"/>
        <v>2</v>
      </c>
      <c r="H93" s="13">
        <f t="shared" si="23"/>
        <v>1</v>
      </c>
      <c r="I93" s="13">
        <f t="shared" si="23"/>
        <v>3</v>
      </c>
      <c r="J93" s="13">
        <f t="shared" si="23"/>
        <v>1</v>
      </c>
      <c r="K93" s="13">
        <f t="shared" si="23"/>
        <v>4</v>
      </c>
      <c r="L93" s="13">
        <f t="shared" si="23"/>
        <v>4</v>
      </c>
      <c r="M93" s="13">
        <f t="shared" si="23"/>
        <v>1</v>
      </c>
      <c r="N93" s="13">
        <f t="shared" si="23"/>
        <v>1</v>
      </c>
      <c r="O93" s="13">
        <f t="shared" si="23"/>
        <v>1</v>
      </c>
      <c r="P93" s="13">
        <f t="shared" si="23"/>
        <v>2</v>
      </c>
      <c r="Q93" s="13">
        <f t="shared" si="23"/>
        <v>1</v>
      </c>
      <c r="R93" s="13">
        <f t="shared" si="23"/>
        <v>0</v>
      </c>
      <c r="S93" s="13">
        <f t="shared" si="23"/>
        <v>3</v>
      </c>
      <c r="T93" s="13">
        <f t="shared" si="23"/>
        <v>0</v>
      </c>
      <c r="U93" s="13">
        <f t="shared" si="23"/>
        <v>1</v>
      </c>
      <c r="V93" s="13">
        <f t="shared" si="23"/>
        <v>27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0.0</v>
      </c>
      <c r="L95" s="19">
        <v>0.0</v>
      </c>
      <c r="M95" s="19">
        <v>0.0</v>
      </c>
      <c r="N95" s="19">
        <v>1.0</v>
      </c>
      <c r="O95" s="19">
        <v>0.0</v>
      </c>
      <c r="P95" s="19">
        <v>0.0</v>
      </c>
      <c r="Q95" s="19">
        <v>0.0</v>
      </c>
      <c r="R95" s="19">
        <v>1.0</v>
      </c>
      <c r="S95" s="19">
        <v>0.0</v>
      </c>
      <c r="T95" s="19">
        <v>0.0</v>
      </c>
      <c r="U95" s="19">
        <v>1.0</v>
      </c>
      <c r="V95" s="13">
        <f t="shared" ref="V95:V102" si="24">SUM(E95:U95)</f>
        <v>4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0.0</v>
      </c>
      <c r="F96" s="19">
        <v>0.0</v>
      </c>
      <c r="G96" s="19">
        <v>2.0</v>
      </c>
      <c r="H96" s="19">
        <v>0.0</v>
      </c>
      <c r="I96" s="19">
        <v>1.0</v>
      </c>
      <c r="J96" s="19">
        <v>0.0</v>
      </c>
      <c r="K96" s="19">
        <v>0.0</v>
      </c>
      <c r="L96" s="19">
        <v>0.0</v>
      </c>
      <c r="M96" s="19">
        <v>1.0</v>
      </c>
      <c r="N96" s="19">
        <v>0.0</v>
      </c>
      <c r="O96" s="19">
        <v>0.0</v>
      </c>
      <c r="P96" s="19">
        <v>0.0</v>
      </c>
      <c r="Q96" s="19">
        <v>0.0</v>
      </c>
      <c r="R96" s="19">
        <v>1.0</v>
      </c>
      <c r="S96" s="19">
        <v>0.0</v>
      </c>
      <c r="T96" s="19">
        <v>0.0</v>
      </c>
      <c r="U96" s="19">
        <v>2.0</v>
      </c>
      <c r="V96" s="13">
        <f t="shared" si="24"/>
        <v>7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1.0</v>
      </c>
      <c r="V97" s="13">
        <f t="shared" si="24"/>
        <v>1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1.0</v>
      </c>
      <c r="V98" s="13">
        <f t="shared" si="24"/>
        <v>1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3">
        <f t="shared" si="24"/>
        <v>0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1.0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3">
        <f t="shared" si="24"/>
        <v>1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9">
        <v>0.0</v>
      </c>
      <c r="T101" s="19">
        <v>0.0</v>
      </c>
      <c r="U101" s="19">
        <v>0.0</v>
      </c>
      <c r="V101" s="13">
        <f t="shared" si="24"/>
        <v>0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3">
        <f t="shared" si="24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V103" si="25">SUM(E95:E102)</f>
        <v>0</v>
      </c>
      <c r="F103" s="13">
        <f t="shared" si="25"/>
        <v>0</v>
      </c>
      <c r="G103" s="13">
        <f t="shared" si="25"/>
        <v>3</v>
      </c>
      <c r="H103" s="13">
        <f t="shared" si="25"/>
        <v>0</v>
      </c>
      <c r="I103" s="13">
        <f t="shared" si="25"/>
        <v>1</v>
      </c>
      <c r="J103" s="13">
        <f t="shared" si="25"/>
        <v>1</v>
      </c>
      <c r="K103" s="13">
        <f t="shared" si="25"/>
        <v>0</v>
      </c>
      <c r="L103" s="13">
        <f t="shared" si="25"/>
        <v>0</v>
      </c>
      <c r="M103" s="13">
        <f t="shared" si="25"/>
        <v>1</v>
      </c>
      <c r="N103" s="13">
        <f t="shared" si="25"/>
        <v>1</v>
      </c>
      <c r="O103" s="13">
        <f t="shared" si="25"/>
        <v>0</v>
      </c>
      <c r="P103" s="13">
        <f t="shared" si="25"/>
        <v>0</v>
      </c>
      <c r="Q103" s="13">
        <f t="shared" si="25"/>
        <v>0</v>
      </c>
      <c r="R103" s="13">
        <f t="shared" si="25"/>
        <v>2</v>
      </c>
      <c r="S103" s="13">
        <f t="shared" si="25"/>
        <v>0</v>
      </c>
      <c r="T103" s="13">
        <f t="shared" si="25"/>
        <v>0</v>
      </c>
      <c r="U103" s="13">
        <f t="shared" si="25"/>
        <v>5</v>
      </c>
      <c r="V103" s="13">
        <f t="shared" si="25"/>
        <v>14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2.0</v>
      </c>
      <c r="F105" s="19">
        <v>0.0</v>
      </c>
      <c r="G105" s="19">
        <v>0.0</v>
      </c>
      <c r="H105" s="19">
        <v>1.0</v>
      </c>
      <c r="I105" s="19">
        <v>1.0</v>
      </c>
      <c r="J105" s="19">
        <v>1.0</v>
      </c>
      <c r="K105" s="19">
        <v>1.0</v>
      </c>
      <c r="L105" s="19">
        <v>0.0</v>
      </c>
      <c r="M105" s="19">
        <v>3.0</v>
      </c>
      <c r="N105" s="19">
        <v>1.0</v>
      </c>
      <c r="O105" s="19">
        <v>3.0</v>
      </c>
      <c r="P105" s="19">
        <v>0.0</v>
      </c>
      <c r="Q105" s="19">
        <v>0.0</v>
      </c>
      <c r="R105" s="19">
        <v>0.0</v>
      </c>
      <c r="S105" s="19">
        <v>0.0</v>
      </c>
      <c r="T105" s="19">
        <v>2.0</v>
      </c>
      <c r="U105" s="19">
        <v>0.0</v>
      </c>
      <c r="V105" s="13">
        <f t="shared" ref="V105:V108" si="26">SUM(E105:U105)</f>
        <v>15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1.0</v>
      </c>
      <c r="F106" s="19">
        <v>0.0</v>
      </c>
      <c r="G106" s="19">
        <v>0.0</v>
      </c>
      <c r="H106" s="19">
        <v>1.0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3">
        <f t="shared" si="26"/>
        <v>3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3">
        <f t="shared" si="26"/>
        <v>0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3">
        <f t="shared" si="26"/>
        <v>0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V109" si="27">SUM(E105:E108)</f>
        <v>3</v>
      </c>
      <c r="F109" s="13">
        <f t="shared" si="27"/>
        <v>0</v>
      </c>
      <c r="G109" s="13">
        <f t="shared" si="27"/>
        <v>0</v>
      </c>
      <c r="H109" s="13">
        <f t="shared" si="27"/>
        <v>2</v>
      </c>
      <c r="I109" s="13">
        <f t="shared" si="27"/>
        <v>2</v>
      </c>
      <c r="J109" s="13">
        <f t="shared" si="27"/>
        <v>1</v>
      </c>
      <c r="K109" s="13">
        <f t="shared" si="27"/>
        <v>1</v>
      </c>
      <c r="L109" s="13">
        <f t="shared" si="27"/>
        <v>0</v>
      </c>
      <c r="M109" s="13">
        <f t="shared" si="27"/>
        <v>3</v>
      </c>
      <c r="N109" s="13">
        <f t="shared" si="27"/>
        <v>1</v>
      </c>
      <c r="O109" s="13">
        <f t="shared" si="27"/>
        <v>3</v>
      </c>
      <c r="P109" s="13">
        <f t="shared" si="27"/>
        <v>0</v>
      </c>
      <c r="Q109" s="13">
        <f t="shared" si="27"/>
        <v>0</v>
      </c>
      <c r="R109" s="13">
        <f t="shared" si="27"/>
        <v>0</v>
      </c>
      <c r="S109" s="13">
        <f t="shared" si="27"/>
        <v>0</v>
      </c>
      <c r="T109" s="13">
        <f t="shared" si="27"/>
        <v>2</v>
      </c>
      <c r="U109" s="13">
        <f t="shared" si="27"/>
        <v>0</v>
      </c>
      <c r="V109" s="13">
        <f t="shared" si="27"/>
        <v>18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0.0</v>
      </c>
      <c r="F111" s="19">
        <v>0.0</v>
      </c>
      <c r="G111" s="19">
        <v>1.0</v>
      </c>
      <c r="H111" s="19">
        <v>1.0</v>
      </c>
      <c r="I111" s="19">
        <v>0.0</v>
      </c>
      <c r="J111" s="19">
        <v>0.0</v>
      </c>
      <c r="K111" s="19">
        <v>1.0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2.0</v>
      </c>
      <c r="R111" s="19">
        <v>0.0</v>
      </c>
      <c r="S111" s="19">
        <v>0.0</v>
      </c>
      <c r="T111" s="19">
        <v>0.0</v>
      </c>
      <c r="U111" s="19">
        <v>0.0</v>
      </c>
      <c r="V111" s="13">
        <f t="shared" ref="V111:V118" si="28">SUM(E111:U111)</f>
        <v>5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0.0</v>
      </c>
      <c r="F112" s="19">
        <v>0.0</v>
      </c>
      <c r="G112" s="19">
        <v>0.0</v>
      </c>
      <c r="H112" s="19">
        <v>0.0</v>
      </c>
      <c r="I112" s="19">
        <v>1.0</v>
      </c>
      <c r="J112" s="19">
        <v>1.0</v>
      </c>
      <c r="K112" s="19">
        <v>0.0</v>
      </c>
      <c r="L112" s="19">
        <v>0.0</v>
      </c>
      <c r="M112" s="19">
        <v>2.0</v>
      </c>
      <c r="N112" s="19">
        <v>2.0</v>
      </c>
      <c r="O112" s="19">
        <v>2.0</v>
      </c>
      <c r="P112" s="19">
        <v>0.0</v>
      </c>
      <c r="Q112" s="19">
        <v>5.0</v>
      </c>
      <c r="R112" s="19">
        <v>3.0</v>
      </c>
      <c r="S112" s="19">
        <v>0.0</v>
      </c>
      <c r="T112" s="19">
        <v>0.0</v>
      </c>
      <c r="U112" s="19">
        <v>0.0</v>
      </c>
      <c r="V112" s="13">
        <f t="shared" si="28"/>
        <v>16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1.0</v>
      </c>
      <c r="F113" s="19">
        <v>0.0</v>
      </c>
      <c r="G113" s="19">
        <v>1.0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9">
        <v>1.0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0.0</v>
      </c>
      <c r="T113" s="19">
        <v>0.0</v>
      </c>
      <c r="U113" s="19">
        <v>0.0</v>
      </c>
      <c r="V113" s="13">
        <f t="shared" si="28"/>
        <v>3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  <c r="U114" s="19">
        <v>0.0</v>
      </c>
      <c r="V114" s="13">
        <f t="shared" si="28"/>
        <v>0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0.0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0.0</v>
      </c>
      <c r="S115" s="19">
        <v>0.0</v>
      </c>
      <c r="T115" s="19">
        <v>0.0</v>
      </c>
      <c r="U115" s="19">
        <v>0.0</v>
      </c>
      <c r="V115" s="13">
        <f t="shared" si="28"/>
        <v>0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1.0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9">
        <v>0.0</v>
      </c>
      <c r="T116" s="19">
        <v>0.0</v>
      </c>
      <c r="U116" s="19">
        <v>0.0</v>
      </c>
      <c r="V116" s="13">
        <f t="shared" si="28"/>
        <v>1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3">
        <f t="shared" si="28"/>
        <v>0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3">
        <f t="shared" si="28"/>
        <v>0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V119" si="29">SUM(E111:E118)</f>
        <v>1</v>
      </c>
      <c r="F119" s="13">
        <f t="shared" si="29"/>
        <v>0</v>
      </c>
      <c r="G119" s="13">
        <f t="shared" si="29"/>
        <v>2</v>
      </c>
      <c r="H119" s="13">
        <f t="shared" si="29"/>
        <v>1</v>
      </c>
      <c r="I119" s="13">
        <f t="shared" si="29"/>
        <v>1</v>
      </c>
      <c r="J119" s="13">
        <f t="shared" si="29"/>
        <v>1</v>
      </c>
      <c r="K119" s="13">
        <f t="shared" si="29"/>
        <v>1</v>
      </c>
      <c r="L119" s="13">
        <f t="shared" si="29"/>
        <v>0</v>
      </c>
      <c r="M119" s="13">
        <f t="shared" si="29"/>
        <v>4</v>
      </c>
      <c r="N119" s="13">
        <f t="shared" si="29"/>
        <v>2</v>
      </c>
      <c r="O119" s="13">
        <f t="shared" si="29"/>
        <v>2</v>
      </c>
      <c r="P119" s="13">
        <f t="shared" si="29"/>
        <v>0</v>
      </c>
      <c r="Q119" s="13">
        <f t="shared" si="29"/>
        <v>7</v>
      </c>
      <c r="R119" s="13">
        <f t="shared" si="29"/>
        <v>3</v>
      </c>
      <c r="S119" s="13">
        <f t="shared" si="29"/>
        <v>0</v>
      </c>
      <c r="T119" s="13">
        <f t="shared" si="29"/>
        <v>0</v>
      </c>
      <c r="U119" s="13">
        <f t="shared" si="29"/>
        <v>0</v>
      </c>
      <c r="V119" s="13">
        <f t="shared" si="29"/>
        <v>25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3">
        <f t="shared" ref="V121:V128" si="30">SUM(E121:U121)</f>
        <v>0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3">
        <f t="shared" si="30"/>
        <v>0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3">
        <f t="shared" si="30"/>
        <v>0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3">
        <f t="shared" si="30"/>
        <v>0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9">
        <v>0.0</v>
      </c>
      <c r="T125" s="19">
        <v>0.0</v>
      </c>
      <c r="U125" s="19">
        <v>0.0</v>
      </c>
      <c r="V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0.0</v>
      </c>
      <c r="T126" s="19">
        <v>0.0</v>
      </c>
      <c r="U126" s="19">
        <v>0.0</v>
      </c>
      <c r="V126" s="13">
        <f t="shared" si="30"/>
        <v>0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9">
        <v>0.0</v>
      </c>
      <c r="T127" s="19">
        <v>0.0</v>
      </c>
      <c r="U127" s="19">
        <v>0.0</v>
      </c>
      <c r="V127" s="13">
        <f t="shared" si="30"/>
        <v>0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9">
        <v>0.0</v>
      </c>
      <c r="T128" s="19">
        <v>0.0</v>
      </c>
      <c r="U128" s="19">
        <v>0.0</v>
      </c>
      <c r="V128" s="13">
        <f t="shared" si="30"/>
        <v>0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V129" si="31">SUM(E121:E128)</f>
        <v>0</v>
      </c>
      <c r="F129" s="13">
        <f t="shared" si="31"/>
        <v>0</v>
      </c>
      <c r="G129" s="13">
        <f t="shared" si="31"/>
        <v>0</v>
      </c>
      <c r="H129" s="13">
        <f t="shared" si="31"/>
        <v>0</v>
      </c>
      <c r="I129" s="13">
        <f t="shared" si="31"/>
        <v>0</v>
      </c>
      <c r="J129" s="13">
        <f t="shared" si="31"/>
        <v>0</v>
      </c>
      <c r="K129" s="13">
        <f t="shared" si="31"/>
        <v>0</v>
      </c>
      <c r="L129" s="13">
        <f t="shared" si="31"/>
        <v>0</v>
      </c>
      <c r="M129" s="13">
        <f t="shared" si="31"/>
        <v>0</v>
      </c>
      <c r="N129" s="13">
        <f t="shared" si="31"/>
        <v>0</v>
      </c>
      <c r="O129" s="13">
        <f t="shared" si="31"/>
        <v>0</v>
      </c>
      <c r="P129" s="13">
        <f t="shared" si="31"/>
        <v>0</v>
      </c>
      <c r="Q129" s="13">
        <f t="shared" si="31"/>
        <v>0</v>
      </c>
      <c r="R129" s="13">
        <f t="shared" si="31"/>
        <v>0</v>
      </c>
      <c r="S129" s="13">
        <f t="shared" si="31"/>
        <v>0</v>
      </c>
      <c r="T129" s="13">
        <f t="shared" si="31"/>
        <v>0</v>
      </c>
      <c r="U129" s="13">
        <f t="shared" si="31"/>
        <v>0</v>
      </c>
      <c r="V129" s="13">
        <f t="shared" si="31"/>
        <v>0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1.0</v>
      </c>
      <c r="U131" s="19">
        <v>0.0</v>
      </c>
      <c r="V131" s="13">
        <f t="shared" ref="V131:V135" si="32">SUM(E132:U132)</f>
        <v>3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2.0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1.0</v>
      </c>
      <c r="V132" s="13">
        <f t="shared" si="32"/>
        <v>0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3">
        <f t="shared" si="32"/>
        <v>2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1.0</v>
      </c>
      <c r="M134" s="19">
        <v>1.0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3">
        <f t="shared" si="32"/>
        <v>0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3">
        <f t="shared" si="32"/>
        <v>6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V136" si="33">SUM(E131:E135)</f>
        <v>0</v>
      </c>
      <c r="F136" s="13">
        <f t="shared" si="33"/>
        <v>0</v>
      </c>
      <c r="G136" s="13">
        <f t="shared" si="33"/>
        <v>0</v>
      </c>
      <c r="H136" s="13">
        <f t="shared" si="33"/>
        <v>0</v>
      </c>
      <c r="I136" s="13">
        <f t="shared" si="33"/>
        <v>0</v>
      </c>
      <c r="J136" s="13">
        <f t="shared" si="33"/>
        <v>0</v>
      </c>
      <c r="K136" s="13">
        <f t="shared" si="33"/>
        <v>0</v>
      </c>
      <c r="L136" s="13">
        <f t="shared" si="33"/>
        <v>3</v>
      </c>
      <c r="M136" s="13">
        <f t="shared" si="33"/>
        <v>1</v>
      </c>
      <c r="N136" s="13">
        <f t="shared" si="33"/>
        <v>0</v>
      </c>
      <c r="O136" s="13">
        <f t="shared" si="33"/>
        <v>0</v>
      </c>
      <c r="P136" s="13">
        <f t="shared" si="33"/>
        <v>0</v>
      </c>
      <c r="Q136" s="13">
        <f t="shared" si="33"/>
        <v>0</v>
      </c>
      <c r="R136" s="13">
        <f t="shared" si="33"/>
        <v>0</v>
      </c>
      <c r="S136" s="13">
        <f t="shared" si="33"/>
        <v>0</v>
      </c>
      <c r="T136" s="13">
        <f t="shared" si="33"/>
        <v>1</v>
      </c>
      <c r="U136" s="13">
        <f t="shared" si="33"/>
        <v>1</v>
      </c>
      <c r="V136" s="13">
        <f t="shared" si="33"/>
        <v>11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1.0</v>
      </c>
      <c r="F138" s="19">
        <v>0.0</v>
      </c>
      <c r="G138" s="19">
        <v>0.0</v>
      </c>
      <c r="H138" s="19">
        <v>0.0</v>
      </c>
      <c r="I138" s="19">
        <v>0.0</v>
      </c>
      <c r="J138" s="19">
        <v>1.0</v>
      </c>
      <c r="K138" s="19">
        <v>0.0</v>
      </c>
      <c r="L138" s="19">
        <v>1.0</v>
      </c>
      <c r="M138" s="19">
        <v>1.0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1.0</v>
      </c>
      <c r="T138" s="19">
        <v>0.0</v>
      </c>
      <c r="U138" s="19">
        <v>0.0</v>
      </c>
      <c r="V138" s="13">
        <f t="shared" ref="V138:V145" si="34">SUM(E138:U138)</f>
        <v>5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0.0</v>
      </c>
      <c r="G139" s="19">
        <v>0.0</v>
      </c>
      <c r="H139" s="19">
        <v>2.0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2.0</v>
      </c>
      <c r="V139" s="13">
        <f t="shared" si="34"/>
        <v>4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0.0</v>
      </c>
      <c r="U140" s="19">
        <v>0.0</v>
      </c>
      <c r="V140" s="13">
        <f t="shared" si="34"/>
        <v>0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3">
        <f t="shared" si="34"/>
        <v>0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1.0</v>
      </c>
      <c r="V142" s="13">
        <f t="shared" si="34"/>
        <v>1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1.0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3">
        <f t="shared" si="34"/>
        <v>1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3">
        <f t="shared" si="34"/>
        <v>0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V146" si="35">SUM(E138:E145)</f>
        <v>1</v>
      </c>
      <c r="F146" s="13">
        <f t="shared" si="35"/>
        <v>0</v>
      </c>
      <c r="G146" s="13">
        <f t="shared" si="35"/>
        <v>0</v>
      </c>
      <c r="H146" s="13">
        <f t="shared" si="35"/>
        <v>3</v>
      </c>
      <c r="I146" s="13">
        <f t="shared" si="35"/>
        <v>0</v>
      </c>
      <c r="J146" s="13">
        <f t="shared" si="35"/>
        <v>1</v>
      </c>
      <c r="K146" s="13">
        <f t="shared" si="35"/>
        <v>0</v>
      </c>
      <c r="L146" s="13">
        <f t="shared" si="35"/>
        <v>1</v>
      </c>
      <c r="M146" s="13">
        <f t="shared" si="35"/>
        <v>1</v>
      </c>
      <c r="N146" s="13">
        <f t="shared" si="35"/>
        <v>0</v>
      </c>
      <c r="O146" s="13">
        <f t="shared" si="35"/>
        <v>0</v>
      </c>
      <c r="P146" s="13">
        <f t="shared" si="35"/>
        <v>0</v>
      </c>
      <c r="Q146" s="13">
        <f t="shared" si="35"/>
        <v>0</v>
      </c>
      <c r="R146" s="13">
        <f t="shared" si="35"/>
        <v>0</v>
      </c>
      <c r="S146" s="13">
        <f t="shared" si="35"/>
        <v>1</v>
      </c>
      <c r="T146" s="13">
        <f t="shared" si="35"/>
        <v>0</v>
      </c>
      <c r="U146" s="13">
        <f t="shared" si="35"/>
        <v>3</v>
      </c>
      <c r="V146" s="13">
        <f t="shared" si="35"/>
        <v>11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0.0</v>
      </c>
      <c r="F148" s="19">
        <v>0.0</v>
      </c>
      <c r="G148" s="19">
        <v>1.0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1.0</v>
      </c>
      <c r="O148" s="19">
        <v>1.0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3">
        <f t="shared" ref="V148:V155" si="36">SUM(E148:U148)</f>
        <v>3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0.0</v>
      </c>
      <c r="F149" s="19">
        <v>1.0</v>
      </c>
      <c r="G149" s="19">
        <v>0.0</v>
      </c>
      <c r="H149" s="19">
        <v>1.0</v>
      </c>
      <c r="I149" s="19">
        <v>0.0</v>
      </c>
      <c r="J149" s="19">
        <v>0.0</v>
      </c>
      <c r="K149" s="19">
        <v>0.0</v>
      </c>
      <c r="L149" s="19">
        <v>0.0</v>
      </c>
      <c r="M149" s="19">
        <v>0.0</v>
      </c>
      <c r="N149" s="19">
        <v>0.0</v>
      </c>
      <c r="O149" s="19">
        <v>1.0</v>
      </c>
      <c r="P149" s="19">
        <v>0.0</v>
      </c>
      <c r="Q149" s="19">
        <v>0.0</v>
      </c>
      <c r="R149" s="19">
        <v>0.0</v>
      </c>
      <c r="S149" s="19">
        <v>0.0</v>
      </c>
      <c r="T149" s="19">
        <v>0.0</v>
      </c>
      <c r="U149" s="19">
        <v>0.0</v>
      </c>
      <c r="V149" s="13">
        <f t="shared" si="36"/>
        <v>3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0.0</v>
      </c>
      <c r="F150" s="19">
        <v>1.0</v>
      </c>
      <c r="G150" s="19">
        <v>0.0</v>
      </c>
      <c r="H150" s="19">
        <v>0.0</v>
      </c>
      <c r="I150" s="19">
        <v>1.0</v>
      </c>
      <c r="J150" s="19">
        <v>0.0</v>
      </c>
      <c r="K150" s="19">
        <v>0.0</v>
      </c>
      <c r="L150" s="19">
        <v>0.0</v>
      </c>
      <c r="M150" s="19">
        <v>0.0</v>
      </c>
      <c r="N150" s="19">
        <v>1.0</v>
      </c>
      <c r="O150" s="19">
        <v>0.0</v>
      </c>
      <c r="P150" s="19">
        <v>1.0</v>
      </c>
      <c r="Q150" s="19">
        <v>1.0</v>
      </c>
      <c r="R150" s="19">
        <v>0.0</v>
      </c>
      <c r="S150" s="19">
        <v>0.0</v>
      </c>
      <c r="T150" s="19">
        <v>0.0</v>
      </c>
      <c r="U150" s="19">
        <v>0.0</v>
      </c>
      <c r="V150" s="13">
        <f t="shared" si="36"/>
        <v>5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3">
        <f t="shared" si="36"/>
        <v>0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0.0</v>
      </c>
      <c r="G152" s="19">
        <v>0.0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9">
        <v>0.0</v>
      </c>
      <c r="S152" s="19">
        <v>0.0</v>
      </c>
      <c r="T152" s="19">
        <v>0.0</v>
      </c>
      <c r="U152" s="19">
        <v>0.0</v>
      </c>
      <c r="V152" s="13">
        <f t="shared" si="36"/>
        <v>0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3">
        <f t="shared" si="36"/>
        <v>0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1.0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3">
        <f t="shared" si="36"/>
        <v>1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2.0</v>
      </c>
      <c r="F155" s="19">
        <v>8.0</v>
      </c>
      <c r="G155" s="19">
        <v>35.0</v>
      </c>
      <c r="H155" s="19">
        <v>16.0</v>
      </c>
      <c r="I155" s="19">
        <v>2.0</v>
      </c>
      <c r="J155" s="19">
        <v>2.0</v>
      </c>
      <c r="K155" s="19">
        <v>1.0</v>
      </c>
      <c r="L155" s="19">
        <v>0.0</v>
      </c>
      <c r="M155" s="19">
        <v>0.0</v>
      </c>
      <c r="N155" s="19">
        <v>0.0</v>
      </c>
      <c r="O155" s="19">
        <v>0.0</v>
      </c>
      <c r="P155" s="19">
        <v>1.0</v>
      </c>
      <c r="Q155" s="19">
        <v>7.0</v>
      </c>
      <c r="R155" s="19">
        <v>2.0</v>
      </c>
      <c r="S155" s="19">
        <v>0.0</v>
      </c>
      <c r="T155" s="19">
        <v>0.0</v>
      </c>
      <c r="U155" s="19">
        <v>0.0</v>
      </c>
      <c r="V155" s="13">
        <f t="shared" si="36"/>
        <v>76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V156" si="37">SUM(E148:E155)</f>
        <v>2</v>
      </c>
      <c r="F156" s="13">
        <f t="shared" si="37"/>
        <v>10</v>
      </c>
      <c r="G156" s="13">
        <f t="shared" si="37"/>
        <v>37</v>
      </c>
      <c r="H156" s="13">
        <f t="shared" si="37"/>
        <v>17</v>
      </c>
      <c r="I156" s="13">
        <f t="shared" si="37"/>
        <v>3</v>
      </c>
      <c r="J156" s="13">
        <f t="shared" si="37"/>
        <v>2</v>
      </c>
      <c r="K156" s="13">
        <f t="shared" si="37"/>
        <v>1</v>
      </c>
      <c r="L156" s="13">
        <f t="shared" si="37"/>
        <v>0</v>
      </c>
      <c r="M156" s="13">
        <f t="shared" si="37"/>
        <v>0</v>
      </c>
      <c r="N156" s="13">
        <f t="shared" si="37"/>
        <v>2</v>
      </c>
      <c r="O156" s="13">
        <f t="shared" si="37"/>
        <v>2</v>
      </c>
      <c r="P156" s="13">
        <f t="shared" si="37"/>
        <v>2</v>
      </c>
      <c r="Q156" s="13">
        <f t="shared" si="37"/>
        <v>8</v>
      </c>
      <c r="R156" s="13">
        <f t="shared" si="37"/>
        <v>2</v>
      </c>
      <c r="S156" s="13">
        <f t="shared" si="37"/>
        <v>0</v>
      </c>
      <c r="T156" s="13">
        <f t="shared" si="37"/>
        <v>0</v>
      </c>
      <c r="U156" s="13">
        <f t="shared" si="37"/>
        <v>0</v>
      </c>
      <c r="V156" s="13">
        <f t="shared" si="37"/>
        <v>88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R157" s="72"/>
      <c r="S157" s="72"/>
      <c r="T157" s="72"/>
      <c r="V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1.0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9">
        <v>0.0</v>
      </c>
      <c r="S158" s="19">
        <v>0.0</v>
      </c>
      <c r="T158" s="19">
        <v>0.0</v>
      </c>
      <c r="U158" s="19">
        <v>0.0</v>
      </c>
      <c r="V158" s="13">
        <f t="shared" ref="V158:V165" si="38">SUM(E158:U158)</f>
        <v>1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9">
        <v>1.0</v>
      </c>
      <c r="V159" s="13">
        <f t="shared" si="38"/>
        <v>1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1.0</v>
      </c>
      <c r="V160" s="13">
        <f t="shared" si="38"/>
        <v>1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3">
        <f t="shared" si="38"/>
        <v>0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3">
        <f t="shared" si="38"/>
        <v>0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0.0</v>
      </c>
      <c r="V163" s="13">
        <f t="shared" si="38"/>
        <v>0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1.0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3">
        <f t="shared" si="38"/>
        <v>1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1.0</v>
      </c>
      <c r="U165" s="19">
        <v>0.0</v>
      </c>
      <c r="V165" s="13">
        <f t="shared" si="38"/>
        <v>1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V166" si="39">SUM(E158:E165)</f>
        <v>1</v>
      </c>
      <c r="F166" s="13">
        <f t="shared" si="39"/>
        <v>0</v>
      </c>
      <c r="G166" s="13">
        <f t="shared" si="39"/>
        <v>0</v>
      </c>
      <c r="H166" s="13">
        <f t="shared" si="39"/>
        <v>0</v>
      </c>
      <c r="I166" s="13">
        <f t="shared" si="39"/>
        <v>0</v>
      </c>
      <c r="J166" s="13">
        <f t="shared" si="39"/>
        <v>0</v>
      </c>
      <c r="K166" s="13">
        <f t="shared" si="39"/>
        <v>0</v>
      </c>
      <c r="L166" s="13">
        <f t="shared" si="39"/>
        <v>1</v>
      </c>
      <c r="M166" s="13">
        <f t="shared" si="39"/>
        <v>0</v>
      </c>
      <c r="N166" s="13">
        <f t="shared" si="39"/>
        <v>0</v>
      </c>
      <c r="O166" s="13">
        <f t="shared" si="39"/>
        <v>0</v>
      </c>
      <c r="P166" s="13">
        <f t="shared" si="39"/>
        <v>0</v>
      </c>
      <c r="Q166" s="13">
        <f t="shared" si="39"/>
        <v>0</v>
      </c>
      <c r="R166" s="13">
        <f t="shared" si="39"/>
        <v>0</v>
      </c>
      <c r="S166" s="13">
        <f t="shared" si="39"/>
        <v>0</v>
      </c>
      <c r="T166" s="13">
        <f t="shared" si="39"/>
        <v>1</v>
      </c>
      <c r="U166" s="13">
        <f t="shared" si="39"/>
        <v>2</v>
      </c>
      <c r="V166" s="13">
        <f t="shared" si="39"/>
        <v>5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2.0</v>
      </c>
      <c r="F168" s="19">
        <v>4.0</v>
      </c>
      <c r="G168" s="19">
        <v>3.0</v>
      </c>
      <c r="H168" s="19">
        <v>4.0</v>
      </c>
      <c r="I168" s="19">
        <v>4.0</v>
      </c>
      <c r="J168" s="19">
        <v>5.0</v>
      </c>
      <c r="K168" s="19">
        <v>2.0</v>
      </c>
      <c r="L168" s="19">
        <v>2.0</v>
      </c>
      <c r="M168" s="19">
        <v>5.0</v>
      </c>
      <c r="N168" s="19">
        <v>9.0</v>
      </c>
      <c r="O168" s="19">
        <v>5.0</v>
      </c>
      <c r="P168" s="19">
        <v>8.0</v>
      </c>
      <c r="Q168" s="19">
        <v>9.0</v>
      </c>
      <c r="R168" s="19">
        <v>12.0</v>
      </c>
      <c r="S168" s="19">
        <v>23.0</v>
      </c>
      <c r="T168" s="19">
        <v>4.0</v>
      </c>
      <c r="U168" s="19">
        <v>2.0</v>
      </c>
      <c r="V168" s="13">
        <f t="shared" ref="V168:V175" si="40">SUM(E168:U168)</f>
        <v>103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26.0</v>
      </c>
      <c r="F169" s="19">
        <v>9.0</v>
      </c>
      <c r="G169" s="19">
        <v>18.0</v>
      </c>
      <c r="H169" s="19">
        <v>36.0</v>
      </c>
      <c r="I169" s="19">
        <v>19.0</v>
      </c>
      <c r="J169" s="19">
        <v>14.0</v>
      </c>
      <c r="K169" s="19">
        <v>11.0</v>
      </c>
      <c r="L169" s="19">
        <v>19.0</v>
      </c>
      <c r="M169" s="19">
        <v>18.0</v>
      </c>
      <c r="N169" s="19">
        <v>25.0</v>
      </c>
      <c r="O169" s="19">
        <v>9.0</v>
      </c>
      <c r="P169" s="19">
        <v>8.0</v>
      </c>
      <c r="Q169" s="19">
        <v>10.0</v>
      </c>
      <c r="R169" s="19">
        <v>24.0</v>
      </c>
      <c r="S169" s="19">
        <v>39.0</v>
      </c>
      <c r="T169" s="19">
        <v>51.0</v>
      </c>
      <c r="U169" s="19">
        <v>18.0</v>
      </c>
      <c r="V169" s="13">
        <f t="shared" si="40"/>
        <v>354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0.0</v>
      </c>
      <c r="F170" s="19">
        <v>0.0</v>
      </c>
      <c r="G170" s="19">
        <v>2.0</v>
      </c>
      <c r="H170" s="19">
        <v>0.0</v>
      </c>
      <c r="I170" s="19">
        <v>6.0</v>
      </c>
      <c r="J170" s="19">
        <v>5.0</v>
      </c>
      <c r="K170" s="19">
        <v>1.0</v>
      </c>
      <c r="L170" s="19">
        <v>0.0</v>
      </c>
      <c r="M170" s="19">
        <v>4.0</v>
      </c>
      <c r="N170" s="19">
        <v>1.0</v>
      </c>
      <c r="O170" s="19">
        <v>1.0</v>
      </c>
      <c r="P170" s="19">
        <v>1.0</v>
      </c>
      <c r="Q170" s="19">
        <v>1.0</v>
      </c>
      <c r="R170" s="19">
        <v>0.0</v>
      </c>
      <c r="S170" s="19">
        <v>1.0</v>
      </c>
      <c r="T170" s="19">
        <v>0.0</v>
      </c>
      <c r="U170" s="19">
        <v>0.0</v>
      </c>
      <c r="V170" s="13">
        <f t="shared" si="40"/>
        <v>23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0.0</v>
      </c>
      <c r="F171" s="19">
        <v>0.0</v>
      </c>
      <c r="G171" s="19">
        <v>0.0</v>
      </c>
      <c r="H171" s="19">
        <v>1.0</v>
      </c>
      <c r="I171" s="19">
        <v>3.0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1.0</v>
      </c>
      <c r="V171" s="13">
        <f t="shared" si="40"/>
        <v>5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1.0</v>
      </c>
      <c r="F172" s="19">
        <v>0.0</v>
      </c>
      <c r="G172" s="19">
        <v>0.0</v>
      </c>
      <c r="H172" s="19">
        <v>2.0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3">
        <f t="shared" si="40"/>
        <v>3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0.0</v>
      </c>
      <c r="F173" s="19">
        <v>0.0</v>
      </c>
      <c r="G173" s="19">
        <v>1.0</v>
      </c>
      <c r="H173" s="19">
        <v>1.0</v>
      </c>
      <c r="I173" s="19">
        <v>0.0</v>
      </c>
      <c r="J173" s="19">
        <v>0.0</v>
      </c>
      <c r="K173" s="19">
        <v>0.0</v>
      </c>
      <c r="L173" s="19">
        <v>0.0</v>
      </c>
      <c r="M173" s="19">
        <v>0.0</v>
      </c>
      <c r="N173" s="19">
        <v>0.0</v>
      </c>
      <c r="O173" s="19">
        <v>0.0</v>
      </c>
      <c r="P173" s="19">
        <v>0.0</v>
      </c>
      <c r="Q173" s="19">
        <v>1.0</v>
      </c>
      <c r="R173" s="19">
        <v>2.0</v>
      </c>
      <c r="S173" s="19">
        <v>0.0</v>
      </c>
      <c r="T173" s="19">
        <v>0.0</v>
      </c>
      <c r="U173" s="19">
        <v>0.0</v>
      </c>
      <c r="V173" s="13">
        <f t="shared" si="40"/>
        <v>5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1.0</v>
      </c>
      <c r="Q174" s="19">
        <v>1.0</v>
      </c>
      <c r="R174" s="19">
        <v>0.0</v>
      </c>
      <c r="S174" s="19">
        <v>0.0</v>
      </c>
      <c r="T174" s="19">
        <v>0.0</v>
      </c>
      <c r="U174" s="19">
        <v>1.0</v>
      </c>
      <c r="V174" s="13">
        <f t="shared" si="40"/>
        <v>3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0.0</v>
      </c>
      <c r="F175" s="19">
        <v>0.0</v>
      </c>
      <c r="G175" s="19">
        <v>0.0</v>
      </c>
      <c r="H175" s="19">
        <v>0.0</v>
      </c>
      <c r="I175" s="19">
        <v>0.0</v>
      </c>
      <c r="J175" s="19">
        <v>0.0</v>
      </c>
      <c r="K175" s="19">
        <v>0.0</v>
      </c>
      <c r="L175" s="19">
        <v>1.0</v>
      </c>
      <c r="M175" s="19">
        <v>0.0</v>
      </c>
      <c r="N175" s="19">
        <v>0.0</v>
      </c>
      <c r="O175" s="19">
        <v>1.0</v>
      </c>
      <c r="P175" s="19">
        <v>0.0</v>
      </c>
      <c r="Q175" s="19">
        <v>3.0</v>
      </c>
      <c r="R175" s="19">
        <v>1.0</v>
      </c>
      <c r="S175" s="19">
        <v>0.0</v>
      </c>
      <c r="T175" s="19">
        <v>1.0</v>
      </c>
      <c r="U175" s="19">
        <v>1.0</v>
      </c>
      <c r="V175" s="13">
        <f t="shared" si="40"/>
        <v>8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V176" si="41">SUM(E168:E175)</f>
        <v>29</v>
      </c>
      <c r="F176" s="13">
        <f t="shared" si="41"/>
        <v>13</v>
      </c>
      <c r="G176" s="13">
        <f t="shared" si="41"/>
        <v>24</v>
      </c>
      <c r="H176" s="13">
        <f t="shared" si="41"/>
        <v>44</v>
      </c>
      <c r="I176" s="13">
        <f t="shared" si="41"/>
        <v>32</v>
      </c>
      <c r="J176" s="13">
        <f t="shared" si="41"/>
        <v>24</v>
      </c>
      <c r="K176" s="13">
        <f t="shared" si="41"/>
        <v>14</v>
      </c>
      <c r="L176" s="13">
        <f t="shared" si="41"/>
        <v>22</v>
      </c>
      <c r="M176" s="13">
        <f t="shared" si="41"/>
        <v>27</v>
      </c>
      <c r="N176" s="13">
        <f t="shared" si="41"/>
        <v>35</v>
      </c>
      <c r="O176" s="13">
        <f t="shared" si="41"/>
        <v>16</v>
      </c>
      <c r="P176" s="13">
        <f t="shared" si="41"/>
        <v>18</v>
      </c>
      <c r="Q176" s="13">
        <f t="shared" si="41"/>
        <v>25</v>
      </c>
      <c r="R176" s="13">
        <f t="shared" si="41"/>
        <v>39</v>
      </c>
      <c r="S176" s="13">
        <f t="shared" si="41"/>
        <v>63</v>
      </c>
      <c r="T176" s="13">
        <f t="shared" si="41"/>
        <v>56</v>
      </c>
      <c r="U176" s="13">
        <f t="shared" si="41"/>
        <v>23</v>
      </c>
      <c r="V176" s="13">
        <f t="shared" si="41"/>
        <v>504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0.0</v>
      </c>
      <c r="F178" s="19">
        <v>1.0</v>
      </c>
      <c r="G178" s="19">
        <v>0.0</v>
      </c>
      <c r="H178" s="19">
        <v>0.0</v>
      </c>
      <c r="I178" s="19">
        <v>2.0</v>
      </c>
      <c r="J178" s="19">
        <v>2.0</v>
      </c>
      <c r="K178" s="19">
        <v>2.0</v>
      </c>
      <c r="L178" s="19">
        <v>1.0</v>
      </c>
      <c r="M178" s="19">
        <v>0.0</v>
      </c>
      <c r="N178" s="19">
        <v>1.0</v>
      </c>
      <c r="O178" s="19">
        <v>0.0</v>
      </c>
      <c r="P178" s="19">
        <v>2.0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3">
        <f t="shared" ref="V178:V185" si="42">SUM(E178:U178)</f>
        <v>11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0.0</v>
      </c>
      <c r="F179" s="19">
        <v>1.0</v>
      </c>
      <c r="G179" s="19">
        <v>2.0</v>
      </c>
      <c r="H179" s="19">
        <v>0.0</v>
      </c>
      <c r="I179" s="19">
        <v>1.0</v>
      </c>
      <c r="J179" s="19">
        <v>0.0</v>
      </c>
      <c r="K179" s="19">
        <v>0.0</v>
      </c>
      <c r="L179" s="19">
        <v>1.0</v>
      </c>
      <c r="M179" s="19">
        <v>1.0</v>
      </c>
      <c r="N179" s="19">
        <v>2.0</v>
      </c>
      <c r="O179" s="19">
        <v>0.0</v>
      </c>
      <c r="P179" s="19">
        <v>0.0</v>
      </c>
      <c r="Q179" s="19">
        <v>0.0</v>
      </c>
      <c r="R179" s="19">
        <v>2.0</v>
      </c>
      <c r="S179" s="19">
        <v>0.0</v>
      </c>
      <c r="T179" s="19">
        <v>0.0</v>
      </c>
      <c r="U179" s="19">
        <v>0.0</v>
      </c>
      <c r="V179" s="13">
        <f t="shared" si="42"/>
        <v>10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2.0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3.0</v>
      </c>
      <c r="L180" s="19">
        <v>0.0</v>
      </c>
      <c r="M180" s="19">
        <v>0.0</v>
      </c>
      <c r="N180" s="19">
        <v>0.0</v>
      </c>
      <c r="O180" s="19">
        <v>4.0</v>
      </c>
      <c r="P180" s="19">
        <v>0.0</v>
      </c>
      <c r="Q180" s="19">
        <v>0.0</v>
      </c>
      <c r="R180" s="19">
        <v>1.0</v>
      </c>
      <c r="S180" s="19">
        <v>0.0</v>
      </c>
      <c r="T180" s="19">
        <v>0.0</v>
      </c>
      <c r="U180" s="19">
        <v>0.0</v>
      </c>
      <c r="V180" s="13">
        <f t="shared" si="42"/>
        <v>11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0.0</v>
      </c>
      <c r="H181" s="19">
        <v>1.0</v>
      </c>
      <c r="I181" s="19">
        <v>0.0</v>
      </c>
      <c r="J181" s="19">
        <v>1.0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2.0</v>
      </c>
      <c r="S181" s="19">
        <v>0.0</v>
      </c>
      <c r="T181" s="19">
        <v>0.0</v>
      </c>
      <c r="U181" s="19">
        <v>0.0</v>
      </c>
      <c r="V181" s="13">
        <f t="shared" si="42"/>
        <v>4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3">
        <f t="shared" si="42"/>
        <v>0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3">
        <f t="shared" si="42"/>
        <v>0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0.0</v>
      </c>
      <c r="F184" s="19">
        <v>0.0</v>
      </c>
      <c r="G184" s="19">
        <v>1.0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3">
        <f t="shared" si="42"/>
        <v>1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0.0</v>
      </c>
      <c r="G185" s="19">
        <v>0.0</v>
      </c>
      <c r="H185" s="19">
        <v>1.0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9">
        <v>1.0</v>
      </c>
      <c r="S185" s="19">
        <v>0.0</v>
      </c>
      <c r="T185" s="19">
        <v>0.0</v>
      </c>
      <c r="U185" s="19">
        <v>0.0</v>
      </c>
      <c r="V185" s="13">
        <f t="shared" si="42"/>
        <v>2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V186" si="43">SUM(E178:E185)</f>
        <v>2</v>
      </c>
      <c r="F186" s="13">
        <f t="shared" si="43"/>
        <v>2</v>
      </c>
      <c r="G186" s="13">
        <f t="shared" si="43"/>
        <v>3</v>
      </c>
      <c r="H186" s="13">
        <f t="shared" si="43"/>
        <v>3</v>
      </c>
      <c r="I186" s="13">
        <f t="shared" si="43"/>
        <v>3</v>
      </c>
      <c r="J186" s="13">
        <f t="shared" si="43"/>
        <v>3</v>
      </c>
      <c r="K186" s="13">
        <f t="shared" si="43"/>
        <v>5</v>
      </c>
      <c r="L186" s="13">
        <f t="shared" si="43"/>
        <v>2</v>
      </c>
      <c r="M186" s="13">
        <f t="shared" si="43"/>
        <v>1</v>
      </c>
      <c r="N186" s="13">
        <f t="shared" si="43"/>
        <v>3</v>
      </c>
      <c r="O186" s="13">
        <f t="shared" si="43"/>
        <v>4</v>
      </c>
      <c r="P186" s="13">
        <f t="shared" si="43"/>
        <v>2</v>
      </c>
      <c r="Q186" s="13">
        <f t="shared" si="43"/>
        <v>0</v>
      </c>
      <c r="R186" s="13">
        <f t="shared" si="43"/>
        <v>6</v>
      </c>
      <c r="S186" s="13">
        <f t="shared" si="43"/>
        <v>0</v>
      </c>
      <c r="T186" s="13">
        <f t="shared" si="43"/>
        <v>0</v>
      </c>
      <c r="U186" s="13">
        <f t="shared" si="43"/>
        <v>0</v>
      </c>
      <c r="V186" s="13">
        <f t="shared" si="43"/>
        <v>39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0.0</v>
      </c>
      <c r="F188" s="19">
        <v>0.0</v>
      </c>
      <c r="G188" s="19">
        <v>0.0</v>
      </c>
      <c r="H188" s="19">
        <v>0.0</v>
      </c>
      <c r="I188" s="19">
        <v>0.0</v>
      </c>
      <c r="J188" s="19">
        <v>1.0</v>
      </c>
      <c r="K188" s="19">
        <v>0.0</v>
      </c>
      <c r="L188" s="19">
        <v>0.0</v>
      </c>
      <c r="M188" s="19">
        <v>0.0</v>
      </c>
      <c r="N188" s="19">
        <v>0.0</v>
      </c>
      <c r="O188" s="19">
        <v>0.0</v>
      </c>
      <c r="P188" s="19">
        <v>0.0</v>
      </c>
      <c r="Q188" s="19">
        <v>0.0</v>
      </c>
      <c r="R188" s="19">
        <v>1.0</v>
      </c>
      <c r="S188" s="19">
        <v>1.0</v>
      </c>
      <c r="T188" s="19">
        <v>0.0</v>
      </c>
      <c r="U188" s="19">
        <v>0.0</v>
      </c>
      <c r="V188" s="13">
        <f t="shared" ref="V188:V195" si="44">SUM(E188:U188)</f>
        <v>3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1.0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1.0</v>
      </c>
      <c r="R189" s="19">
        <v>0.0</v>
      </c>
      <c r="S189" s="19">
        <v>1.0</v>
      </c>
      <c r="T189" s="19">
        <v>0.0</v>
      </c>
      <c r="U189" s="19">
        <v>0.0</v>
      </c>
      <c r="V189" s="13">
        <f t="shared" si="44"/>
        <v>4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3">
        <f t="shared" si="44"/>
        <v>0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1.0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1.0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3">
        <f t="shared" si="44"/>
        <v>2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3">
        <f t="shared" si="44"/>
        <v>0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3">
        <f t="shared" si="44"/>
        <v>0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3">
        <f t="shared" si="44"/>
        <v>0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0.0</v>
      </c>
      <c r="G195" s="19">
        <v>1.0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3">
        <f t="shared" si="44"/>
        <v>1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V196" si="45">SUM(E188:E195)</f>
        <v>1</v>
      </c>
      <c r="F196" s="13">
        <f t="shared" si="45"/>
        <v>0</v>
      </c>
      <c r="G196" s="13">
        <f t="shared" si="45"/>
        <v>1</v>
      </c>
      <c r="H196" s="13">
        <f t="shared" si="45"/>
        <v>1</v>
      </c>
      <c r="I196" s="13">
        <f t="shared" si="45"/>
        <v>0</v>
      </c>
      <c r="J196" s="13">
        <f t="shared" si="45"/>
        <v>2</v>
      </c>
      <c r="K196" s="13">
        <f t="shared" si="45"/>
        <v>0</v>
      </c>
      <c r="L196" s="13">
        <f t="shared" si="45"/>
        <v>0</v>
      </c>
      <c r="M196" s="13">
        <f t="shared" si="45"/>
        <v>0</v>
      </c>
      <c r="N196" s="13">
        <f t="shared" si="45"/>
        <v>0</v>
      </c>
      <c r="O196" s="13">
        <f t="shared" si="45"/>
        <v>0</v>
      </c>
      <c r="P196" s="13">
        <f t="shared" si="45"/>
        <v>1</v>
      </c>
      <c r="Q196" s="13">
        <f t="shared" si="45"/>
        <v>1</v>
      </c>
      <c r="R196" s="13">
        <f t="shared" si="45"/>
        <v>1</v>
      </c>
      <c r="S196" s="13">
        <f t="shared" si="45"/>
        <v>2</v>
      </c>
      <c r="T196" s="13">
        <f t="shared" si="45"/>
        <v>0</v>
      </c>
      <c r="U196" s="13">
        <f t="shared" si="45"/>
        <v>0</v>
      </c>
      <c r="V196" s="13">
        <f t="shared" si="45"/>
        <v>10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1.0</v>
      </c>
      <c r="F198" s="19">
        <v>2.0</v>
      </c>
      <c r="G198" s="19">
        <v>1.0</v>
      </c>
      <c r="H198" s="19">
        <v>4.0</v>
      </c>
      <c r="I198" s="19">
        <v>2.0</v>
      </c>
      <c r="J198" s="19">
        <v>8.0</v>
      </c>
      <c r="K198" s="19">
        <v>7.0</v>
      </c>
      <c r="L198" s="19">
        <v>0.0</v>
      </c>
      <c r="M198" s="19">
        <v>0.0</v>
      </c>
      <c r="N198" s="19">
        <v>3.0</v>
      </c>
      <c r="O198" s="19">
        <v>0.0</v>
      </c>
      <c r="P198" s="19">
        <v>0.0</v>
      </c>
      <c r="Q198" s="19">
        <v>0.0</v>
      </c>
      <c r="R198" s="19">
        <v>1.0</v>
      </c>
      <c r="S198" s="19">
        <v>2.0</v>
      </c>
      <c r="T198" s="19">
        <v>2.0</v>
      </c>
      <c r="U198" s="19">
        <v>2.0</v>
      </c>
      <c r="V198" s="13">
        <f t="shared" ref="V198:V205" si="46">SUM(E198:U198)</f>
        <v>35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0.0</v>
      </c>
      <c r="F199" s="19">
        <v>1.0</v>
      </c>
      <c r="G199" s="19">
        <v>1.0</v>
      </c>
      <c r="H199" s="19">
        <v>1.0</v>
      </c>
      <c r="I199" s="19">
        <v>0.0</v>
      </c>
      <c r="J199" s="19">
        <v>1.0</v>
      </c>
      <c r="K199" s="19">
        <v>0.0</v>
      </c>
      <c r="L199" s="19">
        <v>0.0</v>
      </c>
      <c r="M199" s="19">
        <v>0.0</v>
      </c>
      <c r="N199" s="19">
        <v>0.0</v>
      </c>
      <c r="O199" s="19">
        <v>0.0</v>
      </c>
      <c r="P199" s="19">
        <v>0.0</v>
      </c>
      <c r="Q199" s="19">
        <v>0.0</v>
      </c>
      <c r="R199" s="19">
        <v>0.0</v>
      </c>
      <c r="S199" s="19">
        <v>1.0</v>
      </c>
      <c r="T199" s="19">
        <v>0.0</v>
      </c>
      <c r="U199" s="19">
        <v>1.0</v>
      </c>
      <c r="V199" s="13">
        <f t="shared" si="46"/>
        <v>6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0.0</v>
      </c>
      <c r="F200" s="19">
        <v>1.0</v>
      </c>
      <c r="G200" s="19">
        <v>1.0</v>
      </c>
      <c r="H200" s="19">
        <v>2.0</v>
      </c>
      <c r="I200" s="19">
        <v>0.0</v>
      </c>
      <c r="J200" s="19">
        <v>2.0</v>
      </c>
      <c r="K200" s="19">
        <v>0.0</v>
      </c>
      <c r="L200" s="19">
        <v>1.0</v>
      </c>
      <c r="M200" s="19">
        <v>0.0</v>
      </c>
      <c r="N200" s="19">
        <v>0.0</v>
      </c>
      <c r="O200" s="19">
        <v>0.0</v>
      </c>
      <c r="P200" s="19">
        <v>0.0</v>
      </c>
      <c r="Q200" s="19">
        <v>0.0</v>
      </c>
      <c r="R200" s="19">
        <v>0.0</v>
      </c>
      <c r="S200" s="19">
        <v>1.0</v>
      </c>
      <c r="T200" s="19">
        <v>2.0</v>
      </c>
      <c r="U200" s="19">
        <v>16.0</v>
      </c>
      <c r="V200" s="13">
        <f t="shared" si="46"/>
        <v>26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0.0</v>
      </c>
      <c r="G201" s="19">
        <v>0.0</v>
      </c>
      <c r="H201" s="19">
        <v>0.0</v>
      </c>
      <c r="I201" s="19">
        <v>0.0</v>
      </c>
      <c r="J201" s="19">
        <v>0.0</v>
      </c>
      <c r="K201" s="19">
        <v>0.0</v>
      </c>
      <c r="L201" s="19">
        <v>1.0</v>
      </c>
      <c r="M201" s="19">
        <v>0.0</v>
      </c>
      <c r="N201" s="19">
        <v>0.0</v>
      </c>
      <c r="O201" s="19">
        <v>0.0</v>
      </c>
      <c r="P201" s="19">
        <v>0.0</v>
      </c>
      <c r="Q201" s="19">
        <v>1.0</v>
      </c>
      <c r="R201" s="19">
        <v>0.0</v>
      </c>
      <c r="S201" s="19">
        <v>0.0</v>
      </c>
      <c r="T201" s="19">
        <v>0.0</v>
      </c>
      <c r="U201" s="19">
        <v>0.0</v>
      </c>
      <c r="V201" s="13">
        <f t="shared" si="46"/>
        <v>2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0.0</v>
      </c>
      <c r="F202" s="19">
        <v>1.0</v>
      </c>
      <c r="G202" s="19">
        <v>0.0</v>
      </c>
      <c r="H202" s="19">
        <v>0.0</v>
      </c>
      <c r="I202" s="19">
        <v>0.0</v>
      </c>
      <c r="J202" s="19">
        <v>1.0</v>
      </c>
      <c r="K202" s="19">
        <v>1.0</v>
      </c>
      <c r="L202" s="19">
        <v>0.0</v>
      </c>
      <c r="M202" s="19">
        <v>0.0</v>
      </c>
      <c r="N202" s="19">
        <v>0.0</v>
      </c>
      <c r="O202" s="19">
        <v>0.0</v>
      </c>
      <c r="P202" s="19">
        <v>0.0</v>
      </c>
      <c r="Q202" s="19">
        <v>0.0</v>
      </c>
      <c r="R202" s="19">
        <v>1.0</v>
      </c>
      <c r="S202" s="19">
        <v>0.0</v>
      </c>
      <c r="T202" s="19">
        <v>0.0</v>
      </c>
      <c r="U202" s="19">
        <v>0.0</v>
      </c>
      <c r="V202" s="13">
        <f t="shared" si="46"/>
        <v>4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0.0</v>
      </c>
      <c r="H203" s="19">
        <v>1.0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9">
        <v>0.0</v>
      </c>
      <c r="T203" s="19">
        <v>0.0</v>
      </c>
      <c r="U203" s="19">
        <v>0.0</v>
      </c>
      <c r="V203" s="13">
        <f t="shared" si="46"/>
        <v>1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1.0</v>
      </c>
      <c r="S204" s="19">
        <v>1.0</v>
      </c>
      <c r="T204" s="19">
        <v>0.0</v>
      </c>
      <c r="U204" s="19">
        <v>2.0</v>
      </c>
      <c r="V204" s="13">
        <f t="shared" si="46"/>
        <v>4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25.0</v>
      </c>
      <c r="F205" s="19">
        <v>20.0</v>
      </c>
      <c r="G205" s="19">
        <v>11.0</v>
      </c>
      <c r="H205" s="19">
        <v>23.0</v>
      </c>
      <c r="I205" s="19">
        <v>12.0</v>
      </c>
      <c r="J205" s="19">
        <v>43.0</v>
      </c>
      <c r="K205" s="19">
        <v>40.0</v>
      </c>
      <c r="L205" s="19">
        <v>14.0</v>
      </c>
      <c r="M205" s="19">
        <v>17.0</v>
      </c>
      <c r="N205" s="19">
        <v>8.0</v>
      </c>
      <c r="O205" s="19">
        <v>25.0</v>
      </c>
      <c r="P205" s="19">
        <v>33.0</v>
      </c>
      <c r="Q205" s="19">
        <v>44.0</v>
      </c>
      <c r="R205" s="19">
        <v>34.0</v>
      </c>
      <c r="S205" s="19">
        <v>32.0</v>
      </c>
      <c r="T205" s="19">
        <v>13.0</v>
      </c>
      <c r="U205" s="19">
        <v>3.0</v>
      </c>
      <c r="V205" s="13">
        <f t="shared" si="46"/>
        <v>397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V206" si="47">SUM(E198:E205)</f>
        <v>26</v>
      </c>
      <c r="F206" s="13">
        <f t="shared" si="47"/>
        <v>25</v>
      </c>
      <c r="G206" s="13">
        <f t="shared" si="47"/>
        <v>14</v>
      </c>
      <c r="H206" s="13">
        <f t="shared" si="47"/>
        <v>31</v>
      </c>
      <c r="I206" s="13">
        <f t="shared" si="47"/>
        <v>14</v>
      </c>
      <c r="J206" s="13">
        <f t="shared" si="47"/>
        <v>55</v>
      </c>
      <c r="K206" s="13">
        <f t="shared" si="47"/>
        <v>48</v>
      </c>
      <c r="L206" s="13">
        <f t="shared" si="47"/>
        <v>16</v>
      </c>
      <c r="M206" s="13">
        <f t="shared" si="47"/>
        <v>17</v>
      </c>
      <c r="N206" s="13">
        <f t="shared" si="47"/>
        <v>11</v>
      </c>
      <c r="O206" s="13">
        <f t="shared" si="47"/>
        <v>25</v>
      </c>
      <c r="P206" s="13">
        <f t="shared" si="47"/>
        <v>33</v>
      </c>
      <c r="Q206" s="13">
        <f t="shared" si="47"/>
        <v>45</v>
      </c>
      <c r="R206" s="13">
        <f t="shared" si="47"/>
        <v>37</v>
      </c>
      <c r="S206" s="13">
        <f t="shared" si="47"/>
        <v>37</v>
      </c>
      <c r="T206" s="13">
        <f t="shared" si="47"/>
        <v>17</v>
      </c>
      <c r="U206" s="13">
        <f t="shared" si="47"/>
        <v>24</v>
      </c>
      <c r="V206" s="13">
        <f t="shared" si="47"/>
        <v>475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1.0</v>
      </c>
      <c r="N208" s="19">
        <v>0.0</v>
      </c>
      <c r="O208" s="19">
        <v>0.0</v>
      </c>
      <c r="P208" s="19">
        <v>1.0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3">
        <f t="shared" ref="V208:V214" si="48">SUM(E208:U208)</f>
        <v>2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1.0</v>
      </c>
      <c r="L209" s="19">
        <v>0.0</v>
      </c>
      <c r="M209" s="19">
        <v>1.0</v>
      </c>
      <c r="N209" s="19">
        <v>0.0</v>
      </c>
      <c r="O209" s="19">
        <v>0.0</v>
      </c>
      <c r="P209" s="19">
        <v>0.0</v>
      </c>
      <c r="Q209" s="19">
        <v>0.0</v>
      </c>
      <c r="R209" s="19">
        <v>1.0</v>
      </c>
      <c r="S209" s="19">
        <v>0.0</v>
      </c>
      <c r="T209" s="19">
        <v>0.0</v>
      </c>
      <c r="U209" s="19">
        <v>0.0</v>
      </c>
      <c r="V209" s="13">
        <f t="shared" si="48"/>
        <v>3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9">
        <v>0.0</v>
      </c>
      <c r="U210" s="19">
        <v>0.0</v>
      </c>
      <c r="V210" s="13">
        <f t="shared" si="48"/>
        <v>0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0.0</v>
      </c>
      <c r="S211" s="19">
        <v>0.0</v>
      </c>
      <c r="T211" s="19">
        <v>0.0</v>
      </c>
      <c r="U211" s="19">
        <v>0.0</v>
      </c>
      <c r="V211" s="13">
        <f t="shared" si="48"/>
        <v>0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1.0</v>
      </c>
      <c r="N212" s="19">
        <v>0.0</v>
      </c>
      <c r="O212" s="19">
        <v>0.0</v>
      </c>
      <c r="P212" s="19">
        <v>0.0</v>
      </c>
      <c r="Q212" s="19">
        <v>0.0</v>
      </c>
      <c r="R212" s="19">
        <v>0.0</v>
      </c>
      <c r="S212" s="19">
        <v>0.0</v>
      </c>
      <c r="T212" s="19">
        <v>0.0</v>
      </c>
      <c r="U212" s="19">
        <v>0.0</v>
      </c>
      <c r="V212" s="13">
        <f t="shared" si="48"/>
        <v>1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9">
        <v>0.0</v>
      </c>
      <c r="S213" s="19">
        <v>0.0</v>
      </c>
      <c r="T213" s="19">
        <v>1.0</v>
      </c>
      <c r="U213" s="19">
        <v>0.0</v>
      </c>
      <c r="V213" s="13">
        <f t="shared" si="48"/>
        <v>1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0.0</v>
      </c>
      <c r="S214" s="19">
        <v>0.0</v>
      </c>
      <c r="T214" s="19">
        <v>0.0</v>
      </c>
      <c r="U214" s="19">
        <v>0.0</v>
      </c>
      <c r="V214" s="13">
        <f t="shared" si="48"/>
        <v>0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V215" si="49">SUM(E208:E214)</f>
        <v>0</v>
      </c>
      <c r="F215" s="13">
        <f t="shared" si="49"/>
        <v>0</v>
      </c>
      <c r="G215" s="13">
        <f t="shared" si="49"/>
        <v>0</v>
      </c>
      <c r="H215" s="13">
        <f t="shared" si="49"/>
        <v>0</v>
      </c>
      <c r="I215" s="13">
        <f t="shared" si="49"/>
        <v>0</v>
      </c>
      <c r="J215" s="13">
        <f t="shared" si="49"/>
        <v>0</v>
      </c>
      <c r="K215" s="13">
        <f t="shared" si="49"/>
        <v>1</v>
      </c>
      <c r="L215" s="13">
        <f t="shared" si="49"/>
        <v>0</v>
      </c>
      <c r="M215" s="13">
        <f t="shared" si="49"/>
        <v>3</v>
      </c>
      <c r="N215" s="13">
        <f t="shared" si="49"/>
        <v>0</v>
      </c>
      <c r="O215" s="13">
        <f t="shared" si="49"/>
        <v>0</v>
      </c>
      <c r="P215" s="13">
        <f t="shared" si="49"/>
        <v>1</v>
      </c>
      <c r="Q215" s="13">
        <f t="shared" si="49"/>
        <v>0</v>
      </c>
      <c r="R215" s="13">
        <f t="shared" si="49"/>
        <v>1</v>
      </c>
      <c r="S215" s="13">
        <f t="shared" si="49"/>
        <v>0</v>
      </c>
      <c r="T215" s="13">
        <f t="shared" si="49"/>
        <v>1</v>
      </c>
      <c r="U215" s="13">
        <f t="shared" si="49"/>
        <v>0</v>
      </c>
      <c r="V215" s="13">
        <f t="shared" si="49"/>
        <v>7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71"/>
      <c r="O217" s="71"/>
      <c r="P217" s="71"/>
      <c r="Q217" s="71"/>
      <c r="R217" s="13"/>
      <c r="S217" s="13"/>
      <c r="T217" s="71"/>
      <c r="U217" s="71"/>
      <c r="V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U218" si="50">E53+E63+E73+E83+E93+E103+E109+E119+E129+E136+E146+E156+E166+E176+E186+E196+E206+E215</f>
        <v>163</v>
      </c>
      <c r="F218" s="19">
        <f t="shared" si="50"/>
        <v>166</v>
      </c>
      <c r="G218" s="19">
        <f t="shared" si="50"/>
        <v>170</v>
      </c>
      <c r="H218" s="19">
        <f t="shared" si="50"/>
        <v>177</v>
      </c>
      <c r="I218" s="19">
        <f t="shared" si="50"/>
        <v>201</v>
      </c>
      <c r="J218" s="19">
        <f t="shared" si="50"/>
        <v>202</v>
      </c>
      <c r="K218" s="19">
        <f t="shared" si="50"/>
        <v>198</v>
      </c>
      <c r="L218" s="19">
        <f t="shared" si="50"/>
        <v>228</v>
      </c>
      <c r="M218" s="19">
        <f t="shared" si="50"/>
        <v>185</v>
      </c>
      <c r="N218" s="19">
        <f t="shared" si="50"/>
        <v>175</v>
      </c>
      <c r="O218" s="19">
        <f t="shared" si="50"/>
        <v>176</v>
      </c>
      <c r="P218" s="19">
        <f t="shared" si="50"/>
        <v>138</v>
      </c>
      <c r="Q218" s="19">
        <f t="shared" si="50"/>
        <v>186</v>
      </c>
      <c r="R218" s="19">
        <f t="shared" si="50"/>
        <v>156</v>
      </c>
      <c r="S218" s="19">
        <f t="shared" si="50"/>
        <v>138</v>
      </c>
      <c r="T218" s="19">
        <f t="shared" si="50"/>
        <v>180</v>
      </c>
      <c r="U218" s="19">
        <f t="shared" si="50"/>
        <v>153</v>
      </c>
      <c r="V218" s="13">
        <f t="shared" ref="V218:V220" si="51">SUM(E218:U218)</f>
        <v>2992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12.0</v>
      </c>
      <c r="F219" s="19">
        <v>15.0</v>
      </c>
      <c r="G219" s="19">
        <v>12.0</v>
      </c>
      <c r="H219" s="19">
        <v>12.0</v>
      </c>
      <c r="I219" s="19">
        <v>14.0</v>
      </c>
      <c r="J219" s="19">
        <v>121.0</v>
      </c>
      <c r="K219" s="19">
        <v>19.0</v>
      </c>
      <c r="L219" s="19">
        <v>10.0</v>
      </c>
      <c r="M219" s="19">
        <v>14.0</v>
      </c>
      <c r="N219" s="19">
        <v>11.0</v>
      </c>
      <c r="O219" s="19">
        <v>15.0</v>
      </c>
      <c r="P219" s="19">
        <v>6.0</v>
      </c>
      <c r="Q219" s="19">
        <v>21.0</v>
      </c>
      <c r="R219" s="19">
        <v>16.0</v>
      </c>
      <c r="S219" s="19">
        <v>14.0</v>
      </c>
      <c r="T219" s="19">
        <v>0.0</v>
      </c>
      <c r="U219" s="19">
        <v>6.0</v>
      </c>
      <c r="V219" s="13">
        <f t="shared" si="51"/>
        <v>318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U220" si="52">SUM(E218:E219)</f>
        <v>175</v>
      </c>
      <c r="F220" s="13">
        <f t="shared" si="52"/>
        <v>181</v>
      </c>
      <c r="G220" s="13">
        <f t="shared" si="52"/>
        <v>182</v>
      </c>
      <c r="H220" s="13">
        <f t="shared" si="52"/>
        <v>189</v>
      </c>
      <c r="I220" s="13">
        <f t="shared" si="52"/>
        <v>215</v>
      </c>
      <c r="J220" s="13">
        <f t="shared" si="52"/>
        <v>323</v>
      </c>
      <c r="K220" s="13">
        <f t="shared" si="52"/>
        <v>217</v>
      </c>
      <c r="L220" s="13">
        <f t="shared" si="52"/>
        <v>238</v>
      </c>
      <c r="M220" s="13">
        <f t="shared" si="52"/>
        <v>199</v>
      </c>
      <c r="N220" s="13">
        <f t="shared" si="52"/>
        <v>186</v>
      </c>
      <c r="O220" s="13">
        <f t="shared" si="52"/>
        <v>191</v>
      </c>
      <c r="P220" s="13">
        <f t="shared" si="52"/>
        <v>144</v>
      </c>
      <c r="Q220" s="13">
        <f t="shared" si="52"/>
        <v>207</v>
      </c>
      <c r="R220" s="13">
        <f t="shared" si="52"/>
        <v>172</v>
      </c>
      <c r="S220" s="13">
        <f t="shared" si="52"/>
        <v>152</v>
      </c>
      <c r="T220" s="13">
        <f t="shared" si="52"/>
        <v>180</v>
      </c>
      <c r="U220" s="13">
        <f t="shared" si="52"/>
        <v>159</v>
      </c>
      <c r="V220" s="13">
        <f t="shared" si="51"/>
        <v>3310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63:D63"/>
    <mergeCell ref="A64:E64"/>
    <mergeCell ref="C65:D65"/>
    <mergeCell ref="B73:D73"/>
    <mergeCell ref="A74:E74"/>
    <mergeCell ref="C75:D75"/>
    <mergeCell ref="B83:D83"/>
    <mergeCell ref="A84:E84"/>
    <mergeCell ref="C85:D85"/>
    <mergeCell ref="B93:D93"/>
    <mergeCell ref="A94:E94"/>
    <mergeCell ref="C95:D95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A187:E187"/>
    <mergeCell ref="C188:D188"/>
    <mergeCell ref="B217:D217"/>
    <mergeCell ref="C218:D218"/>
    <mergeCell ref="C219:D219"/>
    <mergeCell ref="C220:D220"/>
    <mergeCell ref="B196:D196"/>
    <mergeCell ref="A197:E197"/>
    <mergeCell ref="C198:D198"/>
    <mergeCell ref="B206:D206"/>
    <mergeCell ref="A207:E207"/>
    <mergeCell ref="C208:D208"/>
    <mergeCell ref="B215:D215"/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3:D53"/>
    <mergeCell ref="A54:E54"/>
    <mergeCell ref="C55:D55"/>
    <mergeCell ref="C46:D46"/>
    <mergeCell ref="C47:D47"/>
    <mergeCell ref="C48:D48"/>
    <mergeCell ref="C49:D49"/>
    <mergeCell ref="C50:D50"/>
    <mergeCell ref="C51:D51"/>
    <mergeCell ref="C52:D52"/>
  </mergeCells>
  <conditionalFormatting sqref="E14:U15">
    <cfRule type="containsBlanks" dxfId="0" priority="1">
      <formula>LEN(TRIM(E14))=0</formula>
    </cfRule>
  </conditionalFormatting>
  <conditionalFormatting sqref="E19:U20">
    <cfRule type="containsBlanks" dxfId="0" priority="2">
      <formula>LEN(TRIM(E19))=0</formula>
    </cfRule>
  </conditionalFormatting>
  <conditionalFormatting sqref="E22:U23 E25:U26 E33:U33 E35:U35 E39:U40">
    <cfRule type="containsBlanks" dxfId="0" priority="3">
      <formula>LEN(TRIM(E22))=0</formula>
    </cfRule>
  </conditionalFormatting>
  <conditionalFormatting sqref="E30:U30">
    <cfRule type="expression" dxfId="1" priority="4">
      <formula>E30&lt;&gt;E47</formula>
    </cfRule>
  </conditionalFormatting>
  <conditionalFormatting sqref="E30:U30">
    <cfRule type="expression" dxfId="1" priority="5">
      <formula>E30&lt;&gt;E34</formula>
    </cfRule>
  </conditionalFormatting>
  <conditionalFormatting sqref="E45:U52">
    <cfRule type="containsBlanks" dxfId="0" priority="6">
      <formula>LEN(TRIM(E45))=0</formula>
    </cfRule>
  </conditionalFormatting>
  <conditionalFormatting sqref="E55:U62">
    <cfRule type="containsBlanks" dxfId="0" priority="7">
      <formula>LEN(TRIM(E55))=0</formula>
    </cfRule>
  </conditionalFormatting>
  <conditionalFormatting sqref="E65:U72">
    <cfRule type="containsBlanks" dxfId="0" priority="8">
      <formula>LEN(TRIM(E65))=0</formula>
    </cfRule>
  </conditionalFormatting>
  <conditionalFormatting sqref="E75:U82">
    <cfRule type="containsBlanks" dxfId="0" priority="9">
      <formula>LEN(TRIM(E75))=0</formula>
    </cfRule>
  </conditionalFormatting>
  <conditionalFormatting sqref="E85:U92">
    <cfRule type="containsBlanks" dxfId="0" priority="10">
      <formula>LEN(TRIM(E85))=0</formula>
    </cfRule>
  </conditionalFormatting>
  <conditionalFormatting sqref="E95:U102">
    <cfRule type="containsBlanks" dxfId="0" priority="11">
      <formula>LEN(TRIM(E95))=0</formula>
    </cfRule>
  </conditionalFormatting>
  <conditionalFormatting sqref="E105:U108">
    <cfRule type="containsBlanks" dxfId="0" priority="12">
      <formula>LEN(TRIM(E105))=0</formula>
    </cfRule>
  </conditionalFormatting>
  <conditionalFormatting sqref="E111:U118">
    <cfRule type="containsBlanks" dxfId="0" priority="13">
      <formula>LEN(TRIM(E111))=0</formula>
    </cfRule>
  </conditionalFormatting>
  <conditionalFormatting sqref="E131:U135">
    <cfRule type="containsBlanks" dxfId="0" priority="14">
      <formula>LEN(TRIM(E131))=0</formula>
    </cfRule>
  </conditionalFormatting>
  <conditionalFormatting sqref="E138:U145">
    <cfRule type="containsBlanks" dxfId="0" priority="15">
      <formula>LEN(TRIM(E138))=0</formula>
    </cfRule>
  </conditionalFormatting>
  <conditionalFormatting sqref="E148:U155">
    <cfRule type="containsBlanks" dxfId="0" priority="16">
      <formula>LEN(TRIM(E148))=0</formula>
    </cfRule>
  </conditionalFormatting>
  <conditionalFormatting sqref="E158:U165">
    <cfRule type="containsBlanks" dxfId="0" priority="17">
      <formula>LEN(TRIM(E158))=0</formula>
    </cfRule>
  </conditionalFormatting>
  <conditionalFormatting sqref="E168:U175">
    <cfRule type="containsBlanks" dxfId="0" priority="18">
      <formula>LEN(TRIM(E168))=0</formula>
    </cfRule>
  </conditionalFormatting>
  <conditionalFormatting sqref="E178:U185">
    <cfRule type="containsBlanks" dxfId="0" priority="19">
      <formula>LEN(TRIM(E178))=0</formula>
    </cfRule>
  </conditionalFormatting>
  <conditionalFormatting sqref="E188:S195">
    <cfRule type="containsBlanks" dxfId="0" priority="20">
      <formula>LEN(TRIM(E188))=0</formula>
    </cfRule>
  </conditionalFormatting>
  <conditionalFormatting sqref="E198:U205">
    <cfRule type="containsBlanks" dxfId="0" priority="21">
      <formula>LEN(TRIM(E198))=0</formula>
    </cfRule>
  </conditionalFormatting>
  <conditionalFormatting sqref="E208:U214">
    <cfRule type="containsBlanks" dxfId="0" priority="22">
      <formula>LEN(TRIM(E208))=0</formula>
    </cfRule>
  </conditionalFormatting>
  <conditionalFormatting sqref="E218:U219">
    <cfRule type="containsBlanks" dxfId="0" priority="23">
      <formula>LEN(TRIM(E218))=0</formula>
    </cfRule>
  </conditionalFormatting>
  <conditionalFormatting sqref="E34:U34">
    <cfRule type="expression" dxfId="2" priority="24">
      <formula>E30&lt;&gt;E34</formula>
    </cfRule>
  </conditionalFormatting>
  <conditionalFormatting sqref="E34:U34">
    <cfRule type="expression" dxfId="3" priority="25">
      <formula>E30=E34</formula>
    </cfRule>
  </conditionalFormatting>
  <conditionalFormatting sqref="E34:U34">
    <cfRule type="expression" dxfId="1" priority="26">
      <formula>E34&lt;&gt;E30</formula>
    </cfRule>
  </conditionalFormatting>
  <conditionalFormatting sqref="E34:U34">
    <cfRule type="expression" dxfId="1" priority="27">
      <formula>E34&lt;&gt;E62</formula>
    </cfRule>
  </conditionalFormatting>
  <conditionalFormatting sqref="E121:U128">
    <cfRule type="containsBlanks" dxfId="0" priority="28">
      <formula>LEN(TRIM(E121))=0</formula>
    </cfRule>
  </conditionalFormatting>
  <conditionalFormatting sqref="T188:U195">
    <cfRule type="containsBlanks" dxfId="0" priority="29">
      <formula>LEN(TRIM(T188))=0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97.0</v>
      </c>
      <c r="G14" s="19">
        <v>117.0</v>
      </c>
      <c r="H14" s="19">
        <v>127.0</v>
      </c>
      <c r="I14" s="19">
        <v>131.0</v>
      </c>
      <c r="J14" s="19">
        <v>133.0</v>
      </c>
      <c r="K14" s="19">
        <v>116.0</v>
      </c>
      <c r="L14" s="19">
        <v>108.0</v>
      </c>
      <c r="M14" s="19">
        <v>131.0</v>
      </c>
      <c r="N14" s="19">
        <v>123.0</v>
      </c>
      <c r="O14" s="19">
        <v>118.0</v>
      </c>
      <c r="P14" s="19">
        <v>116.0</v>
      </c>
      <c r="Q14" s="19">
        <v>128.0</v>
      </c>
      <c r="R14" s="19">
        <v>129.0</v>
      </c>
      <c r="S14" s="13">
        <f t="shared" ref="S14:S16" si="1">SUM(E14:R14)</f>
        <v>1714</v>
      </c>
    </row>
    <row r="15" ht="12.75" customHeight="1">
      <c r="A15" s="18"/>
      <c r="B15" s="26"/>
      <c r="C15" s="27"/>
      <c r="D15" s="19" t="s">
        <v>13</v>
      </c>
      <c r="E15" s="19">
        <v>115.0</v>
      </c>
      <c r="F15" s="19">
        <v>100.0</v>
      </c>
      <c r="G15" s="19">
        <v>116.0</v>
      </c>
      <c r="H15" s="19">
        <v>135.0</v>
      </c>
      <c r="I15" s="19">
        <v>128.0</v>
      </c>
      <c r="J15" s="19">
        <v>135.0</v>
      </c>
      <c r="K15" s="19">
        <v>124.0</v>
      </c>
      <c r="L15" s="19">
        <v>94.0</v>
      </c>
      <c r="M15" s="19">
        <v>140.0</v>
      </c>
      <c r="N15" s="19">
        <v>128.0</v>
      </c>
      <c r="O15" s="19">
        <v>108.0</v>
      </c>
      <c r="P15" s="19">
        <v>111.0</v>
      </c>
      <c r="Q15" s="19">
        <v>121.0</v>
      </c>
      <c r="R15" s="19">
        <v>111.0</v>
      </c>
      <c r="S15" s="13">
        <f t="shared" si="1"/>
        <v>1666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255</v>
      </c>
      <c r="F16" s="13">
        <f t="shared" si="2"/>
        <v>197</v>
      </c>
      <c r="G16" s="13">
        <f t="shared" si="2"/>
        <v>233</v>
      </c>
      <c r="H16" s="13">
        <f t="shared" si="2"/>
        <v>262</v>
      </c>
      <c r="I16" s="13">
        <f t="shared" si="2"/>
        <v>259</v>
      </c>
      <c r="J16" s="13">
        <f t="shared" si="2"/>
        <v>268</v>
      </c>
      <c r="K16" s="13">
        <f t="shared" si="2"/>
        <v>240</v>
      </c>
      <c r="L16" s="13">
        <f t="shared" si="2"/>
        <v>202</v>
      </c>
      <c r="M16" s="13">
        <f t="shared" si="2"/>
        <v>271</v>
      </c>
      <c r="N16" s="13">
        <f t="shared" si="2"/>
        <v>251</v>
      </c>
      <c r="O16" s="13">
        <f t="shared" si="2"/>
        <v>226</v>
      </c>
      <c r="P16" s="13">
        <f t="shared" si="2"/>
        <v>227</v>
      </c>
      <c r="Q16" s="13">
        <f t="shared" si="2"/>
        <v>249</v>
      </c>
      <c r="R16" s="13">
        <f t="shared" si="2"/>
        <v>240</v>
      </c>
      <c r="S16" s="13">
        <f t="shared" si="1"/>
        <v>3380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19"/>
      <c r="R17" s="19"/>
      <c r="S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19"/>
      <c r="R18" s="19"/>
      <c r="S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71.0</v>
      </c>
      <c r="G19" s="19">
        <v>89.0</v>
      </c>
      <c r="H19" s="19">
        <v>98.0</v>
      </c>
      <c r="I19" s="19">
        <v>99.0</v>
      </c>
      <c r="J19" s="19">
        <v>110.0</v>
      </c>
      <c r="K19" s="19">
        <v>87.0</v>
      </c>
      <c r="L19" s="19">
        <v>87.0</v>
      </c>
      <c r="M19" s="19">
        <v>100.0</v>
      </c>
      <c r="N19" s="19">
        <v>93.0</v>
      </c>
      <c r="O19" s="19">
        <v>95.0</v>
      </c>
      <c r="P19" s="19">
        <v>101.0</v>
      </c>
      <c r="Q19" s="19">
        <v>107.0</v>
      </c>
      <c r="R19" s="19">
        <v>112.0</v>
      </c>
      <c r="S19" s="13">
        <f t="shared" ref="S19:S30" si="3">SUM(E19:R19)</f>
        <v>1360</v>
      </c>
    </row>
    <row r="20" ht="12.75" customHeight="1">
      <c r="A20" s="33"/>
      <c r="B20" s="27"/>
      <c r="C20" s="34"/>
      <c r="D20" s="19" t="s">
        <v>13</v>
      </c>
      <c r="E20" s="19">
        <v>89.0</v>
      </c>
      <c r="F20" s="19">
        <v>70.0</v>
      </c>
      <c r="G20" s="19">
        <v>91.0</v>
      </c>
      <c r="H20" s="19">
        <v>112.0</v>
      </c>
      <c r="I20" s="19">
        <v>101.0</v>
      </c>
      <c r="J20" s="19">
        <v>109.0</v>
      </c>
      <c r="K20" s="19">
        <v>99.0</v>
      </c>
      <c r="L20" s="19">
        <v>83.0</v>
      </c>
      <c r="M20" s="19">
        <v>109.0</v>
      </c>
      <c r="N20" s="19">
        <v>101.0</v>
      </c>
      <c r="O20" s="19">
        <v>91.0</v>
      </c>
      <c r="P20" s="19">
        <v>88.0</v>
      </c>
      <c r="Q20" s="19">
        <v>98.0</v>
      </c>
      <c r="R20" s="19">
        <v>98.0</v>
      </c>
      <c r="S20" s="13">
        <f t="shared" si="3"/>
        <v>1339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200</v>
      </c>
      <c r="F21" s="13">
        <f t="shared" si="4"/>
        <v>141</v>
      </c>
      <c r="G21" s="13">
        <f t="shared" si="4"/>
        <v>180</v>
      </c>
      <c r="H21" s="13">
        <f t="shared" si="4"/>
        <v>210</v>
      </c>
      <c r="I21" s="13">
        <f t="shared" si="4"/>
        <v>200</v>
      </c>
      <c r="J21" s="13">
        <f t="shared" si="4"/>
        <v>219</v>
      </c>
      <c r="K21" s="13">
        <f t="shared" si="4"/>
        <v>186</v>
      </c>
      <c r="L21" s="13">
        <f t="shared" si="4"/>
        <v>170</v>
      </c>
      <c r="M21" s="13">
        <f t="shared" si="4"/>
        <v>209</v>
      </c>
      <c r="N21" s="13">
        <f t="shared" si="4"/>
        <v>194</v>
      </c>
      <c r="O21" s="13">
        <f t="shared" si="4"/>
        <v>186</v>
      </c>
      <c r="P21" s="13">
        <f t="shared" si="4"/>
        <v>189</v>
      </c>
      <c r="Q21" s="13">
        <f t="shared" si="4"/>
        <v>205</v>
      </c>
      <c r="R21" s="13">
        <f t="shared" si="4"/>
        <v>210</v>
      </c>
      <c r="S21" s="13">
        <f t="shared" si="3"/>
        <v>2699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3"/>
        <v>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111</v>
      </c>
      <c r="F28" s="13">
        <f t="shared" si="7"/>
        <v>71</v>
      </c>
      <c r="G28" s="13">
        <f t="shared" si="7"/>
        <v>89</v>
      </c>
      <c r="H28" s="13">
        <f t="shared" si="7"/>
        <v>98</v>
      </c>
      <c r="I28" s="13">
        <f t="shared" si="7"/>
        <v>99</v>
      </c>
      <c r="J28" s="13">
        <f t="shared" si="7"/>
        <v>110</v>
      </c>
      <c r="K28" s="13">
        <f t="shared" si="7"/>
        <v>87</v>
      </c>
      <c r="L28" s="13">
        <f t="shared" si="7"/>
        <v>87</v>
      </c>
      <c r="M28" s="13">
        <f t="shared" si="7"/>
        <v>100</v>
      </c>
      <c r="N28" s="13">
        <f t="shared" si="7"/>
        <v>93</v>
      </c>
      <c r="O28" s="13">
        <f t="shared" si="7"/>
        <v>95</v>
      </c>
      <c r="P28" s="13">
        <f t="shared" si="7"/>
        <v>101</v>
      </c>
      <c r="Q28" s="13">
        <f t="shared" si="7"/>
        <v>107</v>
      </c>
      <c r="R28" s="13">
        <f t="shared" si="7"/>
        <v>112</v>
      </c>
      <c r="S28" s="13">
        <f t="shared" si="3"/>
        <v>1360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89</v>
      </c>
      <c r="F29" s="13">
        <f t="shared" si="8"/>
        <v>70</v>
      </c>
      <c r="G29" s="13">
        <f t="shared" si="8"/>
        <v>91</v>
      </c>
      <c r="H29" s="13">
        <f t="shared" si="8"/>
        <v>112</v>
      </c>
      <c r="I29" s="13">
        <f t="shared" si="8"/>
        <v>101</v>
      </c>
      <c r="J29" s="13">
        <f t="shared" si="8"/>
        <v>109</v>
      </c>
      <c r="K29" s="13">
        <f t="shared" si="8"/>
        <v>99</v>
      </c>
      <c r="L29" s="13">
        <f t="shared" si="8"/>
        <v>83</v>
      </c>
      <c r="M29" s="13">
        <f t="shared" si="8"/>
        <v>109</v>
      </c>
      <c r="N29" s="13">
        <f t="shared" si="8"/>
        <v>101</v>
      </c>
      <c r="O29" s="13">
        <f t="shared" si="8"/>
        <v>91</v>
      </c>
      <c r="P29" s="13">
        <f t="shared" si="8"/>
        <v>88</v>
      </c>
      <c r="Q29" s="13">
        <f t="shared" si="8"/>
        <v>98</v>
      </c>
      <c r="R29" s="13">
        <f t="shared" si="8"/>
        <v>98</v>
      </c>
      <c r="S29" s="13">
        <f t="shared" si="3"/>
        <v>1339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200</v>
      </c>
      <c r="F30" s="13">
        <f t="shared" si="9"/>
        <v>141</v>
      </c>
      <c r="G30" s="13">
        <f t="shared" si="9"/>
        <v>180</v>
      </c>
      <c r="H30" s="13">
        <f t="shared" si="9"/>
        <v>210</v>
      </c>
      <c r="I30" s="13">
        <f t="shared" si="9"/>
        <v>200</v>
      </c>
      <c r="J30" s="13">
        <f t="shared" si="9"/>
        <v>219</v>
      </c>
      <c r="K30" s="13">
        <f t="shared" si="9"/>
        <v>186</v>
      </c>
      <c r="L30" s="13">
        <f t="shared" si="9"/>
        <v>170</v>
      </c>
      <c r="M30" s="13">
        <f t="shared" si="9"/>
        <v>209</v>
      </c>
      <c r="N30" s="13">
        <f t="shared" si="9"/>
        <v>194</v>
      </c>
      <c r="O30" s="13">
        <f t="shared" si="9"/>
        <v>186</v>
      </c>
      <c r="P30" s="13">
        <f t="shared" si="9"/>
        <v>189</v>
      </c>
      <c r="Q30" s="13">
        <f t="shared" si="9"/>
        <v>205</v>
      </c>
      <c r="R30" s="13">
        <f t="shared" si="9"/>
        <v>210</v>
      </c>
      <c r="S30" s="13">
        <f t="shared" si="3"/>
        <v>2699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19"/>
      <c r="R31" s="19"/>
      <c r="S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1"/>
      <c r="O32" s="71"/>
      <c r="P32" s="71"/>
      <c r="Q32" s="13"/>
      <c r="R32" s="13"/>
      <c r="S32" s="70"/>
    </row>
    <row r="33" ht="12.75" customHeight="1">
      <c r="A33" s="19">
        <v>1.0</v>
      </c>
      <c r="B33" s="20" t="s">
        <v>27</v>
      </c>
      <c r="C33" s="15"/>
      <c r="D33" s="16"/>
      <c r="E33" s="19">
        <v>261.0</v>
      </c>
      <c r="F33" s="19">
        <v>201.0</v>
      </c>
      <c r="G33" s="19">
        <v>238.0</v>
      </c>
      <c r="H33" s="19">
        <v>268.0</v>
      </c>
      <c r="I33" s="19">
        <v>265.0</v>
      </c>
      <c r="J33" s="19">
        <v>274.0</v>
      </c>
      <c r="K33" s="19">
        <v>245.0</v>
      </c>
      <c r="L33" s="19">
        <v>207.0</v>
      </c>
      <c r="M33" s="19">
        <v>277.0</v>
      </c>
      <c r="N33" s="19">
        <v>257.0</v>
      </c>
      <c r="O33" s="19">
        <v>231.0</v>
      </c>
      <c r="P33" s="19">
        <v>232.0</v>
      </c>
      <c r="Q33" s="19">
        <v>254.0</v>
      </c>
      <c r="R33" s="19">
        <v>245.0</v>
      </c>
      <c r="S33" s="13">
        <f t="shared" ref="S33:S36" si="10">SUM(E33:R33)</f>
        <v>3455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141.0</v>
      </c>
      <c r="G34" s="13">
        <v>180.0</v>
      </c>
      <c r="H34" s="13">
        <v>210.0</v>
      </c>
      <c r="I34" s="13">
        <v>200.0</v>
      </c>
      <c r="J34" s="13">
        <v>219.0</v>
      </c>
      <c r="K34" s="13">
        <v>186.0</v>
      </c>
      <c r="L34" s="13">
        <v>170.0</v>
      </c>
      <c r="M34" s="13">
        <v>209.0</v>
      </c>
      <c r="N34" s="13">
        <v>194.0</v>
      </c>
      <c r="O34" s="13">
        <v>186.0</v>
      </c>
      <c r="P34" s="13">
        <v>189.0</v>
      </c>
      <c r="Q34" s="13">
        <v>205.0</v>
      </c>
      <c r="R34" s="13">
        <v>210.0</v>
      </c>
      <c r="S34" s="13">
        <f t="shared" si="10"/>
        <v>2699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1.0</v>
      </c>
      <c r="I35" s="19">
        <v>0.0</v>
      </c>
      <c r="J35" s="19">
        <v>0.0</v>
      </c>
      <c r="K35" s="19">
        <v>1.0</v>
      </c>
      <c r="L35" s="19">
        <v>0.0</v>
      </c>
      <c r="M35" s="19">
        <v>0.0</v>
      </c>
      <c r="N35" s="19">
        <v>2.0</v>
      </c>
      <c r="O35" s="19">
        <v>1.0</v>
      </c>
      <c r="P35" s="19">
        <v>0.0</v>
      </c>
      <c r="Q35" s="19">
        <v>0.0</v>
      </c>
      <c r="R35" s="19">
        <v>0.0</v>
      </c>
      <c r="S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61</v>
      </c>
      <c r="F36" s="13">
        <f t="shared" si="11"/>
        <v>60</v>
      </c>
      <c r="G36" s="13">
        <f t="shared" si="11"/>
        <v>57</v>
      </c>
      <c r="H36" s="13">
        <f t="shared" si="11"/>
        <v>57</v>
      </c>
      <c r="I36" s="13">
        <f t="shared" si="11"/>
        <v>65</v>
      </c>
      <c r="J36" s="13">
        <f t="shared" si="11"/>
        <v>55</v>
      </c>
      <c r="K36" s="13">
        <f t="shared" si="11"/>
        <v>58</v>
      </c>
      <c r="L36" s="13">
        <f t="shared" si="11"/>
        <v>37</v>
      </c>
      <c r="M36" s="13">
        <f t="shared" si="11"/>
        <v>68</v>
      </c>
      <c r="N36" s="13">
        <f t="shared" si="11"/>
        <v>61</v>
      </c>
      <c r="O36" s="13">
        <f t="shared" si="11"/>
        <v>44</v>
      </c>
      <c r="P36" s="13">
        <f t="shared" si="11"/>
        <v>43</v>
      </c>
      <c r="Q36" s="13">
        <f t="shared" si="11"/>
        <v>49</v>
      </c>
      <c r="R36" s="13">
        <f t="shared" si="11"/>
        <v>35</v>
      </c>
      <c r="S36" s="13">
        <f t="shared" si="10"/>
        <v>750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1"/>
      <c r="O38" s="71"/>
      <c r="P38" s="71"/>
      <c r="Q38" s="13"/>
      <c r="R38" s="13"/>
      <c r="S38" s="7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4.0</v>
      </c>
      <c r="O39" s="19">
        <v>0.0</v>
      </c>
      <c r="P39" s="19">
        <v>0.0</v>
      </c>
      <c r="Q39" s="19">
        <v>0.0</v>
      </c>
      <c r="R39" s="19">
        <v>1.0</v>
      </c>
      <c r="S39" s="13">
        <f t="shared" ref="S39:S41" si="12">SUM(E39:R39)</f>
        <v>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2.0</v>
      </c>
      <c r="S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1</v>
      </c>
      <c r="M41" s="13">
        <f t="shared" si="13"/>
        <v>0</v>
      </c>
      <c r="N41" s="13">
        <f t="shared" si="13"/>
        <v>4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3</v>
      </c>
      <c r="S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1"/>
      <c r="O43" s="13"/>
      <c r="P43" s="71"/>
      <c r="Q43" s="13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69"/>
      <c r="Q44" s="19"/>
      <c r="R44" s="19"/>
      <c r="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9.0</v>
      </c>
      <c r="G45" s="19">
        <v>4.0</v>
      </c>
      <c r="H45" s="19">
        <v>18.0</v>
      </c>
      <c r="I45" s="19">
        <v>5.0</v>
      </c>
      <c r="J45" s="19">
        <v>10.0</v>
      </c>
      <c r="K45" s="19">
        <v>7.0</v>
      </c>
      <c r="L45" s="19">
        <v>10.0</v>
      </c>
      <c r="M45" s="19">
        <v>7.0</v>
      </c>
      <c r="N45" s="19">
        <v>5.0</v>
      </c>
      <c r="O45" s="19">
        <v>4.0</v>
      </c>
      <c r="P45" s="19">
        <v>9.0</v>
      </c>
      <c r="Q45" s="19">
        <v>4.0</v>
      </c>
      <c r="R45" s="19">
        <v>3.0</v>
      </c>
      <c r="S45" s="13">
        <f t="shared" ref="S45:S52" si="14">SUM(E45:R45)</f>
        <v>103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8.0</v>
      </c>
      <c r="F46" s="19">
        <v>18.0</v>
      </c>
      <c r="G46" s="19">
        <v>3.0</v>
      </c>
      <c r="H46" s="19">
        <v>38.0</v>
      </c>
      <c r="I46" s="19">
        <v>17.0</v>
      </c>
      <c r="J46" s="19">
        <v>26.0</v>
      </c>
      <c r="K46" s="19">
        <v>29.0</v>
      </c>
      <c r="L46" s="19">
        <v>14.0</v>
      </c>
      <c r="M46" s="19">
        <v>13.0</v>
      </c>
      <c r="N46" s="19">
        <v>16.0</v>
      </c>
      <c r="O46" s="19">
        <v>19.0</v>
      </c>
      <c r="P46" s="19">
        <v>21.0</v>
      </c>
      <c r="Q46" s="19">
        <v>8.0</v>
      </c>
      <c r="R46" s="19">
        <v>9.0</v>
      </c>
      <c r="S46" s="13">
        <f t="shared" si="14"/>
        <v>239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2.0</v>
      </c>
      <c r="G47" s="19">
        <v>3.0</v>
      </c>
      <c r="H47" s="19">
        <v>2.0</v>
      </c>
      <c r="I47" s="19">
        <v>2.0</v>
      </c>
      <c r="J47" s="19">
        <v>3.0</v>
      </c>
      <c r="K47" s="19">
        <v>1.0</v>
      </c>
      <c r="L47" s="19">
        <v>0.0</v>
      </c>
      <c r="M47" s="19">
        <v>0.0</v>
      </c>
      <c r="N47" s="19">
        <v>2.0</v>
      </c>
      <c r="O47" s="19">
        <v>0.0</v>
      </c>
      <c r="P47" s="19">
        <v>3.0</v>
      </c>
      <c r="Q47" s="19">
        <v>0.0</v>
      </c>
      <c r="R47" s="19">
        <v>1.0</v>
      </c>
      <c r="S47" s="13">
        <f t="shared" si="14"/>
        <v>21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2.0</v>
      </c>
      <c r="I48" s="19">
        <v>0.0</v>
      </c>
      <c r="J48" s="19">
        <v>2.0</v>
      </c>
      <c r="K48" s="19">
        <v>1.0</v>
      </c>
      <c r="L48" s="19">
        <v>2.0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1.0</v>
      </c>
      <c r="S48" s="13">
        <f t="shared" si="14"/>
        <v>9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1.0</v>
      </c>
      <c r="J49" s="19">
        <v>1.0</v>
      </c>
      <c r="K49" s="19">
        <v>1.0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3">
        <f t="shared" si="14"/>
        <v>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1.0</v>
      </c>
      <c r="H50" s="19">
        <v>0.0</v>
      </c>
      <c r="I50" s="19">
        <v>1.0</v>
      </c>
      <c r="J50" s="19">
        <v>0.0</v>
      </c>
      <c r="K50" s="19">
        <v>1.0</v>
      </c>
      <c r="L50" s="19">
        <v>0.0</v>
      </c>
      <c r="M50" s="19">
        <v>0.0</v>
      </c>
      <c r="N50" s="19">
        <v>1.0</v>
      </c>
      <c r="O50" s="19">
        <v>0.0</v>
      </c>
      <c r="P50" s="19">
        <v>0.0</v>
      </c>
      <c r="Q50" s="19">
        <v>0.0</v>
      </c>
      <c r="R50" s="19">
        <v>0.0</v>
      </c>
      <c r="S50" s="13">
        <f t="shared" si="14"/>
        <v>4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1.0</v>
      </c>
      <c r="P51" s="19">
        <v>0.0</v>
      </c>
      <c r="Q51" s="19">
        <v>0.0</v>
      </c>
      <c r="R51" s="19">
        <v>0.0</v>
      </c>
      <c r="S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1.0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1.0</v>
      </c>
      <c r="R52" s="19">
        <v>0.0</v>
      </c>
      <c r="S52" s="13">
        <f t="shared" si="14"/>
        <v>3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S53" si="15">SUM(E45:E52)</f>
        <v>19</v>
      </c>
      <c r="F53" s="13">
        <f t="shared" si="15"/>
        <v>29</v>
      </c>
      <c r="G53" s="13">
        <f t="shared" si="15"/>
        <v>12</v>
      </c>
      <c r="H53" s="13">
        <f t="shared" si="15"/>
        <v>61</v>
      </c>
      <c r="I53" s="13">
        <f t="shared" si="15"/>
        <v>27</v>
      </c>
      <c r="J53" s="13">
        <f t="shared" si="15"/>
        <v>42</v>
      </c>
      <c r="K53" s="13">
        <f t="shared" si="15"/>
        <v>40</v>
      </c>
      <c r="L53" s="13">
        <f t="shared" si="15"/>
        <v>26</v>
      </c>
      <c r="M53" s="13">
        <f t="shared" si="15"/>
        <v>21</v>
      </c>
      <c r="N53" s="13">
        <f t="shared" si="15"/>
        <v>24</v>
      </c>
      <c r="O53" s="13">
        <f t="shared" si="15"/>
        <v>24</v>
      </c>
      <c r="P53" s="13">
        <f t="shared" si="15"/>
        <v>33</v>
      </c>
      <c r="Q53" s="13">
        <f t="shared" si="15"/>
        <v>13</v>
      </c>
      <c r="R53" s="13">
        <f t="shared" si="15"/>
        <v>14</v>
      </c>
      <c r="S53" s="13">
        <f t="shared" si="15"/>
        <v>385</v>
      </c>
    </row>
    <row r="54" ht="12.75" customHeight="1">
      <c r="A54" s="45"/>
      <c r="B54" s="44"/>
      <c r="C54" s="44"/>
      <c r="D54" s="44"/>
      <c r="E54" s="44"/>
      <c r="S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7.0</v>
      </c>
      <c r="F55" s="19">
        <v>3.0</v>
      </c>
      <c r="G55" s="19">
        <v>5.0</v>
      </c>
      <c r="H55" s="19">
        <v>4.0</v>
      </c>
      <c r="I55" s="19">
        <v>2.0</v>
      </c>
      <c r="J55" s="19">
        <v>8.0</v>
      </c>
      <c r="K55" s="19">
        <v>1.0</v>
      </c>
      <c r="L55" s="19">
        <v>4.0</v>
      </c>
      <c r="M55" s="19">
        <v>6.0</v>
      </c>
      <c r="N55" s="19">
        <v>1.0</v>
      </c>
      <c r="O55" s="19">
        <v>4.0</v>
      </c>
      <c r="P55" s="19">
        <v>2.0</v>
      </c>
      <c r="Q55" s="19">
        <v>4.0</v>
      </c>
      <c r="R55" s="19">
        <v>4.0</v>
      </c>
      <c r="S55" s="13">
        <f t="shared" ref="S55:S62" si="16">SUM(E55:R55)</f>
        <v>55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2.0</v>
      </c>
      <c r="F56" s="19">
        <v>2.0</v>
      </c>
      <c r="G56" s="19">
        <v>4.0</v>
      </c>
      <c r="H56" s="19">
        <v>8.0</v>
      </c>
      <c r="I56" s="19">
        <v>10.0</v>
      </c>
      <c r="J56" s="19">
        <v>2.0</v>
      </c>
      <c r="K56" s="19">
        <v>0.0</v>
      </c>
      <c r="L56" s="19">
        <v>7.0</v>
      </c>
      <c r="M56" s="19">
        <v>4.0</v>
      </c>
      <c r="N56" s="19">
        <v>1.0</v>
      </c>
      <c r="O56" s="19">
        <v>15.0</v>
      </c>
      <c r="P56" s="19">
        <v>3.0</v>
      </c>
      <c r="Q56" s="19">
        <v>10.0</v>
      </c>
      <c r="R56" s="19">
        <v>4.0</v>
      </c>
      <c r="S56" s="13">
        <f t="shared" si="16"/>
        <v>72</v>
      </c>
    </row>
    <row r="57" ht="12.75" customHeight="1">
      <c r="A57" s="18"/>
      <c r="B57" s="55">
        <v>2.0</v>
      </c>
      <c r="C57" s="50" t="s">
        <v>50</v>
      </c>
      <c r="D57" s="56"/>
      <c r="E57" s="19">
        <v>6.0</v>
      </c>
      <c r="F57" s="19">
        <v>1.0</v>
      </c>
      <c r="G57" s="19">
        <v>2.0</v>
      </c>
      <c r="H57" s="19">
        <v>0.0</v>
      </c>
      <c r="I57" s="19">
        <v>5.0</v>
      </c>
      <c r="J57" s="19">
        <v>4.0</v>
      </c>
      <c r="K57" s="19">
        <v>8.0</v>
      </c>
      <c r="L57" s="19">
        <v>1.0</v>
      </c>
      <c r="M57" s="19">
        <v>1.0</v>
      </c>
      <c r="N57" s="19">
        <v>3.0</v>
      </c>
      <c r="O57" s="19">
        <v>0.0</v>
      </c>
      <c r="P57" s="19">
        <v>0.0</v>
      </c>
      <c r="Q57" s="19">
        <v>1.0</v>
      </c>
      <c r="R57" s="19">
        <v>0.0</v>
      </c>
      <c r="S57" s="13">
        <f t="shared" si="16"/>
        <v>32</v>
      </c>
    </row>
    <row r="58" ht="12.75" customHeight="1">
      <c r="A58" s="18"/>
      <c r="B58" s="55">
        <v>3.0</v>
      </c>
      <c r="C58" s="50" t="s">
        <v>51</v>
      </c>
      <c r="D58" s="56"/>
      <c r="E58" s="19">
        <v>1.0</v>
      </c>
      <c r="F58" s="19">
        <v>0.0</v>
      </c>
      <c r="G58" s="19">
        <v>0.0</v>
      </c>
      <c r="H58" s="19">
        <v>2.0</v>
      </c>
      <c r="I58" s="19">
        <v>1.0</v>
      </c>
      <c r="J58" s="19">
        <v>2.0</v>
      </c>
      <c r="K58" s="19">
        <v>1.0</v>
      </c>
      <c r="L58" s="19">
        <v>1.0</v>
      </c>
      <c r="M58" s="19">
        <v>1.0</v>
      </c>
      <c r="N58" s="19">
        <v>0.0</v>
      </c>
      <c r="O58" s="19">
        <v>0.0</v>
      </c>
      <c r="P58" s="19">
        <v>0.0</v>
      </c>
      <c r="Q58" s="19">
        <v>0.0</v>
      </c>
      <c r="R58" s="19">
        <v>1.0</v>
      </c>
      <c r="S58" s="13">
        <f t="shared" si="16"/>
        <v>10</v>
      </c>
    </row>
    <row r="59" ht="12.75" customHeight="1">
      <c r="A59" s="18"/>
      <c r="B59" s="55">
        <v>4.0</v>
      </c>
      <c r="C59" s="50" t="s">
        <v>52</v>
      </c>
      <c r="D59" s="56"/>
      <c r="E59" s="19">
        <v>1.0</v>
      </c>
      <c r="F59" s="19">
        <v>0.0</v>
      </c>
      <c r="G59" s="19">
        <v>0.0</v>
      </c>
      <c r="H59" s="19">
        <v>1.0</v>
      </c>
      <c r="I59" s="19">
        <v>3.0</v>
      </c>
      <c r="J59" s="19">
        <v>1.0</v>
      </c>
      <c r="K59" s="19">
        <v>1.0</v>
      </c>
      <c r="L59" s="19">
        <v>0.0</v>
      </c>
      <c r="M59" s="19">
        <v>1.0</v>
      </c>
      <c r="N59" s="19">
        <v>0.0</v>
      </c>
      <c r="O59" s="19">
        <v>1.0</v>
      </c>
      <c r="P59" s="19">
        <v>0.0</v>
      </c>
      <c r="Q59" s="19">
        <v>1.0</v>
      </c>
      <c r="R59" s="19">
        <v>3.0</v>
      </c>
      <c r="S59" s="13">
        <f t="shared" si="16"/>
        <v>13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0.0</v>
      </c>
      <c r="G60" s="19">
        <v>1.0</v>
      </c>
      <c r="H60" s="19">
        <v>0.0</v>
      </c>
      <c r="I60" s="19">
        <v>0.0</v>
      </c>
      <c r="J60" s="19">
        <v>1.0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0.0</v>
      </c>
      <c r="S60" s="13">
        <f t="shared" si="16"/>
        <v>2</v>
      </c>
    </row>
    <row r="61" ht="12.75" customHeight="1">
      <c r="A61" s="18"/>
      <c r="B61" s="55">
        <v>6.0</v>
      </c>
      <c r="C61" s="50" t="s">
        <v>54</v>
      </c>
      <c r="D61" s="57"/>
      <c r="E61" s="19">
        <v>0.0</v>
      </c>
      <c r="F61" s="19">
        <v>0.0</v>
      </c>
      <c r="G61" s="19">
        <v>0.0</v>
      </c>
      <c r="H61" s="19">
        <v>0.0</v>
      </c>
      <c r="I61" s="19">
        <v>1.0</v>
      </c>
      <c r="J61" s="19">
        <v>2.0</v>
      </c>
      <c r="K61" s="19">
        <v>0.0</v>
      </c>
      <c r="L61" s="19">
        <v>1.0</v>
      </c>
      <c r="M61" s="19">
        <v>0.0</v>
      </c>
      <c r="N61" s="19">
        <v>0.0</v>
      </c>
      <c r="O61" s="19">
        <v>0.0</v>
      </c>
      <c r="P61" s="19">
        <v>1.0</v>
      </c>
      <c r="Q61" s="19">
        <v>1.0</v>
      </c>
      <c r="R61" s="19">
        <v>0.0</v>
      </c>
      <c r="S61" s="13">
        <f t="shared" si="16"/>
        <v>6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3">
        <f t="shared" si="16"/>
        <v>0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S63" si="17">SUM(E55:E62)</f>
        <v>17</v>
      </c>
      <c r="F63" s="13">
        <f t="shared" si="17"/>
        <v>6</v>
      </c>
      <c r="G63" s="13">
        <f t="shared" si="17"/>
        <v>12</v>
      </c>
      <c r="H63" s="13">
        <f t="shared" si="17"/>
        <v>15</v>
      </c>
      <c r="I63" s="13">
        <f t="shared" si="17"/>
        <v>22</v>
      </c>
      <c r="J63" s="13">
        <f t="shared" si="17"/>
        <v>20</v>
      </c>
      <c r="K63" s="13">
        <f t="shared" si="17"/>
        <v>11</v>
      </c>
      <c r="L63" s="13">
        <f t="shared" si="17"/>
        <v>14</v>
      </c>
      <c r="M63" s="13">
        <f t="shared" si="17"/>
        <v>13</v>
      </c>
      <c r="N63" s="13">
        <f t="shared" si="17"/>
        <v>5</v>
      </c>
      <c r="O63" s="13">
        <f t="shared" si="17"/>
        <v>20</v>
      </c>
      <c r="P63" s="13">
        <f t="shared" si="17"/>
        <v>6</v>
      </c>
      <c r="Q63" s="13">
        <f t="shared" si="17"/>
        <v>17</v>
      </c>
      <c r="R63" s="13">
        <f t="shared" si="17"/>
        <v>12</v>
      </c>
      <c r="S63" s="13">
        <f t="shared" si="17"/>
        <v>190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21.0</v>
      </c>
      <c r="F65" s="19">
        <v>6.0</v>
      </c>
      <c r="G65" s="19">
        <v>6.0</v>
      </c>
      <c r="H65" s="19">
        <v>12.0</v>
      </c>
      <c r="I65" s="19">
        <v>6.0</v>
      </c>
      <c r="J65" s="19">
        <v>7.0</v>
      </c>
      <c r="K65" s="19">
        <v>10.0</v>
      </c>
      <c r="L65" s="19">
        <v>3.0</v>
      </c>
      <c r="M65" s="19">
        <v>12.0</v>
      </c>
      <c r="N65" s="19">
        <v>3.0</v>
      </c>
      <c r="O65" s="19">
        <v>8.0</v>
      </c>
      <c r="P65" s="19">
        <v>9.0</v>
      </c>
      <c r="Q65" s="19">
        <v>15.0</v>
      </c>
      <c r="R65" s="19">
        <v>7.0</v>
      </c>
      <c r="S65" s="13">
        <f t="shared" ref="S65:S72" si="18">SUM(E65:R65)</f>
        <v>125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29.0</v>
      </c>
      <c r="F66" s="19">
        <v>4.0</v>
      </c>
      <c r="G66" s="19">
        <v>17.0</v>
      </c>
      <c r="H66" s="19">
        <v>4.0</v>
      </c>
      <c r="I66" s="19">
        <v>26.0</v>
      </c>
      <c r="J66" s="19">
        <v>10.0</v>
      </c>
      <c r="K66" s="19">
        <v>22.0</v>
      </c>
      <c r="L66" s="19">
        <v>7.0</v>
      </c>
      <c r="M66" s="19">
        <v>2.0</v>
      </c>
      <c r="N66" s="19">
        <v>5.0</v>
      </c>
      <c r="O66" s="19">
        <v>7.0</v>
      </c>
      <c r="P66" s="19">
        <v>7.0</v>
      </c>
      <c r="Q66" s="19">
        <v>12.0</v>
      </c>
      <c r="R66" s="19">
        <v>17.0</v>
      </c>
      <c r="S66" s="13">
        <f t="shared" si="18"/>
        <v>169</v>
      </c>
    </row>
    <row r="67" ht="12.75" customHeight="1">
      <c r="A67" s="18"/>
      <c r="B67" s="55">
        <v>2.0</v>
      </c>
      <c r="C67" s="50" t="s">
        <v>58</v>
      </c>
      <c r="D67" s="57"/>
      <c r="E67" s="19">
        <v>9.0</v>
      </c>
      <c r="F67" s="19">
        <v>2.0</v>
      </c>
      <c r="G67" s="19">
        <v>3.0</v>
      </c>
      <c r="H67" s="19">
        <v>13.0</v>
      </c>
      <c r="I67" s="19">
        <v>1.0</v>
      </c>
      <c r="J67" s="19">
        <v>3.0</v>
      </c>
      <c r="K67" s="19">
        <v>4.0</v>
      </c>
      <c r="L67" s="19">
        <v>0.0</v>
      </c>
      <c r="M67" s="19">
        <v>5.0</v>
      </c>
      <c r="N67" s="19">
        <v>4.0</v>
      </c>
      <c r="O67" s="19">
        <v>1.0</v>
      </c>
      <c r="P67" s="19">
        <v>3.0</v>
      </c>
      <c r="Q67" s="19">
        <v>2.0</v>
      </c>
      <c r="R67" s="19">
        <v>2.0</v>
      </c>
      <c r="S67" s="13">
        <f t="shared" si="18"/>
        <v>52</v>
      </c>
    </row>
    <row r="68" ht="12.75" customHeight="1">
      <c r="A68" s="18"/>
      <c r="B68" s="55">
        <v>3.0</v>
      </c>
      <c r="C68" s="50" t="s">
        <v>59</v>
      </c>
      <c r="D68" s="57"/>
      <c r="E68" s="19">
        <v>8.0</v>
      </c>
      <c r="F68" s="19">
        <v>2.0</v>
      </c>
      <c r="G68" s="19">
        <v>2.0</v>
      </c>
      <c r="H68" s="19">
        <v>19.0</v>
      </c>
      <c r="I68" s="19">
        <v>6.0</v>
      </c>
      <c r="J68" s="19">
        <v>4.0</v>
      </c>
      <c r="K68" s="19">
        <v>3.0</v>
      </c>
      <c r="L68" s="19">
        <v>3.0</v>
      </c>
      <c r="M68" s="19">
        <v>18.0</v>
      </c>
      <c r="N68" s="19">
        <v>35.0</v>
      </c>
      <c r="O68" s="19">
        <v>19.0</v>
      </c>
      <c r="P68" s="19">
        <v>21.0</v>
      </c>
      <c r="Q68" s="19">
        <v>27.0</v>
      </c>
      <c r="R68" s="19">
        <v>5.0</v>
      </c>
      <c r="S68" s="13">
        <f t="shared" si="18"/>
        <v>172</v>
      </c>
    </row>
    <row r="69" ht="12.75" customHeight="1">
      <c r="A69" s="18"/>
      <c r="B69" s="55">
        <v>4.0</v>
      </c>
      <c r="C69" s="50" t="s">
        <v>60</v>
      </c>
      <c r="D69" s="57"/>
      <c r="E69" s="19">
        <v>1.0</v>
      </c>
      <c r="F69" s="19">
        <v>3.0</v>
      </c>
      <c r="G69" s="19">
        <v>6.0</v>
      </c>
      <c r="H69" s="19">
        <v>5.0</v>
      </c>
      <c r="I69" s="19">
        <v>0.0</v>
      </c>
      <c r="J69" s="19">
        <v>0.0</v>
      </c>
      <c r="K69" s="19">
        <v>1.0</v>
      </c>
      <c r="L69" s="19">
        <v>0.0</v>
      </c>
      <c r="M69" s="19">
        <v>9.0</v>
      </c>
      <c r="N69" s="19">
        <v>0.0</v>
      </c>
      <c r="O69" s="19">
        <v>1.0</v>
      </c>
      <c r="P69" s="19">
        <v>4.0</v>
      </c>
      <c r="Q69" s="19">
        <v>7.0</v>
      </c>
      <c r="R69" s="19">
        <v>2.0</v>
      </c>
      <c r="S69" s="13">
        <f t="shared" si="18"/>
        <v>39</v>
      </c>
    </row>
    <row r="70" ht="12.75" customHeight="1">
      <c r="A70" s="18"/>
      <c r="B70" s="55">
        <v>5.0</v>
      </c>
      <c r="C70" s="50" t="s">
        <v>61</v>
      </c>
      <c r="D70" s="57"/>
      <c r="E70" s="19">
        <v>3.0</v>
      </c>
      <c r="F70" s="19">
        <v>0.0</v>
      </c>
      <c r="G70" s="19">
        <v>0.0</v>
      </c>
      <c r="H70" s="19">
        <v>0.0</v>
      </c>
      <c r="I70" s="19">
        <v>2.0</v>
      </c>
      <c r="J70" s="19">
        <v>0.0</v>
      </c>
      <c r="K70" s="19">
        <v>0.0</v>
      </c>
      <c r="L70" s="19">
        <v>1.0</v>
      </c>
      <c r="M70" s="19">
        <v>0.0</v>
      </c>
      <c r="N70" s="19">
        <v>0.0</v>
      </c>
      <c r="O70" s="19">
        <v>1.0</v>
      </c>
      <c r="P70" s="19">
        <v>2.0</v>
      </c>
      <c r="Q70" s="19">
        <v>4.0</v>
      </c>
      <c r="R70" s="19">
        <v>1.0</v>
      </c>
      <c r="S70" s="13">
        <f t="shared" si="18"/>
        <v>14</v>
      </c>
    </row>
    <row r="71" ht="12.75" customHeight="1">
      <c r="A71" s="18"/>
      <c r="B71" s="55">
        <v>6.0</v>
      </c>
      <c r="C71" s="50" t="s">
        <v>62</v>
      </c>
      <c r="D71" s="57"/>
      <c r="E71" s="19">
        <v>0.0</v>
      </c>
      <c r="F71" s="19">
        <v>0.0</v>
      </c>
      <c r="G71" s="19">
        <v>1.0</v>
      </c>
      <c r="H71" s="19">
        <v>0.0</v>
      </c>
      <c r="I71" s="19">
        <v>3.0</v>
      </c>
      <c r="J71" s="19">
        <v>0.0</v>
      </c>
      <c r="K71" s="19">
        <v>2.0</v>
      </c>
      <c r="L71" s="19">
        <v>0.0</v>
      </c>
      <c r="M71" s="19">
        <v>0.0</v>
      </c>
      <c r="N71" s="19">
        <v>1.0</v>
      </c>
      <c r="O71" s="19">
        <v>2.0</v>
      </c>
      <c r="P71" s="19">
        <v>0.0</v>
      </c>
      <c r="Q71" s="19">
        <v>0.0</v>
      </c>
      <c r="R71" s="19">
        <v>0.0</v>
      </c>
      <c r="S71" s="13">
        <f t="shared" si="18"/>
        <v>9</v>
      </c>
    </row>
    <row r="72" ht="12.75" customHeight="1">
      <c r="A72" s="18"/>
      <c r="B72" s="55">
        <v>7.0</v>
      </c>
      <c r="C72" s="50" t="s">
        <v>63</v>
      </c>
      <c r="D72" s="57"/>
      <c r="E72" s="19">
        <v>2.0</v>
      </c>
      <c r="F72" s="19">
        <v>1.0</v>
      </c>
      <c r="G72" s="19">
        <v>10.0</v>
      </c>
      <c r="H72" s="19">
        <v>2.0</v>
      </c>
      <c r="I72" s="19">
        <v>1.0</v>
      </c>
      <c r="J72" s="19">
        <v>4.0</v>
      </c>
      <c r="K72" s="19">
        <v>3.0</v>
      </c>
      <c r="L72" s="19">
        <v>2.0</v>
      </c>
      <c r="M72" s="19">
        <v>0.0</v>
      </c>
      <c r="N72" s="19">
        <v>0.0</v>
      </c>
      <c r="O72" s="19">
        <v>3.0</v>
      </c>
      <c r="P72" s="19">
        <v>7.0</v>
      </c>
      <c r="Q72" s="19">
        <v>7.0</v>
      </c>
      <c r="R72" s="19">
        <v>2.0</v>
      </c>
      <c r="S72" s="13">
        <f t="shared" si="18"/>
        <v>44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S73" si="19">SUM(E65:E72)</f>
        <v>73</v>
      </c>
      <c r="F73" s="13">
        <f t="shared" si="19"/>
        <v>18</v>
      </c>
      <c r="G73" s="13">
        <f t="shared" si="19"/>
        <v>45</v>
      </c>
      <c r="H73" s="13">
        <f t="shared" si="19"/>
        <v>55</v>
      </c>
      <c r="I73" s="13">
        <f t="shared" si="19"/>
        <v>45</v>
      </c>
      <c r="J73" s="13">
        <f t="shared" si="19"/>
        <v>28</v>
      </c>
      <c r="K73" s="13">
        <f t="shared" si="19"/>
        <v>45</v>
      </c>
      <c r="L73" s="13">
        <f t="shared" si="19"/>
        <v>16</v>
      </c>
      <c r="M73" s="13">
        <f t="shared" si="19"/>
        <v>46</v>
      </c>
      <c r="N73" s="13">
        <f t="shared" si="19"/>
        <v>48</v>
      </c>
      <c r="O73" s="13">
        <f t="shared" si="19"/>
        <v>42</v>
      </c>
      <c r="P73" s="13">
        <f t="shared" si="19"/>
        <v>53</v>
      </c>
      <c r="Q73" s="13">
        <f t="shared" si="19"/>
        <v>74</v>
      </c>
      <c r="R73" s="13">
        <f t="shared" si="19"/>
        <v>36</v>
      </c>
      <c r="S73" s="13">
        <f t="shared" si="19"/>
        <v>624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4.0</v>
      </c>
      <c r="F75" s="19">
        <v>7.0</v>
      </c>
      <c r="G75" s="19">
        <v>4.0</v>
      </c>
      <c r="H75" s="19">
        <v>0.0</v>
      </c>
      <c r="I75" s="19">
        <v>1.0</v>
      </c>
      <c r="J75" s="19">
        <v>6.0</v>
      </c>
      <c r="K75" s="19">
        <v>3.0</v>
      </c>
      <c r="L75" s="19">
        <v>12.0</v>
      </c>
      <c r="M75" s="19">
        <v>2.0</v>
      </c>
      <c r="N75" s="19">
        <v>0.0</v>
      </c>
      <c r="O75" s="19">
        <v>0.0</v>
      </c>
      <c r="P75" s="19">
        <v>4.0</v>
      </c>
      <c r="Q75" s="19">
        <v>5.0</v>
      </c>
      <c r="R75" s="19">
        <v>4.0</v>
      </c>
      <c r="S75" s="13">
        <f t="shared" ref="S75:S82" si="20">SUM(E75:R75)</f>
        <v>52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11.0</v>
      </c>
      <c r="F76" s="19">
        <v>28.0</v>
      </c>
      <c r="G76" s="19">
        <v>12.0</v>
      </c>
      <c r="H76" s="19">
        <v>6.0</v>
      </c>
      <c r="I76" s="19">
        <v>12.0</v>
      </c>
      <c r="J76" s="19">
        <v>24.0</v>
      </c>
      <c r="K76" s="19">
        <v>4.0</v>
      </c>
      <c r="L76" s="19">
        <v>50.0</v>
      </c>
      <c r="M76" s="19">
        <v>1.0</v>
      </c>
      <c r="N76" s="19">
        <v>12.0</v>
      </c>
      <c r="O76" s="19">
        <v>6.0</v>
      </c>
      <c r="P76" s="19">
        <v>3.0</v>
      </c>
      <c r="Q76" s="19">
        <v>5.0</v>
      </c>
      <c r="R76" s="19">
        <v>7.0</v>
      </c>
      <c r="S76" s="13">
        <f t="shared" si="20"/>
        <v>181</v>
      </c>
    </row>
    <row r="77" ht="12.75" customHeight="1">
      <c r="A77" s="18"/>
      <c r="B77" s="55">
        <v>2.0</v>
      </c>
      <c r="C77" s="50" t="s">
        <v>66</v>
      </c>
      <c r="D77" s="57"/>
      <c r="E77" s="19">
        <v>8.0</v>
      </c>
      <c r="F77" s="19">
        <v>0.0</v>
      </c>
      <c r="G77" s="19">
        <v>6.0</v>
      </c>
      <c r="H77" s="19">
        <v>1.0</v>
      </c>
      <c r="I77" s="19">
        <v>32.0</v>
      </c>
      <c r="J77" s="19">
        <v>14.0</v>
      </c>
      <c r="K77" s="19">
        <v>6.0</v>
      </c>
      <c r="L77" s="19">
        <v>3.0</v>
      </c>
      <c r="M77" s="19">
        <v>3.0</v>
      </c>
      <c r="N77" s="19">
        <v>5.0</v>
      </c>
      <c r="O77" s="19">
        <v>2.0</v>
      </c>
      <c r="P77" s="19">
        <v>5.0</v>
      </c>
      <c r="Q77" s="19">
        <v>9.0</v>
      </c>
      <c r="R77" s="19">
        <v>42.0</v>
      </c>
      <c r="S77" s="13">
        <f t="shared" si="20"/>
        <v>136</v>
      </c>
    </row>
    <row r="78" ht="12.75" customHeight="1">
      <c r="A78" s="18"/>
      <c r="B78" s="55">
        <v>3.0</v>
      </c>
      <c r="C78" s="50" t="s">
        <v>67</v>
      </c>
      <c r="D78" s="57"/>
      <c r="E78" s="19">
        <v>0.0</v>
      </c>
      <c r="F78" s="19">
        <v>0.0</v>
      </c>
      <c r="G78" s="19">
        <v>0.0</v>
      </c>
      <c r="H78" s="19">
        <v>0.0</v>
      </c>
      <c r="I78" s="19">
        <v>1.0</v>
      </c>
      <c r="J78" s="19">
        <v>0.0</v>
      </c>
      <c r="K78" s="19">
        <v>0.0</v>
      </c>
      <c r="L78" s="19">
        <v>1.0</v>
      </c>
      <c r="M78" s="19">
        <v>0.0</v>
      </c>
      <c r="N78" s="19">
        <v>0.0</v>
      </c>
      <c r="O78" s="19">
        <v>0.0</v>
      </c>
      <c r="P78" s="19">
        <v>1.0</v>
      </c>
      <c r="Q78" s="19">
        <v>0.0</v>
      </c>
      <c r="R78" s="19">
        <v>0.0</v>
      </c>
      <c r="S78" s="13">
        <f t="shared" si="20"/>
        <v>3</v>
      </c>
    </row>
    <row r="79" ht="12.75" customHeight="1">
      <c r="A79" s="18"/>
      <c r="B79" s="55">
        <v>4.0</v>
      </c>
      <c r="C79" s="50" t="s">
        <v>68</v>
      </c>
      <c r="D79" s="57"/>
      <c r="E79" s="19">
        <v>0.0</v>
      </c>
      <c r="F79" s="19">
        <v>0.0</v>
      </c>
      <c r="G79" s="19">
        <v>1.0</v>
      </c>
      <c r="H79" s="19">
        <v>1.0</v>
      </c>
      <c r="I79" s="19">
        <v>4.0</v>
      </c>
      <c r="J79" s="19">
        <v>6.0</v>
      </c>
      <c r="K79" s="19">
        <v>0.0</v>
      </c>
      <c r="L79" s="19">
        <v>0.0</v>
      </c>
      <c r="M79" s="19">
        <v>0.0</v>
      </c>
      <c r="N79" s="19">
        <v>0.0</v>
      </c>
      <c r="O79" s="19">
        <v>0.0</v>
      </c>
      <c r="P79" s="19">
        <v>0.0</v>
      </c>
      <c r="Q79" s="19">
        <v>1.0</v>
      </c>
      <c r="R79" s="19">
        <v>1.0</v>
      </c>
      <c r="S79" s="13">
        <f t="shared" si="20"/>
        <v>14</v>
      </c>
    </row>
    <row r="80" ht="12.75" customHeight="1">
      <c r="A80" s="18"/>
      <c r="B80" s="55">
        <v>5.0</v>
      </c>
      <c r="C80" s="50" t="s">
        <v>69</v>
      </c>
      <c r="D80" s="57"/>
      <c r="E80" s="19">
        <v>0.0</v>
      </c>
      <c r="F80" s="19">
        <v>0.0</v>
      </c>
      <c r="G80" s="19">
        <v>0.0</v>
      </c>
      <c r="H80" s="19">
        <v>1.0</v>
      </c>
      <c r="I80" s="19">
        <v>2.0</v>
      </c>
      <c r="J80" s="19">
        <v>3.0</v>
      </c>
      <c r="K80" s="19">
        <v>3.0</v>
      </c>
      <c r="L80" s="19">
        <v>0.0</v>
      </c>
      <c r="M80" s="19">
        <v>1.0</v>
      </c>
      <c r="N80" s="19">
        <v>5.0</v>
      </c>
      <c r="O80" s="19">
        <v>1.0</v>
      </c>
      <c r="P80" s="19">
        <v>0.0</v>
      </c>
      <c r="Q80" s="19">
        <v>2.0</v>
      </c>
      <c r="R80" s="19">
        <v>2.0</v>
      </c>
      <c r="S80" s="13">
        <f t="shared" si="20"/>
        <v>20</v>
      </c>
    </row>
    <row r="81" ht="12.75" customHeight="1">
      <c r="A81" s="18"/>
      <c r="B81" s="55">
        <v>6.0</v>
      </c>
      <c r="C81" s="50" t="s">
        <v>70</v>
      </c>
      <c r="D81" s="57"/>
      <c r="E81" s="19">
        <v>1.0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2.0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0.0</v>
      </c>
      <c r="S81" s="13">
        <f t="shared" si="20"/>
        <v>3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1.0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1.0</v>
      </c>
      <c r="R82" s="19">
        <v>0.0</v>
      </c>
      <c r="S82" s="13">
        <f t="shared" si="20"/>
        <v>2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S83" si="21">SUM(E75:E82)</f>
        <v>24</v>
      </c>
      <c r="F83" s="13">
        <f t="shared" si="21"/>
        <v>35</v>
      </c>
      <c r="G83" s="13">
        <f t="shared" si="21"/>
        <v>23</v>
      </c>
      <c r="H83" s="13">
        <f t="shared" si="21"/>
        <v>9</v>
      </c>
      <c r="I83" s="13">
        <f t="shared" si="21"/>
        <v>52</v>
      </c>
      <c r="J83" s="13">
        <f t="shared" si="21"/>
        <v>54</v>
      </c>
      <c r="K83" s="13">
        <f t="shared" si="21"/>
        <v>18</v>
      </c>
      <c r="L83" s="13">
        <f t="shared" si="21"/>
        <v>66</v>
      </c>
      <c r="M83" s="13">
        <f t="shared" si="21"/>
        <v>7</v>
      </c>
      <c r="N83" s="13">
        <f t="shared" si="21"/>
        <v>22</v>
      </c>
      <c r="O83" s="13">
        <f t="shared" si="21"/>
        <v>9</v>
      </c>
      <c r="P83" s="13">
        <f t="shared" si="21"/>
        <v>13</v>
      </c>
      <c r="Q83" s="13">
        <f t="shared" si="21"/>
        <v>23</v>
      </c>
      <c r="R83" s="13">
        <f t="shared" si="21"/>
        <v>56</v>
      </c>
      <c r="S83" s="13">
        <f t="shared" si="21"/>
        <v>411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3.0</v>
      </c>
      <c r="F85" s="19">
        <v>2.0</v>
      </c>
      <c r="G85" s="19">
        <v>3.0</v>
      </c>
      <c r="H85" s="19">
        <v>0.0</v>
      </c>
      <c r="I85" s="19">
        <v>1.0</v>
      </c>
      <c r="J85" s="19">
        <v>2.0</v>
      </c>
      <c r="K85" s="19">
        <v>2.0</v>
      </c>
      <c r="L85" s="19">
        <v>2.0</v>
      </c>
      <c r="M85" s="19">
        <v>0.0</v>
      </c>
      <c r="N85" s="19">
        <v>3.0</v>
      </c>
      <c r="O85" s="19">
        <v>0.0</v>
      </c>
      <c r="P85" s="19">
        <v>1.0</v>
      </c>
      <c r="Q85" s="19">
        <v>0.0</v>
      </c>
      <c r="R85" s="19">
        <v>0.0</v>
      </c>
      <c r="S85" s="13">
        <f t="shared" ref="S85:S92" si="22">SUM(E85:R85)</f>
        <v>19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3.0</v>
      </c>
      <c r="F86" s="19">
        <v>3.0</v>
      </c>
      <c r="G86" s="19">
        <v>3.0</v>
      </c>
      <c r="H86" s="19">
        <v>0.0</v>
      </c>
      <c r="I86" s="19">
        <v>0.0</v>
      </c>
      <c r="J86" s="19">
        <v>1.0</v>
      </c>
      <c r="K86" s="19">
        <v>0.0</v>
      </c>
      <c r="L86" s="19">
        <v>0.0</v>
      </c>
      <c r="M86" s="19">
        <v>0.0</v>
      </c>
      <c r="N86" s="19">
        <v>4.0</v>
      </c>
      <c r="O86" s="19">
        <v>2.0</v>
      </c>
      <c r="P86" s="19">
        <v>1.0</v>
      </c>
      <c r="Q86" s="19">
        <v>1.0</v>
      </c>
      <c r="R86" s="19">
        <v>0.0</v>
      </c>
      <c r="S86" s="13">
        <f t="shared" si="22"/>
        <v>18</v>
      </c>
    </row>
    <row r="87" ht="12.75" customHeight="1">
      <c r="A87" s="18"/>
      <c r="B87" s="55">
        <v>2.0</v>
      </c>
      <c r="C87" s="50" t="s">
        <v>75</v>
      </c>
      <c r="D87" s="57"/>
      <c r="E87" s="19">
        <v>1.0</v>
      </c>
      <c r="F87" s="19">
        <v>0.0</v>
      </c>
      <c r="G87" s="19">
        <v>2.0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3">
        <f t="shared" si="22"/>
        <v>3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0.0</v>
      </c>
      <c r="G88" s="19">
        <v>1.0</v>
      </c>
      <c r="H88" s="19">
        <v>0.0</v>
      </c>
      <c r="I88" s="19">
        <v>1.0</v>
      </c>
      <c r="J88" s="19">
        <v>0.0</v>
      </c>
      <c r="K88" s="19">
        <v>1.0</v>
      </c>
      <c r="L88" s="19">
        <v>0.0</v>
      </c>
      <c r="M88" s="19">
        <v>0.0</v>
      </c>
      <c r="N88" s="19">
        <v>1.0</v>
      </c>
      <c r="O88" s="19">
        <v>0.0</v>
      </c>
      <c r="P88" s="19">
        <v>0.0</v>
      </c>
      <c r="Q88" s="19">
        <v>0.0</v>
      </c>
      <c r="R88" s="19">
        <v>1.0</v>
      </c>
      <c r="S88" s="13">
        <f t="shared" si="22"/>
        <v>5</v>
      </c>
    </row>
    <row r="89" ht="12.75" customHeight="1">
      <c r="A89" s="18"/>
      <c r="B89" s="55">
        <v>4.0</v>
      </c>
      <c r="C89" s="50" t="s">
        <v>77</v>
      </c>
      <c r="D89" s="57"/>
      <c r="E89" s="19">
        <v>0.0</v>
      </c>
      <c r="F89" s="19">
        <v>0.0</v>
      </c>
      <c r="G89" s="19">
        <v>6.0</v>
      </c>
      <c r="H89" s="19">
        <v>0.0</v>
      </c>
      <c r="I89" s="19">
        <v>2.0</v>
      </c>
      <c r="J89" s="19">
        <v>0.0</v>
      </c>
      <c r="K89" s="19">
        <v>0.0</v>
      </c>
      <c r="L89" s="19">
        <v>0.0</v>
      </c>
      <c r="M89" s="19">
        <v>0.0</v>
      </c>
      <c r="N89" s="19">
        <v>1.0</v>
      </c>
      <c r="O89" s="19">
        <v>0.0</v>
      </c>
      <c r="P89" s="19">
        <v>0.0</v>
      </c>
      <c r="Q89" s="19">
        <v>0.0</v>
      </c>
      <c r="R89" s="19">
        <v>1.0</v>
      </c>
      <c r="S89" s="13">
        <f t="shared" si="22"/>
        <v>10</v>
      </c>
    </row>
    <row r="90" ht="12.75" customHeight="1">
      <c r="A90" s="18"/>
      <c r="B90" s="55">
        <v>5.0</v>
      </c>
      <c r="C90" s="50" t="s">
        <v>78</v>
      </c>
      <c r="D90" s="57"/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9">
        <v>2.0</v>
      </c>
      <c r="O90" s="19">
        <v>0.0</v>
      </c>
      <c r="P90" s="19">
        <v>0.0</v>
      </c>
      <c r="Q90" s="19">
        <v>0.0</v>
      </c>
      <c r="R90" s="19">
        <v>0.0</v>
      </c>
      <c r="S90" s="13">
        <f t="shared" si="22"/>
        <v>2</v>
      </c>
    </row>
    <row r="91" ht="12.75" customHeight="1">
      <c r="A91" s="18"/>
      <c r="B91" s="55">
        <v>6.0</v>
      </c>
      <c r="C91" s="50" t="s">
        <v>79</v>
      </c>
      <c r="D91" s="57"/>
      <c r="E91" s="19">
        <v>0.0</v>
      </c>
      <c r="F91" s="19">
        <v>0.0</v>
      </c>
      <c r="G91" s="19">
        <v>1.0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3">
        <f t="shared" si="22"/>
        <v>1</v>
      </c>
    </row>
    <row r="92" ht="12.75" customHeight="1">
      <c r="A92" s="18"/>
      <c r="B92" s="55">
        <v>7.0</v>
      </c>
      <c r="C92" s="50" t="s">
        <v>80</v>
      </c>
      <c r="D92" s="57"/>
      <c r="E92" s="19">
        <v>0.0</v>
      </c>
      <c r="F92" s="19">
        <v>0.0</v>
      </c>
      <c r="G92" s="19">
        <v>4.0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3">
        <f t="shared" si="22"/>
        <v>4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S93" si="23">SUM(E85:E92)</f>
        <v>7</v>
      </c>
      <c r="F93" s="13">
        <f t="shared" si="23"/>
        <v>5</v>
      </c>
      <c r="G93" s="13">
        <f t="shared" si="23"/>
        <v>20</v>
      </c>
      <c r="H93" s="13">
        <f t="shared" si="23"/>
        <v>0</v>
      </c>
      <c r="I93" s="13">
        <f t="shared" si="23"/>
        <v>4</v>
      </c>
      <c r="J93" s="13">
        <f t="shared" si="23"/>
        <v>3</v>
      </c>
      <c r="K93" s="13">
        <f t="shared" si="23"/>
        <v>3</v>
      </c>
      <c r="L93" s="13">
        <f t="shared" si="23"/>
        <v>2</v>
      </c>
      <c r="M93" s="13">
        <f t="shared" si="23"/>
        <v>0</v>
      </c>
      <c r="N93" s="13">
        <f t="shared" si="23"/>
        <v>11</v>
      </c>
      <c r="O93" s="13">
        <f t="shared" si="23"/>
        <v>2</v>
      </c>
      <c r="P93" s="13">
        <f t="shared" si="23"/>
        <v>2</v>
      </c>
      <c r="Q93" s="13">
        <f t="shared" si="23"/>
        <v>1</v>
      </c>
      <c r="R93" s="13">
        <f t="shared" si="23"/>
        <v>2</v>
      </c>
      <c r="S93" s="13">
        <f t="shared" si="23"/>
        <v>62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1.0</v>
      </c>
      <c r="L95" s="19">
        <v>0.0</v>
      </c>
      <c r="M95" s="19">
        <v>0.0</v>
      </c>
      <c r="N95" s="19">
        <v>1.0</v>
      </c>
      <c r="O95" s="19">
        <v>0.0</v>
      </c>
      <c r="P95" s="19">
        <v>1.0</v>
      </c>
      <c r="Q95" s="19">
        <v>0.0</v>
      </c>
      <c r="R95" s="19">
        <v>0.0</v>
      </c>
      <c r="S95" s="13">
        <f t="shared" ref="S95:S102" si="24">SUM(E95:R95)</f>
        <v>3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0.0</v>
      </c>
      <c r="F96" s="19">
        <v>1.0</v>
      </c>
      <c r="G96" s="19">
        <v>0.0</v>
      </c>
      <c r="H96" s="19">
        <v>0.0</v>
      </c>
      <c r="I96" s="19">
        <v>0.0</v>
      </c>
      <c r="J96" s="19">
        <v>0.0</v>
      </c>
      <c r="K96" s="19">
        <v>1.0</v>
      </c>
      <c r="L96" s="19">
        <v>0.0</v>
      </c>
      <c r="M96" s="19">
        <v>0.0</v>
      </c>
      <c r="N96" s="19">
        <v>3.0</v>
      </c>
      <c r="O96" s="19">
        <v>0.0</v>
      </c>
      <c r="P96" s="19">
        <v>0.0</v>
      </c>
      <c r="Q96" s="19">
        <v>1.0</v>
      </c>
      <c r="R96" s="19">
        <v>0.0</v>
      </c>
      <c r="S96" s="13">
        <f t="shared" si="24"/>
        <v>6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1.0</v>
      </c>
      <c r="J97" s="19">
        <v>0.0</v>
      </c>
      <c r="K97" s="19">
        <v>0.0</v>
      </c>
      <c r="L97" s="19">
        <v>0.0</v>
      </c>
      <c r="M97" s="19">
        <v>0.0</v>
      </c>
      <c r="N97" s="19">
        <v>1.0</v>
      </c>
      <c r="O97" s="19">
        <v>1.0</v>
      </c>
      <c r="P97" s="19">
        <v>0.0</v>
      </c>
      <c r="Q97" s="19">
        <v>0.0</v>
      </c>
      <c r="R97" s="19">
        <v>1.0</v>
      </c>
      <c r="S97" s="13">
        <f t="shared" si="24"/>
        <v>4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3">
        <f t="shared" si="24"/>
        <v>0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3">
        <f t="shared" si="24"/>
        <v>0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3">
        <f t="shared" si="24"/>
        <v>0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3">
        <f t="shared" si="24"/>
        <v>0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3">
        <f t="shared" si="24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S103" si="25">SUM(E95:E102)</f>
        <v>0</v>
      </c>
      <c r="F103" s="13">
        <f t="shared" si="25"/>
        <v>1</v>
      </c>
      <c r="G103" s="13">
        <f t="shared" si="25"/>
        <v>0</v>
      </c>
      <c r="H103" s="13">
        <f t="shared" si="25"/>
        <v>0</v>
      </c>
      <c r="I103" s="13">
        <f t="shared" si="25"/>
        <v>1</v>
      </c>
      <c r="J103" s="13">
        <f t="shared" si="25"/>
        <v>0</v>
      </c>
      <c r="K103" s="13">
        <f t="shared" si="25"/>
        <v>2</v>
      </c>
      <c r="L103" s="13">
        <f t="shared" si="25"/>
        <v>0</v>
      </c>
      <c r="M103" s="13">
        <f t="shared" si="25"/>
        <v>0</v>
      </c>
      <c r="N103" s="13">
        <f t="shared" si="25"/>
        <v>5</v>
      </c>
      <c r="O103" s="13">
        <f t="shared" si="25"/>
        <v>1</v>
      </c>
      <c r="P103" s="13">
        <f t="shared" si="25"/>
        <v>1</v>
      </c>
      <c r="Q103" s="13">
        <f t="shared" si="25"/>
        <v>1</v>
      </c>
      <c r="R103" s="13">
        <f t="shared" si="25"/>
        <v>1</v>
      </c>
      <c r="S103" s="13">
        <f t="shared" si="25"/>
        <v>13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1.0</v>
      </c>
      <c r="F105" s="19">
        <v>0.0</v>
      </c>
      <c r="G105" s="19">
        <v>1.0</v>
      </c>
      <c r="H105" s="19">
        <v>0.0</v>
      </c>
      <c r="I105" s="19">
        <v>0.0</v>
      </c>
      <c r="J105" s="19">
        <v>0.0</v>
      </c>
      <c r="K105" s="19">
        <v>1.0</v>
      </c>
      <c r="L105" s="19">
        <v>0.0</v>
      </c>
      <c r="M105" s="19">
        <v>0.0</v>
      </c>
      <c r="N105" s="19">
        <v>2.0</v>
      </c>
      <c r="O105" s="19">
        <v>0.0</v>
      </c>
      <c r="P105" s="19">
        <v>1.0</v>
      </c>
      <c r="Q105" s="19">
        <v>2.0</v>
      </c>
      <c r="R105" s="19">
        <v>0.0</v>
      </c>
      <c r="S105" s="13">
        <f t="shared" ref="S105:S108" si="26">SUM(E105:R105)</f>
        <v>8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0.0</v>
      </c>
      <c r="F106" s="19">
        <v>0.0</v>
      </c>
      <c r="G106" s="19">
        <v>0.0</v>
      </c>
      <c r="H106" s="19">
        <v>2.0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1.0</v>
      </c>
      <c r="P106" s="19">
        <v>0.0</v>
      </c>
      <c r="Q106" s="19">
        <v>0.0</v>
      </c>
      <c r="R106" s="19">
        <v>0.0</v>
      </c>
      <c r="S106" s="13">
        <f t="shared" si="26"/>
        <v>3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1.0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1.0</v>
      </c>
      <c r="O107" s="19">
        <v>0.0</v>
      </c>
      <c r="P107" s="19">
        <v>0.0</v>
      </c>
      <c r="Q107" s="19">
        <v>0.0</v>
      </c>
      <c r="R107" s="19">
        <v>0.0</v>
      </c>
      <c r="S107" s="13">
        <f t="shared" si="26"/>
        <v>2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1.0</v>
      </c>
      <c r="L108" s="19">
        <v>0.0</v>
      </c>
      <c r="M108" s="19">
        <v>1.0</v>
      </c>
      <c r="N108" s="19">
        <v>1.0</v>
      </c>
      <c r="O108" s="19">
        <v>0.0</v>
      </c>
      <c r="P108" s="19">
        <v>0.0</v>
      </c>
      <c r="Q108" s="19">
        <v>0.0</v>
      </c>
      <c r="R108" s="19">
        <v>0.0</v>
      </c>
      <c r="S108" s="13">
        <f t="shared" si="26"/>
        <v>3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S109" si="27">SUM(E105:E108)</f>
        <v>1</v>
      </c>
      <c r="F109" s="13">
        <f t="shared" si="27"/>
        <v>0</v>
      </c>
      <c r="G109" s="13">
        <f t="shared" si="27"/>
        <v>2</v>
      </c>
      <c r="H109" s="13">
        <f t="shared" si="27"/>
        <v>2</v>
      </c>
      <c r="I109" s="13">
        <f t="shared" si="27"/>
        <v>0</v>
      </c>
      <c r="J109" s="13">
        <f t="shared" si="27"/>
        <v>0</v>
      </c>
      <c r="K109" s="13">
        <f t="shared" si="27"/>
        <v>2</v>
      </c>
      <c r="L109" s="13">
        <f t="shared" si="27"/>
        <v>0</v>
      </c>
      <c r="M109" s="13">
        <f t="shared" si="27"/>
        <v>1</v>
      </c>
      <c r="N109" s="13">
        <f t="shared" si="27"/>
        <v>4</v>
      </c>
      <c r="O109" s="13">
        <f t="shared" si="27"/>
        <v>1</v>
      </c>
      <c r="P109" s="13">
        <f t="shared" si="27"/>
        <v>1</v>
      </c>
      <c r="Q109" s="13">
        <f t="shared" si="27"/>
        <v>2</v>
      </c>
      <c r="R109" s="13">
        <f t="shared" si="27"/>
        <v>0</v>
      </c>
      <c r="S109" s="13">
        <f t="shared" si="27"/>
        <v>16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1.0</v>
      </c>
      <c r="F111" s="19">
        <v>1.0</v>
      </c>
      <c r="G111" s="19">
        <v>1.0</v>
      </c>
      <c r="H111" s="19">
        <v>1.0</v>
      </c>
      <c r="I111" s="19">
        <v>1.0</v>
      </c>
      <c r="J111" s="19">
        <v>0.0</v>
      </c>
      <c r="K111" s="19">
        <v>1.0</v>
      </c>
      <c r="L111" s="19">
        <v>0.0</v>
      </c>
      <c r="M111" s="19">
        <v>0.0</v>
      </c>
      <c r="N111" s="19">
        <v>0.0</v>
      </c>
      <c r="O111" s="19">
        <v>0.0</v>
      </c>
      <c r="P111" s="19">
        <v>2.0</v>
      </c>
      <c r="Q111" s="19">
        <v>0.0</v>
      </c>
      <c r="R111" s="19">
        <v>0.0</v>
      </c>
      <c r="S111" s="13">
        <f t="shared" ref="S111:S118" si="28">SUM(E111:R111)</f>
        <v>8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0.0</v>
      </c>
      <c r="F112" s="19">
        <v>1.0</v>
      </c>
      <c r="G112" s="19">
        <v>3.0</v>
      </c>
      <c r="H112" s="19">
        <v>1.0</v>
      </c>
      <c r="I112" s="19">
        <v>3.0</v>
      </c>
      <c r="J112" s="19">
        <v>0.0</v>
      </c>
      <c r="K112" s="19">
        <v>3.0</v>
      </c>
      <c r="L112" s="19">
        <v>0.0</v>
      </c>
      <c r="M112" s="19">
        <v>4.0</v>
      </c>
      <c r="N112" s="19">
        <v>0.0</v>
      </c>
      <c r="O112" s="19">
        <v>1.0</v>
      </c>
      <c r="P112" s="19">
        <v>1.0</v>
      </c>
      <c r="Q112" s="19">
        <v>2.0</v>
      </c>
      <c r="R112" s="19">
        <v>0.0</v>
      </c>
      <c r="S112" s="13">
        <f t="shared" si="28"/>
        <v>19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0.0</v>
      </c>
      <c r="F113" s="19">
        <v>1.0</v>
      </c>
      <c r="G113" s="19">
        <v>0.0</v>
      </c>
      <c r="H113" s="19">
        <v>0.0</v>
      </c>
      <c r="I113" s="19">
        <v>0.0</v>
      </c>
      <c r="J113" s="19">
        <v>0.0</v>
      </c>
      <c r="K113" s="19">
        <v>1.0</v>
      </c>
      <c r="L113" s="19">
        <v>0.0</v>
      </c>
      <c r="M113" s="19">
        <v>0.0</v>
      </c>
      <c r="N113" s="19">
        <v>2.0</v>
      </c>
      <c r="O113" s="19">
        <v>0.0</v>
      </c>
      <c r="P113" s="19">
        <v>0.0</v>
      </c>
      <c r="Q113" s="19">
        <v>0.0</v>
      </c>
      <c r="R113" s="19">
        <v>0.0</v>
      </c>
      <c r="S113" s="13">
        <f t="shared" si="28"/>
        <v>4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3">
        <f t="shared" si="28"/>
        <v>0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0.0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0.0</v>
      </c>
      <c r="S115" s="13">
        <f t="shared" si="28"/>
        <v>0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3.0</v>
      </c>
      <c r="G116" s="19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3">
        <f t="shared" si="28"/>
        <v>3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3">
        <f t="shared" si="28"/>
        <v>0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3">
        <f t="shared" si="28"/>
        <v>0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S119" si="29">SUM(E111:E118)</f>
        <v>1</v>
      </c>
      <c r="F119" s="13">
        <f t="shared" si="29"/>
        <v>6</v>
      </c>
      <c r="G119" s="13">
        <f t="shared" si="29"/>
        <v>4</v>
      </c>
      <c r="H119" s="13">
        <f t="shared" si="29"/>
        <v>2</v>
      </c>
      <c r="I119" s="13">
        <f t="shared" si="29"/>
        <v>4</v>
      </c>
      <c r="J119" s="13">
        <f t="shared" si="29"/>
        <v>0</v>
      </c>
      <c r="K119" s="13">
        <f t="shared" si="29"/>
        <v>5</v>
      </c>
      <c r="L119" s="13">
        <f t="shared" si="29"/>
        <v>0</v>
      </c>
      <c r="M119" s="13">
        <f t="shared" si="29"/>
        <v>4</v>
      </c>
      <c r="N119" s="13">
        <f t="shared" si="29"/>
        <v>2</v>
      </c>
      <c r="O119" s="13">
        <f t="shared" si="29"/>
        <v>1</v>
      </c>
      <c r="P119" s="13">
        <f t="shared" si="29"/>
        <v>3</v>
      </c>
      <c r="Q119" s="13">
        <f t="shared" si="29"/>
        <v>2</v>
      </c>
      <c r="R119" s="13">
        <f t="shared" si="29"/>
        <v>0</v>
      </c>
      <c r="S119" s="13">
        <f t="shared" si="29"/>
        <v>34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3">
        <f t="shared" ref="S121:S128" si="30">SUM(E121:R121)</f>
        <v>0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1.0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1.0</v>
      </c>
      <c r="S122" s="13">
        <f t="shared" si="30"/>
        <v>2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1.0</v>
      </c>
      <c r="H123" s="19">
        <v>0.0</v>
      </c>
      <c r="I123" s="19">
        <v>0.0</v>
      </c>
      <c r="J123" s="19">
        <v>0.0</v>
      </c>
      <c r="K123" s="19">
        <v>1.0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3">
        <f t="shared" si="30"/>
        <v>2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1.0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3">
        <f t="shared" si="30"/>
        <v>1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3">
        <f t="shared" si="30"/>
        <v>0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3">
        <f t="shared" si="30"/>
        <v>0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1.0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3">
        <f t="shared" si="30"/>
        <v>1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S129" si="31">SUM(E121:E128)</f>
        <v>0</v>
      </c>
      <c r="F129" s="13">
        <f t="shared" si="31"/>
        <v>0</v>
      </c>
      <c r="G129" s="13">
        <f t="shared" si="31"/>
        <v>3</v>
      </c>
      <c r="H129" s="13">
        <f t="shared" si="31"/>
        <v>0</v>
      </c>
      <c r="I129" s="13">
        <f t="shared" si="31"/>
        <v>1</v>
      </c>
      <c r="J129" s="13">
        <f t="shared" si="31"/>
        <v>0</v>
      </c>
      <c r="K129" s="13">
        <f t="shared" si="31"/>
        <v>1</v>
      </c>
      <c r="L129" s="13">
        <f t="shared" si="31"/>
        <v>0</v>
      </c>
      <c r="M129" s="13">
        <f t="shared" si="31"/>
        <v>0</v>
      </c>
      <c r="N129" s="13">
        <f t="shared" si="31"/>
        <v>0</v>
      </c>
      <c r="O129" s="13">
        <f t="shared" si="31"/>
        <v>0</v>
      </c>
      <c r="P129" s="13">
        <f t="shared" si="31"/>
        <v>0</v>
      </c>
      <c r="Q129" s="13">
        <f t="shared" si="31"/>
        <v>0</v>
      </c>
      <c r="R129" s="13">
        <f t="shared" si="31"/>
        <v>1</v>
      </c>
      <c r="S129" s="13">
        <f t="shared" si="31"/>
        <v>6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2.0</v>
      </c>
      <c r="F131" s="19">
        <v>2.0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1.0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3">
        <f t="shared" ref="S131:S135" si="32">SUM(E132:R132)</f>
        <v>1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1.0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3">
        <f t="shared" si="32"/>
        <v>4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2.0</v>
      </c>
      <c r="L133" s="19">
        <v>1.0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3">
        <f t="shared" si="32"/>
        <v>1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1.0</v>
      </c>
      <c r="Q134" s="19">
        <v>0.0</v>
      </c>
      <c r="R134" s="19">
        <v>0.0</v>
      </c>
      <c r="S134" s="13">
        <f t="shared" si="32"/>
        <v>1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1.0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3">
        <f t="shared" si="32"/>
        <v>12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S136" si="33">SUM(E131:E135)</f>
        <v>2</v>
      </c>
      <c r="F136" s="13">
        <f t="shared" si="33"/>
        <v>2</v>
      </c>
      <c r="G136" s="13">
        <f t="shared" si="33"/>
        <v>0</v>
      </c>
      <c r="H136" s="13">
        <f t="shared" si="33"/>
        <v>0</v>
      </c>
      <c r="I136" s="13">
        <f t="shared" si="33"/>
        <v>0</v>
      </c>
      <c r="J136" s="13">
        <f t="shared" si="33"/>
        <v>2</v>
      </c>
      <c r="K136" s="13">
        <f t="shared" si="33"/>
        <v>2</v>
      </c>
      <c r="L136" s="13">
        <f t="shared" si="33"/>
        <v>2</v>
      </c>
      <c r="M136" s="13">
        <f t="shared" si="33"/>
        <v>1</v>
      </c>
      <c r="N136" s="13">
        <f t="shared" si="33"/>
        <v>0</v>
      </c>
      <c r="O136" s="13">
        <f t="shared" si="33"/>
        <v>0</v>
      </c>
      <c r="P136" s="13">
        <f t="shared" si="33"/>
        <v>1</v>
      </c>
      <c r="Q136" s="13">
        <f t="shared" si="33"/>
        <v>0</v>
      </c>
      <c r="R136" s="13">
        <f t="shared" si="33"/>
        <v>0</v>
      </c>
      <c r="S136" s="13">
        <f t="shared" si="33"/>
        <v>19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0.0</v>
      </c>
      <c r="F138" s="19">
        <v>0.0</v>
      </c>
      <c r="G138" s="19">
        <v>1.0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1.0</v>
      </c>
      <c r="O138" s="19">
        <v>0.0</v>
      </c>
      <c r="P138" s="19">
        <v>2.0</v>
      </c>
      <c r="Q138" s="19">
        <v>1.0</v>
      </c>
      <c r="R138" s="19">
        <v>0.0</v>
      </c>
      <c r="S138" s="13">
        <f t="shared" ref="S138:S145" si="34">SUM(E138:R138)</f>
        <v>5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1.0</v>
      </c>
      <c r="R139" s="19">
        <v>1.0</v>
      </c>
      <c r="S139" s="13">
        <f t="shared" si="34"/>
        <v>2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0.0</v>
      </c>
      <c r="H140" s="19">
        <v>1.0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1.0</v>
      </c>
      <c r="Q140" s="19">
        <v>0.0</v>
      </c>
      <c r="R140" s="19">
        <v>0.0</v>
      </c>
      <c r="S140" s="13">
        <f t="shared" si="34"/>
        <v>2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2.0</v>
      </c>
      <c r="R141" s="19">
        <v>0.0</v>
      </c>
      <c r="S141" s="13">
        <f t="shared" si="34"/>
        <v>2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1.0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3">
        <f t="shared" si="34"/>
        <v>1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3">
        <f t="shared" si="34"/>
        <v>0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3">
        <f t="shared" si="34"/>
        <v>0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S146" si="35">SUM(E138:E145)</f>
        <v>0</v>
      </c>
      <c r="F146" s="13">
        <f t="shared" si="35"/>
        <v>0</v>
      </c>
      <c r="G146" s="13">
        <f t="shared" si="35"/>
        <v>1</v>
      </c>
      <c r="H146" s="13">
        <f t="shared" si="35"/>
        <v>2</v>
      </c>
      <c r="I146" s="13">
        <f t="shared" si="35"/>
        <v>0</v>
      </c>
      <c r="J146" s="13">
        <f t="shared" si="35"/>
        <v>0</v>
      </c>
      <c r="K146" s="13">
        <f t="shared" si="35"/>
        <v>0</v>
      </c>
      <c r="L146" s="13">
        <f t="shared" si="35"/>
        <v>0</v>
      </c>
      <c r="M146" s="13">
        <f t="shared" si="35"/>
        <v>0</v>
      </c>
      <c r="N146" s="13">
        <f t="shared" si="35"/>
        <v>1</v>
      </c>
      <c r="O146" s="13">
        <f t="shared" si="35"/>
        <v>0</v>
      </c>
      <c r="P146" s="13">
        <f t="shared" si="35"/>
        <v>3</v>
      </c>
      <c r="Q146" s="13">
        <f t="shared" si="35"/>
        <v>4</v>
      </c>
      <c r="R146" s="13">
        <f t="shared" si="35"/>
        <v>1</v>
      </c>
      <c r="S146" s="13">
        <f t="shared" si="35"/>
        <v>12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3.0</v>
      </c>
      <c r="F148" s="19">
        <v>0.0</v>
      </c>
      <c r="G148" s="19">
        <v>4.0</v>
      </c>
      <c r="H148" s="19">
        <v>2.0</v>
      </c>
      <c r="I148" s="19">
        <v>2.0</v>
      </c>
      <c r="J148" s="19">
        <v>1.0</v>
      </c>
      <c r="K148" s="19">
        <v>1.0</v>
      </c>
      <c r="L148" s="19">
        <v>0.0</v>
      </c>
      <c r="M148" s="19">
        <v>0.0</v>
      </c>
      <c r="N148" s="19">
        <v>1.0</v>
      </c>
      <c r="O148" s="19">
        <v>0.0</v>
      </c>
      <c r="P148" s="19">
        <v>0.0</v>
      </c>
      <c r="Q148" s="19">
        <v>0.0</v>
      </c>
      <c r="R148" s="19">
        <v>0.0</v>
      </c>
      <c r="S148" s="13">
        <f t="shared" ref="S148:S155" si="36">SUM(E148:R148)</f>
        <v>14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1.0</v>
      </c>
      <c r="F149" s="19">
        <v>0.0</v>
      </c>
      <c r="G149" s="19">
        <v>0.0</v>
      </c>
      <c r="H149" s="19">
        <v>0.0</v>
      </c>
      <c r="I149" s="19">
        <v>0.0</v>
      </c>
      <c r="J149" s="19">
        <v>0.0</v>
      </c>
      <c r="K149" s="19">
        <v>0.0</v>
      </c>
      <c r="L149" s="19">
        <v>0.0</v>
      </c>
      <c r="M149" s="19">
        <v>1.0</v>
      </c>
      <c r="N149" s="19">
        <v>0.0</v>
      </c>
      <c r="O149" s="19">
        <v>1.0</v>
      </c>
      <c r="P149" s="19">
        <v>0.0</v>
      </c>
      <c r="Q149" s="19">
        <v>0.0</v>
      </c>
      <c r="R149" s="19">
        <v>0.0</v>
      </c>
      <c r="S149" s="13">
        <f t="shared" si="36"/>
        <v>3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0.0</v>
      </c>
      <c r="F150" s="19">
        <v>0.0</v>
      </c>
      <c r="G150" s="19">
        <v>0.0</v>
      </c>
      <c r="H150" s="19">
        <v>0.0</v>
      </c>
      <c r="I150" s="19">
        <v>0.0</v>
      </c>
      <c r="J150" s="19">
        <v>0.0</v>
      </c>
      <c r="K150" s="19">
        <v>0.0</v>
      </c>
      <c r="L150" s="19">
        <v>0.0</v>
      </c>
      <c r="M150" s="19">
        <v>0.0</v>
      </c>
      <c r="N150" s="19">
        <v>1.0</v>
      </c>
      <c r="O150" s="19">
        <v>0.0</v>
      </c>
      <c r="P150" s="19">
        <v>0.0</v>
      </c>
      <c r="Q150" s="19">
        <v>1.0</v>
      </c>
      <c r="R150" s="19">
        <v>0.0</v>
      </c>
      <c r="S150" s="13">
        <f t="shared" si="36"/>
        <v>2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1.0</v>
      </c>
      <c r="H151" s="19">
        <v>0.0</v>
      </c>
      <c r="I151" s="19">
        <v>1.0</v>
      </c>
      <c r="J151" s="19">
        <v>0.0</v>
      </c>
      <c r="K151" s="19">
        <v>0.0</v>
      </c>
      <c r="L151" s="19">
        <v>0.0</v>
      </c>
      <c r="M151" s="19">
        <v>1.0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3">
        <f t="shared" si="36"/>
        <v>3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0.0</v>
      </c>
      <c r="G152" s="19">
        <v>0.0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9">
        <v>0.0</v>
      </c>
      <c r="S152" s="13">
        <f t="shared" si="36"/>
        <v>0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3">
        <f t="shared" si="36"/>
        <v>0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3">
        <f t="shared" si="36"/>
        <v>0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2.0</v>
      </c>
      <c r="F155" s="19">
        <v>0.0</v>
      </c>
      <c r="G155" s="19">
        <v>3.0</v>
      </c>
      <c r="H155" s="19">
        <v>1.0</v>
      </c>
      <c r="I155" s="19">
        <v>3.0</v>
      </c>
      <c r="J155" s="19">
        <v>15.0</v>
      </c>
      <c r="K155" s="19">
        <v>0.0</v>
      </c>
      <c r="L155" s="19">
        <v>0.0</v>
      </c>
      <c r="M155" s="19">
        <v>0.0</v>
      </c>
      <c r="N155" s="19">
        <v>0.0</v>
      </c>
      <c r="O155" s="19">
        <v>2.0</v>
      </c>
      <c r="P155" s="19">
        <v>1.0</v>
      </c>
      <c r="Q155" s="19">
        <v>0.0</v>
      </c>
      <c r="R155" s="19">
        <v>0.0</v>
      </c>
      <c r="S155" s="13">
        <f t="shared" si="36"/>
        <v>27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S156" si="37">SUM(E148:E155)</f>
        <v>6</v>
      </c>
      <c r="F156" s="13">
        <f t="shared" si="37"/>
        <v>0</v>
      </c>
      <c r="G156" s="13">
        <f t="shared" si="37"/>
        <v>8</v>
      </c>
      <c r="H156" s="13">
        <f t="shared" si="37"/>
        <v>3</v>
      </c>
      <c r="I156" s="13">
        <f t="shared" si="37"/>
        <v>6</v>
      </c>
      <c r="J156" s="13">
        <f t="shared" si="37"/>
        <v>16</v>
      </c>
      <c r="K156" s="13">
        <f t="shared" si="37"/>
        <v>1</v>
      </c>
      <c r="L156" s="13">
        <f t="shared" si="37"/>
        <v>0</v>
      </c>
      <c r="M156" s="13">
        <f t="shared" si="37"/>
        <v>2</v>
      </c>
      <c r="N156" s="13">
        <f t="shared" si="37"/>
        <v>2</v>
      </c>
      <c r="O156" s="13">
        <f t="shared" si="37"/>
        <v>3</v>
      </c>
      <c r="P156" s="13">
        <f t="shared" si="37"/>
        <v>1</v>
      </c>
      <c r="Q156" s="13">
        <f t="shared" si="37"/>
        <v>1</v>
      </c>
      <c r="R156" s="13">
        <f t="shared" si="37"/>
        <v>0</v>
      </c>
      <c r="S156" s="13">
        <f t="shared" si="37"/>
        <v>49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Q157" s="72"/>
      <c r="R157" s="72"/>
      <c r="S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0.0</v>
      </c>
      <c r="G158" s="19">
        <v>0.0</v>
      </c>
      <c r="H158" s="19">
        <v>0.0</v>
      </c>
      <c r="I158" s="19">
        <v>0.0</v>
      </c>
      <c r="J158" s="19">
        <v>1.0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1.0</v>
      </c>
      <c r="Q158" s="19">
        <v>0.0</v>
      </c>
      <c r="R158" s="19">
        <v>1.0</v>
      </c>
      <c r="S158" s="13">
        <f t="shared" ref="S158:S165" si="38">SUM(E158:R158)</f>
        <v>3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1.0</v>
      </c>
      <c r="G159" s="19">
        <v>0.0</v>
      </c>
      <c r="H159" s="19">
        <v>0.0</v>
      </c>
      <c r="I159" s="19">
        <v>0.0</v>
      </c>
      <c r="J159" s="19">
        <v>1.0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3">
        <f t="shared" si="38"/>
        <v>2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0.0</v>
      </c>
      <c r="H160" s="19">
        <v>0.0</v>
      </c>
      <c r="I160" s="19">
        <v>1.0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3">
        <f t="shared" si="38"/>
        <v>1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3">
        <f t="shared" si="38"/>
        <v>0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3">
        <f t="shared" si="38"/>
        <v>0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3">
        <f t="shared" si="38"/>
        <v>0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1.0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3">
        <f t="shared" si="38"/>
        <v>1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3">
        <f t="shared" si="38"/>
        <v>0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S166" si="39">SUM(E158:E165)</f>
        <v>0</v>
      </c>
      <c r="F166" s="13">
        <f t="shared" si="39"/>
        <v>1</v>
      </c>
      <c r="G166" s="13">
        <f t="shared" si="39"/>
        <v>0</v>
      </c>
      <c r="H166" s="13">
        <f t="shared" si="39"/>
        <v>0</v>
      </c>
      <c r="I166" s="13">
        <f t="shared" si="39"/>
        <v>2</v>
      </c>
      <c r="J166" s="13">
        <f t="shared" si="39"/>
        <v>2</v>
      </c>
      <c r="K166" s="13">
        <f t="shared" si="39"/>
        <v>0</v>
      </c>
      <c r="L166" s="13">
        <f t="shared" si="39"/>
        <v>0</v>
      </c>
      <c r="M166" s="13">
        <f t="shared" si="39"/>
        <v>0</v>
      </c>
      <c r="N166" s="13">
        <f t="shared" si="39"/>
        <v>0</v>
      </c>
      <c r="O166" s="13">
        <f t="shared" si="39"/>
        <v>0</v>
      </c>
      <c r="P166" s="13">
        <f t="shared" si="39"/>
        <v>1</v>
      </c>
      <c r="Q166" s="13">
        <f t="shared" si="39"/>
        <v>0</v>
      </c>
      <c r="R166" s="13">
        <f t="shared" si="39"/>
        <v>1</v>
      </c>
      <c r="S166" s="13">
        <f t="shared" si="39"/>
        <v>7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3.0</v>
      </c>
      <c r="F168" s="19">
        <v>2.0</v>
      </c>
      <c r="G168" s="19">
        <v>7.0</v>
      </c>
      <c r="H168" s="19">
        <v>5.0</v>
      </c>
      <c r="I168" s="19">
        <v>1.0</v>
      </c>
      <c r="J168" s="19">
        <v>4.0</v>
      </c>
      <c r="K168" s="19">
        <v>5.0</v>
      </c>
      <c r="L168" s="19">
        <v>5.0</v>
      </c>
      <c r="M168" s="19">
        <v>8.0</v>
      </c>
      <c r="N168" s="19">
        <v>1.0</v>
      </c>
      <c r="O168" s="19">
        <v>12.0</v>
      </c>
      <c r="P168" s="19">
        <v>7.0</v>
      </c>
      <c r="Q168" s="19">
        <v>5.0</v>
      </c>
      <c r="R168" s="19">
        <v>13.0</v>
      </c>
      <c r="S168" s="13">
        <f t="shared" ref="S168:S175" si="40">SUM(E168:R168)</f>
        <v>78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12.0</v>
      </c>
      <c r="F169" s="19">
        <v>7.0</v>
      </c>
      <c r="G169" s="19">
        <v>5.0</v>
      </c>
      <c r="H169" s="19">
        <v>11.0</v>
      </c>
      <c r="I169" s="19">
        <v>7.0</v>
      </c>
      <c r="J169" s="19">
        <v>17.0</v>
      </c>
      <c r="K169" s="19">
        <v>13.0</v>
      </c>
      <c r="L169" s="19">
        <v>6.0</v>
      </c>
      <c r="M169" s="19">
        <v>44.0</v>
      </c>
      <c r="N169" s="19">
        <v>31.0</v>
      </c>
      <c r="O169" s="19">
        <v>20.0</v>
      </c>
      <c r="P169" s="19">
        <v>10.0</v>
      </c>
      <c r="Q169" s="19">
        <v>5.0</v>
      </c>
      <c r="R169" s="19">
        <v>28.0</v>
      </c>
      <c r="S169" s="13">
        <f t="shared" si="40"/>
        <v>216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0.0</v>
      </c>
      <c r="F170" s="19">
        <v>0.0</v>
      </c>
      <c r="G170" s="19">
        <v>2.0</v>
      </c>
      <c r="H170" s="19">
        <v>1.0</v>
      </c>
      <c r="I170" s="19">
        <v>0.0</v>
      </c>
      <c r="J170" s="19">
        <v>5.0</v>
      </c>
      <c r="K170" s="19">
        <v>1.0</v>
      </c>
      <c r="L170" s="19">
        <v>1.0</v>
      </c>
      <c r="M170" s="19">
        <v>0.0</v>
      </c>
      <c r="N170" s="19">
        <v>1.0</v>
      </c>
      <c r="O170" s="19">
        <v>2.0</v>
      </c>
      <c r="P170" s="19">
        <v>0.0</v>
      </c>
      <c r="Q170" s="19">
        <v>1.0</v>
      </c>
      <c r="R170" s="19">
        <v>3.0</v>
      </c>
      <c r="S170" s="13">
        <f t="shared" si="40"/>
        <v>17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0.0</v>
      </c>
      <c r="F171" s="19">
        <v>0.0</v>
      </c>
      <c r="G171" s="19">
        <v>1.0</v>
      </c>
      <c r="H171" s="19">
        <v>1.0</v>
      </c>
      <c r="I171" s="19">
        <v>0.0</v>
      </c>
      <c r="J171" s="19">
        <v>0.0</v>
      </c>
      <c r="K171" s="19">
        <v>1.0</v>
      </c>
      <c r="L171" s="19">
        <v>0.0</v>
      </c>
      <c r="M171" s="19">
        <v>0.0</v>
      </c>
      <c r="N171" s="19">
        <v>0.0</v>
      </c>
      <c r="O171" s="19">
        <v>1.0</v>
      </c>
      <c r="P171" s="19">
        <v>0.0</v>
      </c>
      <c r="Q171" s="19">
        <v>1.0</v>
      </c>
      <c r="R171" s="19">
        <v>1.0</v>
      </c>
      <c r="S171" s="13">
        <f t="shared" si="40"/>
        <v>6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0.0</v>
      </c>
      <c r="F172" s="19">
        <v>1.0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1.0</v>
      </c>
      <c r="N172" s="19">
        <v>0.0</v>
      </c>
      <c r="O172" s="19">
        <v>0.0</v>
      </c>
      <c r="P172" s="19">
        <v>1.0</v>
      </c>
      <c r="Q172" s="19">
        <v>1.0</v>
      </c>
      <c r="R172" s="19">
        <v>1.0</v>
      </c>
      <c r="S172" s="13">
        <f t="shared" si="40"/>
        <v>5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0.0</v>
      </c>
      <c r="F173" s="19">
        <v>0.0</v>
      </c>
      <c r="G173" s="19">
        <v>3.0</v>
      </c>
      <c r="H173" s="19">
        <v>0.0</v>
      </c>
      <c r="I173" s="19">
        <v>0.0</v>
      </c>
      <c r="J173" s="19">
        <v>0.0</v>
      </c>
      <c r="K173" s="19">
        <v>0.0</v>
      </c>
      <c r="L173" s="19">
        <v>0.0</v>
      </c>
      <c r="M173" s="19">
        <v>0.0</v>
      </c>
      <c r="N173" s="19">
        <v>0.0</v>
      </c>
      <c r="O173" s="19">
        <v>0.0</v>
      </c>
      <c r="P173" s="19">
        <v>0.0</v>
      </c>
      <c r="Q173" s="19">
        <v>1.0</v>
      </c>
      <c r="R173" s="19">
        <v>0.0</v>
      </c>
      <c r="S173" s="13">
        <f t="shared" si="40"/>
        <v>4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1.0</v>
      </c>
      <c r="P174" s="19">
        <v>0.0</v>
      </c>
      <c r="Q174" s="19">
        <v>0.0</v>
      </c>
      <c r="R174" s="19">
        <v>0.0</v>
      </c>
      <c r="S174" s="13">
        <f t="shared" si="40"/>
        <v>1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0.0</v>
      </c>
      <c r="F175" s="19">
        <v>0.0</v>
      </c>
      <c r="G175" s="19">
        <v>0.0</v>
      </c>
      <c r="H175" s="19">
        <v>1.0</v>
      </c>
      <c r="I175" s="19">
        <v>0.0</v>
      </c>
      <c r="J175" s="19">
        <v>0.0</v>
      </c>
      <c r="K175" s="19">
        <v>0.0</v>
      </c>
      <c r="L175" s="19">
        <v>0.0</v>
      </c>
      <c r="M175" s="19">
        <v>0.0</v>
      </c>
      <c r="N175" s="19">
        <v>0.0</v>
      </c>
      <c r="O175" s="19">
        <v>4.0</v>
      </c>
      <c r="P175" s="19">
        <v>5.0</v>
      </c>
      <c r="Q175" s="19">
        <v>1.0</v>
      </c>
      <c r="R175" s="19">
        <v>0.0</v>
      </c>
      <c r="S175" s="13">
        <f t="shared" si="40"/>
        <v>11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S176" si="41">SUM(E168:E175)</f>
        <v>15</v>
      </c>
      <c r="F176" s="13">
        <f t="shared" si="41"/>
        <v>10</v>
      </c>
      <c r="G176" s="13">
        <f t="shared" si="41"/>
        <v>18</v>
      </c>
      <c r="H176" s="13">
        <f t="shared" si="41"/>
        <v>19</v>
      </c>
      <c r="I176" s="13">
        <f t="shared" si="41"/>
        <v>8</v>
      </c>
      <c r="J176" s="13">
        <f t="shared" si="41"/>
        <v>26</v>
      </c>
      <c r="K176" s="13">
        <f t="shared" si="41"/>
        <v>20</v>
      </c>
      <c r="L176" s="13">
        <f t="shared" si="41"/>
        <v>12</v>
      </c>
      <c r="M176" s="13">
        <f t="shared" si="41"/>
        <v>53</v>
      </c>
      <c r="N176" s="13">
        <f t="shared" si="41"/>
        <v>33</v>
      </c>
      <c r="O176" s="13">
        <f t="shared" si="41"/>
        <v>40</v>
      </c>
      <c r="P176" s="13">
        <f t="shared" si="41"/>
        <v>23</v>
      </c>
      <c r="Q176" s="13">
        <f t="shared" si="41"/>
        <v>15</v>
      </c>
      <c r="R176" s="13">
        <f t="shared" si="41"/>
        <v>46</v>
      </c>
      <c r="S176" s="13">
        <f t="shared" si="41"/>
        <v>338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3.0</v>
      </c>
      <c r="F178" s="19">
        <v>0.0</v>
      </c>
      <c r="G178" s="19">
        <v>3.0</v>
      </c>
      <c r="H178" s="19">
        <v>0.0</v>
      </c>
      <c r="I178" s="19">
        <v>0.0</v>
      </c>
      <c r="J178" s="19">
        <v>0.0</v>
      </c>
      <c r="K178" s="19">
        <v>0.0</v>
      </c>
      <c r="L178" s="19">
        <v>1.0</v>
      </c>
      <c r="M178" s="19">
        <v>0.0</v>
      </c>
      <c r="N178" s="19">
        <v>0.0</v>
      </c>
      <c r="O178" s="19">
        <v>0.0</v>
      </c>
      <c r="P178" s="19">
        <v>0.0</v>
      </c>
      <c r="Q178" s="19">
        <v>1.0</v>
      </c>
      <c r="R178" s="19">
        <v>4.0</v>
      </c>
      <c r="S178" s="13">
        <f t="shared" ref="S178:S185" si="42">SUM(E178:R178)</f>
        <v>12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1.0</v>
      </c>
      <c r="F179" s="19">
        <v>0.0</v>
      </c>
      <c r="G179" s="19">
        <v>1.0</v>
      </c>
      <c r="H179" s="19">
        <v>2.0</v>
      </c>
      <c r="I179" s="19">
        <v>0.0</v>
      </c>
      <c r="J179" s="19">
        <v>3.0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1.0</v>
      </c>
      <c r="Q179" s="19">
        <v>1.0</v>
      </c>
      <c r="R179" s="19">
        <v>3.0</v>
      </c>
      <c r="S179" s="13">
        <f t="shared" si="42"/>
        <v>13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2.0</v>
      </c>
      <c r="L180" s="19">
        <v>0.0</v>
      </c>
      <c r="M180" s="19">
        <v>0.0</v>
      </c>
      <c r="N180" s="19">
        <v>1.0</v>
      </c>
      <c r="O180" s="19">
        <v>0.0</v>
      </c>
      <c r="P180" s="19">
        <v>0.0</v>
      </c>
      <c r="Q180" s="19">
        <v>0.0</v>
      </c>
      <c r="R180" s="19">
        <v>0.0</v>
      </c>
      <c r="S180" s="13">
        <f t="shared" si="42"/>
        <v>4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1.0</v>
      </c>
      <c r="H181" s="19">
        <v>0.0</v>
      </c>
      <c r="I181" s="19">
        <v>0.0</v>
      </c>
      <c r="J181" s="19">
        <v>0.0</v>
      </c>
      <c r="K181" s="19">
        <v>0.0</v>
      </c>
      <c r="L181" s="19">
        <v>1.0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3">
        <f t="shared" si="42"/>
        <v>2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1.0</v>
      </c>
      <c r="O182" s="19">
        <v>0.0</v>
      </c>
      <c r="P182" s="19">
        <v>0.0</v>
      </c>
      <c r="Q182" s="19">
        <v>0.0</v>
      </c>
      <c r="R182" s="19">
        <v>0.0</v>
      </c>
      <c r="S182" s="13">
        <f t="shared" si="42"/>
        <v>1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2.0</v>
      </c>
      <c r="G183" s="19">
        <v>0.0</v>
      </c>
      <c r="H183" s="19">
        <v>1.0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3">
        <f t="shared" si="42"/>
        <v>3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1.0</v>
      </c>
      <c r="M184" s="19">
        <v>0.0</v>
      </c>
      <c r="N184" s="19">
        <v>1.0</v>
      </c>
      <c r="O184" s="19">
        <v>0.0</v>
      </c>
      <c r="P184" s="19">
        <v>0.0</v>
      </c>
      <c r="Q184" s="19">
        <v>0.0</v>
      </c>
      <c r="R184" s="19">
        <v>0.0</v>
      </c>
      <c r="S184" s="13">
        <f t="shared" si="42"/>
        <v>2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9">
        <v>0.0</v>
      </c>
      <c r="S185" s="13">
        <f t="shared" si="42"/>
        <v>0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S186" si="43">SUM(E178:E185)</f>
        <v>4</v>
      </c>
      <c r="F186" s="13">
        <f t="shared" si="43"/>
        <v>2</v>
      </c>
      <c r="G186" s="13">
        <f t="shared" si="43"/>
        <v>5</v>
      </c>
      <c r="H186" s="13">
        <f t="shared" si="43"/>
        <v>4</v>
      </c>
      <c r="I186" s="13">
        <f t="shared" si="43"/>
        <v>0</v>
      </c>
      <c r="J186" s="13">
        <f t="shared" si="43"/>
        <v>3</v>
      </c>
      <c r="K186" s="13">
        <f t="shared" si="43"/>
        <v>2</v>
      </c>
      <c r="L186" s="13">
        <f t="shared" si="43"/>
        <v>3</v>
      </c>
      <c r="M186" s="13">
        <f t="shared" si="43"/>
        <v>0</v>
      </c>
      <c r="N186" s="13">
        <f t="shared" si="43"/>
        <v>4</v>
      </c>
      <c r="O186" s="13">
        <f t="shared" si="43"/>
        <v>0</v>
      </c>
      <c r="P186" s="13">
        <f t="shared" si="43"/>
        <v>1</v>
      </c>
      <c r="Q186" s="13">
        <f t="shared" si="43"/>
        <v>2</v>
      </c>
      <c r="R186" s="13">
        <f t="shared" si="43"/>
        <v>7</v>
      </c>
      <c r="S186" s="13">
        <f t="shared" si="43"/>
        <v>37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0.0</v>
      </c>
      <c r="F188" s="19">
        <v>0.0</v>
      </c>
      <c r="G188" s="19">
        <v>0.0</v>
      </c>
      <c r="H188" s="19">
        <v>0.0</v>
      </c>
      <c r="I188" s="19">
        <v>0.0</v>
      </c>
      <c r="J188" s="19">
        <v>0.0</v>
      </c>
      <c r="K188" s="19">
        <v>0.0</v>
      </c>
      <c r="L188" s="19">
        <v>1.0</v>
      </c>
      <c r="M188" s="19">
        <v>0.0</v>
      </c>
      <c r="N188" s="19">
        <v>0.0</v>
      </c>
      <c r="O188" s="19">
        <v>1.0</v>
      </c>
      <c r="P188" s="19">
        <v>1.0</v>
      </c>
      <c r="Q188" s="19">
        <v>1.0</v>
      </c>
      <c r="R188" s="19">
        <v>0.0</v>
      </c>
      <c r="S188" s="13">
        <f t="shared" ref="S188:S195" si="44">SUM(E188:R188)</f>
        <v>4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0.0</v>
      </c>
      <c r="F189" s="19">
        <v>0.0</v>
      </c>
      <c r="G189" s="19">
        <v>0.0</v>
      </c>
      <c r="H189" s="19">
        <v>1.0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2.0</v>
      </c>
      <c r="O189" s="19">
        <v>1.0</v>
      </c>
      <c r="P189" s="19">
        <v>2.0</v>
      </c>
      <c r="Q189" s="19">
        <v>0.0</v>
      </c>
      <c r="R189" s="19">
        <v>4.0</v>
      </c>
      <c r="S189" s="13">
        <f t="shared" si="44"/>
        <v>11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3">
        <f t="shared" si="44"/>
        <v>0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1.0</v>
      </c>
      <c r="K191" s="19">
        <v>0.0</v>
      </c>
      <c r="L191" s="19">
        <v>0.0</v>
      </c>
      <c r="M191" s="19">
        <v>0.0</v>
      </c>
      <c r="N191" s="19">
        <v>0.0</v>
      </c>
      <c r="O191" s="19">
        <v>1.0</v>
      </c>
      <c r="P191" s="19">
        <v>0.0</v>
      </c>
      <c r="Q191" s="19">
        <v>0.0</v>
      </c>
      <c r="R191" s="19">
        <v>0.0</v>
      </c>
      <c r="S191" s="13">
        <f t="shared" si="44"/>
        <v>2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3">
        <f t="shared" si="44"/>
        <v>0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3">
        <f t="shared" si="44"/>
        <v>0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3">
        <f t="shared" si="44"/>
        <v>0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1.0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3">
        <f t="shared" si="44"/>
        <v>1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S196" si="45">SUM(E188:E195)</f>
        <v>0</v>
      </c>
      <c r="F196" s="13">
        <f t="shared" si="45"/>
        <v>0</v>
      </c>
      <c r="G196" s="13">
        <f t="shared" si="45"/>
        <v>0</v>
      </c>
      <c r="H196" s="13">
        <f t="shared" si="45"/>
        <v>1</v>
      </c>
      <c r="I196" s="13">
        <f t="shared" si="45"/>
        <v>0</v>
      </c>
      <c r="J196" s="13">
        <f t="shared" si="45"/>
        <v>2</v>
      </c>
      <c r="K196" s="13">
        <f t="shared" si="45"/>
        <v>1</v>
      </c>
      <c r="L196" s="13">
        <f t="shared" si="45"/>
        <v>1</v>
      </c>
      <c r="M196" s="13">
        <f t="shared" si="45"/>
        <v>0</v>
      </c>
      <c r="N196" s="13">
        <f t="shared" si="45"/>
        <v>2</v>
      </c>
      <c r="O196" s="13">
        <f t="shared" si="45"/>
        <v>3</v>
      </c>
      <c r="P196" s="13">
        <f t="shared" si="45"/>
        <v>3</v>
      </c>
      <c r="Q196" s="13">
        <f t="shared" si="45"/>
        <v>1</v>
      </c>
      <c r="R196" s="13">
        <f t="shared" si="45"/>
        <v>4</v>
      </c>
      <c r="S196" s="13">
        <f t="shared" si="45"/>
        <v>18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0.0</v>
      </c>
      <c r="F198" s="19">
        <v>2.0</v>
      </c>
      <c r="G198" s="19">
        <v>1.0</v>
      </c>
      <c r="H198" s="19">
        <v>2.0</v>
      </c>
      <c r="I198" s="19">
        <v>1.0</v>
      </c>
      <c r="J198" s="19">
        <v>0.0</v>
      </c>
      <c r="K198" s="19">
        <v>1.0</v>
      </c>
      <c r="L198" s="19">
        <v>1.0</v>
      </c>
      <c r="M198" s="19">
        <v>9.0</v>
      </c>
      <c r="N198" s="19">
        <v>1.0</v>
      </c>
      <c r="O198" s="19">
        <v>3.0</v>
      </c>
      <c r="P198" s="19">
        <v>2.0</v>
      </c>
      <c r="Q198" s="19">
        <v>1.0</v>
      </c>
      <c r="R198" s="19">
        <v>2.0</v>
      </c>
      <c r="S198" s="13">
        <f t="shared" ref="S198:S205" si="46">SUM(E198:R198)</f>
        <v>26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0.0</v>
      </c>
      <c r="F199" s="19">
        <v>1.0</v>
      </c>
      <c r="G199" s="19">
        <v>0.0</v>
      </c>
      <c r="H199" s="19">
        <v>1.0</v>
      </c>
      <c r="I199" s="19">
        <v>0.0</v>
      </c>
      <c r="J199" s="19">
        <v>1.0</v>
      </c>
      <c r="K199" s="19">
        <v>0.0</v>
      </c>
      <c r="L199" s="19">
        <v>2.0</v>
      </c>
      <c r="M199" s="19">
        <v>0.0</v>
      </c>
      <c r="N199" s="19">
        <v>0.0</v>
      </c>
      <c r="O199" s="19">
        <v>0.0</v>
      </c>
      <c r="P199" s="19">
        <v>1.0</v>
      </c>
      <c r="Q199" s="19">
        <v>1.0</v>
      </c>
      <c r="R199" s="19">
        <v>0.0</v>
      </c>
      <c r="S199" s="13">
        <f t="shared" si="46"/>
        <v>7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0.0</v>
      </c>
      <c r="F200" s="19">
        <v>0.0</v>
      </c>
      <c r="G200" s="19">
        <v>1.0</v>
      </c>
      <c r="H200" s="19">
        <v>1.0</v>
      </c>
      <c r="I200" s="19">
        <v>5.0</v>
      </c>
      <c r="J200" s="19">
        <v>0.0</v>
      </c>
      <c r="K200" s="19">
        <v>7.0</v>
      </c>
      <c r="L200" s="19">
        <v>0.0</v>
      </c>
      <c r="M200" s="19">
        <v>0.0</v>
      </c>
      <c r="N200" s="19">
        <v>1.0</v>
      </c>
      <c r="O200" s="19">
        <v>4.0</v>
      </c>
      <c r="P200" s="19">
        <v>0.0</v>
      </c>
      <c r="Q200" s="19">
        <v>1.0</v>
      </c>
      <c r="R200" s="19">
        <v>0.0</v>
      </c>
      <c r="S200" s="13">
        <f t="shared" si="46"/>
        <v>20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0.0</v>
      </c>
      <c r="G201" s="19">
        <v>0.0</v>
      </c>
      <c r="H201" s="19">
        <v>1.0</v>
      </c>
      <c r="I201" s="19">
        <v>0.0</v>
      </c>
      <c r="J201" s="19">
        <v>0.0</v>
      </c>
      <c r="K201" s="19">
        <v>0.0</v>
      </c>
      <c r="L201" s="19">
        <v>0.0</v>
      </c>
      <c r="M201" s="19">
        <v>0.0</v>
      </c>
      <c r="N201" s="19">
        <v>1.0</v>
      </c>
      <c r="O201" s="19">
        <v>0.0</v>
      </c>
      <c r="P201" s="19">
        <v>0.0</v>
      </c>
      <c r="Q201" s="19">
        <v>0.0</v>
      </c>
      <c r="R201" s="19">
        <v>0.0</v>
      </c>
      <c r="S201" s="13">
        <f t="shared" si="46"/>
        <v>2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0.0</v>
      </c>
      <c r="F202" s="19">
        <v>0.0</v>
      </c>
      <c r="G202" s="19">
        <v>1.0</v>
      </c>
      <c r="H202" s="19">
        <v>2.0</v>
      </c>
      <c r="I202" s="19">
        <v>0.0</v>
      </c>
      <c r="J202" s="19">
        <v>0.0</v>
      </c>
      <c r="K202" s="19">
        <v>1.0</v>
      </c>
      <c r="L202" s="19">
        <v>0.0</v>
      </c>
      <c r="M202" s="19">
        <v>0.0</v>
      </c>
      <c r="N202" s="19">
        <v>0.0</v>
      </c>
      <c r="O202" s="19">
        <v>2.0</v>
      </c>
      <c r="P202" s="19">
        <v>0.0</v>
      </c>
      <c r="Q202" s="19">
        <v>1.0</v>
      </c>
      <c r="R202" s="19">
        <v>0.0</v>
      </c>
      <c r="S202" s="13">
        <f t="shared" si="46"/>
        <v>7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3">
        <f t="shared" si="46"/>
        <v>0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3">
        <f t="shared" si="46"/>
        <v>0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5.0</v>
      </c>
      <c r="F205" s="19">
        <v>12.0</v>
      </c>
      <c r="G205" s="19">
        <v>9.0</v>
      </c>
      <c r="H205" s="19">
        <v>8.0</v>
      </c>
      <c r="I205" s="19">
        <v>18.0</v>
      </c>
      <c r="J205" s="19">
        <v>5.0</v>
      </c>
      <c r="K205" s="19">
        <v>10.0</v>
      </c>
      <c r="L205" s="19">
        <v>2.0</v>
      </c>
      <c r="M205" s="19">
        <v>38.0</v>
      </c>
      <c r="N205" s="19">
        <v>19.0</v>
      </c>
      <c r="O205" s="19">
        <v>18.0</v>
      </c>
      <c r="P205" s="19">
        <v>33.0</v>
      </c>
      <c r="Q205" s="19">
        <v>36.0</v>
      </c>
      <c r="R205" s="19">
        <v>18.0</v>
      </c>
      <c r="S205" s="13">
        <f t="shared" si="46"/>
        <v>231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S206" si="47">SUM(E198:E205)</f>
        <v>5</v>
      </c>
      <c r="F206" s="13">
        <f t="shared" si="47"/>
        <v>15</v>
      </c>
      <c r="G206" s="13">
        <f t="shared" si="47"/>
        <v>12</v>
      </c>
      <c r="H206" s="13">
        <f t="shared" si="47"/>
        <v>15</v>
      </c>
      <c r="I206" s="13">
        <f t="shared" si="47"/>
        <v>24</v>
      </c>
      <c r="J206" s="13">
        <f t="shared" si="47"/>
        <v>6</v>
      </c>
      <c r="K206" s="13">
        <f t="shared" si="47"/>
        <v>19</v>
      </c>
      <c r="L206" s="13">
        <f t="shared" si="47"/>
        <v>5</v>
      </c>
      <c r="M206" s="13">
        <f t="shared" si="47"/>
        <v>47</v>
      </c>
      <c r="N206" s="13">
        <f t="shared" si="47"/>
        <v>22</v>
      </c>
      <c r="O206" s="13">
        <f t="shared" si="47"/>
        <v>27</v>
      </c>
      <c r="P206" s="13">
        <f t="shared" si="47"/>
        <v>36</v>
      </c>
      <c r="Q206" s="13">
        <f t="shared" si="47"/>
        <v>40</v>
      </c>
      <c r="R206" s="13">
        <f t="shared" si="47"/>
        <v>20</v>
      </c>
      <c r="S206" s="13">
        <f t="shared" si="47"/>
        <v>293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2.0</v>
      </c>
      <c r="F208" s="19">
        <v>0.0</v>
      </c>
      <c r="G208" s="19">
        <v>1.0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1.0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3">
        <f t="shared" ref="S208:S214" si="48">SUM(E208:R208)</f>
        <v>4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1.0</v>
      </c>
      <c r="F209" s="19">
        <v>2.0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9">
        <v>0.0</v>
      </c>
      <c r="S209" s="13">
        <f t="shared" si="48"/>
        <v>3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3">
        <f t="shared" si="48"/>
        <v>0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0.0</v>
      </c>
      <c r="S211" s="13">
        <f t="shared" si="48"/>
        <v>0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9">
        <v>0.0</v>
      </c>
      <c r="S212" s="13">
        <f t="shared" si="48"/>
        <v>0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9">
        <v>0.0</v>
      </c>
      <c r="S213" s="13">
        <f t="shared" si="48"/>
        <v>0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0.0</v>
      </c>
      <c r="S214" s="13">
        <f t="shared" si="48"/>
        <v>0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S215" si="49">SUM(E208:E214)</f>
        <v>3</v>
      </c>
      <c r="F215" s="13">
        <f t="shared" si="49"/>
        <v>2</v>
      </c>
      <c r="G215" s="13">
        <f t="shared" si="49"/>
        <v>1</v>
      </c>
      <c r="H215" s="13">
        <f t="shared" si="49"/>
        <v>0</v>
      </c>
      <c r="I215" s="13">
        <f t="shared" si="49"/>
        <v>0</v>
      </c>
      <c r="J215" s="13">
        <f t="shared" si="49"/>
        <v>0</v>
      </c>
      <c r="K215" s="13">
        <f t="shared" si="49"/>
        <v>0</v>
      </c>
      <c r="L215" s="13">
        <f t="shared" si="49"/>
        <v>0</v>
      </c>
      <c r="M215" s="13">
        <f t="shared" si="49"/>
        <v>1</v>
      </c>
      <c r="N215" s="13">
        <f t="shared" si="49"/>
        <v>0</v>
      </c>
      <c r="O215" s="13">
        <f t="shared" si="49"/>
        <v>0</v>
      </c>
      <c r="P215" s="13">
        <f t="shared" si="49"/>
        <v>0</v>
      </c>
      <c r="Q215" s="13">
        <f t="shared" si="49"/>
        <v>0</v>
      </c>
      <c r="R215" s="13">
        <f t="shared" si="49"/>
        <v>0</v>
      </c>
      <c r="S215" s="13">
        <f t="shared" si="49"/>
        <v>7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71"/>
      <c r="O217" s="71"/>
      <c r="P217" s="71"/>
      <c r="Q217" s="13"/>
      <c r="R217" s="13"/>
      <c r="S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R218" si="50">E53+E63+E73+E83+E93+E103+E109+E119+E129+E136+E146+E156+E166+E176+E186+E196+E206+E215</f>
        <v>177</v>
      </c>
      <c r="F218" s="19">
        <f t="shared" si="50"/>
        <v>132</v>
      </c>
      <c r="G218" s="19">
        <f t="shared" si="50"/>
        <v>166</v>
      </c>
      <c r="H218" s="19">
        <f t="shared" si="50"/>
        <v>188</v>
      </c>
      <c r="I218" s="19">
        <f t="shared" si="50"/>
        <v>196</v>
      </c>
      <c r="J218" s="19">
        <f t="shared" si="50"/>
        <v>204</v>
      </c>
      <c r="K218" s="19">
        <f t="shared" si="50"/>
        <v>172</v>
      </c>
      <c r="L218" s="19">
        <f t="shared" si="50"/>
        <v>147</v>
      </c>
      <c r="M218" s="19">
        <f t="shared" si="50"/>
        <v>196</v>
      </c>
      <c r="N218" s="19">
        <f t="shared" si="50"/>
        <v>185</v>
      </c>
      <c r="O218" s="19">
        <f t="shared" si="50"/>
        <v>173</v>
      </c>
      <c r="P218" s="19">
        <f t="shared" si="50"/>
        <v>181</v>
      </c>
      <c r="Q218" s="19">
        <f t="shared" si="50"/>
        <v>196</v>
      </c>
      <c r="R218" s="19">
        <f t="shared" si="50"/>
        <v>201</v>
      </c>
      <c r="S218" s="13">
        <f t="shared" ref="S218:S220" si="51">SUM(E218:R218)</f>
        <v>2514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23.0</v>
      </c>
      <c r="F219" s="19">
        <v>9.0</v>
      </c>
      <c r="G219" s="19">
        <v>14.0</v>
      </c>
      <c r="H219" s="19">
        <v>22.0</v>
      </c>
      <c r="I219" s="19">
        <v>4.0</v>
      </c>
      <c r="J219" s="19">
        <v>15.0</v>
      </c>
      <c r="K219" s="19">
        <v>14.0</v>
      </c>
      <c r="L219" s="19">
        <v>23.0</v>
      </c>
      <c r="M219" s="19">
        <v>13.0</v>
      </c>
      <c r="N219" s="19">
        <v>9.0</v>
      </c>
      <c r="O219" s="19">
        <v>13.0</v>
      </c>
      <c r="P219" s="19">
        <v>8.0</v>
      </c>
      <c r="Q219" s="19">
        <v>9.0</v>
      </c>
      <c r="R219" s="19">
        <v>9.0</v>
      </c>
      <c r="S219" s="13">
        <f t="shared" si="51"/>
        <v>185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R220" si="52">SUM(E218:E219)</f>
        <v>200</v>
      </c>
      <c r="F220" s="13">
        <f t="shared" si="52"/>
        <v>141</v>
      </c>
      <c r="G220" s="13">
        <f t="shared" si="52"/>
        <v>180</v>
      </c>
      <c r="H220" s="13">
        <f t="shared" si="52"/>
        <v>210</v>
      </c>
      <c r="I220" s="13">
        <f t="shared" si="52"/>
        <v>200</v>
      </c>
      <c r="J220" s="13">
        <f t="shared" si="52"/>
        <v>219</v>
      </c>
      <c r="K220" s="13">
        <f t="shared" si="52"/>
        <v>186</v>
      </c>
      <c r="L220" s="13">
        <f t="shared" si="52"/>
        <v>170</v>
      </c>
      <c r="M220" s="13">
        <f t="shared" si="52"/>
        <v>209</v>
      </c>
      <c r="N220" s="13">
        <f t="shared" si="52"/>
        <v>194</v>
      </c>
      <c r="O220" s="13">
        <f t="shared" si="52"/>
        <v>186</v>
      </c>
      <c r="P220" s="13">
        <f t="shared" si="52"/>
        <v>189</v>
      </c>
      <c r="Q220" s="13">
        <f t="shared" si="52"/>
        <v>205</v>
      </c>
      <c r="R220" s="13">
        <f t="shared" si="52"/>
        <v>210</v>
      </c>
      <c r="S220" s="13">
        <f t="shared" si="51"/>
        <v>2699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63:D63"/>
    <mergeCell ref="A64:E64"/>
    <mergeCell ref="C65:D65"/>
    <mergeCell ref="B73:D73"/>
    <mergeCell ref="A74:E74"/>
    <mergeCell ref="C75:D75"/>
    <mergeCell ref="B83:D83"/>
    <mergeCell ref="A84:E84"/>
    <mergeCell ref="C85:D85"/>
    <mergeCell ref="B93:D93"/>
    <mergeCell ref="A94:E94"/>
    <mergeCell ref="C95:D95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A187:E187"/>
    <mergeCell ref="C188:D188"/>
    <mergeCell ref="B217:D217"/>
    <mergeCell ref="C218:D218"/>
    <mergeCell ref="C219:D219"/>
    <mergeCell ref="C220:D220"/>
    <mergeCell ref="B196:D196"/>
    <mergeCell ref="A197:E197"/>
    <mergeCell ref="C198:D198"/>
    <mergeCell ref="B206:D206"/>
    <mergeCell ref="A207:E207"/>
    <mergeCell ref="C208:D208"/>
    <mergeCell ref="B215:D215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R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R42"/>
    <mergeCell ref="B43:D43"/>
    <mergeCell ref="A44:D44"/>
    <mergeCell ref="C45:D45"/>
    <mergeCell ref="B53:D53"/>
    <mergeCell ref="A54:E54"/>
    <mergeCell ref="C55:D55"/>
    <mergeCell ref="C46:D46"/>
    <mergeCell ref="C47:D47"/>
    <mergeCell ref="C48:D48"/>
    <mergeCell ref="C49:D49"/>
    <mergeCell ref="C50:D50"/>
    <mergeCell ref="C51:D51"/>
    <mergeCell ref="C52:D52"/>
  </mergeCells>
  <conditionalFormatting sqref="E14:R15">
    <cfRule type="containsBlanks" dxfId="0" priority="1">
      <formula>LEN(TRIM(E14))=0</formula>
    </cfRule>
  </conditionalFormatting>
  <conditionalFormatting sqref="E19:R20">
    <cfRule type="containsBlanks" dxfId="0" priority="2">
      <formula>LEN(TRIM(E19))=0</formula>
    </cfRule>
  </conditionalFormatting>
  <conditionalFormatting sqref="E22:R23 E25:R26 E33:R33 E35:R35 E39:R40">
    <cfRule type="containsBlanks" dxfId="0" priority="3">
      <formula>LEN(TRIM(E22))=0</formula>
    </cfRule>
  </conditionalFormatting>
  <conditionalFormatting sqref="E30:R30">
    <cfRule type="expression" dxfId="1" priority="4">
      <formula>E30&lt;&gt;E47</formula>
    </cfRule>
  </conditionalFormatting>
  <conditionalFormatting sqref="E30:R30">
    <cfRule type="expression" dxfId="1" priority="5">
      <formula>E30&lt;&gt;E34</formula>
    </cfRule>
  </conditionalFormatting>
  <conditionalFormatting sqref="E45:R52">
    <cfRule type="containsBlanks" dxfId="0" priority="6">
      <formula>LEN(TRIM(E45))=0</formula>
    </cfRule>
  </conditionalFormatting>
  <conditionalFormatting sqref="E55:R62">
    <cfRule type="containsBlanks" dxfId="0" priority="7">
      <formula>LEN(TRIM(E55))=0</formula>
    </cfRule>
  </conditionalFormatting>
  <conditionalFormatting sqref="E65:R72">
    <cfRule type="containsBlanks" dxfId="0" priority="8">
      <formula>LEN(TRIM(E65))=0</formula>
    </cfRule>
  </conditionalFormatting>
  <conditionalFormatting sqref="E75:R82">
    <cfRule type="containsBlanks" dxfId="0" priority="9">
      <formula>LEN(TRIM(E75))=0</formula>
    </cfRule>
  </conditionalFormatting>
  <conditionalFormatting sqref="E85:R92">
    <cfRule type="containsBlanks" dxfId="0" priority="10">
      <formula>LEN(TRIM(E85))=0</formula>
    </cfRule>
  </conditionalFormatting>
  <conditionalFormatting sqref="E95:R102">
    <cfRule type="containsBlanks" dxfId="0" priority="11">
      <formula>LEN(TRIM(E95))=0</formula>
    </cfRule>
  </conditionalFormatting>
  <conditionalFormatting sqref="E105:R108">
    <cfRule type="containsBlanks" dxfId="0" priority="12">
      <formula>LEN(TRIM(E105))=0</formula>
    </cfRule>
  </conditionalFormatting>
  <conditionalFormatting sqref="E111:R118">
    <cfRule type="containsBlanks" dxfId="0" priority="13">
      <formula>LEN(TRIM(E111))=0</formula>
    </cfRule>
  </conditionalFormatting>
  <conditionalFormatting sqref="E121:R128">
    <cfRule type="containsBlanks" dxfId="0" priority="14">
      <formula>LEN(TRIM(E121))=0</formula>
    </cfRule>
  </conditionalFormatting>
  <conditionalFormatting sqref="E131:R135">
    <cfRule type="containsBlanks" dxfId="0" priority="15">
      <formula>LEN(TRIM(E131))=0</formula>
    </cfRule>
  </conditionalFormatting>
  <conditionalFormatting sqref="E138:R145">
    <cfRule type="containsBlanks" dxfId="0" priority="16">
      <formula>LEN(TRIM(E138))=0</formula>
    </cfRule>
  </conditionalFormatting>
  <conditionalFormatting sqref="E148:R155">
    <cfRule type="containsBlanks" dxfId="0" priority="17">
      <formula>LEN(TRIM(E148))=0</formula>
    </cfRule>
  </conditionalFormatting>
  <conditionalFormatting sqref="E158:R165">
    <cfRule type="containsBlanks" dxfId="0" priority="18">
      <formula>LEN(TRIM(E158))=0</formula>
    </cfRule>
  </conditionalFormatting>
  <conditionalFormatting sqref="E168:R175">
    <cfRule type="containsBlanks" dxfId="0" priority="19">
      <formula>LEN(TRIM(E168))=0</formula>
    </cfRule>
  </conditionalFormatting>
  <conditionalFormatting sqref="E178:R185">
    <cfRule type="containsBlanks" dxfId="0" priority="20">
      <formula>LEN(TRIM(E178))=0</formula>
    </cfRule>
  </conditionalFormatting>
  <conditionalFormatting sqref="E188:R195">
    <cfRule type="containsBlanks" dxfId="0" priority="21">
      <formula>LEN(TRIM(E188))=0</formula>
    </cfRule>
  </conditionalFormatting>
  <conditionalFormatting sqref="E198:R205">
    <cfRule type="containsBlanks" dxfId="0" priority="22">
      <formula>LEN(TRIM(E198))=0</formula>
    </cfRule>
  </conditionalFormatting>
  <conditionalFormatting sqref="E208:R214">
    <cfRule type="containsBlanks" dxfId="0" priority="23">
      <formula>LEN(TRIM(E208))=0</formula>
    </cfRule>
  </conditionalFormatting>
  <conditionalFormatting sqref="E218:R219">
    <cfRule type="containsBlanks" dxfId="0" priority="24">
      <formula>LEN(TRIM(E218))=0</formula>
    </cfRule>
  </conditionalFormatting>
  <conditionalFormatting sqref="E34:R34">
    <cfRule type="expression" dxfId="2" priority="25">
      <formula>E30&lt;&gt;E34</formula>
    </cfRule>
  </conditionalFormatting>
  <conditionalFormatting sqref="E34:R34">
    <cfRule type="expression" dxfId="3" priority="26">
      <formula>E30=E34</formula>
    </cfRule>
  </conditionalFormatting>
  <conditionalFormatting sqref="E34:R34">
    <cfRule type="expression" dxfId="1" priority="27">
      <formula>E34&lt;&gt;E30</formula>
    </cfRule>
  </conditionalFormatting>
  <conditionalFormatting sqref="E34:R34">
    <cfRule type="expression" dxfId="1" priority="28">
      <formula>E34&lt;&gt;E62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143.0</v>
      </c>
      <c r="G14" s="19">
        <v>158.0</v>
      </c>
      <c r="H14" s="19">
        <v>131.0</v>
      </c>
      <c r="I14" s="19">
        <v>140.0</v>
      </c>
      <c r="J14" s="19">
        <v>115.0</v>
      </c>
      <c r="K14" s="19">
        <v>152.0</v>
      </c>
      <c r="L14" s="19">
        <v>144.0</v>
      </c>
      <c r="M14" s="19">
        <v>155.0</v>
      </c>
      <c r="N14" s="19">
        <v>138.0</v>
      </c>
      <c r="O14" s="19">
        <v>136.0</v>
      </c>
      <c r="P14" s="19">
        <v>141.0</v>
      </c>
      <c r="Q14" s="19">
        <v>129.0</v>
      </c>
      <c r="R14" s="19">
        <v>142.0</v>
      </c>
      <c r="S14" s="13">
        <f t="shared" ref="S14:S16" si="1">SUM(E14:R14)</f>
        <v>1963</v>
      </c>
    </row>
    <row r="15" ht="12.75" customHeight="1">
      <c r="A15" s="18"/>
      <c r="B15" s="26"/>
      <c r="C15" s="27"/>
      <c r="D15" s="19" t="s">
        <v>13</v>
      </c>
      <c r="E15" s="19">
        <v>145.0</v>
      </c>
      <c r="F15" s="19">
        <v>152.0</v>
      </c>
      <c r="G15" s="19">
        <v>137.0</v>
      </c>
      <c r="H15" s="19">
        <v>142.0</v>
      </c>
      <c r="I15" s="19">
        <v>139.0</v>
      </c>
      <c r="J15" s="19">
        <v>126.0</v>
      </c>
      <c r="K15" s="19">
        <v>129.0</v>
      </c>
      <c r="L15" s="19">
        <v>143.0</v>
      </c>
      <c r="M15" s="19">
        <v>135.0</v>
      </c>
      <c r="N15" s="19">
        <v>146.0</v>
      </c>
      <c r="O15" s="19">
        <v>138.0</v>
      </c>
      <c r="P15" s="19">
        <v>129.0</v>
      </c>
      <c r="Q15" s="19">
        <v>141.0</v>
      </c>
      <c r="R15" s="19">
        <v>131.0</v>
      </c>
      <c r="S15" s="13">
        <f t="shared" si="1"/>
        <v>1933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284</v>
      </c>
      <c r="F16" s="13">
        <f t="shared" si="2"/>
        <v>295</v>
      </c>
      <c r="G16" s="13">
        <f t="shared" si="2"/>
        <v>295</v>
      </c>
      <c r="H16" s="13">
        <f t="shared" si="2"/>
        <v>273</v>
      </c>
      <c r="I16" s="13">
        <f t="shared" si="2"/>
        <v>279</v>
      </c>
      <c r="J16" s="13">
        <f t="shared" si="2"/>
        <v>241</v>
      </c>
      <c r="K16" s="13">
        <f t="shared" si="2"/>
        <v>281</v>
      </c>
      <c r="L16" s="13">
        <f t="shared" si="2"/>
        <v>287</v>
      </c>
      <c r="M16" s="13">
        <f t="shared" si="2"/>
        <v>290</v>
      </c>
      <c r="N16" s="13">
        <f t="shared" si="2"/>
        <v>284</v>
      </c>
      <c r="O16" s="13">
        <f t="shared" si="2"/>
        <v>274</v>
      </c>
      <c r="P16" s="13">
        <f t="shared" si="2"/>
        <v>270</v>
      </c>
      <c r="Q16" s="13">
        <f t="shared" si="2"/>
        <v>270</v>
      </c>
      <c r="R16" s="13">
        <f t="shared" si="2"/>
        <v>273</v>
      </c>
      <c r="S16" s="13">
        <f t="shared" si="1"/>
        <v>3896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69"/>
      <c r="P17" s="69"/>
      <c r="Q17" s="69"/>
      <c r="R17" s="69"/>
      <c r="S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69"/>
      <c r="P18" s="69"/>
      <c r="Q18" s="69"/>
      <c r="R18" s="69"/>
      <c r="S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113.0</v>
      </c>
      <c r="F19" s="19">
        <v>123.0</v>
      </c>
      <c r="G19" s="19">
        <v>139.0</v>
      </c>
      <c r="H19" s="19">
        <v>101.0</v>
      </c>
      <c r="I19" s="19">
        <v>98.0</v>
      </c>
      <c r="J19" s="19">
        <v>98.0</v>
      </c>
      <c r="K19" s="19">
        <v>130.0</v>
      </c>
      <c r="L19" s="19">
        <v>125.0</v>
      </c>
      <c r="M19" s="19">
        <v>107.0</v>
      </c>
      <c r="N19" s="19">
        <v>110.0</v>
      </c>
      <c r="O19" s="19">
        <v>100.0</v>
      </c>
      <c r="P19" s="19">
        <v>105.0</v>
      </c>
      <c r="Q19" s="19">
        <v>100.0</v>
      </c>
      <c r="R19" s="19">
        <v>110.0</v>
      </c>
      <c r="S19" s="13">
        <f t="shared" ref="S19:S30" si="3">SUM(E19:R19)</f>
        <v>1559</v>
      </c>
    </row>
    <row r="20" ht="12.75" customHeight="1">
      <c r="A20" s="33"/>
      <c r="B20" s="27"/>
      <c r="C20" s="34"/>
      <c r="D20" s="19" t="s">
        <v>13</v>
      </c>
      <c r="E20" s="19">
        <v>120.0</v>
      </c>
      <c r="F20" s="19">
        <v>127.0</v>
      </c>
      <c r="G20" s="19">
        <v>122.0</v>
      </c>
      <c r="H20" s="19">
        <v>114.0</v>
      </c>
      <c r="I20" s="19">
        <v>111.0</v>
      </c>
      <c r="J20" s="19">
        <v>103.0</v>
      </c>
      <c r="K20" s="19">
        <v>109.0</v>
      </c>
      <c r="L20" s="19">
        <v>131.0</v>
      </c>
      <c r="M20" s="19">
        <v>94.0</v>
      </c>
      <c r="N20" s="19">
        <v>120.0</v>
      </c>
      <c r="O20" s="19">
        <v>108.0</v>
      </c>
      <c r="P20" s="19">
        <v>100.0</v>
      </c>
      <c r="Q20" s="19">
        <v>115.0</v>
      </c>
      <c r="R20" s="19">
        <v>106.0</v>
      </c>
      <c r="S20" s="13">
        <f t="shared" si="3"/>
        <v>1580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233</v>
      </c>
      <c r="F21" s="13">
        <f t="shared" si="4"/>
        <v>250</v>
      </c>
      <c r="G21" s="13">
        <f t="shared" si="4"/>
        <v>261</v>
      </c>
      <c r="H21" s="13">
        <f t="shared" si="4"/>
        <v>215</v>
      </c>
      <c r="I21" s="13">
        <f t="shared" si="4"/>
        <v>209</v>
      </c>
      <c r="J21" s="13">
        <f t="shared" si="4"/>
        <v>201</v>
      </c>
      <c r="K21" s="13">
        <f t="shared" si="4"/>
        <v>239</v>
      </c>
      <c r="L21" s="13">
        <f t="shared" si="4"/>
        <v>256</v>
      </c>
      <c r="M21" s="13">
        <f t="shared" si="4"/>
        <v>201</v>
      </c>
      <c r="N21" s="13">
        <f t="shared" si="4"/>
        <v>230</v>
      </c>
      <c r="O21" s="13">
        <f t="shared" si="4"/>
        <v>208</v>
      </c>
      <c r="P21" s="13">
        <f t="shared" si="4"/>
        <v>205</v>
      </c>
      <c r="Q21" s="13">
        <f t="shared" si="4"/>
        <v>215</v>
      </c>
      <c r="R21" s="13">
        <f t="shared" si="4"/>
        <v>216</v>
      </c>
      <c r="S21" s="13">
        <f t="shared" si="3"/>
        <v>3139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1.0</v>
      </c>
      <c r="H22" s="19">
        <v>1.0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1.0</v>
      </c>
      <c r="S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1.0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3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5"/>
        <v>2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3"/>
        <v>11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0.0</v>
      </c>
      <c r="G25" s="19">
        <v>0.0</v>
      </c>
      <c r="H25" s="19">
        <v>1.0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2.0</v>
      </c>
      <c r="O25" s="19">
        <v>0.0</v>
      </c>
      <c r="P25" s="19">
        <v>1.0</v>
      </c>
      <c r="Q25" s="19">
        <v>0.0</v>
      </c>
      <c r="R25" s="19">
        <v>0.0</v>
      </c>
      <c r="S25" s="13">
        <f t="shared" si="3"/>
        <v>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5.0</v>
      </c>
      <c r="I26" s="19">
        <v>0.0</v>
      </c>
      <c r="J26" s="19">
        <v>0.0</v>
      </c>
      <c r="K26" s="19">
        <v>1.0</v>
      </c>
      <c r="L26" s="19">
        <v>0.0</v>
      </c>
      <c r="M26" s="19">
        <v>0.0</v>
      </c>
      <c r="N26" s="19">
        <v>1.0</v>
      </c>
      <c r="O26" s="19">
        <v>2.0</v>
      </c>
      <c r="P26" s="19">
        <v>1.0</v>
      </c>
      <c r="Q26" s="19">
        <v>0.0</v>
      </c>
      <c r="R26" s="19">
        <v>1.0</v>
      </c>
      <c r="S26" s="13">
        <f t="shared" si="3"/>
        <v>11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6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2</v>
      </c>
      <c r="P27" s="13">
        <f t="shared" si="6"/>
        <v>2</v>
      </c>
      <c r="Q27" s="13">
        <f t="shared" si="6"/>
        <v>0</v>
      </c>
      <c r="R27" s="13">
        <f t="shared" si="6"/>
        <v>1</v>
      </c>
      <c r="S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115</v>
      </c>
      <c r="F28" s="13">
        <f t="shared" si="7"/>
        <v>124</v>
      </c>
      <c r="G28" s="13">
        <f t="shared" si="7"/>
        <v>140</v>
      </c>
      <c r="H28" s="13">
        <f t="shared" si="7"/>
        <v>103</v>
      </c>
      <c r="I28" s="13">
        <f t="shared" si="7"/>
        <v>98</v>
      </c>
      <c r="J28" s="13">
        <f t="shared" si="7"/>
        <v>99</v>
      </c>
      <c r="K28" s="13">
        <f t="shared" si="7"/>
        <v>130</v>
      </c>
      <c r="L28" s="13">
        <f t="shared" si="7"/>
        <v>125</v>
      </c>
      <c r="M28" s="13">
        <f t="shared" si="7"/>
        <v>107</v>
      </c>
      <c r="N28" s="13">
        <f t="shared" si="7"/>
        <v>113</v>
      </c>
      <c r="O28" s="13">
        <f t="shared" si="7"/>
        <v>100</v>
      </c>
      <c r="P28" s="13">
        <f t="shared" si="7"/>
        <v>106</v>
      </c>
      <c r="Q28" s="13">
        <f t="shared" si="7"/>
        <v>100</v>
      </c>
      <c r="R28" s="13">
        <f t="shared" si="7"/>
        <v>111</v>
      </c>
      <c r="S28" s="13">
        <f t="shared" si="3"/>
        <v>1571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120</v>
      </c>
      <c r="F29" s="13">
        <f t="shared" si="8"/>
        <v>129</v>
      </c>
      <c r="G29" s="13">
        <f t="shared" si="8"/>
        <v>122</v>
      </c>
      <c r="H29" s="13">
        <f t="shared" si="8"/>
        <v>119</v>
      </c>
      <c r="I29" s="13">
        <f t="shared" si="8"/>
        <v>111</v>
      </c>
      <c r="J29" s="13">
        <f t="shared" si="8"/>
        <v>104</v>
      </c>
      <c r="K29" s="13">
        <f t="shared" si="8"/>
        <v>110</v>
      </c>
      <c r="L29" s="13">
        <f t="shared" si="8"/>
        <v>132</v>
      </c>
      <c r="M29" s="13">
        <f t="shared" si="8"/>
        <v>94</v>
      </c>
      <c r="N29" s="13">
        <f t="shared" si="8"/>
        <v>122</v>
      </c>
      <c r="O29" s="13">
        <f t="shared" si="8"/>
        <v>110</v>
      </c>
      <c r="P29" s="13">
        <f t="shared" si="8"/>
        <v>101</v>
      </c>
      <c r="Q29" s="13">
        <f t="shared" si="8"/>
        <v>115</v>
      </c>
      <c r="R29" s="13">
        <f t="shared" si="8"/>
        <v>107</v>
      </c>
      <c r="S29" s="13">
        <f t="shared" si="3"/>
        <v>1596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235</v>
      </c>
      <c r="F30" s="13">
        <f t="shared" si="9"/>
        <v>253</v>
      </c>
      <c r="G30" s="13">
        <f t="shared" si="9"/>
        <v>262</v>
      </c>
      <c r="H30" s="13">
        <f t="shared" si="9"/>
        <v>222</v>
      </c>
      <c r="I30" s="13">
        <f t="shared" si="9"/>
        <v>209</v>
      </c>
      <c r="J30" s="13">
        <f t="shared" si="9"/>
        <v>203</v>
      </c>
      <c r="K30" s="13">
        <f t="shared" si="9"/>
        <v>240</v>
      </c>
      <c r="L30" s="13">
        <f t="shared" si="9"/>
        <v>257</v>
      </c>
      <c r="M30" s="13">
        <f t="shared" si="9"/>
        <v>201</v>
      </c>
      <c r="N30" s="13">
        <f t="shared" si="9"/>
        <v>235</v>
      </c>
      <c r="O30" s="13">
        <f t="shared" si="9"/>
        <v>210</v>
      </c>
      <c r="P30" s="13">
        <f t="shared" si="9"/>
        <v>207</v>
      </c>
      <c r="Q30" s="13">
        <f t="shared" si="9"/>
        <v>215</v>
      </c>
      <c r="R30" s="13">
        <f t="shared" si="9"/>
        <v>218</v>
      </c>
      <c r="S30" s="13">
        <f t="shared" si="3"/>
        <v>3167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69"/>
      <c r="P31" s="69"/>
      <c r="Q31" s="69"/>
      <c r="R31" s="69"/>
      <c r="S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1"/>
      <c r="O32" s="71"/>
      <c r="P32" s="71"/>
      <c r="Q32" s="71"/>
      <c r="R32" s="71"/>
      <c r="S32" s="70"/>
    </row>
    <row r="33" ht="12.75" customHeight="1">
      <c r="A33" s="19">
        <v>1.0</v>
      </c>
      <c r="B33" s="20" t="s">
        <v>27</v>
      </c>
      <c r="C33" s="15"/>
      <c r="D33" s="16"/>
      <c r="E33" s="19">
        <v>290.0</v>
      </c>
      <c r="F33" s="19">
        <v>301.0</v>
      </c>
      <c r="G33" s="19">
        <v>301.0</v>
      </c>
      <c r="H33" s="19">
        <v>279.0</v>
      </c>
      <c r="I33" s="19">
        <v>285.0</v>
      </c>
      <c r="J33" s="19">
        <v>245.0</v>
      </c>
      <c r="K33" s="19">
        <v>287.0</v>
      </c>
      <c r="L33" s="19">
        <v>293.0</v>
      </c>
      <c r="M33" s="19">
        <v>296.0</v>
      </c>
      <c r="N33" s="19">
        <v>290.0</v>
      </c>
      <c r="O33" s="19">
        <v>280.0</v>
      </c>
      <c r="P33" s="19">
        <v>276.0</v>
      </c>
      <c r="Q33" s="19">
        <v>276.0</v>
      </c>
      <c r="R33" s="19">
        <v>279.0</v>
      </c>
      <c r="S33" s="13">
        <f t="shared" ref="S33:S36" si="10">SUM(E33:R33)</f>
        <v>3978</v>
      </c>
    </row>
    <row r="34" ht="12.75" customHeight="1">
      <c r="A34" s="19">
        <v>2.0</v>
      </c>
      <c r="B34" s="20" t="s">
        <v>28</v>
      </c>
      <c r="C34" s="15"/>
      <c r="D34" s="16"/>
      <c r="E34" s="13">
        <v>235.0</v>
      </c>
      <c r="F34" s="13">
        <v>253.0</v>
      </c>
      <c r="G34" s="13">
        <v>262.0</v>
      </c>
      <c r="H34" s="13">
        <v>222.0</v>
      </c>
      <c r="I34" s="13">
        <v>209.0</v>
      </c>
      <c r="J34" s="13">
        <v>203.0</v>
      </c>
      <c r="K34" s="13">
        <v>240.0</v>
      </c>
      <c r="L34" s="13">
        <v>257.0</v>
      </c>
      <c r="M34" s="13">
        <v>201.0</v>
      </c>
      <c r="N34" s="13">
        <v>235.0</v>
      </c>
      <c r="O34" s="13">
        <v>210.0</v>
      </c>
      <c r="P34" s="13">
        <v>207.0</v>
      </c>
      <c r="Q34" s="13">
        <v>215.0</v>
      </c>
      <c r="R34" s="13">
        <v>218.0</v>
      </c>
      <c r="S34" s="13">
        <f t="shared" si="10"/>
        <v>3167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1.0</v>
      </c>
      <c r="L35" s="19">
        <v>0.0</v>
      </c>
      <c r="M35" s="19">
        <v>1.0</v>
      </c>
      <c r="N35" s="19">
        <v>0.0</v>
      </c>
      <c r="O35" s="19">
        <v>0.0</v>
      </c>
      <c r="P35" s="19">
        <v>1.0</v>
      </c>
      <c r="Q35" s="19">
        <v>1.0</v>
      </c>
      <c r="R35" s="19">
        <v>0.0</v>
      </c>
      <c r="S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53</v>
      </c>
      <c r="F36" s="13">
        <f t="shared" si="11"/>
        <v>48</v>
      </c>
      <c r="G36" s="13">
        <f t="shared" si="11"/>
        <v>39</v>
      </c>
      <c r="H36" s="13">
        <f t="shared" si="11"/>
        <v>57</v>
      </c>
      <c r="I36" s="13">
        <f t="shared" si="11"/>
        <v>75</v>
      </c>
      <c r="J36" s="13">
        <f t="shared" si="11"/>
        <v>42</v>
      </c>
      <c r="K36" s="13">
        <f t="shared" si="11"/>
        <v>46</v>
      </c>
      <c r="L36" s="13">
        <f t="shared" si="11"/>
        <v>36</v>
      </c>
      <c r="M36" s="13">
        <f t="shared" si="11"/>
        <v>94</v>
      </c>
      <c r="N36" s="13">
        <f t="shared" si="11"/>
        <v>55</v>
      </c>
      <c r="O36" s="13">
        <f t="shared" si="11"/>
        <v>70</v>
      </c>
      <c r="P36" s="13">
        <f t="shared" si="11"/>
        <v>68</v>
      </c>
      <c r="Q36" s="13">
        <f t="shared" si="11"/>
        <v>60</v>
      </c>
      <c r="R36" s="13">
        <f t="shared" si="11"/>
        <v>61</v>
      </c>
      <c r="S36" s="13">
        <f t="shared" si="10"/>
        <v>804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9"/>
      <c r="O37" s="75"/>
      <c r="P37" s="75"/>
      <c r="Q37" s="75"/>
      <c r="R37" s="75"/>
      <c r="S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1"/>
      <c r="O38" s="71"/>
      <c r="P38" s="71"/>
      <c r="Q38" s="71"/>
      <c r="R38" s="71"/>
      <c r="S38" s="70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/>
      <c r="G39" s="19"/>
      <c r="H39" s="19"/>
      <c r="I39" s="19"/>
      <c r="J39" s="19"/>
      <c r="K39" s="19"/>
      <c r="L39" s="19"/>
      <c r="M39" s="19"/>
      <c r="N39" s="19">
        <v>1.0</v>
      </c>
      <c r="O39" s="19"/>
      <c r="P39" s="19">
        <v>1.0</v>
      </c>
      <c r="Q39" s="19"/>
      <c r="R39" s="19"/>
      <c r="S39" s="13">
        <f t="shared" ref="S39:S41" si="12">SUM(E39:R39)</f>
        <v>3</v>
      </c>
    </row>
    <row r="40" ht="12.75" customHeight="1">
      <c r="A40" s="33"/>
      <c r="C40" s="27"/>
      <c r="D40" s="19" t="s">
        <v>13</v>
      </c>
      <c r="E40" s="19">
        <v>1.0</v>
      </c>
      <c r="F40" s="19"/>
      <c r="G40" s="19"/>
      <c r="H40" s="19"/>
      <c r="I40" s="19">
        <v>1.0</v>
      </c>
      <c r="J40" s="19"/>
      <c r="K40" s="19"/>
      <c r="L40" s="19"/>
      <c r="M40" s="19"/>
      <c r="N40" s="19"/>
      <c r="O40" s="19">
        <v>1.0</v>
      </c>
      <c r="P40" s="19">
        <v>3.0</v>
      </c>
      <c r="Q40" s="19"/>
      <c r="R40" s="19"/>
      <c r="S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1</v>
      </c>
      <c r="P41" s="13">
        <f t="shared" si="13"/>
        <v>4</v>
      </c>
      <c r="Q41" s="13">
        <f t="shared" si="13"/>
        <v>0</v>
      </c>
      <c r="R41" s="13">
        <f t="shared" si="13"/>
        <v>0</v>
      </c>
      <c r="S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69"/>
      <c r="O42" s="19"/>
      <c r="P42" s="69"/>
      <c r="Q42" s="19"/>
      <c r="R42" s="6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1"/>
      <c r="O43" s="13"/>
      <c r="P43" s="71"/>
      <c r="Q43" s="13"/>
      <c r="R43" s="71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69"/>
      <c r="Q44" s="19"/>
      <c r="R44" s="69"/>
      <c r="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8.0</v>
      </c>
      <c r="G45" s="19">
        <v>8.0</v>
      </c>
      <c r="H45" s="19">
        <v>1.0</v>
      </c>
      <c r="I45" s="19">
        <v>4.0</v>
      </c>
      <c r="J45" s="19">
        <v>4.0</v>
      </c>
      <c r="K45" s="19">
        <v>3.0</v>
      </c>
      <c r="L45" s="19">
        <v>9.0</v>
      </c>
      <c r="M45" s="19">
        <v>5.0</v>
      </c>
      <c r="N45" s="19">
        <v>5.0</v>
      </c>
      <c r="O45" s="19">
        <v>4.0</v>
      </c>
      <c r="P45" s="19">
        <v>2.0</v>
      </c>
      <c r="Q45" s="19">
        <v>5.0</v>
      </c>
      <c r="R45" s="19">
        <v>7.0</v>
      </c>
      <c r="S45" s="13">
        <f t="shared" ref="S45:S52" si="14">SUM(E45:R45)</f>
        <v>69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36.0</v>
      </c>
      <c r="F46" s="19">
        <v>10.0</v>
      </c>
      <c r="G46" s="19">
        <v>26.0</v>
      </c>
      <c r="H46" s="19">
        <v>5.0</v>
      </c>
      <c r="I46" s="19">
        <v>9.0</v>
      </c>
      <c r="J46" s="19">
        <v>16.0</v>
      </c>
      <c r="K46" s="19">
        <v>12.0</v>
      </c>
      <c r="L46" s="19">
        <v>31.0</v>
      </c>
      <c r="M46" s="19">
        <v>26.0</v>
      </c>
      <c r="N46" s="19">
        <v>26.0</v>
      </c>
      <c r="O46" s="19">
        <v>3.0</v>
      </c>
      <c r="P46" s="19">
        <v>15.0</v>
      </c>
      <c r="Q46" s="19">
        <v>17.0</v>
      </c>
      <c r="R46" s="19">
        <v>13.0</v>
      </c>
      <c r="S46" s="13">
        <f t="shared" si="14"/>
        <v>245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1.0</v>
      </c>
      <c r="G47" s="19">
        <v>2.0</v>
      </c>
      <c r="H47" s="19">
        <v>2.0</v>
      </c>
      <c r="I47" s="19">
        <v>1.0</v>
      </c>
      <c r="J47" s="19">
        <v>5.0</v>
      </c>
      <c r="K47" s="19">
        <v>9.0</v>
      </c>
      <c r="L47" s="19">
        <v>0.0</v>
      </c>
      <c r="M47" s="19">
        <v>0.0</v>
      </c>
      <c r="N47" s="19">
        <v>1.0</v>
      </c>
      <c r="O47" s="19">
        <v>1.0</v>
      </c>
      <c r="P47" s="19">
        <v>1.0</v>
      </c>
      <c r="Q47" s="19">
        <v>11.0</v>
      </c>
      <c r="R47" s="19">
        <v>0.0</v>
      </c>
      <c r="S47" s="13">
        <f t="shared" si="14"/>
        <v>35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1.0</v>
      </c>
      <c r="G48" s="19">
        <v>2.0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1.0</v>
      </c>
      <c r="O48" s="19">
        <v>0.0</v>
      </c>
      <c r="P48" s="19">
        <v>1.0</v>
      </c>
      <c r="Q48" s="19">
        <v>1.0</v>
      </c>
      <c r="R48" s="19">
        <v>1.0</v>
      </c>
      <c r="S48" s="13">
        <f t="shared" si="14"/>
        <v>8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1.0</v>
      </c>
      <c r="J49" s="19">
        <v>0.0</v>
      </c>
      <c r="K49" s="19">
        <v>0.0</v>
      </c>
      <c r="L49" s="19">
        <v>3.0</v>
      </c>
      <c r="M49" s="19">
        <v>0.0</v>
      </c>
      <c r="N49" s="19">
        <v>1.0</v>
      </c>
      <c r="O49" s="19">
        <v>0.0</v>
      </c>
      <c r="P49" s="19">
        <v>0.0</v>
      </c>
      <c r="Q49" s="19">
        <v>1.0</v>
      </c>
      <c r="R49" s="19">
        <v>1.0</v>
      </c>
      <c r="S49" s="13">
        <f t="shared" si="14"/>
        <v>7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1.0</v>
      </c>
      <c r="H50" s="19">
        <v>1.0</v>
      </c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0.0</v>
      </c>
      <c r="O50" s="19">
        <v>1.0</v>
      </c>
      <c r="P50" s="19">
        <v>0.0</v>
      </c>
      <c r="Q50" s="19">
        <v>0.0</v>
      </c>
      <c r="R50" s="19">
        <v>0.0</v>
      </c>
      <c r="S50" s="13">
        <f t="shared" si="14"/>
        <v>4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1.0</v>
      </c>
      <c r="L51" s="19">
        <v>1.0</v>
      </c>
      <c r="M51" s="19">
        <v>2.0</v>
      </c>
      <c r="N51" s="19">
        <v>1.0</v>
      </c>
      <c r="O51" s="19">
        <v>0.0</v>
      </c>
      <c r="P51" s="19">
        <v>0.0</v>
      </c>
      <c r="Q51" s="19">
        <v>2.0</v>
      </c>
      <c r="R51" s="19">
        <v>0.0</v>
      </c>
      <c r="S51" s="13">
        <f t="shared" si="14"/>
        <v>7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3.0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3">
        <f t="shared" si="14"/>
        <v>4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S53" si="15">SUM(E45:E52)</f>
        <v>42</v>
      </c>
      <c r="F53" s="13">
        <f t="shared" si="15"/>
        <v>21</v>
      </c>
      <c r="G53" s="13">
        <f t="shared" si="15"/>
        <v>39</v>
      </c>
      <c r="H53" s="13">
        <f t="shared" si="15"/>
        <v>9</v>
      </c>
      <c r="I53" s="13">
        <f t="shared" si="15"/>
        <v>15</v>
      </c>
      <c r="J53" s="13">
        <f t="shared" si="15"/>
        <v>25</v>
      </c>
      <c r="K53" s="13">
        <f t="shared" si="15"/>
        <v>28</v>
      </c>
      <c r="L53" s="13">
        <f t="shared" si="15"/>
        <v>45</v>
      </c>
      <c r="M53" s="13">
        <f t="shared" si="15"/>
        <v>33</v>
      </c>
      <c r="N53" s="13">
        <f t="shared" si="15"/>
        <v>35</v>
      </c>
      <c r="O53" s="13">
        <f t="shared" si="15"/>
        <v>9</v>
      </c>
      <c r="P53" s="13">
        <f t="shared" si="15"/>
        <v>19</v>
      </c>
      <c r="Q53" s="13">
        <f t="shared" si="15"/>
        <v>37</v>
      </c>
      <c r="R53" s="13">
        <f t="shared" si="15"/>
        <v>22</v>
      </c>
      <c r="S53" s="13">
        <f t="shared" si="15"/>
        <v>379</v>
      </c>
    </row>
    <row r="54" ht="12.75" customHeight="1">
      <c r="A54" s="45"/>
      <c r="B54" s="44"/>
      <c r="C54" s="44"/>
      <c r="D54" s="44"/>
      <c r="E54" s="44"/>
      <c r="S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2.0</v>
      </c>
      <c r="F55" s="19">
        <v>3.0</v>
      </c>
      <c r="G55" s="19">
        <v>0.0</v>
      </c>
      <c r="H55" s="19">
        <v>8.0</v>
      </c>
      <c r="I55" s="19">
        <v>11.0</v>
      </c>
      <c r="J55" s="19">
        <v>3.0</v>
      </c>
      <c r="K55" s="19">
        <v>6.0</v>
      </c>
      <c r="L55" s="19">
        <v>7.0</v>
      </c>
      <c r="M55" s="19">
        <v>4.0</v>
      </c>
      <c r="N55" s="19">
        <v>8.0</v>
      </c>
      <c r="O55" s="19">
        <v>1.0</v>
      </c>
      <c r="P55" s="19">
        <v>8.0</v>
      </c>
      <c r="Q55" s="19">
        <v>10.0</v>
      </c>
      <c r="R55" s="19">
        <v>2.0</v>
      </c>
      <c r="S55" s="13">
        <f t="shared" ref="S55:S62" si="16">SUM(E55:R55)</f>
        <v>73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8.0</v>
      </c>
      <c r="F56" s="19">
        <v>4.0</v>
      </c>
      <c r="G56" s="19">
        <v>1.0</v>
      </c>
      <c r="H56" s="19">
        <v>4.0</v>
      </c>
      <c r="I56" s="19">
        <v>6.0</v>
      </c>
      <c r="J56" s="19">
        <v>10.0</v>
      </c>
      <c r="K56" s="19">
        <v>7.0</v>
      </c>
      <c r="L56" s="19">
        <v>4.0</v>
      </c>
      <c r="M56" s="19">
        <v>2.0</v>
      </c>
      <c r="N56" s="19">
        <v>2.0</v>
      </c>
      <c r="O56" s="19">
        <v>1.0</v>
      </c>
      <c r="P56" s="19">
        <v>3.0</v>
      </c>
      <c r="Q56" s="19">
        <v>11.0</v>
      </c>
      <c r="R56" s="19">
        <v>0.0</v>
      </c>
      <c r="S56" s="13">
        <f t="shared" si="16"/>
        <v>63</v>
      </c>
    </row>
    <row r="57" ht="12.75" customHeight="1">
      <c r="A57" s="18"/>
      <c r="B57" s="55">
        <v>2.0</v>
      </c>
      <c r="C57" s="50" t="s">
        <v>50</v>
      </c>
      <c r="D57" s="56"/>
      <c r="E57" s="19">
        <v>4.0</v>
      </c>
      <c r="F57" s="19">
        <v>1.0</v>
      </c>
      <c r="G57" s="19">
        <v>6.0</v>
      </c>
      <c r="H57" s="19">
        <v>1.0</v>
      </c>
      <c r="I57" s="19">
        <v>1.0</v>
      </c>
      <c r="J57" s="19">
        <v>1.0</v>
      </c>
      <c r="K57" s="19">
        <v>1.0</v>
      </c>
      <c r="L57" s="19">
        <v>1.0</v>
      </c>
      <c r="M57" s="19">
        <v>0.0</v>
      </c>
      <c r="N57" s="19">
        <v>1.0</v>
      </c>
      <c r="O57" s="19">
        <v>2.0</v>
      </c>
      <c r="P57" s="19">
        <v>1.0</v>
      </c>
      <c r="Q57" s="19">
        <v>3.0</v>
      </c>
      <c r="R57" s="19">
        <v>0.0</v>
      </c>
      <c r="S57" s="13">
        <f t="shared" si="16"/>
        <v>23</v>
      </c>
    </row>
    <row r="58" ht="12.75" customHeight="1">
      <c r="A58" s="18"/>
      <c r="B58" s="55">
        <v>3.0</v>
      </c>
      <c r="C58" s="50" t="s">
        <v>51</v>
      </c>
      <c r="D58" s="56"/>
      <c r="E58" s="19">
        <v>0.0</v>
      </c>
      <c r="F58" s="19">
        <v>0.0</v>
      </c>
      <c r="G58" s="19">
        <v>0.0</v>
      </c>
      <c r="H58" s="19">
        <v>0.0</v>
      </c>
      <c r="I58" s="19">
        <v>2.0</v>
      </c>
      <c r="J58" s="19">
        <v>1.0</v>
      </c>
      <c r="K58" s="19">
        <v>0.0</v>
      </c>
      <c r="L58" s="19">
        <v>1.0</v>
      </c>
      <c r="M58" s="19">
        <v>1.0</v>
      </c>
      <c r="N58" s="19">
        <v>0.0</v>
      </c>
      <c r="O58" s="19">
        <v>0.0</v>
      </c>
      <c r="P58" s="19">
        <v>0.0</v>
      </c>
      <c r="Q58" s="19">
        <v>0.0</v>
      </c>
      <c r="R58" s="19">
        <v>1.0</v>
      </c>
      <c r="S58" s="13">
        <f t="shared" si="16"/>
        <v>6</v>
      </c>
    </row>
    <row r="59" ht="12.75" customHeight="1">
      <c r="A59" s="18"/>
      <c r="B59" s="55">
        <v>4.0</v>
      </c>
      <c r="C59" s="50" t="s">
        <v>52</v>
      </c>
      <c r="D59" s="56"/>
      <c r="E59" s="19">
        <v>0.0</v>
      </c>
      <c r="F59" s="19">
        <v>9.0</v>
      </c>
      <c r="G59" s="19">
        <v>0.0</v>
      </c>
      <c r="H59" s="19">
        <v>0.0</v>
      </c>
      <c r="I59" s="19">
        <v>2.0</v>
      </c>
      <c r="J59" s="19">
        <v>0.0</v>
      </c>
      <c r="K59" s="19">
        <v>0.0</v>
      </c>
      <c r="L59" s="19">
        <v>1.0</v>
      </c>
      <c r="M59" s="19">
        <v>0.0</v>
      </c>
      <c r="N59" s="19">
        <v>0.0</v>
      </c>
      <c r="O59" s="19">
        <v>1.0</v>
      </c>
      <c r="P59" s="19">
        <v>0.0</v>
      </c>
      <c r="Q59" s="19">
        <v>2.0</v>
      </c>
      <c r="R59" s="19">
        <v>0.0</v>
      </c>
      <c r="S59" s="13">
        <f t="shared" si="16"/>
        <v>15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0.0</v>
      </c>
      <c r="G60" s="19">
        <v>0.0</v>
      </c>
      <c r="H60" s="19">
        <v>0.0</v>
      </c>
      <c r="I60" s="19">
        <v>0.0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1.0</v>
      </c>
      <c r="P60" s="19">
        <v>0.0</v>
      </c>
      <c r="Q60" s="19">
        <v>0.0</v>
      </c>
      <c r="R60" s="19">
        <v>0.0</v>
      </c>
      <c r="S60" s="13">
        <f t="shared" si="16"/>
        <v>1</v>
      </c>
    </row>
    <row r="61" ht="12.75" customHeight="1">
      <c r="A61" s="18"/>
      <c r="B61" s="55">
        <v>6.0</v>
      </c>
      <c r="C61" s="50" t="s">
        <v>54</v>
      </c>
      <c r="D61" s="57"/>
      <c r="E61" s="19">
        <v>0.0</v>
      </c>
      <c r="F61" s="19">
        <v>0.0</v>
      </c>
      <c r="G61" s="19">
        <v>0.0</v>
      </c>
      <c r="H61" s="19">
        <v>2.0</v>
      </c>
      <c r="I61" s="19">
        <v>2.0</v>
      </c>
      <c r="J61" s="19">
        <v>0.0</v>
      </c>
      <c r="K61" s="19">
        <v>0.0</v>
      </c>
      <c r="L61" s="19">
        <v>0.0</v>
      </c>
      <c r="M61" s="19">
        <v>0.0</v>
      </c>
      <c r="N61" s="19">
        <v>0.0</v>
      </c>
      <c r="O61" s="19">
        <v>2.0</v>
      </c>
      <c r="P61" s="19">
        <v>1.0</v>
      </c>
      <c r="Q61" s="19">
        <v>0.0</v>
      </c>
      <c r="R61" s="19">
        <v>0.0</v>
      </c>
      <c r="S61" s="13">
        <f t="shared" si="16"/>
        <v>7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2.0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3">
        <f t="shared" si="16"/>
        <v>2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S63" si="17">SUM(E55:E62)</f>
        <v>14</v>
      </c>
      <c r="F63" s="13">
        <f t="shared" si="17"/>
        <v>17</v>
      </c>
      <c r="G63" s="13">
        <f t="shared" si="17"/>
        <v>7</v>
      </c>
      <c r="H63" s="13">
        <f t="shared" si="17"/>
        <v>15</v>
      </c>
      <c r="I63" s="13">
        <f t="shared" si="17"/>
        <v>26</v>
      </c>
      <c r="J63" s="13">
        <f t="shared" si="17"/>
        <v>15</v>
      </c>
      <c r="K63" s="13">
        <f t="shared" si="17"/>
        <v>14</v>
      </c>
      <c r="L63" s="13">
        <f t="shared" si="17"/>
        <v>14</v>
      </c>
      <c r="M63" s="13">
        <f t="shared" si="17"/>
        <v>7</v>
      </c>
      <c r="N63" s="13">
        <f t="shared" si="17"/>
        <v>11</v>
      </c>
      <c r="O63" s="13">
        <f t="shared" si="17"/>
        <v>8</v>
      </c>
      <c r="P63" s="13">
        <f t="shared" si="17"/>
        <v>13</v>
      </c>
      <c r="Q63" s="13">
        <f t="shared" si="17"/>
        <v>26</v>
      </c>
      <c r="R63" s="13">
        <f t="shared" si="17"/>
        <v>3</v>
      </c>
      <c r="S63" s="13">
        <f t="shared" si="17"/>
        <v>190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5.0</v>
      </c>
      <c r="F65" s="19">
        <v>22.0</v>
      </c>
      <c r="G65" s="19">
        <v>9.0</v>
      </c>
      <c r="H65" s="19">
        <v>10.0</v>
      </c>
      <c r="I65" s="19">
        <v>8.0</v>
      </c>
      <c r="J65" s="19">
        <v>1.0</v>
      </c>
      <c r="K65" s="19">
        <v>6.0</v>
      </c>
      <c r="L65" s="19">
        <v>3.0</v>
      </c>
      <c r="M65" s="19">
        <v>6.0</v>
      </c>
      <c r="N65" s="19">
        <v>5.0</v>
      </c>
      <c r="O65" s="19">
        <v>6.0</v>
      </c>
      <c r="P65" s="19">
        <v>2.0</v>
      </c>
      <c r="Q65" s="19">
        <v>1.0</v>
      </c>
      <c r="R65" s="19">
        <v>1.0</v>
      </c>
      <c r="S65" s="13">
        <f t="shared" ref="S65:S72" si="18">SUM(E65:R65)</f>
        <v>85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16.0</v>
      </c>
      <c r="F66" s="19">
        <v>10.0</v>
      </c>
      <c r="G66" s="19">
        <v>9.0</v>
      </c>
      <c r="H66" s="19">
        <v>10.0</v>
      </c>
      <c r="I66" s="19">
        <v>6.0</v>
      </c>
      <c r="J66" s="19">
        <v>6.0</v>
      </c>
      <c r="K66" s="19">
        <v>27.0</v>
      </c>
      <c r="L66" s="19">
        <v>5.0</v>
      </c>
      <c r="M66" s="19">
        <v>6.0</v>
      </c>
      <c r="N66" s="19">
        <v>5.0</v>
      </c>
      <c r="O66" s="19">
        <v>13.0</v>
      </c>
      <c r="P66" s="19">
        <v>5.0</v>
      </c>
      <c r="Q66" s="19">
        <v>3.0</v>
      </c>
      <c r="R66" s="19">
        <v>0.0</v>
      </c>
      <c r="S66" s="13">
        <f t="shared" si="18"/>
        <v>121</v>
      </c>
    </row>
    <row r="67" ht="12.75" customHeight="1">
      <c r="A67" s="18"/>
      <c r="B67" s="55">
        <v>2.0</v>
      </c>
      <c r="C67" s="50" t="s">
        <v>58</v>
      </c>
      <c r="D67" s="57"/>
      <c r="E67" s="19">
        <v>4.0</v>
      </c>
      <c r="F67" s="19">
        <v>16.0</v>
      </c>
      <c r="G67" s="19">
        <v>13.0</v>
      </c>
      <c r="H67" s="19">
        <v>2.0</v>
      </c>
      <c r="I67" s="19">
        <v>1.0</v>
      </c>
      <c r="J67" s="19">
        <v>3.0</v>
      </c>
      <c r="K67" s="19">
        <v>1.0</v>
      </c>
      <c r="L67" s="19">
        <v>2.0</v>
      </c>
      <c r="M67" s="19">
        <v>7.0</v>
      </c>
      <c r="N67" s="19">
        <v>1.0</v>
      </c>
      <c r="O67" s="19">
        <v>9.0</v>
      </c>
      <c r="P67" s="19">
        <v>0.0</v>
      </c>
      <c r="Q67" s="19">
        <v>0.0</v>
      </c>
      <c r="R67" s="19">
        <v>1.0</v>
      </c>
      <c r="S67" s="13">
        <f t="shared" si="18"/>
        <v>60</v>
      </c>
    </row>
    <row r="68" ht="12.75" customHeight="1">
      <c r="A68" s="18"/>
      <c r="B68" s="55">
        <v>3.0</v>
      </c>
      <c r="C68" s="50" t="s">
        <v>59</v>
      </c>
      <c r="D68" s="57"/>
      <c r="E68" s="19">
        <v>5.0</v>
      </c>
      <c r="F68" s="19">
        <v>6.0</v>
      </c>
      <c r="G68" s="19">
        <v>3.0</v>
      </c>
      <c r="H68" s="19">
        <v>6.0</v>
      </c>
      <c r="I68" s="19">
        <v>2.0</v>
      </c>
      <c r="J68" s="19">
        <v>3.0</v>
      </c>
      <c r="K68" s="19">
        <v>0.0</v>
      </c>
      <c r="L68" s="19">
        <v>1.0</v>
      </c>
      <c r="M68" s="19">
        <v>9.0</v>
      </c>
      <c r="N68" s="19">
        <v>2.0</v>
      </c>
      <c r="O68" s="19">
        <v>3.0</v>
      </c>
      <c r="P68" s="19">
        <v>0.0</v>
      </c>
      <c r="Q68" s="19">
        <v>6.0</v>
      </c>
      <c r="R68" s="19">
        <v>1.0</v>
      </c>
      <c r="S68" s="13">
        <f t="shared" si="18"/>
        <v>47</v>
      </c>
    </row>
    <row r="69" ht="12.75" customHeight="1">
      <c r="A69" s="18"/>
      <c r="B69" s="55">
        <v>4.0</v>
      </c>
      <c r="C69" s="50" t="s">
        <v>60</v>
      </c>
      <c r="D69" s="57"/>
      <c r="E69" s="19">
        <v>4.0</v>
      </c>
      <c r="F69" s="19">
        <v>6.0</v>
      </c>
      <c r="G69" s="19">
        <v>4.0</v>
      </c>
      <c r="H69" s="19">
        <v>3.0</v>
      </c>
      <c r="I69" s="19">
        <v>3.0</v>
      </c>
      <c r="J69" s="19">
        <v>2.0</v>
      </c>
      <c r="K69" s="19">
        <v>1.0</v>
      </c>
      <c r="L69" s="19">
        <v>0.0</v>
      </c>
      <c r="M69" s="19">
        <v>1.0</v>
      </c>
      <c r="N69" s="19">
        <v>2.0</v>
      </c>
      <c r="O69" s="19">
        <v>3.0</v>
      </c>
      <c r="P69" s="19">
        <v>1.0</v>
      </c>
      <c r="Q69" s="19">
        <v>1.0</v>
      </c>
      <c r="R69" s="19">
        <v>2.0</v>
      </c>
      <c r="S69" s="13">
        <f t="shared" si="18"/>
        <v>33</v>
      </c>
    </row>
    <row r="70" ht="12.75" customHeight="1">
      <c r="A70" s="18"/>
      <c r="B70" s="55">
        <v>5.0</v>
      </c>
      <c r="C70" s="50" t="s">
        <v>61</v>
      </c>
      <c r="D70" s="57"/>
      <c r="E70" s="19">
        <v>0.0</v>
      </c>
      <c r="F70" s="19">
        <v>3.0</v>
      </c>
      <c r="G70" s="19">
        <v>4.0</v>
      </c>
      <c r="H70" s="19">
        <v>6.0</v>
      </c>
      <c r="I70" s="19">
        <v>2.0</v>
      </c>
      <c r="J70" s="19">
        <v>6.0</v>
      </c>
      <c r="K70" s="19">
        <v>0.0</v>
      </c>
      <c r="L70" s="19">
        <v>2.0</v>
      </c>
      <c r="M70" s="19">
        <v>2.0</v>
      </c>
      <c r="N70" s="19">
        <v>2.0</v>
      </c>
      <c r="O70" s="19">
        <v>2.0</v>
      </c>
      <c r="P70" s="19">
        <v>1.0</v>
      </c>
      <c r="Q70" s="19">
        <v>2.0</v>
      </c>
      <c r="R70" s="19">
        <v>0.0</v>
      </c>
      <c r="S70" s="13">
        <f t="shared" si="18"/>
        <v>32</v>
      </c>
    </row>
    <row r="71" ht="12.75" customHeight="1">
      <c r="A71" s="18"/>
      <c r="B71" s="55">
        <v>6.0</v>
      </c>
      <c r="C71" s="50" t="s">
        <v>62</v>
      </c>
      <c r="D71" s="57"/>
      <c r="E71" s="19">
        <v>5.0</v>
      </c>
      <c r="F71" s="19">
        <v>3.0</v>
      </c>
      <c r="G71" s="19">
        <v>3.0</v>
      </c>
      <c r="H71" s="19">
        <v>1.0</v>
      </c>
      <c r="I71" s="19">
        <v>0.0</v>
      </c>
      <c r="J71" s="19">
        <v>3.0</v>
      </c>
      <c r="K71" s="19">
        <v>2.0</v>
      </c>
      <c r="L71" s="19">
        <v>2.0</v>
      </c>
      <c r="M71" s="19">
        <v>3.0</v>
      </c>
      <c r="N71" s="19">
        <v>1.0</v>
      </c>
      <c r="O71" s="19">
        <v>1.0</v>
      </c>
      <c r="P71" s="19">
        <v>0.0</v>
      </c>
      <c r="Q71" s="19">
        <v>1.0</v>
      </c>
      <c r="R71" s="19">
        <v>0.0</v>
      </c>
      <c r="S71" s="13">
        <f t="shared" si="18"/>
        <v>25</v>
      </c>
    </row>
    <row r="72" ht="12.75" customHeight="1">
      <c r="A72" s="18"/>
      <c r="B72" s="55">
        <v>7.0</v>
      </c>
      <c r="C72" s="50" t="s">
        <v>63</v>
      </c>
      <c r="D72" s="57"/>
      <c r="E72" s="19">
        <v>8.0</v>
      </c>
      <c r="F72" s="19">
        <v>6.0</v>
      </c>
      <c r="G72" s="19">
        <v>6.0</v>
      </c>
      <c r="H72" s="19">
        <v>1.0</v>
      </c>
      <c r="I72" s="19">
        <v>2.0</v>
      </c>
      <c r="J72" s="19">
        <v>5.0</v>
      </c>
      <c r="K72" s="19">
        <v>2.0</v>
      </c>
      <c r="L72" s="19">
        <v>7.0</v>
      </c>
      <c r="M72" s="19">
        <v>7.0</v>
      </c>
      <c r="N72" s="19">
        <v>4.0</v>
      </c>
      <c r="O72" s="19">
        <v>1.0</v>
      </c>
      <c r="P72" s="19">
        <v>3.0</v>
      </c>
      <c r="Q72" s="19">
        <v>1.0</v>
      </c>
      <c r="R72" s="19">
        <v>0.0</v>
      </c>
      <c r="S72" s="13">
        <f t="shared" si="18"/>
        <v>53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S73" si="19">SUM(E65:E72)</f>
        <v>47</v>
      </c>
      <c r="F73" s="13">
        <f t="shared" si="19"/>
        <v>72</v>
      </c>
      <c r="G73" s="13">
        <f t="shared" si="19"/>
        <v>51</v>
      </c>
      <c r="H73" s="13">
        <f t="shared" si="19"/>
        <v>39</v>
      </c>
      <c r="I73" s="13">
        <f t="shared" si="19"/>
        <v>24</v>
      </c>
      <c r="J73" s="13">
        <f t="shared" si="19"/>
        <v>29</v>
      </c>
      <c r="K73" s="13">
        <f t="shared" si="19"/>
        <v>39</v>
      </c>
      <c r="L73" s="13">
        <f t="shared" si="19"/>
        <v>22</v>
      </c>
      <c r="M73" s="13">
        <f t="shared" si="19"/>
        <v>41</v>
      </c>
      <c r="N73" s="13">
        <f t="shared" si="19"/>
        <v>22</v>
      </c>
      <c r="O73" s="13">
        <f t="shared" si="19"/>
        <v>38</v>
      </c>
      <c r="P73" s="13">
        <f t="shared" si="19"/>
        <v>12</v>
      </c>
      <c r="Q73" s="13">
        <f t="shared" si="19"/>
        <v>15</v>
      </c>
      <c r="R73" s="13">
        <f t="shared" si="19"/>
        <v>5</v>
      </c>
      <c r="S73" s="13">
        <f t="shared" si="19"/>
        <v>456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2.0</v>
      </c>
      <c r="F75" s="19">
        <v>0.0</v>
      </c>
      <c r="G75" s="19">
        <v>1.0</v>
      </c>
      <c r="H75" s="19">
        <v>0.0</v>
      </c>
      <c r="I75" s="19">
        <v>2.0</v>
      </c>
      <c r="J75" s="19">
        <v>0.0</v>
      </c>
      <c r="K75" s="19">
        <v>7.0</v>
      </c>
      <c r="L75" s="19">
        <v>1.0</v>
      </c>
      <c r="M75" s="19">
        <v>3.0</v>
      </c>
      <c r="N75" s="19">
        <v>4.0</v>
      </c>
      <c r="O75" s="19">
        <v>8.0</v>
      </c>
      <c r="P75" s="19">
        <v>7.0</v>
      </c>
      <c r="Q75" s="19">
        <v>3.0</v>
      </c>
      <c r="R75" s="19">
        <v>1.0</v>
      </c>
      <c r="S75" s="13">
        <f t="shared" ref="S75:S82" si="20">SUM(E75:R75)</f>
        <v>39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3.0</v>
      </c>
      <c r="F76" s="19">
        <v>14.0</v>
      </c>
      <c r="G76" s="19">
        <v>5.0</v>
      </c>
      <c r="H76" s="19">
        <v>30.0</v>
      </c>
      <c r="I76" s="19">
        <v>15.0</v>
      </c>
      <c r="J76" s="19">
        <v>8.0</v>
      </c>
      <c r="K76" s="19">
        <v>8.0</v>
      </c>
      <c r="L76" s="19">
        <v>4.0</v>
      </c>
      <c r="M76" s="19">
        <v>27.0</v>
      </c>
      <c r="N76" s="19">
        <v>5.0</v>
      </c>
      <c r="O76" s="19">
        <v>29.0</v>
      </c>
      <c r="P76" s="19">
        <v>36.0</v>
      </c>
      <c r="Q76" s="19">
        <v>8.0</v>
      </c>
      <c r="R76" s="19">
        <v>14.0</v>
      </c>
      <c r="S76" s="13">
        <f t="shared" si="20"/>
        <v>206</v>
      </c>
    </row>
    <row r="77" ht="12.75" customHeight="1">
      <c r="A77" s="18"/>
      <c r="B77" s="55">
        <v>2.0</v>
      </c>
      <c r="C77" s="50" t="s">
        <v>66</v>
      </c>
      <c r="D77" s="57"/>
      <c r="E77" s="19">
        <v>2.0</v>
      </c>
      <c r="F77" s="19">
        <v>5.0</v>
      </c>
      <c r="G77" s="19">
        <v>10.0</v>
      </c>
      <c r="H77" s="19">
        <v>7.0</v>
      </c>
      <c r="I77" s="19">
        <v>4.0</v>
      </c>
      <c r="J77" s="19">
        <v>0.0</v>
      </c>
      <c r="K77" s="19">
        <v>2.0</v>
      </c>
      <c r="L77" s="19">
        <v>3.0</v>
      </c>
      <c r="M77" s="19">
        <v>2.0</v>
      </c>
      <c r="N77" s="19">
        <v>0.0</v>
      </c>
      <c r="O77" s="19">
        <v>6.0</v>
      </c>
      <c r="P77" s="19">
        <v>2.0</v>
      </c>
      <c r="Q77" s="19">
        <v>1.0</v>
      </c>
      <c r="R77" s="19">
        <v>2.0</v>
      </c>
      <c r="S77" s="13">
        <f t="shared" si="20"/>
        <v>46</v>
      </c>
    </row>
    <row r="78" ht="12.75" customHeight="1">
      <c r="A78" s="18"/>
      <c r="B78" s="55">
        <v>3.0</v>
      </c>
      <c r="C78" s="50" t="s">
        <v>67</v>
      </c>
      <c r="D78" s="57"/>
      <c r="E78" s="19">
        <v>0.0</v>
      </c>
      <c r="F78" s="19">
        <v>0.0</v>
      </c>
      <c r="G78" s="19">
        <v>0.0</v>
      </c>
      <c r="H78" s="19">
        <v>2.0</v>
      </c>
      <c r="I78" s="19">
        <v>0.0</v>
      </c>
      <c r="J78" s="19">
        <v>2.0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0.0</v>
      </c>
      <c r="Q78" s="19">
        <v>0.0</v>
      </c>
      <c r="R78" s="19">
        <v>0.0</v>
      </c>
      <c r="S78" s="13">
        <f t="shared" si="20"/>
        <v>4</v>
      </c>
    </row>
    <row r="79" ht="12.75" customHeight="1">
      <c r="A79" s="18"/>
      <c r="B79" s="55">
        <v>4.0</v>
      </c>
      <c r="C79" s="50" t="s">
        <v>68</v>
      </c>
      <c r="D79" s="57"/>
      <c r="E79" s="19">
        <v>1.0</v>
      </c>
      <c r="F79" s="19">
        <v>1.0</v>
      </c>
      <c r="G79" s="19">
        <v>0.0</v>
      </c>
      <c r="H79" s="19">
        <v>0.0</v>
      </c>
      <c r="I79" s="19">
        <v>0.0</v>
      </c>
      <c r="J79" s="19">
        <v>1.0</v>
      </c>
      <c r="K79" s="19">
        <v>3.0</v>
      </c>
      <c r="L79" s="19">
        <v>2.0</v>
      </c>
      <c r="M79" s="19">
        <v>0.0</v>
      </c>
      <c r="N79" s="19">
        <v>0.0</v>
      </c>
      <c r="O79" s="19">
        <v>1.0</v>
      </c>
      <c r="P79" s="19">
        <v>1.0</v>
      </c>
      <c r="Q79" s="19">
        <v>1.0</v>
      </c>
      <c r="R79" s="19">
        <v>0.0</v>
      </c>
      <c r="S79" s="13">
        <f t="shared" si="20"/>
        <v>11</v>
      </c>
    </row>
    <row r="80" ht="12.75" customHeight="1">
      <c r="A80" s="18"/>
      <c r="B80" s="55">
        <v>5.0</v>
      </c>
      <c r="C80" s="50" t="s">
        <v>69</v>
      </c>
      <c r="D80" s="57"/>
      <c r="E80" s="19">
        <v>0.0</v>
      </c>
      <c r="F80" s="19">
        <v>0.0</v>
      </c>
      <c r="G80" s="19">
        <v>5.0</v>
      </c>
      <c r="H80" s="19">
        <v>2.0</v>
      </c>
      <c r="I80" s="19">
        <v>16.0</v>
      </c>
      <c r="J80" s="19">
        <v>27.0</v>
      </c>
      <c r="K80" s="19">
        <v>34.0</v>
      </c>
      <c r="L80" s="19">
        <v>84.0</v>
      </c>
      <c r="M80" s="19">
        <v>3.0</v>
      </c>
      <c r="N80" s="19">
        <v>5.0</v>
      </c>
      <c r="O80" s="19">
        <v>2.0</v>
      </c>
      <c r="P80" s="19">
        <v>1.0</v>
      </c>
      <c r="Q80" s="19">
        <v>13.0</v>
      </c>
      <c r="R80" s="19">
        <v>3.0</v>
      </c>
      <c r="S80" s="13">
        <f t="shared" si="20"/>
        <v>195</v>
      </c>
    </row>
    <row r="81" ht="12.75" customHeight="1">
      <c r="A81" s="18"/>
      <c r="B81" s="55">
        <v>6.0</v>
      </c>
      <c r="C81" s="50" t="s">
        <v>70</v>
      </c>
      <c r="D81" s="57"/>
      <c r="E81" s="19">
        <v>0.0</v>
      </c>
      <c r="F81" s="19">
        <v>0.0</v>
      </c>
      <c r="G81" s="19">
        <v>1.0</v>
      </c>
      <c r="H81" s="19">
        <v>0.0</v>
      </c>
      <c r="I81" s="19">
        <v>0.0</v>
      </c>
      <c r="J81" s="19">
        <v>0.0</v>
      </c>
      <c r="K81" s="19">
        <v>1.0</v>
      </c>
      <c r="L81" s="19">
        <v>1.0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0.0</v>
      </c>
      <c r="S81" s="13">
        <f t="shared" si="20"/>
        <v>3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9">
        <v>0.0</v>
      </c>
      <c r="S82" s="13">
        <f t="shared" si="20"/>
        <v>0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S83" si="21">SUM(E75:E82)</f>
        <v>8</v>
      </c>
      <c r="F83" s="13">
        <f t="shared" si="21"/>
        <v>20</v>
      </c>
      <c r="G83" s="13">
        <f t="shared" si="21"/>
        <v>22</v>
      </c>
      <c r="H83" s="13">
        <f t="shared" si="21"/>
        <v>41</v>
      </c>
      <c r="I83" s="13">
        <f t="shared" si="21"/>
        <v>37</v>
      </c>
      <c r="J83" s="13">
        <f t="shared" si="21"/>
        <v>38</v>
      </c>
      <c r="K83" s="13">
        <f t="shared" si="21"/>
        <v>55</v>
      </c>
      <c r="L83" s="13">
        <f t="shared" si="21"/>
        <v>95</v>
      </c>
      <c r="M83" s="13">
        <f t="shared" si="21"/>
        <v>35</v>
      </c>
      <c r="N83" s="13">
        <f t="shared" si="21"/>
        <v>14</v>
      </c>
      <c r="O83" s="13">
        <f t="shared" si="21"/>
        <v>46</v>
      </c>
      <c r="P83" s="13">
        <f t="shared" si="21"/>
        <v>47</v>
      </c>
      <c r="Q83" s="13">
        <f t="shared" si="21"/>
        <v>26</v>
      </c>
      <c r="R83" s="13">
        <f t="shared" si="21"/>
        <v>20</v>
      </c>
      <c r="S83" s="13">
        <f t="shared" si="21"/>
        <v>504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1.0</v>
      </c>
      <c r="F85" s="19">
        <v>0.0</v>
      </c>
      <c r="G85" s="19">
        <v>1.0</v>
      </c>
      <c r="H85" s="19">
        <v>1.0</v>
      </c>
      <c r="I85" s="19">
        <v>13.0</v>
      </c>
      <c r="J85" s="19">
        <v>3.0</v>
      </c>
      <c r="K85" s="19">
        <v>2.0</v>
      </c>
      <c r="L85" s="19">
        <v>6.0</v>
      </c>
      <c r="M85" s="19">
        <v>1.0</v>
      </c>
      <c r="N85" s="19">
        <v>3.0</v>
      </c>
      <c r="O85" s="19">
        <v>3.0</v>
      </c>
      <c r="P85" s="19">
        <v>5.0</v>
      </c>
      <c r="Q85" s="19">
        <v>4.0</v>
      </c>
      <c r="R85" s="19">
        <v>0.0</v>
      </c>
      <c r="S85" s="13">
        <f t="shared" ref="S85:S92" si="22">SUM(E85:R85)</f>
        <v>43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1.0</v>
      </c>
      <c r="F86" s="19">
        <v>5.0</v>
      </c>
      <c r="G86" s="19">
        <v>5.0</v>
      </c>
      <c r="H86" s="19">
        <v>0.0</v>
      </c>
      <c r="I86" s="19">
        <v>1.0</v>
      </c>
      <c r="J86" s="19">
        <v>0.0</v>
      </c>
      <c r="K86" s="19">
        <v>3.0</v>
      </c>
      <c r="L86" s="19">
        <v>0.0</v>
      </c>
      <c r="M86" s="19">
        <v>1.0</v>
      </c>
      <c r="N86" s="19">
        <v>5.0</v>
      </c>
      <c r="O86" s="19">
        <v>2.0</v>
      </c>
      <c r="P86" s="19">
        <v>2.0</v>
      </c>
      <c r="Q86" s="19">
        <v>1.0</v>
      </c>
      <c r="R86" s="19">
        <v>0.0</v>
      </c>
      <c r="S86" s="13">
        <f t="shared" si="22"/>
        <v>26</v>
      </c>
    </row>
    <row r="87" ht="12.75" customHeight="1">
      <c r="A87" s="18"/>
      <c r="B87" s="55">
        <v>2.0</v>
      </c>
      <c r="C87" s="50" t="s">
        <v>75</v>
      </c>
      <c r="D87" s="57"/>
      <c r="E87" s="19">
        <v>0.0</v>
      </c>
      <c r="F87" s="19">
        <v>1.0</v>
      </c>
      <c r="G87" s="19">
        <v>1.0</v>
      </c>
      <c r="H87" s="19">
        <v>0.0</v>
      </c>
      <c r="I87" s="19">
        <v>2.0</v>
      </c>
      <c r="J87" s="19">
        <v>0.0</v>
      </c>
      <c r="K87" s="19">
        <v>1.0</v>
      </c>
      <c r="L87" s="19">
        <v>2.0</v>
      </c>
      <c r="M87" s="19">
        <v>0.0</v>
      </c>
      <c r="N87" s="19">
        <v>2.0</v>
      </c>
      <c r="O87" s="19">
        <v>1.0</v>
      </c>
      <c r="P87" s="19">
        <v>0.0</v>
      </c>
      <c r="Q87" s="19">
        <v>3.0</v>
      </c>
      <c r="R87" s="19">
        <v>0.0</v>
      </c>
      <c r="S87" s="13">
        <f t="shared" si="22"/>
        <v>13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0.0</v>
      </c>
      <c r="G88" s="19">
        <v>0.0</v>
      </c>
      <c r="H88" s="19">
        <v>4.0</v>
      </c>
      <c r="I88" s="19">
        <v>1.0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3">
        <f t="shared" si="22"/>
        <v>6</v>
      </c>
    </row>
    <row r="89" ht="12.75" customHeight="1">
      <c r="A89" s="18"/>
      <c r="B89" s="55">
        <v>4.0</v>
      </c>
      <c r="C89" s="50" t="s">
        <v>77</v>
      </c>
      <c r="D89" s="57"/>
      <c r="E89" s="19">
        <v>1.0</v>
      </c>
      <c r="F89" s="19">
        <v>0.0</v>
      </c>
      <c r="G89" s="19">
        <v>0.0</v>
      </c>
      <c r="H89" s="19">
        <v>3.0</v>
      </c>
      <c r="I89" s="19">
        <v>3.0</v>
      </c>
      <c r="J89" s="19">
        <v>0.0</v>
      </c>
      <c r="K89" s="19">
        <v>1.0</v>
      </c>
      <c r="L89" s="19">
        <v>3.0</v>
      </c>
      <c r="M89" s="19">
        <v>0.0</v>
      </c>
      <c r="N89" s="19">
        <v>0.0</v>
      </c>
      <c r="O89" s="19">
        <v>5.0</v>
      </c>
      <c r="P89" s="19">
        <v>2.0</v>
      </c>
      <c r="Q89" s="19">
        <v>1.0</v>
      </c>
      <c r="R89" s="19">
        <v>0.0</v>
      </c>
      <c r="S89" s="13">
        <f t="shared" si="22"/>
        <v>19</v>
      </c>
    </row>
    <row r="90" ht="12.75" customHeight="1">
      <c r="A90" s="18"/>
      <c r="B90" s="55">
        <v>5.0</v>
      </c>
      <c r="C90" s="50" t="s">
        <v>78</v>
      </c>
      <c r="D90" s="57"/>
      <c r="E90" s="19">
        <v>0.0</v>
      </c>
      <c r="F90" s="19">
        <v>0.0</v>
      </c>
      <c r="G90" s="19">
        <v>0.0</v>
      </c>
      <c r="H90" s="19">
        <v>1.0</v>
      </c>
      <c r="I90" s="19">
        <v>2.0</v>
      </c>
      <c r="J90" s="19">
        <v>1.0</v>
      </c>
      <c r="K90" s="19">
        <v>0.0</v>
      </c>
      <c r="L90" s="19">
        <v>1.0</v>
      </c>
      <c r="M90" s="19">
        <v>1.0</v>
      </c>
      <c r="N90" s="19">
        <v>1.0</v>
      </c>
      <c r="O90" s="19">
        <v>2.0</v>
      </c>
      <c r="P90" s="19">
        <v>1.0</v>
      </c>
      <c r="Q90" s="19">
        <v>1.0</v>
      </c>
      <c r="R90" s="19">
        <v>0.0</v>
      </c>
      <c r="S90" s="13">
        <f t="shared" si="22"/>
        <v>11</v>
      </c>
    </row>
    <row r="91" ht="12.75" customHeight="1">
      <c r="A91" s="18"/>
      <c r="B91" s="55">
        <v>6.0</v>
      </c>
      <c r="C91" s="50" t="s">
        <v>79</v>
      </c>
      <c r="D91" s="57"/>
      <c r="E91" s="19">
        <v>0.0</v>
      </c>
      <c r="F91" s="19">
        <v>0.0</v>
      </c>
      <c r="G91" s="19">
        <v>0.0</v>
      </c>
      <c r="H91" s="19">
        <v>1.0</v>
      </c>
      <c r="I91" s="19">
        <v>1.0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3">
        <f t="shared" si="22"/>
        <v>2</v>
      </c>
    </row>
    <row r="92" ht="12.75" customHeight="1">
      <c r="A92" s="18"/>
      <c r="B92" s="55">
        <v>7.0</v>
      </c>
      <c r="C92" s="50" t="s">
        <v>80</v>
      </c>
      <c r="D92" s="57"/>
      <c r="E92" s="19">
        <v>0.0</v>
      </c>
      <c r="F92" s="19">
        <v>0.0</v>
      </c>
      <c r="G92" s="19">
        <v>0.0</v>
      </c>
      <c r="H92" s="19">
        <v>0.0</v>
      </c>
      <c r="I92" s="19">
        <v>1.0</v>
      </c>
      <c r="J92" s="19">
        <v>0.0</v>
      </c>
      <c r="K92" s="19">
        <v>0.0</v>
      </c>
      <c r="L92" s="19">
        <v>1.0</v>
      </c>
      <c r="M92" s="19">
        <v>0.0</v>
      </c>
      <c r="N92" s="19">
        <v>1.0</v>
      </c>
      <c r="O92" s="19">
        <v>2.0</v>
      </c>
      <c r="P92" s="19">
        <v>0.0</v>
      </c>
      <c r="Q92" s="19">
        <v>0.0</v>
      </c>
      <c r="R92" s="19">
        <v>0.0</v>
      </c>
      <c r="S92" s="13">
        <f t="shared" si="22"/>
        <v>5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S93" si="23">SUM(E85:E92)</f>
        <v>3</v>
      </c>
      <c r="F93" s="13">
        <f t="shared" si="23"/>
        <v>6</v>
      </c>
      <c r="G93" s="13">
        <f t="shared" si="23"/>
        <v>7</v>
      </c>
      <c r="H93" s="13">
        <f t="shared" si="23"/>
        <v>10</v>
      </c>
      <c r="I93" s="13">
        <f t="shared" si="23"/>
        <v>24</v>
      </c>
      <c r="J93" s="13">
        <f t="shared" si="23"/>
        <v>4</v>
      </c>
      <c r="K93" s="13">
        <f t="shared" si="23"/>
        <v>7</v>
      </c>
      <c r="L93" s="13">
        <f t="shared" si="23"/>
        <v>14</v>
      </c>
      <c r="M93" s="13">
        <f t="shared" si="23"/>
        <v>3</v>
      </c>
      <c r="N93" s="13">
        <f t="shared" si="23"/>
        <v>12</v>
      </c>
      <c r="O93" s="13">
        <f t="shared" si="23"/>
        <v>15</v>
      </c>
      <c r="P93" s="13">
        <f t="shared" si="23"/>
        <v>10</v>
      </c>
      <c r="Q93" s="13">
        <f t="shared" si="23"/>
        <v>10</v>
      </c>
      <c r="R93" s="13">
        <f t="shared" si="23"/>
        <v>0</v>
      </c>
      <c r="S93" s="13">
        <f t="shared" si="23"/>
        <v>125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0.0</v>
      </c>
      <c r="F95" s="19">
        <v>0.0</v>
      </c>
      <c r="G95" s="19">
        <v>0.0</v>
      </c>
      <c r="H95" s="19">
        <v>0.0</v>
      </c>
      <c r="I95" s="19">
        <v>2.0</v>
      </c>
      <c r="J95" s="19">
        <v>1.0</v>
      </c>
      <c r="K95" s="19">
        <v>1.0</v>
      </c>
      <c r="L95" s="19">
        <v>0.0</v>
      </c>
      <c r="M95" s="19">
        <v>2.0</v>
      </c>
      <c r="N95" s="19">
        <v>1.0</v>
      </c>
      <c r="O95" s="19">
        <v>1.0</v>
      </c>
      <c r="P95" s="19">
        <v>0.0</v>
      </c>
      <c r="Q95" s="19">
        <v>0.0</v>
      </c>
      <c r="R95" s="19">
        <v>1.0</v>
      </c>
      <c r="S95" s="13">
        <f t="shared" ref="S95:S102" si="24">SUM(E95:R95)</f>
        <v>9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1.0</v>
      </c>
      <c r="F96" s="19">
        <v>0.0</v>
      </c>
      <c r="G96" s="19">
        <v>0.0</v>
      </c>
      <c r="H96" s="19">
        <v>2.0</v>
      </c>
      <c r="I96" s="19">
        <v>0.0</v>
      </c>
      <c r="J96" s="19">
        <v>1.0</v>
      </c>
      <c r="K96" s="19">
        <v>1.0</v>
      </c>
      <c r="L96" s="19">
        <v>2.0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3">
        <f t="shared" si="24"/>
        <v>7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0.0</v>
      </c>
      <c r="G97" s="19">
        <v>1.0</v>
      </c>
      <c r="H97" s="19">
        <v>1.0</v>
      </c>
      <c r="I97" s="19">
        <v>1.0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1.0</v>
      </c>
      <c r="R97" s="19">
        <v>0.0</v>
      </c>
      <c r="S97" s="13">
        <f t="shared" si="24"/>
        <v>4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1.0</v>
      </c>
      <c r="J98" s="19">
        <v>0.0</v>
      </c>
      <c r="K98" s="19">
        <v>0.0</v>
      </c>
      <c r="L98" s="19">
        <v>0.0</v>
      </c>
      <c r="M98" s="19">
        <v>1.0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3">
        <f t="shared" si="24"/>
        <v>2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1.0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3">
        <f t="shared" si="24"/>
        <v>1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3">
        <f t="shared" si="24"/>
        <v>0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1.0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3">
        <f t="shared" si="24"/>
        <v>1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3">
        <f t="shared" si="24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S103" si="25">SUM(E95:E102)</f>
        <v>1</v>
      </c>
      <c r="F103" s="13">
        <f t="shared" si="25"/>
        <v>0</v>
      </c>
      <c r="G103" s="13">
        <f t="shared" si="25"/>
        <v>1</v>
      </c>
      <c r="H103" s="13">
        <f t="shared" si="25"/>
        <v>3</v>
      </c>
      <c r="I103" s="13">
        <f t="shared" si="25"/>
        <v>5</v>
      </c>
      <c r="J103" s="13">
        <f t="shared" si="25"/>
        <v>2</v>
      </c>
      <c r="K103" s="13">
        <f t="shared" si="25"/>
        <v>2</v>
      </c>
      <c r="L103" s="13">
        <f t="shared" si="25"/>
        <v>2</v>
      </c>
      <c r="M103" s="13">
        <f t="shared" si="25"/>
        <v>4</v>
      </c>
      <c r="N103" s="13">
        <f t="shared" si="25"/>
        <v>1</v>
      </c>
      <c r="O103" s="13">
        <f t="shared" si="25"/>
        <v>1</v>
      </c>
      <c r="P103" s="13">
        <f t="shared" si="25"/>
        <v>0</v>
      </c>
      <c r="Q103" s="13">
        <f t="shared" si="25"/>
        <v>1</v>
      </c>
      <c r="R103" s="13">
        <f t="shared" si="25"/>
        <v>1</v>
      </c>
      <c r="S103" s="13">
        <f t="shared" si="25"/>
        <v>24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0.0</v>
      </c>
      <c r="F105" s="19">
        <v>0.0</v>
      </c>
      <c r="G105" s="19">
        <v>1.0</v>
      </c>
      <c r="H105" s="19">
        <v>1.0</v>
      </c>
      <c r="I105" s="19">
        <v>3.0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3">
        <f t="shared" ref="S105:S108" si="26">SUM(E105:R105)</f>
        <v>5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1.0</v>
      </c>
      <c r="M106" s="19">
        <v>0.0</v>
      </c>
      <c r="N106" s="19">
        <v>0.0</v>
      </c>
      <c r="O106" s="19">
        <v>1.0</v>
      </c>
      <c r="P106" s="19">
        <v>0.0</v>
      </c>
      <c r="Q106" s="19">
        <v>0.0</v>
      </c>
      <c r="R106" s="19">
        <v>0.0</v>
      </c>
      <c r="S106" s="13">
        <f t="shared" si="26"/>
        <v>3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3.0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3">
        <f t="shared" si="26"/>
        <v>3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2.0</v>
      </c>
      <c r="S108" s="13">
        <f t="shared" si="26"/>
        <v>2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S109" si="27">SUM(E105:E108)</f>
        <v>0</v>
      </c>
      <c r="F109" s="13">
        <f t="shared" si="27"/>
        <v>0</v>
      </c>
      <c r="G109" s="13">
        <f t="shared" si="27"/>
        <v>4</v>
      </c>
      <c r="H109" s="13">
        <f t="shared" si="27"/>
        <v>1</v>
      </c>
      <c r="I109" s="13">
        <f t="shared" si="27"/>
        <v>4</v>
      </c>
      <c r="J109" s="13">
        <f t="shared" si="27"/>
        <v>0</v>
      </c>
      <c r="K109" s="13">
        <f t="shared" si="27"/>
        <v>0</v>
      </c>
      <c r="L109" s="13">
        <f t="shared" si="27"/>
        <v>1</v>
      </c>
      <c r="M109" s="13">
        <f t="shared" si="27"/>
        <v>0</v>
      </c>
      <c r="N109" s="13">
        <f t="shared" si="27"/>
        <v>0</v>
      </c>
      <c r="O109" s="13">
        <f t="shared" si="27"/>
        <v>1</v>
      </c>
      <c r="P109" s="13">
        <f t="shared" si="27"/>
        <v>0</v>
      </c>
      <c r="Q109" s="13">
        <f t="shared" si="27"/>
        <v>0</v>
      </c>
      <c r="R109" s="13">
        <f t="shared" si="27"/>
        <v>2</v>
      </c>
      <c r="S109" s="13">
        <f t="shared" si="27"/>
        <v>13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3.0</v>
      </c>
      <c r="F111" s="19">
        <v>0.0</v>
      </c>
      <c r="G111" s="19">
        <v>0.0</v>
      </c>
      <c r="H111" s="19">
        <v>1.0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3.0</v>
      </c>
      <c r="Q111" s="19">
        <v>3.0</v>
      </c>
      <c r="R111" s="19">
        <v>3.0</v>
      </c>
      <c r="S111" s="13">
        <f t="shared" ref="S111:S118" si="28">SUM(E111:R111)</f>
        <v>13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1.0</v>
      </c>
      <c r="F112" s="19">
        <v>0.0</v>
      </c>
      <c r="G112" s="19">
        <v>0.0</v>
      </c>
      <c r="H112" s="19">
        <v>0.0</v>
      </c>
      <c r="I112" s="19">
        <v>3.0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3.0</v>
      </c>
      <c r="Q112" s="19">
        <v>5.0</v>
      </c>
      <c r="R112" s="19">
        <v>15.0</v>
      </c>
      <c r="S112" s="13">
        <f t="shared" si="28"/>
        <v>27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2.0</v>
      </c>
      <c r="L113" s="19">
        <v>0.0</v>
      </c>
      <c r="M113" s="19">
        <v>0.0</v>
      </c>
      <c r="N113" s="19">
        <v>0.0</v>
      </c>
      <c r="O113" s="19">
        <v>0.0</v>
      </c>
      <c r="P113" s="19">
        <v>1.0</v>
      </c>
      <c r="Q113" s="19">
        <v>1.0</v>
      </c>
      <c r="R113" s="19">
        <v>0.0</v>
      </c>
      <c r="S113" s="13">
        <f t="shared" si="28"/>
        <v>4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1.0</v>
      </c>
      <c r="N114" s="19">
        <v>0.0</v>
      </c>
      <c r="O114" s="19">
        <v>0.0</v>
      </c>
      <c r="P114" s="19">
        <v>1.0</v>
      </c>
      <c r="Q114" s="19">
        <v>0.0</v>
      </c>
      <c r="R114" s="19">
        <v>0.0</v>
      </c>
      <c r="S114" s="13">
        <f t="shared" si="28"/>
        <v>2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0.0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0.0</v>
      </c>
      <c r="S115" s="13">
        <f t="shared" si="28"/>
        <v>0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3">
        <f t="shared" si="28"/>
        <v>0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3">
        <f t="shared" si="28"/>
        <v>0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1.0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3">
        <f t="shared" si="28"/>
        <v>1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S119" si="29">SUM(E111:E118)</f>
        <v>4</v>
      </c>
      <c r="F119" s="13">
        <f t="shared" si="29"/>
        <v>0</v>
      </c>
      <c r="G119" s="13">
        <f t="shared" si="29"/>
        <v>0</v>
      </c>
      <c r="H119" s="13">
        <f t="shared" si="29"/>
        <v>2</v>
      </c>
      <c r="I119" s="13">
        <f t="shared" si="29"/>
        <v>3</v>
      </c>
      <c r="J119" s="13">
        <f t="shared" si="29"/>
        <v>0</v>
      </c>
      <c r="K119" s="13">
        <f t="shared" si="29"/>
        <v>2</v>
      </c>
      <c r="L119" s="13">
        <f t="shared" si="29"/>
        <v>0</v>
      </c>
      <c r="M119" s="13">
        <f t="shared" si="29"/>
        <v>1</v>
      </c>
      <c r="N119" s="13">
        <f t="shared" si="29"/>
        <v>0</v>
      </c>
      <c r="O119" s="13">
        <f t="shared" si="29"/>
        <v>0</v>
      </c>
      <c r="P119" s="13">
        <f t="shared" si="29"/>
        <v>8</v>
      </c>
      <c r="Q119" s="13">
        <f t="shared" si="29"/>
        <v>9</v>
      </c>
      <c r="R119" s="13">
        <f t="shared" si="29"/>
        <v>18</v>
      </c>
      <c r="S119" s="13">
        <f t="shared" si="29"/>
        <v>47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3">
        <f t="shared" ref="S121:S128" si="30">SUM(E121:R121)</f>
        <v>0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3">
        <f t="shared" si="30"/>
        <v>0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1.0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3">
        <f t="shared" si="30"/>
        <v>1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3">
        <f t="shared" si="30"/>
        <v>0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3">
        <f t="shared" si="30"/>
        <v>0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3">
        <f t="shared" si="30"/>
        <v>0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3">
        <f t="shared" si="30"/>
        <v>0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S129" si="31">SUM(E121:E128)</f>
        <v>1</v>
      </c>
      <c r="F129" s="13">
        <f t="shared" si="31"/>
        <v>0</v>
      </c>
      <c r="G129" s="13">
        <f t="shared" si="31"/>
        <v>0</v>
      </c>
      <c r="H129" s="13">
        <f t="shared" si="31"/>
        <v>0</v>
      </c>
      <c r="I129" s="13">
        <f t="shared" si="31"/>
        <v>0</v>
      </c>
      <c r="J129" s="13">
        <f t="shared" si="31"/>
        <v>0</v>
      </c>
      <c r="K129" s="13">
        <f t="shared" si="31"/>
        <v>0</v>
      </c>
      <c r="L129" s="13">
        <f t="shared" si="31"/>
        <v>0</v>
      </c>
      <c r="M129" s="13">
        <f t="shared" si="31"/>
        <v>0</v>
      </c>
      <c r="N129" s="13">
        <f t="shared" si="31"/>
        <v>0</v>
      </c>
      <c r="O129" s="13">
        <f t="shared" si="31"/>
        <v>0</v>
      </c>
      <c r="P129" s="13">
        <f t="shared" si="31"/>
        <v>0</v>
      </c>
      <c r="Q129" s="13">
        <f t="shared" si="31"/>
        <v>0</v>
      </c>
      <c r="R129" s="13">
        <f t="shared" si="31"/>
        <v>0</v>
      </c>
      <c r="S129" s="13">
        <f t="shared" si="31"/>
        <v>1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0.0</v>
      </c>
      <c r="F131" s="19">
        <v>0.0</v>
      </c>
      <c r="G131" s="19">
        <v>0.0</v>
      </c>
      <c r="H131" s="19">
        <v>1.0</v>
      </c>
      <c r="I131" s="19">
        <v>0.0</v>
      </c>
      <c r="J131" s="19">
        <v>0.0</v>
      </c>
      <c r="K131" s="19">
        <v>0.0</v>
      </c>
      <c r="L131" s="19">
        <v>1.0</v>
      </c>
      <c r="M131" s="19">
        <v>0.0</v>
      </c>
      <c r="N131" s="19">
        <v>1.0</v>
      </c>
      <c r="O131" s="19">
        <v>0.0</v>
      </c>
      <c r="P131" s="19">
        <v>0.0</v>
      </c>
      <c r="Q131" s="19">
        <v>0.0</v>
      </c>
      <c r="R131" s="19">
        <v>0.0</v>
      </c>
      <c r="S131" s="13">
        <f t="shared" ref="S131:S135" si="32">SUM(E132:R132)</f>
        <v>5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0.0</v>
      </c>
      <c r="F132" s="19">
        <v>0.0</v>
      </c>
      <c r="G132" s="19">
        <v>0.0</v>
      </c>
      <c r="H132" s="19">
        <v>1.0</v>
      </c>
      <c r="I132" s="19">
        <v>0.0</v>
      </c>
      <c r="J132" s="19">
        <v>1.0</v>
      </c>
      <c r="K132" s="19">
        <v>1.0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1.0</v>
      </c>
      <c r="R132" s="19">
        <v>1.0</v>
      </c>
      <c r="S132" s="13">
        <f t="shared" si="32"/>
        <v>0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3">
        <f t="shared" si="32"/>
        <v>0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3">
        <f t="shared" si="32"/>
        <v>0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3">
        <f t="shared" si="32"/>
        <v>8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S136" si="33">SUM(E131:E135)</f>
        <v>0</v>
      </c>
      <c r="F136" s="13">
        <f t="shared" si="33"/>
        <v>0</v>
      </c>
      <c r="G136" s="13">
        <f t="shared" si="33"/>
        <v>0</v>
      </c>
      <c r="H136" s="13">
        <f t="shared" si="33"/>
        <v>2</v>
      </c>
      <c r="I136" s="13">
        <f t="shared" si="33"/>
        <v>0</v>
      </c>
      <c r="J136" s="13">
        <f t="shared" si="33"/>
        <v>1</v>
      </c>
      <c r="K136" s="13">
        <f t="shared" si="33"/>
        <v>1</v>
      </c>
      <c r="L136" s="13">
        <f t="shared" si="33"/>
        <v>1</v>
      </c>
      <c r="M136" s="13">
        <f t="shared" si="33"/>
        <v>0</v>
      </c>
      <c r="N136" s="13">
        <f t="shared" si="33"/>
        <v>1</v>
      </c>
      <c r="O136" s="13">
        <f t="shared" si="33"/>
        <v>0</v>
      </c>
      <c r="P136" s="13">
        <f t="shared" si="33"/>
        <v>0</v>
      </c>
      <c r="Q136" s="13">
        <f t="shared" si="33"/>
        <v>1</v>
      </c>
      <c r="R136" s="13">
        <f t="shared" si="33"/>
        <v>1</v>
      </c>
      <c r="S136" s="13">
        <f t="shared" si="33"/>
        <v>13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1.0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1.0</v>
      </c>
      <c r="L138" s="19">
        <v>0.0</v>
      </c>
      <c r="M138" s="19">
        <v>0.0</v>
      </c>
      <c r="N138" s="19">
        <v>1.0</v>
      </c>
      <c r="O138" s="19">
        <v>0.0</v>
      </c>
      <c r="P138" s="19">
        <v>0.0</v>
      </c>
      <c r="Q138" s="19">
        <v>0.0</v>
      </c>
      <c r="R138" s="19">
        <v>2.0</v>
      </c>
      <c r="S138" s="13">
        <f t="shared" ref="S138:S145" si="34">SUM(E138:R138)</f>
        <v>5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0.0</v>
      </c>
      <c r="G139" s="19">
        <v>0.0</v>
      </c>
      <c r="H139" s="19">
        <v>1.0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1.0</v>
      </c>
      <c r="R139" s="19">
        <v>0.0</v>
      </c>
      <c r="S139" s="13">
        <f t="shared" si="34"/>
        <v>2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1.0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3">
        <f t="shared" si="34"/>
        <v>1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1.0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3">
        <f t="shared" si="34"/>
        <v>1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1.0</v>
      </c>
      <c r="J142" s="19">
        <v>0.0</v>
      </c>
      <c r="K142" s="19">
        <v>1.0</v>
      </c>
      <c r="L142" s="19">
        <v>0.0</v>
      </c>
      <c r="M142" s="19">
        <v>0.0</v>
      </c>
      <c r="N142" s="19">
        <v>1.0</v>
      </c>
      <c r="O142" s="19">
        <v>0.0</v>
      </c>
      <c r="P142" s="19">
        <v>0.0</v>
      </c>
      <c r="Q142" s="19">
        <v>1.0</v>
      </c>
      <c r="R142" s="19">
        <v>0.0</v>
      </c>
      <c r="S142" s="13">
        <f t="shared" si="34"/>
        <v>4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3">
        <f t="shared" si="34"/>
        <v>0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3">
        <f t="shared" si="34"/>
        <v>0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S146" si="35">SUM(E138:E145)</f>
        <v>1</v>
      </c>
      <c r="F146" s="13">
        <f t="shared" si="35"/>
        <v>0</v>
      </c>
      <c r="G146" s="13">
        <f t="shared" si="35"/>
        <v>0</v>
      </c>
      <c r="H146" s="13">
        <f t="shared" si="35"/>
        <v>1</v>
      </c>
      <c r="I146" s="13">
        <f t="shared" si="35"/>
        <v>1</v>
      </c>
      <c r="J146" s="13">
        <f t="shared" si="35"/>
        <v>1</v>
      </c>
      <c r="K146" s="13">
        <f t="shared" si="35"/>
        <v>3</v>
      </c>
      <c r="L146" s="13">
        <f t="shared" si="35"/>
        <v>0</v>
      </c>
      <c r="M146" s="13">
        <f t="shared" si="35"/>
        <v>0</v>
      </c>
      <c r="N146" s="13">
        <f t="shared" si="35"/>
        <v>2</v>
      </c>
      <c r="O146" s="13">
        <f t="shared" si="35"/>
        <v>0</v>
      </c>
      <c r="P146" s="13">
        <f t="shared" si="35"/>
        <v>0</v>
      </c>
      <c r="Q146" s="13">
        <f t="shared" si="35"/>
        <v>2</v>
      </c>
      <c r="R146" s="13">
        <f t="shared" si="35"/>
        <v>2</v>
      </c>
      <c r="S146" s="13">
        <f t="shared" si="35"/>
        <v>13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0.0</v>
      </c>
      <c r="F148" s="19">
        <v>0.0</v>
      </c>
      <c r="G148" s="19">
        <v>0.0</v>
      </c>
      <c r="H148" s="19">
        <v>0.0</v>
      </c>
      <c r="I148" s="19">
        <v>1.0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5.0</v>
      </c>
      <c r="P148" s="19">
        <v>2.0</v>
      </c>
      <c r="Q148" s="19">
        <v>3.0</v>
      </c>
      <c r="R148" s="19">
        <v>0.0</v>
      </c>
      <c r="S148" s="13">
        <f t="shared" ref="S148:S155" si="36">SUM(E148:R148)</f>
        <v>11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0.0</v>
      </c>
      <c r="F149" s="19">
        <v>0.0</v>
      </c>
      <c r="G149" s="19">
        <v>1.0</v>
      </c>
      <c r="H149" s="19">
        <v>1.0</v>
      </c>
      <c r="I149" s="19">
        <v>1.0</v>
      </c>
      <c r="J149" s="19">
        <v>0.0</v>
      </c>
      <c r="K149" s="19">
        <v>1.0</v>
      </c>
      <c r="L149" s="19">
        <v>0.0</v>
      </c>
      <c r="M149" s="19">
        <v>0.0</v>
      </c>
      <c r="N149" s="19">
        <v>0.0</v>
      </c>
      <c r="O149" s="19">
        <v>3.0</v>
      </c>
      <c r="P149" s="19">
        <v>1.0</v>
      </c>
      <c r="Q149" s="19">
        <v>0.0</v>
      </c>
      <c r="R149" s="19">
        <v>0.0</v>
      </c>
      <c r="S149" s="13">
        <f t="shared" si="36"/>
        <v>8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2.0</v>
      </c>
      <c r="F150" s="19">
        <v>0.0</v>
      </c>
      <c r="G150" s="19">
        <v>0.0</v>
      </c>
      <c r="H150" s="19">
        <v>0.0</v>
      </c>
      <c r="I150" s="19">
        <v>1.0</v>
      </c>
      <c r="J150" s="19">
        <v>0.0</v>
      </c>
      <c r="K150" s="19">
        <v>0.0</v>
      </c>
      <c r="L150" s="19">
        <v>0.0</v>
      </c>
      <c r="M150" s="19">
        <v>0.0</v>
      </c>
      <c r="N150" s="19">
        <v>0.0</v>
      </c>
      <c r="O150" s="19">
        <v>1.0</v>
      </c>
      <c r="P150" s="19">
        <v>1.0</v>
      </c>
      <c r="Q150" s="19">
        <v>1.0</v>
      </c>
      <c r="R150" s="19">
        <v>0.0</v>
      </c>
      <c r="S150" s="13">
        <f t="shared" si="36"/>
        <v>6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1.0</v>
      </c>
      <c r="P151" s="19">
        <v>0.0</v>
      </c>
      <c r="Q151" s="19">
        <v>0.0</v>
      </c>
      <c r="R151" s="19">
        <v>0.0</v>
      </c>
      <c r="S151" s="13">
        <f t="shared" si="36"/>
        <v>1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0.0</v>
      </c>
      <c r="G152" s="19">
        <v>0.0</v>
      </c>
      <c r="H152" s="19">
        <v>0.0</v>
      </c>
      <c r="I152" s="19">
        <v>1.0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2.0</v>
      </c>
      <c r="P152" s="19">
        <v>1.0</v>
      </c>
      <c r="Q152" s="19">
        <v>0.0</v>
      </c>
      <c r="R152" s="19">
        <v>0.0</v>
      </c>
      <c r="S152" s="13">
        <f t="shared" si="36"/>
        <v>4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3">
        <f t="shared" si="36"/>
        <v>1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0.0</v>
      </c>
      <c r="H154" s="19">
        <v>1.0</v>
      </c>
      <c r="I154" s="19">
        <v>1.0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3">
        <f t="shared" si="36"/>
        <v>2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1.0</v>
      </c>
      <c r="F155" s="19">
        <v>0.0</v>
      </c>
      <c r="G155" s="19">
        <v>0.0</v>
      </c>
      <c r="H155" s="19">
        <v>0.0</v>
      </c>
      <c r="I155" s="19">
        <v>1.0</v>
      </c>
      <c r="J155" s="19">
        <v>0.0</v>
      </c>
      <c r="K155" s="19">
        <v>3.0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3">
        <f t="shared" si="36"/>
        <v>5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S156" si="37">SUM(E148:E155)</f>
        <v>3</v>
      </c>
      <c r="F156" s="13">
        <f t="shared" si="37"/>
        <v>0</v>
      </c>
      <c r="G156" s="13">
        <f t="shared" si="37"/>
        <v>1</v>
      </c>
      <c r="H156" s="13">
        <f t="shared" si="37"/>
        <v>2</v>
      </c>
      <c r="I156" s="13">
        <f t="shared" si="37"/>
        <v>7</v>
      </c>
      <c r="J156" s="13">
        <f t="shared" si="37"/>
        <v>0</v>
      </c>
      <c r="K156" s="13">
        <f t="shared" si="37"/>
        <v>4</v>
      </c>
      <c r="L156" s="13">
        <f t="shared" si="37"/>
        <v>0</v>
      </c>
      <c r="M156" s="13">
        <f t="shared" si="37"/>
        <v>0</v>
      </c>
      <c r="N156" s="13">
        <f t="shared" si="37"/>
        <v>0</v>
      </c>
      <c r="O156" s="13">
        <f t="shared" si="37"/>
        <v>12</v>
      </c>
      <c r="P156" s="13">
        <f t="shared" si="37"/>
        <v>5</v>
      </c>
      <c r="Q156" s="13">
        <f t="shared" si="37"/>
        <v>4</v>
      </c>
      <c r="R156" s="13">
        <f t="shared" si="37"/>
        <v>0</v>
      </c>
      <c r="S156" s="13">
        <f t="shared" si="37"/>
        <v>38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S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9">
        <v>1.0</v>
      </c>
      <c r="L158" s="19">
        <v>0.0</v>
      </c>
      <c r="M158" s="19">
        <v>0.0</v>
      </c>
      <c r="N158" s="19">
        <v>0.0</v>
      </c>
      <c r="O158" s="19">
        <v>0.0</v>
      </c>
      <c r="P158" s="19">
        <v>1.0</v>
      </c>
      <c r="Q158" s="19">
        <v>0.0</v>
      </c>
      <c r="R158" s="19">
        <v>0.0</v>
      </c>
      <c r="S158" s="13">
        <f t="shared" ref="S158:S165" si="38">SUM(E158:R158)</f>
        <v>2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1.0</v>
      </c>
      <c r="J159" s="19">
        <v>0.0</v>
      </c>
      <c r="K159" s="19">
        <v>0.0</v>
      </c>
      <c r="L159" s="19">
        <v>1.0</v>
      </c>
      <c r="M159" s="19">
        <v>1.0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3">
        <f t="shared" si="38"/>
        <v>3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3">
        <f t="shared" si="38"/>
        <v>0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3">
        <f t="shared" si="38"/>
        <v>0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3">
        <f t="shared" si="38"/>
        <v>0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3">
        <f t="shared" si="38"/>
        <v>0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1.0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3">
        <f t="shared" si="38"/>
        <v>1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2.0</v>
      </c>
      <c r="K165" s="19">
        <v>0.0</v>
      </c>
      <c r="L165" s="19">
        <v>1.0</v>
      </c>
      <c r="M165" s="19">
        <v>0.0</v>
      </c>
      <c r="N165" s="19">
        <v>0.0</v>
      </c>
      <c r="O165" s="19">
        <v>0.0</v>
      </c>
      <c r="P165" s="19">
        <v>1.0</v>
      </c>
      <c r="Q165" s="19">
        <v>0.0</v>
      </c>
      <c r="R165" s="19">
        <v>0.0</v>
      </c>
      <c r="S165" s="13">
        <f t="shared" si="38"/>
        <v>4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S166" si="39">SUM(E158:E165)</f>
        <v>0</v>
      </c>
      <c r="F166" s="13">
        <f t="shared" si="39"/>
        <v>0</v>
      </c>
      <c r="G166" s="13">
        <f t="shared" si="39"/>
        <v>0</v>
      </c>
      <c r="H166" s="13">
        <f t="shared" si="39"/>
        <v>0</v>
      </c>
      <c r="I166" s="13">
        <f t="shared" si="39"/>
        <v>1</v>
      </c>
      <c r="J166" s="13">
        <f t="shared" si="39"/>
        <v>2</v>
      </c>
      <c r="K166" s="13">
        <f t="shared" si="39"/>
        <v>1</v>
      </c>
      <c r="L166" s="13">
        <f t="shared" si="39"/>
        <v>2</v>
      </c>
      <c r="M166" s="13">
        <f t="shared" si="39"/>
        <v>2</v>
      </c>
      <c r="N166" s="13">
        <f t="shared" si="39"/>
        <v>0</v>
      </c>
      <c r="O166" s="13">
        <f t="shared" si="39"/>
        <v>0</v>
      </c>
      <c r="P166" s="13">
        <f t="shared" si="39"/>
        <v>2</v>
      </c>
      <c r="Q166" s="13">
        <f t="shared" si="39"/>
        <v>0</v>
      </c>
      <c r="R166" s="13">
        <f t="shared" si="39"/>
        <v>0</v>
      </c>
      <c r="S166" s="13">
        <f t="shared" si="39"/>
        <v>10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8.0</v>
      </c>
      <c r="F168" s="19">
        <v>6.0</v>
      </c>
      <c r="G168" s="19">
        <v>2.0</v>
      </c>
      <c r="H168" s="19">
        <v>3.0</v>
      </c>
      <c r="I168" s="19">
        <v>3.0</v>
      </c>
      <c r="J168" s="19">
        <v>0.0</v>
      </c>
      <c r="K168" s="19">
        <v>6.0</v>
      </c>
      <c r="L168" s="19">
        <v>0.0</v>
      </c>
      <c r="M168" s="19">
        <v>5.0</v>
      </c>
      <c r="N168" s="19">
        <v>4.0</v>
      </c>
      <c r="O168" s="19">
        <v>7.0</v>
      </c>
      <c r="P168" s="19">
        <v>0.0</v>
      </c>
      <c r="Q168" s="19">
        <v>5.0</v>
      </c>
      <c r="R168" s="19">
        <v>1.0</v>
      </c>
      <c r="S168" s="13">
        <f t="shared" ref="S168:S175" si="40">SUM(E168:R168)</f>
        <v>50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46.0</v>
      </c>
      <c r="F169" s="19">
        <v>48.0</v>
      </c>
      <c r="G169" s="19">
        <v>26.0</v>
      </c>
      <c r="H169" s="19">
        <v>28.0</v>
      </c>
      <c r="I169" s="19">
        <v>9.0</v>
      </c>
      <c r="J169" s="19">
        <v>8.0</v>
      </c>
      <c r="K169" s="19">
        <v>14.0</v>
      </c>
      <c r="L169" s="19">
        <v>3.0</v>
      </c>
      <c r="M169" s="19">
        <v>21.0</v>
      </c>
      <c r="N169" s="19">
        <v>22.0</v>
      </c>
      <c r="O169" s="19">
        <v>25.0</v>
      </c>
      <c r="P169" s="19">
        <v>9.0</v>
      </c>
      <c r="Q169" s="19">
        <v>21.0</v>
      </c>
      <c r="R169" s="19">
        <v>86.0</v>
      </c>
      <c r="S169" s="13">
        <f t="shared" si="40"/>
        <v>366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1.0</v>
      </c>
      <c r="F170" s="19">
        <v>0.0</v>
      </c>
      <c r="G170" s="19">
        <v>2.0</v>
      </c>
      <c r="H170" s="19">
        <v>2.0</v>
      </c>
      <c r="I170" s="19">
        <v>4.0</v>
      </c>
      <c r="J170" s="19">
        <v>3.0</v>
      </c>
      <c r="K170" s="19">
        <v>0.0</v>
      </c>
      <c r="L170" s="19">
        <v>1.0</v>
      </c>
      <c r="M170" s="19">
        <v>1.0</v>
      </c>
      <c r="N170" s="19">
        <v>0.0</v>
      </c>
      <c r="O170" s="19">
        <v>2.0</v>
      </c>
      <c r="P170" s="19">
        <v>3.0</v>
      </c>
      <c r="Q170" s="19">
        <v>1.0</v>
      </c>
      <c r="R170" s="19">
        <v>0.0</v>
      </c>
      <c r="S170" s="13">
        <f t="shared" si="40"/>
        <v>20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1.0</v>
      </c>
      <c r="F171" s="19">
        <v>1.0</v>
      </c>
      <c r="G171" s="19">
        <v>0.0</v>
      </c>
      <c r="H171" s="19">
        <v>1.0</v>
      </c>
      <c r="I171" s="19">
        <v>0.0</v>
      </c>
      <c r="J171" s="19">
        <v>0.0</v>
      </c>
      <c r="K171" s="19">
        <v>0.0</v>
      </c>
      <c r="L171" s="19">
        <v>0.0</v>
      </c>
      <c r="M171" s="19">
        <v>1.0</v>
      </c>
      <c r="N171" s="19">
        <v>0.0</v>
      </c>
      <c r="O171" s="19">
        <v>1.0</v>
      </c>
      <c r="P171" s="19">
        <v>0.0</v>
      </c>
      <c r="Q171" s="19">
        <v>0.0</v>
      </c>
      <c r="R171" s="19">
        <v>0.0</v>
      </c>
      <c r="S171" s="13">
        <f t="shared" si="40"/>
        <v>5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0.0</v>
      </c>
      <c r="F172" s="19">
        <v>0.0</v>
      </c>
      <c r="G172" s="19">
        <v>0.0</v>
      </c>
      <c r="H172" s="19">
        <v>1.0</v>
      </c>
      <c r="I172" s="19">
        <v>0.0</v>
      </c>
      <c r="J172" s="19">
        <v>0.0</v>
      </c>
      <c r="K172" s="19">
        <v>0.0</v>
      </c>
      <c r="L172" s="19">
        <v>0.0</v>
      </c>
      <c r="M172" s="19">
        <v>2.0</v>
      </c>
      <c r="N172" s="19">
        <v>0.0</v>
      </c>
      <c r="O172" s="19">
        <v>1.0</v>
      </c>
      <c r="P172" s="19">
        <v>0.0</v>
      </c>
      <c r="Q172" s="19">
        <v>0.0</v>
      </c>
      <c r="R172" s="19">
        <v>1.0</v>
      </c>
      <c r="S172" s="13">
        <f t="shared" si="40"/>
        <v>5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0.0</v>
      </c>
      <c r="F173" s="19">
        <v>0.0</v>
      </c>
      <c r="G173" s="19">
        <v>0.0</v>
      </c>
      <c r="H173" s="19">
        <v>0.0</v>
      </c>
      <c r="I173" s="19">
        <v>1.0</v>
      </c>
      <c r="J173" s="19">
        <v>1.0</v>
      </c>
      <c r="K173" s="19">
        <v>0.0</v>
      </c>
      <c r="L173" s="19">
        <v>0.0</v>
      </c>
      <c r="M173" s="19">
        <v>0.0</v>
      </c>
      <c r="N173" s="19">
        <v>1.0</v>
      </c>
      <c r="O173" s="19">
        <v>2.0</v>
      </c>
      <c r="P173" s="19">
        <v>0.0</v>
      </c>
      <c r="Q173" s="19">
        <v>0.0</v>
      </c>
      <c r="R173" s="19">
        <v>0.0</v>
      </c>
      <c r="S173" s="13">
        <f t="shared" si="40"/>
        <v>5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0.0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2.0</v>
      </c>
      <c r="O174" s="19">
        <v>0.0</v>
      </c>
      <c r="P174" s="19">
        <v>0.0</v>
      </c>
      <c r="Q174" s="19">
        <v>0.0</v>
      </c>
      <c r="R174" s="19">
        <v>0.0</v>
      </c>
      <c r="S174" s="13">
        <f t="shared" si="40"/>
        <v>2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0.0</v>
      </c>
      <c r="F175" s="19">
        <v>0.0</v>
      </c>
      <c r="G175" s="19">
        <v>0.0</v>
      </c>
      <c r="H175" s="19">
        <v>0.0</v>
      </c>
      <c r="I175" s="19">
        <v>0.0</v>
      </c>
      <c r="J175" s="19">
        <v>0.0</v>
      </c>
      <c r="K175" s="19">
        <v>0.0</v>
      </c>
      <c r="L175" s="19">
        <v>0.0</v>
      </c>
      <c r="M175" s="19">
        <v>1.0</v>
      </c>
      <c r="N175" s="19">
        <v>1.0</v>
      </c>
      <c r="O175" s="19">
        <v>3.0</v>
      </c>
      <c r="P175" s="19">
        <v>0.0</v>
      </c>
      <c r="Q175" s="19">
        <v>0.0</v>
      </c>
      <c r="R175" s="19">
        <v>2.0</v>
      </c>
      <c r="S175" s="13">
        <f t="shared" si="40"/>
        <v>7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S176" si="41">SUM(E168:E175)</f>
        <v>56</v>
      </c>
      <c r="F176" s="13">
        <f t="shared" si="41"/>
        <v>55</v>
      </c>
      <c r="G176" s="13">
        <f t="shared" si="41"/>
        <v>30</v>
      </c>
      <c r="H176" s="13">
        <f t="shared" si="41"/>
        <v>35</v>
      </c>
      <c r="I176" s="13">
        <f t="shared" si="41"/>
        <v>17</v>
      </c>
      <c r="J176" s="13">
        <f t="shared" si="41"/>
        <v>12</v>
      </c>
      <c r="K176" s="13">
        <f t="shared" si="41"/>
        <v>20</v>
      </c>
      <c r="L176" s="13">
        <f t="shared" si="41"/>
        <v>4</v>
      </c>
      <c r="M176" s="13">
        <f t="shared" si="41"/>
        <v>31</v>
      </c>
      <c r="N176" s="13">
        <f t="shared" si="41"/>
        <v>30</v>
      </c>
      <c r="O176" s="13">
        <f t="shared" si="41"/>
        <v>41</v>
      </c>
      <c r="P176" s="13">
        <f t="shared" si="41"/>
        <v>12</v>
      </c>
      <c r="Q176" s="13">
        <f t="shared" si="41"/>
        <v>27</v>
      </c>
      <c r="R176" s="13">
        <f t="shared" si="41"/>
        <v>90</v>
      </c>
      <c r="S176" s="13">
        <f t="shared" si="41"/>
        <v>460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0.0</v>
      </c>
      <c r="F178" s="19">
        <v>1.0</v>
      </c>
      <c r="G178" s="19">
        <v>1.0</v>
      </c>
      <c r="H178" s="19">
        <v>3.0</v>
      </c>
      <c r="I178" s="19">
        <v>5.0</v>
      </c>
      <c r="J178" s="19">
        <v>1.0</v>
      </c>
      <c r="K178" s="19">
        <v>1.0</v>
      </c>
      <c r="L178" s="19">
        <v>4.0</v>
      </c>
      <c r="M178" s="19">
        <v>2.0</v>
      </c>
      <c r="N178" s="19">
        <v>0.0</v>
      </c>
      <c r="O178" s="19">
        <v>4.0</v>
      </c>
      <c r="P178" s="19">
        <v>0.0</v>
      </c>
      <c r="Q178" s="19">
        <v>3.0</v>
      </c>
      <c r="R178" s="19">
        <v>1.0</v>
      </c>
      <c r="S178" s="13">
        <f t="shared" ref="S178:S185" si="42">SUM(E178:R178)</f>
        <v>26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0.0</v>
      </c>
      <c r="F179" s="19">
        <v>0.0</v>
      </c>
      <c r="G179" s="19">
        <v>0.0</v>
      </c>
      <c r="H179" s="19">
        <v>2.0</v>
      </c>
      <c r="I179" s="19">
        <v>3.0</v>
      </c>
      <c r="J179" s="19">
        <v>1.0</v>
      </c>
      <c r="K179" s="19">
        <v>1.0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3">
        <f t="shared" si="42"/>
        <v>7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0.0</v>
      </c>
      <c r="F180" s="19">
        <v>0.0</v>
      </c>
      <c r="G180" s="19">
        <v>1.0</v>
      </c>
      <c r="H180" s="19">
        <v>2.0</v>
      </c>
      <c r="I180" s="19">
        <v>2.0</v>
      </c>
      <c r="J180" s="19">
        <v>0.0</v>
      </c>
      <c r="K180" s="19">
        <v>1.0</v>
      </c>
      <c r="L180" s="19">
        <v>0.0</v>
      </c>
      <c r="M180" s="19">
        <v>2.0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3">
        <f t="shared" si="42"/>
        <v>8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1.0</v>
      </c>
      <c r="H181" s="19">
        <v>1.0</v>
      </c>
      <c r="I181" s="19">
        <v>0.0</v>
      </c>
      <c r="J181" s="19">
        <v>1.0</v>
      </c>
      <c r="K181" s="19">
        <v>1.0</v>
      </c>
      <c r="L181" s="19">
        <v>1.0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3">
        <f t="shared" si="42"/>
        <v>5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1.0</v>
      </c>
      <c r="R182" s="19">
        <v>0.0</v>
      </c>
      <c r="S182" s="13">
        <f t="shared" si="42"/>
        <v>1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0.0</v>
      </c>
      <c r="H183" s="19">
        <v>1.0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3">
        <f t="shared" si="42"/>
        <v>1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3">
        <f t="shared" si="42"/>
        <v>0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1.0</v>
      </c>
      <c r="F185" s="19">
        <v>0.0</v>
      </c>
      <c r="G185" s="19">
        <v>0.0</v>
      </c>
      <c r="H185" s="19">
        <v>0.0</v>
      </c>
      <c r="I185" s="19">
        <v>1.0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1.0</v>
      </c>
      <c r="P185" s="19">
        <v>0.0</v>
      </c>
      <c r="Q185" s="19">
        <v>1.0</v>
      </c>
      <c r="R185" s="19">
        <v>0.0</v>
      </c>
      <c r="S185" s="13">
        <f t="shared" si="42"/>
        <v>4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S186" si="43">SUM(E178:E185)</f>
        <v>1</v>
      </c>
      <c r="F186" s="13">
        <f t="shared" si="43"/>
        <v>1</v>
      </c>
      <c r="G186" s="13">
        <f t="shared" si="43"/>
        <v>3</v>
      </c>
      <c r="H186" s="13">
        <f t="shared" si="43"/>
        <v>9</v>
      </c>
      <c r="I186" s="13">
        <f t="shared" si="43"/>
        <v>11</v>
      </c>
      <c r="J186" s="13">
        <f t="shared" si="43"/>
        <v>3</v>
      </c>
      <c r="K186" s="13">
        <f t="shared" si="43"/>
        <v>4</v>
      </c>
      <c r="L186" s="13">
        <f t="shared" si="43"/>
        <v>5</v>
      </c>
      <c r="M186" s="13">
        <f t="shared" si="43"/>
        <v>4</v>
      </c>
      <c r="N186" s="13">
        <f t="shared" si="43"/>
        <v>0</v>
      </c>
      <c r="O186" s="13">
        <f t="shared" si="43"/>
        <v>5</v>
      </c>
      <c r="P186" s="13">
        <f t="shared" si="43"/>
        <v>0</v>
      </c>
      <c r="Q186" s="13">
        <f t="shared" si="43"/>
        <v>5</v>
      </c>
      <c r="R186" s="13">
        <f t="shared" si="43"/>
        <v>1</v>
      </c>
      <c r="S186" s="13">
        <f t="shared" si="43"/>
        <v>52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0.0</v>
      </c>
      <c r="F188" s="19">
        <v>0.0</v>
      </c>
      <c r="G188" s="19">
        <v>0.0</v>
      </c>
      <c r="H188" s="19">
        <v>0.0</v>
      </c>
      <c r="I188" s="19">
        <v>0.0</v>
      </c>
      <c r="J188" s="19">
        <v>0.0</v>
      </c>
      <c r="K188" s="19">
        <v>0.0</v>
      </c>
      <c r="L188" s="19">
        <v>0.0</v>
      </c>
      <c r="M188" s="19">
        <v>1.0</v>
      </c>
      <c r="N188" s="19">
        <v>0.0</v>
      </c>
      <c r="O188" s="19">
        <v>0.0</v>
      </c>
      <c r="P188" s="19">
        <v>0.0</v>
      </c>
      <c r="Q188" s="19">
        <v>0.0</v>
      </c>
      <c r="R188" s="19">
        <v>0.0</v>
      </c>
      <c r="S188" s="13">
        <f t="shared" ref="S188:S195" si="44">SUM(E188:R188)</f>
        <v>1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0.0</v>
      </c>
      <c r="K189" s="19">
        <v>3.0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3">
        <f t="shared" si="44"/>
        <v>4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3">
        <f t="shared" si="44"/>
        <v>0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3">
        <f t="shared" si="44"/>
        <v>0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1.0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3">
        <f t="shared" si="44"/>
        <v>1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1.0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3">
        <f t="shared" si="44"/>
        <v>1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3">
        <f t="shared" si="44"/>
        <v>0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1.0</v>
      </c>
      <c r="Q195" s="19">
        <v>1.0</v>
      </c>
      <c r="R195" s="19">
        <v>0.0</v>
      </c>
      <c r="S195" s="13">
        <f t="shared" si="44"/>
        <v>2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S196" si="45">SUM(E188:E195)</f>
        <v>0</v>
      </c>
      <c r="F196" s="13">
        <f t="shared" si="45"/>
        <v>1</v>
      </c>
      <c r="G196" s="13">
        <f t="shared" si="45"/>
        <v>1</v>
      </c>
      <c r="H196" s="13">
        <f t="shared" si="45"/>
        <v>1</v>
      </c>
      <c r="I196" s="13">
        <f t="shared" si="45"/>
        <v>0</v>
      </c>
      <c r="J196" s="13">
        <f t="shared" si="45"/>
        <v>0</v>
      </c>
      <c r="K196" s="13">
        <f t="shared" si="45"/>
        <v>3</v>
      </c>
      <c r="L196" s="13">
        <f t="shared" si="45"/>
        <v>0</v>
      </c>
      <c r="M196" s="13">
        <f t="shared" si="45"/>
        <v>1</v>
      </c>
      <c r="N196" s="13">
        <f t="shared" si="45"/>
        <v>0</v>
      </c>
      <c r="O196" s="13">
        <f t="shared" si="45"/>
        <v>0</v>
      </c>
      <c r="P196" s="13">
        <f t="shared" si="45"/>
        <v>1</v>
      </c>
      <c r="Q196" s="13">
        <f t="shared" si="45"/>
        <v>1</v>
      </c>
      <c r="R196" s="13">
        <f t="shared" si="45"/>
        <v>0</v>
      </c>
      <c r="S196" s="13">
        <f t="shared" si="45"/>
        <v>9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1.0</v>
      </c>
      <c r="F198" s="19">
        <v>1.0</v>
      </c>
      <c r="G198" s="19">
        <v>2.0</v>
      </c>
      <c r="H198" s="19">
        <v>0.0</v>
      </c>
      <c r="I198" s="19">
        <v>0.0</v>
      </c>
      <c r="J198" s="19">
        <v>2.0</v>
      </c>
      <c r="K198" s="19">
        <v>1.0</v>
      </c>
      <c r="L198" s="19">
        <v>0.0</v>
      </c>
      <c r="M198" s="19">
        <v>3.0</v>
      </c>
      <c r="N198" s="19">
        <v>3.0</v>
      </c>
      <c r="O198" s="19">
        <v>2.0</v>
      </c>
      <c r="P198" s="19">
        <v>5.0</v>
      </c>
      <c r="Q198" s="19">
        <v>4.0</v>
      </c>
      <c r="R198" s="19">
        <v>0.0</v>
      </c>
      <c r="S198" s="13">
        <f t="shared" ref="S198:S205" si="46">SUM(E198:R198)</f>
        <v>24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1.0</v>
      </c>
      <c r="F199" s="19">
        <v>0.0</v>
      </c>
      <c r="G199" s="19">
        <v>0.0</v>
      </c>
      <c r="H199" s="19">
        <v>1.0</v>
      </c>
      <c r="I199" s="19">
        <v>0.0</v>
      </c>
      <c r="J199" s="19">
        <v>2.0</v>
      </c>
      <c r="K199" s="19">
        <v>0.0</v>
      </c>
      <c r="L199" s="19">
        <v>2.0</v>
      </c>
      <c r="M199" s="19">
        <v>0.0</v>
      </c>
      <c r="N199" s="19">
        <v>1.0</v>
      </c>
      <c r="O199" s="19">
        <v>4.0</v>
      </c>
      <c r="P199" s="19">
        <v>0.0</v>
      </c>
      <c r="Q199" s="19">
        <v>2.0</v>
      </c>
      <c r="R199" s="19">
        <v>0.0</v>
      </c>
      <c r="S199" s="13">
        <f t="shared" si="46"/>
        <v>13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0.0</v>
      </c>
      <c r="F200" s="19">
        <v>1.0</v>
      </c>
      <c r="G200" s="19">
        <v>1.0</v>
      </c>
      <c r="H200" s="19">
        <v>4.0</v>
      </c>
      <c r="I200" s="19">
        <v>0.0</v>
      </c>
      <c r="J200" s="19">
        <v>2.0</v>
      </c>
      <c r="K200" s="19">
        <v>9.0</v>
      </c>
      <c r="L200" s="19">
        <v>6.0</v>
      </c>
      <c r="M200" s="19">
        <v>2.0</v>
      </c>
      <c r="N200" s="19">
        <v>3.0</v>
      </c>
      <c r="O200" s="19">
        <v>0.0</v>
      </c>
      <c r="P200" s="19">
        <v>2.0</v>
      </c>
      <c r="Q200" s="19">
        <v>17.0</v>
      </c>
      <c r="R200" s="19">
        <v>1.0</v>
      </c>
      <c r="S200" s="13">
        <f t="shared" si="46"/>
        <v>48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0.0</v>
      </c>
      <c r="G201" s="19">
        <v>0.0</v>
      </c>
      <c r="H201" s="19">
        <v>0.0</v>
      </c>
      <c r="I201" s="19">
        <v>0.0</v>
      </c>
      <c r="J201" s="19">
        <v>0.0</v>
      </c>
      <c r="K201" s="19">
        <v>0.0</v>
      </c>
      <c r="L201" s="19">
        <v>1.0</v>
      </c>
      <c r="M201" s="19">
        <v>0.0</v>
      </c>
      <c r="N201" s="19">
        <v>0.0</v>
      </c>
      <c r="O201" s="19">
        <v>0.0</v>
      </c>
      <c r="P201" s="19">
        <v>0.0</v>
      </c>
      <c r="Q201" s="19">
        <v>0.0</v>
      </c>
      <c r="R201" s="19">
        <v>0.0</v>
      </c>
      <c r="S201" s="13">
        <f t="shared" si="46"/>
        <v>1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0.0</v>
      </c>
      <c r="F202" s="19">
        <v>0.0</v>
      </c>
      <c r="G202" s="19">
        <v>0.0</v>
      </c>
      <c r="H202" s="19">
        <v>0.0</v>
      </c>
      <c r="I202" s="19">
        <v>2.0</v>
      </c>
      <c r="J202" s="19">
        <v>0.0</v>
      </c>
      <c r="K202" s="19">
        <v>1.0</v>
      </c>
      <c r="L202" s="19">
        <v>0.0</v>
      </c>
      <c r="M202" s="19">
        <v>0.0</v>
      </c>
      <c r="N202" s="19">
        <v>0.0</v>
      </c>
      <c r="O202" s="19">
        <v>0.0</v>
      </c>
      <c r="P202" s="19">
        <v>1.0</v>
      </c>
      <c r="Q202" s="19">
        <v>0.0</v>
      </c>
      <c r="R202" s="19">
        <v>0.0</v>
      </c>
      <c r="S202" s="13">
        <f t="shared" si="46"/>
        <v>4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0.0</v>
      </c>
      <c r="H203" s="19">
        <v>1.0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3">
        <f t="shared" si="46"/>
        <v>1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0.0</v>
      </c>
      <c r="G204" s="19">
        <v>1.0</v>
      </c>
      <c r="H204" s="19">
        <v>2.0</v>
      </c>
      <c r="I204" s="19">
        <v>0.0</v>
      </c>
      <c r="J204" s="19">
        <v>1.0</v>
      </c>
      <c r="K204" s="19">
        <v>0.0</v>
      </c>
      <c r="L204" s="19">
        <v>0.0</v>
      </c>
      <c r="M204" s="19">
        <v>1.0</v>
      </c>
      <c r="N204" s="19">
        <v>2.0</v>
      </c>
      <c r="O204" s="19">
        <v>0.0</v>
      </c>
      <c r="P204" s="19">
        <v>0.0</v>
      </c>
      <c r="Q204" s="19">
        <v>2.0</v>
      </c>
      <c r="R204" s="19">
        <v>0.0</v>
      </c>
      <c r="S204" s="13">
        <f t="shared" si="46"/>
        <v>9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21.0</v>
      </c>
      <c r="F205" s="19">
        <v>14.0</v>
      </c>
      <c r="G205" s="19">
        <v>76.0</v>
      </c>
      <c r="H205" s="19">
        <v>7.0</v>
      </c>
      <c r="I205" s="19">
        <v>10.0</v>
      </c>
      <c r="J205" s="19">
        <v>56.0</v>
      </c>
      <c r="K205" s="19">
        <v>27.0</v>
      </c>
      <c r="L205" s="19">
        <v>21.0</v>
      </c>
      <c r="M205" s="19">
        <v>16.0</v>
      </c>
      <c r="N205" s="19">
        <v>77.0</v>
      </c>
      <c r="O205" s="19">
        <v>14.0</v>
      </c>
      <c r="P205" s="19">
        <v>53.0</v>
      </c>
      <c r="Q205" s="19">
        <v>13.0</v>
      </c>
      <c r="R205" s="19">
        <v>43.0</v>
      </c>
      <c r="S205" s="13">
        <f t="shared" si="46"/>
        <v>448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S206" si="47">SUM(E198:E205)</f>
        <v>23</v>
      </c>
      <c r="F206" s="13">
        <f t="shared" si="47"/>
        <v>16</v>
      </c>
      <c r="G206" s="13">
        <f t="shared" si="47"/>
        <v>80</v>
      </c>
      <c r="H206" s="13">
        <f t="shared" si="47"/>
        <v>15</v>
      </c>
      <c r="I206" s="13">
        <f t="shared" si="47"/>
        <v>12</v>
      </c>
      <c r="J206" s="13">
        <f t="shared" si="47"/>
        <v>63</v>
      </c>
      <c r="K206" s="13">
        <f t="shared" si="47"/>
        <v>38</v>
      </c>
      <c r="L206" s="13">
        <f t="shared" si="47"/>
        <v>30</v>
      </c>
      <c r="M206" s="13">
        <f t="shared" si="47"/>
        <v>22</v>
      </c>
      <c r="N206" s="13">
        <f t="shared" si="47"/>
        <v>86</v>
      </c>
      <c r="O206" s="13">
        <f t="shared" si="47"/>
        <v>20</v>
      </c>
      <c r="P206" s="13">
        <f t="shared" si="47"/>
        <v>61</v>
      </c>
      <c r="Q206" s="13">
        <f t="shared" si="47"/>
        <v>38</v>
      </c>
      <c r="R206" s="13">
        <f t="shared" si="47"/>
        <v>44</v>
      </c>
      <c r="S206" s="13">
        <f t="shared" si="47"/>
        <v>548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1.0</v>
      </c>
      <c r="P208" s="19">
        <v>0.0</v>
      </c>
      <c r="Q208" s="19">
        <v>0.0</v>
      </c>
      <c r="R208" s="19">
        <v>0.0</v>
      </c>
      <c r="S208" s="13">
        <f t="shared" ref="S208:S214" si="48">SUM(E208:R208)</f>
        <v>1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1.0</v>
      </c>
      <c r="F209" s="19">
        <v>0.0</v>
      </c>
      <c r="G209" s="19">
        <v>0.0</v>
      </c>
      <c r="H209" s="19">
        <v>0.0</v>
      </c>
      <c r="I209" s="19">
        <v>1.0</v>
      </c>
      <c r="J209" s="19">
        <v>0.0</v>
      </c>
      <c r="K209" s="19">
        <v>1.0</v>
      </c>
      <c r="L209" s="19">
        <v>0.0</v>
      </c>
      <c r="M209" s="19">
        <v>0.0</v>
      </c>
      <c r="N209" s="19">
        <v>1.0</v>
      </c>
      <c r="O209" s="19">
        <v>0.0</v>
      </c>
      <c r="P209" s="19">
        <v>1.0</v>
      </c>
      <c r="Q209" s="19">
        <v>0.0</v>
      </c>
      <c r="R209" s="19">
        <v>0.0</v>
      </c>
      <c r="S209" s="13">
        <f t="shared" si="48"/>
        <v>5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9">
        <v>1.0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3">
        <f t="shared" si="48"/>
        <v>1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0.0</v>
      </c>
      <c r="S211" s="13">
        <f t="shared" si="48"/>
        <v>0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9">
        <v>0.0</v>
      </c>
      <c r="S212" s="13">
        <f t="shared" si="48"/>
        <v>0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9">
        <v>0.0</v>
      </c>
      <c r="S213" s="13">
        <f t="shared" si="48"/>
        <v>0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0.0</v>
      </c>
      <c r="S214" s="13">
        <f t="shared" si="48"/>
        <v>0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S215" si="49">SUM(E208:E214)</f>
        <v>1</v>
      </c>
      <c r="F215" s="13">
        <f t="shared" si="49"/>
        <v>0</v>
      </c>
      <c r="G215" s="13">
        <f t="shared" si="49"/>
        <v>0</v>
      </c>
      <c r="H215" s="13">
        <f t="shared" si="49"/>
        <v>0</v>
      </c>
      <c r="I215" s="13">
        <f t="shared" si="49"/>
        <v>1</v>
      </c>
      <c r="J215" s="13">
        <f t="shared" si="49"/>
        <v>0</v>
      </c>
      <c r="K215" s="13">
        <f t="shared" si="49"/>
        <v>1</v>
      </c>
      <c r="L215" s="13">
        <f t="shared" si="49"/>
        <v>0</v>
      </c>
      <c r="M215" s="13">
        <f t="shared" si="49"/>
        <v>1</v>
      </c>
      <c r="N215" s="13">
        <f t="shared" si="49"/>
        <v>1</v>
      </c>
      <c r="O215" s="13">
        <f t="shared" si="49"/>
        <v>1</v>
      </c>
      <c r="P215" s="13">
        <f t="shared" si="49"/>
        <v>1</v>
      </c>
      <c r="Q215" s="13">
        <f t="shared" si="49"/>
        <v>0</v>
      </c>
      <c r="R215" s="13">
        <f t="shared" si="49"/>
        <v>0</v>
      </c>
      <c r="S215" s="13">
        <f t="shared" si="49"/>
        <v>7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71"/>
      <c r="O217" s="71"/>
      <c r="P217" s="71"/>
      <c r="Q217" s="71"/>
      <c r="R217" s="71"/>
      <c r="S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R218" si="50">E53+E63+E73+E83+E93+E103+E109+E119+E129+E136+E146+E156+E166+E176+E186+E196+E206+E215</f>
        <v>205</v>
      </c>
      <c r="F218" s="19">
        <f t="shared" si="50"/>
        <v>209</v>
      </c>
      <c r="G218" s="19">
        <f t="shared" si="50"/>
        <v>246</v>
      </c>
      <c r="H218" s="19">
        <f t="shared" si="50"/>
        <v>185</v>
      </c>
      <c r="I218" s="19">
        <f t="shared" si="50"/>
        <v>188</v>
      </c>
      <c r="J218" s="19">
        <f t="shared" si="50"/>
        <v>195</v>
      </c>
      <c r="K218" s="19">
        <f t="shared" si="50"/>
        <v>222</v>
      </c>
      <c r="L218" s="19">
        <f t="shared" si="50"/>
        <v>235</v>
      </c>
      <c r="M218" s="19">
        <f t="shared" si="50"/>
        <v>185</v>
      </c>
      <c r="N218" s="19">
        <f t="shared" si="50"/>
        <v>215</v>
      </c>
      <c r="O218" s="19">
        <f t="shared" si="50"/>
        <v>197</v>
      </c>
      <c r="P218" s="19">
        <f t="shared" si="50"/>
        <v>191</v>
      </c>
      <c r="Q218" s="19">
        <f t="shared" si="50"/>
        <v>202</v>
      </c>
      <c r="R218" s="19">
        <f t="shared" si="50"/>
        <v>209</v>
      </c>
      <c r="S218" s="13">
        <f t="shared" ref="S218:S220" si="51">SUM(E218:R218)</f>
        <v>2884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30.0</v>
      </c>
      <c r="F219" s="19">
        <v>44.0</v>
      </c>
      <c r="G219" s="19">
        <v>16.0</v>
      </c>
      <c r="H219" s="19">
        <v>37.0</v>
      </c>
      <c r="I219" s="19">
        <v>21.0</v>
      </c>
      <c r="J219" s="19">
        <v>8.0</v>
      </c>
      <c r="K219" s="19">
        <v>18.0</v>
      </c>
      <c r="L219" s="19">
        <v>22.0</v>
      </c>
      <c r="M219" s="19">
        <v>16.0</v>
      </c>
      <c r="N219" s="19">
        <v>20.0</v>
      </c>
      <c r="O219" s="19">
        <v>13.0</v>
      </c>
      <c r="P219" s="19">
        <v>16.0</v>
      </c>
      <c r="Q219" s="19">
        <v>13.0</v>
      </c>
      <c r="R219" s="19">
        <v>9.0</v>
      </c>
      <c r="S219" s="13">
        <f t="shared" si="51"/>
        <v>283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R220" si="52">SUM(E218:E219)</f>
        <v>235</v>
      </c>
      <c r="F220" s="13">
        <f t="shared" si="52"/>
        <v>253</v>
      </c>
      <c r="G220" s="13">
        <f t="shared" si="52"/>
        <v>262</v>
      </c>
      <c r="H220" s="13">
        <f t="shared" si="52"/>
        <v>222</v>
      </c>
      <c r="I220" s="13">
        <f t="shared" si="52"/>
        <v>209</v>
      </c>
      <c r="J220" s="13">
        <f t="shared" si="52"/>
        <v>203</v>
      </c>
      <c r="K220" s="13">
        <f t="shared" si="52"/>
        <v>240</v>
      </c>
      <c r="L220" s="13">
        <f t="shared" si="52"/>
        <v>257</v>
      </c>
      <c r="M220" s="13">
        <f t="shared" si="52"/>
        <v>201</v>
      </c>
      <c r="N220" s="13">
        <f t="shared" si="52"/>
        <v>235</v>
      </c>
      <c r="O220" s="13">
        <f t="shared" si="52"/>
        <v>210</v>
      </c>
      <c r="P220" s="13">
        <f t="shared" si="52"/>
        <v>207</v>
      </c>
      <c r="Q220" s="13">
        <f t="shared" si="52"/>
        <v>215</v>
      </c>
      <c r="R220" s="13">
        <f t="shared" si="52"/>
        <v>218</v>
      </c>
      <c r="S220" s="13">
        <f t="shared" si="51"/>
        <v>3167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63:D63"/>
    <mergeCell ref="A64:E64"/>
    <mergeCell ref="C65:D65"/>
    <mergeCell ref="B73:D73"/>
    <mergeCell ref="A74:E74"/>
    <mergeCell ref="C75:D75"/>
    <mergeCell ref="B83:D83"/>
    <mergeCell ref="A84:E84"/>
    <mergeCell ref="C85:D85"/>
    <mergeCell ref="B93:D93"/>
    <mergeCell ref="A94:E94"/>
    <mergeCell ref="C95:D95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A187:E187"/>
    <mergeCell ref="C188:D188"/>
    <mergeCell ref="B217:D217"/>
    <mergeCell ref="C218:D218"/>
    <mergeCell ref="C219:D219"/>
    <mergeCell ref="C220:D220"/>
    <mergeCell ref="B196:D196"/>
    <mergeCell ref="A197:E197"/>
    <mergeCell ref="C198:D198"/>
    <mergeCell ref="B206:D206"/>
    <mergeCell ref="A207:E207"/>
    <mergeCell ref="C208:D208"/>
    <mergeCell ref="B215:D215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3:D53"/>
    <mergeCell ref="A54:E54"/>
    <mergeCell ref="C55:D55"/>
    <mergeCell ref="C46:D46"/>
    <mergeCell ref="C47:D47"/>
    <mergeCell ref="C48:D48"/>
    <mergeCell ref="C49:D49"/>
    <mergeCell ref="C50:D50"/>
    <mergeCell ref="C51:D51"/>
    <mergeCell ref="C52:D52"/>
  </mergeCells>
  <conditionalFormatting sqref="E14:R15">
    <cfRule type="containsBlanks" dxfId="0" priority="1">
      <formula>LEN(TRIM(E14))=0</formula>
    </cfRule>
  </conditionalFormatting>
  <conditionalFormatting sqref="E19:R20">
    <cfRule type="containsBlanks" dxfId="0" priority="2">
      <formula>LEN(TRIM(E19))=0</formula>
    </cfRule>
  </conditionalFormatting>
  <conditionalFormatting sqref="E22:R23 E25:R26 E33:R33 E35:R35 E39:R40">
    <cfRule type="containsBlanks" dxfId="0" priority="3">
      <formula>LEN(TRIM(E22))=0</formula>
    </cfRule>
  </conditionalFormatting>
  <conditionalFormatting sqref="E30:R30">
    <cfRule type="expression" dxfId="1" priority="4">
      <formula>E30&lt;&gt;E47</formula>
    </cfRule>
  </conditionalFormatting>
  <conditionalFormatting sqref="E30:R30">
    <cfRule type="expression" dxfId="1" priority="5">
      <formula>E30&lt;&gt;E34</formula>
    </cfRule>
  </conditionalFormatting>
  <conditionalFormatting sqref="E45:R52">
    <cfRule type="containsBlanks" dxfId="0" priority="6">
      <formula>LEN(TRIM(E45))=0</formula>
    </cfRule>
  </conditionalFormatting>
  <conditionalFormatting sqref="E55:R62">
    <cfRule type="containsBlanks" dxfId="0" priority="7">
      <formula>LEN(TRIM(E55))=0</formula>
    </cfRule>
  </conditionalFormatting>
  <conditionalFormatting sqref="E65:R72">
    <cfRule type="containsBlanks" dxfId="0" priority="8">
      <formula>LEN(TRIM(E65))=0</formula>
    </cfRule>
  </conditionalFormatting>
  <conditionalFormatting sqref="E75:R82">
    <cfRule type="containsBlanks" dxfId="0" priority="9">
      <formula>LEN(TRIM(E75))=0</formula>
    </cfRule>
  </conditionalFormatting>
  <conditionalFormatting sqref="E85:R92">
    <cfRule type="containsBlanks" dxfId="0" priority="10">
      <formula>LEN(TRIM(E85))=0</formula>
    </cfRule>
  </conditionalFormatting>
  <conditionalFormatting sqref="E95:R102">
    <cfRule type="containsBlanks" dxfId="0" priority="11">
      <formula>LEN(TRIM(E95))=0</formula>
    </cfRule>
  </conditionalFormatting>
  <conditionalFormatting sqref="E105:R108">
    <cfRule type="containsBlanks" dxfId="0" priority="12">
      <formula>LEN(TRIM(E105))=0</formula>
    </cfRule>
  </conditionalFormatting>
  <conditionalFormatting sqref="E111:R118">
    <cfRule type="containsBlanks" dxfId="0" priority="13">
      <formula>LEN(TRIM(E111))=0</formula>
    </cfRule>
  </conditionalFormatting>
  <conditionalFormatting sqref="E121:R128">
    <cfRule type="containsBlanks" dxfId="0" priority="14">
      <formula>LEN(TRIM(E121))=0</formula>
    </cfRule>
  </conditionalFormatting>
  <conditionalFormatting sqref="E131:R135">
    <cfRule type="containsBlanks" dxfId="0" priority="15">
      <formula>LEN(TRIM(E131))=0</formula>
    </cfRule>
  </conditionalFormatting>
  <conditionalFormatting sqref="E138:R145">
    <cfRule type="containsBlanks" dxfId="0" priority="16">
      <formula>LEN(TRIM(E138))=0</formula>
    </cfRule>
  </conditionalFormatting>
  <conditionalFormatting sqref="E148:R155">
    <cfRule type="containsBlanks" dxfId="0" priority="17">
      <formula>LEN(TRIM(E148))=0</formula>
    </cfRule>
  </conditionalFormatting>
  <conditionalFormatting sqref="E158:R165">
    <cfRule type="containsBlanks" dxfId="0" priority="18">
      <formula>LEN(TRIM(E158))=0</formula>
    </cfRule>
  </conditionalFormatting>
  <conditionalFormatting sqref="E168:R175">
    <cfRule type="containsBlanks" dxfId="0" priority="19">
      <formula>LEN(TRIM(E168))=0</formula>
    </cfRule>
  </conditionalFormatting>
  <conditionalFormatting sqref="E178:R185">
    <cfRule type="containsBlanks" dxfId="0" priority="20">
      <formula>LEN(TRIM(E178))=0</formula>
    </cfRule>
  </conditionalFormatting>
  <conditionalFormatting sqref="E188:R195">
    <cfRule type="containsBlanks" dxfId="0" priority="21">
      <formula>LEN(TRIM(E188))=0</formula>
    </cfRule>
  </conditionalFormatting>
  <conditionalFormatting sqref="E198:R205">
    <cfRule type="containsBlanks" dxfId="0" priority="22">
      <formula>LEN(TRIM(E198))=0</formula>
    </cfRule>
  </conditionalFormatting>
  <conditionalFormatting sqref="E208:R214">
    <cfRule type="containsBlanks" dxfId="0" priority="23">
      <formula>LEN(TRIM(E208))=0</formula>
    </cfRule>
  </conditionalFormatting>
  <conditionalFormatting sqref="E218:R219">
    <cfRule type="containsBlanks" dxfId="0" priority="24">
      <formula>LEN(TRIM(E218))=0</formula>
    </cfRule>
  </conditionalFormatting>
  <conditionalFormatting sqref="E34:R34">
    <cfRule type="expression" dxfId="2" priority="25">
      <formula>E30&lt;&gt;E34</formula>
    </cfRule>
  </conditionalFormatting>
  <conditionalFormatting sqref="E34:R34">
    <cfRule type="expression" dxfId="3" priority="26">
      <formula>E30=E34</formula>
    </cfRule>
  </conditionalFormatting>
  <conditionalFormatting sqref="E34:R34">
    <cfRule type="expression" dxfId="1" priority="27">
      <formula>E34&lt;&gt;E30</formula>
    </cfRule>
  </conditionalFormatting>
  <conditionalFormatting sqref="E34:R34">
    <cfRule type="expression" dxfId="1" priority="28">
      <formula>E34&lt;&gt;E62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2"/>
      <c r="S11" s="1"/>
      <c r="T11" s="1"/>
      <c r="U11" s="1"/>
      <c r="V11" s="1"/>
      <c r="W11" s="1"/>
      <c r="X11" s="1"/>
      <c r="Y11" s="1"/>
      <c r="Z11" s="1"/>
      <c r="AA11" s="2"/>
      <c r="AB11" s="1"/>
      <c r="AC11" s="1"/>
      <c r="AD11" s="1"/>
      <c r="AE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13" t="s">
        <v>227</v>
      </c>
      <c r="AE13" s="13" t="s">
        <v>228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140.0</v>
      </c>
      <c r="G14" s="19">
        <v>141.0</v>
      </c>
      <c r="H14" s="19">
        <v>135.0</v>
      </c>
      <c r="I14" s="19">
        <v>144.0</v>
      </c>
      <c r="J14" s="19">
        <v>125.0</v>
      </c>
      <c r="K14" s="19">
        <v>150.0</v>
      </c>
      <c r="L14" s="19">
        <v>148.0</v>
      </c>
      <c r="M14" s="19">
        <v>126.0</v>
      </c>
      <c r="N14" s="19">
        <v>142.0</v>
      </c>
      <c r="O14" s="19">
        <v>146.0</v>
      </c>
      <c r="P14" s="19">
        <v>147.0</v>
      </c>
      <c r="Q14" s="19">
        <v>136.0</v>
      </c>
      <c r="R14" s="19">
        <v>129.0</v>
      </c>
      <c r="S14" s="19">
        <v>146.0</v>
      </c>
      <c r="T14" s="19">
        <v>150.0</v>
      </c>
      <c r="U14" s="19">
        <v>144.0</v>
      </c>
      <c r="V14" s="19">
        <v>139.0</v>
      </c>
      <c r="W14" s="19">
        <v>151.0</v>
      </c>
      <c r="X14" s="19">
        <v>140.0</v>
      </c>
      <c r="Y14" s="19">
        <v>125.0</v>
      </c>
      <c r="Z14" s="19">
        <v>115.0</v>
      </c>
      <c r="AA14" s="19">
        <v>121.0</v>
      </c>
      <c r="AB14" s="19">
        <v>118.0</v>
      </c>
      <c r="AC14" s="19">
        <v>120.0</v>
      </c>
      <c r="AD14" s="19">
        <v>116.0</v>
      </c>
      <c r="AE14" s="19">
        <v>117.0</v>
      </c>
      <c r="AF14" s="13">
        <f t="shared" ref="AF14:AF16" si="1">SUM(E14:AE14)</f>
        <v>3646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150.0</v>
      </c>
      <c r="G15" s="19">
        <v>148.0</v>
      </c>
      <c r="H15" s="19">
        <v>141.0</v>
      </c>
      <c r="I15" s="19">
        <v>124.0</v>
      </c>
      <c r="J15" s="19">
        <v>139.0</v>
      </c>
      <c r="K15" s="19">
        <v>138.0</v>
      </c>
      <c r="L15" s="19">
        <v>144.0</v>
      </c>
      <c r="M15" s="19">
        <v>152.0</v>
      </c>
      <c r="N15" s="19">
        <v>144.0</v>
      </c>
      <c r="O15" s="19">
        <v>137.0</v>
      </c>
      <c r="P15" s="19">
        <v>127.0</v>
      </c>
      <c r="Q15" s="19">
        <v>147.0</v>
      </c>
      <c r="R15" s="19">
        <v>124.0</v>
      </c>
      <c r="S15" s="19">
        <v>133.0</v>
      </c>
      <c r="T15" s="19">
        <v>141.0</v>
      </c>
      <c r="U15" s="19">
        <v>138.0</v>
      </c>
      <c r="V15" s="19">
        <v>147.0</v>
      </c>
      <c r="W15" s="19">
        <v>135.0</v>
      </c>
      <c r="X15" s="19">
        <v>136.0</v>
      </c>
      <c r="Y15" s="19">
        <v>132.0</v>
      </c>
      <c r="Z15" s="19">
        <v>116.0</v>
      </c>
      <c r="AA15" s="19">
        <v>117.0</v>
      </c>
      <c r="AB15" s="19">
        <v>118.0</v>
      </c>
      <c r="AC15" s="19">
        <v>125.0</v>
      </c>
      <c r="AD15" s="19">
        <v>118.0</v>
      </c>
      <c r="AE15" s="19">
        <v>122.0</v>
      </c>
      <c r="AF15" s="13">
        <f t="shared" si="1"/>
        <v>3626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268</v>
      </c>
      <c r="F16" s="13">
        <f t="shared" si="2"/>
        <v>290</v>
      </c>
      <c r="G16" s="13">
        <f t="shared" si="2"/>
        <v>289</v>
      </c>
      <c r="H16" s="13">
        <f t="shared" si="2"/>
        <v>276</v>
      </c>
      <c r="I16" s="13">
        <f t="shared" si="2"/>
        <v>268</v>
      </c>
      <c r="J16" s="13">
        <f t="shared" si="2"/>
        <v>264</v>
      </c>
      <c r="K16" s="13">
        <f t="shared" si="2"/>
        <v>288</v>
      </c>
      <c r="L16" s="13">
        <f t="shared" si="2"/>
        <v>292</v>
      </c>
      <c r="M16" s="13">
        <f t="shared" si="2"/>
        <v>278</v>
      </c>
      <c r="N16" s="13">
        <f t="shared" si="2"/>
        <v>286</v>
      </c>
      <c r="O16" s="13">
        <f t="shared" si="2"/>
        <v>283</v>
      </c>
      <c r="P16" s="13">
        <f t="shared" si="2"/>
        <v>274</v>
      </c>
      <c r="Q16" s="13">
        <f t="shared" si="2"/>
        <v>283</v>
      </c>
      <c r="R16" s="13">
        <f t="shared" si="2"/>
        <v>253</v>
      </c>
      <c r="S16" s="13">
        <f t="shared" si="2"/>
        <v>279</v>
      </c>
      <c r="T16" s="13">
        <f t="shared" si="2"/>
        <v>291</v>
      </c>
      <c r="U16" s="13">
        <f t="shared" si="2"/>
        <v>282</v>
      </c>
      <c r="V16" s="13">
        <f t="shared" si="2"/>
        <v>286</v>
      </c>
      <c r="W16" s="13">
        <f t="shared" si="2"/>
        <v>286</v>
      </c>
      <c r="X16" s="13">
        <f t="shared" si="2"/>
        <v>276</v>
      </c>
      <c r="Y16" s="13">
        <f t="shared" si="2"/>
        <v>257</v>
      </c>
      <c r="Z16" s="13">
        <f t="shared" si="2"/>
        <v>231</v>
      </c>
      <c r="AA16" s="13">
        <f t="shared" si="2"/>
        <v>238</v>
      </c>
      <c r="AB16" s="13">
        <f t="shared" si="2"/>
        <v>236</v>
      </c>
      <c r="AC16" s="13">
        <f t="shared" si="2"/>
        <v>245</v>
      </c>
      <c r="AD16" s="13">
        <f t="shared" si="2"/>
        <v>234</v>
      </c>
      <c r="AE16" s="13">
        <f t="shared" si="2"/>
        <v>239</v>
      </c>
      <c r="AF16" s="13">
        <f t="shared" si="1"/>
        <v>7272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9"/>
      <c r="O17" s="19"/>
      <c r="P17" s="19"/>
      <c r="Q17" s="19"/>
      <c r="R17" s="69"/>
      <c r="S17" s="19"/>
      <c r="T17" s="19"/>
      <c r="U17" s="19"/>
      <c r="V17" s="19"/>
      <c r="W17" s="19"/>
      <c r="X17" s="19"/>
      <c r="Y17" s="19"/>
      <c r="Z17" s="19"/>
      <c r="AA17" s="69"/>
      <c r="AB17" s="19"/>
      <c r="AC17" s="19"/>
      <c r="AD17" s="19"/>
      <c r="AE17" s="69"/>
      <c r="AF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9"/>
      <c r="O18" s="19"/>
      <c r="P18" s="19"/>
      <c r="Q18" s="19"/>
      <c r="R18" s="69"/>
      <c r="S18" s="19"/>
      <c r="T18" s="19"/>
      <c r="U18" s="19"/>
      <c r="V18" s="19"/>
      <c r="W18" s="19"/>
      <c r="X18" s="19"/>
      <c r="Y18" s="19"/>
      <c r="Z18" s="19"/>
      <c r="AA18" s="69"/>
      <c r="AB18" s="19"/>
      <c r="AC18" s="19"/>
      <c r="AD18" s="19"/>
      <c r="AE18" s="69"/>
      <c r="AF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104.0</v>
      </c>
      <c r="G19" s="19">
        <v>113.0</v>
      </c>
      <c r="H19" s="19">
        <v>99.0</v>
      </c>
      <c r="I19" s="19">
        <v>108.0</v>
      </c>
      <c r="J19" s="19">
        <v>87.0</v>
      </c>
      <c r="K19" s="19">
        <v>108.0</v>
      </c>
      <c r="L19" s="19">
        <v>106.0</v>
      </c>
      <c r="M19" s="19">
        <v>100.0</v>
      </c>
      <c r="N19" s="19">
        <v>111.0</v>
      </c>
      <c r="O19" s="19">
        <v>104.0</v>
      </c>
      <c r="P19" s="19">
        <v>117.0</v>
      </c>
      <c r="Q19" s="19">
        <v>105.0</v>
      </c>
      <c r="R19" s="19">
        <v>82.0</v>
      </c>
      <c r="S19" s="19">
        <v>120.0</v>
      </c>
      <c r="T19" s="19">
        <v>115.0</v>
      </c>
      <c r="U19" s="19">
        <v>104.0</v>
      </c>
      <c r="V19" s="19">
        <v>107.0</v>
      </c>
      <c r="W19" s="19">
        <v>112.0</v>
      </c>
      <c r="X19" s="19">
        <v>115.0</v>
      </c>
      <c r="Y19" s="19">
        <v>90.0</v>
      </c>
      <c r="Z19" s="19">
        <v>95.0</v>
      </c>
      <c r="AA19" s="19">
        <v>96.0</v>
      </c>
      <c r="AB19" s="19">
        <v>93.0</v>
      </c>
      <c r="AC19" s="19">
        <v>97.0</v>
      </c>
      <c r="AD19" s="19">
        <v>93.0</v>
      </c>
      <c r="AE19" s="19">
        <v>93.0</v>
      </c>
      <c r="AF19" s="13">
        <f t="shared" ref="AF19:AF30" si="3">SUM(E19:AE19)</f>
        <v>2782</v>
      </c>
    </row>
    <row r="20" ht="12.75" customHeight="1">
      <c r="A20" s="33"/>
      <c r="B20" s="27"/>
      <c r="C20" s="34"/>
      <c r="D20" s="19" t="s">
        <v>13</v>
      </c>
      <c r="E20" s="19">
        <v>111.0</v>
      </c>
      <c r="F20" s="19">
        <v>108.0</v>
      </c>
      <c r="G20" s="19">
        <v>111.0</v>
      </c>
      <c r="H20" s="19">
        <v>111.0</v>
      </c>
      <c r="I20" s="19">
        <v>98.0</v>
      </c>
      <c r="J20" s="19">
        <v>100.0</v>
      </c>
      <c r="K20" s="19">
        <v>103.0</v>
      </c>
      <c r="L20" s="19">
        <v>110.0</v>
      </c>
      <c r="M20" s="19">
        <v>119.0</v>
      </c>
      <c r="N20" s="19">
        <v>114.0</v>
      </c>
      <c r="O20" s="19">
        <v>108.0</v>
      </c>
      <c r="P20" s="19">
        <v>102.0</v>
      </c>
      <c r="Q20" s="19">
        <v>108.0</v>
      </c>
      <c r="R20" s="19">
        <v>98.0</v>
      </c>
      <c r="S20" s="19">
        <v>113.0</v>
      </c>
      <c r="T20" s="19">
        <v>113.0</v>
      </c>
      <c r="U20" s="19">
        <v>108.0</v>
      </c>
      <c r="V20" s="19">
        <v>108.0</v>
      </c>
      <c r="W20" s="19">
        <v>98.0</v>
      </c>
      <c r="X20" s="19">
        <v>114.0</v>
      </c>
      <c r="Y20" s="19">
        <v>104.0</v>
      </c>
      <c r="Z20" s="19">
        <v>97.0</v>
      </c>
      <c r="AA20" s="19">
        <v>95.0</v>
      </c>
      <c r="AB20" s="19">
        <v>95.0</v>
      </c>
      <c r="AC20" s="19">
        <v>96.0</v>
      </c>
      <c r="AD20" s="19">
        <v>92.0</v>
      </c>
      <c r="AE20" s="19">
        <v>97.0</v>
      </c>
      <c r="AF20" s="13">
        <f t="shared" si="3"/>
        <v>2831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219</v>
      </c>
      <c r="F21" s="13">
        <f t="shared" si="4"/>
        <v>212</v>
      </c>
      <c r="G21" s="13">
        <f t="shared" si="4"/>
        <v>224</v>
      </c>
      <c r="H21" s="13">
        <f t="shared" si="4"/>
        <v>210</v>
      </c>
      <c r="I21" s="13">
        <f t="shared" si="4"/>
        <v>206</v>
      </c>
      <c r="J21" s="13">
        <f t="shared" si="4"/>
        <v>187</v>
      </c>
      <c r="K21" s="13">
        <f t="shared" si="4"/>
        <v>211</v>
      </c>
      <c r="L21" s="13">
        <f t="shared" si="4"/>
        <v>216</v>
      </c>
      <c r="M21" s="13">
        <f t="shared" si="4"/>
        <v>219</v>
      </c>
      <c r="N21" s="13">
        <f t="shared" si="4"/>
        <v>225</v>
      </c>
      <c r="O21" s="13">
        <f t="shared" si="4"/>
        <v>212</v>
      </c>
      <c r="P21" s="13">
        <f t="shared" si="4"/>
        <v>219</v>
      </c>
      <c r="Q21" s="13">
        <f t="shared" si="4"/>
        <v>213</v>
      </c>
      <c r="R21" s="13">
        <f t="shared" si="4"/>
        <v>180</v>
      </c>
      <c r="S21" s="13">
        <f t="shared" si="4"/>
        <v>233</v>
      </c>
      <c r="T21" s="13">
        <f t="shared" si="4"/>
        <v>228</v>
      </c>
      <c r="U21" s="13">
        <f t="shared" si="4"/>
        <v>212</v>
      </c>
      <c r="V21" s="13">
        <f t="shared" si="4"/>
        <v>215</v>
      </c>
      <c r="W21" s="13">
        <f t="shared" si="4"/>
        <v>210</v>
      </c>
      <c r="X21" s="13">
        <f t="shared" si="4"/>
        <v>229</v>
      </c>
      <c r="Y21" s="13">
        <f t="shared" si="4"/>
        <v>194</v>
      </c>
      <c r="Z21" s="13">
        <f t="shared" si="4"/>
        <v>192</v>
      </c>
      <c r="AA21" s="13">
        <f t="shared" si="4"/>
        <v>191</v>
      </c>
      <c r="AB21" s="13">
        <f t="shared" si="4"/>
        <v>188</v>
      </c>
      <c r="AC21" s="13">
        <f t="shared" si="4"/>
        <v>193</v>
      </c>
      <c r="AD21" s="13">
        <f t="shared" si="4"/>
        <v>185</v>
      </c>
      <c r="AE21" s="13">
        <f t="shared" si="4"/>
        <v>190</v>
      </c>
      <c r="AF21" s="13">
        <f t="shared" si="3"/>
        <v>5613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4.0</v>
      </c>
      <c r="I25" s="19">
        <v>1.0</v>
      </c>
      <c r="J25" s="19">
        <v>0.0</v>
      </c>
      <c r="K25" s="19">
        <v>0.0</v>
      </c>
      <c r="L25" s="19">
        <v>0.0</v>
      </c>
      <c r="M25" s="19">
        <v>1.0</v>
      </c>
      <c r="N25" s="19">
        <v>0.0</v>
      </c>
      <c r="O25" s="19">
        <v>1.0</v>
      </c>
      <c r="P25" s="19">
        <v>0.0</v>
      </c>
      <c r="Q25" s="19">
        <v>2.0</v>
      </c>
      <c r="R25" s="19">
        <v>0.0</v>
      </c>
      <c r="S25" s="19">
        <v>1.0</v>
      </c>
      <c r="T25" s="19">
        <v>1.0</v>
      </c>
      <c r="U25" s="19">
        <v>0.0</v>
      </c>
      <c r="V25" s="19">
        <v>0.0</v>
      </c>
      <c r="W25" s="19">
        <v>4.0</v>
      </c>
      <c r="X25" s="19">
        <v>0.0</v>
      </c>
      <c r="Y25" s="19">
        <v>0.0</v>
      </c>
      <c r="Z25" s="19">
        <v>0.0</v>
      </c>
      <c r="AA25" s="19">
        <v>1.0</v>
      </c>
      <c r="AB25" s="19">
        <v>2.0</v>
      </c>
      <c r="AC25" s="19">
        <v>2.0</v>
      </c>
      <c r="AD25" s="19">
        <v>1.0</v>
      </c>
      <c r="AE25" s="19">
        <v>0.0</v>
      </c>
      <c r="AF25" s="13">
        <f t="shared" si="3"/>
        <v>22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0.0</v>
      </c>
      <c r="H26" s="19">
        <v>6.0</v>
      </c>
      <c r="I26" s="19">
        <v>6.0</v>
      </c>
      <c r="J26" s="19">
        <v>0.0</v>
      </c>
      <c r="K26" s="19">
        <v>0.0</v>
      </c>
      <c r="L26" s="19">
        <v>1.0</v>
      </c>
      <c r="M26" s="19">
        <v>0.0</v>
      </c>
      <c r="N26" s="19">
        <v>0.0</v>
      </c>
      <c r="O26" s="19">
        <v>1.0</v>
      </c>
      <c r="P26" s="19">
        <v>0.0</v>
      </c>
      <c r="Q26" s="19">
        <v>3.0</v>
      </c>
      <c r="R26" s="19">
        <v>1.0</v>
      </c>
      <c r="S26" s="19">
        <v>3.0</v>
      </c>
      <c r="T26" s="19">
        <v>2.0</v>
      </c>
      <c r="U26" s="19">
        <v>0.0</v>
      </c>
      <c r="V26" s="19">
        <v>0.0</v>
      </c>
      <c r="W26" s="19">
        <v>2.0</v>
      </c>
      <c r="X26" s="19">
        <v>2.0</v>
      </c>
      <c r="Y26" s="19">
        <v>0.0</v>
      </c>
      <c r="Z26" s="19">
        <v>0.0</v>
      </c>
      <c r="AA26" s="19">
        <v>1.0</v>
      </c>
      <c r="AB26" s="19">
        <v>2.0</v>
      </c>
      <c r="AC26" s="19">
        <v>1.0</v>
      </c>
      <c r="AD26" s="19">
        <v>0.0</v>
      </c>
      <c r="AE26" s="19">
        <v>1.0</v>
      </c>
      <c r="AF26" s="13">
        <f t="shared" si="3"/>
        <v>33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2</v>
      </c>
      <c r="G27" s="13">
        <f t="shared" si="6"/>
        <v>0</v>
      </c>
      <c r="H27" s="13">
        <f t="shared" si="6"/>
        <v>10</v>
      </c>
      <c r="I27" s="13">
        <f t="shared" si="6"/>
        <v>7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1</v>
      </c>
      <c r="N27" s="13">
        <f t="shared" si="6"/>
        <v>0</v>
      </c>
      <c r="O27" s="13">
        <f t="shared" si="6"/>
        <v>2</v>
      </c>
      <c r="P27" s="13">
        <f t="shared" si="6"/>
        <v>0</v>
      </c>
      <c r="Q27" s="13">
        <f t="shared" si="6"/>
        <v>5</v>
      </c>
      <c r="R27" s="13">
        <f t="shared" si="6"/>
        <v>1</v>
      </c>
      <c r="S27" s="13">
        <f t="shared" si="6"/>
        <v>4</v>
      </c>
      <c r="T27" s="13">
        <f t="shared" si="6"/>
        <v>3</v>
      </c>
      <c r="U27" s="13">
        <f t="shared" si="6"/>
        <v>0</v>
      </c>
      <c r="V27" s="13">
        <f t="shared" si="6"/>
        <v>0</v>
      </c>
      <c r="W27" s="13">
        <f t="shared" si="6"/>
        <v>6</v>
      </c>
      <c r="X27" s="13">
        <f t="shared" si="6"/>
        <v>2</v>
      </c>
      <c r="Y27" s="13">
        <f t="shared" si="6"/>
        <v>0</v>
      </c>
      <c r="Z27" s="13">
        <f t="shared" si="6"/>
        <v>0</v>
      </c>
      <c r="AA27" s="13">
        <f t="shared" si="6"/>
        <v>2</v>
      </c>
      <c r="AB27" s="13">
        <f t="shared" si="6"/>
        <v>4</v>
      </c>
      <c r="AC27" s="13">
        <f t="shared" si="6"/>
        <v>3</v>
      </c>
      <c r="AD27" s="13">
        <f t="shared" si="6"/>
        <v>1</v>
      </c>
      <c r="AE27" s="13">
        <f t="shared" si="6"/>
        <v>1</v>
      </c>
      <c r="AF27" s="13">
        <f t="shared" si="3"/>
        <v>55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108</v>
      </c>
      <c r="F28" s="13">
        <f t="shared" si="7"/>
        <v>105</v>
      </c>
      <c r="G28" s="13">
        <f t="shared" si="7"/>
        <v>113</v>
      </c>
      <c r="H28" s="13">
        <f t="shared" si="7"/>
        <v>103</v>
      </c>
      <c r="I28" s="13">
        <f t="shared" si="7"/>
        <v>109</v>
      </c>
      <c r="J28" s="13">
        <f t="shared" si="7"/>
        <v>87</v>
      </c>
      <c r="K28" s="13">
        <f t="shared" si="7"/>
        <v>108</v>
      </c>
      <c r="L28" s="13">
        <f t="shared" si="7"/>
        <v>106</v>
      </c>
      <c r="M28" s="13">
        <f t="shared" si="7"/>
        <v>101</v>
      </c>
      <c r="N28" s="13">
        <f t="shared" si="7"/>
        <v>111</v>
      </c>
      <c r="O28" s="13">
        <f t="shared" si="7"/>
        <v>105</v>
      </c>
      <c r="P28" s="13">
        <f t="shared" si="7"/>
        <v>117</v>
      </c>
      <c r="Q28" s="13">
        <f t="shared" si="7"/>
        <v>107</v>
      </c>
      <c r="R28" s="13">
        <f t="shared" si="7"/>
        <v>83</v>
      </c>
      <c r="S28" s="13">
        <f t="shared" si="7"/>
        <v>121</v>
      </c>
      <c r="T28" s="13">
        <f t="shared" si="7"/>
        <v>116</v>
      </c>
      <c r="U28" s="13">
        <f t="shared" si="7"/>
        <v>104</v>
      </c>
      <c r="V28" s="13">
        <f t="shared" si="7"/>
        <v>107</v>
      </c>
      <c r="W28" s="13">
        <f t="shared" si="7"/>
        <v>116</v>
      </c>
      <c r="X28" s="13">
        <f t="shared" si="7"/>
        <v>115</v>
      </c>
      <c r="Y28" s="13">
        <f t="shared" si="7"/>
        <v>90</v>
      </c>
      <c r="Z28" s="13">
        <f t="shared" si="7"/>
        <v>95</v>
      </c>
      <c r="AA28" s="13">
        <f t="shared" si="7"/>
        <v>97</v>
      </c>
      <c r="AB28" s="13">
        <f t="shared" si="7"/>
        <v>95</v>
      </c>
      <c r="AC28" s="13">
        <f t="shared" si="7"/>
        <v>99</v>
      </c>
      <c r="AD28" s="13">
        <f t="shared" si="7"/>
        <v>94</v>
      </c>
      <c r="AE28" s="13">
        <f t="shared" si="7"/>
        <v>93</v>
      </c>
      <c r="AF28" s="13">
        <f t="shared" si="3"/>
        <v>2805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111</v>
      </c>
      <c r="F29" s="13">
        <f t="shared" si="8"/>
        <v>109</v>
      </c>
      <c r="G29" s="13">
        <f t="shared" si="8"/>
        <v>111</v>
      </c>
      <c r="H29" s="13">
        <f t="shared" si="8"/>
        <v>117</v>
      </c>
      <c r="I29" s="13">
        <f t="shared" si="8"/>
        <v>104</v>
      </c>
      <c r="J29" s="13">
        <f t="shared" si="8"/>
        <v>100</v>
      </c>
      <c r="K29" s="13">
        <f t="shared" si="8"/>
        <v>104</v>
      </c>
      <c r="L29" s="13">
        <f t="shared" si="8"/>
        <v>111</v>
      </c>
      <c r="M29" s="13">
        <f t="shared" si="8"/>
        <v>119</v>
      </c>
      <c r="N29" s="13">
        <f t="shared" si="8"/>
        <v>114</v>
      </c>
      <c r="O29" s="13">
        <f t="shared" si="8"/>
        <v>109</v>
      </c>
      <c r="P29" s="13">
        <f t="shared" si="8"/>
        <v>102</v>
      </c>
      <c r="Q29" s="13">
        <f t="shared" si="8"/>
        <v>111</v>
      </c>
      <c r="R29" s="13">
        <f t="shared" si="8"/>
        <v>99</v>
      </c>
      <c r="S29" s="13">
        <f t="shared" si="8"/>
        <v>116</v>
      </c>
      <c r="T29" s="13">
        <f t="shared" si="8"/>
        <v>115</v>
      </c>
      <c r="U29" s="13">
        <f t="shared" si="8"/>
        <v>108</v>
      </c>
      <c r="V29" s="13">
        <f t="shared" si="8"/>
        <v>108</v>
      </c>
      <c r="W29" s="13">
        <f t="shared" si="8"/>
        <v>100</v>
      </c>
      <c r="X29" s="13">
        <f t="shared" si="8"/>
        <v>116</v>
      </c>
      <c r="Y29" s="13">
        <f t="shared" si="8"/>
        <v>104</v>
      </c>
      <c r="Z29" s="13">
        <f t="shared" si="8"/>
        <v>97</v>
      </c>
      <c r="AA29" s="13">
        <f t="shared" si="8"/>
        <v>96</v>
      </c>
      <c r="AB29" s="13">
        <f t="shared" si="8"/>
        <v>97</v>
      </c>
      <c r="AC29" s="13">
        <f t="shared" si="8"/>
        <v>97</v>
      </c>
      <c r="AD29" s="13">
        <f t="shared" si="8"/>
        <v>92</v>
      </c>
      <c r="AE29" s="13">
        <f t="shared" si="8"/>
        <v>98</v>
      </c>
      <c r="AF29" s="13">
        <f t="shared" si="3"/>
        <v>2865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219</v>
      </c>
      <c r="F30" s="13">
        <f t="shared" si="9"/>
        <v>214</v>
      </c>
      <c r="G30" s="13">
        <f t="shared" si="9"/>
        <v>224</v>
      </c>
      <c r="H30" s="13">
        <f t="shared" si="9"/>
        <v>220</v>
      </c>
      <c r="I30" s="13">
        <f t="shared" si="9"/>
        <v>213</v>
      </c>
      <c r="J30" s="13">
        <f t="shared" si="9"/>
        <v>187</v>
      </c>
      <c r="K30" s="13">
        <f t="shared" si="9"/>
        <v>212</v>
      </c>
      <c r="L30" s="13">
        <f t="shared" si="9"/>
        <v>217</v>
      </c>
      <c r="M30" s="13">
        <f t="shared" si="9"/>
        <v>220</v>
      </c>
      <c r="N30" s="13">
        <f t="shared" si="9"/>
        <v>225</v>
      </c>
      <c r="O30" s="13">
        <f t="shared" si="9"/>
        <v>214</v>
      </c>
      <c r="P30" s="13">
        <f t="shared" si="9"/>
        <v>219</v>
      </c>
      <c r="Q30" s="13">
        <f t="shared" si="9"/>
        <v>218</v>
      </c>
      <c r="R30" s="13">
        <f t="shared" si="9"/>
        <v>182</v>
      </c>
      <c r="S30" s="13">
        <f t="shared" si="9"/>
        <v>237</v>
      </c>
      <c r="T30" s="13">
        <f t="shared" si="9"/>
        <v>231</v>
      </c>
      <c r="U30" s="13">
        <f t="shared" si="9"/>
        <v>212</v>
      </c>
      <c r="V30" s="13">
        <f t="shared" si="9"/>
        <v>215</v>
      </c>
      <c r="W30" s="13">
        <f t="shared" si="9"/>
        <v>216</v>
      </c>
      <c r="X30" s="13">
        <f t="shared" si="9"/>
        <v>231</v>
      </c>
      <c r="Y30" s="13">
        <f t="shared" si="9"/>
        <v>194</v>
      </c>
      <c r="Z30" s="13">
        <f t="shared" si="9"/>
        <v>192</v>
      </c>
      <c r="AA30" s="13">
        <f t="shared" si="9"/>
        <v>193</v>
      </c>
      <c r="AB30" s="13">
        <f t="shared" si="9"/>
        <v>192</v>
      </c>
      <c r="AC30" s="13">
        <f t="shared" si="9"/>
        <v>196</v>
      </c>
      <c r="AD30" s="13">
        <f t="shared" si="9"/>
        <v>186</v>
      </c>
      <c r="AE30" s="13">
        <f t="shared" si="9"/>
        <v>191</v>
      </c>
      <c r="AF30" s="13">
        <f t="shared" si="3"/>
        <v>5670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9"/>
      <c r="O31" s="19"/>
      <c r="P31" s="19"/>
      <c r="Q31" s="19"/>
      <c r="R31" s="69"/>
      <c r="S31" s="19"/>
      <c r="T31" s="19"/>
      <c r="U31" s="19"/>
      <c r="V31" s="19"/>
      <c r="W31" s="19"/>
      <c r="X31" s="19"/>
      <c r="Y31" s="19"/>
      <c r="Z31" s="19"/>
      <c r="AA31" s="69"/>
      <c r="AB31" s="19"/>
      <c r="AC31" s="19"/>
      <c r="AD31" s="19"/>
      <c r="AE31" s="69"/>
      <c r="AF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1"/>
      <c r="O32" s="13"/>
      <c r="P32" s="13"/>
      <c r="Q32" s="13"/>
      <c r="R32" s="71"/>
      <c r="S32" s="13"/>
      <c r="T32" s="13"/>
      <c r="U32" s="13"/>
      <c r="V32" s="13"/>
      <c r="W32" s="13"/>
      <c r="X32" s="13"/>
      <c r="Y32" s="13"/>
      <c r="Z32" s="13"/>
      <c r="AA32" s="71"/>
      <c r="AB32" s="13"/>
      <c r="AC32" s="13"/>
      <c r="AD32" s="13"/>
      <c r="AE32" s="71"/>
      <c r="AF32" s="70"/>
    </row>
    <row r="33" ht="12.75" customHeight="1">
      <c r="A33" s="19">
        <v>1.0</v>
      </c>
      <c r="B33" s="20" t="s">
        <v>27</v>
      </c>
      <c r="C33" s="15"/>
      <c r="D33" s="16"/>
      <c r="E33" s="19">
        <v>285.0</v>
      </c>
      <c r="F33" s="19">
        <v>296.0</v>
      </c>
      <c r="G33" s="19">
        <v>285.0</v>
      </c>
      <c r="H33" s="19">
        <v>293.0</v>
      </c>
      <c r="I33" s="19">
        <v>254.0</v>
      </c>
      <c r="J33" s="19">
        <v>270.0</v>
      </c>
      <c r="K33" s="19">
        <v>295.0</v>
      </c>
      <c r="L33" s="19">
        <v>298.0</v>
      </c>
      <c r="M33" s="19">
        <v>274.0</v>
      </c>
      <c r="N33" s="19">
        <v>292.0</v>
      </c>
      <c r="O33" s="19">
        <v>289.0</v>
      </c>
      <c r="P33" s="19">
        <v>280.0</v>
      </c>
      <c r="Q33" s="19">
        <v>291.0</v>
      </c>
      <c r="R33" s="19">
        <v>269.0</v>
      </c>
      <c r="S33" s="19">
        <v>285.0</v>
      </c>
      <c r="T33" s="19">
        <v>288.0</v>
      </c>
      <c r="U33" s="19">
        <v>288.0</v>
      </c>
      <c r="V33" s="19">
        <v>294.0</v>
      </c>
      <c r="W33" s="19">
        <v>293.0</v>
      </c>
      <c r="X33" s="19">
        <v>282.0</v>
      </c>
      <c r="Y33" s="19">
        <v>263.0</v>
      </c>
      <c r="Z33" s="19">
        <v>236.0</v>
      </c>
      <c r="AA33" s="19">
        <v>243.0</v>
      </c>
      <c r="AB33" s="19">
        <v>241.0</v>
      </c>
      <c r="AC33" s="19">
        <v>250.0</v>
      </c>
      <c r="AD33" s="19">
        <v>239.0</v>
      </c>
      <c r="AE33" s="19">
        <v>244.0</v>
      </c>
      <c r="AF33" s="13">
        <f t="shared" ref="AF33:AF36" si="10">SUM(E33:AE33)</f>
        <v>7417</v>
      </c>
    </row>
    <row r="34" ht="12.75" customHeight="1">
      <c r="A34" s="19">
        <v>2.0</v>
      </c>
      <c r="B34" s="20" t="s">
        <v>28</v>
      </c>
      <c r="C34" s="15"/>
      <c r="D34" s="16"/>
      <c r="E34" s="13">
        <v>219.0</v>
      </c>
      <c r="F34" s="13">
        <v>214.0</v>
      </c>
      <c r="G34" s="13">
        <v>224.0</v>
      </c>
      <c r="H34" s="13">
        <v>220.0</v>
      </c>
      <c r="I34" s="13">
        <v>213.0</v>
      </c>
      <c r="J34" s="13">
        <v>187.0</v>
      </c>
      <c r="K34" s="13">
        <v>212.0</v>
      </c>
      <c r="L34" s="13">
        <v>217.0</v>
      </c>
      <c r="M34" s="13">
        <v>220.0</v>
      </c>
      <c r="N34" s="13">
        <v>225.0</v>
      </c>
      <c r="O34" s="13">
        <v>214.0</v>
      </c>
      <c r="P34" s="13">
        <v>219.0</v>
      </c>
      <c r="Q34" s="13">
        <v>218.0</v>
      </c>
      <c r="R34" s="13">
        <v>182.0</v>
      </c>
      <c r="S34" s="13">
        <v>237.0</v>
      </c>
      <c r="T34" s="13">
        <v>231.0</v>
      </c>
      <c r="U34" s="13">
        <v>212.0</v>
      </c>
      <c r="V34" s="13">
        <v>215.0</v>
      </c>
      <c r="W34" s="13">
        <v>216.0</v>
      </c>
      <c r="X34" s="13">
        <v>231.0</v>
      </c>
      <c r="Y34" s="13">
        <v>194.0</v>
      </c>
      <c r="Z34" s="13">
        <v>192.0</v>
      </c>
      <c r="AA34" s="13">
        <v>193.0</v>
      </c>
      <c r="AB34" s="13">
        <v>192.0</v>
      </c>
      <c r="AC34" s="13">
        <v>196.0</v>
      </c>
      <c r="AD34" s="13">
        <v>186.0</v>
      </c>
      <c r="AE34" s="13">
        <v>191.0</v>
      </c>
      <c r="AF34" s="13">
        <f t="shared" si="10"/>
        <v>5670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1.0</v>
      </c>
      <c r="I35" s="19">
        <v>0.0</v>
      </c>
      <c r="J35" s="19">
        <v>2.0</v>
      </c>
      <c r="K35" s="19">
        <v>0.0</v>
      </c>
      <c r="L35" s="19">
        <v>0.0</v>
      </c>
      <c r="M35" s="19">
        <v>2.0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0.0</v>
      </c>
      <c r="V35" s="19">
        <v>0.0</v>
      </c>
      <c r="W35" s="19">
        <v>1.0</v>
      </c>
      <c r="X35" s="19">
        <v>2.0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9">
        <v>0.0</v>
      </c>
      <c r="AE35" s="19">
        <v>1.0</v>
      </c>
      <c r="AF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66</v>
      </c>
      <c r="F36" s="13">
        <f t="shared" si="11"/>
        <v>81</v>
      </c>
      <c r="G36" s="13">
        <f t="shared" si="11"/>
        <v>61</v>
      </c>
      <c r="H36" s="13">
        <f t="shared" si="11"/>
        <v>72</v>
      </c>
      <c r="I36" s="13">
        <f t="shared" si="11"/>
        <v>41</v>
      </c>
      <c r="J36" s="13">
        <f t="shared" si="11"/>
        <v>81</v>
      </c>
      <c r="K36" s="13">
        <f t="shared" si="11"/>
        <v>83</v>
      </c>
      <c r="L36" s="13">
        <f t="shared" si="11"/>
        <v>81</v>
      </c>
      <c r="M36" s="13">
        <f t="shared" si="11"/>
        <v>52</v>
      </c>
      <c r="N36" s="13">
        <f t="shared" si="11"/>
        <v>67</v>
      </c>
      <c r="O36" s="13">
        <f t="shared" si="11"/>
        <v>75</v>
      </c>
      <c r="P36" s="13">
        <f t="shared" si="11"/>
        <v>61</v>
      </c>
      <c r="Q36" s="13">
        <f t="shared" si="11"/>
        <v>73</v>
      </c>
      <c r="R36" s="13">
        <f t="shared" si="11"/>
        <v>87</v>
      </c>
      <c r="S36" s="13">
        <f t="shared" si="11"/>
        <v>47</v>
      </c>
      <c r="T36" s="13">
        <f t="shared" si="11"/>
        <v>57</v>
      </c>
      <c r="U36" s="13">
        <f t="shared" si="11"/>
        <v>76</v>
      </c>
      <c r="V36" s="13">
        <f t="shared" si="11"/>
        <v>79</v>
      </c>
      <c r="W36" s="13">
        <f t="shared" si="11"/>
        <v>76</v>
      </c>
      <c r="X36" s="13">
        <f t="shared" si="11"/>
        <v>49</v>
      </c>
      <c r="Y36" s="13">
        <f t="shared" si="11"/>
        <v>69</v>
      </c>
      <c r="Z36" s="13">
        <f t="shared" si="11"/>
        <v>44</v>
      </c>
      <c r="AA36" s="13">
        <f t="shared" si="11"/>
        <v>50</v>
      </c>
      <c r="AB36" s="13">
        <f t="shared" si="11"/>
        <v>49</v>
      </c>
      <c r="AC36" s="13">
        <f t="shared" si="11"/>
        <v>53</v>
      </c>
      <c r="AD36" s="13">
        <f t="shared" si="11"/>
        <v>53</v>
      </c>
      <c r="AE36" s="13">
        <f t="shared" si="11"/>
        <v>52</v>
      </c>
      <c r="AF36" s="13">
        <f t="shared" si="10"/>
        <v>1735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6"/>
      <c r="W37" s="19"/>
      <c r="X37" s="19"/>
      <c r="Y37" s="19"/>
      <c r="Z37" s="19"/>
      <c r="AA37" s="69"/>
      <c r="AB37" s="19"/>
      <c r="AC37" s="19"/>
      <c r="AD37" s="19"/>
      <c r="AE37" s="69"/>
      <c r="AF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1"/>
      <c r="O38" s="13"/>
      <c r="P38" s="13"/>
      <c r="Q38" s="13"/>
      <c r="R38" s="71"/>
      <c r="S38" s="13"/>
      <c r="T38" s="13"/>
      <c r="U38" s="13"/>
      <c r="V38" s="13"/>
      <c r="W38" s="13"/>
      <c r="X38" s="13"/>
      <c r="Y38" s="13"/>
      <c r="Z38" s="13"/>
      <c r="AA38" s="71"/>
      <c r="AB38" s="13"/>
      <c r="AC38" s="13"/>
      <c r="AD38" s="13"/>
      <c r="AE38" s="71"/>
      <c r="AF38" s="7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6"/>
      <c r="W42" s="19"/>
      <c r="X42" s="19"/>
      <c r="Y42" s="19"/>
      <c r="Z42" s="19"/>
      <c r="AA42" s="69"/>
      <c r="AB42" s="19"/>
      <c r="AC42" s="19"/>
      <c r="AD42" s="19"/>
      <c r="AE42" s="6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1"/>
      <c r="O43" s="13"/>
      <c r="P43" s="13"/>
      <c r="Q43" s="13"/>
      <c r="R43" s="71"/>
      <c r="S43" s="13"/>
      <c r="T43" s="13"/>
      <c r="U43" s="13"/>
      <c r="V43" s="13"/>
      <c r="W43" s="13"/>
      <c r="X43" s="13"/>
      <c r="Y43" s="13"/>
      <c r="Z43" s="13"/>
      <c r="AA43" s="71"/>
      <c r="AB43" s="13"/>
      <c r="AC43" s="13"/>
      <c r="AD43" s="13"/>
      <c r="AE43" s="71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69"/>
      <c r="O44" s="19"/>
      <c r="P44" s="19"/>
      <c r="Q44" s="19"/>
      <c r="R44" s="69"/>
      <c r="S44" s="19"/>
      <c r="T44" s="19"/>
      <c r="U44" s="19"/>
      <c r="V44" s="19"/>
      <c r="W44" s="19"/>
      <c r="X44" s="19"/>
      <c r="Y44" s="19"/>
      <c r="Z44" s="19"/>
      <c r="AA44" s="69"/>
      <c r="AB44" s="19"/>
      <c r="AC44" s="19"/>
      <c r="AD44" s="19"/>
      <c r="AE44" s="6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10.0</v>
      </c>
      <c r="G45" s="19">
        <v>10.0</v>
      </c>
      <c r="H45" s="19">
        <v>5.0</v>
      </c>
      <c r="I45" s="19">
        <v>0.0</v>
      </c>
      <c r="J45" s="19">
        <v>2.0</v>
      </c>
      <c r="K45" s="19">
        <v>5.0</v>
      </c>
      <c r="L45" s="19">
        <v>2.0</v>
      </c>
      <c r="M45" s="19">
        <v>4.0</v>
      </c>
      <c r="N45" s="19">
        <v>16.0</v>
      </c>
      <c r="O45" s="19">
        <v>4.0</v>
      </c>
      <c r="P45" s="19">
        <v>13.0</v>
      </c>
      <c r="Q45" s="19">
        <v>7.0</v>
      </c>
      <c r="R45" s="19">
        <v>13.0</v>
      </c>
      <c r="S45" s="19">
        <v>2.0</v>
      </c>
      <c r="T45" s="19">
        <v>6.0</v>
      </c>
      <c r="U45" s="19">
        <v>4.0</v>
      </c>
      <c r="V45" s="19">
        <v>5.0</v>
      </c>
      <c r="W45" s="19">
        <v>2.0</v>
      </c>
      <c r="X45" s="19">
        <v>6.0</v>
      </c>
      <c r="Y45" s="19">
        <v>4.0</v>
      </c>
      <c r="Z45" s="19">
        <v>5.0</v>
      </c>
      <c r="AA45" s="19">
        <v>4.0</v>
      </c>
      <c r="AB45" s="19">
        <v>1.0</v>
      </c>
      <c r="AC45" s="19">
        <v>6.0</v>
      </c>
      <c r="AD45" s="19">
        <v>1.0</v>
      </c>
      <c r="AE45" s="19">
        <v>4.0</v>
      </c>
      <c r="AF45" s="13">
        <f t="shared" ref="AF45:AF52" si="14">SUM(E45:AE45)</f>
        <v>144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4.0</v>
      </c>
      <c r="F46" s="19">
        <v>11.0</v>
      </c>
      <c r="G46" s="19">
        <v>10.0</v>
      </c>
      <c r="H46" s="19">
        <v>20.0</v>
      </c>
      <c r="I46" s="19">
        <v>10.0</v>
      </c>
      <c r="J46" s="19">
        <v>7.0</v>
      </c>
      <c r="K46" s="19">
        <v>9.0</v>
      </c>
      <c r="L46" s="19">
        <v>3.0</v>
      </c>
      <c r="M46" s="19">
        <v>4.0</v>
      </c>
      <c r="N46" s="19">
        <v>12.0</v>
      </c>
      <c r="O46" s="19">
        <v>5.0</v>
      </c>
      <c r="P46" s="19">
        <v>8.0</v>
      </c>
      <c r="Q46" s="19">
        <v>6.0</v>
      </c>
      <c r="R46" s="19">
        <v>9.0</v>
      </c>
      <c r="S46" s="19">
        <v>12.0</v>
      </c>
      <c r="T46" s="19">
        <v>5.0</v>
      </c>
      <c r="U46" s="19">
        <v>8.0</v>
      </c>
      <c r="V46" s="19">
        <v>16.0</v>
      </c>
      <c r="W46" s="19">
        <v>6.0</v>
      </c>
      <c r="X46" s="19">
        <v>16.0</v>
      </c>
      <c r="Y46" s="19">
        <v>9.0</v>
      </c>
      <c r="Z46" s="19">
        <v>4.0</v>
      </c>
      <c r="AA46" s="19">
        <v>12.0</v>
      </c>
      <c r="AB46" s="19">
        <v>13.0</v>
      </c>
      <c r="AC46" s="19">
        <v>30.0</v>
      </c>
      <c r="AD46" s="19">
        <v>7.0</v>
      </c>
      <c r="AE46" s="19">
        <v>4.0</v>
      </c>
      <c r="AF46" s="13">
        <f t="shared" si="14"/>
        <v>260</v>
      </c>
    </row>
    <row r="47" ht="12.75" customHeight="1">
      <c r="A47" s="18"/>
      <c r="B47" s="55">
        <v>2.0</v>
      </c>
      <c r="C47" s="50" t="s">
        <v>41</v>
      </c>
      <c r="D47" s="16"/>
      <c r="E47" s="19">
        <v>22.0</v>
      </c>
      <c r="F47" s="19">
        <v>7.0</v>
      </c>
      <c r="G47" s="19">
        <v>9.0</v>
      </c>
      <c r="H47" s="19">
        <v>1.0</v>
      </c>
      <c r="I47" s="19">
        <v>5.0</v>
      </c>
      <c r="J47" s="19">
        <v>15.0</v>
      </c>
      <c r="K47" s="19">
        <v>6.0</v>
      </c>
      <c r="L47" s="19">
        <v>0.0</v>
      </c>
      <c r="M47" s="19">
        <v>4.0</v>
      </c>
      <c r="N47" s="19">
        <v>3.0</v>
      </c>
      <c r="O47" s="19">
        <v>2.0</v>
      </c>
      <c r="P47" s="19">
        <v>0.0</v>
      </c>
      <c r="Q47" s="19">
        <v>1.0</v>
      </c>
      <c r="R47" s="19">
        <v>4.0</v>
      </c>
      <c r="S47" s="19">
        <v>5.0</v>
      </c>
      <c r="T47" s="19">
        <v>8.0</v>
      </c>
      <c r="U47" s="19">
        <v>1.0</v>
      </c>
      <c r="V47" s="19">
        <v>5.0</v>
      </c>
      <c r="W47" s="19">
        <v>4.0</v>
      </c>
      <c r="X47" s="19">
        <v>10.0</v>
      </c>
      <c r="Y47" s="19">
        <v>12.0</v>
      </c>
      <c r="Z47" s="19">
        <v>27.0</v>
      </c>
      <c r="AA47" s="19">
        <v>1.0</v>
      </c>
      <c r="AB47" s="19">
        <v>0.0</v>
      </c>
      <c r="AC47" s="19">
        <v>1.0</v>
      </c>
      <c r="AD47" s="19">
        <v>2.0</v>
      </c>
      <c r="AE47" s="19">
        <v>1.0</v>
      </c>
      <c r="AF47" s="13">
        <f t="shared" si="14"/>
        <v>156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1.0</v>
      </c>
      <c r="G48" s="19">
        <v>1.0</v>
      </c>
      <c r="H48" s="19">
        <v>2.0</v>
      </c>
      <c r="I48" s="19">
        <v>1.0</v>
      </c>
      <c r="J48" s="19">
        <v>1.0</v>
      </c>
      <c r="K48" s="19">
        <v>0.0</v>
      </c>
      <c r="L48" s="19">
        <v>0.0</v>
      </c>
      <c r="M48" s="19">
        <v>1.0</v>
      </c>
      <c r="N48" s="19">
        <v>2.0</v>
      </c>
      <c r="O48" s="19">
        <v>1.0</v>
      </c>
      <c r="P48" s="19">
        <v>0.0</v>
      </c>
      <c r="Q48" s="19">
        <v>0.0</v>
      </c>
      <c r="R48" s="19">
        <v>0.0</v>
      </c>
      <c r="S48" s="19">
        <v>0.0</v>
      </c>
      <c r="T48" s="19">
        <v>1.0</v>
      </c>
      <c r="U48" s="19">
        <v>0.0</v>
      </c>
      <c r="V48" s="19">
        <v>1.0</v>
      </c>
      <c r="W48" s="19">
        <v>1.0</v>
      </c>
      <c r="X48" s="19">
        <v>0.0</v>
      </c>
      <c r="Y48" s="19">
        <v>0.0</v>
      </c>
      <c r="Z48" s="19">
        <v>0.0</v>
      </c>
      <c r="AA48" s="19">
        <v>1.0</v>
      </c>
      <c r="AB48" s="19">
        <v>0.0</v>
      </c>
      <c r="AC48" s="19">
        <v>0.0</v>
      </c>
      <c r="AD48" s="19">
        <v>0.0</v>
      </c>
      <c r="AE48" s="19">
        <v>0.0</v>
      </c>
      <c r="AF48" s="13">
        <f t="shared" si="14"/>
        <v>15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1.0</v>
      </c>
      <c r="H49" s="19">
        <v>0.0</v>
      </c>
      <c r="I49" s="19">
        <v>1.0</v>
      </c>
      <c r="J49" s="19">
        <v>1.0</v>
      </c>
      <c r="K49" s="19">
        <v>1.0</v>
      </c>
      <c r="L49" s="19">
        <v>2.0</v>
      </c>
      <c r="M49" s="19">
        <v>0.0</v>
      </c>
      <c r="N49" s="19">
        <v>2.0</v>
      </c>
      <c r="O49" s="19">
        <v>0.0</v>
      </c>
      <c r="P49" s="19">
        <v>0.0</v>
      </c>
      <c r="Q49" s="19">
        <v>1.0</v>
      </c>
      <c r="R49" s="19">
        <v>1.0</v>
      </c>
      <c r="S49" s="19">
        <v>2.0</v>
      </c>
      <c r="T49" s="19">
        <v>0.0</v>
      </c>
      <c r="U49" s="19">
        <v>1.0</v>
      </c>
      <c r="V49" s="19">
        <v>0.0</v>
      </c>
      <c r="W49" s="19">
        <v>1.0</v>
      </c>
      <c r="X49" s="19">
        <v>0.0</v>
      </c>
      <c r="Y49" s="19">
        <v>1.0</v>
      </c>
      <c r="Z49" s="19">
        <v>0.0</v>
      </c>
      <c r="AA49" s="19">
        <v>0.0</v>
      </c>
      <c r="AB49" s="19">
        <v>0.0</v>
      </c>
      <c r="AC49" s="19">
        <v>0.0</v>
      </c>
      <c r="AD49" s="19">
        <v>0.0</v>
      </c>
      <c r="AE49" s="19">
        <v>1.0</v>
      </c>
      <c r="AF49" s="13">
        <f t="shared" si="14"/>
        <v>17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1.0</v>
      </c>
      <c r="H50" s="19">
        <v>0.0</v>
      </c>
      <c r="I50" s="19">
        <v>1.0</v>
      </c>
      <c r="J50" s="19">
        <v>0.0</v>
      </c>
      <c r="K50" s="19">
        <v>0.0</v>
      </c>
      <c r="L50" s="19">
        <v>0.0</v>
      </c>
      <c r="M50" s="19">
        <v>0.0</v>
      </c>
      <c r="N50" s="19">
        <v>1.0</v>
      </c>
      <c r="O50" s="19">
        <v>1.0</v>
      </c>
      <c r="P50" s="19">
        <v>0.0</v>
      </c>
      <c r="Q50" s="19">
        <v>0.0</v>
      </c>
      <c r="R50" s="19">
        <v>2.0</v>
      </c>
      <c r="S50" s="19">
        <v>1.0</v>
      </c>
      <c r="T50" s="19">
        <v>1.0</v>
      </c>
      <c r="U50" s="19">
        <v>0.0</v>
      </c>
      <c r="V50" s="19">
        <v>0.0</v>
      </c>
      <c r="W50" s="19">
        <v>0.0</v>
      </c>
      <c r="X50" s="19">
        <v>0.0</v>
      </c>
      <c r="Y50" s="19">
        <v>1.0</v>
      </c>
      <c r="Z50" s="19">
        <v>0.0</v>
      </c>
      <c r="AA50" s="19">
        <v>0.0</v>
      </c>
      <c r="AB50" s="19">
        <v>1.0</v>
      </c>
      <c r="AC50" s="19">
        <v>0.0</v>
      </c>
      <c r="AD50" s="19">
        <v>0.0</v>
      </c>
      <c r="AE50" s="19">
        <v>0.0</v>
      </c>
      <c r="AF50" s="13">
        <f t="shared" si="14"/>
        <v>11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1.0</v>
      </c>
      <c r="O51" s="19">
        <v>1.0</v>
      </c>
      <c r="P51" s="19">
        <v>1.0</v>
      </c>
      <c r="Q51" s="19">
        <v>0.0</v>
      </c>
      <c r="R51" s="19">
        <v>0.0</v>
      </c>
      <c r="S51" s="19">
        <v>0.0</v>
      </c>
      <c r="T51" s="19">
        <v>0.0</v>
      </c>
      <c r="U51" s="19">
        <v>1.0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1.0</v>
      </c>
      <c r="AE51" s="19">
        <v>0.0</v>
      </c>
      <c r="AF51" s="13">
        <f t="shared" si="14"/>
        <v>5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1.0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2.0</v>
      </c>
      <c r="AE52" s="19">
        <v>0.0</v>
      </c>
      <c r="AF52" s="13">
        <f t="shared" si="14"/>
        <v>3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AF53" si="15">SUM(E45:E52)</f>
        <v>31</v>
      </c>
      <c r="F53" s="13">
        <f t="shared" si="15"/>
        <v>30</v>
      </c>
      <c r="G53" s="13">
        <f t="shared" si="15"/>
        <v>32</v>
      </c>
      <c r="H53" s="13">
        <f t="shared" si="15"/>
        <v>28</v>
      </c>
      <c r="I53" s="13">
        <f t="shared" si="15"/>
        <v>18</v>
      </c>
      <c r="J53" s="13">
        <f t="shared" si="15"/>
        <v>26</v>
      </c>
      <c r="K53" s="13">
        <f t="shared" si="15"/>
        <v>21</v>
      </c>
      <c r="L53" s="13">
        <f t="shared" si="15"/>
        <v>7</v>
      </c>
      <c r="M53" s="13">
        <f t="shared" si="15"/>
        <v>13</v>
      </c>
      <c r="N53" s="13">
        <f t="shared" si="15"/>
        <v>37</v>
      </c>
      <c r="O53" s="13">
        <f t="shared" si="15"/>
        <v>15</v>
      </c>
      <c r="P53" s="13">
        <f t="shared" si="15"/>
        <v>22</v>
      </c>
      <c r="Q53" s="13">
        <f t="shared" si="15"/>
        <v>15</v>
      </c>
      <c r="R53" s="13">
        <f t="shared" si="15"/>
        <v>29</v>
      </c>
      <c r="S53" s="13">
        <f t="shared" si="15"/>
        <v>22</v>
      </c>
      <c r="T53" s="13">
        <f t="shared" si="15"/>
        <v>21</v>
      </c>
      <c r="U53" s="13">
        <f t="shared" si="15"/>
        <v>15</v>
      </c>
      <c r="V53" s="13">
        <f t="shared" si="15"/>
        <v>27</v>
      </c>
      <c r="W53" s="13">
        <f t="shared" si="15"/>
        <v>14</v>
      </c>
      <c r="X53" s="13">
        <f t="shared" si="15"/>
        <v>32</v>
      </c>
      <c r="Y53" s="13">
        <f t="shared" si="15"/>
        <v>27</v>
      </c>
      <c r="Z53" s="13">
        <f t="shared" si="15"/>
        <v>36</v>
      </c>
      <c r="AA53" s="13">
        <f t="shared" si="15"/>
        <v>18</v>
      </c>
      <c r="AB53" s="13">
        <f t="shared" si="15"/>
        <v>15</v>
      </c>
      <c r="AC53" s="13">
        <f t="shared" si="15"/>
        <v>37</v>
      </c>
      <c r="AD53" s="13">
        <f t="shared" si="15"/>
        <v>13</v>
      </c>
      <c r="AE53" s="13">
        <f t="shared" si="15"/>
        <v>10</v>
      </c>
      <c r="AF53" s="13">
        <f t="shared" si="15"/>
        <v>611</v>
      </c>
    </row>
    <row r="54" ht="12.75" customHeight="1">
      <c r="A54" s="45"/>
      <c r="B54" s="44"/>
      <c r="C54" s="44"/>
      <c r="D54" s="44"/>
      <c r="E54" s="44"/>
      <c r="AF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3.0</v>
      </c>
      <c r="F55" s="19">
        <v>8.0</v>
      </c>
      <c r="G55" s="19">
        <v>9.0</v>
      </c>
      <c r="H55" s="19">
        <v>14.0</v>
      </c>
      <c r="I55" s="19">
        <v>4.0</v>
      </c>
      <c r="J55" s="19">
        <v>3.0</v>
      </c>
      <c r="K55" s="19">
        <v>14.0</v>
      </c>
      <c r="L55" s="19">
        <v>9.0</v>
      </c>
      <c r="M55" s="19">
        <v>4.0</v>
      </c>
      <c r="N55" s="19">
        <v>4.0</v>
      </c>
      <c r="O55" s="19">
        <v>7.0</v>
      </c>
      <c r="P55" s="19">
        <v>7.0</v>
      </c>
      <c r="Q55" s="19">
        <v>5.0</v>
      </c>
      <c r="R55" s="19">
        <v>4.0</v>
      </c>
      <c r="S55" s="19">
        <v>5.0</v>
      </c>
      <c r="T55" s="19">
        <v>6.0</v>
      </c>
      <c r="U55" s="19">
        <v>6.0</v>
      </c>
      <c r="V55" s="19">
        <v>7.0</v>
      </c>
      <c r="W55" s="19">
        <v>5.0</v>
      </c>
      <c r="X55" s="19">
        <v>13.0</v>
      </c>
      <c r="Y55" s="19">
        <v>1.0</v>
      </c>
      <c r="Z55" s="19">
        <v>7.0</v>
      </c>
      <c r="AA55" s="19">
        <v>2.0</v>
      </c>
      <c r="AB55" s="19">
        <v>1.0</v>
      </c>
      <c r="AC55" s="19">
        <v>1.0</v>
      </c>
      <c r="AD55" s="19">
        <v>1.0</v>
      </c>
      <c r="AE55" s="19">
        <v>5.0</v>
      </c>
      <c r="AF55" s="13">
        <f t="shared" ref="AF55:AF62" si="16">SUM(E55:AE55)</f>
        <v>155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4.0</v>
      </c>
      <c r="F56" s="19">
        <v>3.0</v>
      </c>
      <c r="G56" s="19">
        <v>0.0</v>
      </c>
      <c r="H56" s="19">
        <v>7.0</v>
      </c>
      <c r="I56" s="19">
        <v>1.0</v>
      </c>
      <c r="J56" s="19">
        <v>11.0</v>
      </c>
      <c r="K56" s="19">
        <v>9.0</v>
      </c>
      <c r="L56" s="19">
        <v>6.0</v>
      </c>
      <c r="M56" s="19">
        <v>4.0</v>
      </c>
      <c r="N56" s="19">
        <v>2.0</v>
      </c>
      <c r="O56" s="19">
        <v>4.0</v>
      </c>
      <c r="P56" s="19">
        <v>3.0</v>
      </c>
      <c r="Q56" s="19">
        <v>5.0</v>
      </c>
      <c r="R56" s="19">
        <v>5.0</v>
      </c>
      <c r="S56" s="19">
        <v>2.0</v>
      </c>
      <c r="T56" s="19">
        <v>1.0</v>
      </c>
      <c r="U56" s="19">
        <v>2.0</v>
      </c>
      <c r="V56" s="19">
        <v>10.0</v>
      </c>
      <c r="W56" s="19">
        <v>4.0</v>
      </c>
      <c r="X56" s="19">
        <v>9.0</v>
      </c>
      <c r="Y56" s="19">
        <v>3.0</v>
      </c>
      <c r="Z56" s="19">
        <v>10.0</v>
      </c>
      <c r="AA56" s="19">
        <v>3.0</v>
      </c>
      <c r="AB56" s="19">
        <v>5.0</v>
      </c>
      <c r="AC56" s="19">
        <v>3.0</v>
      </c>
      <c r="AD56" s="19">
        <v>3.0</v>
      </c>
      <c r="AE56" s="19">
        <v>7.0</v>
      </c>
      <c r="AF56" s="13">
        <f t="shared" si="16"/>
        <v>126</v>
      </c>
    </row>
    <row r="57" ht="12.75" customHeight="1">
      <c r="A57" s="18"/>
      <c r="B57" s="55">
        <v>2.0</v>
      </c>
      <c r="C57" s="50" t="s">
        <v>50</v>
      </c>
      <c r="D57" s="56"/>
      <c r="E57" s="19">
        <v>2.0</v>
      </c>
      <c r="F57" s="19">
        <v>2.0</v>
      </c>
      <c r="G57" s="19">
        <v>2.0</v>
      </c>
      <c r="H57" s="19">
        <v>7.0</v>
      </c>
      <c r="I57" s="19">
        <v>2.0</v>
      </c>
      <c r="J57" s="19">
        <v>2.0</v>
      </c>
      <c r="K57" s="19">
        <v>2.0</v>
      </c>
      <c r="L57" s="19">
        <v>2.0</v>
      </c>
      <c r="M57" s="19">
        <v>0.0</v>
      </c>
      <c r="N57" s="19">
        <v>3.0</v>
      </c>
      <c r="O57" s="19">
        <v>1.0</v>
      </c>
      <c r="P57" s="19">
        <v>1.0</v>
      </c>
      <c r="Q57" s="19">
        <v>1.0</v>
      </c>
      <c r="R57" s="19">
        <v>4.0</v>
      </c>
      <c r="S57" s="19">
        <v>4.0</v>
      </c>
      <c r="T57" s="19">
        <v>4.0</v>
      </c>
      <c r="U57" s="19">
        <v>2.0</v>
      </c>
      <c r="V57" s="19">
        <v>2.0</v>
      </c>
      <c r="W57" s="19">
        <v>3.0</v>
      </c>
      <c r="X57" s="19">
        <v>2.0</v>
      </c>
      <c r="Y57" s="19">
        <v>1.0</v>
      </c>
      <c r="Z57" s="19">
        <v>2.0</v>
      </c>
      <c r="AA57" s="19">
        <v>1.0</v>
      </c>
      <c r="AB57" s="19">
        <v>1.0</v>
      </c>
      <c r="AC57" s="19">
        <v>3.0</v>
      </c>
      <c r="AD57" s="19">
        <v>1.0</v>
      </c>
      <c r="AE57" s="19">
        <v>4.0</v>
      </c>
      <c r="AF57" s="13">
        <f t="shared" si="16"/>
        <v>61</v>
      </c>
    </row>
    <row r="58" ht="12.75" customHeight="1">
      <c r="A58" s="18"/>
      <c r="B58" s="55">
        <v>3.0</v>
      </c>
      <c r="C58" s="50" t="s">
        <v>51</v>
      </c>
      <c r="D58" s="56"/>
      <c r="E58" s="19">
        <v>0.0</v>
      </c>
      <c r="F58" s="19">
        <v>0.0</v>
      </c>
      <c r="G58" s="19">
        <v>0.0</v>
      </c>
      <c r="H58" s="19">
        <v>0.0</v>
      </c>
      <c r="I58" s="19">
        <v>1.0</v>
      </c>
      <c r="J58" s="19">
        <v>1.0</v>
      </c>
      <c r="K58" s="19">
        <v>2.0</v>
      </c>
      <c r="L58" s="19">
        <v>1.0</v>
      </c>
      <c r="M58" s="19">
        <v>2.0</v>
      </c>
      <c r="N58" s="19">
        <v>0.0</v>
      </c>
      <c r="O58" s="19">
        <v>0.0</v>
      </c>
      <c r="P58" s="19">
        <v>1.0</v>
      </c>
      <c r="Q58" s="19">
        <v>0.0</v>
      </c>
      <c r="R58" s="19">
        <v>1.0</v>
      </c>
      <c r="S58" s="19">
        <v>0.0</v>
      </c>
      <c r="T58" s="19">
        <v>0.0</v>
      </c>
      <c r="U58" s="19">
        <v>4.0</v>
      </c>
      <c r="V58" s="19">
        <v>2.0</v>
      </c>
      <c r="W58" s="19">
        <v>1.0</v>
      </c>
      <c r="X58" s="19">
        <v>0.0</v>
      </c>
      <c r="Y58" s="19">
        <v>1.0</v>
      </c>
      <c r="Z58" s="19">
        <v>1.0</v>
      </c>
      <c r="AA58" s="19">
        <v>3.0</v>
      </c>
      <c r="AB58" s="19">
        <v>0.0</v>
      </c>
      <c r="AC58" s="19">
        <v>0.0</v>
      </c>
      <c r="AD58" s="19">
        <v>0.0</v>
      </c>
      <c r="AE58" s="19">
        <v>1.0</v>
      </c>
      <c r="AF58" s="13">
        <f t="shared" si="16"/>
        <v>22</v>
      </c>
    </row>
    <row r="59" ht="12.75" customHeight="1">
      <c r="A59" s="18"/>
      <c r="B59" s="55">
        <v>4.0</v>
      </c>
      <c r="C59" s="50" t="s">
        <v>52</v>
      </c>
      <c r="D59" s="56"/>
      <c r="E59" s="19">
        <v>0.0</v>
      </c>
      <c r="F59" s="19">
        <v>0.0</v>
      </c>
      <c r="G59" s="19">
        <v>0.0</v>
      </c>
      <c r="H59" s="19">
        <v>1.0</v>
      </c>
      <c r="I59" s="19">
        <v>2.0</v>
      </c>
      <c r="J59" s="19">
        <v>1.0</v>
      </c>
      <c r="K59" s="19">
        <v>0.0</v>
      </c>
      <c r="L59" s="19">
        <v>1.0</v>
      </c>
      <c r="M59" s="19">
        <v>1.0</v>
      </c>
      <c r="N59" s="19">
        <v>0.0</v>
      </c>
      <c r="O59" s="19">
        <v>0.0</v>
      </c>
      <c r="P59" s="19">
        <v>0.0</v>
      </c>
      <c r="Q59" s="19">
        <v>2.0</v>
      </c>
      <c r="R59" s="19">
        <v>0.0</v>
      </c>
      <c r="S59" s="19">
        <v>1.0</v>
      </c>
      <c r="T59" s="19">
        <v>0.0</v>
      </c>
      <c r="U59" s="19">
        <v>1.0</v>
      </c>
      <c r="V59" s="19">
        <v>1.0</v>
      </c>
      <c r="W59" s="19">
        <v>0.0</v>
      </c>
      <c r="X59" s="19">
        <v>1.0</v>
      </c>
      <c r="Y59" s="19">
        <v>0.0</v>
      </c>
      <c r="Z59" s="19">
        <v>0.0</v>
      </c>
      <c r="AA59" s="19">
        <v>2.0</v>
      </c>
      <c r="AB59" s="19">
        <v>1.0</v>
      </c>
      <c r="AC59" s="19">
        <v>0.0</v>
      </c>
      <c r="AD59" s="19">
        <v>0.0</v>
      </c>
      <c r="AE59" s="19">
        <v>1.0</v>
      </c>
      <c r="AF59" s="13">
        <f t="shared" si="16"/>
        <v>16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0.0</v>
      </c>
      <c r="G60" s="19">
        <v>0.0</v>
      </c>
      <c r="H60" s="19">
        <v>1.0</v>
      </c>
      <c r="I60" s="19">
        <v>0.0</v>
      </c>
      <c r="J60" s="19">
        <v>0.0</v>
      </c>
      <c r="K60" s="19">
        <v>0.0</v>
      </c>
      <c r="L60" s="19">
        <v>1.0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0.0</v>
      </c>
      <c r="S60" s="19">
        <v>0.0</v>
      </c>
      <c r="T60" s="19">
        <v>0.0</v>
      </c>
      <c r="U60" s="19">
        <v>0.0</v>
      </c>
      <c r="V60" s="19">
        <v>0.0</v>
      </c>
      <c r="W60" s="19">
        <v>0.0</v>
      </c>
      <c r="X60" s="19">
        <v>1.0</v>
      </c>
      <c r="Y60" s="19">
        <v>0.0</v>
      </c>
      <c r="Z60" s="19">
        <v>0.0</v>
      </c>
      <c r="AA60" s="19">
        <v>0.0</v>
      </c>
      <c r="AB60" s="19">
        <v>0.0</v>
      </c>
      <c r="AC60" s="19">
        <v>0.0</v>
      </c>
      <c r="AD60" s="19">
        <v>0.0</v>
      </c>
      <c r="AE60" s="19">
        <v>0.0</v>
      </c>
      <c r="AF60" s="13">
        <f t="shared" si="16"/>
        <v>3</v>
      </c>
    </row>
    <row r="61" ht="12.75" customHeight="1">
      <c r="A61" s="18"/>
      <c r="B61" s="55">
        <v>6.0</v>
      </c>
      <c r="C61" s="50" t="s">
        <v>54</v>
      </c>
      <c r="D61" s="57"/>
      <c r="E61" s="19">
        <v>0.0</v>
      </c>
      <c r="F61" s="19">
        <v>0.0</v>
      </c>
      <c r="G61" s="19">
        <v>0.0</v>
      </c>
      <c r="H61" s="19">
        <v>2.0</v>
      </c>
      <c r="I61" s="19">
        <v>0.0</v>
      </c>
      <c r="J61" s="19">
        <v>2.0</v>
      </c>
      <c r="K61" s="19">
        <v>0.0</v>
      </c>
      <c r="L61" s="19">
        <v>1.0</v>
      </c>
      <c r="M61" s="19">
        <v>0.0</v>
      </c>
      <c r="N61" s="19">
        <v>0.0</v>
      </c>
      <c r="O61" s="19">
        <v>1.0</v>
      </c>
      <c r="P61" s="19">
        <v>0.0</v>
      </c>
      <c r="Q61" s="19">
        <v>0.0</v>
      </c>
      <c r="R61" s="19">
        <v>0.0</v>
      </c>
      <c r="S61" s="19">
        <v>0.0</v>
      </c>
      <c r="T61" s="19">
        <v>0.0</v>
      </c>
      <c r="U61" s="19">
        <v>1.0</v>
      </c>
      <c r="V61" s="19">
        <v>1.0</v>
      </c>
      <c r="W61" s="19">
        <v>0.0</v>
      </c>
      <c r="X61" s="19">
        <v>0.0</v>
      </c>
      <c r="Y61" s="19">
        <v>1.0</v>
      </c>
      <c r="Z61" s="19">
        <v>0.0</v>
      </c>
      <c r="AA61" s="19">
        <v>2.0</v>
      </c>
      <c r="AB61" s="19">
        <v>0.0</v>
      </c>
      <c r="AC61" s="19">
        <v>0.0</v>
      </c>
      <c r="AD61" s="19">
        <v>0.0</v>
      </c>
      <c r="AE61" s="19">
        <v>0.0</v>
      </c>
      <c r="AF61" s="13">
        <f t="shared" si="16"/>
        <v>11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1.0</v>
      </c>
      <c r="R62" s="19">
        <v>0.0</v>
      </c>
      <c r="S62" s="19">
        <v>0.0</v>
      </c>
      <c r="T62" s="19">
        <v>0.0</v>
      </c>
      <c r="U62" s="19">
        <v>0.0</v>
      </c>
      <c r="V62" s="19">
        <v>1.0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3">
        <f t="shared" si="16"/>
        <v>3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AF63" si="17">SUM(E55:E62)</f>
        <v>9</v>
      </c>
      <c r="F63" s="13">
        <f t="shared" si="17"/>
        <v>14</v>
      </c>
      <c r="G63" s="13">
        <f t="shared" si="17"/>
        <v>11</v>
      </c>
      <c r="H63" s="13">
        <f t="shared" si="17"/>
        <v>32</v>
      </c>
      <c r="I63" s="13">
        <f t="shared" si="17"/>
        <v>10</v>
      </c>
      <c r="J63" s="13">
        <f t="shared" si="17"/>
        <v>20</v>
      </c>
      <c r="K63" s="13">
        <f t="shared" si="17"/>
        <v>27</v>
      </c>
      <c r="L63" s="13">
        <f t="shared" si="17"/>
        <v>21</v>
      </c>
      <c r="M63" s="13">
        <f t="shared" si="17"/>
        <v>11</v>
      </c>
      <c r="N63" s="13">
        <f t="shared" si="17"/>
        <v>9</v>
      </c>
      <c r="O63" s="13">
        <f t="shared" si="17"/>
        <v>13</v>
      </c>
      <c r="P63" s="13">
        <f t="shared" si="17"/>
        <v>12</v>
      </c>
      <c r="Q63" s="13">
        <f t="shared" si="17"/>
        <v>14</v>
      </c>
      <c r="R63" s="13">
        <f t="shared" si="17"/>
        <v>14</v>
      </c>
      <c r="S63" s="13">
        <f t="shared" si="17"/>
        <v>12</v>
      </c>
      <c r="T63" s="13">
        <f t="shared" si="17"/>
        <v>11</v>
      </c>
      <c r="U63" s="13">
        <f t="shared" si="17"/>
        <v>16</v>
      </c>
      <c r="V63" s="13">
        <f t="shared" si="17"/>
        <v>24</v>
      </c>
      <c r="W63" s="13">
        <f t="shared" si="17"/>
        <v>13</v>
      </c>
      <c r="X63" s="13">
        <f t="shared" si="17"/>
        <v>26</v>
      </c>
      <c r="Y63" s="13">
        <f t="shared" si="17"/>
        <v>7</v>
      </c>
      <c r="Z63" s="13">
        <f t="shared" si="17"/>
        <v>20</v>
      </c>
      <c r="AA63" s="13">
        <f t="shared" si="17"/>
        <v>13</v>
      </c>
      <c r="AB63" s="13">
        <f t="shared" si="17"/>
        <v>8</v>
      </c>
      <c r="AC63" s="13">
        <f t="shared" si="17"/>
        <v>7</v>
      </c>
      <c r="AD63" s="13">
        <f t="shared" si="17"/>
        <v>5</v>
      </c>
      <c r="AE63" s="13">
        <f t="shared" si="17"/>
        <v>18</v>
      </c>
      <c r="AF63" s="13">
        <f t="shared" si="17"/>
        <v>397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4.0</v>
      </c>
      <c r="F65" s="19">
        <v>4.0</v>
      </c>
      <c r="G65" s="19">
        <v>9.0</v>
      </c>
      <c r="H65" s="19">
        <v>11.0</v>
      </c>
      <c r="I65" s="19">
        <v>8.0</v>
      </c>
      <c r="J65" s="19">
        <v>6.0</v>
      </c>
      <c r="K65" s="19">
        <v>14.0</v>
      </c>
      <c r="L65" s="19">
        <v>17.0</v>
      </c>
      <c r="M65" s="19">
        <v>9.0</v>
      </c>
      <c r="N65" s="19">
        <v>13.0</v>
      </c>
      <c r="O65" s="19">
        <v>13.0</v>
      </c>
      <c r="P65" s="19">
        <v>10.0</v>
      </c>
      <c r="Q65" s="19">
        <v>13.0</v>
      </c>
      <c r="R65" s="19">
        <v>6.0</v>
      </c>
      <c r="S65" s="19">
        <v>7.0</v>
      </c>
      <c r="T65" s="19">
        <v>12.0</v>
      </c>
      <c r="U65" s="19">
        <v>15.0</v>
      </c>
      <c r="V65" s="19">
        <v>5.0</v>
      </c>
      <c r="W65" s="19">
        <v>9.0</v>
      </c>
      <c r="X65" s="19">
        <v>19.0</v>
      </c>
      <c r="Y65" s="19">
        <v>7.0</v>
      </c>
      <c r="Z65" s="19">
        <v>6.0</v>
      </c>
      <c r="AA65" s="19">
        <v>7.0</v>
      </c>
      <c r="AB65" s="19">
        <v>7.0</v>
      </c>
      <c r="AC65" s="19">
        <v>4.0</v>
      </c>
      <c r="AD65" s="19">
        <v>4.0</v>
      </c>
      <c r="AE65" s="19">
        <v>4.0</v>
      </c>
      <c r="AF65" s="13">
        <f t="shared" ref="AF65:AF72" si="18">SUM(E65:AE65)</f>
        <v>243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11.0</v>
      </c>
      <c r="F66" s="19">
        <v>7.0</v>
      </c>
      <c r="G66" s="19">
        <v>5.0</v>
      </c>
      <c r="H66" s="19">
        <v>7.0</v>
      </c>
      <c r="I66" s="19">
        <v>15.0</v>
      </c>
      <c r="J66" s="19">
        <v>8.0</v>
      </c>
      <c r="K66" s="19">
        <v>13.0</v>
      </c>
      <c r="L66" s="19">
        <v>29.0</v>
      </c>
      <c r="M66" s="19">
        <v>16.0</v>
      </c>
      <c r="N66" s="19">
        <v>4.0</v>
      </c>
      <c r="O66" s="19">
        <v>2.0</v>
      </c>
      <c r="P66" s="19">
        <v>3.0</v>
      </c>
      <c r="Q66" s="19">
        <v>12.0</v>
      </c>
      <c r="R66" s="19">
        <v>1.0</v>
      </c>
      <c r="S66" s="19">
        <v>3.0</v>
      </c>
      <c r="T66" s="19">
        <v>11.0</v>
      </c>
      <c r="U66" s="19">
        <v>3.0</v>
      </c>
      <c r="V66" s="19">
        <v>2.0</v>
      </c>
      <c r="W66" s="19">
        <v>7.0</v>
      </c>
      <c r="X66" s="19">
        <v>6.0</v>
      </c>
      <c r="Y66" s="19">
        <v>8.0</v>
      </c>
      <c r="Z66" s="19">
        <v>4.0</v>
      </c>
      <c r="AA66" s="19">
        <v>5.0</v>
      </c>
      <c r="AB66" s="19">
        <v>26.0</v>
      </c>
      <c r="AC66" s="19">
        <v>12.0</v>
      </c>
      <c r="AD66" s="19">
        <v>10.0</v>
      </c>
      <c r="AE66" s="19">
        <v>5.0</v>
      </c>
      <c r="AF66" s="13">
        <f t="shared" si="18"/>
        <v>235</v>
      </c>
    </row>
    <row r="67" ht="12.75" customHeight="1">
      <c r="A67" s="18"/>
      <c r="B67" s="55">
        <v>2.0</v>
      </c>
      <c r="C67" s="50" t="s">
        <v>58</v>
      </c>
      <c r="D67" s="57"/>
      <c r="E67" s="19">
        <v>2.0</v>
      </c>
      <c r="F67" s="19">
        <v>2.0</v>
      </c>
      <c r="G67" s="19">
        <v>2.0</v>
      </c>
      <c r="H67" s="19">
        <v>1.0</v>
      </c>
      <c r="I67" s="19">
        <v>4.0</v>
      </c>
      <c r="J67" s="19">
        <v>0.0</v>
      </c>
      <c r="K67" s="19">
        <v>0.0</v>
      </c>
      <c r="L67" s="19">
        <v>1.0</v>
      </c>
      <c r="M67" s="19">
        <v>4.0</v>
      </c>
      <c r="N67" s="19">
        <v>1.0</v>
      </c>
      <c r="O67" s="19">
        <v>3.0</v>
      </c>
      <c r="P67" s="19">
        <v>2.0</v>
      </c>
      <c r="Q67" s="19">
        <v>1.0</v>
      </c>
      <c r="R67" s="19">
        <v>0.0</v>
      </c>
      <c r="S67" s="19">
        <v>0.0</v>
      </c>
      <c r="T67" s="19">
        <v>2.0</v>
      </c>
      <c r="U67" s="19">
        <v>14.0</v>
      </c>
      <c r="V67" s="19">
        <v>1.0</v>
      </c>
      <c r="W67" s="19">
        <v>10.0</v>
      </c>
      <c r="X67" s="19">
        <v>5.0</v>
      </c>
      <c r="Y67" s="19">
        <v>2.0</v>
      </c>
      <c r="Z67" s="19">
        <v>8.0</v>
      </c>
      <c r="AA67" s="19">
        <v>3.0</v>
      </c>
      <c r="AB67" s="19">
        <v>1.0</v>
      </c>
      <c r="AC67" s="19">
        <v>2.0</v>
      </c>
      <c r="AD67" s="19">
        <v>1.0</v>
      </c>
      <c r="AE67" s="19">
        <v>1.0</v>
      </c>
      <c r="AF67" s="13">
        <f t="shared" si="18"/>
        <v>73</v>
      </c>
    </row>
    <row r="68" ht="12.75" customHeight="1">
      <c r="A68" s="18"/>
      <c r="B68" s="55">
        <v>3.0</v>
      </c>
      <c r="C68" s="50" t="s">
        <v>59</v>
      </c>
      <c r="D68" s="57"/>
      <c r="E68" s="19">
        <v>2.0</v>
      </c>
      <c r="F68" s="19">
        <v>6.0</v>
      </c>
      <c r="G68" s="19">
        <v>13.0</v>
      </c>
      <c r="H68" s="19">
        <v>56.0</v>
      </c>
      <c r="I68" s="19">
        <v>48.0</v>
      </c>
      <c r="J68" s="19">
        <v>1.0</v>
      </c>
      <c r="K68" s="19">
        <v>12.0</v>
      </c>
      <c r="L68" s="19">
        <v>15.0</v>
      </c>
      <c r="M68" s="19">
        <v>32.0</v>
      </c>
      <c r="N68" s="19">
        <v>56.0</v>
      </c>
      <c r="O68" s="19">
        <v>25.0</v>
      </c>
      <c r="P68" s="19">
        <v>18.0</v>
      </c>
      <c r="Q68" s="19">
        <v>16.0</v>
      </c>
      <c r="R68" s="19">
        <v>2.0</v>
      </c>
      <c r="S68" s="19">
        <v>2.0</v>
      </c>
      <c r="T68" s="19">
        <v>1.0</v>
      </c>
      <c r="U68" s="19">
        <v>3.0</v>
      </c>
      <c r="V68" s="19">
        <v>8.0</v>
      </c>
      <c r="W68" s="19">
        <v>4.0</v>
      </c>
      <c r="X68" s="19">
        <v>52.0</v>
      </c>
      <c r="Y68" s="19">
        <v>23.0</v>
      </c>
      <c r="Z68" s="19">
        <v>0.0</v>
      </c>
      <c r="AA68" s="19">
        <v>3.0</v>
      </c>
      <c r="AB68" s="19">
        <v>2.0</v>
      </c>
      <c r="AC68" s="19">
        <v>15.0</v>
      </c>
      <c r="AD68" s="19">
        <v>22.0</v>
      </c>
      <c r="AE68" s="19">
        <v>11.0</v>
      </c>
      <c r="AF68" s="13">
        <f t="shared" si="18"/>
        <v>448</v>
      </c>
    </row>
    <row r="69" ht="12.75" customHeight="1">
      <c r="A69" s="18"/>
      <c r="B69" s="55">
        <v>4.0</v>
      </c>
      <c r="C69" s="50" t="s">
        <v>60</v>
      </c>
      <c r="D69" s="57"/>
      <c r="E69" s="19">
        <v>0.0</v>
      </c>
      <c r="F69" s="19">
        <v>1.0</v>
      </c>
      <c r="G69" s="19">
        <v>0.0</v>
      </c>
      <c r="H69" s="19">
        <v>1.0</v>
      </c>
      <c r="I69" s="19">
        <v>3.0</v>
      </c>
      <c r="J69" s="19">
        <v>2.0</v>
      </c>
      <c r="K69" s="19">
        <v>1.0</v>
      </c>
      <c r="L69" s="19">
        <v>2.0</v>
      </c>
      <c r="M69" s="19">
        <v>0.0</v>
      </c>
      <c r="N69" s="19">
        <v>3.0</v>
      </c>
      <c r="O69" s="19">
        <v>2.0</v>
      </c>
      <c r="P69" s="19">
        <v>5.0</v>
      </c>
      <c r="Q69" s="19">
        <v>4.0</v>
      </c>
      <c r="R69" s="19">
        <v>1.0</v>
      </c>
      <c r="S69" s="19">
        <v>1.0</v>
      </c>
      <c r="T69" s="19">
        <v>0.0</v>
      </c>
      <c r="U69" s="19">
        <v>5.0</v>
      </c>
      <c r="V69" s="19">
        <v>1.0</v>
      </c>
      <c r="W69" s="19">
        <v>4.0</v>
      </c>
      <c r="X69" s="19">
        <v>2.0</v>
      </c>
      <c r="Y69" s="19">
        <v>0.0</v>
      </c>
      <c r="Z69" s="19">
        <v>1.0</v>
      </c>
      <c r="AA69" s="19">
        <v>3.0</v>
      </c>
      <c r="AB69" s="19">
        <v>3.0</v>
      </c>
      <c r="AC69" s="19">
        <v>0.0</v>
      </c>
      <c r="AD69" s="19">
        <v>1.0</v>
      </c>
      <c r="AE69" s="19">
        <v>2.0</v>
      </c>
      <c r="AF69" s="13">
        <f t="shared" si="18"/>
        <v>48</v>
      </c>
    </row>
    <row r="70" ht="12.75" customHeight="1">
      <c r="A70" s="18"/>
      <c r="B70" s="55">
        <v>5.0</v>
      </c>
      <c r="C70" s="50" t="s">
        <v>61</v>
      </c>
      <c r="D70" s="57"/>
      <c r="E70" s="19">
        <v>4.0</v>
      </c>
      <c r="F70" s="19">
        <v>2.0</v>
      </c>
      <c r="G70" s="19">
        <v>3.0</v>
      </c>
      <c r="H70" s="19">
        <v>1.0</v>
      </c>
      <c r="I70" s="19">
        <v>1.0</v>
      </c>
      <c r="J70" s="19">
        <v>1.0</v>
      </c>
      <c r="K70" s="19">
        <v>1.0</v>
      </c>
      <c r="L70" s="19">
        <v>1.0</v>
      </c>
      <c r="M70" s="19">
        <v>0.0</v>
      </c>
      <c r="N70" s="19">
        <v>1.0</v>
      </c>
      <c r="O70" s="19">
        <v>2.0</v>
      </c>
      <c r="P70" s="19">
        <v>3.0</v>
      </c>
      <c r="Q70" s="19">
        <v>2.0</v>
      </c>
      <c r="R70" s="19">
        <v>1.0</v>
      </c>
      <c r="S70" s="19">
        <v>8.0</v>
      </c>
      <c r="T70" s="19">
        <v>4.0</v>
      </c>
      <c r="U70" s="19">
        <v>4.0</v>
      </c>
      <c r="V70" s="19">
        <v>2.0</v>
      </c>
      <c r="W70" s="19">
        <v>1.0</v>
      </c>
      <c r="X70" s="19">
        <v>2.0</v>
      </c>
      <c r="Y70" s="19">
        <v>1.0</v>
      </c>
      <c r="Z70" s="19">
        <v>0.0</v>
      </c>
      <c r="AA70" s="19">
        <v>3.0</v>
      </c>
      <c r="AB70" s="19">
        <v>2.0</v>
      </c>
      <c r="AC70" s="19">
        <v>2.0</v>
      </c>
      <c r="AD70" s="19">
        <v>0.0</v>
      </c>
      <c r="AE70" s="19">
        <v>0.0</v>
      </c>
      <c r="AF70" s="13">
        <f t="shared" si="18"/>
        <v>52</v>
      </c>
    </row>
    <row r="71" ht="12.75" customHeight="1">
      <c r="A71" s="18"/>
      <c r="B71" s="55">
        <v>6.0</v>
      </c>
      <c r="C71" s="50" t="s">
        <v>62</v>
      </c>
      <c r="D71" s="57"/>
      <c r="E71" s="19">
        <v>1.0</v>
      </c>
      <c r="F71" s="19">
        <v>1.0</v>
      </c>
      <c r="G71" s="19">
        <v>4.0</v>
      </c>
      <c r="H71" s="19">
        <v>1.0</v>
      </c>
      <c r="I71" s="19">
        <v>1.0</v>
      </c>
      <c r="J71" s="19">
        <v>0.0</v>
      </c>
      <c r="K71" s="19">
        <v>0.0</v>
      </c>
      <c r="L71" s="19">
        <v>1.0</v>
      </c>
      <c r="M71" s="19">
        <v>0.0</v>
      </c>
      <c r="N71" s="19">
        <v>1.0</v>
      </c>
      <c r="O71" s="19">
        <v>2.0</v>
      </c>
      <c r="P71" s="19">
        <v>3.0</v>
      </c>
      <c r="Q71" s="19">
        <v>0.0</v>
      </c>
      <c r="R71" s="19">
        <v>0.0</v>
      </c>
      <c r="S71" s="19">
        <v>4.0</v>
      </c>
      <c r="T71" s="19">
        <v>0.0</v>
      </c>
      <c r="U71" s="19">
        <v>7.0</v>
      </c>
      <c r="V71" s="19">
        <v>3.0</v>
      </c>
      <c r="W71" s="19">
        <v>0.0</v>
      </c>
      <c r="X71" s="19">
        <v>2.0</v>
      </c>
      <c r="Y71" s="19">
        <v>0.0</v>
      </c>
      <c r="Z71" s="19">
        <v>0.0</v>
      </c>
      <c r="AA71" s="19">
        <v>2.0</v>
      </c>
      <c r="AB71" s="19">
        <v>0.0</v>
      </c>
      <c r="AC71" s="19">
        <v>1.0</v>
      </c>
      <c r="AD71" s="19">
        <v>0.0</v>
      </c>
      <c r="AE71" s="19">
        <v>2.0</v>
      </c>
      <c r="AF71" s="13">
        <f t="shared" si="18"/>
        <v>36</v>
      </c>
    </row>
    <row r="72" ht="12.75" customHeight="1">
      <c r="A72" s="18"/>
      <c r="B72" s="55">
        <v>7.0</v>
      </c>
      <c r="C72" s="50" t="s">
        <v>63</v>
      </c>
      <c r="D72" s="57"/>
      <c r="E72" s="19">
        <v>3.0</v>
      </c>
      <c r="F72" s="19">
        <v>5.0</v>
      </c>
      <c r="G72" s="19">
        <v>6.0</v>
      </c>
      <c r="H72" s="19">
        <v>2.0</v>
      </c>
      <c r="I72" s="19">
        <v>2.0</v>
      </c>
      <c r="J72" s="19">
        <v>6.0</v>
      </c>
      <c r="K72" s="19">
        <v>8.0</v>
      </c>
      <c r="L72" s="19">
        <v>3.0</v>
      </c>
      <c r="M72" s="19">
        <v>1.0</v>
      </c>
      <c r="N72" s="19">
        <v>0.0</v>
      </c>
      <c r="O72" s="19">
        <v>5.0</v>
      </c>
      <c r="P72" s="19">
        <v>5.0</v>
      </c>
      <c r="Q72" s="19">
        <v>0.0</v>
      </c>
      <c r="R72" s="19">
        <v>0.0</v>
      </c>
      <c r="S72" s="19">
        <v>27.0</v>
      </c>
      <c r="T72" s="19">
        <v>4.0</v>
      </c>
      <c r="U72" s="19">
        <v>37.0</v>
      </c>
      <c r="V72" s="19">
        <v>13.0</v>
      </c>
      <c r="W72" s="19">
        <v>18.0</v>
      </c>
      <c r="X72" s="19">
        <v>6.0</v>
      </c>
      <c r="Y72" s="19">
        <v>1.0</v>
      </c>
      <c r="Z72" s="19">
        <v>5.0</v>
      </c>
      <c r="AA72" s="19">
        <v>8.0</v>
      </c>
      <c r="AB72" s="19">
        <v>0.0</v>
      </c>
      <c r="AC72" s="19">
        <v>0.0</v>
      </c>
      <c r="AD72" s="19">
        <v>5.0</v>
      </c>
      <c r="AE72" s="19">
        <v>3.0</v>
      </c>
      <c r="AF72" s="13">
        <f t="shared" si="18"/>
        <v>173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AF73" si="19">SUM(E65:E72)</f>
        <v>27</v>
      </c>
      <c r="F73" s="13">
        <f t="shared" si="19"/>
        <v>28</v>
      </c>
      <c r="G73" s="13">
        <f t="shared" si="19"/>
        <v>42</v>
      </c>
      <c r="H73" s="13">
        <f t="shared" si="19"/>
        <v>80</v>
      </c>
      <c r="I73" s="13">
        <f t="shared" si="19"/>
        <v>82</v>
      </c>
      <c r="J73" s="13">
        <f t="shared" si="19"/>
        <v>24</v>
      </c>
      <c r="K73" s="13">
        <f t="shared" si="19"/>
        <v>49</v>
      </c>
      <c r="L73" s="13">
        <f t="shared" si="19"/>
        <v>69</v>
      </c>
      <c r="M73" s="13">
        <f t="shared" si="19"/>
        <v>62</v>
      </c>
      <c r="N73" s="13">
        <f t="shared" si="19"/>
        <v>79</v>
      </c>
      <c r="O73" s="13">
        <f t="shared" si="19"/>
        <v>54</v>
      </c>
      <c r="P73" s="13">
        <f t="shared" si="19"/>
        <v>49</v>
      </c>
      <c r="Q73" s="13">
        <f t="shared" si="19"/>
        <v>48</v>
      </c>
      <c r="R73" s="13">
        <f t="shared" si="19"/>
        <v>11</v>
      </c>
      <c r="S73" s="13">
        <f t="shared" si="19"/>
        <v>52</v>
      </c>
      <c r="T73" s="13">
        <f t="shared" si="19"/>
        <v>34</v>
      </c>
      <c r="U73" s="13">
        <f t="shared" si="19"/>
        <v>88</v>
      </c>
      <c r="V73" s="13">
        <f t="shared" si="19"/>
        <v>35</v>
      </c>
      <c r="W73" s="13">
        <f t="shared" si="19"/>
        <v>53</v>
      </c>
      <c r="X73" s="13">
        <f t="shared" si="19"/>
        <v>94</v>
      </c>
      <c r="Y73" s="13">
        <f t="shared" si="19"/>
        <v>42</v>
      </c>
      <c r="Z73" s="13">
        <f t="shared" si="19"/>
        <v>24</v>
      </c>
      <c r="AA73" s="13">
        <f t="shared" si="19"/>
        <v>34</v>
      </c>
      <c r="AB73" s="13">
        <f t="shared" si="19"/>
        <v>41</v>
      </c>
      <c r="AC73" s="13">
        <f t="shared" si="19"/>
        <v>36</v>
      </c>
      <c r="AD73" s="13">
        <f t="shared" si="19"/>
        <v>43</v>
      </c>
      <c r="AE73" s="13">
        <f t="shared" si="19"/>
        <v>28</v>
      </c>
      <c r="AF73" s="13">
        <f t="shared" si="19"/>
        <v>1308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4.0</v>
      </c>
      <c r="F75" s="19">
        <v>1.0</v>
      </c>
      <c r="G75" s="19">
        <v>5.0</v>
      </c>
      <c r="H75" s="19">
        <v>2.0</v>
      </c>
      <c r="I75" s="19">
        <v>0.0</v>
      </c>
      <c r="J75" s="19">
        <v>1.0</v>
      </c>
      <c r="K75" s="19">
        <v>3.0</v>
      </c>
      <c r="L75" s="19">
        <v>0.0</v>
      </c>
      <c r="M75" s="19">
        <v>6.0</v>
      </c>
      <c r="N75" s="19">
        <v>3.0</v>
      </c>
      <c r="O75" s="19">
        <v>1.0</v>
      </c>
      <c r="P75" s="19">
        <v>8.0</v>
      </c>
      <c r="Q75" s="19">
        <v>4.0</v>
      </c>
      <c r="R75" s="19">
        <v>1.0</v>
      </c>
      <c r="S75" s="19">
        <v>7.0</v>
      </c>
      <c r="T75" s="19">
        <v>4.0</v>
      </c>
      <c r="U75" s="19">
        <v>4.0</v>
      </c>
      <c r="V75" s="19">
        <v>3.0</v>
      </c>
      <c r="W75" s="19">
        <v>3.0</v>
      </c>
      <c r="X75" s="19">
        <v>1.0</v>
      </c>
      <c r="Y75" s="19">
        <v>2.0</v>
      </c>
      <c r="Z75" s="19">
        <v>2.0</v>
      </c>
      <c r="AA75" s="19">
        <v>4.0</v>
      </c>
      <c r="AB75" s="19">
        <v>3.0</v>
      </c>
      <c r="AC75" s="19">
        <v>0.0</v>
      </c>
      <c r="AD75" s="19">
        <v>5.0</v>
      </c>
      <c r="AE75" s="19">
        <v>0.0</v>
      </c>
      <c r="AF75" s="13">
        <f t="shared" ref="AF75:AF82" si="20">SUM(E75:AE75)</f>
        <v>77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27.0</v>
      </c>
      <c r="F76" s="19">
        <v>6.0</v>
      </c>
      <c r="G76" s="19">
        <v>16.0</v>
      </c>
      <c r="H76" s="19">
        <v>2.0</v>
      </c>
      <c r="I76" s="19">
        <v>6.0</v>
      </c>
      <c r="J76" s="19">
        <v>8.0</v>
      </c>
      <c r="K76" s="19">
        <v>4.0</v>
      </c>
      <c r="L76" s="19">
        <v>3.0</v>
      </c>
      <c r="M76" s="19">
        <v>2.0</v>
      </c>
      <c r="N76" s="19">
        <v>20.0</v>
      </c>
      <c r="O76" s="19">
        <v>31.0</v>
      </c>
      <c r="P76" s="19">
        <v>47.0</v>
      </c>
      <c r="Q76" s="19">
        <v>15.0</v>
      </c>
      <c r="R76" s="19">
        <v>10.0</v>
      </c>
      <c r="S76" s="19">
        <v>5.0</v>
      </c>
      <c r="T76" s="19">
        <v>3.0</v>
      </c>
      <c r="U76" s="19">
        <v>1.0</v>
      </c>
      <c r="V76" s="19">
        <v>3.0</v>
      </c>
      <c r="W76" s="19">
        <v>9.0</v>
      </c>
      <c r="X76" s="19">
        <v>3.0</v>
      </c>
      <c r="Y76" s="19">
        <v>2.0</v>
      </c>
      <c r="Z76" s="19">
        <v>6.0</v>
      </c>
      <c r="AA76" s="19">
        <v>6.0</v>
      </c>
      <c r="AB76" s="19">
        <v>7.0</v>
      </c>
      <c r="AC76" s="19">
        <v>5.0</v>
      </c>
      <c r="AD76" s="19">
        <v>37.0</v>
      </c>
      <c r="AE76" s="19">
        <v>5.0</v>
      </c>
      <c r="AF76" s="13">
        <f t="shared" si="20"/>
        <v>289</v>
      </c>
    </row>
    <row r="77" ht="12.75" customHeight="1">
      <c r="A77" s="18"/>
      <c r="B77" s="55">
        <v>2.0</v>
      </c>
      <c r="C77" s="50" t="s">
        <v>66</v>
      </c>
      <c r="D77" s="57"/>
      <c r="E77" s="19">
        <v>4.0</v>
      </c>
      <c r="F77" s="19">
        <v>4.0</v>
      </c>
      <c r="G77" s="19">
        <v>0.0</v>
      </c>
      <c r="H77" s="19">
        <v>2.0</v>
      </c>
      <c r="I77" s="19">
        <v>3.0</v>
      </c>
      <c r="J77" s="19">
        <v>0.0</v>
      </c>
      <c r="K77" s="19">
        <v>0.0</v>
      </c>
      <c r="L77" s="19">
        <v>1.0</v>
      </c>
      <c r="M77" s="19">
        <v>2.0</v>
      </c>
      <c r="N77" s="19">
        <v>3.0</v>
      </c>
      <c r="O77" s="19">
        <v>2.0</v>
      </c>
      <c r="P77" s="19">
        <v>2.0</v>
      </c>
      <c r="Q77" s="19">
        <v>3.0</v>
      </c>
      <c r="R77" s="19">
        <v>2.0</v>
      </c>
      <c r="S77" s="19">
        <v>0.0</v>
      </c>
      <c r="T77" s="19">
        <v>2.0</v>
      </c>
      <c r="U77" s="19">
        <v>5.0</v>
      </c>
      <c r="V77" s="19">
        <v>6.0</v>
      </c>
      <c r="W77" s="19">
        <v>3.0</v>
      </c>
      <c r="X77" s="19">
        <v>6.0</v>
      </c>
      <c r="Y77" s="19">
        <v>1.0</v>
      </c>
      <c r="Z77" s="19">
        <v>4.0</v>
      </c>
      <c r="AA77" s="19">
        <v>0.0</v>
      </c>
      <c r="AB77" s="19">
        <v>5.0</v>
      </c>
      <c r="AC77" s="19">
        <v>0.0</v>
      </c>
      <c r="AD77" s="19">
        <v>1.0</v>
      </c>
      <c r="AE77" s="19">
        <v>5.0</v>
      </c>
      <c r="AF77" s="13">
        <f t="shared" si="20"/>
        <v>66</v>
      </c>
    </row>
    <row r="78" ht="12.75" customHeight="1">
      <c r="A78" s="18"/>
      <c r="B78" s="55">
        <v>3.0</v>
      </c>
      <c r="C78" s="50" t="s">
        <v>67</v>
      </c>
      <c r="D78" s="57"/>
      <c r="E78" s="19">
        <v>0.0</v>
      </c>
      <c r="F78" s="19">
        <v>1.0</v>
      </c>
      <c r="G78" s="19">
        <v>0.0</v>
      </c>
      <c r="H78" s="19">
        <v>0.0</v>
      </c>
      <c r="I78" s="19">
        <v>0.0</v>
      </c>
      <c r="J78" s="19">
        <v>0.0</v>
      </c>
      <c r="K78" s="19">
        <v>0.0</v>
      </c>
      <c r="L78" s="19">
        <v>1.0</v>
      </c>
      <c r="M78" s="19">
        <v>0.0</v>
      </c>
      <c r="N78" s="19">
        <v>0.0</v>
      </c>
      <c r="O78" s="19">
        <v>1.0</v>
      </c>
      <c r="P78" s="19">
        <v>0.0</v>
      </c>
      <c r="Q78" s="19">
        <v>0.0</v>
      </c>
      <c r="R78" s="19">
        <v>1.0</v>
      </c>
      <c r="S78" s="19">
        <v>0.0</v>
      </c>
      <c r="T78" s="19">
        <v>1.0</v>
      </c>
      <c r="U78" s="19">
        <v>1.0</v>
      </c>
      <c r="V78" s="19">
        <v>1.0</v>
      </c>
      <c r="W78" s="19">
        <v>0.0</v>
      </c>
      <c r="X78" s="19">
        <v>2.0</v>
      </c>
      <c r="Y78" s="19">
        <v>0.0</v>
      </c>
      <c r="Z78" s="19">
        <v>0.0</v>
      </c>
      <c r="AA78" s="19">
        <v>0.0</v>
      </c>
      <c r="AB78" s="19">
        <v>0.0</v>
      </c>
      <c r="AC78" s="19">
        <v>0.0</v>
      </c>
      <c r="AD78" s="19">
        <v>0.0</v>
      </c>
      <c r="AE78" s="19">
        <v>0.0</v>
      </c>
      <c r="AF78" s="13">
        <f t="shared" si="20"/>
        <v>9</v>
      </c>
    </row>
    <row r="79" ht="12.75" customHeight="1">
      <c r="A79" s="18"/>
      <c r="B79" s="55">
        <v>4.0</v>
      </c>
      <c r="C79" s="50" t="s">
        <v>68</v>
      </c>
      <c r="D79" s="57"/>
      <c r="E79" s="19">
        <v>1.0</v>
      </c>
      <c r="F79" s="19">
        <v>0.0</v>
      </c>
      <c r="G79" s="19">
        <v>2.0</v>
      </c>
      <c r="H79" s="19">
        <v>0.0</v>
      </c>
      <c r="I79" s="19">
        <v>0.0</v>
      </c>
      <c r="J79" s="19">
        <v>0.0</v>
      </c>
      <c r="K79" s="19">
        <v>0.0</v>
      </c>
      <c r="L79" s="19">
        <v>0.0</v>
      </c>
      <c r="M79" s="19">
        <v>2.0</v>
      </c>
      <c r="N79" s="19">
        <v>0.0</v>
      </c>
      <c r="O79" s="19">
        <v>0.0</v>
      </c>
      <c r="P79" s="19">
        <v>2.0</v>
      </c>
      <c r="Q79" s="19">
        <v>0.0</v>
      </c>
      <c r="R79" s="19">
        <v>1.0</v>
      </c>
      <c r="S79" s="19">
        <v>0.0</v>
      </c>
      <c r="T79" s="19">
        <v>2.0</v>
      </c>
      <c r="U79" s="19">
        <v>1.0</v>
      </c>
      <c r="V79" s="19">
        <v>1.0</v>
      </c>
      <c r="W79" s="19">
        <v>4.0</v>
      </c>
      <c r="X79" s="19">
        <v>2.0</v>
      </c>
      <c r="Y79" s="19">
        <v>0.0</v>
      </c>
      <c r="Z79" s="19">
        <v>2.0</v>
      </c>
      <c r="AA79" s="19">
        <v>0.0</v>
      </c>
      <c r="AB79" s="19">
        <v>2.0</v>
      </c>
      <c r="AC79" s="19">
        <v>3.0</v>
      </c>
      <c r="AD79" s="19">
        <v>1.0</v>
      </c>
      <c r="AE79" s="19">
        <v>4.0</v>
      </c>
      <c r="AF79" s="13">
        <f t="shared" si="20"/>
        <v>30</v>
      </c>
    </row>
    <row r="80" ht="12.75" customHeight="1">
      <c r="A80" s="18"/>
      <c r="B80" s="55">
        <v>5.0</v>
      </c>
      <c r="C80" s="50" t="s">
        <v>69</v>
      </c>
      <c r="D80" s="57"/>
      <c r="E80" s="19">
        <v>1.0</v>
      </c>
      <c r="F80" s="19">
        <v>1.0</v>
      </c>
      <c r="G80" s="19">
        <v>0.0</v>
      </c>
      <c r="H80" s="19">
        <v>0.0</v>
      </c>
      <c r="I80" s="19">
        <v>0.0</v>
      </c>
      <c r="J80" s="19">
        <v>0.0</v>
      </c>
      <c r="K80" s="19">
        <v>0.0</v>
      </c>
      <c r="L80" s="19">
        <v>0.0</v>
      </c>
      <c r="M80" s="19">
        <v>0.0</v>
      </c>
      <c r="N80" s="19">
        <v>1.0</v>
      </c>
      <c r="O80" s="19">
        <v>0.0</v>
      </c>
      <c r="P80" s="19">
        <v>1.0</v>
      </c>
      <c r="Q80" s="19">
        <v>0.0</v>
      </c>
      <c r="R80" s="19">
        <v>0.0</v>
      </c>
      <c r="S80" s="19">
        <v>4.0</v>
      </c>
      <c r="T80" s="19">
        <v>32.0</v>
      </c>
      <c r="U80" s="19">
        <v>0.0</v>
      </c>
      <c r="V80" s="19">
        <v>0.0</v>
      </c>
      <c r="W80" s="19">
        <v>4.0</v>
      </c>
      <c r="X80" s="19">
        <v>1.0</v>
      </c>
      <c r="Y80" s="19">
        <v>0.0</v>
      </c>
      <c r="Z80" s="19">
        <v>5.0</v>
      </c>
      <c r="AA80" s="19">
        <v>0.0</v>
      </c>
      <c r="AB80" s="19">
        <v>0.0</v>
      </c>
      <c r="AC80" s="19">
        <v>0.0</v>
      </c>
      <c r="AD80" s="19">
        <v>0.0</v>
      </c>
      <c r="AE80" s="19">
        <v>1.0</v>
      </c>
      <c r="AF80" s="13">
        <f t="shared" si="20"/>
        <v>51</v>
      </c>
    </row>
    <row r="81" ht="12.75" customHeight="1">
      <c r="A81" s="18"/>
      <c r="B81" s="55">
        <v>6.0</v>
      </c>
      <c r="C81" s="50" t="s">
        <v>70</v>
      </c>
      <c r="D81" s="57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>
        <v>1.0</v>
      </c>
      <c r="M81" s="19">
        <v>0.0</v>
      </c>
      <c r="N81" s="19">
        <v>0.0</v>
      </c>
      <c r="O81" s="19">
        <v>1.0</v>
      </c>
      <c r="P81" s="19">
        <v>0.0</v>
      </c>
      <c r="Q81" s="19">
        <v>0.0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9">
        <v>0.0</v>
      </c>
      <c r="Y81" s="19">
        <v>0.0</v>
      </c>
      <c r="Z81" s="19">
        <v>0.0</v>
      </c>
      <c r="AA81" s="19">
        <v>0.0</v>
      </c>
      <c r="AB81" s="19">
        <v>0.0</v>
      </c>
      <c r="AC81" s="19">
        <v>0.0</v>
      </c>
      <c r="AD81" s="19">
        <v>1.0</v>
      </c>
      <c r="AE81" s="19">
        <v>1.0</v>
      </c>
      <c r="AF81" s="13">
        <f t="shared" si="20"/>
        <v>4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>
        <v>1.0</v>
      </c>
      <c r="M82" s="19">
        <v>0.0</v>
      </c>
      <c r="N82" s="19">
        <v>0.0</v>
      </c>
      <c r="O82" s="19">
        <v>1.0</v>
      </c>
      <c r="P82" s="19">
        <v>0.0</v>
      </c>
      <c r="Q82" s="19">
        <v>1.0</v>
      </c>
      <c r="R82" s="19">
        <v>0.0</v>
      </c>
      <c r="S82" s="19">
        <v>0.0</v>
      </c>
      <c r="T82" s="19">
        <v>0.0</v>
      </c>
      <c r="U82" s="19">
        <v>1.0</v>
      </c>
      <c r="V82" s="19">
        <v>0.0</v>
      </c>
      <c r="W82" s="19">
        <v>0.0</v>
      </c>
      <c r="X82" s="19">
        <v>0.0</v>
      </c>
      <c r="Y82" s="19">
        <v>1.0</v>
      </c>
      <c r="Z82" s="19">
        <v>0.0</v>
      </c>
      <c r="AA82" s="19">
        <v>0.0</v>
      </c>
      <c r="AB82" s="19">
        <v>0.0</v>
      </c>
      <c r="AC82" s="19">
        <v>0.0</v>
      </c>
      <c r="AD82" s="19">
        <v>0.0</v>
      </c>
      <c r="AE82" s="19">
        <v>0.0</v>
      </c>
      <c r="AF82" s="13">
        <f t="shared" si="20"/>
        <v>5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AF83" si="21">SUM(E75:E82)</f>
        <v>37</v>
      </c>
      <c r="F83" s="13">
        <f t="shared" si="21"/>
        <v>13</v>
      </c>
      <c r="G83" s="13">
        <f t="shared" si="21"/>
        <v>23</v>
      </c>
      <c r="H83" s="13">
        <f t="shared" si="21"/>
        <v>6</v>
      </c>
      <c r="I83" s="13">
        <f t="shared" si="21"/>
        <v>9</v>
      </c>
      <c r="J83" s="13">
        <f t="shared" si="21"/>
        <v>9</v>
      </c>
      <c r="K83" s="13">
        <f t="shared" si="21"/>
        <v>7</v>
      </c>
      <c r="L83" s="13">
        <f t="shared" si="21"/>
        <v>7</v>
      </c>
      <c r="M83" s="13">
        <f t="shared" si="21"/>
        <v>12</v>
      </c>
      <c r="N83" s="13">
        <f t="shared" si="21"/>
        <v>27</v>
      </c>
      <c r="O83" s="13">
        <f t="shared" si="21"/>
        <v>37</v>
      </c>
      <c r="P83" s="13">
        <f t="shared" si="21"/>
        <v>60</v>
      </c>
      <c r="Q83" s="13">
        <f t="shared" si="21"/>
        <v>23</v>
      </c>
      <c r="R83" s="13">
        <f t="shared" si="21"/>
        <v>15</v>
      </c>
      <c r="S83" s="13">
        <f t="shared" si="21"/>
        <v>16</v>
      </c>
      <c r="T83" s="13">
        <f t="shared" si="21"/>
        <v>44</v>
      </c>
      <c r="U83" s="13">
        <f t="shared" si="21"/>
        <v>13</v>
      </c>
      <c r="V83" s="13">
        <f t="shared" si="21"/>
        <v>14</v>
      </c>
      <c r="W83" s="13">
        <f t="shared" si="21"/>
        <v>23</v>
      </c>
      <c r="X83" s="13">
        <f t="shared" si="21"/>
        <v>15</v>
      </c>
      <c r="Y83" s="13">
        <f t="shared" si="21"/>
        <v>6</v>
      </c>
      <c r="Z83" s="13">
        <f t="shared" si="21"/>
        <v>19</v>
      </c>
      <c r="AA83" s="13">
        <f t="shared" si="21"/>
        <v>10</v>
      </c>
      <c r="AB83" s="13">
        <f t="shared" si="21"/>
        <v>17</v>
      </c>
      <c r="AC83" s="13">
        <f t="shared" si="21"/>
        <v>8</v>
      </c>
      <c r="AD83" s="13">
        <f t="shared" si="21"/>
        <v>45</v>
      </c>
      <c r="AE83" s="13">
        <f t="shared" si="21"/>
        <v>16</v>
      </c>
      <c r="AF83" s="13">
        <f t="shared" si="21"/>
        <v>531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1.0</v>
      </c>
      <c r="F85" s="19">
        <v>2.0</v>
      </c>
      <c r="G85" s="19">
        <v>1.0</v>
      </c>
      <c r="H85" s="19">
        <v>0.0</v>
      </c>
      <c r="I85" s="19">
        <v>0.0</v>
      </c>
      <c r="J85" s="19">
        <v>0.0</v>
      </c>
      <c r="K85" s="19">
        <v>1.0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1.0</v>
      </c>
      <c r="R85" s="19">
        <v>2.0</v>
      </c>
      <c r="S85" s="19">
        <v>1.0</v>
      </c>
      <c r="T85" s="19">
        <v>5.0</v>
      </c>
      <c r="U85" s="19">
        <v>0.0</v>
      </c>
      <c r="V85" s="19">
        <v>0.0</v>
      </c>
      <c r="W85" s="19">
        <v>3.0</v>
      </c>
      <c r="X85" s="19">
        <v>1.0</v>
      </c>
      <c r="Y85" s="19">
        <v>1.0</v>
      </c>
      <c r="Z85" s="19">
        <v>1.0</v>
      </c>
      <c r="AA85" s="19">
        <v>2.0</v>
      </c>
      <c r="AB85" s="19">
        <v>1.0</v>
      </c>
      <c r="AC85" s="19">
        <v>0.0</v>
      </c>
      <c r="AD85" s="19">
        <v>1.0</v>
      </c>
      <c r="AE85" s="19">
        <v>0.0</v>
      </c>
      <c r="AF85" s="13">
        <f t="shared" ref="AF85:AF92" si="22">SUM(E85:AE85)</f>
        <v>24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1.0</v>
      </c>
      <c r="J86" s="19">
        <v>0.0</v>
      </c>
      <c r="K86" s="19">
        <v>1.0</v>
      </c>
      <c r="L86" s="19">
        <v>0.0</v>
      </c>
      <c r="M86" s="19">
        <v>2.0</v>
      </c>
      <c r="N86" s="19">
        <v>2.0</v>
      </c>
      <c r="O86" s="19">
        <v>0.0</v>
      </c>
      <c r="P86" s="19">
        <v>0.0</v>
      </c>
      <c r="Q86" s="19">
        <v>0.0</v>
      </c>
      <c r="R86" s="19">
        <v>0.0</v>
      </c>
      <c r="S86" s="19">
        <v>2.0</v>
      </c>
      <c r="T86" s="19">
        <v>3.0</v>
      </c>
      <c r="U86" s="19">
        <v>0.0</v>
      </c>
      <c r="V86" s="19">
        <v>0.0</v>
      </c>
      <c r="W86" s="19">
        <v>0.0</v>
      </c>
      <c r="X86" s="19">
        <v>0.0</v>
      </c>
      <c r="Y86" s="19">
        <v>1.0</v>
      </c>
      <c r="Z86" s="19">
        <v>0.0</v>
      </c>
      <c r="AA86" s="19">
        <v>0.0</v>
      </c>
      <c r="AB86" s="19">
        <v>0.0</v>
      </c>
      <c r="AC86" s="19">
        <v>0.0</v>
      </c>
      <c r="AD86" s="19">
        <v>0.0</v>
      </c>
      <c r="AE86" s="19">
        <v>4.0</v>
      </c>
      <c r="AF86" s="13">
        <f t="shared" si="22"/>
        <v>16</v>
      </c>
    </row>
    <row r="87" ht="12.75" customHeight="1">
      <c r="A87" s="18"/>
      <c r="B87" s="55">
        <v>2.0</v>
      </c>
      <c r="C87" s="50" t="s">
        <v>75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2.0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1.0</v>
      </c>
      <c r="T87" s="19">
        <v>2.0</v>
      </c>
      <c r="U87" s="19">
        <v>0.0</v>
      </c>
      <c r="V87" s="19">
        <v>0.0</v>
      </c>
      <c r="W87" s="19">
        <v>0.0</v>
      </c>
      <c r="X87" s="19">
        <v>0.0</v>
      </c>
      <c r="Y87" s="19">
        <v>1.0</v>
      </c>
      <c r="Z87" s="19">
        <v>0.0</v>
      </c>
      <c r="AA87" s="19">
        <v>0.0</v>
      </c>
      <c r="AB87" s="19">
        <v>0.0</v>
      </c>
      <c r="AC87" s="19">
        <v>0.0</v>
      </c>
      <c r="AD87" s="19">
        <v>0.0</v>
      </c>
      <c r="AE87" s="19">
        <v>0.0</v>
      </c>
      <c r="AF87" s="13">
        <f t="shared" si="22"/>
        <v>6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1.0</v>
      </c>
      <c r="G88" s="19">
        <v>1.0</v>
      </c>
      <c r="H88" s="19">
        <v>0.0</v>
      </c>
      <c r="I88" s="19">
        <v>0.0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2.0</v>
      </c>
      <c r="T88" s="19">
        <v>1.0</v>
      </c>
      <c r="U88" s="19">
        <v>0.0</v>
      </c>
      <c r="V88" s="19">
        <v>0.0</v>
      </c>
      <c r="W88" s="19">
        <v>0.0</v>
      </c>
      <c r="X88" s="19">
        <v>1.0</v>
      </c>
      <c r="Y88" s="19">
        <v>1.0</v>
      </c>
      <c r="Z88" s="19">
        <v>0.0</v>
      </c>
      <c r="AA88" s="19">
        <v>0.0</v>
      </c>
      <c r="AB88" s="19">
        <v>1.0</v>
      </c>
      <c r="AC88" s="19">
        <v>0.0</v>
      </c>
      <c r="AD88" s="19">
        <v>0.0</v>
      </c>
      <c r="AE88" s="19">
        <v>0.0</v>
      </c>
      <c r="AF88" s="13">
        <f t="shared" si="22"/>
        <v>9</v>
      </c>
    </row>
    <row r="89" ht="12.75" customHeight="1">
      <c r="A89" s="18"/>
      <c r="B89" s="55">
        <v>4.0</v>
      </c>
      <c r="C89" s="50" t="s">
        <v>77</v>
      </c>
      <c r="D89" s="57"/>
      <c r="E89" s="19">
        <v>0.0</v>
      </c>
      <c r="F89" s="19">
        <v>0.0</v>
      </c>
      <c r="G89" s="19">
        <v>3.0</v>
      </c>
      <c r="H89" s="19">
        <v>0.0</v>
      </c>
      <c r="I89" s="19">
        <v>1.0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0.0</v>
      </c>
      <c r="R89" s="19">
        <v>0.0</v>
      </c>
      <c r="S89" s="19">
        <v>0.0</v>
      </c>
      <c r="T89" s="19">
        <v>1.0</v>
      </c>
      <c r="U89" s="19">
        <v>0.0</v>
      </c>
      <c r="V89" s="19">
        <v>0.0</v>
      </c>
      <c r="W89" s="19">
        <v>0.0</v>
      </c>
      <c r="X89" s="19">
        <v>0.0</v>
      </c>
      <c r="Y89" s="19">
        <v>6.0</v>
      </c>
      <c r="Z89" s="19">
        <v>1.0</v>
      </c>
      <c r="AA89" s="19">
        <v>1.0</v>
      </c>
      <c r="AB89" s="19">
        <v>0.0</v>
      </c>
      <c r="AC89" s="19">
        <v>0.0</v>
      </c>
      <c r="AD89" s="19">
        <v>2.0</v>
      </c>
      <c r="AE89" s="19">
        <v>0.0</v>
      </c>
      <c r="AF89" s="13">
        <f t="shared" si="22"/>
        <v>15</v>
      </c>
    </row>
    <row r="90" ht="12.75" customHeight="1">
      <c r="A90" s="18"/>
      <c r="B90" s="55">
        <v>5.0</v>
      </c>
      <c r="C90" s="50" t="s">
        <v>78</v>
      </c>
      <c r="D90" s="57"/>
      <c r="E90" s="19">
        <v>0.0</v>
      </c>
      <c r="F90" s="19">
        <v>1.0</v>
      </c>
      <c r="G90" s="19">
        <v>0.0</v>
      </c>
      <c r="H90" s="19">
        <v>0.0</v>
      </c>
      <c r="I90" s="19">
        <v>0.0</v>
      </c>
      <c r="J90" s="19">
        <v>0.0</v>
      </c>
      <c r="K90" s="19">
        <v>2.0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0.0</v>
      </c>
      <c r="R90" s="19">
        <v>0.0</v>
      </c>
      <c r="S90" s="19">
        <v>1.0</v>
      </c>
      <c r="T90" s="19">
        <v>2.0</v>
      </c>
      <c r="U90" s="19">
        <v>0.0</v>
      </c>
      <c r="V90" s="19">
        <v>0.0</v>
      </c>
      <c r="W90" s="19">
        <v>3.0</v>
      </c>
      <c r="X90" s="19">
        <v>0.0</v>
      </c>
      <c r="Y90" s="19">
        <v>0.0</v>
      </c>
      <c r="Z90" s="19">
        <v>2.0</v>
      </c>
      <c r="AA90" s="19">
        <v>0.0</v>
      </c>
      <c r="AB90" s="19">
        <v>0.0</v>
      </c>
      <c r="AC90" s="19">
        <v>0.0</v>
      </c>
      <c r="AD90" s="19">
        <v>2.0</v>
      </c>
      <c r="AE90" s="19">
        <v>0.0</v>
      </c>
      <c r="AF90" s="13">
        <f t="shared" si="22"/>
        <v>13</v>
      </c>
    </row>
    <row r="91" ht="12.75" customHeight="1">
      <c r="A91" s="18"/>
      <c r="B91" s="55">
        <v>6.0</v>
      </c>
      <c r="C91" s="50" t="s">
        <v>79</v>
      </c>
      <c r="D91" s="57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1.0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0.0</v>
      </c>
      <c r="AA91" s="19">
        <v>0.0</v>
      </c>
      <c r="AB91" s="19">
        <v>0.0</v>
      </c>
      <c r="AC91" s="19">
        <v>0.0</v>
      </c>
      <c r="AD91" s="19">
        <v>0.0</v>
      </c>
      <c r="AE91" s="19">
        <v>0.0</v>
      </c>
      <c r="AF91" s="13">
        <f t="shared" si="22"/>
        <v>1</v>
      </c>
    </row>
    <row r="92" ht="12.75" customHeight="1">
      <c r="A92" s="18"/>
      <c r="B92" s="55">
        <v>7.0</v>
      </c>
      <c r="C92" s="50" t="s">
        <v>80</v>
      </c>
      <c r="D92" s="57"/>
      <c r="E92" s="19">
        <v>0.0</v>
      </c>
      <c r="F92" s="19">
        <v>4.0</v>
      </c>
      <c r="G92" s="19">
        <v>2.0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0.0</v>
      </c>
      <c r="Y92" s="19">
        <v>0.0</v>
      </c>
      <c r="Z92" s="19">
        <v>0.0</v>
      </c>
      <c r="AA92" s="19">
        <v>0.0</v>
      </c>
      <c r="AB92" s="19">
        <v>1.0</v>
      </c>
      <c r="AC92" s="19">
        <v>0.0</v>
      </c>
      <c r="AD92" s="19">
        <v>0.0</v>
      </c>
      <c r="AE92" s="19">
        <v>0.0</v>
      </c>
      <c r="AF92" s="13">
        <f t="shared" si="22"/>
        <v>7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AF93" si="23">SUM(E85:E92)</f>
        <v>1</v>
      </c>
      <c r="F93" s="13">
        <f t="shared" si="23"/>
        <v>8</v>
      </c>
      <c r="G93" s="13">
        <f t="shared" si="23"/>
        <v>7</v>
      </c>
      <c r="H93" s="13">
        <f t="shared" si="23"/>
        <v>0</v>
      </c>
      <c r="I93" s="13">
        <f t="shared" si="23"/>
        <v>4</v>
      </c>
      <c r="J93" s="13">
        <f t="shared" si="23"/>
        <v>0</v>
      </c>
      <c r="K93" s="13">
        <f t="shared" si="23"/>
        <v>5</v>
      </c>
      <c r="L93" s="13">
        <f t="shared" si="23"/>
        <v>1</v>
      </c>
      <c r="M93" s="13">
        <f t="shared" si="23"/>
        <v>2</v>
      </c>
      <c r="N93" s="13">
        <f t="shared" si="23"/>
        <v>2</v>
      </c>
      <c r="O93" s="13">
        <f t="shared" si="23"/>
        <v>0</v>
      </c>
      <c r="P93" s="13">
        <f t="shared" si="23"/>
        <v>0</v>
      </c>
      <c r="Q93" s="13">
        <f t="shared" si="23"/>
        <v>1</v>
      </c>
      <c r="R93" s="13">
        <f t="shared" si="23"/>
        <v>2</v>
      </c>
      <c r="S93" s="13">
        <f t="shared" si="23"/>
        <v>7</v>
      </c>
      <c r="T93" s="13">
        <f t="shared" si="23"/>
        <v>14</v>
      </c>
      <c r="U93" s="13">
        <f t="shared" si="23"/>
        <v>0</v>
      </c>
      <c r="V93" s="13">
        <f t="shared" si="23"/>
        <v>0</v>
      </c>
      <c r="W93" s="13">
        <f t="shared" si="23"/>
        <v>6</v>
      </c>
      <c r="X93" s="13">
        <f t="shared" si="23"/>
        <v>2</v>
      </c>
      <c r="Y93" s="13">
        <f t="shared" si="23"/>
        <v>10</v>
      </c>
      <c r="Z93" s="13">
        <f t="shared" si="23"/>
        <v>4</v>
      </c>
      <c r="AA93" s="13">
        <f t="shared" si="23"/>
        <v>3</v>
      </c>
      <c r="AB93" s="13">
        <f t="shared" si="23"/>
        <v>3</v>
      </c>
      <c r="AC93" s="13">
        <f t="shared" si="23"/>
        <v>0</v>
      </c>
      <c r="AD93" s="13">
        <f t="shared" si="23"/>
        <v>5</v>
      </c>
      <c r="AE93" s="13">
        <f t="shared" si="23"/>
        <v>4</v>
      </c>
      <c r="AF93" s="13">
        <f t="shared" si="23"/>
        <v>91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1.0</v>
      </c>
      <c r="F95" s="19">
        <v>2.0</v>
      </c>
      <c r="G95" s="19">
        <v>1.0</v>
      </c>
      <c r="H95" s="19">
        <v>1.0</v>
      </c>
      <c r="I95" s="19">
        <v>0.0</v>
      </c>
      <c r="J95" s="19">
        <v>0.0</v>
      </c>
      <c r="K95" s="19">
        <v>0.0</v>
      </c>
      <c r="L95" s="19">
        <v>2.0</v>
      </c>
      <c r="M95" s="19">
        <v>0.0</v>
      </c>
      <c r="N95" s="19">
        <v>0.0</v>
      </c>
      <c r="O95" s="19">
        <v>1.0</v>
      </c>
      <c r="P95" s="19">
        <v>0.0</v>
      </c>
      <c r="Q95" s="19">
        <v>0.0</v>
      </c>
      <c r="R95" s="19">
        <v>1.0</v>
      </c>
      <c r="S95" s="19">
        <v>1.0</v>
      </c>
      <c r="T95" s="19">
        <v>4.0</v>
      </c>
      <c r="U95" s="19">
        <v>1.0</v>
      </c>
      <c r="V95" s="19">
        <v>0.0</v>
      </c>
      <c r="W95" s="19">
        <v>2.0</v>
      </c>
      <c r="X95" s="19">
        <v>0.0</v>
      </c>
      <c r="Y95" s="19">
        <v>1.0</v>
      </c>
      <c r="Z95" s="19">
        <v>3.0</v>
      </c>
      <c r="AA95" s="19">
        <v>1.0</v>
      </c>
      <c r="AB95" s="19">
        <v>0.0</v>
      </c>
      <c r="AC95" s="19">
        <v>1.0</v>
      </c>
      <c r="AD95" s="19">
        <v>0.0</v>
      </c>
      <c r="AE95" s="19">
        <v>1.0</v>
      </c>
      <c r="AF95" s="13">
        <f t="shared" ref="AF95:AF102" si="24">SUM(E95:AE95)</f>
        <v>24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1.0</v>
      </c>
      <c r="F96" s="19">
        <v>2.0</v>
      </c>
      <c r="G96" s="19">
        <v>1.0</v>
      </c>
      <c r="H96" s="19">
        <v>0.0</v>
      </c>
      <c r="I96" s="19">
        <v>1.0</v>
      </c>
      <c r="J96" s="19">
        <v>2.0</v>
      </c>
      <c r="K96" s="19">
        <v>1.0</v>
      </c>
      <c r="L96" s="19">
        <v>0.0</v>
      </c>
      <c r="M96" s="19">
        <v>0.0</v>
      </c>
      <c r="N96" s="19">
        <v>0.0</v>
      </c>
      <c r="O96" s="19">
        <v>1.0</v>
      </c>
      <c r="P96" s="19">
        <v>0.0</v>
      </c>
      <c r="Q96" s="19">
        <v>0.0</v>
      </c>
      <c r="R96" s="19">
        <v>0.0</v>
      </c>
      <c r="S96" s="19">
        <v>1.0</v>
      </c>
      <c r="T96" s="19">
        <v>0.0</v>
      </c>
      <c r="U96" s="19">
        <v>0.0</v>
      </c>
      <c r="V96" s="19">
        <v>0.0</v>
      </c>
      <c r="W96" s="19">
        <v>0.0</v>
      </c>
      <c r="X96" s="19">
        <v>1.0</v>
      </c>
      <c r="Y96" s="19">
        <v>1.0</v>
      </c>
      <c r="Z96" s="19">
        <v>0.0</v>
      </c>
      <c r="AA96" s="19">
        <v>0.0</v>
      </c>
      <c r="AB96" s="19">
        <v>0.0</v>
      </c>
      <c r="AC96" s="19">
        <v>0.0</v>
      </c>
      <c r="AD96" s="19">
        <v>0.0</v>
      </c>
      <c r="AE96" s="19">
        <v>0.0</v>
      </c>
      <c r="AF96" s="13">
        <f t="shared" si="24"/>
        <v>12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1.0</v>
      </c>
      <c r="G97" s="19">
        <v>1.0</v>
      </c>
      <c r="H97" s="19">
        <v>1.0</v>
      </c>
      <c r="I97" s="19">
        <v>0.0</v>
      </c>
      <c r="J97" s="19">
        <v>0.0</v>
      </c>
      <c r="K97" s="19">
        <v>1.0</v>
      </c>
      <c r="L97" s="19">
        <v>1.0</v>
      </c>
      <c r="M97" s="19">
        <v>0.0</v>
      </c>
      <c r="N97" s="19">
        <v>1.0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0.0</v>
      </c>
      <c r="W97" s="19">
        <v>1.0</v>
      </c>
      <c r="X97" s="19">
        <v>1.0</v>
      </c>
      <c r="Y97" s="19">
        <v>1.0</v>
      </c>
      <c r="Z97" s="19">
        <v>0.0</v>
      </c>
      <c r="AA97" s="19">
        <v>0.0</v>
      </c>
      <c r="AB97" s="19">
        <v>0.0</v>
      </c>
      <c r="AC97" s="19">
        <v>0.0</v>
      </c>
      <c r="AD97" s="19">
        <v>1.0</v>
      </c>
      <c r="AE97" s="19">
        <v>0.0</v>
      </c>
      <c r="AF97" s="13">
        <f t="shared" si="24"/>
        <v>10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1.0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1.0</v>
      </c>
      <c r="T98" s="19">
        <v>0.0</v>
      </c>
      <c r="U98" s="19">
        <v>0.0</v>
      </c>
      <c r="V98" s="19">
        <v>1.0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3">
        <f t="shared" si="24"/>
        <v>3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1.0</v>
      </c>
      <c r="Z99" s="19">
        <v>0.0</v>
      </c>
      <c r="AA99" s="19">
        <v>0.0</v>
      </c>
      <c r="AB99" s="19">
        <v>0.0</v>
      </c>
      <c r="AC99" s="19">
        <v>0.0</v>
      </c>
      <c r="AD99" s="19">
        <v>0.0</v>
      </c>
      <c r="AE99" s="19">
        <v>0.0</v>
      </c>
      <c r="AF99" s="13">
        <f t="shared" si="24"/>
        <v>1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3">
        <f t="shared" si="24"/>
        <v>0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1.0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9">
        <v>0.0</v>
      </c>
      <c r="Y101" s="19">
        <v>0.0</v>
      </c>
      <c r="Z101" s="19">
        <v>0.0</v>
      </c>
      <c r="AA101" s="19">
        <v>0.0</v>
      </c>
      <c r="AB101" s="19">
        <v>0.0</v>
      </c>
      <c r="AC101" s="19">
        <v>0.0</v>
      </c>
      <c r="AD101" s="19">
        <v>0.0</v>
      </c>
      <c r="AE101" s="19">
        <v>0.0</v>
      </c>
      <c r="AF101" s="13">
        <f t="shared" si="24"/>
        <v>1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1.0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9">
        <v>0.0</v>
      </c>
      <c r="W102" s="19">
        <v>0.0</v>
      </c>
      <c r="X102" s="19">
        <v>0.0</v>
      </c>
      <c r="Y102" s="19">
        <v>0.0</v>
      </c>
      <c r="Z102" s="19">
        <v>0.0</v>
      </c>
      <c r="AA102" s="19">
        <v>0.0</v>
      </c>
      <c r="AB102" s="19">
        <v>0.0</v>
      </c>
      <c r="AC102" s="19">
        <v>0.0</v>
      </c>
      <c r="AD102" s="19">
        <v>0.0</v>
      </c>
      <c r="AE102" s="19">
        <v>0.0</v>
      </c>
      <c r="AF102" s="13">
        <f t="shared" si="24"/>
        <v>1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F103" si="25">SUM(E95:E102)</f>
        <v>2</v>
      </c>
      <c r="F103" s="13">
        <f t="shared" si="25"/>
        <v>5</v>
      </c>
      <c r="G103" s="13">
        <f t="shared" si="25"/>
        <v>3</v>
      </c>
      <c r="H103" s="13">
        <f t="shared" si="25"/>
        <v>2</v>
      </c>
      <c r="I103" s="13">
        <f t="shared" si="25"/>
        <v>2</v>
      </c>
      <c r="J103" s="13">
        <f t="shared" si="25"/>
        <v>2</v>
      </c>
      <c r="K103" s="13">
        <f t="shared" si="25"/>
        <v>2</v>
      </c>
      <c r="L103" s="13">
        <f t="shared" si="25"/>
        <v>5</v>
      </c>
      <c r="M103" s="13">
        <f t="shared" si="25"/>
        <v>0</v>
      </c>
      <c r="N103" s="13">
        <f t="shared" si="25"/>
        <v>1</v>
      </c>
      <c r="O103" s="13">
        <f t="shared" si="25"/>
        <v>2</v>
      </c>
      <c r="P103" s="13">
        <f t="shared" si="25"/>
        <v>0</v>
      </c>
      <c r="Q103" s="13">
        <f t="shared" si="25"/>
        <v>0</v>
      </c>
      <c r="R103" s="13">
        <f t="shared" si="25"/>
        <v>1</v>
      </c>
      <c r="S103" s="13">
        <f t="shared" si="25"/>
        <v>3</v>
      </c>
      <c r="T103" s="13">
        <f t="shared" si="25"/>
        <v>4</v>
      </c>
      <c r="U103" s="13">
        <f t="shared" si="25"/>
        <v>1</v>
      </c>
      <c r="V103" s="13">
        <f t="shared" si="25"/>
        <v>1</v>
      </c>
      <c r="W103" s="13">
        <f t="shared" si="25"/>
        <v>3</v>
      </c>
      <c r="X103" s="13">
        <f t="shared" si="25"/>
        <v>2</v>
      </c>
      <c r="Y103" s="13">
        <f t="shared" si="25"/>
        <v>4</v>
      </c>
      <c r="Z103" s="13">
        <f t="shared" si="25"/>
        <v>3</v>
      </c>
      <c r="AA103" s="13">
        <f t="shared" si="25"/>
        <v>1</v>
      </c>
      <c r="AB103" s="13">
        <f t="shared" si="25"/>
        <v>0</v>
      </c>
      <c r="AC103" s="13">
        <f t="shared" si="25"/>
        <v>1</v>
      </c>
      <c r="AD103" s="13">
        <f t="shared" si="25"/>
        <v>1</v>
      </c>
      <c r="AE103" s="13">
        <f t="shared" si="25"/>
        <v>1</v>
      </c>
      <c r="AF103" s="13">
        <f t="shared" si="25"/>
        <v>52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1.0</v>
      </c>
      <c r="J105" s="19">
        <v>2.0</v>
      </c>
      <c r="K105" s="19">
        <v>0.0</v>
      </c>
      <c r="L105" s="19">
        <v>0.0</v>
      </c>
      <c r="M105" s="19">
        <v>1.0</v>
      </c>
      <c r="N105" s="19">
        <v>0.0</v>
      </c>
      <c r="O105" s="19">
        <v>2.0</v>
      </c>
      <c r="P105" s="19">
        <v>0.0</v>
      </c>
      <c r="Q105" s="19">
        <v>0.0</v>
      </c>
      <c r="R105" s="19">
        <v>0.0</v>
      </c>
      <c r="S105" s="19">
        <v>1.0</v>
      </c>
      <c r="T105" s="19">
        <v>2.0</v>
      </c>
      <c r="U105" s="19">
        <v>3.0</v>
      </c>
      <c r="V105" s="19">
        <v>0.0</v>
      </c>
      <c r="W105" s="19">
        <v>1.0</v>
      </c>
      <c r="X105" s="19">
        <v>0.0</v>
      </c>
      <c r="Y105" s="19">
        <v>2.0</v>
      </c>
      <c r="Z105" s="19">
        <v>0.0</v>
      </c>
      <c r="AA105" s="19">
        <v>1.0</v>
      </c>
      <c r="AB105" s="19">
        <v>1.0</v>
      </c>
      <c r="AC105" s="19">
        <v>0.0</v>
      </c>
      <c r="AD105" s="19">
        <v>2.0</v>
      </c>
      <c r="AE105" s="19">
        <v>0.0</v>
      </c>
      <c r="AF105" s="13">
        <f t="shared" ref="AF105:AF108" si="26">SUM(E105:AE105)</f>
        <v>19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1.0</v>
      </c>
      <c r="O106" s="19">
        <v>0.0</v>
      </c>
      <c r="P106" s="19">
        <v>0.0</v>
      </c>
      <c r="Q106" s="19">
        <v>0.0</v>
      </c>
      <c r="R106" s="19">
        <v>0.0</v>
      </c>
      <c r="S106" s="19">
        <v>1.0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9">
        <v>0.0</v>
      </c>
      <c r="AE106" s="19">
        <v>0.0</v>
      </c>
      <c r="AF106" s="13">
        <f t="shared" si="26"/>
        <v>2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9">
        <v>0.0</v>
      </c>
      <c r="AE107" s="19">
        <v>0.0</v>
      </c>
      <c r="AF107" s="13">
        <f t="shared" si="26"/>
        <v>1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1.0</v>
      </c>
      <c r="AC108" s="19">
        <v>0.0</v>
      </c>
      <c r="AD108" s="19">
        <v>0.0</v>
      </c>
      <c r="AE108" s="19">
        <v>0.0</v>
      </c>
      <c r="AF108" s="13">
        <f t="shared" si="26"/>
        <v>1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AF109" si="27">SUM(E105:E108)</f>
        <v>0</v>
      </c>
      <c r="F109" s="13">
        <f t="shared" si="27"/>
        <v>0</v>
      </c>
      <c r="G109" s="13">
        <f t="shared" si="27"/>
        <v>0</v>
      </c>
      <c r="H109" s="13">
        <f t="shared" si="27"/>
        <v>0</v>
      </c>
      <c r="I109" s="13">
        <f t="shared" si="27"/>
        <v>1</v>
      </c>
      <c r="J109" s="13">
        <f t="shared" si="27"/>
        <v>2</v>
      </c>
      <c r="K109" s="13">
        <f t="shared" si="27"/>
        <v>0</v>
      </c>
      <c r="L109" s="13">
        <f t="shared" si="27"/>
        <v>0</v>
      </c>
      <c r="M109" s="13">
        <f t="shared" si="27"/>
        <v>1</v>
      </c>
      <c r="N109" s="13">
        <f t="shared" si="27"/>
        <v>1</v>
      </c>
      <c r="O109" s="13">
        <f t="shared" si="27"/>
        <v>2</v>
      </c>
      <c r="P109" s="13">
        <f t="shared" si="27"/>
        <v>1</v>
      </c>
      <c r="Q109" s="13">
        <f t="shared" si="27"/>
        <v>0</v>
      </c>
      <c r="R109" s="13">
        <f t="shared" si="27"/>
        <v>0</v>
      </c>
      <c r="S109" s="13">
        <f t="shared" si="27"/>
        <v>2</v>
      </c>
      <c r="T109" s="13">
        <f t="shared" si="27"/>
        <v>2</v>
      </c>
      <c r="U109" s="13">
        <f t="shared" si="27"/>
        <v>3</v>
      </c>
      <c r="V109" s="13">
        <f t="shared" si="27"/>
        <v>0</v>
      </c>
      <c r="W109" s="13">
        <f t="shared" si="27"/>
        <v>1</v>
      </c>
      <c r="X109" s="13">
        <f t="shared" si="27"/>
        <v>0</v>
      </c>
      <c r="Y109" s="13">
        <f t="shared" si="27"/>
        <v>2</v>
      </c>
      <c r="Z109" s="13">
        <f t="shared" si="27"/>
        <v>0</v>
      </c>
      <c r="AA109" s="13">
        <f t="shared" si="27"/>
        <v>1</v>
      </c>
      <c r="AB109" s="13">
        <f t="shared" si="27"/>
        <v>2</v>
      </c>
      <c r="AC109" s="13">
        <f t="shared" si="27"/>
        <v>0</v>
      </c>
      <c r="AD109" s="13">
        <f t="shared" si="27"/>
        <v>2</v>
      </c>
      <c r="AE109" s="13">
        <f t="shared" si="27"/>
        <v>0</v>
      </c>
      <c r="AF109" s="13">
        <f t="shared" si="27"/>
        <v>23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1.0</v>
      </c>
      <c r="F111" s="19">
        <v>3.0</v>
      </c>
      <c r="G111" s="19">
        <v>1.0</v>
      </c>
      <c r="H111" s="19">
        <v>0.0</v>
      </c>
      <c r="I111" s="19">
        <v>0.0</v>
      </c>
      <c r="J111" s="19">
        <v>2.0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1.0</v>
      </c>
      <c r="R111" s="19">
        <v>2.0</v>
      </c>
      <c r="S111" s="19">
        <v>2.0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9">
        <v>0.0</v>
      </c>
      <c r="AD111" s="19">
        <v>1.0</v>
      </c>
      <c r="AE111" s="19">
        <v>1.0</v>
      </c>
      <c r="AF111" s="13">
        <f t="shared" ref="AF111:AF118" si="28">SUM(E111:AE111)</f>
        <v>14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1.0</v>
      </c>
      <c r="F112" s="19">
        <v>0.0</v>
      </c>
      <c r="G112" s="19">
        <v>1.0</v>
      </c>
      <c r="H112" s="19">
        <v>0.0</v>
      </c>
      <c r="I112" s="19">
        <v>0.0</v>
      </c>
      <c r="J112" s="19">
        <v>5.0</v>
      </c>
      <c r="K112" s="19">
        <v>2.0</v>
      </c>
      <c r="L112" s="19">
        <v>4.0</v>
      </c>
      <c r="M112" s="19">
        <v>0.0</v>
      </c>
      <c r="N112" s="19">
        <v>1.0</v>
      </c>
      <c r="O112" s="19">
        <v>1.0</v>
      </c>
      <c r="P112" s="19">
        <v>0.0</v>
      </c>
      <c r="Q112" s="19">
        <v>1.0</v>
      </c>
      <c r="R112" s="19">
        <v>0.0</v>
      </c>
      <c r="S112" s="19">
        <v>0.0</v>
      </c>
      <c r="T112" s="19">
        <v>0.0</v>
      </c>
      <c r="U112" s="19">
        <v>1.0</v>
      </c>
      <c r="V112" s="19">
        <v>2.0</v>
      </c>
      <c r="W112" s="19">
        <v>3.0</v>
      </c>
      <c r="X112" s="19">
        <v>9.0</v>
      </c>
      <c r="Y112" s="19">
        <v>1.0</v>
      </c>
      <c r="Z112" s="19">
        <v>2.0</v>
      </c>
      <c r="AA112" s="19">
        <v>1.0</v>
      </c>
      <c r="AB112" s="19">
        <v>0.0</v>
      </c>
      <c r="AC112" s="19">
        <v>0.0</v>
      </c>
      <c r="AD112" s="19">
        <v>2.0</v>
      </c>
      <c r="AE112" s="19">
        <v>0.0</v>
      </c>
      <c r="AF112" s="13">
        <f t="shared" si="28"/>
        <v>37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1.0</v>
      </c>
      <c r="L113" s="19">
        <v>1.0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0.0</v>
      </c>
      <c r="T113" s="19">
        <v>1.0</v>
      </c>
      <c r="U113" s="19">
        <v>0.0</v>
      </c>
      <c r="V113" s="19">
        <v>0.0</v>
      </c>
      <c r="W113" s="19">
        <v>1.0</v>
      </c>
      <c r="X113" s="19">
        <v>0.0</v>
      </c>
      <c r="Y113" s="19">
        <v>1.0</v>
      </c>
      <c r="Z113" s="19">
        <v>1.0</v>
      </c>
      <c r="AA113" s="19">
        <v>0.0</v>
      </c>
      <c r="AB113" s="19">
        <v>0.0</v>
      </c>
      <c r="AC113" s="19">
        <v>0.0</v>
      </c>
      <c r="AD113" s="19">
        <v>0.0</v>
      </c>
      <c r="AE113" s="19">
        <v>0.0</v>
      </c>
      <c r="AF113" s="13">
        <f t="shared" si="28"/>
        <v>6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1.0</v>
      </c>
      <c r="P114" s="19">
        <v>0.0</v>
      </c>
      <c r="Q114" s="19">
        <v>0.0</v>
      </c>
      <c r="R114" s="19">
        <v>0.0</v>
      </c>
      <c r="S114" s="19">
        <v>0.0</v>
      </c>
      <c r="T114" s="19">
        <v>0.0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0.0</v>
      </c>
      <c r="AB114" s="19">
        <v>0.0</v>
      </c>
      <c r="AC114" s="19">
        <v>0.0</v>
      </c>
      <c r="AD114" s="19">
        <v>0.0</v>
      </c>
      <c r="AE114" s="19">
        <v>0.0</v>
      </c>
      <c r="AF114" s="13">
        <f t="shared" si="28"/>
        <v>1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0.0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0.0</v>
      </c>
      <c r="S115" s="19">
        <v>0.0</v>
      </c>
      <c r="T115" s="19">
        <v>0.0</v>
      </c>
      <c r="U115" s="19">
        <v>0.0</v>
      </c>
      <c r="V115" s="19">
        <v>0.0</v>
      </c>
      <c r="W115" s="19">
        <v>0.0</v>
      </c>
      <c r="X115" s="19">
        <v>0.0</v>
      </c>
      <c r="Y115" s="19">
        <v>0.0</v>
      </c>
      <c r="Z115" s="19">
        <v>0.0</v>
      </c>
      <c r="AA115" s="19">
        <v>1.0</v>
      </c>
      <c r="AB115" s="19">
        <v>0.0</v>
      </c>
      <c r="AC115" s="19">
        <v>1.0</v>
      </c>
      <c r="AD115" s="19">
        <v>0.0</v>
      </c>
      <c r="AE115" s="19">
        <v>0.0</v>
      </c>
      <c r="AF115" s="13">
        <f t="shared" si="28"/>
        <v>2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1.0</v>
      </c>
      <c r="G116" s="19">
        <v>0.0</v>
      </c>
      <c r="H116" s="19">
        <v>0.0</v>
      </c>
      <c r="I116" s="19">
        <v>1.0</v>
      </c>
      <c r="J116" s="19">
        <v>0.0</v>
      </c>
      <c r="K116" s="19">
        <v>1.0</v>
      </c>
      <c r="L116" s="19">
        <v>0.0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9">
        <v>0.0</v>
      </c>
      <c r="T116" s="19">
        <v>0.0</v>
      </c>
      <c r="U116" s="19">
        <v>0.0</v>
      </c>
      <c r="V116" s="19">
        <v>0.0</v>
      </c>
      <c r="W116" s="19">
        <v>0.0</v>
      </c>
      <c r="X116" s="19">
        <v>0.0</v>
      </c>
      <c r="Y116" s="19">
        <v>0.0</v>
      </c>
      <c r="Z116" s="19">
        <v>0.0</v>
      </c>
      <c r="AA116" s="19">
        <v>0.0</v>
      </c>
      <c r="AB116" s="19">
        <v>0.0</v>
      </c>
      <c r="AC116" s="19">
        <v>0.0</v>
      </c>
      <c r="AD116" s="19">
        <v>0.0</v>
      </c>
      <c r="AE116" s="19">
        <v>0.0</v>
      </c>
      <c r="AF116" s="13">
        <f t="shared" si="28"/>
        <v>3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13">
        <f t="shared" si="28"/>
        <v>0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3">
        <f t="shared" si="28"/>
        <v>0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AF119" si="29">SUM(E111:E118)</f>
        <v>2</v>
      </c>
      <c r="F119" s="13">
        <f t="shared" si="29"/>
        <v>4</v>
      </c>
      <c r="G119" s="13">
        <f t="shared" si="29"/>
        <v>2</v>
      </c>
      <c r="H119" s="13">
        <f t="shared" si="29"/>
        <v>0</v>
      </c>
      <c r="I119" s="13">
        <f t="shared" si="29"/>
        <v>1</v>
      </c>
      <c r="J119" s="13">
        <f t="shared" si="29"/>
        <v>7</v>
      </c>
      <c r="K119" s="13">
        <f t="shared" si="29"/>
        <v>4</v>
      </c>
      <c r="L119" s="13">
        <f t="shared" si="29"/>
        <v>5</v>
      </c>
      <c r="M119" s="13">
        <f t="shared" si="29"/>
        <v>0</v>
      </c>
      <c r="N119" s="13">
        <f t="shared" si="29"/>
        <v>1</v>
      </c>
      <c r="O119" s="13">
        <f t="shared" si="29"/>
        <v>2</v>
      </c>
      <c r="P119" s="13">
        <f t="shared" si="29"/>
        <v>0</v>
      </c>
      <c r="Q119" s="13">
        <f t="shared" si="29"/>
        <v>2</v>
      </c>
      <c r="R119" s="13">
        <f t="shared" si="29"/>
        <v>2</v>
      </c>
      <c r="S119" s="13">
        <f t="shared" si="29"/>
        <v>2</v>
      </c>
      <c r="T119" s="13">
        <f t="shared" si="29"/>
        <v>1</v>
      </c>
      <c r="U119" s="13">
        <f t="shared" si="29"/>
        <v>1</v>
      </c>
      <c r="V119" s="13">
        <f t="shared" si="29"/>
        <v>2</v>
      </c>
      <c r="W119" s="13">
        <f t="shared" si="29"/>
        <v>4</v>
      </c>
      <c r="X119" s="13">
        <f t="shared" si="29"/>
        <v>9</v>
      </c>
      <c r="Y119" s="13">
        <f t="shared" si="29"/>
        <v>2</v>
      </c>
      <c r="Z119" s="13">
        <f t="shared" si="29"/>
        <v>3</v>
      </c>
      <c r="AA119" s="13">
        <f t="shared" si="29"/>
        <v>2</v>
      </c>
      <c r="AB119" s="13">
        <f t="shared" si="29"/>
        <v>0</v>
      </c>
      <c r="AC119" s="13">
        <f t="shared" si="29"/>
        <v>1</v>
      </c>
      <c r="AD119" s="13">
        <f t="shared" si="29"/>
        <v>3</v>
      </c>
      <c r="AE119" s="13">
        <f t="shared" si="29"/>
        <v>1</v>
      </c>
      <c r="AF119" s="13">
        <f t="shared" si="29"/>
        <v>63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0.0</v>
      </c>
      <c r="F121" s="19">
        <v>0.0</v>
      </c>
      <c r="G121" s="19">
        <v>0.0</v>
      </c>
      <c r="H121" s="19">
        <v>0.0</v>
      </c>
      <c r="I121" s="19">
        <v>1.0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1.0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9">
        <v>0.0</v>
      </c>
      <c r="AD121" s="19">
        <v>1.0</v>
      </c>
      <c r="AE121" s="19">
        <v>0.0</v>
      </c>
      <c r="AF121" s="13">
        <f t="shared" ref="AF121:AF128" si="30">SUM(E121:AE121)</f>
        <v>3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  <c r="AC122" s="19">
        <v>0.0</v>
      </c>
      <c r="AD122" s="19">
        <v>0.0</v>
      </c>
      <c r="AE122" s="19">
        <v>0.0</v>
      </c>
      <c r="AF122" s="13">
        <f t="shared" si="30"/>
        <v>0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13">
        <f t="shared" si="30"/>
        <v>0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1.0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0.0</v>
      </c>
      <c r="AA124" s="19">
        <v>0.0</v>
      </c>
      <c r="AB124" s="19">
        <v>0.0</v>
      </c>
      <c r="AC124" s="19">
        <v>0.0</v>
      </c>
      <c r="AD124" s="19">
        <v>0.0</v>
      </c>
      <c r="AE124" s="19">
        <v>0.0</v>
      </c>
      <c r="AF124" s="13">
        <f t="shared" si="30"/>
        <v>1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9">
        <v>0.0</v>
      </c>
      <c r="T125" s="19">
        <v>0.0</v>
      </c>
      <c r="U125" s="19">
        <v>0.0</v>
      </c>
      <c r="V125" s="19">
        <v>0.0</v>
      </c>
      <c r="W125" s="19">
        <v>0.0</v>
      </c>
      <c r="X125" s="19">
        <v>0.0</v>
      </c>
      <c r="Y125" s="19">
        <v>0.0</v>
      </c>
      <c r="Z125" s="19">
        <v>0.0</v>
      </c>
      <c r="AA125" s="19">
        <v>0.0</v>
      </c>
      <c r="AB125" s="19">
        <v>0.0</v>
      </c>
      <c r="AC125" s="19">
        <v>0.0</v>
      </c>
      <c r="AD125" s="19">
        <v>0.0</v>
      </c>
      <c r="AE125" s="19">
        <v>0.0</v>
      </c>
      <c r="AF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0.0</v>
      </c>
      <c r="T126" s="19">
        <v>0.0</v>
      </c>
      <c r="U126" s="19">
        <v>0.0</v>
      </c>
      <c r="V126" s="19">
        <v>0.0</v>
      </c>
      <c r="W126" s="19">
        <v>0.0</v>
      </c>
      <c r="X126" s="19">
        <v>0.0</v>
      </c>
      <c r="Y126" s="19">
        <v>0.0</v>
      </c>
      <c r="Z126" s="19">
        <v>0.0</v>
      </c>
      <c r="AA126" s="19">
        <v>0.0</v>
      </c>
      <c r="AB126" s="19">
        <v>0.0</v>
      </c>
      <c r="AC126" s="19">
        <v>0.0</v>
      </c>
      <c r="AD126" s="19">
        <v>0.0</v>
      </c>
      <c r="AE126" s="19">
        <v>0.0</v>
      </c>
      <c r="AF126" s="13">
        <f t="shared" si="30"/>
        <v>0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9">
        <v>0.0</v>
      </c>
      <c r="T127" s="19">
        <v>0.0</v>
      </c>
      <c r="U127" s="19">
        <v>0.0</v>
      </c>
      <c r="V127" s="19">
        <v>0.0</v>
      </c>
      <c r="W127" s="19">
        <v>0.0</v>
      </c>
      <c r="X127" s="19">
        <v>0.0</v>
      </c>
      <c r="Y127" s="19">
        <v>0.0</v>
      </c>
      <c r="Z127" s="19">
        <v>0.0</v>
      </c>
      <c r="AA127" s="19">
        <v>0.0</v>
      </c>
      <c r="AB127" s="19">
        <v>0.0</v>
      </c>
      <c r="AC127" s="19">
        <v>0.0</v>
      </c>
      <c r="AD127" s="19">
        <v>0.0</v>
      </c>
      <c r="AE127" s="19">
        <v>0.0</v>
      </c>
      <c r="AF127" s="13">
        <f t="shared" si="30"/>
        <v>0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9">
        <v>0.0</v>
      </c>
      <c r="T128" s="19">
        <v>0.0</v>
      </c>
      <c r="U128" s="19">
        <v>0.0</v>
      </c>
      <c r="V128" s="19">
        <v>0.0</v>
      </c>
      <c r="W128" s="19">
        <v>0.0</v>
      </c>
      <c r="X128" s="19">
        <v>0.0</v>
      </c>
      <c r="Y128" s="19">
        <v>0.0</v>
      </c>
      <c r="Z128" s="19">
        <v>0.0</v>
      </c>
      <c r="AA128" s="19">
        <v>0.0</v>
      </c>
      <c r="AB128" s="19">
        <v>0.0</v>
      </c>
      <c r="AC128" s="19">
        <v>0.0</v>
      </c>
      <c r="AD128" s="19">
        <v>0.0</v>
      </c>
      <c r="AE128" s="19">
        <v>0.0</v>
      </c>
      <c r="AF128" s="13">
        <f t="shared" si="30"/>
        <v>0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AF129" si="31">SUM(E121:E128)</f>
        <v>0</v>
      </c>
      <c r="F129" s="13">
        <f t="shared" si="31"/>
        <v>0</v>
      </c>
      <c r="G129" s="13">
        <f t="shared" si="31"/>
        <v>1</v>
      </c>
      <c r="H129" s="13">
        <f t="shared" si="31"/>
        <v>0</v>
      </c>
      <c r="I129" s="13">
        <f t="shared" si="31"/>
        <v>1</v>
      </c>
      <c r="J129" s="13">
        <f t="shared" si="31"/>
        <v>0</v>
      </c>
      <c r="K129" s="13">
        <f t="shared" si="31"/>
        <v>0</v>
      </c>
      <c r="L129" s="13">
        <f t="shared" si="31"/>
        <v>0</v>
      </c>
      <c r="M129" s="13">
        <f t="shared" si="31"/>
        <v>0</v>
      </c>
      <c r="N129" s="13">
        <f t="shared" si="31"/>
        <v>0</v>
      </c>
      <c r="O129" s="13">
        <f t="shared" si="31"/>
        <v>0</v>
      </c>
      <c r="P129" s="13">
        <f t="shared" si="31"/>
        <v>0</v>
      </c>
      <c r="Q129" s="13">
        <f t="shared" si="31"/>
        <v>1</v>
      </c>
      <c r="R129" s="13">
        <f t="shared" si="31"/>
        <v>0</v>
      </c>
      <c r="S129" s="13">
        <f t="shared" si="31"/>
        <v>0</v>
      </c>
      <c r="T129" s="13">
        <f t="shared" si="31"/>
        <v>0</v>
      </c>
      <c r="U129" s="13">
        <f t="shared" si="31"/>
        <v>0</v>
      </c>
      <c r="V129" s="13">
        <f t="shared" si="31"/>
        <v>0</v>
      </c>
      <c r="W129" s="13">
        <f t="shared" si="31"/>
        <v>0</v>
      </c>
      <c r="X129" s="13">
        <f t="shared" si="31"/>
        <v>0</v>
      </c>
      <c r="Y129" s="13">
        <f t="shared" si="31"/>
        <v>0</v>
      </c>
      <c r="Z129" s="13">
        <f t="shared" si="31"/>
        <v>0</v>
      </c>
      <c r="AA129" s="13">
        <f t="shared" si="31"/>
        <v>0</v>
      </c>
      <c r="AB129" s="13">
        <f t="shared" si="31"/>
        <v>0</v>
      </c>
      <c r="AC129" s="13">
        <f t="shared" si="31"/>
        <v>0</v>
      </c>
      <c r="AD129" s="13">
        <f t="shared" si="31"/>
        <v>1</v>
      </c>
      <c r="AE129" s="13">
        <f t="shared" si="31"/>
        <v>0</v>
      </c>
      <c r="AF129" s="13">
        <f t="shared" si="31"/>
        <v>4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1.0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13">
        <f t="shared" ref="AF131:AF135" si="32">SUM(E132:AE132)</f>
        <v>7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0.0</v>
      </c>
      <c r="F132" s="19">
        <v>0.0</v>
      </c>
      <c r="G132" s="19">
        <v>0.0</v>
      </c>
      <c r="H132" s="19">
        <v>0.0</v>
      </c>
      <c r="I132" s="19">
        <v>1.0</v>
      </c>
      <c r="J132" s="19">
        <v>1.0</v>
      </c>
      <c r="K132" s="19">
        <v>0.0</v>
      </c>
      <c r="L132" s="19">
        <v>1.0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1.0</v>
      </c>
      <c r="V132" s="19">
        <v>0.0</v>
      </c>
      <c r="W132" s="19">
        <v>0.0</v>
      </c>
      <c r="X132" s="19">
        <v>1.0</v>
      </c>
      <c r="Y132" s="19">
        <v>0.0</v>
      </c>
      <c r="Z132" s="19">
        <v>2.0</v>
      </c>
      <c r="AA132" s="19">
        <v>0.0</v>
      </c>
      <c r="AB132" s="19">
        <v>0.0</v>
      </c>
      <c r="AC132" s="19">
        <v>0.0</v>
      </c>
      <c r="AD132" s="19">
        <v>0.0</v>
      </c>
      <c r="AE132" s="19">
        <v>0.0</v>
      </c>
      <c r="AF132" s="13">
        <f t="shared" si="32"/>
        <v>3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1.0</v>
      </c>
      <c r="R133" s="19">
        <v>0.0</v>
      </c>
      <c r="S133" s="19">
        <v>0.0</v>
      </c>
      <c r="T133" s="19">
        <v>1.0</v>
      </c>
      <c r="U133" s="19">
        <v>0.0</v>
      </c>
      <c r="V133" s="19">
        <v>0.0</v>
      </c>
      <c r="W133" s="19">
        <v>0.0</v>
      </c>
      <c r="X133" s="19">
        <v>0.0</v>
      </c>
      <c r="Y133" s="19">
        <v>1.0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3">
        <f t="shared" si="32"/>
        <v>1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1.0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0.0</v>
      </c>
      <c r="AE134" s="19">
        <v>0.0</v>
      </c>
      <c r="AF134" s="13">
        <f t="shared" si="32"/>
        <v>1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1.0</v>
      </c>
      <c r="AC135" s="19">
        <v>0.0</v>
      </c>
      <c r="AD135" s="19">
        <v>0.0</v>
      </c>
      <c r="AE135" s="19">
        <v>0.0</v>
      </c>
      <c r="AF135" s="13">
        <f t="shared" si="32"/>
        <v>13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AF136" si="33">SUM(E131:E135)</f>
        <v>1</v>
      </c>
      <c r="F136" s="13">
        <f t="shared" si="33"/>
        <v>0</v>
      </c>
      <c r="G136" s="13">
        <f t="shared" si="33"/>
        <v>0</v>
      </c>
      <c r="H136" s="13">
        <f t="shared" si="33"/>
        <v>0</v>
      </c>
      <c r="I136" s="13">
        <f t="shared" si="33"/>
        <v>1</v>
      </c>
      <c r="J136" s="13">
        <f t="shared" si="33"/>
        <v>1</v>
      </c>
      <c r="K136" s="13">
        <f t="shared" si="33"/>
        <v>0</v>
      </c>
      <c r="L136" s="13">
        <f t="shared" si="33"/>
        <v>1</v>
      </c>
      <c r="M136" s="13">
        <f t="shared" si="33"/>
        <v>0</v>
      </c>
      <c r="N136" s="13">
        <f t="shared" si="33"/>
        <v>0</v>
      </c>
      <c r="O136" s="13">
        <f t="shared" si="33"/>
        <v>0</v>
      </c>
      <c r="P136" s="13">
        <f t="shared" si="33"/>
        <v>0</v>
      </c>
      <c r="Q136" s="13">
        <f t="shared" si="33"/>
        <v>1</v>
      </c>
      <c r="R136" s="13">
        <f t="shared" si="33"/>
        <v>0</v>
      </c>
      <c r="S136" s="13">
        <f t="shared" si="33"/>
        <v>0</v>
      </c>
      <c r="T136" s="13">
        <f t="shared" si="33"/>
        <v>1</v>
      </c>
      <c r="U136" s="13">
        <f t="shared" si="33"/>
        <v>1</v>
      </c>
      <c r="V136" s="13">
        <f t="shared" si="33"/>
        <v>0</v>
      </c>
      <c r="W136" s="13">
        <f t="shared" si="33"/>
        <v>1</v>
      </c>
      <c r="X136" s="13">
        <f t="shared" si="33"/>
        <v>1</v>
      </c>
      <c r="Y136" s="13">
        <f t="shared" si="33"/>
        <v>1</v>
      </c>
      <c r="Z136" s="13">
        <f t="shared" si="33"/>
        <v>2</v>
      </c>
      <c r="AA136" s="13">
        <f t="shared" si="33"/>
        <v>0</v>
      </c>
      <c r="AB136" s="13">
        <f t="shared" si="33"/>
        <v>1</v>
      </c>
      <c r="AC136" s="13">
        <f t="shared" si="33"/>
        <v>0</v>
      </c>
      <c r="AD136" s="13">
        <f t="shared" si="33"/>
        <v>0</v>
      </c>
      <c r="AE136" s="13">
        <f t="shared" si="33"/>
        <v>0</v>
      </c>
      <c r="AF136" s="13">
        <f t="shared" si="33"/>
        <v>25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1.0</v>
      </c>
      <c r="J138" s="19">
        <v>0.0</v>
      </c>
      <c r="K138" s="19">
        <v>0.0</v>
      </c>
      <c r="L138" s="19">
        <v>0.0</v>
      </c>
      <c r="M138" s="19">
        <v>0.0</v>
      </c>
      <c r="N138" s="19">
        <v>1.0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9">
        <v>0.0</v>
      </c>
      <c r="V138" s="19">
        <v>0.0</v>
      </c>
      <c r="W138" s="19">
        <v>0.0</v>
      </c>
      <c r="X138" s="19">
        <v>0.0</v>
      </c>
      <c r="Y138" s="19">
        <v>0.0</v>
      </c>
      <c r="Z138" s="19">
        <v>0.0</v>
      </c>
      <c r="AA138" s="19">
        <v>1.0</v>
      </c>
      <c r="AB138" s="19">
        <v>0.0</v>
      </c>
      <c r="AC138" s="19">
        <v>0.0</v>
      </c>
      <c r="AD138" s="19">
        <v>0.0</v>
      </c>
      <c r="AE138" s="19">
        <v>0.0</v>
      </c>
      <c r="AF138" s="13">
        <f t="shared" ref="AF138:AF145" si="34">SUM(E138:AE138)</f>
        <v>3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0.0</v>
      </c>
      <c r="G139" s="19">
        <v>0.0</v>
      </c>
      <c r="H139" s="19">
        <v>1.0</v>
      </c>
      <c r="I139" s="19">
        <v>0.0</v>
      </c>
      <c r="J139" s="19">
        <v>0.0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0.0</v>
      </c>
      <c r="R139" s="19">
        <v>0.0</v>
      </c>
      <c r="S139" s="19">
        <v>0.0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9">
        <v>0.0</v>
      </c>
      <c r="AD139" s="19">
        <v>0.0</v>
      </c>
      <c r="AE139" s="19">
        <v>0.0</v>
      </c>
      <c r="AF139" s="13">
        <f t="shared" si="34"/>
        <v>1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1.0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2.0</v>
      </c>
      <c r="U140" s="19">
        <v>0.0</v>
      </c>
      <c r="V140" s="19">
        <v>0.0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1.0</v>
      </c>
      <c r="AB140" s="19">
        <v>0.0</v>
      </c>
      <c r="AC140" s="19">
        <v>0.0</v>
      </c>
      <c r="AD140" s="19">
        <v>0.0</v>
      </c>
      <c r="AE140" s="19">
        <v>0.0</v>
      </c>
      <c r="AF140" s="13">
        <f t="shared" si="34"/>
        <v>4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1.0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1.0</v>
      </c>
      <c r="AC141" s="19">
        <v>0.0</v>
      </c>
      <c r="AD141" s="19">
        <v>0.0</v>
      </c>
      <c r="AE141" s="19">
        <v>0.0</v>
      </c>
      <c r="AF141" s="13">
        <f t="shared" si="34"/>
        <v>2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1.0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1.0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3">
        <f t="shared" si="34"/>
        <v>2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3">
        <f t="shared" si="34"/>
        <v>0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3">
        <f t="shared" si="34"/>
        <v>0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AF146" si="35">SUM(E138:E145)</f>
        <v>0</v>
      </c>
      <c r="F146" s="13">
        <f t="shared" si="35"/>
        <v>1</v>
      </c>
      <c r="G146" s="13">
        <f t="shared" si="35"/>
        <v>1</v>
      </c>
      <c r="H146" s="13">
        <f t="shared" si="35"/>
        <v>1</v>
      </c>
      <c r="I146" s="13">
        <f t="shared" si="35"/>
        <v>1</v>
      </c>
      <c r="J146" s="13">
        <f t="shared" si="35"/>
        <v>1</v>
      </c>
      <c r="K146" s="13">
        <f t="shared" si="35"/>
        <v>0</v>
      </c>
      <c r="L146" s="13">
        <f t="shared" si="35"/>
        <v>0</v>
      </c>
      <c r="M146" s="13">
        <f t="shared" si="35"/>
        <v>0</v>
      </c>
      <c r="N146" s="13">
        <f t="shared" si="35"/>
        <v>1</v>
      </c>
      <c r="O146" s="13">
        <f t="shared" si="35"/>
        <v>0</v>
      </c>
      <c r="P146" s="13">
        <f t="shared" si="35"/>
        <v>0</v>
      </c>
      <c r="Q146" s="13">
        <f t="shared" si="35"/>
        <v>0</v>
      </c>
      <c r="R146" s="13">
        <f t="shared" si="35"/>
        <v>0</v>
      </c>
      <c r="S146" s="13">
        <f t="shared" si="35"/>
        <v>0</v>
      </c>
      <c r="T146" s="13">
        <f t="shared" si="35"/>
        <v>2</v>
      </c>
      <c r="U146" s="13">
        <f t="shared" si="35"/>
        <v>0</v>
      </c>
      <c r="V146" s="13">
        <f t="shared" si="35"/>
        <v>0</v>
      </c>
      <c r="W146" s="13">
        <f t="shared" si="35"/>
        <v>0</v>
      </c>
      <c r="X146" s="13">
        <f t="shared" si="35"/>
        <v>0</v>
      </c>
      <c r="Y146" s="13">
        <f t="shared" si="35"/>
        <v>1</v>
      </c>
      <c r="Z146" s="13">
        <f t="shared" si="35"/>
        <v>0</v>
      </c>
      <c r="AA146" s="13">
        <f t="shared" si="35"/>
        <v>2</v>
      </c>
      <c r="AB146" s="13">
        <f t="shared" si="35"/>
        <v>1</v>
      </c>
      <c r="AC146" s="13">
        <f t="shared" si="35"/>
        <v>0</v>
      </c>
      <c r="AD146" s="13">
        <f t="shared" si="35"/>
        <v>0</v>
      </c>
      <c r="AE146" s="13">
        <f t="shared" si="35"/>
        <v>0</v>
      </c>
      <c r="AF146" s="13">
        <f t="shared" si="35"/>
        <v>12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0.0</v>
      </c>
      <c r="F148" s="19">
        <v>2.0</v>
      </c>
      <c r="G148" s="19">
        <v>1.0</v>
      </c>
      <c r="H148" s="19">
        <v>1.0</v>
      </c>
      <c r="I148" s="19">
        <v>2.0</v>
      </c>
      <c r="J148" s="19">
        <v>0.0</v>
      </c>
      <c r="K148" s="19">
        <v>0.0</v>
      </c>
      <c r="L148" s="19">
        <v>0.0</v>
      </c>
      <c r="M148" s="19">
        <v>1.0</v>
      </c>
      <c r="N148" s="19">
        <v>2.0</v>
      </c>
      <c r="O148" s="19">
        <v>0.0</v>
      </c>
      <c r="P148" s="19">
        <v>0.0</v>
      </c>
      <c r="Q148" s="19">
        <v>0.0</v>
      </c>
      <c r="R148" s="19">
        <v>1.0</v>
      </c>
      <c r="S148" s="19">
        <v>0.0</v>
      </c>
      <c r="T148" s="19">
        <v>1.0</v>
      </c>
      <c r="U148" s="19">
        <v>1.0</v>
      </c>
      <c r="V148" s="19">
        <v>0.0</v>
      </c>
      <c r="W148" s="19">
        <v>0.0</v>
      </c>
      <c r="X148" s="19">
        <v>0.0</v>
      </c>
      <c r="Y148" s="19">
        <v>2.0</v>
      </c>
      <c r="Z148" s="19">
        <v>0.0</v>
      </c>
      <c r="AA148" s="19">
        <v>0.0</v>
      </c>
      <c r="AB148" s="19">
        <v>0.0</v>
      </c>
      <c r="AC148" s="19">
        <v>0.0</v>
      </c>
      <c r="AD148" s="19">
        <v>0.0</v>
      </c>
      <c r="AE148" s="19">
        <v>0.0</v>
      </c>
      <c r="AF148" s="13">
        <f t="shared" ref="AF148:AF155" si="36">SUM(E148:AE148)</f>
        <v>14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0.0</v>
      </c>
      <c r="F149" s="19">
        <v>2.0</v>
      </c>
      <c r="G149" s="19">
        <v>0.0</v>
      </c>
      <c r="H149" s="19">
        <v>1.0</v>
      </c>
      <c r="I149" s="19">
        <v>0.0</v>
      </c>
      <c r="J149" s="19">
        <v>1.0</v>
      </c>
      <c r="K149" s="19">
        <v>0.0</v>
      </c>
      <c r="L149" s="19">
        <v>1.0</v>
      </c>
      <c r="M149" s="19">
        <v>0.0</v>
      </c>
      <c r="N149" s="19">
        <v>3.0</v>
      </c>
      <c r="O149" s="19">
        <v>1.0</v>
      </c>
      <c r="P149" s="19">
        <v>0.0</v>
      </c>
      <c r="Q149" s="19">
        <v>0.0</v>
      </c>
      <c r="R149" s="19">
        <v>0.0</v>
      </c>
      <c r="S149" s="19">
        <v>0.0</v>
      </c>
      <c r="T149" s="19">
        <v>0.0</v>
      </c>
      <c r="U149" s="19">
        <v>0.0</v>
      </c>
      <c r="V149" s="19">
        <v>0.0</v>
      </c>
      <c r="W149" s="19">
        <v>0.0</v>
      </c>
      <c r="X149" s="19">
        <v>0.0</v>
      </c>
      <c r="Y149" s="19">
        <v>0.0</v>
      </c>
      <c r="Z149" s="19">
        <v>0.0</v>
      </c>
      <c r="AA149" s="19">
        <v>1.0</v>
      </c>
      <c r="AB149" s="19">
        <v>0.0</v>
      </c>
      <c r="AC149" s="19">
        <v>0.0</v>
      </c>
      <c r="AD149" s="19">
        <v>0.0</v>
      </c>
      <c r="AE149" s="19">
        <v>0.0</v>
      </c>
      <c r="AF149" s="13">
        <f t="shared" si="36"/>
        <v>10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0.0</v>
      </c>
      <c r="F150" s="19">
        <v>0.0</v>
      </c>
      <c r="G150" s="19">
        <v>1.0</v>
      </c>
      <c r="H150" s="19">
        <v>0.0</v>
      </c>
      <c r="I150" s="19">
        <v>0.0</v>
      </c>
      <c r="J150" s="19">
        <v>0.0</v>
      </c>
      <c r="K150" s="19">
        <v>0.0</v>
      </c>
      <c r="L150" s="19">
        <v>1.0</v>
      </c>
      <c r="M150" s="19">
        <v>0.0</v>
      </c>
      <c r="N150" s="19">
        <v>3.0</v>
      </c>
      <c r="O150" s="19">
        <v>0.0</v>
      </c>
      <c r="P150" s="19">
        <v>0.0</v>
      </c>
      <c r="Q150" s="19">
        <v>0.0</v>
      </c>
      <c r="R150" s="19">
        <v>0.0</v>
      </c>
      <c r="S150" s="19">
        <v>1.0</v>
      </c>
      <c r="T150" s="19">
        <v>0.0</v>
      </c>
      <c r="U150" s="19">
        <v>0.0</v>
      </c>
      <c r="V150" s="19">
        <v>0.0</v>
      </c>
      <c r="W150" s="19">
        <v>0.0</v>
      </c>
      <c r="X150" s="19">
        <v>0.0</v>
      </c>
      <c r="Y150" s="19">
        <v>0.0</v>
      </c>
      <c r="Z150" s="19">
        <v>0.0</v>
      </c>
      <c r="AA150" s="19">
        <v>0.0</v>
      </c>
      <c r="AB150" s="19">
        <v>0.0</v>
      </c>
      <c r="AC150" s="19">
        <v>0.0</v>
      </c>
      <c r="AD150" s="19">
        <v>1.0</v>
      </c>
      <c r="AE150" s="19">
        <v>0.0</v>
      </c>
      <c r="AF150" s="13">
        <f t="shared" si="36"/>
        <v>7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1.0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0.0</v>
      </c>
      <c r="AA151" s="19">
        <v>0.0</v>
      </c>
      <c r="AB151" s="19">
        <v>0.0</v>
      </c>
      <c r="AC151" s="19">
        <v>0.0</v>
      </c>
      <c r="AD151" s="19">
        <v>0.0</v>
      </c>
      <c r="AE151" s="19">
        <v>0.0</v>
      </c>
      <c r="AF151" s="13">
        <f t="shared" si="36"/>
        <v>1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1.0</v>
      </c>
      <c r="G152" s="19">
        <v>0.0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1.0</v>
      </c>
      <c r="P152" s="19">
        <v>0.0</v>
      </c>
      <c r="Q152" s="19">
        <v>0.0</v>
      </c>
      <c r="R152" s="19">
        <v>0.0</v>
      </c>
      <c r="S152" s="19">
        <v>0.0</v>
      </c>
      <c r="T152" s="19">
        <v>0.0</v>
      </c>
      <c r="U152" s="19">
        <v>0.0</v>
      </c>
      <c r="V152" s="19">
        <v>0.0</v>
      </c>
      <c r="W152" s="19">
        <v>0.0</v>
      </c>
      <c r="X152" s="19">
        <v>0.0</v>
      </c>
      <c r="Y152" s="19">
        <v>0.0</v>
      </c>
      <c r="Z152" s="19">
        <v>0.0</v>
      </c>
      <c r="AA152" s="19">
        <v>0.0</v>
      </c>
      <c r="AB152" s="19">
        <v>0.0</v>
      </c>
      <c r="AC152" s="19">
        <v>0.0</v>
      </c>
      <c r="AD152" s="19">
        <v>0.0</v>
      </c>
      <c r="AE152" s="19">
        <v>0.0</v>
      </c>
      <c r="AF152" s="13">
        <f t="shared" si="36"/>
        <v>2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3">
        <f t="shared" si="36"/>
        <v>0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3">
        <f t="shared" si="36"/>
        <v>0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1.0</v>
      </c>
      <c r="F155" s="19">
        <v>0.0</v>
      </c>
      <c r="G155" s="19">
        <v>2.0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4.0</v>
      </c>
      <c r="U155" s="19">
        <v>0.0</v>
      </c>
      <c r="V155" s="19">
        <v>0.0</v>
      </c>
      <c r="W155" s="19">
        <v>0.0</v>
      </c>
      <c r="X155" s="19">
        <v>0.0</v>
      </c>
      <c r="Y155" s="19">
        <v>1.0</v>
      </c>
      <c r="Z155" s="19">
        <v>0.0</v>
      </c>
      <c r="AA155" s="19">
        <v>0.0</v>
      </c>
      <c r="AB155" s="19">
        <v>2.0</v>
      </c>
      <c r="AC155" s="19">
        <v>0.0</v>
      </c>
      <c r="AD155" s="19">
        <v>0.0</v>
      </c>
      <c r="AE155" s="19">
        <v>0.0</v>
      </c>
      <c r="AF155" s="13">
        <f t="shared" si="36"/>
        <v>10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AF156" si="37">SUM(E148:E155)</f>
        <v>1</v>
      </c>
      <c r="F156" s="13">
        <f t="shared" si="37"/>
        <v>5</v>
      </c>
      <c r="G156" s="13">
        <f t="shared" si="37"/>
        <v>4</v>
      </c>
      <c r="H156" s="13">
        <f t="shared" si="37"/>
        <v>2</v>
      </c>
      <c r="I156" s="13">
        <f t="shared" si="37"/>
        <v>2</v>
      </c>
      <c r="J156" s="13">
        <f t="shared" si="37"/>
        <v>1</v>
      </c>
      <c r="K156" s="13">
        <f t="shared" si="37"/>
        <v>0</v>
      </c>
      <c r="L156" s="13">
        <f t="shared" si="37"/>
        <v>2</v>
      </c>
      <c r="M156" s="13">
        <f t="shared" si="37"/>
        <v>1</v>
      </c>
      <c r="N156" s="13">
        <f t="shared" si="37"/>
        <v>9</v>
      </c>
      <c r="O156" s="13">
        <f t="shared" si="37"/>
        <v>2</v>
      </c>
      <c r="P156" s="13">
        <f t="shared" si="37"/>
        <v>0</v>
      </c>
      <c r="Q156" s="13">
        <f t="shared" si="37"/>
        <v>0</v>
      </c>
      <c r="R156" s="13">
        <f t="shared" si="37"/>
        <v>1</v>
      </c>
      <c r="S156" s="13">
        <f t="shared" si="37"/>
        <v>1</v>
      </c>
      <c r="T156" s="13">
        <f t="shared" si="37"/>
        <v>5</v>
      </c>
      <c r="U156" s="13">
        <f t="shared" si="37"/>
        <v>1</v>
      </c>
      <c r="V156" s="13">
        <f t="shared" si="37"/>
        <v>0</v>
      </c>
      <c r="W156" s="13">
        <f t="shared" si="37"/>
        <v>0</v>
      </c>
      <c r="X156" s="13">
        <f t="shared" si="37"/>
        <v>0</v>
      </c>
      <c r="Y156" s="13">
        <f t="shared" si="37"/>
        <v>3</v>
      </c>
      <c r="Z156" s="13">
        <f t="shared" si="37"/>
        <v>0</v>
      </c>
      <c r="AA156" s="13">
        <f t="shared" si="37"/>
        <v>1</v>
      </c>
      <c r="AB156" s="13">
        <f t="shared" si="37"/>
        <v>2</v>
      </c>
      <c r="AC156" s="13">
        <f t="shared" si="37"/>
        <v>0</v>
      </c>
      <c r="AD156" s="13">
        <f t="shared" si="37"/>
        <v>1</v>
      </c>
      <c r="AE156" s="13">
        <f t="shared" si="37"/>
        <v>0</v>
      </c>
      <c r="AF156" s="13">
        <f t="shared" si="37"/>
        <v>44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0.0</v>
      </c>
      <c r="G158" s="19">
        <v>0.0</v>
      </c>
      <c r="H158" s="19">
        <v>0.0</v>
      </c>
      <c r="I158" s="19">
        <v>0.0</v>
      </c>
      <c r="J158" s="19">
        <v>1.0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9">
        <v>1.0</v>
      </c>
      <c r="S158" s="19">
        <v>0.0</v>
      </c>
      <c r="T158" s="19">
        <v>1.0</v>
      </c>
      <c r="U158" s="19">
        <v>0.0</v>
      </c>
      <c r="V158" s="19">
        <v>0.0</v>
      </c>
      <c r="W158" s="19">
        <v>0.0</v>
      </c>
      <c r="X158" s="19">
        <v>1.0</v>
      </c>
      <c r="Y158" s="19">
        <v>0.0</v>
      </c>
      <c r="Z158" s="19">
        <v>0.0</v>
      </c>
      <c r="AA158" s="19">
        <v>1.0</v>
      </c>
      <c r="AB158" s="19">
        <v>0.0</v>
      </c>
      <c r="AC158" s="19">
        <v>0.0</v>
      </c>
      <c r="AD158" s="19">
        <v>0.0</v>
      </c>
      <c r="AE158" s="19">
        <v>0.0</v>
      </c>
      <c r="AF158" s="13">
        <f t="shared" ref="AF158:AF165" si="38">SUM(E158:AE158)</f>
        <v>5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1.0</v>
      </c>
      <c r="S159" s="19">
        <v>0.0</v>
      </c>
      <c r="T159" s="19">
        <v>0.0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0.0</v>
      </c>
      <c r="AA159" s="19">
        <v>0.0</v>
      </c>
      <c r="AB159" s="19">
        <v>0.0</v>
      </c>
      <c r="AC159" s="19">
        <v>0.0</v>
      </c>
      <c r="AD159" s="19">
        <v>0.0</v>
      </c>
      <c r="AE159" s="19">
        <v>0.0</v>
      </c>
      <c r="AF159" s="13">
        <f t="shared" si="38"/>
        <v>1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1.0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1.0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9">
        <v>1.0</v>
      </c>
      <c r="Y160" s="19">
        <v>1.0</v>
      </c>
      <c r="Z160" s="19">
        <v>0.0</v>
      </c>
      <c r="AA160" s="19">
        <v>0.0</v>
      </c>
      <c r="AB160" s="19">
        <v>0.0</v>
      </c>
      <c r="AC160" s="19">
        <v>0.0</v>
      </c>
      <c r="AD160" s="19">
        <v>0.0</v>
      </c>
      <c r="AE160" s="19">
        <v>0.0</v>
      </c>
      <c r="AF160" s="13">
        <f t="shared" si="38"/>
        <v>4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0.0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9">
        <v>0.0</v>
      </c>
      <c r="Y161" s="19">
        <v>0.0</v>
      </c>
      <c r="Z161" s="19">
        <v>0.0</v>
      </c>
      <c r="AA161" s="19">
        <v>0.0</v>
      </c>
      <c r="AB161" s="19">
        <v>0.0</v>
      </c>
      <c r="AC161" s="19">
        <v>0.0</v>
      </c>
      <c r="AD161" s="19">
        <v>0.0</v>
      </c>
      <c r="AE161" s="19">
        <v>0.0</v>
      </c>
      <c r="AF161" s="13">
        <f t="shared" si="38"/>
        <v>0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1.0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1.0</v>
      </c>
      <c r="T162" s="19">
        <v>0.0</v>
      </c>
      <c r="U162" s="19">
        <v>0.0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0.0</v>
      </c>
      <c r="AB162" s="19">
        <v>0.0</v>
      </c>
      <c r="AC162" s="19">
        <v>0.0</v>
      </c>
      <c r="AD162" s="19">
        <v>0.0</v>
      </c>
      <c r="AE162" s="19">
        <v>0.0</v>
      </c>
      <c r="AF162" s="13">
        <f t="shared" si="38"/>
        <v>2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0.0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9">
        <v>0.0</v>
      </c>
      <c r="AD163" s="19">
        <v>0.0</v>
      </c>
      <c r="AE163" s="19">
        <v>0.0</v>
      </c>
      <c r="AF163" s="13">
        <f t="shared" si="38"/>
        <v>0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9">
        <v>0.0</v>
      </c>
      <c r="W164" s="19">
        <v>0.0</v>
      </c>
      <c r="X164" s="19">
        <v>0.0</v>
      </c>
      <c r="Y164" s="19">
        <v>0.0</v>
      </c>
      <c r="Z164" s="19">
        <v>0.0</v>
      </c>
      <c r="AA164" s="19">
        <v>0.0</v>
      </c>
      <c r="AB164" s="19">
        <v>0.0</v>
      </c>
      <c r="AC164" s="19">
        <v>0.0</v>
      </c>
      <c r="AD164" s="19">
        <v>0.0</v>
      </c>
      <c r="AE164" s="19">
        <v>0.0</v>
      </c>
      <c r="AF164" s="13">
        <f t="shared" si="38"/>
        <v>0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0.0</v>
      </c>
      <c r="S165" s="19">
        <v>2.0</v>
      </c>
      <c r="T165" s="19">
        <v>2.0</v>
      </c>
      <c r="U165" s="19">
        <v>0.0</v>
      </c>
      <c r="V165" s="19">
        <v>2.0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3">
        <f t="shared" si="38"/>
        <v>7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AF166" si="39">SUM(E158:E165)</f>
        <v>0</v>
      </c>
      <c r="F166" s="13">
        <f t="shared" si="39"/>
        <v>2</v>
      </c>
      <c r="G166" s="13">
        <f t="shared" si="39"/>
        <v>0</v>
      </c>
      <c r="H166" s="13">
        <f t="shared" si="39"/>
        <v>0</v>
      </c>
      <c r="I166" s="13">
        <f t="shared" si="39"/>
        <v>0</v>
      </c>
      <c r="J166" s="13">
        <f t="shared" si="39"/>
        <v>1</v>
      </c>
      <c r="K166" s="13">
        <f t="shared" si="39"/>
        <v>0</v>
      </c>
      <c r="L166" s="13">
        <f t="shared" si="39"/>
        <v>0</v>
      </c>
      <c r="M166" s="13">
        <f t="shared" si="39"/>
        <v>0</v>
      </c>
      <c r="N166" s="13">
        <f t="shared" si="39"/>
        <v>0</v>
      </c>
      <c r="O166" s="13">
        <f t="shared" si="39"/>
        <v>0</v>
      </c>
      <c r="P166" s="13">
        <f t="shared" si="39"/>
        <v>0</v>
      </c>
      <c r="Q166" s="13">
        <f t="shared" si="39"/>
        <v>1</v>
      </c>
      <c r="R166" s="13">
        <f t="shared" si="39"/>
        <v>3</v>
      </c>
      <c r="S166" s="13">
        <f t="shared" si="39"/>
        <v>3</v>
      </c>
      <c r="T166" s="13">
        <f t="shared" si="39"/>
        <v>3</v>
      </c>
      <c r="U166" s="13">
        <f t="shared" si="39"/>
        <v>0</v>
      </c>
      <c r="V166" s="13">
        <f t="shared" si="39"/>
        <v>2</v>
      </c>
      <c r="W166" s="13">
        <f t="shared" si="39"/>
        <v>0</v>
      </c>
      <c r="X166" s="13">
        <f t="shared" si="39"/>
        <v>2</v>
      </c>
      <c r="Y166" s="13">
        <f t="shared" si="39"/>
        <v>1</v>
      </c>
      <c r="Z166" s="13">
        <f t="shared" si="39"/>
        <v>0</v>
      </c>
      <c r="AA166" s="13">
        <f t="shared" si="39"/>
        <v>1</v>
      </c>
      <c r="AB166" s="13">
        <f t="shared" si="39"/>
        <v>0</v>
      </c>
      <c r="AC166" s="13">
        <f t="shared" si="39"/>
        <v>0</v>
      </c>
      <c r="AD166" s="13">
        <f t="shared" si="39"/>
        <v>0</v>
      </c>
      <c r="AE166" s="13">
        <f t="shared" si="39"/>
        <v>0</v>
      </c>
      <c r="AF166" s="13">
        <f t="shared" si="39"/>
        <v>19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8.0</v>
      </c>
      <c r="F168" s="19">
        <v>17.0</v>
      </c>
      <c r="G168" s="19">
        <v>2.0</v>
      </c>
      <c r="H168" s="19">
        <v>5.0</v>
      </c>
      <c r="I168" s="19">
        <v>7.0</v>
      </c>
      <c r="J168" s="19">
        <v>8.0</v>
      </c>
      <c r="K168" s="19">
        <v>11.0</v>
      </c>
      <c r="L168" s="19">
        <v>4.0</v>
      </c>
      <c r="M168" s="19">
        <v>6.0</v>
      </c>
      <c r="N168" s="19">
        <v>3.0</v>
      </c>
      <c r="O168" s="19">
        <v>3.0</v>
      </c>
      <c r="P168" s="19">
        <v>1.0</v>
      </c>
      <c r="Q168" s="19">
        <v>1.0</v>
      </c>
      <c r="R168" s="19">
        <v>2.0</v>
      </c>
      <c r="S168" s="19">
        <v>5.0</v>
      </c>
      <c r="T168" s="19">
        <v>4.0</v>
      </c>
      <c r="U168" s="19">
        <v>4.0</v>
      </c>
      <c r="V168" s="19">
        <v>2.0</v>
      </c>
      <c r="W168" s="19">
        <v>5.0</v>
      </c>
      <c r="X168" s="19">
        <v>3.0</v>
      </c>
      <c r="Y168" s="19">
        <v>4.0</v>
      </c>
      <c r="Z168" s="19">
        <v>0.0</v>
      </c>
      <c r="AA168" s="19">
        <v>4.0</v>
      </c>
      <c r="AB168" s="19">
        <v>2.0</v>
      </c>
      <c r="AC168" s="19">
        <v>5.0</v>
      </c>
      <c r="AD168" s="19">
        <v>3.0</v>
      </c>
      <c r="AE168" s="19">
        <v>3.0</v>
      </c>
      <c r="AF168" s="13">
        <f t="shared" ref="AF168:AF175" si="40">SUM(E168:AE168)</f>
        <v>122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32.0</v>
      </c>
      <c r="F169" s="19">
        <v>21.0</v>
      </c>
      <c r="G169" s="19">
        <v>16.0</v>
      </c>
      <c r="H169" s="19">
        <v>15.0</v>
      </c>
      <c r="I169" s="19">
        <v>18.0</v>
      </c>
      <c r="J169" s="19">
        <v>44.0</v>
      </c>
      <c r="K169" s="19">
        <v>15.0</v>
      </c>
      <c r="L169" s="19">
        <v>32.0</v>
      </c>
      <c r="M169" s="19">
        <v>44.0</v>
      </c>
      <c r="N169" s="19">
        <v>12.0</v>
      </c>
      <c r="O169" s="19">
        <v>15.0</v>
      </c>
      <c r="P169" s="19">
        <v>10.0</v>
      </c>
      <c r="Q169" s="19">
        <v>8.0</v>
      </c>
      <c r="R169" s="19">
        <v>3.0</v>
      </c>
      <c r="S169" s="19">
        <v>10.0</v>
      </c>
      <c r="T169" s="19">
        <v>9.0</v>
      </c>
      <c r="U169" s="19">
        <v>8.0</v>
      </c>
      <c r="V169" s="19">
        <v>5.0</v>
      </c>
      <c r="W169" s="19">
        <v>10.0</v>
      </c>
      <c r="X169" s="19">
        <v>1.0</v>
      </c>
      <c r="Y169" s="19">
        <v>14.0</v>
      </c>
      <c r="Z169" s="19">
        <v>11.0</v>
      </c>
      <c r="AA169" s="19">
        <v>42.0</v>
      </c>
      <c r="AB169" s="19">
        <v>32.0</v>
      </c>
      <c r="AC169" s="19">
        <v>44.0</v>
      </c>
      <c r="AD169" s="19">
        <v>30.0</v>
      </c>
      <c r="AE169" s="19">
        <v>21.0</v>
      </c>
      <c r="AF169" s="13">
        <f t="shared" si="40"/>
        <v>522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1.0</v>
      </c>
      <c r="F170" s="19">
        <v>3.0</v>
      </c>
      <c r="G170" s="19">
        <v>4.0</v>
      </c>
      <c r="H170" s="19">
        <v>0.0</v>
      </c>
      <c r="I170" s="19">
        <v>0.0</v>
      </c>
      <c r="J170" s="19">
        <v>6.0</v>
      </c>
      <c r="K170" s="19">
        <v>2.0</v>
      </c>
      <c r="L170" s="19">
        <v>3.0</v>
      </c>
      <c r="M170" s="19">
        <v>2.0</v>
      </c>
      <c r="N170" s="19">
        <v>1.0</v>
      </c>
      <c r="O170" s="19">
        <v>0.0</v>
      </c>
      <c r="P170" s="19">
        <v>3.0</v>
      </c>
      <c r="Q170" s="19">
        <v>1.0</v>
      </c>
      <c r="R170" s="19">
        <v>0.0</v>
      </c>
      <c r="S170" s="19">
        <v>3.0</v>
      </c>
      <c r="T170" s="19">
        <v>2.0</v>
      </c>
      <c r="U170" s="19">
        <v>0.0</v>
      </c>
      <c r="V170" s="19">
        <v>3.0</v>
      </c>
      <c r="W170" s="19">
        <v>3.0</v>
      </c>
      <c r="X170" s="19">
        <v>3.0</v>
      </c>
      <c r="Y170" s="19">
        <v>1.0</v>
      </c>
      <c r="Z170" s="19">
        <v>1.0</v>
      </c>
      <c r="AA170" s="19">
        <v>1.0</v>
      </c>
      <c r="AB170" s="19">
        <v>3.0</v>
      </c>
      <c r="AC170" s="19">
        <v>1.0</v>
      </c>
      <c r="AD170" s="19">
        <v>1.0</v>
      </c>
      <c r="AE170" s="19">
        <v>1.0</v>
      </c>
      <c r="AF170" s="13">
        <f t="shared" si="40"/>
        <v>49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0.0</v>
      </c>
      <c r="F171" s="19">
        <v>4.0</v>
      </c>
      <c r="G171" s="19">
        <v>1.0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3.0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1.0</v>
      </c>
      <c r="W171" s="19">
        <v>0.0</v>
      </c>
      <c r="X171" s="19">
        <v>0.0</v>
      </c>
      <c r="Y171" s="19">
        <v>0.0</v>
      </c>
      <c r="Z171" s="19">
        <v>1.0</v>
      </c>
      <c r="AA171" s="19">
        <v>0.0</v>
      </c>
      <c r="AB171" s="19">
        <v>0.0</v>
      </c>
      <c r="AC171" s="19">
        <v>0.0</v>
      </c>
      <c r="AD171" s="19">
        <v>1.0</v>
      </c>
      <c r="AE171" s="19">
        <v>0.0</v>
      </c>
      <c r="AF171" s="13">
        <f t="shared" si="40"/>
        <v>11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1.0</v>
      </c>
      <c r="F172" s="19">
        <v>1.0</v>
      </c>
      <c r="G172" s="19">
        <v>1.0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1.0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1.0</v>
      </c>
      <c r="W172" s="19">
        <v>0.0</v>
      </c>
      <c r="X172" s="19">
        <v>0.0</v>
      </c>
      <c r="Y172" s="19">
        <v>1.0</v>
      </c>
      <c r="Z172" s="19">
        <v>0.0</v>
      </c>
      <c r="AA172" s="19">
        <v>0.0</v>
      </c>
      <c r="AB172" s="19">
        <v>0.0</v>
      </c>
      <c r="AC172" s="19">
        <v>1.0</v>
      </c>
      <c r="AD172" s="19">
        <v>0.0</v>
      </c>
      <c r="AE172" s="19">
        <v>0.0</v>
      </c>
      <c r="AF172" s="13">
        <f t="shared" si="40"/>
        <v>7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0.0</v>
      </c>
      <c r="F173" s="19">
        <v>0.0</v>
      </c>
      <c r="G173" s="19">
        <v>0.0</v>
      </c>
      <c r="H173" s="19">
        <v>0.0</v>
      </c>
      <c r="I173" s="19">
        <v>0.0</v>
      </c>
      <c r="J173" s="19">
        <v>0.0</v>
      </c>
      <c r="K173" s="19">
        <v>0.0</v>
      </c>
      <c r="L173" s="19">
        <v>0.0</v>
      </c>
      <c r="M173" s="19">
        <v>0.0</v>
      </c>
      <c r="N173" s="19">
        <v>1.0</v>
      </c>
      <c r="O173" s="19">
        <v>0.0</v>
      </c>
      <c r="P173" s="19">
        <v>0.0</v>
      </c>
      <c r="Q173" s="19">
        <v>0.0</v>
      </c>
      <c r="R173" s="19">
        <v>0.0</v>
      </c>
      <c r="S173" s="19">
        <v>0.0</v>
      </c>
      <c r="T173" s="19">
        <v>0.0</v>
      </c>
      <c r="U173" s="19">
        <v>0.0</v>
      </c>
      <c r="V173" s="19">
        <v>0.0</v>
      </c>
      <c r="W173" s="19">
        <v>0.0</v>
      </c>
      <c r="X173" s="19">
        <v>0.0</v>
      </c>
      <c r="Y173" s="19">
        <v>0.0</v>
      </c>
      <c r="Z173" s="19">
        <v>0.0</v>
      </c>
      <c r="AA173" s="19">
        <v>0.0</v>
      </c>
      <c r="AB173" s="19">
        <v>0.0</v>
      </c>
      <c r="AC173" s="19">
        <v>1.0</v>
      </c>
      <c r="AD173" s="19">
        <v>0.0</v>
      </c>
      <c r="AE173" s="19">
        <v>0.0</v>
      </c>
      <c r="AF173" s="13">
        <f t="shared" si="40"/>
        <v>2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0.0</v>
      </c>
      <c r="F174" s="19">
        <v>0.0</v>
      </c>
      <c r="G174" s="19">
        <v>1.0</v>
      </c>
      <c r="H174" s="19">
        <v>0.0</v>
      </c>
      <c r="I174" s="19">
        <v>0.0</v>
      </c>
      <c r="J174" s="19">
        <v>1.0</v>
      </c>
      <c r="K174" s="19">
        <v>0.0</v>
      </c>
      <c r="L174" s="19">
        <v>0.0</v>
      </c>
      <c r="M174" s="19">
        <v>0.0</v>
      </c>
      <c r="N174" s="19">
        <v>0.0</v>
      </c>
      <c r="O174" s="19">
        <v>1.0</v>
      </c>
      <c r="P174" s="19">
        <v>0.0</v>
      </c>
      <c r="Q174" s="19">
        <v>0.0</v>
      </c>
      <c r="R174" s="19">
        <v>0.0</v>
      </c>
      <c r="S174" s="19">
        <v>0.0</v>
      </c>
      <c r="T174" s="19">
        <v>0.0</v>
      </c>
      <c r="U174" s="19">
        <v>0.0</v>
      </c>
      <c r="V174" s="19">
        <v>1.0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1.0</v>
      </c>
      <c r="AB174" s="19">
        <v>0.0</v>
      </c>
      <c r="AC174" s="19">
        <v>1.0</v>
      </c>
      <c r="AD174" s="19">
        <v>0.0</v>
      </c>
      <c r="AE174" s="19">
        <v>0.0</v>
      </c>
      <c r="AF174" s="13">
        <f t="shared" si="40"/>
        <v>6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1.0</v>
      </c>
      <c r="F175" s="19">
        <v>2.0</v>
      </c>
      <c r="G175" s="19">
        <v>1.0</v>
      </c>
      <c r="H175" s="19">
        <v>0.0</v>
      </c>
      <c r="I175" s="19">
        <v>1.0</v>
      </c>
      <c r="J175" s="19">
        <v>0.0</v>
      </c>
      <c r="K175" s="19">
        <v>1.0</v>
      </c>
      <c r="L175" s="19">
        <v>0.0</v>
      </c>
      <c r="M175" s="19">
        <v>0.0</v>
      </c>
      <c r="N175" s="19">
        <v>1.0</v>
      </c>
      <c r="O175" s="19">
        <v>0.0</v>
      </c>
      <c r="P175" s="19">
        <v>0.0</v>
      </c>
      <c r="Q175" s="19">
        <v>0.0</v>
      </c>
      <c r="R175" s="19">
        <v>0.0</v>
      </c>
      <c r="S175" s="19">
        <v>0.0</v>
      </c>
      <c r="T175" s="19">
        <v>0.0</v>
      </c>
      <c r="U175" s="19">
        <v>0.0</v>
      </c>
      <c r="V175" s="19">
        <v>0.0</v>
      </c>
      <c r="W175" s="19">
        <v>0.0</v>
      </c>
      <c r="X175" s="19">
        <v>1.0</v>
      </c>
      <c r="Y175" s="19">
        <v>1.0</v>
      </c>
      <c r="Z175" s="19">
        <v>0.0</v>
      </c>
      <c r="AA175" s="19">
        <v>1.0</v>
      </c>
      <c r="AB175" s="19">
        <v>0.0</v>
      </c>
      <c r="AC175" s="19">
        <v>0.0</v>
      </c>
      <c r="AD175" s="19">
        <v>0.0</v>
      </c>
      <c r="AE175" s="19">
        <v>0.0</v>
      </c>
      <c r="AF175" s="13">
        <f t="shared" si="40"/>
        <v>10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AF176" si="41">SUM(E168:E175)</f>
        <v>43</v>
      </c>
      <c r="F176" s="13">
        <f t="shared" si="41"/>
        <v>48</v>
      </c>
      <c r="G176" s="13">
        <f t="shared" si="41"/>
        <v>26</v>
      </c>
      <c r="H176" s="13">
        <f t="shared" si="41"/>
        <v>20</v>
      </c>
      <c r="I176" s="13">
        <f t="shared" si="41"/>
        <v>26</v>
      </c>
      <c r="J176" s="13">
        <f t="shared" si="41"/>
        <v>59</v>
      </c>
      <c r="K176" s="13">
        <f t="shared" si="41"/>
        <v>29</v>
      </c>
      <c r="L176" s="13">
        <f t="shared" si="41"/>
        <v>39</v>
      </c>
      <c r="M176" s="13">
        <f t="shared" si="41"/>
        <v>56</v>
      </c>
      <c r="N176" s="13">
        <f t="shared" si="41"/>
        <v>18</v>
      </c>
      <c r="O176" s="13">
        <f t="shared" si="41"/>
        <v>19</v>
      </c>
      <c r="P176" s="13">
        <f t="shared" si="41"/>
        <v>14</v>
      </c>
      <c r="Q176" s="13">
        <f t="shared" si="41"/>
        <v>10</v>
      </c>
      <c r="R176" s="13">
        <f t="shared" si="41"/>
        <v>5</v>
      </c>
      <c r="S176" s="13">
        <f t="shared" si="41"/>
        <v>18</v>
      </c>
      <c r="T176" s="13">
        <f t="shared" si="41"/>
        <v>15</v>
      </c>
      <c r="U176" s="13">
        <f t="shared" si="41"/>
        <v>12</v>
      </c>
      <c r="V176" s="13">
        <f t="shared" si="41"/>
        <v>13</v>
      </c>
      <c r="W176" s="13">
        <f t="shared" si="41"/>
        <v>18</v>
      </c>
      <c r="X176" s="13">
        <f t="shared" si="41"/>
        <v>8</v>
      </c>
      <c r="Y176" s="13">
        <f t="shared" si="41"/>
        <v>21</v>
      </c>
      <c r="Z176" s="13">
        <f t="shared" si="41"/>
        <v>13</v>
      </c>
      <c r="AA176" s="13">
        <f t="shared" si="41"/>
        <v>49</v>
      </c>
      <c r="AB176" s="13">
        <f t="shared" si="41"/>
        <v>37</v>
      </c>
      <c r="AC176" s="13">
        <f t="shared" si="41"/>
        <v>53</v>
      </c>
      <c r="AD176" s="13">
        <f t="shared" si="41"/>
        <v>35</v>
      </c>
      <c r="AE176" s="13">
        <f t="shared" si="41"/>
        <v>25</v>
      </c>
      <c r="AF176" s="13">
        <f t="shared" si="41"/>
        <v>729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0.0</v>
      </c>
      <c r="F178" s="19">
        <v>1.0</v>
      </c>
      <c r="G178" s="19">
        <v>0.0</v>
      </c>
      <c r="H178" s="19">
        <v>3.0</v>
      </c>
      <c r="I178" s="19">
        <v>3.0</v>
      </c>
      <c r="J178" s="19">
        <v>0.0</v>
      </c>
      <c r="K178" s="19">
        <v>1.0</v>
      </c>
      <c r="L178" s="19">
        <v>4.0</v>
      </c>
      <c r="M178" s="19">
        <v>0.0</v>
      </c>
      <c r="N178" s="19">
        <v>1.0</v>
      </c>
      <c r="O178" s="19">
        <v>1.0</v>
      </c>
      <c r="P178" s="19">
        <v>0.0</v>
      </c>
      <c r="Q178" s="19">
        <v>1.0</v>
      </c>
      <c r="R178" s="19">
        <v>0.0</v>
      </c>
      <c r="S178" s="19">
        <v>0.0</v>
      </c>
      <c r="T178" s="19">
        <v>0.0</v>
      </c>
      <c r="U178" s="19">
        <v>0.0</v>
      </c>
      <c r="V178" s="19">
        <v>2.0</v>
      </c>
      <c r="W178" s="19">
        <v>1.0</v>
      </c>
      <c r="X178" s="19">
        <v>1.0</v>
      </c>
      <c r="Y178" s="19">
        <v>0.0</v>
      </c>
      <c r="Z178" s="19">
        <v>0.0</v>
      </c>
      <c r="AA178" s="19">
        <v>2.0</v>
      </c>
      <c r="AB178" s="19">
        <v>0.0</v>
      </c>
      <c r="AC178" s="19">
        <v>0.0</v>
      </c>
      <c r="AD178" s="19">
        <v>1.0</v>
      </c>
      <c r="AE178" s="19">
        <v>0.0</v>
      </c>
      <c r="AF178" s="13">
        <f t="shared" ref="AF178:AF185" si="42">SUM(E178:AE178)</f>
        <v>22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1.0</v>
      </c>
      <c r="F179" s="19">
        <v>2.0</v>
      </c>
      <c r="G179" s="19">
        <v>1.0</v>
      </c>
      <c r="H179" s="19">
        <v>1.0</v>
      </c>
      <c r="I179" s="19">
        <v>1.0</v>
      </c>
      <c r="J179" s="19">
        <v>1.0</v>
      </c>
      <c r="K179" s="19">
        <v>0.0</v>
      </c>
      <c r="L179" s="19">
        <v>0.0</v>
      </c>
      <c r="M179" s="19">
        <v>1.0</v>
      </c>
      <c r="N179" s="19">
        <v>1.0</v>
      </c>
      <c r="O179" s="19">
        <v>1.0</v>
      </c>
      <c r="P179" s="19">
        <v>1.0</v>
      </c>
      <c r="Q179" s="19">
        <v>0.0</v>
      </c>
      <c r="R179" s="19">
        <v>1.0</v>
      </c>
      <c r="S179" s="19">
        <v>0.0</v>
      </c>
      <c r="T179" s="19">
        <v>1.0</v>
      </c>
      <c r="U179" s="19">
        <v>0.0</v>
      </c>
      <c r="V179" s="19">
        <v>1.0</v>
      </c>
      <c r="W179" s="19">
        <v>1.0</v>
      </c>
      <c r="X179" s="19">
        <v>2.0</v>
      </c>
      <c r="Y179" s="19">
        <v>0.0</v>
      </c>
      <c r="Z179" s="19">
        <v>0.0</v>
      </c>
      <c r="AA179" s="19">
        <v>0.0</v>
      </c>
      <c r="AB179" s="19">
        <v>0.0</v>
      </c>
      <c r="AC179" s="19">
        <v>1.0</v>
      </c>
      <c r="AD179" s="19">
        <v>0.0</v>
      </c>
      <c r="AE179" s="19">
        <v>1.0</v>
      </c>
      <c r="AF179" s="13">
        <f t="shared" si="42"/>
        <v>19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2.0</v>
      </c>
      <c r="F180" s="19">
        <v>0.0</v>
      </c>
      <c r="G180" s="19">
        <v>0.0</v>
      </c>
      <c r="H180" s="19">
        <v>1.0</v>
      </c>
      <c r="I180" s="19">
        <v>0.0</v>
      </c>
      <c r="J180" s="19">
        <v>4.0</v>
      </c>
      <c r="K180" s="19">
        <v>0.0</v>
      </c>
      <c r="L180" s="19">
        <v>4.0</v>
      </c>
      <c r="M180" s="19">
        <v>0.0</v>
      </c>
      <c r="N180" s="19">
        <v>0.0</v>
      </c>
      <c r="O180" s="19">
        <v>0.0</v>
      </c>
      <c r="P180" s="19">
        <v>2.0</v>
      </c>
      <c r="Q180" s="19">
        <v>0.0</v>
      </c>
      <c r="R180" s="19">
        <v>1.0</v>
      </c>
      <c r="S180" s="19">
        <v>0.0</v>
      </c>
      <c r="T180" s="19">
        <v>4.0</v>
      </c>
      <c r="U180" s="19">
        <v>1.0</v>
      </c>
      <c r="V180" s="19">
        <v>0.0</v>
      </c>
      <c r="W180" s="19">
        <v>1.0</v>
      </c>
      <c r="X180" s="19">
        <v>2.0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1.0</v>
      </c>
      <c r="AD180" s="19">
        <v>1.0</v>
      </c>
      <c r="AE180" s="19">
        <v>1.0</v>
      </c>
      <c r="AF180" s="13">
        <f t="shared" si="42"/>
        <v>25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1.0</v>
      </c>
      <c r="K181" s="19">
        <v>0.0</v>
      </c>
      <c r="L181" s="19">
        <v>1.0</v>
      </c>
      <c r="M181" s="19">
        <v>0.0</v>
      </c>
      <c r="N181" s="19">
        <v>0.0</v>
      </c>
      <c r="O181" s="19">
        <v>0.0</v>
      </c>
      <c r="P181" s="19">
        <v>0.0</v>
      </c>
      <c r="Q181" s="19">
        <v>1.0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0.0</v>
      </c>
      <c r="AE181" s="19">
        <v>0.0</v>
      </c>
      <c r="AF181" s="13">
        <f t="shared" si="42"/>
        <v>3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1.0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1.0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1.0</v>
      </c>
      <c r="AC182" s="19">
        <v>0.0</v>
      </c>
      <c r="AD182" s="19">
        <v>0.0</v>
      </c>
      <c r="AE182" s="19">
        <v>0.0</v>
      </c>
      <c r="AF182" s="13">
        <f t="shared" si="42"/>
        <v>3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1.0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1.0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3">
        <f t="shared" si="42"/>
        <v>2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1.0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1.0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1.0</v>
      </c>
      <c r="V184" s="19">
        <v>0.0</v>
      </c>
      <c r="W184" s="19">
        <v>0.0</v>
      </c>
      <c r="X184" s="19">
        <v>0.0</v>
      </c>
      <c r="Y184" s="19">
        <v>0.0</v>
      </c>
      <c r="Z184" s="19">
        <v>1.0</v>
      </c>
      <c r="AA184" s="19">
        <v>1.0</v>
      </c>
      <c r="AB184" s="19">
        <v>0.0</v>
      </c>
      <c r="AC184" s="19">
        <v>0.0</v>
      </c>
      <c r="AD184" s="19">
        <v>0.0</v>
      </c>
      <c r="AE184" s="19">
        <v>0.0</v>
      </c>
      <c r="AF184" s="13">
        <f t="shared" si="42"/>
        <v>5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1.0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9">
        <v>0.0</v>
      </c>
      <c r="S185" s="19">
        <v>0.0</v>
      </c>
      <c r="T185" s="19">
        <v>0.0</v>
      </c>
      <c r="U185" s="19">
        <v>0.0</v>
      </c>
      <c r="V185" s="19">
        <v>0.0</v>
      </c>
      <c r="W185" s="19">
        <v>0.0</v>
      </c>
      <c r="X185" s="19">
        <v>0.0</v>
      </c>
      <c r="Y185" s="19">
        <v>0.0</v>
      </c>
      <c r="Z185" s="19">
        <v>0.0</v>
      </c>
      <c r="AA185" s="19">
        <v>0.0</v>
      </c>
      <c r="AB185" s="19">
        <v>0.0</v>
      </c>
      <c r="AC185" s="19">
        <v>0.0</v>
      </c>
      <c r="AD185" s="19">
        <v>0.0</v>
      </c>
      <c r="AE185" s="19">
        <v>0.0</v>
      </c>
      <c r="AF185" s="13">
        <f t="shared" si="42"/>
        <v>1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AF186" si="43">SUM(E178:E185)</f>
        <v>4</v>
      </c>
      <c r="F186" s="13">
        <f t="shared" si="43"/>
        <v>3</v>
      </c>
      <c r="G186" s="13">
        <f t="shared" si="43"/>
        <v>1</v>
      </c>
      <c r="H186" s="13">
        <f t="shared" si="43"/>
        <v>5</v>
      </c>
      <c r="I186" s="13">
        <f t="shared" si="43"/>
        <v>4</v>
      </c>
      <c r="J186" s="13">
        <f t="shared" si="43"/>
        <v>7</v>
      </c>
      <c r="K186" s="13">
        <f t="shared" si="43"/>
        <v>1</v>
      </c>
      <c r="L186" s="13">
        <f t="shared" si="43"/>
        <v>9</v>
      </c>
      <c r="M186" s="13">
        <f t="shared" si="43"/>
        <v>2</v>
      </c>
      <c r="N186" s="13">
        <f t="shared" si="43"/>
        <v>4</v>
      </c>
      <c r="O186" s="13">
        <f t="shared" si="43"/>
        <v>2</v>
      </c>
      <c r="P186" s="13">
        <f t="shared" si="43"/>
        <v>3</v>
      </c>
      <c r="Q186" s="13">
        <f t="shared" si="43"/>
        <v>2</v>
      </c>
      <c r="R186" s="13">
        <f t="shared" si="43"/>
        <v>2</v>
      </c>
      <c r="S186" s="13">
        <f t="shared" si="43"/>
        <v>0</v>
      </c>
      <c r="T186" s="13">
        <f t="shared" si="43"/>
        <v>5</v>
      </c>
      <c r="U186" s="13">
        <f t="shared" si="43"/>
        <v>3</v>
      </c>
      <c r="V186" s="13">
        <f t="shared" si="43"/>
        <v>3</v>
      </c>
      <c r="W186" s="13">
        <f t="shared" si="43"/>
        <v>4</v>
      </c>
      <c r="X186" s="13">
        <f t="shared" si="43"/>
        <v>5</v>
      </c>
      <c r="Y186" s="13">
        <f t="shared" si="43"/>
        <v>0</v>
      </c>
      <c r="Z186" s="13">
        <f t="shared" si="43"/>
        <v>1</v>
      </c>
      <c r="AA186" s="13">
        <f t="shared" si="43"/>
        <v>3</v>
      </c>
      <c r="AB186" s="13">
        <f t="shared" si="43"/>
        <v>1</v>
      </c>
      <c r="AC186" s="13">
        <f t="shared" si="43"/>
        <v>2</v>
      </c>
      <c r="AD186" s="13">
        <f t="shared" si="43"/>
        <v>2</v>
      </c>
      <c r="AE186" s="13">
        <f t="shared" si="43"/>
        <v>2</v>
      </c>
      <c r="AF186" s="13">
        <f t="shared" si="43"/>
        <v>80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0.0</v>
      </c>
      <c r="F188" s="19">
        <v>0.0</v>
      </c>
      <c r="G188" s="19">
        <v>0.0</v>
      </c>
      <c r="H188" s="19">
        <v>0.0</v>
      </c>
      <c r="I188" s="19">
        <v>0.0</v>
      </c>
      <c r="J188" s="19">
        <v>0.0</v>
      </c>
      <c r="K188" s="19">
        <v>3.0</v>
      </c>
      <c r="L188" s="19">
        <v>0.0</v>
      </c>
      <c r="M188" s="19">
        <v>0.0</v>
      </c>
      <c r="N188" s="19">
        <v>1.0</v>
      </c>
      <c r="O188" s="19">
        <v>0.0</v>
      </c>
      <c r="P188" s="19">
        <v>0.0</v>
      </c>
      <c r="Q188" s="19">
        <v>0.0</v>
      </c>
      <c r="R188" s="19">
        <v>0.0</v>
      </c>
      <c r="S188" s="19">
        <v>1.0</v>
      </c>
      <c r="T188" s="19">
        <v>0.0</v>
      </c>
      <c r="U188" s="19">
        <v>0.0</v>
      </c>
      <c r="V188" s="19">
        <v>0.0</v>
      </c>
      <c r="W188" s="19">
        <v>0.0</v>
      </c>
      <c r="X188" s="19">
        <v>0.0</v>
      </c>
      <c r="Y188" s="19">
        <v>0.0</v>
      </c>
      <c r="Z188" s="19">
        <v>0.0</v>
      </c>
      <c r="AA188" s="19">
        <v>0.0</v>
      </c>
      <c r="AB188" s="19">
        <v>0.0</v>
      </c>
      <c r="AC188" s="19">
        <v>0.0</v>
      </c>
      <c r="AD188" s="19">
        <v>0.0</v>
      </c>
      <c r="AE188" s="19">
        <v>1.0</v>
      </c>
      <c r="AF188" s="13">
        <f t="shared" ref="AF188:AF195" si="44">SUM(E188:AE188)</f>
        <v>6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1.0</v>
      </c>
      <c r="F189" s="19">
        <v>0.0</v>
      </c>
      <c r="G189" s="19">
        <v>4.0</v>
      </c>
      <c r="H189" s="19">
        <v>0.0</v>
      </c>
      <c r="I189" s="19">
        <v>0.0</v>
      </c>
      <c r="J189" s="19">
        <v>0.0</v>
      </c>
      <c r="K189" s="19">
        <v>1.0</v>
      </c>
      <c r="L189" s="19">
        <v>0.0</v>
      </c>
      <c r="M189" s="19">
        <v>1.0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1.0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  <c r="AC189" s="19">
        <v>0.0</v>
      </c>
      <c r="AD189" s="19">
        <v>0.0</v>
      </c>
      <c r="AE189" s="19">
        <v>0.0</v>
      </c>
      <c r="AF189" s="13">
        <f t="shared" si="44"/>
        <v>8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1.0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  <c r="AC190" s="19">
        <v>0.0</v>
      </c>
      <c r="AD190" s="19">
        <v>0.0</v>
      </c>
      <c r="AE190" s="19">
        <v>0.0</v>
      </c>
      <c r="AF190" s="13">
        <f t="shared" si="44"/>
        <v>1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1.0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1.0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3">
        <f t="shared" si="44"/>
        <v>2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3">
        <f t="shared" si="44"/>
        <v>0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3">
        <f t="shared" si="44"/>
        <v>0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3">
        <f t="shared" si="44"/>
        <v>0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1.0</v>
      </c>
      <c r="G195" s="19">
        <v>1.0</v>
      </c>
      <c r="H195" s="19">
        <v>0.0</v>
      </c>
      <c r="I195" s="19">
        <v>1.0</v>
      </c>
      <c r="J195" s="19">
        <v>0.0</v>
      </c>
      <c r="K195" s="19">
        <v>2.0</v>
      </c>
      <c r="L195" s="19">
        <v>0.0</v>
      </c>
      <c r="M195" s="19">
        <v>0.0</v>
      </c>
      <c r="N195" s="19">
        <v>1.0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1.0</v>
      </c>
      <c r="AB195" s="19">
        <v>0.0</v>
      </c>
      <c r="AC195" s="19">
        <v>0.0</v>
      </c>
      <c r="AD195" s="19">
        <v>0.0</v>
      </c>
      <c r="AE195" s="19">
        <v>0.0</v>
      </c>
      <c r="AF195" s="13">
        <f t="shared" si="44"/>
        <v>7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AF196" si="45">SUM(E188:E195)</f>
        <v>1</v>
      </c>
      <c r="F196" s="13">
        <f t="shared" si="45"/>
        <v>1</v>
      </c>
      <c r="G196" s="13">
        <f t="shared" si="45"/>
        <v>6</v>
      </c>
      <c r="H196" s="13">
        <f t="shared" si="45"/>
        <v>0</v>
      </c>
      <c r="I196" s="13">
        <f t="shared" si="45"/>
        <v>1</v>
      </c>
      <c r="J196" s="13">
        <f t="shared" si="45"/>
        <v>0</v>
      </c>
      <c r="K196" s="13">
        <f t="shared" si="45"/>
        <v>6</v>
      </c>
      <c r="L196" s="13">
        <f t="shared" si="45"/>
        <v>0</v>
      </c>
      <c r="M196" s="13">
        <f t="shared" si="45"/>
        <v>1</v>
      </c>
      <c r="N196" s="13">
        <f t="shared" si="45"/>
        <v>2</v>
      </c>
      <c r="O196" s="13">
        <f t="shared" si="45"/>
        <v>1</v>
      </c>
      <c r="P196" s="13">
        <f t="shared" si="45"/>
        <v>0</v>
      </c>
      <c r="Q196" s="13">
        <f t="shared" si="45"/>
        <v>1</v>
      </c>
      <c r="R196" s="13">
        <f t="shared" si="45"/>
        <v>0</v>
      </c>
      <c r="S196" s="13">
        <f t="shared" si="45"/>
        <v>1</v>
      </c>
      <c r="T196" s="13">
        <f t="shared" si="45"/>
        <v>0</v>
      </c>
      <c r="U196" s="13">
        <f t="shared" si="45"/>
        <v>1</v>
      </c>
      <c r="V196" s="13">
        <f t="shared" si="45"/>
        <v>0</v>
      </c>
      <c r="W196" s="13">
        <f t="shared" si="45"/>
        <v>0</v>
      </c>
      <c r="X196" s="13">
        <f t="shared" si="45"/>
        <v>0</v>
      </c>
      <c r="Y196" s="13">
        <f t="shared" si="45"/>
        <v>0</v>
      </c>
      <c r="Z196" s="13">
        <f t="shared" si="45"/>
        <v>0</v>
      </c>
      <c r="AA196" s="13">
        <f t="shared" si="45"/>
        <v>1</v>
      </c>
      <c r="AB196" s="13">
        <f t="shared" si="45"/>
        <v>0</v>
      </c>
      <c r="AC196" s="13">
        <f t="shared" si="45"/>
        <v>0</v>
      </c>
      <c r="AD196" s="13">
        <f t="shared" si="45"/>
        <v>0</v>
      </c>
      <c r="AE196" s="13">
        <f t="shared" si="45"/>
        <v>1</v>
      </c>
      <c r="AF196" s="13">
        <f t="shared" si="45"/>
        <v>24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4.0</v>
      </c>
      <c r="F198" s="19">
        <v>2.0</v>
      </c>
      <c r="G198" s="19">
        <v>3.0</v>
      </c>
      <c r="H198" s="19">
        <v>1.0</v>
      </c>
      <c r="I198" s="19">
        <v>2.0</v>
      </c>
      <c r="J198" s="19">
        <v>0.0</v>
      </c>
      <c r="K198" s="19">
        <v>2.0</v>
      </c>
      <c r="L198" s="19">
        <v>1.0</v>
      </c>
      <c r="M198" s="19">
        <v>5.0</v>
      </c>
      <c r="N198" s="19">
        <v>3.0</v>
      </c>
      <c r="O198" s="19">
        <v>4.0</v>
      </c>
      <c r="P198" s="19">
        <v>2.0</v>
      </c>
      <c r="Q198" s="19">
        <v>1.0</v>
      </c>
      <c r="R198" s="19">
        <v>4.0</v>
      </c>
      <c r="S198" s="19">
        <v>5.0</v>
      </c>
      <c r="T198" s="19">
        <v>6.0</v>
      </c>
      <c r="U198" s="19">
        <v>1.0</v>
      </c>
      <c r="V198" s="19">
        <v>3.0</v>
      </c>
      <c r="W198" s="19">
        <v>6.0</v>
      </c>
      <c r="X198" s="19">
        <v>4.0</v>
      </c>
      <c r="Y198" s="19">
        <v>4.0</v>
      </c>
      <c r="Z198" s="19">
        <v>1.0</v>
      </c>
      <c r="AA198" s="19">
        <v>1.0</v>
      </c>
      <c r="AB198" s="19">
        <v>2.0</v>
      </c>
      <c r="AC198" s="19">
        <v>4.0</v>
      </c>
      <c r="AD198" s="19">
        <v>2.0</v>
      </c>
      <c r="AE198" s="19">
        <v>0.0</v>
      </c>
      <c r="AF198" s="13">
        <f t="shared" ref="AF198:AF205" si="46">SUM(E198:AE198)</f>
        <v>73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1.0</v>
      </c>
      <c r="F199" s="19">
        <v>1.0</v>
      </c>
      <c r="G199" s="19">
        <v>0.0</v>
      </c>
      <c r="H199" s="19">
        <v>0.0</v>
      </c>
      <c r="I199" s="19">
        <v>1.0</v>
      </c>
      <c r="J199" s="19">
        <v>1.0</v>
      </c>
      <c r="K199" s="19">
        <v>3.0</v>
      </c>
      <c r="L199" s="19">
        <v>0.0</v>
      </c>
      <c r="M199" s="19">
        <v>1.0</v>
      </c>
      <c r="N199" s="19">
        <v>0.0</v>
      </c>
      <c r="O199" s="19">
        <v>1.0</v>
      </c>
      <c r="P199" s="19">
        <v>0.0</v>
      </c>
      <c r="Q199" s="19">
        <v>1.0</v>
      </c>
      <c r="R199" s="19">
        <v>4.0</v>
      </c>
      <c r="S199" s="19">
        <v>1.0</v>
      </c>
      <c r="T199" s="19">
        <v>1.0</v>
      </c>
      <c r="U199" s="19">
        <v>1.0</v>
      </c>
      <c r="V199" s="19">
        <v>0.0</v>
      </c>
      <c r="W199" s="19">
        <v>0.0</v>
      </c>
      <c r="X199" s="19">
        <v>1.0</v>
      </c>
      <c r="Y199" s="19">
        <v>0.0</v>
      </c>
      <c r="Z199" s="19">
        <v>0.0</v>
      </c>
      <c r="AA199" s="19">
        <v>1.0</v>
      </c>
      <c r="AB199" s="19">
        <v>0.0</v>
      </c>
      <c r="AC199" s="19">
        <v>1.0</v>
      </c>
      <c r="AD199" s="19">
        <v>1.0</v>
      </c>
      <c r="AE199" s="19">
        <v>0.0</v>
      </c>
      <c r="AF199" s="13">
        <f t="shared" si="46"/>
        <v>21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3.0</v>
      </c>
      <c r="F200" s="19">
        <v>0.0</v>
      </c>
      <c r="G200" s="19">
        <v>1.0</v>
      </c>
      <c r="H200" s="19">
        <v>0.0</v>
      </c>
      <c r="I200" s="19">
        <v>4.0</v>
      </c>
      <c r="J200" s="19">
        <v>7.0</v>
      </c>
      <c r="K200" s="19">
        <v>4.0</v>
      </c>
      <c r="L200" s="19">
        <v>4.0</v>
      </c>
      <c r="M200" s="19">
        <v>3.0</v>
      </c>
      <c r="N200" s="19">
        <v>0.0</v>
      </c>
      <c r="O200" s="19">
        <v>1.0</v>
      </c>
      <c r="P200" s="19">
        <v>0.0</v>
      </c>
      <c r="Q200" s="19">
        <v>1.0</v>
      </c>
      <c r="R200" s="19">
        <v>2.0</v>
      </c>
      <c r="S200" s="19">
        <v>0.0</v>
      </c>
      <c r="T200" s="19">
        <v>1.0</v>
      </c>
      <c r="U200" s="19">
        <v>1.0</v>
      </c>
      <c r="V200" s="19">
        <v>3.0</v>
      </c>
      <c r="W200" s="19">
        <v>1.0</v>
      </c>
      <c r="X200" s="19">
        <v>6.0</v>
      </c>
      <c r="Y200" s="19">
        <v>3.0</v>
      </c>
      <c r="Z200" s="19">
        <v>1.0</v>
      </c>
      <c r="AA200" s="19">
        <v>2.0</v>
      </c>
      <c r="AB200" s="19">
        <v>0.0</v>
      </c>
      <c r="AC200" s="19">
        <v>2.0</v>
      </c>
      <c r="AD200" s="19">
        <v>0.0</v>
      </c>
      <c r="AE200" s="19">
        <v>2.0</v>
      </c>
      <c r="AF200" s="13">
        <f t="shared" si="46"/>
        <v>52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0.0</v>
      </c>
      <c r="G201" s="19">
        <v>0.0</v>
      </c>
      <c r="H201" s="19">
        <v>1.0</v>
      </c>
      <c r="I201" s="19">
        <v>0.0</v>
      </c>
      <c r="J201" s="19">
        <v>0.0</v>
      </c>
      <c r="K201" s="19">
        <v>0.0</v>
      </c>
      <c r="L201" s="19">
        <v>0.0</v>
      </c>
      <c r="M201" s="19">
        <v>0.0</v>
      </c>
      <c r="N201" s="19">
        <v>0.0</v>
      </c>
      <c r="O201" s="19">
        <v>1.0</v>
      </c>
      <c r="P201" s="19">
        <v>0.0</v>
      </c>
      <c r="Q201" s="19">
        <v>0.0</v>
      </c>
      <c r="R201" s="19">
        <v>0.0</v>
      </c>
      <c r="S201" s="19">
        <v>0.0</v>
      </c>
      <c r="T201" s="19">
        <v>1.0</v>
      </c>
      <c r="U201" s="19">
        <v>0.0</v>
      </c>
      <c r="V201" s="19">
        <v>0.0</v>
      </c>
      <c r="W201" s="19">
        <v>2.0</v>
      </c>
      <c r="X201" s="19">
        <v>0.0</v>
      </c>
      <c r="Y201" s="19">
        <v>0.0</v>
      </c>
      <c r="Z201" s="19">
        <v>0.0</v>
      </c>
      <c r="AA201" s="19">
        <v>0.0</v>
      </c>
      <c r="AB201" s="19">
        <v>0.0</v>
      </c>
      <c r="AC201" s="19">
        <v>1.0</v>
      </c>
      <c r="AD201" s="19">
        <v>0.0</v>
      </c>
      <c r="AE201" s="19">
        <v>1.0</v>
      </c>
      <c r="AF201" s="13">
        <f t="shared" si="46"/>
        <v>7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0.0</v>
      </c>
      <c r="F202" s="19">
        <v>0.0</v>
      </c>
      <c r="G202" s="19">
        <v>1.0</v>
      </c>
      <c r="H202" s="19">
        <v>1.0</v>
      </c>
      <c r="I202" s="19">
        <v>0.0</v>
      </c>
      <c r="J202" s="19">
        <v>0.0</v>
      </c>
      <c r="K202" s="19">
        <v>0.0</v>
      </c>
      <c r="L202" s="19">
        <v>1.0</v>
      </c>
      <c r="M202" s="19">
        <v>1.0</v>
      </c>
      <c r="N202" s="19">
        <v>0.0</v>
      </c>
      <c r="O202" s="19">
        <v>0.0</v>
      </c>
      <c r="P202" s="19">
        <v>1.0</v>
      </c>
      <c r="Q202" s="19">
        <v>0.0</v>
      </c>
      <c r="R202" s="19">
        <v>0.0</v>
      </c>
      <c r="S202" s="19">
        <v>0.0</v>
      </c>
      <c r="T202" s="19">
        <v>0.0</v>
      </c>
      <c r="U202" s="19">
        <v>0.0</v>
      </c>
      <c r="V202" s="19">
        <v>2.0</v>
      </c>
      <c r="W202" s="19">
        <v>0.0</v>
      </c>
      <c r="X202" s="19">
        <v>0.0</v>
      </c>
      <c r="Y202" s="19">
        <v>1.0</v>
      </c>
      <c r="Z202" s="19">
        <v>0.0</v>
      </c>
      <c r="AA202" s="19">
        <v>0.0</v>
      </c>
      <c r="AB202" s="19">
        <v>0.0</v>
      </c>
      <c r="AC202" s="19">
        <v>0.0</v>
      </c>
      <c r="AD202" s="19">
        <v>0.0</v>
      </c>
      <c r="AE202" s="19">
        <v>0.0</v>
      </c>
      <c r="AF202" s="13">
        <f t="shared" si="46"/>
        <v>8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9">
        <v>1.0</v>
      </c>
      <c r="T203" s="19">
        <v>0.0</v>
      </c>
      <c r="U203" s="19">
        <v>0.0</v>
      </c>
      <c r="V203" s="19">
        <v>0.0</v>
      </c>
      <c r="W203" s="19">
        <v>0.0</v>
      </c>
      <c r="X203" s="19">
        <v>0.0</v>
      </c>
      <c r="Y203" s="19">
        <v>0.0</v>
      </c>
      <c r="Z203" s="19">
        <v>0.0</v>
      </c>
      <c r="AA203" s="19">
        <v>1.0</v>
      </c>
      <c r="AB203" s="19">
        <v>0.0</v>
      </c>
      <c r="AC203" s="19">
        <v>0.0</v>
      </c>
      <c r="AD203" s="19">
        <v>0.0</v>
      </c>
      <c r="AE203" s="19">
        <v>0.0</v>
      </c>
      <c r="AF203" s="13">
        <f t="shared" si="46"/>
        <v>2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1.0</v>
      </c>
      <c r="G204" s="19">
        <v>0.0</v>
      </c>
      <c r="H204" s="19">
        <v>0.0</v>
      </c>
      <c r="I204" s="19">
        <v>0.0</v>
      </c>
      <c r="J204" s="19">
        <v>0.0</v>
      </c>
      <c r="K204" s="19">
        <v>1.0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1.0</v>
      </c>
      <c r="S204" s="19">
        <v>1.0</v>
      </c>
      <c r="T204" s="19">
        <v>0.0</v>
      </c>
      <c r="U204" s="19">
        <v>1.0</v>
      </c>
      <c r="V204" s="19">
        <v>1.0</v>
      </c>
      <c r="W204" s="19">
        <v>0.0</v>
      </c>
      <c r="X204" s="19">
        <v>0.0</v>
      </c>
      <c r="Y204" s="19">
        <v>0.0</v>
      </c>
      <c r="Z204" s="19">
        <v>2.0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0.0</v>
      </c>
      <c r="AF204" s="13">
        <f t="shared" si="46"/>
        <v>8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38.0</v>
      </c>
      <c r="F205" s="19">
        <v>22.0</v>
      </c>
      <c r="G205" s="19">
        <v>33.0</v>
      </c>
      <c r="H205" s="19">
        <v>17.0</v>
      </c>
      <c r="I205" s="19">
        <v>20.0</v>
      </c>
      <c r="J205" s="19">
        <v>6.0</v>
      </c>
      <c r="K205" s="19">
        <v>25.0</v>
      </c>
      <c r="L205" s="19">
        <v>25.0</v>
      </c>
      <c r="M205" s="19">
        <v>22.0</v>
      </c>
      <c r="N205" s="19">
        <v>18.0</v>
      </c>
      <c r="O205" s="19">
        <v>45.0</v>
      </c>
      <c r="P205" s="19">
        <v>32.0</v>
      </c>
      <c r="Q205" s="19">
        <v>69.0</v>
      </c>
      <c r="R205" s="19">
        <v>62.0</v>
      </c>
      <c r="S205" s="19">
        <v>61.0</v>
      </c>
      <c r="T205" s="19">
        <v>46.0</v>
      </c>
      <c r="U205" s="19">
        <v>35.0</v>
      </c>
      <c r="V205" s="19">
        <v>69.0</v>
      </c>
      <c r="W205" s="19">
        <v>45.0</v>
      </c>
      <c r="X205" s="19">
        <v>16.0</v>
      </c>
      <c r="Y205" s="19">
        <v>38.0</v>
      </c>
      <c r="Z205" s="19">
        <v>60.0</v>
      </c>
      <c r="AA205" s="19">
        <v>34.0</v>
      </c>
      <c r="AB205" s="19">
        <v>52.0</v>
      </c>
      <c r="AC205" s="19">
        <v>36.0</v>
      </c>
      <c r="AD205" s="19">
        <v>16.0</v>
      </c>
      <c r="AE205" s="19">
        <v>73.0</v>
      </c>
      <c r="AF205" s="13">
        <f t="shared" si="46"/>
        <v>1015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AF206" si="47">SUM(E198:E205)</f>
        <v>46</v>
      </c>
      <c r="F206" s="13">
        <f t="shared" si="47"/>
        <v>26</v>
      </c>
      <c r="G206" s="13">
        <f t="shared" si="47"/>
        <v>38</v>
      </c>
      <c r="H206" s="13">
        <f t="shared" si="47"/>
        <v>20</v>
      </c>
      <c r="I206" s="13">
        <f t="shared" si="47"/>
        <v>27</v>
      </c>
      <c r="J206" s="13">
        <f t="shared" si="47"/>
        <v>14</v>
      </c>
      <c r="K206" s="13">
        <f t="shared" si="47"/>
        <v>35</v>
      </c>
      <c r="L206" s="13">
        <f t="shared" si="47"/>
        <v>31</v>
      </c>
      <c r="M206" s="13">
        <f t="shared" si="47"/>
        <v>32</v>
      </c>
      <c r="N206" s="13">
        <f t="shared" si="47"/>
        <v>21</v>
      </c>
      <c r="O206" s="13">
        <f t="shared" si="47"/>
        <v>52</v>
      </c>
      <c r="P206" s="13">
        <f t="shared" si="47"/>
        <v>35</v>
      </c>
      <c r="Q206" s="13">
        <f t="shared" si="47"/>
        <v>72</v>
      </c>
      <c r="R206" s="13">
        <f t="shared" si="47"/>
        <v>73</v>
      </c>
      <c r="S206" s="13">
        <f t="shared" si="47"/>
        <v>69</v>
      </c>
      <c r="T206" s="13">
        <f t="shared" si="47"/>
        <v>55</v>
      </c>
      <c r="U206" s="13">
        <f t="shared" si="47"/>
        <v>39</v>
      </c>
      <c r="V206" s="13">
        <f t="shared" si="47"/>
        <v>78</v>
      </c>
      <c r="W206" s="13">
        <f t="shared" si="47"/>
        <v>54</v>
      </c>
      <c r="X206" s="13">
        <f t="shared" si="47"/>
        <v>27</v>
      </c>
      <c r="Y206" s="13">
        <f t="shared" si="47"/>
        <v>46</v>
      </c>
      <c r="Z206" s="13">
        <f t="shared" si="47"/>
        <v>64</v>
      </c>
      <c r="AA206" s="13">
        <f t="shared" si="47"/>
        <v>39</v>
      </c>
      <c r="AB206" s="13">
        <f t="shared" si="47"/>
        <v>54</v>
      </c>
      <c r="AC206" s="13">
        <f t="shared" si="47"/>
        <v>44</v>
      </c>
      <c r="AD206" s="13">
        <f t="shared" si="47"/>
        <v>19</v>
      </c>
      <c r="AE206" s="13">
        <f t="shared" si="47"/>
        <v>76</v>
      </c>
      <c r="AF206" s="13">
        <f t="shared" si="47"/>
        <v>1186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0.0</v>
      </c>
      <c r="F208" s="19">
        <v>1.0</v>
      </c>
      <c r="G208" s="19">
        <v>1.0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1.0</v>
      </c>
      <c r="Q208" s="19">
        <v>1.0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1.0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2.0</v>
      </c>
      <c r="AE208" s="19">
        <v>1.0</v>
      </c>
      <c r="AF208" s="13">
        <f t="shared" ref="AF208:AF214" si="48">SUM(E208:AE208)</f>
        <v>8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0.0</v>
      </c>
      <c r="F209" s="19">
        <v>1.0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9">
        <v>0.0</v>
      </c>
      <c r="S209" s="19">
        <v>1.0</v>
      </c>
      <c r="T209" s="19">
        <v>0.0</v>
      </c>
      <c r="U209" s="19">
        <v>0.0</v>
      </c>
      <c r="V209" s="19">
        <v>0.0</v>
      </c>
      <c r="W209" s="19">
        <v>0.0</v>
      </c>
      <c r="X209" s="19">
        <v>0.0</v>
      </c>
      <c r="Y209" s="19">
        <v>0.0</v>
      </c>
      <c r="Z209" s="19">
        <v>0.0</v>
      </c>
      <c r="AA209" s="19">
        <v>0.0</v>
      </c>
      <c r="AB209" s="19">
        <v>0.0</v>
      </c>
      <c r="AC209" s="19">
        <v>0.0</v>
      </c>
      <c r="AD209" s="19">
        <v>0.0</v>
      </c>
      <c r="AE209" s="19">
        <v>0.0</v>
      </c>
      <c r="AF209" s="13">
        <f t="shared" si="48"/>
        <v>2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1.0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9">
        <v>0.0</v>
      </c>
      <c r="U210" s="19">
        <v>0.0</v>
      </c>
      <c r="V210" s="19">
        <v>1.0</v>
      </c>
      <c r="W210" s="19">
        <v>0.0</v>
      </c>
      <c r="X210" s="19">
        <v>0.0</v>
      </c>
      <c r="Y210" s="19">
        <v>0.0</v>
      </c>
      <c r="Z210" s="19">
        <v>0.0</v>
      </c>
      <c r="AA210" s="19">
        <v>1.0</v>
      </c>
      <c r="AB210" s="19">
        <v>0.0</v>
      </c>
      <c r="AC210" s="19">
        <v>0.0</v>
      </c>
      <c r="AD210" s="19">
        <v>0.0</v>
      </c>
      <c r="AE210" s="19">
        <v>0.0</v>
      </c>
      <c r="AF210" s="13">
        <f t="shared" si="48"/>
        <v>3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0.0</v>
      </c>
      <c r="S211" s="19">
        <v>0.0</v>
      </c>
      <c r="T211" s="19">
        <v>0.0</v>
      </c>
      <c r="U211" s="19">
        <v>0.0</v>
      </c>
      <c r="V211" s="19">
        <v>0.0</v>
      </c>
      <c r="W211" s="19">
        <v>0.0</v>
      </c>
      <c r="X211" s="19">
        <v>0.0</v>
      </c>
      <c r="Y211" s="19">
        <v>0.0</v>
      </c>
      <c r="Z211" s="19">
        <v>0.0</v>
      </c>
      <c r="AA211" s="19">
        <v>0.0</v>
      </c>
      <c r="AB211" s="19">
        <v>0.0</v>
      </c>
      <c r="AC211" s="19">
        <v>0.0</v>
      </c>
      <c r="AD211" s="19">
        <v>0.0</v>
      </c>
      <c r="AE211" s="19">
        <v>0.0</v>
      </c>
      <c r="AF211" s="13">
        <f t="shared" si="48"/>
        <v>0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0.0</v>
      </c>
      <c r="Q212" s="19">
        <v>0.0</v>
      </c>
      <c r="R212" s="19">
        <v>0.0</v>
      </c>
      <c r="S212" s="19">
        <v>0.0</v>
      </c>
      <c r="T212" s="19">
        <v>0.0</v>
      </c>
      <c r="U212" s="19">
        <v>0.0</v>
      </c>
      <c r="V212" s="19">
        <v>0.0</v>
      </c>
      <c r="W212" s="19">
        <v>0.0</v>
      </c>
      <c r="X212" s="19">
        <v>0.0</v>
      </c>
      <c r="Y212" s="19">
        <v>0.0</v>
      </c>
      <c r="Z212" s="19">
        <v>0.0</v>
      </c>
      <c r="AA212" s="19">
        <v>0.0</v>
      </c>
      <c r="AB212" s="19">
        <v>0.0</v>
      </c>
      <c r="AC212" s="19">
        <v>0.0</v>
      </c>
      <c r="AD212" s="19">
        <v>0.0</v>
      </c>
      <c r="AE212" s="19">
        <v>0.0</v>
      </c>
      <c r="AF212" s="13">
        <f t="shared" si="48"/>
        <v>0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9">
        <v>1.0</v>
      </c>
      <c r="S213" s="19">
        <v>0.0</v>
      </c>
      <c r="T213" s="19">
        <v>0.0</v>
      </c>
      <c r="U213" s="19">
        <v>0.0</v>
      </c>
      <c r="V213" s="19">
        <v>0.0</v>
      </c>
      <c r="W213" s="19">
        <v>0.0</v>
      </c>
      <c r="X213" s="19">
        <v>0.0</v>
      </c>
      <c r="Y213" s="19">
        <v>0.0</v>
      </c>
      <c r="Z213" s="19">
        <v>0.0</v>
      </c>
      <c r="AA213" s="19">
        <v>0.0</v>
      </c>
      <c r="AB213" s="19">
        <v>0.0</v>
      </c>
      <c r="AC213" s="19">
        <v>0.0</v>
      </c>
      <c r="AD213" s="19">
        <v>0.0</v>
      </c>
      <c r="AE213" s="19">
        <v>0.0</v>
      </c>
      <c r="AF213" s="13">
        <f t="shared" si="48"/>
        <v>1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1.0</v>
      </c>
      <c r="M214" s="19">
        <v>0.0</v>
      </c>
      <c r="N214" s="19">
        <v>0.0</v>
      </c>
      <c r="O214" s="19">
        <v>0.0</v>
      </c>
      <c r="P214" s="19">
        <v>0.0</v>
      </c>
      <c r="Q214" s="19">
        <v>1.0</v>
      </c>
      <c r="R214" s="19">
        <v>0.0</v>
      </c>
      <c r="S214" s="19">
        <v>0.0</v>
      </c>
      <c r="T214" s="19">
        <v>0.0</v>
      </c>
      <c r="U214" s="19">
        <v>0.0</v>
      </c>
      <c r="V214" s="19">
        <v>0.0</v>
      </c>
      <c r="W214" s="19">
        <v>0.0</v>
      </c>
      <c r="X214" s="19">
        <v>0.0</v>
      </c>
      <c r="Y214" s="19">
        <v>1.0</v>
      </c>
      <c r="Z214" s="19">
        <v>0.0</v>
      </c>
      <c r="AA214" s="19">
        <v>0.0</v>
      </c>
      <c r="AB214" s="19">
        <v>0.0</v>
      </c>
      <c r="AC214" s="19">
        <v>0.0</v>
      </c>
      <c r="AD214" s="19">
        <v>0.0</v>
      </c>
      <c r="AE214" s="19">
        <v>0.0</v>
      </c>
      <c r="AF214" s="13">
        <f t="shared" si="48"/>
        <v>3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AF215" si="49">SUM(E208:E214)</f>
        <v>0</v>
      </c>
      <c r="F215" s="13">
        <f t="shared" si="49"/>
        <v>2</v>
      </c>
      <c r="G215" s="13">
        <f t="shared" si="49"/>
        <v>1</v>
      </c>
      <c r="H215" s="13">
        <f t="shared" si="49"/>
        <v>0</v>
      </c>
      <c r="I215" s="13">
        <f t="shared" si="49"/>
        <v>0</v>
      </c>
      <c r="J215" s="13">
        <f t="shared" si="49"/>
        <v>0</v>
      </c>
      <c r="K215" s="13">
        <f t="shared" si="49"/>
        <v>1</v>
      </c>
      <c r="L215" s="13">
        <f t="shared" si="49"/>
        <v>1</v>
      </c>
      <c r="M215" s="13">
        <f t="shared" si="49"/>
        <v>0</v>
      </c>
      <c r="N215" s="13">
        <f t="shared" si="49"/>
        <v>0</v>
      </c>
      <c r="O215" s="13">
        <f t="shared" si="49"/>
        <v>0</v>
      </c>
      <c r="P215" s="13">
        <f t="shared" si="49"/>
        <v>1</v>
      </c>
      <c r="Q215" s="13">
        <f t="shared" si="49"/>
        <v>2</v>
      </c>
      <c r="R215" s="13">
        <f t="shared" si="49"/>
        <v>1</v>
      </c>
      <c r="S215" s="13">
        <f t="shared" si="49"/>
        <v>1</v>
      </c>
      <c r="T215" s="13">
        <f t="shared" si="49"/>
        <v>0</v>
      </c>
      <c r="U215" s="13">
        <f t="shared" si="49"/>
        <v>0</v>
      </c>
      <c r="V215" s="13">
        <f t="shared" si="49"/>
        <v>1</v>
      </c>
      <c r="W215" s="13">
        <f t="shared" si="49"/>
        <v>0</v>
      </c>
      <c r="X215" s="13">
        <f t="shared" si="49"/>
        <v>1</v>
      </c>
      <c r="Y215" s="13">
        <f t="shared" si="49"/>
        <v>1</v>
      </c>
      <c r="Z215" s="13">
        <f t="shared" si="49"/>
        <v>0</v>
      </c>
      <c r="AA215" s="13">
        <f t="shared" si="49"/>
        <v>1</v>
      </c>
      <c r="AB215" s="13">
        <f t="shared" si="49"/>
        <v>0</v>
      </c>
      <c r="AC215" s="13">
        <f t="shared" si="49"/>
        <v>0</v>
      </c>
      <c r="AD215" s="13">
        <f t="shared" si="49"/>
        <v>2</v>
      </c>
      <c r="AE215" s="13">
        <f t="shared" si="49"/>
        <v>1</v>
      </c>
      <c r="AF215" s="13">
        <f t="shared" si="49"/>
        <v>17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71"/>
      <c r="O217" s="13"/>
      <c r="P217" s="13"/>
      <c r="Q217" s="13"/>
      <c r="R217" s="71"/>
      <c r="S217" s="13"/>
      <c r="T217" s="13"/>
      <c r="U217" s="13"/>
      <c r="V217" s="13"/>
      <c r="W217" s="13"/>
      <c r="X217" s="13"/>
      <c r="Y217" s="13"/>
      <c r="Z217" s="13"/>
      <c r="AA217" s="71"/>
      <c r="AB217" s="13"/>
      <c r="AC217" s="13"/>
      <c r="AD217" s="13"/>
      <c r="AE217" s="71"/>
      <c r="AF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AE218" si="50">E53+E63+E73+E83+E93+E103+E109+E119+E129+E136+E146+E156+E166+E176+E186+E196+E206+E215</f>
        <v>205</v>
      </c>
      <c r="F218" s="19">
        <f t="shared" si="50"/>
        <v>190</v>
      </c>
      <c r="G218" s="19">
        <f t="shared" si="50"/>
        <v>198</v>
      </c>
      <c r="H218" s="19">
        <f t="shared" si="50"/>
        <v>196</v>
      </c>
      <c r="I218" s="19">
        <f t="shared" si="50"/>
        <v>190</v>
      </c>
      <c r="J218" s="19">
        <f t="shared" si="50"/>
        <v>174</v>
      </c>
      <c r="K218" s="19">
        <f t="shared" si="50"/>
        <v>187</v>
      </c>
      <c r="L218" s="19">
        <f t="shared" si="50"/>
        <v>198</v>
      </c>
      <c r="M218" s="19">
        <f t="shared" si="50"/>
        <v>193</v>
      </c>
      <c r="N218" s="19">
        <f t="shared" si="50"/>
        <v>212</v>
      </c>
      <c r="O218" s="19">
        <f t="shared" si="50"/>
        <v>201</v>
      </c>
      <c r="P218" s="19">
        <f t="shared" si="50"/>
        <v>197</v>
      </c>
      <c r="Q218" s="19">
        <f t="shared" si="50"/>
        <v>193</v>
      </c>
      <c r="R218" s="19">
        <f t="shared" si="50"/>
        <v>159</v>
      </c>
      <c r="S218" s="19">
        <f t="shared" si="50"/>
        <v>209</v>
      </c>
      <c r="T218" s="19">
        <f t="shared" si="50"/>
        <v>217</v>
      </c>
      <c r="U218" s="19">
        <f t="shared" si="50"/>
        <v>194</v>
      </c>
      <c r="V218" s="19">
        <f t="shared" si="50"/>
        <v>200</v>
      </c>
      <c r="W218" s="19">
        <f t="shared" si="50"/>
        <v>194</v>
      </c>
      <c r="X218" s="19">
        <f t="shared" si="50"/>
        <v>224</v>
      </c>
      <c r="Y218" s="19">
        <f t="shared" si="50"/>
        <v>174</v>
      </c>
      <c r="Z218" s="19">
        <f t="shared" si="50"/>
        <v>189</v>
      </c>
      <c r="AA218" s="19">
        <f t="shared" si="50"/>
        <v>179</v>
      </c>
      <c r="AB218" s="19">
        <f t="shared" si="50"/>
        <v>182</v>
      </c>
      <c r="AC218" s="19">
        <f t="shared" si="50"/>
        <v>189</v>
      </c>
      <c r="AD218" s="19">
        <f t="shared" si="50"/>
        <v>177</v>
      </c>
      <c r="AE218" s="19">
        <f t="shared" si="50"/>
        <v>183</v>
      </c>
      <c r="AF218" s="13">
        <f t="shared" ref="AF218:AF220" si="51">SUM(E218:AE218)</f>
        <v>5204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14.0</v>
      </c>
      <c r="F219" s="19">
        <v>24.0</v>
      </c>
      <c r="G219" s="19">
        <v>26.0</v>
      </c>
      <c r="H219" s="19">
        <v>24.0</v>
      </c>
      <c r="I219" s="19">
        <v>23.0</v>
      </c>
      <c r="J219" s="19">
        <v>13.0</v>
      </c>
      <c r="K219" s="19">
        <v>25.0</v>
      </c>
      <c r="L219" s="19">
        <v>19.0</v>
      </c>
      <c r="M219" s="19">
        <v>27.0</v>
      </c>
      <c r="N219" s="19">
        <v>13.0</v>
      </c>
      <c r="O219" s="19">
        <v>13.0</v>
      </c>
      <c r="P219" s="19">
        <v>22.0</v>
      </c>
      <c r="Q219" s="19">
        <v>25.0</v>
      </c>
      <c r="R219" s="19">
        <v>23.0</v>
      </c>
      <c r="S219" s="19">
        <v>28.0</v>
      </c>
      <c r="T219" s="19">
        <v>14.0</v>
      </c>
      <c r="U219" s="19">
        <v>18.0</v>
      </c>
      <c r="V219" s="19">
        <v>15.0</v>
      </c>
      <c r="W219" s="19">
        <v>22.0</v>
      </c>
      <c r="X219" s="19">
        <v>7.0</v>
      </c>
      <c r="Y219" s="19">
        <v>20.0</v>
      </c>
      <c r="Z219" s="19">
        <v>3.0</v>
      </c>
      <c r="AA219" s="19">
        <v>14.0</v>
      </c>
      <c r="AB219" s="19">
        <v>10.0</v>
      </c>
      <c r="AC219" s="19">
        <v>7.0</v>
      </c>
      <c r="AD219" s="19">
        <v>9.0</v>
      </c>
      <c r="AE219" s="19">
        <v>8.0</v>
      </c>
      <c r="AF219" s="13">
        <f t="shared" si="51"/>
        <v>466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AE220" si="52">SUM(E218:E219)</f>
        <v>219</v>
      </c>
      <c r="F220" s="13">
        <f t="shared" si="52"/>
        <v>214</v>
      </c>
      <c r="G220" s="13">
        <f t="shared" si="52"/>
        <v>224</v>
      </c>
      <c r="H220" s="13">
        <f t="shared" si="52"/>
        <v>220</v>
      </c>
      <c r="I220" s="13">
        <f t="shared" si="52"/>
        <v>213</v>
      </c>
      <c r="J220" s="13">
        <f t="shared" si="52"/>
        <v>187</v>
      </c>
      <c r="K220" s="13">
        <f t="shared" si="52"/>
        <v>212</v>
      </c>
      <c r="L220" s="13">
        <f t="shared" si="52"/>
        <v>217</v>
      </c>
      <c r="M220" s="13">
        <f t="shared" si="52"/>
        <v>220</v>
      </c>
      <c r="N220" s="13">
        <f t="shared" si="52"/>
        <v>225</v>
      </c>
      <c r="O220" s="13">
        <f t="shared" si="52"/>
        <v>214</v>
      </c>
      <c r="P220" s="13">
        <f t="shared" si="52"/>
        <v>219</v>
      </c>
      <c r="Q220" s="13">
        <f t="shared" si="52"/>
        <v>218</v>
      </c>
      <c r="R220" s="13">
        <f t="shared" si="52"/>
        <v>182</v>
      </c>
      <c r="S220" s="13">
        <f t="shared" si="52"/>
        <v>237</v>
      </c>
      <c r="T220" s="13">
        <f t="shared" si="52"/>
        <v>231</v>
      </c>
      <c r="U220" s="13">
        <f t="shared" si="52"/>
        <v>212</v>
      </c>
      <c r="V220" s="13">
        <f t="shared" si="52"/>
        <v>215</v>
      </c>
      <c r="W220" s="13">
        <f t="shared" si="52"/>
        <v>216</v>
      </c>
      <c r="X220" s="13">
        <f t="shared" si="52"/>
        <v>231</v>
      </c>
      <c r="Y220" s="13">
        <f t="shared" si="52"/>
        <v>194</v>
      </c>
      <c r="Z220" s="13">
        <f t="shared" si="52"/>
        <v>192</v>
      </c>
      <c r="AA220" s="13">
        <f t="shared" si="52"/>
        <v>193</v>
      </c>
      <c r="AB220" s="13">
        <f t="shared" si="52"/>
        <v>192</v>
      </c>
      <c r="AC220" s="13">
        <f t="shared" si="52"/>
        <v>196</v>
      </c>
      <c r="AD220" s="13">
        <f t="shared" si="52"/>
        <v>186</v>
      </c>
      <c r="AE220" s="13">
        <f t="shared" si="52"/>
        <v>191</v>
      </c>
      <c r="AF220" s="13">
        <f t="shared" si="51"/>
        <v>5670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63:D63"/>
    <mergeCell ref="A64:E64"/>
    <mergeCell ref="C65:D65"/>
    <mergeCell ref="B73:D73"/>
    <mergeCell ref="A74:E74"/>
    <mergeCell ref="C75:D75"/>
    <mergeCell ref="B83:D83"/>
    <mergeCell ref="A84:E84"/>
    <mergeCell ref="C85:D85"/>
    <mergeCell ref="B93:D93"/>
    <mergeCell ref="A94:E94"/>
    <mergeCell ref="C95:D95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A187:E187"/>
    <mergeCell ref="C188:D188"/>
    <mergeCell ref="B217:D217"/>
    <mergeCell ref="C218:D218"/>
    <mergeCell ref="C219:D219"/>
    <mergeCell ref="C220:D220"/>
    <mergeCell ref="B196:D196"/>
    <mergeCell ref="A197:E197"/>
    <mergeCell ref="C198:D198"/>
    <mergeCell ref="B206:D206"/>
    <mergeCell ref="A207:E207"/>
    <mergeCell ref="C208:D208"/>
    <mergeCell ref="B215:D215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V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V42"/>
    <mergeCell ref="B43:D43"/>
    <mergeCell ref="A44:D44"/>
    <mergeCell ref="C45:D45"/>
    <mergeCell ref="B53:D53"/>
    <mergeCell ref="A54:E54"/>
    <mergeCell ref="C55:D55"/>
    <mergeCell ref="C46:D46"/>
    <mergeCell ref="C47:D47"/>
    <mergeCell ref="C48:D48"/>
    <mergeCell ref="C49:D49"/>
    <mergeCell ref="C50:D50"/>
    <mergeCell ref="C51:D51"/>
    <mergeCell ref="C52:D52"/>
  </mergeCells>
  <conditionalFormatting sqref="E14:AE15">
    <cfRule type="containsBlanks" dxfId="0" priority="1">
      <formula>LEN(TRIM(E14))=0</formula>
    </cfRule>
  </conditionalFormatting>
  <conditionalFormatting sqref="E19:AE20">
    <cfRule type="containsBlanks" dxfId="0" priority="2">
      <formula>LEN(TRIM(E19))=0</formula>
    </cfRule>
  </conditionalFormatting>
  <conditionalFormatting sqref="E22:AE23 E25:AE26 E33:AE33 E35:AE35 E39:AE40">
    <cfRule type="containsBlanks" dxfId="0" priority="3">
      <formula>LEN(TRIM(E22))=0</formula>
    </cfRule>
  </conditionalFormatting>
  <conditionalFormatting sqref="E30:AE30">
    <cfRule type="expression" dxfId="1" priority="4">
      <formula>E30&lt;&gt;E47</formula>
    </cfRule>
  </conditionalFormatting>
  <conditionalFormatting sqref="E30:AE30">
    <cfRule type="expression" dxfId="1" priority="5">
      <formula>E30&lt;&gt;E34</formula>
    </cfRule>
  </conditionalFormatting>
  <conditionalFormatting sqref="E45:AE52">
    <cfRule type="containsBlanks" dxfId="0" priority="6">
      <formula>LEN(TRIM(E45))=0</formula>
    </cfRule>
  </conditionalFormatting>
  <conditionalFormatting sqref="E55:AE62">
    <cfRule type="containsBlanks" dxfId="0" priority="7">
      <formula>LEN(TRIM(E55))=0</formula>
    </cfRule>
  </conditionalFormatting>
  <conditionalFormatting sqref="E65:AE72">
    <cfRule type="containsBlanks" dxfId="0" priority="8">
      <formula>LEN(TRIM(E65))=0</formula>
    </cfRule>
  </conditionalFormatting>
  <conditionalFormatting sqref="E75:AE82">
    <cfRule type="containsBlanks" dxfId="0" priority="9">
      <formula>LEN(TRIM(E75))=0</formula>
    </cfRule>
  </conditionalFormatting>
  <conditionalFormatting sqref="E85:AE92">
    <cfRule type="containsBlanks" dxfId="0" priority="10">
      <formula>LEN(TRIM(E85))=0</formula>
    </cfRule>
  </conditionalFormatting>
  <conditionalFormatting sqref="E95:AE102">
    <cfRule type="containsBlanks" dxfId="0" priority="11">
      <formula>LEN(TRIM(E95))=0</formula>
    </cfRule>
  </conditionalFormatting>
  <conditionalFormatting sqref="E105:AE108">
    <cfRule type="containsBlanks" dxfId="0" priority="12">
      <formula>LEN(TRIM(E105))=0</formula>
    </cfRule>
  </conditionalFormatting>
  <conditionalFormatting sqref="E111:AE118">
    <cfRule type="containsBlanks" dxfId="0" priority="13">
      <formula>LEN(TRIM(E111))=0</formula>
    </cfRule>
  </conditionalFormatting>
  <conditionalFormatting sqref="E121:AE128">
    <cfRule type="containsBlanks" dxfId="0" priority="14">
      <formula>LEN(TRIM(E121))=0</formula>
    </cfRule>
  </conditionalFormatting>
  <conditionalFormatting sqref="E131:AE135">
    <cfRule type="containsBlanks" dxfId="0" priority="15">
      <formula>LEN(TRIM(E131))=0</formula>
    </cfRule>
  </conditionalFormatting>
  <conditionalFormatting sqref="E138:AE145">
    <cfRule type="containsBlanks" dxfId="0" priority="16">
      <formula>LEN(TRIM(E138))=0</formula>
    </cfRule>
  </conditionalFormatting>
  <conditionalFormatting sqref="E148:AE155">
    <cfRule type="containsBlanks" dxfId="0" priority="17">
      <formula>LEN(TRIM(E148))=0</formula>
    </cfRule>
  </conditionalFormatting>
  <conditionalFormatting sqref="E158:AE165">
    <cfRule type="containsBlanks" dxfId="0" priority="18">
      <formula>LEN(TRIM(E158))=0</formula>
    </cfRule>
  </conditionalFormatting>
  <conditionalFormatting sqref="E168:AE175">
    <cfRule type="containsBlanks" dxfId="0" priority="19">
      <formula>LEN(TRIM(E168))=0</formula>
    </cfRule>
  </conditionalFormatting>
  <conditionalFormatting sqref="E178:AE185">
    <cfRule type="containsBlanks" dxfId="0" priority="20">
      <formula>LEN(TRIM(E178))=0</formula>
    </cfRule>
  </conditionalFormatting>
  <conditionalFormatting sqref="E188:AE195">
    <cfRule type="containsBlanks" dxfId="0" priority="21">
      <formula>LEN(TRIM(E188))=0</formula>
    </cfRule>
  </conditionalFormatting>
  <conditionalFormatting sqref="E198:AE205">
    <cfRule type="containsBlanks" dxfId="0" priority="22">
      <formula>LEN(TRIM(E198))=0</formula>
    </cfRule>
  </conditionalFormatting>
  <conditionalFormatting sqref="E208:AE214">
    <cfRule type="containsBlanks" dxfId="0" priority="23">
      <formula>LEN(TRIM(E208))=0</formula>
    </cfRule>
  </conditionalFormatting>
  <conditionalFormatting sqref="E218:AE219">
    <cfRule type="containsBlanks" dxfId="0" priority="24">
      <formula>LEN(TRIM(E218))=0</formula>
    </cfRule>
  </conditionalFormatting>
  <conditionalFormatting sqref="E34:AE34">
    <cfRule type="expression" dxfId="2" priority="25">
      <formula>E30&lt;&gt;E34</formula>
    </cfRule>
  </conditionalFormatting>
  <conditionalFormatting sqref="E34:AE34">
    <cfRule type="expression" dxfId="3" priority="26">
      <formula>E30=E34</formula>
    </cfRule>
  </conditionalFormatting>
  <conditionalFormatting sqref="E34:AE34">
    <cfRule type="expression" dxfId="1" priority="27">
      <formula>E34&lt;&gt;E30</formula>
    </cfRule>
  </conditionalFormatting>
  <conditionalFormatting sqref="E34:AE34">
    <cfRule type="expression" dxfId="1" priority="28">
      <formula>E34&lt;&gt;E62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240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6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220</v>
      </c>
      <c r="Y13" s="13" t="s">
        <v>221</v>
      </c>
      <c r="Z13" s="13" t="s">
        <v>222</v>
      </c>
      <c r="AA13" s="13" t="s">
        <v>223</v>
      </c>
      <c r="AB13" s="13" t="s">
        <v>224</v>
      </c>
      <c r="AC13" s="13" t="s">
        <v>225</v>
      </c>
      <c r="AD13" s="13" t="s">
        <v>227</v>
      </c>
      <c r="AE13" s="13" t="s">
        <v>228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127.0</v>
      </c>
      <c r="G14" s="19">
        <v>137.0</v>
      </c>
      <c r="H14" s="19">
        <v>138.0</v>
      </c>
      <c r="I14" s="19">
        <v>144.0</v>
      </c>
      <c r="J14" s="19">
        <v>135.0</v>
      </c>
      <c r="K14" s="19">
        <v>140.0</v>
      </c>
      <c r="L14" s="19">
        <v>139.0</v>
      </c>
      <c r="M14" s="19">
        <v>144.0</v>
      </c>
      <c r="N14" s="19">
        <v>154.0</v>
      </c>
      <c r="O14" s="19">
        <v>131.0</v>
      </c>
      <c r="P14" s="19">
        <v>149.0</v>
      </c>
      <c r="Q14" s="19">
        <v>145.0</v>
      </c>
      <c r="R14" s="19">
        <v>131.0</v>
      </c>
      <c r="S14" s="19">
        <v>130.0</v>
      </c>
      <c r="T14" s="19">
        <v>130.0</v>
      </c>
      <c r="U14" s="19">
        <v>132.0</v>
      </c>
      <c r="V14" s="19">
        <v>140.0</v>
      </c>
      <c r="W14" s="19">
        <v>143.0</v>
      </c>
      <c r="X14" s="19">
        <v>130.0</v>
      </c>
      <c r="Y14" s="19">
        <v>135.0</v>
      </c>
      <c r="Z14" s="19">
        <v>131.0</v>
      </c>
      <c r="AA14" s="19">
        <v>129.0</v>
      </c>
      <c r="AB14" s="19">
        <v>128.0</v>
      </c>
      <c r="AC14" s="19">
        <v>129.0</v>
      </c>
      <c r="AD14" s="19">
        <v>131.0</v>
      </c>
      <c r="AE14" s="19">
        <v>135.0</v>
      </c>
      <c r="AF14" s="13">
        <f t="shared" ref="AF14:AF16" si="1">SUM(E14:AE14)</f>
        <v>3665</v>
      </c>
    </row>
    <row r="15" ht="12.75" customHeight="1">
      <c r="A15" s="18"/>
      <c r="B15" s="26"/>
      <c r="C15" s="27"/>
      <c r="D15" s="19" t="s">
        <v>13</v>
      </c>
      <c r="E15" s="19">
        <v>133.0</v>
      </c>
      <c r="F15" s="19">
        <v>133.0</v>
      </c>
      <c r="G15" s="19">
        <v>132.0</v>
      </c>
      <c r="H15" s="19">
        <v>150.0</v>
      </c>
      <c r="I15" s="19">
        <v>131.0</v>
      </c>
      <c r="J15" s="19">
        <v>137.0</v>
      </c>
      <c r="K15" s="19">
        <v>151.0</v>
      </c>
      <c r="L15" s="19">
        <v>147.0</v>
      </c>
      <c r="M15" s="19">
        <v>129.0</v>
      </c>
      <c r="N15" s="19">
        <v>138.0</v>
      </c>
      <c r="O15" s="19">
        <v>119.0</v>
      </c>
      <c r="P15" s="19">
        <v>144.0</v>
      </c>
      <c r="Q15" s="19">
        <v>146.0</v>
      </c>
      <c r="R15" s="19">
        <v>142.0</v>
      </c>
      <c r="S15" s="19">
        <v>134.0</v>
      </c>
      <c r="T15" s="19">
        <v>144.0</v>
      </c>
      <c r="U15" s="19">
        <v>128.0</v>
      </c>
      <c r="V15" s="19">
        <v>130.0</v>
      </c>
      <c r="W15" s="19">
        <v>119.0</v>
      </c>
      <c r="X15" s="19">
        <v>132.0</v>
      </c>
      <c r="Y15" s="19">
        <v>128.0</v>
      </c>
      <c r="Z15" s="19">
        <v>119.0</v>
      </c>
      <c r="AA15" s="19">
        <v>126.0</v>
      </c>
      <c r="AB15" s="19">
        <v>128.0</v>
      </c>
      <c r="AC15" s="19">
        <v>122.0</v>
      </c>
      <c r="AD15" s="19">
        <v>126.0</v>
      </c>
      <c r="AE15" s="19">
        <v>141.0</v>
      </c>
      <c r="AF15" s="13">
        <f t="shared" si="1"/>
        <v>3609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261</v>
      </c>
      <c r="F16" s="13">
        <f t="shared" si="2"/>
        <v>260</v>
      </c>
      <c r="G16" s="13">
        <f t="shared" si="2"/>
        <v>269</v>
      </c>
      <c r="H16" s="13">
        <f t="shared" si="2"/>
        <v>288</v>
      </c>
      <c r="I16" s="13">
        <f t="shared" si="2"/>
        <v>275</v>
      </c>
      <c r="J16" s="13">
        <f t="shared" si="2"/>
        <v>272</v>
      </c>
      <c r="K16" s="13">
        <f t="shared" si="2"/>
        <v>291</v>
      </c>
      <c r="L16" s="13">
        <f t="shared" si="2"/>
        <v>286</v>
      </c>
      <c r="M16" s="13">
        <f t="shared" si="2"/>
        <v>273</v>
      </c>
      <c r="N16" s="13">
        <f t="shared" si="2"/>
        <v>292</v>
      </c>
      <c r="O16" s="13">
        <f t="shared" si="2"/>
        <v>250</v>
      </c>
      <c r="P16" s="13">
        <f t="shared" si="2"/>
        <v>293</v>
      </c>
      <c r="Q16" s="13">
        <f t="shared" si="2"/>
        <v>291</v>
      </c>
      <c r="R16" s="13">
        <f t="shared" si="2"/>
        <v>273</v>
      </c>
      <c r="S16" s="13">
        <f t="shared" si="2"/>
        <v>264</v>
      </c>
      <c r="T16" s="13">
        <f t="shared" si="2"/>
        <v>274</v>
      </c>
      <c r="U16" s="13">
        <f t="shared" si="2"/>
        <v>260</v>
      </c>
      <c r="V16" s="13">
        <f t="shared" si="2"/>
        <v>270</v>
      </c>
      <c r="W16" s="13">
        <f t="shared" si="2"/>
        <v>262</v>
      </c>
      <c r="X16" s="13">
        <f t="shared" si="2"/>
        <v>262</v>
      </c>
      <c r="Y16" s="13">
        <f t="shared" si="2"/>
        <v>263</v>
      </c>
      <c r="Z16" s="13">
        <f t="shared" si="2"/>
        <v>250</v>
      </c>
      <c r="AA16" s="13">
        <f t="shared" si="2"/>
        <v>255</v>
      </c>
      <c r="AB16" s="13">
        <f t="shared" si="2"/>
        <v>256</v>
      </c>
      <c r="AC16" s="13">
        <f t="shared" si="2"/>
        <v>251</v>
      </c>
      <c r="AD16" s="13">
        <f t="shared" si="2"/>
        <v>257</v>
      </c>
      <c r="AE16" s="13">
        <f t="shared" si="2"/>
        <v>276</v>
      </c>
      <c r="AF16" s="13">
        <f t="shared" si="1"/>
        <v>7274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70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70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101.0</v>
      </c>
      <c r="F19" s="19">
        <v>94.0</v>
      </c>
      <c r="G19" s="19">
        <v>109.0</v>
      </c>
      <c r="H19" s="19">
        <v>113.0</v>
      </c>
      <c r="I19" s="19">
        <v>112.0</v>
      </c>
      <c r="J19" s="19">
        <v>100.0</v>
      </c>
      <c r="K19" s="19">
        <v>116.0</v>
      </c>
      <c r="L19" s="19">
        <v>108.0</v>
      </c>
      <c r="M19" s="19">
        <v>109.0</v>
      </c>
      <c r="N19" s="19">
        <v>108.0</v>
      </c>
      <c r="O19" s="19">
        <v>109.0</v>
      </c>
      <c r="P19" s="19">
        <v>109.0</v>
      </c>
      <c r="Q19" s="19">
        <v>108.0</v>
      </c>
      <c r="R19" s="19">
        <v>96.0</v>
      </c>
      <c r="S19" s="19">
        <v>99.0</v>
      </c>
      <c r="T19" s="19">
        <v>102.0</v>
      </c>
      <c r="U19" s="19">
        <v>92.0</v>
      </c>
      <c r="V19" s="19">
        <v>113.0</v>
      </c>
      <c r="W19" s="19">
        <v>103.0</v>
      </c>
      <c r="X19" s="19">
        <v>105.0</v>
      </c>
      <c r="Y19" s="19">
        <v>107.0</v>
      </c>
      <c r="Z19" s="19">
        <v>98.0</v>
      </c>
      <c r="AA19" s="19">
        <v>96.0</v>
      </c>
      <c r="AB19" s="19">
        <v>109.0</v>
      </c>
      <c r="AC19" s="19">
        <v>88.0</v>
      </c>
      <c r="AD19" s="19">
        <v>105.0</v>
      </c>
      <c r="AE19" s="19">
        <v>105.0</v>
      </c>
      <c r="AF19" s="13">
        <f t="shared" ref="AF19:AF30" si="3">SUM(E19:AE19)</f>
        <v>2814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99.0</v>
      </c>
      <c r="G20" s="19">
        <v>108.0</v>
      </c>
      <c r="H20" s="19">
        <v>113.0</v>
      </c>
      <c r="I20" s="19">
        <v>104.0</v>
      </c>
      <c r="J20" s="19">
        <v>114.0</v>
      </c>
      <c r="K20" s="19">
        <v>122.0</v>
      </c>
      <c r="L20" s="19">
        <v>130.0</v>
      </c>
      <c r="M20" s="19">
        <v>108.0</v>
      </c>
      <c r="N20" s="19">
        <v>102.0</v>
      </c>
      <c r="O20" s="19">
        <v>97.0</v>
      </c>
      <c r="P20" s="19">
        <v>116.0</v>
      </c>
      <c r="Q20" s="19">
        <v>108.0</v>
      </c>
      <c r="R20" s="19">
        <v>122.0</v>
      </c>
      <c r="S20" s="19">
        <v>113.0</v>
      </c>
      <c r="T20" s="19">
        <v>109.0</v>
      </c>
      <c r="U20" s="19">
        <v>99.0</v>
      </c>
      <c r="V20" s="19">
        <v>110.0</v>
      </c>
      <c r="W20" s="19">
        <v>91.0</v>
      </c>
      <c r="X20" s="19">
        <v>106.0</v>
      </c>
      <c r="Y20" s="19">
        <v>105.0</v>
      </c>
      <c r="Z20" s="19">
        <v>92.0</v>
      </c>
      <c r="AA20" s="19">
        <v>105.0</v>
      </c>
      <c r="AB20" s="19">
        <v>102.0</v>
      </c>
      <c r="AC20" s="19">
        <v>92.0</v>
      </c>
      <c r="AD20" s="19">
        <v>97.0</v>
      </c>
      <c r="AE20" s="19">
        <v>119.0</v>
      </c>
      <c r="AF20" s="13">
        <f t="shared" si="3"/>
        <v>2879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197</v>
      </c>
      <c r="F21" s="13">
        <f t="shared" si="4"/>
        <v>193</v>
      </c>
      <c r="G21" s="13">
        <f t="shared" si="4"/>
        <v>217</v>
      </c>
      <c r="H21" s="13">
        <f t="shared" si="4"/>
        <v>226</v>
      </c>
      <c r="I21" s="13">
        <f t="shared" si="4"/>
        <v>216</v>
      </c>
      <c r="J21" s="13">
        <f t="shared" si="4"/>
        <v>214</v>
      </c>
      <c r="K21" s="13">
        <f t="shared" si="4"/>
        <v>238</v>
      </c>
      <c r="L21" s="13">
        <f t="shared" si="4"/>
        <v>238</v>
      </c>
      <c r="M21" s="13">
        <f t="shared" si="4"/>
        <v>217</v>
      </c>
      <c r="N21" s="13">
        <f t="shared" si="4"/>
        <v>210</v>
      </c>
      <c r="O21" s="13">
        <f t="shared" si="4"/>
        <v>206</v>
      </c>
      <c r="P21" s="13">
        <f t="shared" si="4"/>
        <v>225</v>
      </c>
      <c r="Q21" s="13">
        <f t="shared" si="4"/>
        <v>216</v>
      </c>
      <c r="R21" s="13">
        <f t="shared" si="4"/>
        <v>218</v>
      </c>
      <c r="S21" s="13">
        <f t="shared" si="4"/>
        <v>212</v>
      </c>
      <c r="T21" s="13">
        <f t="shared" si="4"/>
        <v>211</v>
      </c>
      <c r="U21" s="13">
        <f t="shared" si="4"/>
        <v>191</v>
      </c>
      <c r="V21" s="13">
        <f t="shared" si="4"/>
        <v>223</v>
      </c>
      <c r="W21" s="13">
        <f t="shared" si="4"/>
        <v>194</v>
      </c>
      <c r="X21" s="13">
        <f t="shared" si="4"/>
        <v>211</v>
      </c>
      <c r="Y21" s="13">
        <f t="shared" si="4"/>
        <v>212</v>
      </c>
      <c r="Z21" s="13">
        <f t="shared" si="4"/>
        <v>190</v>
      </c>
      <c r="AA21" s="13">
        <f t="shared" si="4"/>
        <v>201</v>
      </c>
      <c r="AB21" s="13">
        <f t="shared" si="4"/>
        <v>211</v>
      </c>
      <c r="AC21" s="13">
        <f t="shared" si="4"/>
        <v>180</v>
      </c>
      <c r="AD21" s="13">
        <f t="shared" si="4"/>
        <v>202</v>
      </c>
      <c r="AE21" s="13">
        <f t="shared" si="4"/>
        <v>224</v>
      </c>
      <c r="AF21" s="13">
        <f t="shared" si="3"/>
        <v>5693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2.0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1.0</v>
      </c>
      <c r="Z22" s="19">
        <v>0.0</v>
      </c>
      <c r="AA22" s="19">
        <v>0.0</v>
      </c>
      <c r="AB22" s="19">
        <v>0.0</v>
      </c>
      <c r="AC22" s="19">
        <v>1.0</v>
      </c>
      <c r="AD22" s="19">
        <v>0.0</v>
      </c>
      <c r="AE22" s="19">
        <v>0.0</v>
      </c>
      <c r="AF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0.0</v>
      </c>
      <c r="W23" s="19">
        <v>0.0</v>
      </c>
      <c r="X23" s="19">
        <v>0.0</v>
      </c>
      <c r="Y23" s="19">
        <v>2.0</v>
      </c>
      <c r="Z23" s="19">
        <v>0.0</v>
      </c>
      <c r="AA23" s="19">
        <v>0.0</v>
      </c>
      <c r="AB23" s="19">
        <v>0.0</v>
      </c>
      <c r="AC23" s="19">
        <v>1.0</v>
      </c>
      <c r="AD23" s="19">
        <v>0.0</v>
      </c>
      <c r="AE23" s="19">
        <v>1.0</v>
      </c>
      <c r="AF23" s="13">
        <f t="shared" si="3"/>
        <v>7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3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2</v>
      </c>
      <c r="AD24" s="13">
        <f t="shared" si="5"/>
        <v>0</v>
      </c>
      <c r="AE24" s="13">
        <f t="shared" si="5"/>
        <v>1</v>
      </c>
      <c r="AF24" s="13">
        <f t="shared" si="3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2.0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1.0</v>
      </c>
      <c r="Z25" s="19">
        <v>0.0</v>
      </c>
      <c r="AA25" s="19">
        <v>1.0</v>
      </c>
      <c r="AB25" s="19">
        <v>0.0</v>
      </c>
      <c r="AC25" s="19">
        <v>0.0</v>
      </c>
      <c r="AD25" s="19">
        <v>0.0</v>
      </c>
      <c r="AE25" s="19">
        <v>0.0</v>
      </c>
      <c r="AF25" s="13">
        <f t="shared" si="3"/>
        <v>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2.0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1.0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3">
        <f t="shared" si="3"/>
        <v>4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4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1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2</v>
      </c>
      <c r="Z27" s="13">
        <f t="shared" si="6"/>
        <v>0</v>
      </c>
      <c r="AA27" s="13">
        <f t="shared" si="6"/>
        <v>1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102</v>
      </c>
      <c r="F28" s="13">
        <f t="shared" si="7"/>
        <v>94</v>
      </c>
      <c r="G28" s="13">
        <f t="shared" si="7"/>
        <v>109</v>
      </c>
      <c r="H28" s="13">
        <f t="shared" si="7"/>
        <v>113</v>
      </c>
      <c r="I28" s="13">
        <f t="shared" si="7"/>
        <v>112</v>
      </c>
      <c r="J28" s="13">
        <f t="shared" si="7"/>
        <v>100</v>
      </c>
      <c r="K28" s="13">
        <f t="shared" si="7"/>
        <v>118</v>
      </c>
      <c r="L28" s="13">
        <f t="shared" si="7"/>
        <v>108</v>
      </c>
      <c r="M28" s="13">
        <f t="shared" si="7"/>
        <v>109</v>
      </c>
      <c r="N28" s="13">
        <f t="shared" si="7"/>
        <v>110</v>
      </c>
      <c r="O28" s="13">
        <f t="shared" si="7"/>
        <v>109</v>
      </c>
      <c r="P28" s="13">
        <f t="shared" si="7"/>
        <v>109</v>
      </c>
      <c r="Q28" s="13">
        <f t="shared" si="7"/>
        <v>108</v>
      </c>
      <c r="R28" s="13">
        <f t="shared" si="7"/>
        <v>96</v>
      </c>
      <c r="S28" s="13">
        <f t="shared" si="7"/>
        <v>99</v>
      </c>
      <c r="T28" s="13">
        <f t="shared" si="7"/>
        <v>102</v>
      </c>
      <c r="U28" s="13">
        <f t="shared" si="7"/>
        <v>92</v>
      </c>
      <c r="V28" s="13">
        <f t="shared" si="7"/>
        <v>113</v>
      </c>
      <c r="W28" s="13">
        <f t="shared" si="7"/>
        <v>103</v>
      </c>
      <c r="X28" s="13">
        <f t="shared" si="7"/>
        <v>105</v>
      </c>
      <c r="Y28" s="13">
        <f t="shared" si="7"/>
        <v>109</v>
      </c>
      <c r="Z28" s="13">
        <f t="shared" si="7"/>
        <v>98</v>
      </c>
      <c r="AA28" s="13">
        <f t="shared" si="7"/>
        <v>97</v>
      </c>
      <c r="AB28" s="13">
        <f t="shared" si="7"/>
        <v>109</v>
      </c>
      <c r="AC28" s="13">
        <f t="shared" si="7"/>
        <v>89</v>
      </c>
      <c r="AD28" s="13">
        <f t="shared" si="7"/>
        <v>105</v>
      </c>
      <c r="AE28" s="13">
        <f t="shared" si="7"/>
        <v>105</v>
      </c>
      <c r="AF28" s="13">
        <f t="shared" si="3"/>
        <v>2823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96</v>
      </c>
      <c r="F29" s="13">
        <f t="shared" si="8"/>
        <v>99</v>
      </c>
      <c r="G29" s="13">
        <f t="shared" si="8"/>
        <v>108</v>
      </c>
      <c r="H29" s="13">
        <f t="shared" si="8"/>
        <v>113</v>
      </c>
      <c r="I29" s="13">
        <f t="shared" si="8"/>
        <v>104</v>
      </c>
      <c r="J29" s="13">
        <f t="shared" si="8"/>
        <v>114</v>
      </c>
      <c r="K29" s="13">
        <f t="shared" si="8"/>
        <v>124</v>
      </c>
      <c r="L29" s="13">
        <f t="shared" si="8"/>
        <v>130</v>
      </c>
      <c r="M29" s="13">
        <f t="shared" si="8"/>
        <v>108</v>
      </c>
      <c r="N29" s="13">
        <f t="shared" si="8"/>
        <v>103</v>
      </c>
      <c r="O29" s="13">
        <f t="shared" si="8"/>
        <v>97</v>
      </c>
      <c r="P29" s="13">
        <f t="shared" si="8"/>
        <v>117</v>
      </c>
      <c r="Q29" s="13">
        <f t="shared" si="8"/>
        <v>108</v>
      </c>
      <c r="R29" s="13">
        <f t="shared" si="8"/>
        <v>122</v>
      </c>
      <c r="S29" s="13">
        <f t="shared" si="8"/>
        <v>114</v>
      </c>
      <c r="T29" s="13">
        <f t="shared" si="8"/>
        <v>110</v>
      </c>
      <c r="U29" s="13">
        <f t="shared" si="8"/>
        <v>99</v>
      </c>
      <c r="V29" s="13">
        <f t="shared" si="8"/>
        <v>110</v>
      </c>
      <c r="W29" s="13">
        <f t="shared" si="8"/>
        <v>91</v>
      </c>
      <c r="X29" s="13">
        <f t="shared" si="8"/>
        <v>106</v>
      </c>
      <c r="Y29" s="13">
        <f t="shared" si="8"/>
        <v>108</v>
      </c>
      <c r="Z29" s="13">
        <f t="shared" si="8"/>
        <v>92</v>
      </c>
      <c r="AA29" s="13">
        <f t="shared" si="8"/>
        <v>105</v>
      </c>
      <c r="AB29" s="13">
        <f t="shared" si="8"/>
        <v>102</v>
      </c>
      <c r="AC29" s="13">
        <f t="shared" si="8"/>
        <v>93</v>
      </c>
      <c r="AD29" s="13">
        <f t="shared" si="8"/>
        <v>97</v>
      </c>
      <c r="AE29" s="13">
        <f t="shared" si="8"/>
        <v>120</v>
      </c>
      <c r="AF29" s="13">
        <f t="shared" si="3"/>
        <v>2890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198</v>
      </c>
      <c r="F30" s="13">
        <f t="shared" si="9"/>
        <v>193</v>
      </c>
      <c r="G30" s="13">
        <f t="shared" si="9"/>
        <v>217</v>
      </c>
      <c r="H30" s="13">
        <f t="shared" si="9"/>
        <v>226</v>
      </c>
      <c r="I30" s="13">
        <f t="shared" si="9"/>
        <v>216</v>
      </c>
      <c r="J30" s="13">
        <f t="shared" si="9"/>
        <v>214</v>
      </c>
      <c r="K30" s="13">
        <f t="shared" si="9"/>
        <v>242</v>
      </c>
      <c r="L30" s="13">
        <f t="shared" si="9"/>
        <v>238</v>
      </c>
      <c r="M30" s="13">
        <f t="shared" si="9"/>
        <v>217</v>
      </c>
      <c r="N30" s="13">
        <f t="shared" si="9"/>
        <v>213</v>
      </c>
      <c r="O30" s="13">
        <f t="shared" si="9"/>
        <v>206</v>
      </c>
      <c r="P30" s="13">
        <f t="shared" si="9"/>
        <v>226</v>
      </c>
      <c r="Q30" s="13">
        <f t="shared" si="9"/>
        <v>216</v>
      </c>
      <c r="R30" s="13">
        <f t="shared" si="9"/>
        <v>218</v>
      </c>
      <c r="S30" s="13">
        <f t="shared" si="9"/>
        <v>213</v>
      </c>
      <c r="T30" s="13">
        <f t="shared" si="9"/>
        <v>212</v>
      </c>
      <c r="U30" s="13">
        <f t="shared" si="9"/>
        <v>191</v>
      </c>
      <c r="V30" s="13">
        <f t="shared" si="9"/>
        <v>223</v>
      </c>
      <c r="W30" s="13">
        <f t="shared" si="9"/>
        <v>194</v>
      </c>
      <c r="X30" s="13">
        <f t="shared" si="9"/>
        <v>211</v>
      </c>
      <c r="Y30" s="13">
        <f t="shared" si="9"/>
        <v>217</v>
      </c>
      <c r="Z30" s="13">
        <f t="shared" si="9"/>
        <v>190</v>
      </c>
      <c r="AA30" s="13">
        <f t="shared" si="9"/>
        <v>202</v>
      </c>
      <c r="AB30" s="13">
        <f t="shared" si="9"/>
        <v>211</v>
      </c>
      <c r="AC30" s="13">
        <f t="shared" si="9"/>
        <v>182</v>
      </c>
      <c r="AD30" s="13">
        <f t="shared" si="9"/>
        <v>202</v>
      </c>
      <c r="AE30" s="13">
        <f t="shared" si="9"/>
        <v>225</v>
      </c>
      <c r="AF30" s="13">
        <f t="shared" si="3"/>
        <v>5713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70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70"/>
    </row>
    <row r="33" ht="12.75" customHeight="1">
      <c r="A33" s="19">
        <v>1.0</v>
      </c>
      <c r="B33" s="20" t="s">
        <v>27</v>
      </c>
      <c r="C33" s="15"/>
      <c r="D33" s="16"/>
      <c r="E33" s="19">
        <v>267.0</v>
      </c>
      <c r="F33" s="19">
        <v>266.0</v>
      </c>
      <c r="G33" s="19">
        <v>275.0</v>
      </c>
      <c r="H33" s="19">
        <v>294.0</v>
      </c>
      <c r="I33" s="19">
        <v>281.0</v>
      </c>
      <c r="J33" s="19">
        <v>274.0</v>
      </c>
      <c r="K33" s="19">
        <v>297.0</v>
      </c>
      <c r="L33" s="19">
        <v>292.0</v>
      </c>
      <c r="M33" s="19">
        <v>279.0</v>
      </c>
      <c r="N33" s="19">
        <v>298.0</v>
      </c>
      <c r="O33" s="19">
        <v>255.0</v>
      </c>
      <c r="P33" s="19">
        <v>299.0</v>
      </c>
      <c r="Q33" s="19">
        <v>297.0</v>
      </c>
      <c r="R33" s="19">
        <v>279.0</v>
      </c>
      <c r="S33" s="19">
        <v>270.0</v>
      </c>
      <c r="T33" s="19">
        <v>281.0</v>
      </c>
      <c r="U33" s="19">
        <v>267.0</v>
      </c>
      <c r="V33" s="19">
        <v>276.0</v>
      </c>
      <c r="W33" s="19">
        <v>268.0</v>
      </c>
      <c r="X33" s="19">
        <v>268.0</v>
      </c>
      <c r="Y33" s="19">
        <v>269.0</v>
      </c>
      <c r="Z33" s="19">
        <v>258.0</v>
      </c>
      <c r="AA33" s="19">
        <v>261.0</v>
      </c>
      <c r="AB33" s="19">
        <v>261.0</v>
      </c>
      <c r="AC33" s="19">
        <v>257.0</v>
      </c>
      <c r="AD33" s="19">
        <v>263.0</v>
      </c>
      <c r="AE33" s="19">
        <v>282.0</v>
      </c>
      <c r="AF33" s="13">
        <f t="shared" ref="AF33:AF36" si="10">SUM(E33:AE33)</f>
        <v>7434</v>
      </c>
    </row>
    <row r="34" ht="12.75" customHeight="1">
      <c r="A34" s="19">
        <v>2.0</v>
      </c>
      <c r="B34" s="20" t="s">
        <v>28</v>
      </c>
      <c r="C34" s="15"/>
      <c r="D34" s="16"/>
      <c r="E34" s="13">
        <v>198.0</v>
      </c>
      <c r="F34" s="13">
        <v>193.0</v>
      </c>
      <c r="G34" s="13">
        <v>217.0</v>
      </c>
      <c r="H34" s="13">
        <v>226.0</v>
      </c>
      <c r="I34" s="13">
        <v>216.0</v>
      </c>
      <c r="J34" s="13">
        <v>214.0</v>
      </c>
      <c r="K34" s="13">
        <v>242.0</v>
      </c>
      <c r="L34" s="13">
        <v>238.0</v>
      </c>
      <c r="M34" s="13">
        <v>217.0</v>
      </c>
      <c r="N34" s="13">
        <v>213.0</v>
      </c>
      <c r="O34" s="13">
        <v>206.0</v>
      </c>
      <c r="P34" s="13">
        <v>226.0</v>
      </c>
      <c r="Q34" s="13">
        <v>216.0</v>
      </c>
      <c r="R34" s="13">
        <v>218.0</v>
      </c>
      <c r="S34" s="13">
        <v>213.0</v>
      </c>
      <c r="T34" s="13">
        <v>212.0</v>
      </c>
      <c r="U34" s="13">
        <v>191.0</v>
      </c>
      <c r="V34" s="13">
        <v>223.0</v>
      </c>
      <c r="W34" s="13">
        <v>194.0</v>
      </c>
      <c r="X34" s="13">
        <v>211.0</v>
      </c>
      <c r="Y34" s="13">
        <v>217.0</v>
      </c>
      <c r="Z34" s="13">
        <v>190.0</v>
      </c>
      <c r="AA34" s="13">
        <v>202.0</v>
      </c>
      <c r="AB34" s="13">
        <v>211.0</v>
      </c>
      <c r="AC34" s="13">
        <v>182.0</v>
      </c>
      <c r="AD34" s="13">
        <v>202.0</v>
      </c>
      <c r="AE34" s="13">
        <v>225.0</v>
      </c>
      <c r="AF34" s="13">
        <f t="shared" si="10"/>
        <v>5713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2.0</v>
      </c>
      <c r="J35" s="19">
        <v>0.0</v>
      </c>
      <c r="K35" s="19">
        <v>0.0</v>
      </c>
      <c r="L35" s="19">
        <v>0.0</v>
      </c>
      <c r="M35" s="19">
        <v>2.0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1.0</v>
      </c>
      <c r="Y35" s="19">
        <v>0.0</v>
      </c>
      <c r="Z35" s="19">
        <v>0.0</v>
      </c>
      <c r="AA35" s="19">
        <v>1.0</v>
      </c>
      <c r="AB35" s="19">
        <v>0.0</v>
      </c>
      <c r="AC35" s="19">
        <v>1.0</v>
      </c>
      <c r="AD35" s="19">
        <v>0.0</v>
      </c>
      <c r="AE35" s="19">
        <v>0.0</v>
      </c>
      <c r="AF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69</v>
      </c>
      <c r="F36" s="13">
        <f t="shared" si="11"/>
        <v>73</v>
      </c>
      <c r="G36" s="13">
        <f t="shared" si="11"/>
        <v>58</v>
      </c>
      <c r="H36" s="13">
        <f t="shared" si="11"/>
        <v>68</v>
      </c>
      <c r="I36" s="13">
        <f t="shared" si="11"/>
        <v>63</v>
      </c>
      <c r="J36" s="13">
        <f t="shared" si="11"/>
        <v>60</v>
      </c>
      <c r="K36" s="13">
        <f t="shared" si="11"/>
        <v>55</v>
      </c>
      <c r="L36" s="13">
        <f t="shared" si="11"/>
        <v>54</v>
      </c>
      <c r="M36" s="13">
        <f t="shared" si="11"/>
        <v>60</v>
      </c>
      <c r="N36" s="13">
        <f t="shared" si="11"/>
        <v>85</v>
      </c>
      <c r="O36" s="13">
        <f t="shared" si="11"/>
        <v>49</v>
      </c>
      <c r="P36" s="13">
        <f t="shared" si="11"/>
        <v>73</v>
      </c>
      <c r="Q36" s="13">
        <f t="shared" si="11"/>
        <v>81</v>
      </c>
      <c r="R36" s="13">
        <f t="shared" si="11"/>
        <v>61</v>
      </c>
      <c r="S36" s="13">
        <f t="shared" si="11"/>
        <v>57</v>
      </c>
      <c r="T36" s="13">
        <f t="shared" si="11"/>
        <v>69</v>
      </c>
      <c r="U36" s="13">
        <f t="shared" si="11"/>
        <v>76</v>
      </c>
      <c r="V36" s="13">
        <f t="shared" si="11"/>
        <v>53</v>
      </c>
      <c r="W36" s="13">
        <f t="shared" si="11"/>
        <v>74</v>
      </c>
      <c r="X36" s="13">
        <f t="shared" si="11"/>
        <v>56</v>
      </c>
      <c r="Y36" s="13">
        <f t="shared" si="11"/>
        <v>52</v>
      </c>
      <c r="Z36" s="13">
        <f t="shared" si="11"/>
        <v>68</v>
      </c>
      <c r="AA36" s="13">
        <f t="shared" si="11"/>
        <v>58</v>
      </c>
      <c r="AB36" s="13">
        <f t="shared" si="11"/>
        <v>50</v>
      </c>
      <c r="AC36" s="13">
        <f t="shared" si="11"/>
        <v>74</v>
      </c>
      <c r="AD36" s="13">
        <f t="shared" si="11"/>
        <v>61</v>
      </c>
      <c r="AE36" s="13">
        <f t="shared" si="11"/>
        <v>57</v>
      </c>
      <c r="AF36" s="13">
        <f t="shared" si="10"/>
        <v>1714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70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70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5.0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2.0</v>
      </c>
      <c r="AD40" s="19">
        <v>0.0</v>
      </c>
      <c r="AE40" s="19">
        <v>0.0</v>
      </c>
      <c r="AF40" s="13">
        <f t="shared" si="12"/>
        <v>7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6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1.0</v>
      </c>
      <c r="F45" s="19">
        <v>12.0</v>
      </c>
      <c r="G45" s="19">
        <v>9.0</v>
      </c>
      <c r="H45" s="19">
        <v>7.0</v>
      </c>
      <c r="I45" s="19">
        <v>5.0</v>
      </c>
      <c r="J45" s="19">
        <v>2.0</v>
      </c>
      <c r="K45" s="19">
        <v>7.0</v>
      </c>
      <c r="L45" s="19">
        <v>0.0</v>
      </c>
      <c r="M45" s="19">
        <v>2.0</v>
      </c>
      <c r="N45" s="19">
        <v>12.0</v>
      </c>
      <c r="O45" s="19">
        <v>2.0</v>
      </c>
      <c r="P45" s="19">
        <v>6.0</v>
      </c>
      <c r="Q45" s="19">
        <v>3.0</v>
      </c>
      <c r="R45" s="19">
        <v>2.0</v>
      </c>
      <c r="S45" s="19">
        <v>3.0</v>
      </c>
      <c r="T45" s="19">
        <v>3.0</v>
      </c>
      <c r="U45" s="19">
        <v>3.0</v>
      </c>
      <c r="V45" s="19">
        <v>5.0</v>
      </c>
      <c r="W45" s="19">
        <v>1.0</v>
      </c>
      <c r="X45" s="19">
        <v>2.0</v>
      </c>
      <c r="Y45" s="19">
        <v>9.0</v>
      </c>
      <c r="Z45" s="19">
        <v>10.0</v>
      </c>
      <c r="AA45" s="19">
        <v>6.0</v>
      </c>
      <c r="AB45" s="19">
        <v>2.0</v>
      </c>
      <c r="AC45" s="19">
        <v>6.0</v>
      </c>
      <c r="AD45" s="19">
        <v>10.0</v>
      </c>
      <c r="AE45" s="19">
        <v>5.0</v>
      </c>
      <c r="AF45" s="13">
        <f t="shared" ref="AF45:AF52" si="14">SUM(E45:AE45)</f>
        <v>135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10.0</v>
      </c>
      <c r="F46" s="19">
        <v>20.0</v>
      </c>
      <c r="G46" s="19">
        <v>27.0</v>
      </c>
      <c r="H46" s="19">
        <v>17.0</v>
      </c>
      <c r="I46" s="19">
        <v>7.0</v>
      </c>
      <c r="J46" s="19">
        <v>7.0</v>
      </c>
      <c r="K46" s="19">
        <v>8.0</v>
      </c>
      <c r="L46" s="19">
        <v>7.0</v>
      </c>
      <c r="M46" s="19">
        <v>14.0</v>
      </c>
      <c r="N46" s="19">
        <v>20.0</v>
      </c>
      <c r="O46" s="19">
        <v>35.0</v>
      </c>
      <c r="P46" s="19">
        <v>18.0</v>
      </c>
      <c r="Q46" s="19">
        <v>21.0</v>
      </c>
      <c r="R46" s="19">
        <v>25.0</v>
      </c>
      <c r="S46" s="19">
        <v>14.0</v>
      </c>
      <c r="T46" s="19">
        <v>26.0</v>
      </c>
      <c r="U46" s="19">
        <v>6.0</v>
      </c>
      <c r="V46" s="19">
        <v>3.0</v>
      </c>
      <c r="W46" s="19">
        <v>11.0</v>
      </c>
      <c r="X46" s="19">
        <v>11.0</v>
      </c>
      <c r="Y46" s="19">
        <v>25.0</v>
      </c>
      <c r="Z46" s="19">
        <v>16.0</v>
      </c>
      <c r="AA46" s="19">
        <v>8.0</v>
      </c>
      <c r="AB46" s="19">
        <v>16.0</v>
      </c>
      <c r="AC46" s="19">
        <v>7.0</v>
      </c>
      <c r="AD46" s="19">
        <v>41.0</v>
      </c>
      <c r="AE46" s="19">
        <v>4.0</v>
      </c>
      <c r="AF46" s="13">
        <f t="shared" si="14"/>
        <v>424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4.0</v>
      </c>
      <c r="G47" s="19">
        <v>3.0</v>
      </c>
      <c r="H47" s="19">
        <v>0.0</v>
      </c>
      <c r="I47" s="19">
        <v>0.0</v>
      </c>
      <c r="J47" s="19">
        <v>1.0</v>
      </c>
      <c r="K47" s="19">
        <v>0.0</v>
      </c>
      <c r="L47" s="19">
        <v>1.0</v>
      </c>
      <c r="M47" s="19">
        <v>1.0</v>
      </c>
      <c r="N47" s="19">
        <v>1.0</v>
      </c>
      <c r="O47" s="19">
        <v>7.0</v>
      </c>
      <c r="P47" s="19">
        <v>1.0</v>
      </c>
      <c r="Q47" s="19">
        <v>0.0</v>
      </c>
      <c r="R47" s="19">
        <v>0.0</v>
      </c>
      <c r="S47" s="19">
        <v>1.0</v>
      </c>
      <c r="T47" s="19">
        <v>0.0</v>
      </c>
      <c r="U47" s="19">
        <v>0.0</v>
      </c>
      <c r="V47" s="19">
        <v>0.0</v>
      </c>
      <c r="W47" s="19">
        <v>0.0</v>
      </c>
      <c r="X47" s="19">
        <v>0.0</v>
      </c>
      <c r="Y47" s="19">
        <v>1.0</v>
      </c>
      <c r="Z47" s="19">
        <v>1.0</v>
      </c>
      <c r="AA47" s="19">
        <v>3.0</v>
      </c>
      <c r="AB47" s="19">
        <v>3.0</v>
      </c>
      <c r="AC47" s="19">
        <v>0.0</v>
      </c>
      <c r="AD47" s="19">
        <v>4.0</v>
      </c>
      <c r="AE47" s="19">
        <v>2.0</v>
      </c>
      <c r="AF47" s="13">
        <f t="shared" si="14"/>
        <v>36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1.0</v>
      </c>
      <c r="H48" s="19">
        <v>0.0</v>
      </c>
      <c r="I48" s="19">
        <v>0.0</v>
      </c>
      <c r="J48" s="19">
        <v>0.0</v>
      </c>
      <c r="K48" s="19">
        <v>1.0</v>
      </c>
      <c r="L48" s="19">
        <v>0.0</v>
      </c>
      <c r="M48" s="19">
        <v>5.0</v>
      </c>
      <c r="N48" s="19">
        <v>2.0</v>
      </c>
      <c r="O48" s="19">
        <v>0.0</v>
      </c>
      <c r="P48" s="19">
        <v>1.0</v>
      </c>
      <c r="Q48" s="19">
        <v>2.0</v>
      </c>
      <c r="R48" s="19">
        <v>0.0</v>
      </c>
      <c r="S48" s="19">
        <v>1.0</v>
      </c>
      <c r="T48" s="19">
        <v>3.0</v>
      </c>
      <c r="U48" s="19">
        <v>0.0</v>
      </c>
      <c r="V48" s="19">
        <v>1.0</v>
      </c>
      <c r="W48" s="19">
        <v>0.0</v>
      </c>
      <c r="X48" s="19">
        <v>0.0</v>
      </c>
      <c r="Y48" s="19">
        <v>0.0</v>
      </c>
      <c r="Z48" s="19">
        <v>0.0</v>
      </c>
      <c r="AA48" s="19">
        <v>1.0</v>
      </c>
      <c r="AB48" s="19">
        <v>0.0</v>
      </c>
      <c r="AC48" s="19">
        <v>0.0</v>
      </c>
      <c r="AD48" s="19">
        <v>1.0</v>
      </c>
      <c r="AE48" s="19">
        <v>0.0</v>
      </c>
      <c r="AF48" s="13">
        <f t="shared" si="14"/>
        <v>19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1.0</v>
      </c>
      <c r="H49" s="19">
        <v>1.0</v>
      </c>
      <c r="I49" s="19">
        <v>1.0</v>
      </c>
      <c r="J49" s="19">
        <v>0.0</v>
      </c>
      <c r="K49" s="19">
        <v>0.0</v>
      </c>
      <c r="L49" s="19">
        <v>3.0</v>
      </c>
      <c r="M49" s="19">
        <v>0.0</v>
      </c>
      <c r="N49" s="19">
        <v>3.0</v>
      </c>
      <c r="O49" s="19">
        <v>5.0</v>
      </c>
      <c r="P49" s="19">
        <v>0.0</v>
      </c>
      <c r="Q49" s="19">
        <v>1.0</v>
      </c>
      <c r="R49" s="19">
        <v>1.0</v>
      </c>
      <c r="S49" s="19">
        <v>1.0</v>
      </c>
      <c r="T49" s="19">
        <v>1.0</v>
      </c>
      <c r="U49" s="19">
        <v>0.0</v>
      </c>
      <c r="V49" s="19">
        <v>0.0</v>
      </c>
      <c r="W49" s="19">
        <v>0.0</v>
      </c>
      <c r="X49" s="19">
        <v>1.0</v>
      </c>
      <c r="Y49" s="19">
        <v>1.0</v>
      </c>
      <c r="Z49" s="19">
        <v>0.0</v>
      </c>
      <c r="AA49" s="19">
        <v>1.0</v>
      </c>
      <c r="AB49" s="19">
        <v>1.0</v>
      </c>
      <c r="AC49" s="19">
        <v>0.0</v>
      </c>
      <c r="AD49" s="19">
        <v>0.0</v>
      </c>
      <c r="AE49" s="19">
        <v>1.0</v>
      </c>
      <c r="AF49" s="13">
        <f t="shared" si="14"/>
        <v>23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2.0</v>
      </c>
      <c r="M50" s="19">
        <v>0.0</v>
      </c>
      <c r="N50" s="19">
        <v>0.0</v>
      </c>
      <c r="O50" s="19">
        <v>0.0</v>
      </c>
      <c r="P50" s="19">
        <v>1.0</v>
      </c>
      <c r="Q50" s="19">
        <v>0.0</v>
      </c>
      <c r="R50" s="19">
        <v>1.0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9">
        <v>0.0</v>
      </c>
      <c r="Y50" s="19">
        <v>0.0</v>
      </c>
      <c r="Z50" s="19">
        <v>1.0</v>
      </c>
      <c r="AA50" s="19">
        <v>2.0</v>
      </c>
      <c r="AB50" s="19">
        <v>1.0</v>
      </c>
      <c r="AC50" s="19">
        <v>1.0</v>
      </c>
      <c r="AD50" s="19">
        <v>1.0</v>
      </c>
      <c r="AE50" s="19">
        <v>0.0</v>
      </c>
      <c r="AF50" s="13">
        <f t="shared" si="14"/>
        <v>11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2.0</v>
      </c>
      <c r="H51" s="19">
        <v>0.0</v>
      </c>
      <c r="I51" s="19">
        <v>0.0</v>
      </c>
      <c r="J51" s="19">
        <v>0.0</v>
      </c>
      <c r="K51" s="19">
        <v>1.0</v>
      </c>
      <c r="L51" s="19">
        <v>0.0</v>
      </c>
      <c r="M51" s="19">
        <v>0.0</v>
      </c>
      <c r="N51" s="19">
        <v>1.0</v>
      </c>
      <c r="O51" s="19">
        <v>0.0</v>
      </c>
      <c r="P51" s="19">
        <v>1.0</v>
      </c>
      <c r="Q51" s="19">
        <v>1.0</v>
      </c>
      <c r="R51" s="19">
        <v>1.0</v>
      </c>
      <c r="S51" s="19">
        <v>1.0</v>
      </c>
      <c r="T51" s="19">
        <v>0.0</v>
      </c>
      <c r="U51" s="19">
        <v>0.0</v>
      </c>
      <c r="V51" s="19">
        <v>1.0</v>
      </c>
      <c r="W51" s="19">
        <v>1.0</v>
      </c>
      <c r="X51" s="19">
        <v>0.0</v>
      </c>
      <c r="Y51" s="19">
        <v>0.0</v>
      </c>
      <c r="Z51" s="19">
        <v>0.0</v>
      </c>
      <c r="AA51" s="19">
        <v>0.0</v>
      </c>
      <c r="AB51" s="19">
        <v>1.0</v>
      </c>
      <c r="AC51" s="19">
        <v>0.0</v>
      </c>
      <c r="AD51" s="19">
        <v>1.0</v>
      </c>
      <c r="AE51" s="19">
        <v>0.0</v>
      </c>
      <c r="AF51" s="13">
        <f t="shared" si="14"/>
        <v>12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1.0</v>
      </c>
      <c r="N52" s="19">
        <v>1.0</v>
      </c>
      <c r="O52" s="19">
        <v>0.0</v>
      </c>
      <c r="P52" s="19">
        <v>0.0</v>
      </c>
      <c r="Q52" s="19">
        <v>1.0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3">
        <f t="shared" si="14"/>
        <v>4</v>
      </c>
    </row>
    <row r="53" ht="12.75" customHeight="1">
      <c r="A53" s="19" t="s">
        <v>15</v>
      </c>
      <c r="B53" s="47" t="s">
        <v>47</v>
      </c>
      <c r="C53" s="15"/>
      <c r="D53" s="16"/>
      <c r="E53" s="13">
        <f t="shared" ref="E53:AF53" si="15">SUM(E45:E52)</f>
        <v>13</v>
      </c>
      <c r="F53" s="13">
        <f t="shared" si="15"/>
        <v>38</v>
      </c>
      <c r="G53" s="13">
        <f t="shared" si="15"/>
        <v>43</v>
      </c>
      <c r="H53" s="13">
        <f t="shared" si="15"/>
        <v>25</v>
      </c>
      <c r="I53" s="13">
        <f t="shared" si="15"/>
        <v>13</v>
      </c>
      <c r="J53" s="13">
        <f t="shared" si="15"/>
        <v>10</v>
      </c>
      <c r="K53" s="13">
        <f t="shared" si="15"/>
        <v>17</v>
      </c>
      <c r="L53" s="13">
        <f t="shared" si="15"/>
        <v>13</v>
      </c>
      <c r="M53" s="13">
        <f t="shared" si="15"/>
        <v>23</v>
      </c>
      <c r="N53" s="13">
        <f t="shared" si="15"/>
        <v>40</v>
      </c>
      <c r="O53" s="13">
        <f t="shared" si="15"/>
        <v>49</v>
      </c>
      <c r="P53" s="13">
        <f t="shared" si="15"/>
        <v>28</v>
      </c>
      <c r="Q53" s="13">
        <f t="shared" si="15"/>
        <v>29</v>
      </c>
      <c r="R53" s="13">
        <f t="shared" si="15"/>
        <v>30</v>
      </c>
      <c r="S53" s="13">
        <f t="shared" si="15"/>
        <v>21</v>
      </c>
      <c r="T53" s="13">
        <f t="shared" si="15"/>
        <v>33</v>
      </c>
      <c r="U53" s="13">
        <f t="shared" si="15"/>
        <v>9</v>
      </c>
      <c r="V53" s="13">
        <f t="shared" si="15"/>
        <v>10</v>
      </c>
      <c r="W53" s="13">
        <f t="shared" si="15"/>
        <v>13</v>
      </c>
      <c r="X53" s="13">
        <f t="shared" si="15"/>
        <v>14</v>
      </c>
      <c r="Y53" s="13">
        <f t="shared" si="15"/>
        <v>36</v>
      </c>
      <c r="Z53" s="13">
        <f t="shared" si="15"/>
        <v>28</v>
      </c>
      <c r="AA53" s="13">
        <f t="shared" si="15"/>
        <v>21</v>
      </c>
      <c r="AB53" s="13">
        <f t="shared" si="15"/>
        <v>24</v>
      </c>
      <c r="AC53" s="13">
        <f t="shared" si="15"/>
        <v>14</v>
      </c>
      <c r="AD53" s="13">
        <f t="shared" si="15"/>
        <v>58</v>
      </c>
      <c r="AE53" s="13">
        <f t="shared" si="15"/>
        <v>12</v>
      </c>
      <c r="AF53" s="13">
        <f t="shared" si="15"/>
        <v>664</v>
      </c>
    </row>
    <row r="54" ht="12.75" customHeight="1">
      <c r="A54" s="45"/>
      <c r="B54" s="44"/>
      <c r="C54" s="44"/>
      <c r="D54" s="44"/>
      <c r="E54" s="44"/>
      <c r="AF54" s="13"/>
    </row>
    <row r="55" ht="12.75" customHeight="1">
      <c r="A55" s="30" t="s">
        <v>37</v>
      </c>
      <c r="B55" s="47" t="s">
        <v>19</v>
      </c>
      <c r="C55" s="48" t="s">
        <v>48</v>
      </c>
      <c r="D55" s="16"/>
      <c r="E55" s="19">
        <v>6.0</v>
      </c>
      <c r="F55" s="19">
        <v>5.0</v>
      </c>
      <c r="G55" s="19">
        <v>10.0</v>
      </c>
      <c r="H55" s="19">
        <v>2.0</v>
      </c>
      <c r="I55" s="19">
        <v>11.0</v>
      </c>
      <c r="J55" s="19">
        <v>5.0</v>
      </c>
      <c r="K55" s="19">
        <v>8.0</v>
      </c>
      <c r="L55" s="19">
        <v>5.0</v>
      </c>
      <c r="M55" s="19">
        <v>9.0</v>
      </c>
      <c r="N55" s="19">
        <v>5.0</v>
      </c>
      <c r="O55" s="19">
        <v>1.0</v>
      </c>
      <c r="P55" s="19">
        <v>10.0</v>
      </c>
      <c r="Q55" s="19">
        <v>9.0</v>
      </c>
      <c r="R55" s="19">
        <v>8.0</v>
      </c>
      <c r="S55" s="19">
        <v>7.0</v>
      </c>
      <c r="T55" s="19">
        <v>8.0</v>
      </c>
      <c r="U55" s="19">
        <v>10.0</v>
      </c>
      <c r="V55" s="19">
        <v>4.0</v>
      </c>
      <c r="W55" s="19">
        <v>4.0</v>
      </c>
      <c r="X55" s="19">
        <v>9.0</v>
      </c>
      <c r="Y55" s="19">
        <v>6.0</v>
      </c>
      <c r="Z55" s="19">
        <v>7.0</v>
      </c>
      <c r="AA55" s="19">
        <v>7.0</v>
      </c>
      <c r="AB55" s="19">
        <v>11.0</v>
      </c>
      <c r="AC55" s="19">
        <v>7.0</v>
      </c>
      <c r="AD55" s="19">
        <v>6.0</v>
      </c>
      <c r="AE55" s="19">
        <v>4.0</v>
      </c>
      <c r="AF55" s="13">
        <f t="shared" ref="AF55:AF62" si="16">SUM(E55:AE55)</f>
        <v>184</v>
      </c>
    </row>
    <row r="56" ht="12.75" customHeight="1">
      <c r="A56" s="30" t="s">
        <v>39</v>
      </c>
      <c r="B56" s="55">
        <v>1.0</v>
      </c>
      <c r="C56" s="50" t="s">
        <v>49</v>
      </c>
      <c r="D56" s="56"/>
      <c r="E56" s="19">
        <v>1.0</v>
      </c>
      <c r="F56" s="19">
        <v>4.0</v>
      </c>
      <c r="G56" s="19">
        <v>4.0</v>
      </c>
      <c r="H56" s="19">
        <v>3.0</v>
      </c>
      <c r="I56" s="19">
        <v>12.0</v>
      </c>
      <c r="J56" s="19">
        <v>3.0</v>
      </c>
      <c r="K56" s="19">
        <v>3.0</v>
      </c>
      <c r="L56" s="19">
        <v>10.0</v>
      </c>
      <c r="M56" s="19">
        <v>13.0</v>
      </c>
      <c r="N56" s="19">
        <v>1.0</v>
      </c>
      <c r="O56" s="19">
        <v>8.0</v>
      </c>
      <c r="P56" s="19">
        <v>3.0</v>
      </c>
      <c r="Q56" s="19">
        <v>8.0</v>
      </c>
      <c r="R56" s="19">
        <v>10.0</v>
      </c>
      <c r="S56" s="19">
        <v>10.0</v>
      </c>
      <c r="T56" s="19">
        <v>2.0</v>
      </c>
      <c r="U56" s="19">
        <v>8.0</v>
      </c>
      <c r="V56" s="19">
        <v>8.0</v>
      </c>
      <c r="W56" s="19">
        <v>8.0</v>
      </c>
      <c r="X56" s="19">
        <v>5.0</v>
      </c>
      <c r="Y56" s="19">
        <v>5.0</v>
      </c>
      <c r="Z56" s="19">
        <v>3.0</v>
      </c>
      <c r="AA56" s="19">
        <v>3.0</v>
      </c>
      <c r="AB56" s="19">
        <v>5.0</v>
      </c>
      <c r="AC56" s="19">
        <v>2.0</v>
      </c>
      <c r="AD56" s="19">
        <v>4.0</v>
      </c>
      <c r="AE56" s="19">
        <v>3.0</v>
      </c>
      <c r="AF56" s="13">
        <f t="shared" si="16"/>
        <v>149</v>
      </c>
    </row>
    <row r="57" ht="12.75" customHeight="1">
      <c r="A57" s="18"/>
      <c r="B57" s="55">
        <v>2.0</v>
      </c>
      <c r="C57" s="50" t="s">
        <v>50</v>
      </c>
      <c r="D57" s="56"/>
      <c r="E57" s="19">
        <v>8.0</v>
      </c>
      <c r="F57" s="19">
        <v>18.0</v>
      </c>
      <c r="G57" s="19">
        <v>13.0</v>
      </c>
      <c r="H57" s="19">
        <v>6.0</v>
      </c>
      <c r="I57" s="19">
        <v>38.0</v>
      </c>
      <c r="J57" s="19">
        <v>9.0</v>
      </c>
      <c r="K57" s="19">
        <v>22.0</v>
      </c>
      <c r="L57" s="19">
        <v>11.0</v>
      </c>
      <c r="M57" s="19">
        <v>9.0</v>
      </c>
      <c r="N57" s="19">
        <v>18.0</v>
      </c>
      <c r="O57" s="19">
        <v>8.0</v>
      </c>
      <c r="P57" s="19">
        <v>23.0</v>
      </c>
      <c r="Q57" s="19">
        <v>48.0</v>
      </c>
      <c r="R57" s="19">
        <v>22.0</v>
      </c>
      <c r="S57" s="19">
        <v>5.0</v>
      </c>
      <c r="T57" s="19">
        <v>16.0</v>
      </c>
      <c r="U57" s="19">
        <v>15.0</v>
      </c>
      <c r="V57" s="19">
        <v>8.0</v>
      </c>
      <c r="W57" s="19">
        <v>5.0</v>
      </c>
      <c r="X57" s="19">
        <v>7.0</v>
      </c>
      <c r="Y57" s="19">
        <v>6.0</v>
      </c>
      <c r="Z57" s="19">
        <v>2.0</v>
      </c>
      <c r="AA57" s="19">
        <v>5.0</v>
      </c>
      <c r="AB57" s="19">
        <v>3.0</v>
      </c>
      <c r="AC57" s="19">
        <v>3.0</v>
      </c>
      <c r="AD57" s="19">
        <v>4.0</v>
      </c>
      <c r="AE57" s="19">
        <v>6.0</v>
      </c>
      <c r="AF57" s="13">
        <f t="shared" si="16"/>
        <v>338</v>
      </c>
    </row>
    <row r="58" ht="12.75" customHeight="1">
      <c r="A58" s="18"/>
      <c r="B58" s="55">
        <v>3.0</v>
      </c>
      <c r="C58" s="50" t="s">
        <v>51</v>
      </c>
      <c r="D58" s="56"/>
      <c r="E58" s="19">
        <v>0.0</v>
      </c>
      <c r="F58" s="19">
        <v>1.0</v>
      </c>
      <c r="G58" s="19">
        <v>0.0</v>
      </c>
      <c r="H58" s="19">
        <v>0.0</v>
      </c>
      <c r="I58" s="19">
        <v>2.0</v>
      </c>
      <c r="J58" s="19">
        <v>0.0</v>
      </c>
      <c r="K58" s="19">
        <v>0.0</v>
      </c>
      <c r="L58" s="19">
        <v>1.0</v>
      </c>
      <c r="M58" s="19">
        <v>1.0</v>
      </c>
      <c r="N58" s="19">
        <v>0.0</v>
      </c>
      <c r="O58" s="19">
        <v>0.0</v>
      </c>
      <c r="P58" s="19">
        <v>2.0</v>
      </c>
      <c r="Q58" s="19">
        <v>0.0</v>
      </c>
      <c r="R58" s="19">
        <v>2.0</v>
      </c>
      <c r="S58" s="19">
        <v>3.0</v>
      </c>
      <c r="T58" s="19">
        <v>2.0</v>
      </c>
      <c r="U58" s="19">
        <v>0.0</v>
      </c>
      <c r="V58" s="19">
        <v>0.0</v>
      </c>
      <c r="W58" s="19">
        <v>2.0</v>
      </c>
      <c r="X58" s="19">
        <v>3.0</v>
      </c>
      <c r="Y58" s="19">
        <v>1.0</v>
      </c>
      <c r="Z58" s="19">
        <v>2.0</v>
      </c>
      <c r="AA58" s="19">
        <v>1.0</v>
      </c>
      <c r="AB58" s="19">
        <v>1.0</v>
      </c>
      <c r="AC58" s="19">
        <v>0.0</v>
      </c>
      <c r="AD58" s="19">
        <v>3.0</v>
      </c>
      <c r="AE58" s="19">
        <v>0.0</v>
      </c>
      <c r="AF58" s="13">
        <f t="shared" si="16"/>
        <v>27</v>
      </c>
    </row>
    <row r="59" ht="12.75" customHeight="1">
      <c r="A59" s="18"/>
      <c r="B59" s="55">
        <v>4.0</v>
      </c>
      <c r="C59" s="50" t="s">
        <v>52</v>
      </c>
      <c r="D59" s="56"/>
      <c r="E59" s="19">
        <v>0.0</v>
      </c>
      <c r="F59" s="19">
        <v>1.0</v>
      </c>
      <c r="G59" s="19">
        <v>0.0</v>
      </c>
      <c r="H59" s="19">
        <v>2.0</v>
      </c>
      <c r="I59" s="19">
        <v>2.0</v>
      </c>
      <c r="J59" s="19">
        <v>0.0</v>
      </c>
      <c r="K59" s="19">
        <v>1.0</v>
      </c>
      <c r="L59" s="19">
        <v>0.0</v>
      </c>
      <c r="M59" s="19">
        <v>0.0</v>
      </c>
      <c r="N59" s="19">
        <v>0.0</v>
      </c>
      <c r="O59" s="19">
        <v>0.0</v>
      </c>
      <c r="P59" s="19">
        <v>2.0</v>
      </c>
      <c r="Q59" s="19">
        <v>1.0</v>
      </c>
      <c r="R59" s="19">
        <v>0.0</v>
      </c>
      <c r="S59" s="19">
        <v>2.0</v>
      </c>
      <c r="T59" s="19">
        <v>0.0</v>
      </c>
      <c r="U59" s="19">
        <v>2.0</v>
      </c>
      <c r="V59" s="19">
        <v>3.0</v>
      </c>
      <c r="W59" s="19">
        <v>1.0</v>
      </c>
      <c r="X59" s="19">
        <v>0.0</v>
      </c>
      <c r="Y59" s="19">
        <v>6.0</v>
      </c>
      <c r="Z59" s="19">
        <v>2.0</v>
      </c>
      <c r="AA59" s="19">
        <v>3.0</v>
      </c>
      <c r="AB59" s="19">
        <v>0.0</v>
      </c>
      <c r="AC59" s="19">
        <v>3.0</v>
      </c>
      <c r="AD59" s="19">
        <v>1.0</v>
      </c>
      <c r="AE59" s="19">
        <v>0.0</v>
      </c>
      <c r="AF59" s="13">
        <f t="shared" si="16"/>
        <v>32</v>
      </c>
    </row>
    <row r="60" ht="12.75" customHeight="1">
      <c r="A60" s="18"/>
      <c r="B60" s="55">
        <v>5.0</v>
      </c>
      <c r="C60" s="50" t="s">
        <v>53</v>
      </c>
      <c r="D60" s="56"/>
      <c r="E60" s="19">
        <v>0.0</v>
      </c>
      <c r="F60" s="19">
        <v>1.0</v>
      </c>
      <c r="G60" s="19">
        <v>0.0</v>
      </c>
      <c r="H60" s="19">
        <v>2.0</v>
      </c>
      <c r="I60" s="19">
        <v>1.0</v>
      </c>
      <c r="J60" s="19">
        <v>0.0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1.0</v>
      </c>
      <c r="R60" s="19">
        <v>0.0</v>
      </c>
      <c r="S60" s="19">
        <v>0.0</v>
      </c>
      <c r="T60" s="19">
        <v>0.0</v>
      </c>
      <c r="U60" s="19">
        <v>0.0</v>
      </c>
      <c r="V60" s="19">
        <v>0.0</v>
      </c>
      <c r="W60" s="19">
        <v>0.0</v>
      </c>
      <c r="X60" s="19">
        <v>1.0</v>
      </c>
      <c r="Y60" s="19">
        <v>1.0</v>
      </c>
      <c r="Z60" s="19">
        <v>0.0</v>
      </c>
      <c r="AA60" s="19">
        <v>0.0</v>
      </c>
      <c r="AB60" s="19">
        <v>0.0</v>
      </c>
      <c r="AC60" s="19">
        <v>1.0</v>
      </c>
      <c r="AD60" s="19">
        <v>0.0</v>
      </c>
      <c r="AE60" s="19">
        <v>0.0</v>
      </c>
      <c r="AF60" s="13">
        <f t="shared" si="16"/>
        <v>8</v>
      </c>
    </row>
    <row r="61" ht="12.75" customHeight="1">
      <c r="A61" s="18"/>
      <c r="B61" s="55">
        <v>6.0</v>
      </c>
      <c r="C61" s="50" t="s">
        <v>54</v>
      </c>
      <c r="D61" s="57"/>
      <c r="E61" s="19">
        <v>0.0</v>
      </c>
      <c r="F61" s="19">
        <v>1.0</v>
      </c>
      <c r="G61" s="19">
        <v>1.0</v>
      </c>
      <c r="H61" s="19">
        <v>1.0</v>
      </c>
      <c r="I61" s="19">
        <v>1.0</v>
      </c>
      <c r="J61" s="19">
        <v>0.0</v>
      </c>
      <c r="K61" s="19">
        <v>0.0</v>
      </c>
      <c r="L61" s="19">
        <v>1.0</v>
      </c>
      <c r="M61" s="19">
        <v>0.0</v>
      </c>
      <c r="N61" s="19">
        <v>0.0</v>
      </c>
      <c r="O61" s="19">
        <v>1.0</v>
      </c>
      <c r="P61" s="19">
        <v>0.0</v>
      </c>
      <c r="Q61" s="19">
        <v>5.0</v>
      </c>
      <c r="R61" s="19">
        <v>1.0</v>
      </c>
      <c r="S61" s="19">
        <v>3.0</v>
      </c>
      <c r="T61" s="19">
        <v>1.0</v>
      </c>
      <c r="U61" s="19">
        <v>0.0</v>
      </c>
      <c r="V61" s="19">
        <v>1.0</v>
      </c>
      <c r="W61" s="19">
        <v>1.0</v>
      </c>
      <c r="X61" s="19">
        <v>1.0</v>
      </c>
      <c r="Y61" s="19">
        <v>0.0</v>
      </c>
      <c r="Z61" s="19">
        <v>1.0</v>
      </c>
      <c r="AA61" s="19">
        <v>1.0</v>
      </c>
      <c r="AB61" s="19">
        <v>2.0</v>
      </c>
      <c r="AC61" s="19">
        <v>1.0</v>
      </c>
      <c r="AD61" s="19">
        <v>0.0</v>
      </c>
      <c r="AE61" s="19">
        <v>1.0</v>
      </c>
      <c r="AF61" s="13">
        <f t="shared" si="16"/>
        <v>25</v>
      </c>
    </row>
    <row r="62" ht="12.75" customHeight="1">
      <c r="A62" s="18"/>
      <c r="B62" s="55">
        <v>7.0</v>
      </c>
      <c r="C62" s="50" t="s">
        <v>55</v>
      </c>
      <c r="D62" s="56"/>
      <c r="E62" s="19">
        <v>0.0</v>
      </c>
      <c r="F62" s="19">
        <v>1.0</v>
      </c>
      <c r="G62" s="19">
        <v>0.0</v>
      </c>
      <c r="H62" s="19">
        <v>0.0</v>
      </c>
      <c r="I62" s="19">
        <v>0.0</v>
      </c>
      <c r="J62" s="19">
        <v>1.0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1.0</v>
      </c>
      <c r="Q62" s="19">
        <v>0.0</v>
      </c>
      <c r="R62" s="19">
        <v>0.0</v>
      </c>
      <c r="S62" s="19">
        <v>0.0</v>
      </c>
      <c r="T62" s="19">
        <v>0.0</v>
      </c>
      <c r="U62" s="19">
        <v>1.0</v>
      </c>
      <c r="V62" s="19">
        <v>0.0</v>
      </c>
      <c r="W62" s="19">
        <v>0.0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  <c r="AC62" s="19">
        <v>0.0</v>
      </c>
      <c r="AD62" s="19">
        <v>0.0</v>
      </c>
      <c r="AE62" s="19">
        <v>0.0</v>
      </c>
      <c r="AF62" s="13">
        <f t="shared" si="16"/>
        <v>4</v>
      </c>
    </row>
    <row r="63" ht="12.75" customHeight="1">
      <c r="A63" s="19" t="s">
        <v>15</v>
      </c>
      <c r="B63" s="47" t="s">
        <v>47</v>
      </c>
      <c r="C63" s="15"/>
      <c r="D63" s="16"/>
      <c r="E63" s="13">
        <f t="shared" ref="E63:AF63" si="17">SUM(E55:E62)</f>
        <v>15</v>
      </c>
      <c r="F63" s="13">
        <f t="shared" si="17"/>
        <v>32</v>
      </c>
      <c r="G63" s="13">
        <f t="shared" si="17"/>
        <v>28</v>
      </c>
      <c r="H63" s="13">
        <f t="shared" si="17"/>
        <v>16</v>
      </c>
      <c r="I63" s="13">
        <f t="shared" si="17"/>
        <v>67</v>
      </c>
      <c r="J63" s="13">
        <f t="shared" si="17"/>
        <v>18</v>
      </c>
      <c r="K63" s="13">
        <f t="shared" si="17"/>
        <v>34</v>
      </c>
      <c r="L63" s="13">
        <f t="shared" si="17"/>
        <v>28</v>
      </c>
      <c r="M63" s="13">
        <f t="shared" si="17"/>
        <v>32</v>
      </c>
      <c r="N63" s="13">
        <f t="shared" si="17"/>
        <v>24</v>
      </c>
      <c r="O63" s="13">
        <f t="shared" si="17"/>
        <v>18</v>
      </c>
      <c r="P63" s="13">
        <f t="shared" si="17"/>
        <v>41</v>
      </c>
      <c r="Q63" s="13">
        <f t="shared" si="17"/>
        <v>72</v>
      </c>
      <c r="R63" s="13">
        <f t="shared" si="17"/>
        <v>43</v>
      </c>
      <c r="S63" s="13">
        <f t="shared" si="17"/>
        <v>30</v>
      </c>
      <c r="T63" s="13">
        <f t="shared" si="17"/>
        <v>29</v>
      </c>
      <c r="U63" s="13">
        <f t="shared" si="17"/>
        <v>36</v>
      </c>
      <c r="V63" s="13">
        <f t="shared" si="17"/>
        <v>24</v>
      </c>
      <c r="W63" s="13">
        <f t="shared" si="17"/>
        <v>21</v>
      </c>
      <c r="X63" s="13">
        <f t="shared" si="17"/>
        <v>26</v>
      </c>
      <c r="Y63" s="13">
        <f t="shared" si="17"/>
        <v>25</v>
      </c>
      <c r="Z63" s="13">
        <f t="shared" si="17"/>
        <v>17</v>
      </c>
      <c r="AA63" s="13">
        <f t="shared" si="17"/>
        <v>20</v>
      </c>
      <c r="AB63" s="13">
        <f t="shared" si="17"/>
        <v>22</v>
      </c>
      <c r="AC63" s="13">
        <f t="shared" si="17"/>
        <v>17</v>
      </c>
      <c r="AD63" s="13">
        <f t="shared" si="17"/>
        <v>18</v>
      </c>
      <c r="AE63" s="13">
        <f t="shared" si="17"/>
        <v>14</v>
      </c>
      <c r="AF63" s="13">
        <f t="shared" si="17"/>
        <v>767</v>
      </c>
    </row>
    <row r="64" ht="12.75" customHeight="1">
      <c r="A64" s="45"/>
      <c r="B64" s="44"/>
      <c r="C64" s="44"/>
      <c r="D64" s="44"/>
      <c r="E64" s="44"/>
    </row>
    <row r="65" ht="12.75" customHeight="1">
      <c r="A65" s="30" t="s">
        <v>37</v>
      </c>
      <c r="B65" s="47" t="s">
        <v>21</v>
      </c>
      <c r="C65" s="48" t="s">
        <v>56</v>
      </c>
      <c r="D65" s="16"/>
      <c r="E65" s="19">
        <v>12.0</v>
      </c>
      <c r="F65" s="19">
        <v>10.0</v>
      </c>
      <c r="G65" s="19">
        <v>13.0</v>
      </c>
      <c r="H65" s="19">
        <v>12.0</v>
      </c>
      <c r="I65" s="19">
        <v>9.0</v>
      </c>
      <c r="J65" s="19">
        <v>6.0</v>
      </c>
      <c r="K65" s="19">
        <v>8.0</v>
      </c>
      <c r="L65" s="19">
        <v>6.0</v>
      </c>
      <c r="M65" s="19">
        <v>5.0</v>
      </c>
      <c r="N65" s="19">
        <v>9.0</v>
      </c>
      <c r="O65" s="19">
        <v>4.0</v>
      </c>
      <c r="P65" s="19">
        <v>10.0</v>
      </c>
      <c r="Q65" s="19">
        <v>7.0</v>
      </c>
      <c r="R65" s="19">
        <v>7.0</v>
      </c>
      <c r="S65" s="19">
        <v>12.0</v>
      </c>
      <c r="T65" s="19">
        <v>11.0</v>
      </c>
      <c r="U65" s="19">
        <v>10.0</v>
      </c>
      <c r="V65" s="19">
        <v>14.0</v>
      </c>
      <c r="W65" s="19">
        <v>19.0</v>
      </c>
      <c r="X65" s="19">
        <v>15.0</v>
      </c>
      <c r="Y65" s="19">
        <v>12.0</v>
      </c>
      <c r="Z65" s="19">
        <v>8.0</v>
      </c>
      <c r="AA65" s="19">
        <v>20.0</v>
      </c>
      <c r="AB65" s="19">
        <v>6.0</v>
      </c>
      <c r="AC65" s="19">
        <v>7.0</v>
      </c>
      <c r="AD65" s="19">
        <v>12.0</v>
      </c>
      <c r="AE65" s="19">
        <v>17.0</v>
      </c>
      <c r="AF65" s="13">
        <f t="shared" ref="AF65:AF72" si="18">SUM(E65:AE65)</f>
        <v>281</v>
      </c>
    </row>
    <row r="66" ht="12.75" customHeight="1">
      <c r="A66" s="30" t="s">
        <v>39</v>
      </c>
      <c r="B66" s="55">
        <v>1.0</v>
      </c>
      <c r="C66" s="50" t="s">
        <v>57</v>
      </c>
      <c r="D66" s="57"/>
      <c r="E66" s="19">
        <v>20.0</v>
      </c>
      <c r="F66" s="19">
        <v>7.0</v>
      </c>
      <c r="G66" s="19">
        <v>14.0</v>
      </c>
      <c r="H66" s="19">
        <v>6.0</v>
      </c>
      <c r="I66" s="19">
        <v>8.0</v>
      </c>
      <c r="J66" s="19">
        <v>25.0</v>
      </c>
      <c r="K66" s="19">
        <v>10.0</v>
      </c>
      <c r="L66" s="19">
        <v>2.0</v>
      </c>
      <c r="M66" s="19">
        <v>3.0</v>
      </c>
      <c r="N66" s="19">
        <v>14.0</v>
      </c>
      <c r="O66" s="19">
        <v>0.0</v>
      </c>
      <c r="P66" s="19">
        <v>11.0</v>
      </c>
      <c r="Q66" s="19">
        <v>7.0</v>
      </c>
      <c r="R66" s="19">
        <v>15.0</v>
      </c>
      <c r="S66" s="19">
        <v>10.0</v>
      </c>
      <c r="T66" s="19">
        <v>5.0</v>
      </c>
      <c r="U66" s="19">
        <v>4.0</v>
      </c>
      <c r="V66" s="19">
        <v>12.0</v>
      </c>
      <c r="W66" s="19">
        <v>6.0</v>
      </c>
      <c r="X66" s="19">
        <v>7.0</v>
      </c>
      <c r="Y66" s="19">
        <v>6.0</v>
      </c>
      <c r="Z66" s="19">
        <v>5.0</v>
      </c>
      <c r="AA66" s="19">
        <v>4.0</v>
      </c>
      <c r="AB66" s="19">
        <v>2.0</v>
      </c>
      <c r="AC66" s="19">
        <v>4.0</v>
      </c>
      <c r="AD66" s="19">
        <v>13.0</v>
      </c>
      <c r="AE66" s="19">
        <v>9.0</v>
      </c>
      <c r="AF66" s="13">
        <f t="shared" si="18"/>
        <v>229</v>
      </c>
    </row>
    <row r="67" ht="12.75" customHeight="1">
      <c r="A67" s="18"/>
      <c r="B67" s="55">
        <v>2.0</v>
      </c>
      <c r="C67" s="50" t="s">
        <v>58</v>
      </c>
      <c r="D67" s="57"/>
      <c r="E67" s="19">
        <v>7.0</v>
      </c>
      <c r="F67" s="19">
        <v>1.0</v>
      </c>
      <c r="G67" s="19">
        <v>5.0</v>
      </c>
      <c r="H67" s="19">
        <v>6.0</v>
      </c>
      <c r="I67" s="19">
        <v>8.0</v>
      </c>
      <c r="J67" s="19">
        <v>2.0</v>
      </c>
      <c r="K67" s="19">
        <v>7.0</v>
      </c>
      <c r="L67" s="19">
        <v>10.0</v>
      </c>
      <c r="M67" s="19">
        <v>4.0</v>
      </c>
      <c r="N67" s="19">
        <v>2.0</v>
      </c>
      <c r="O67" s="19">
        <v>2.0</v>
      </c>
      <c r="P67" s="19">
        <v>3.0</v>
      </c>
      <c r="Q67" s="19">
        <v>5.0</v>
      </c>
      <c r="R67" s="19">
        <v>8.0</v>
      </c>
      <c r="S67" s="19">
        <v>5.0</v>
      </c>
      <c r="T67" s="19">
        <v>12.0</v>
      </c>
      <c r="U67" s="19">
        <v>9.0</v>
      </c>
      <c r="V67" s="19">
        <v>19.0</v>
      </c>
      <c r="W67" s="19">
        <v>5.0</v>
      </c>
      <c r="X67" s="19">
        <v>2.0</v>
      </c>
      <c r="Y67" s="19">
        <v>8.0</v>
      </c>
      <c r="Z67" s="19">
        <v>6.0</v>
      </c>
      <c r="AA67" s="19">
        <v>3.0</v>
      </c>
      <c r="AB67" s="19">
        <v>8.0</v>
      </c>
      <c r="AC67" s="19">
        <v>4.0</v>
      </c>
      <c r="AD67" s="19">
        <v>1.0</v>
      </c>
      <c r="AE67" s="19">
        <v>5.0</v>
      </c>
      <c r="AF67" s="13">
        <f t="shared" si="18"/>
        <v>157</v>
      </c>
    </row>
    <row r="68" ht="12.75" customHeight="1">
      <c r="A68" s="18"/>
      <c r="B68" s="55">
        <v>3.0</v>
      </c>
      <c r="C68" s="50" t="s">
        <v>59</v>
      </c>
      <c r="D68" s="57"/>
      <c r="E68" s="19">
        <v>12.0</v>
      </c>
      <c r="F68" s="19">
        <v>24.0</v>
      </c>
      <c r="G68" s="19">
        <v>13.0</v>
      </c>
      <c r="H68" s="19">
        <v>1.0</v>
      </c>
      <c r="I68" s="19">
        <v>5.0</v>
      </c>
      <c r="J68" s="19">
        <v>4.0</v>
      </c>
      <c r="K68" s="19">
        <v>7.0</v>
      </c>
      <c r="L68" s="19">
        <v>5.0</v>
      </c>
      <c r="M68" s="19">
        <v>7.0</v>
      </c>
      <c r="N68" s="19">
        <v>10.0</v>
      </c>
      <c r="O68" s="19">
        <v>11.0</v>
      </c>
      <c r="P68" s="19">
        <v>28.0</v>
      </c>
      <c r="Q68" s="19">
        <v>13.0</v>
      </c>
      <c r="R68" s="19">
        <v>9.0</v>
      </c>
      <c r="S68" s="19">
        <v>16.0</v>
      </c>
      <c r="T68" s="19">
        <v>28.0</v>
      </c>
      <c r="U68" s="19">
        <v>23.0</v>
      </c>
      <c r="V68" s="19">
        <v>39.0</v>
      </c>
      <c r="W68" s="19">
        <v>31.0</v>
      </c>
      <c r="X68" s="19">
        <v>11.0</v>
      </c>
      <c r="Y68" s="19">
        <v>20.0</v>
      </c>
      <c r="Z68" s="19">
        <v>8.0</v>
      </c>
      <c r="AA68" s="19">
        <v>14.0</v>
      </c>
      <c r="AB68" s="19">
        <v>8.0</v>
      </c>
      <c r="AC68" s="19">
        <v>9.0</v>
      </c>
      <c r="AD68" s="19">
        <v>12.0</v>
      </c>
      <c r="AE68" s="19">
        <v>41.0</v>
      </c>
      <c r="AF68" s="13">
        <f t="shared" si="18"/>
        <v>409</v>
      </c>
    </row>
    <row r="69" ht="12.75" customHeight="1">
      <c r="A69" s="18"/>
      <c r="B69" s="55">
        <v>4.0</v>
      </c>
      <c r="C69" s="50" t="s">
        <v>60</v>
      </c>
      <c r="D69" s="57"/>
      <c r="E69" s="19">
        <v>1.0</v>
      </c>
      <c r="F69" s="19">
        <v>0.0</v>
      </c>
      <c r="G69" s="19">
        <v>2.0</v>
      </c>
      <c r="H69" s="19">
        <v>8.0</v>
      </c>
      <c r="I69" s="19">
        <v>4.0</v>
      </c>
      <c r="J69" s="19">
        <v>2.0</v>
      </c>
      <c r="K69" s="19">
        <v>6.0</v>
      </c>
      <c r="L69" s="19">
        <v>5.0</v>
      </c>
      <c r="M69" s="19">
        <v>3.0</v>
      </c>
      <c r="N69" s="19">
        <v>3.0</v>
      </c>
      <c r="O69" s="19">
        <v>5.0</v>
      </c>
      <c r="P69" s="19">
        <v>5.0</v>
      </c>
      <c r="Q69" s="19">
        <v>3.0</v>
      </c>
      <c r="R69" s="19">
        <v>2.0</v>
      </c>
      <c r="S69" s="19">
        <v>1.0</v>
      </c>
      <c r="T69" s="19">
        <v>6.0</v>
      </c>
      <c r="U69" s="19">
        <v>2.0</v>
      </c>
      <c r="V69" s="19">
        <v>11.0</v>
      </c>
      <c r="W69" s="19">
        <v>8.0</v>
      </c>
      <c r="X69" s="19">
        <v>6.0</v>
      </c>
      <c r="Y69" s="19">
        <v>8.0</v>
      </c>
      <c r="Z69" s="19">
        <v>2.0</v>
      </c>
      <c r="AA69" s="19">
        <v>0.0</v>
      </c>
      <c r="AB69" s="19">
        <v>1.0</v>
      </c>
      <c r="AC69" s="19">
        <v>4.0</v>
      </c>
      <c r="AD69" s="19">
        <v>1.0</v>
      </c>
      <c r="AE69" s="19">
        <v>5.0</v>
      </c>
      <c r="AF69" s="13">
        <f t="shared" si="18"/>
        <v>104</v>
      </c>
    </row>
    <row r="70" ht="12.75" customHeight="1">
      <c r="A70" s="18"/>
      <c r="B70" s="55">
        <v>5.0</v>
      </c>
      <c r="C70" s="50" t="s">
        <v>61</v>
      </c>
      <c r="D70" s="57"/>
      <c r="E70" s="19">
        <v>0.0</v>
      </c>
      <c r="F70" s="19">
        <v>3.0</v>
      </c>
      <c r="G70" s="19">
        <v>6.0</v>
      </c>
      <c r="H70" s="19">
        <v>5.0</v>
      </c>
      <c r="I70" s="19">
        <v>4.0</v>
      </c>
      <c r="J70" s="19">
        <v>1.0</v>
      </c>
      <c r="K70" s="19">
        <v>1.0</v>
      </c>
      <c r="L70" s="19">
        <v>4.0</v>
      </c>
      <c r="M70" s="19">
        <v>2.0</v>
      </c>
      <c r="N70" s="19">
        <v>4.0</v>
      </c>
      <c r="O70" s="19">
        <v>2.0</v>
      </c>
      <c r="P70" s="19">
        <v>1.0</v>
      </c>
      <c r="Q70" s="19">
        <v>2.0</v>
      </c>
      <c r="R70" s="19">
        <v>1.0</v>
      </c>
      <c r="S70" s="19">
        <v>3.0</v>
      </c>
      <c r="T70" s="19">
        <v>4.0</v>
      </c>
      <c r="U70" s="19">
        <v>5.0</v>
      </c>
      <c r="V70" s="19">
        <v>4.0</v>
      </c>
      <c r="W70" s="19">
        <v>1.0</v>
      </c>
      <c r="X70" s="19">
        <v>1.0</v>
      </c>
      <c r="Y70" s="19">
        <v>1.0</v>
      </c>
      <c r="Z70" s="19">
        <v>2.0</v>
      </c>
      <c r="AA70" s="19">
        <v>2.0</v>
      </c>
      <c r="AB70" s="19">
        <v>1.0</v>
      </c>
      <c r="AC70" s="19">
        <v>2.0</v>
      </c>
      <c r="AD70" s="19">
        <v>1.0</v>
      </c>
      <c r="AE70" s="19">
        <v>1.0</v>
      </c>
      <c r="AF70" s="13">
        <f t="shared" si="18"/>
        <v>64</v>
      </c>
    </row>
    <row r="71" ht="12.75" customHeight="1">
      <c r="A71" s="18"/>
      <c r="B71" s="55">
        <v>6.0</v>
      </c>
      <c r="C71" s="50" t="s">
        <v>62</v>
      </c>
      <c r="D71" s="57"/>
      <c r="E71" s="19">
        <v>1.0</v>
      </c>
      <c r="F71" s="19">
        <v>2.0</v>
      </c>
      <c r="G71" s="19">
        <v>4.0</v>
      </c>
      <c r="H71" s="19">
        <v>4.0</v>
      </c>
      <c r="I71" s="19">
        <v>6.0</v>
      </c>
      <c r="J71" s="19">
        <v>1.0</v>
      </c>
      <c r="K71" s="19">
        <v>2.0</v>
      </c>
      <c r="L71" s="19">
        <v>0.0</v>
      </c>
      <c r="M71" s="19">
        <v>1.0</v>
      </c>
      <c r="N71" s="19">
        <v>5.0</v>
      </c>
      <c r="O71" s="19">
        <v>0.0</v>
      </c>
      <c r="P71" s="19">
        <v>1.0</v>
      </c>
      <c r="Q71" s="19">
        <v>2.0</v>
      </c>
      <c r="R71" s="19">
        <v>0.0</v>
      </c>
      <c r="S71" s="19">
        <v>0.0</v>
      </c>
      <c r="T71" s="19">
        <v>2.0</v>
      </c>
      <c r="U71" s="19">
        <v>4.0</v>
      </c>
      <c r="V71" s="19">
        <v>2.0</v>
      </c>
      <c r="W71" s="19">
        <v>4.0</v>
      </c>
      <c r="X71" s="19">
        <v>3.0</v>
      </c>
      <c r="Y71" s="19">
        <v>2.0</v>
      </c>
      <c r="Z71" s="19">
        <v>0.0</v>
      </c>
      <c r="AA71" s="19">
        <v>1.0</v>
      </c>
      <c r="AB71" s="19">
        <v>2.0</v>
      </c>
      <c r="AC71" s="19">
        <v>2.0</v>
      </c>
      <c r="AD71" s="19">
        <v>4.0</v>
      </c>
      <c r="AE71" s="19">
        <v>0.0</v>
      </c>
      <c r="AF71" s="13">
        <f t="shared" si="18"/>
        <v>55</v>
      </c>
    </row>
    <row r="72" ht="12.75" customHeight="1">
      <c r="A72" s="18"/>
      <c r="B72" s="55">
        <v>7.0</v>
      </c>
      <c r="C72" s="50" t="s">
        <v>63</v>
      </c>
      <c r="D72" s="57"/>
      <c r="E72" s="19">
        <v>8.0</v>
      </c>
      <c r="F72" s="19">
        <v>6.0</v>
      </c>
      <c r="G72" s="19">
        <v>7.0</v>
      </c>
      <c r="H72" s="19">
        <v>35.0</v>
      </c>
      <c r="I72" s="19">
        <v>21.0</v>
      </c>
      <c r="J72" s="19">
        <v>10.0</v>
      </c>
      <c r="K72" s="19">
        <v>6.0</v>
      </c>
      <c r="L72" s="19">
        <v>9.0</v>
      </c>
      <c r="M72" s="19">
        <v>15.0</v>
      </c>
      <c r="N72" s="19">
        <v>19.0</v>
      </c>
      <c r="O72" s="19">
        <v>11.0</v>
      </c>
      <c r="P72" s="19">
        <v>5.0</v>
      </c>
      <c r="Q72" s="19">
        <v>3.0</v>
      </c>
      <c r="R72" s="19">
        <v>7.0</v>
      </c>
      <c r="S72" s="19">
        <v>9.0</v>
      </c>
      <c r="T72" s="19">
        <v>11.0</v>
      </c>
      <c r="U72" s="19">
        <v>5.0</v>
      </c>
      <c r="V72" s="19">
        <v>4.0</v>
      </c>
      <c r="W72" s="19">
        <v>9.0</v>
      </c>
      <c r="X72" s="19">
        <v>5.0</v>
      </c>
      <c r="Y72" s="19">
        <v>5.0</v>
      </c>
      <c r="Z72" s="19">
        <v>2.0</v>
      </c>
      <c r="AA72" s="19">
        <v>1.0</v>
      </c>
      <c r="AB72" s="19">
        <v>28.0</v>
      </c>
      <c r="AC72" s="19">
        <v>5.0</v>
      </c>
      <c r="AD72" s="19">
        <v>4.0</v>
      </c>
      <c r="AE72" s="19">
        <v>3.0</v>
      </c>
      <c r="AF72" s="13">
        <f t="shared" si="18"/>
        <v>253</v>
      </c>
    </row>
    <row r="73" ht="12.75" customHeight="1">
      <c r="A73" s="19" t="s">
        <v>15</v>
      </c>
      <c r="B73" s="47" t="s">
        <v>47</v>
      </c>
      <c r="C73" s="15"/>
      <c r="D73" s="16"/>
      <c r="E73" s="13">
        <f t="shared" ref="E73:AF73" si="19">SUM(E65:E72)</f>
        <v>61</v>
      </c>
      <c r="F73" s="13">
        <f t="shared" si="19"/>
        <v>53</v>
      </c>
      <c r="G73" s="13">
        <f t="shared" si="19"/>
        <v>64</v>
      </c>
      <c r="H73" s="13">
        <f t="shared" si="19"/>
        <v>77</v>
      </c>
      <c r="I73" s="13">
        <f t="shared" si="19"/>
        <v>65</v>
      </c>
      <c r="J73" s="13">
        <f t="shared" si="19"/>
        <v>51</v>
      </c>
      <c r="K73" s="13">
        <f t="shared" si="19"/>
        <v>47</v>
      </c>
      <c r="L73" s="13">
        <f t="shared" si="19"/>
        <v>41</v>
      </c>
      <c r="M73" s="13">
        <f t="shared" si="19"/>
        <v>40</v>
      </c>
      <c r="N73" s="13">
        <f t="shared" si="19"/>
        <v>66</v>
      </c>
      <c r="O73" s="13">
        <f t="shared" si="19"/>
        <v>35</v>
      </c>
      <c r="P73" s="13">
        <f t="shared" si="19"/>
        <v>64</v>
      </c>
      <c r="Q73" s="13">
        <f t="shared" si="19"/>
        <v>42</v>
      </c>
      <c r="R73" s="13">
        <f t="shared" si="19"/>
        <v>49</v>
      </c>
      <c r="S73" s="13">
        <f t="shared" si="19"/>
        <v>56</v>
      </c>
      <c r="T73" s="13">
        <f t="shared" si="19"/>
        <v>79</v>
      </c>
      <c r="U73" s="13">
        <f t="shared" si="19"/>
        <v>62</v>
      </c>
      <c r="V73" s="13">
        <f t="shared" si="19"/>
        <v>105</v>
      </c>
      <c r="W73" s="13">
        <f t="shared" si="19"/>
        <v>83</v>
      </c>
      <c r="X73" s="13">
        <f t="shared" si="19"/>
        <v>50</v>
      </c>
      <c r="Y73" s="13">
        <f t="shared" si="19"/>
        <v>62</v>
      </c>
      <c r="Z73" s="13">
        <f t="shared" si="19"/>
        <v>33</v>
      </c>
      <c r="AA73" s="13">
        <f t="shared" si="19"/>
        <v>45</v>
      </c>
      <c r="AB73" s="13">
        <f t="shared" si="19"/>
        <v>56</v>
      </c>
      <c r="AC73" s="13">
        <f t="shared" si="19"/>
        <v>37</v>
      </c>
      <c r="AD73" s="13">
        <f t="shared" si="19"/>
        <v>48</v>
      </c>
      <c r="AE73" s="13">
        <f t="shared" si="19"/>
        <v>81</v>
      </c>
      <c r="AF73" s="13">
        <f t="shared" si="19"/>
        <v>1552</v>
      </c>
    </row>
    <row r="74" ht="12.75" customHeight="1">
      <c r="A74" s="45"/>
      <c r="B74" s="44"/>
      <c r="C74" s="44"/>
      <c r="D74" s="44"/>
      <c r="E74" s="44"/>
    </row>
    <row r="75" ht="12.75" customHeight="1">
      <c r="A75" s="30" t="s">
        <v>37</v>
      </c>
      <c r="B75" s="47" t="s">
        <v>23</v>
      </c>
      <c r="C75" s="48" t="s">
        <v>64</v>
      </c>
      <c r="D75" s="16"/>
      <c r="E75" s="19">
        <v>6.0</v>
      </c>
      <c r="F75" s="19">
        <v>3.0</v>
      </c>
      <c r="G75" s="19">
        <v>3.0</v>
      </c>
      <c r="H75" s="19">
        <v>4.0</v>
      </c>
      <c r="I75" s="19">
        <v>4.0</v>
      </c>
      <c r="J75" s="19">
        <v>8.0</v>
      </c>
      <c r="K75" s="19">
        <v>10.0</v>
      </c>
      <c r="L75" s="19">
        <v>4.0</v>
      </c>
      <c r="M75" s="19">
        <v>4.0</v>
      </c>
      <c r="N75" s="19">
        <v>3.0</v>
      </c>
      <c r="O75" s="19">
        <v>1.0</v>
      </c>
      <c r="P75" s="19">
        <v>1.0</v>
      </c>
      <c r="Q75" s="19">
        <v>1.0</v>
      </c>
      <c r="R75" s="19">
        <v>3.0</v>
      </c>
      <c r="S75" s="19">
        <v>4.0</v>
      </c>
      <c r="T75" s="19">
        <v>3.0</v>
      </c>
      <c r="U75" s="19">
        <v>6.0</v>
      </c>
      <c r="V75" s="19">
        <v>8.0</v>
      </c>
      <c r="W75" s="19">
        <v>9.0</v>
      </c>
      <c r="X75" s="19">
        <v>7.0</v>
      </c>
      <c r="Y75" s="19">
        <v>5.0</v>
      </c>
      <c r="Z75" s="19">
        <v>3.0</v>
      </c>
      <c r="AA75" s="19">
        <v>3.0</v>
      </c>
      <c r="AB75" s="19">
        <v>0.0</v>
      </c>
      <c r="AC75" s="19">
        <v>0.0</v>
      </c>
      <c r="AD75" s="19">
        <v>1.0</v>
      </c>
      <c r="AE75" s="19">
        <v>2.0</v>
      </c>
      <c r="AF75" s="13">
        <f t="shared" ref="AF75:AF82" si="20">SUM(E75:AE75)</f>
        <v>106</v>
      </c>
    </row>
    <row r="76" ht="12.75" customHeight="1">
      <c r="A76" s="30" t="s">
        <v>39</v>
      </c>
      <c r="B76" s="55">
        <v>1.0</v>
      </c>
      <c r="C76" s="50" t="s">
        <v>65</v>
      </c>
      <c r="D76" s="57"/>
      <c r="E76" s="19">
        <v>54.0</v>
      </c>
      <c r="F76" s="19">
        <v>22.0</v>
      </c>
      <c r="G76" s="19">
        <v>23.0</v>
      </c>
      <c r="H76" s="19">
        <v>9.0</v>
      </c>
      <c r="I76" s="19">
        <v>12.0</v>
      </c>
      <c r="J76" s="19">
        <v>58.0</v>
      </c>
      <c r="K76" s="19">
        <v>62.0</v>
      </c>
      <c r="L76" s="19">
        <v>59.0</v>
      </c>
      <c r="M76" s="19">
        <v>9.0</v>
      </c>
      <c r="N76" s="19">
        <v>3.0</v>
      </c>
      <c r="O76" s="19">
        <v>6.0</v>
      </c>
      <c r="P76" s="19">
        <v>14.0</v>
      </c>
      <c r="Q76" s="19">
        <v>4.0</v>
      </c>
      <c r="R76" s="19">
        <v>5.0</v>
      </c>
      <c r="S76" s="19">
        <v>7.0</v>
      </c>
      <c r="T76" s="19">
        <v>7.0</v>
      </c>
      <c r="U76" s="19">
        <v>5.0</v>
      </c>
      <c r="V76" s="19">
        <v>6.0</v>
      </c>
      <c r="W76" s="19">
        <v>25.0</v>
      </c>
      <c r="X76" s="19">
        <v>36.0</v>
      </c>
      <c r="Y76" s="19">
        <v>21.0</v>
      </c>
      <c r="Z76" s="19">
        <v>4.0</v>
      </c>
      <c r="AA76" s="19">
        <v>8.0</v>
      </c>
      <c r="AB76" s="19">
        <v>4.0</v>
      </c>
      <c r="AC76" s="19">
        <v>12.0</v>
      </c>
      <c r="AD76" s="19">
        <v>9.0</v>
      </c>
      <c r="AE76" s="19">
        <v>7.0</v>
      </c>
      <c r="AF76" s="13">
        <f t="shared" si="20"/>
        <v>491</v>
      </c>
    </row>
    <row r="77" ht="12.75" customHeight="1">
      <c r="A77" s="18"/>
      <c r="B77" s="55">
        <v>2.0</v>
      </c>
      <c r="C77" s="50" t="s">
        <v>66</v>
      </c>
      <c r="D77" s="57"/>
      <c r="E77" s="19">
        <v>2.0</v>
      </c>
      <c r="F77" s="19">
        <v>0.0</v>
      </c>
      <c r="G77" s="19">
        <v>0.0</v>
      </c>
      <c r="H77" s="19">
        <v>1.0</v>
      </c>
      <c r="I77" s="19">
        <v>1.0</v>
      </c>
      <c r="J77" s="19">
        <v>2.0</v>
      </c>
      <c r="K77" s="19">
        <v>1.0</v>
      </c>
      <c r="L77" s="19">
        <v>7.0</v>
      </c>
      <c r="M77" s="19">
        <v>4.0</v>
      </c>
      <c r="N77" s="19">
        <v>7.0</v>
      </c>
      <c r="O77" s="19">
        <v>0.0</v>
      </c>
      <c r="P77" s="19">
        <v>0.0</v>
      </c>
      <c r="Q77" s="19">
        <v>5.0</v>
      </c>
      <c r="R77" s="19">
        <v>0.0</v>
      </c>
      <c r="S77" s="19">
        <v>0.0</v>
      </c>
      <c r="T77" s="19">
        <v>1.0</v>
      </c>
      <c r="U77" s="19">
        <v>7.0</v>
      </c>
      <c r="V77" s="19">
        <v>1.0</v>
      </c>
      <c r="W77" s="19">
        <v>2.0</v>
      </c>
      <c r="X77" s="19">
        <v>6.0</v>
      </c>
      <c r="Y77" s="19">
        <v>1.0</v>
      </c>
      <c r="Z77" s="19">
        <v>8.0</v>
      </c>
      <c r="AA77" s="19">
        <v>1.0</v>
      </c>
      <c r="AB77" s="19">
        <v>3.0</v>
      </c>
      <c r="AC77" s="19">
        <v>18.0</v>
      </c>
      <c r="AD77" s="19">
        <v>1.0</v>
      </c>
      <c r="AE77" s="19">
        <v>2.0</v>
      </c>
      <c r="AF77" s="13">
        <f t="shared" si="20"/>
        <v>81</v>
      </c>
    </row>
    <row r="78" ht="12.75" customHeight="1">
      <c r="A78" s="18"/>
      <c r="B78" s="55">
        <v>3.0</v>
      </c>
      <c r="C78" s="50" t="s">
        <v>67</v>
      </c>
      <c r="D78" s="57"/>
      <c r="E78" s="19">
        <v>0.0</v>
      </c>
      <c r="F78" s="19">
        <v>1.0</v>
      </c>
      <c r="G78" s="19">
        <v>1.0</v>
      </c>
      <c r="H78" s="19">
        <v>0.0</v>
      </c>
      <c r="I78" s="19">
        <v>0.0</v>
      </c>
      <c r="J78" s="19">
        <v>3.0</v>
      </c>
      <c r="K78" s="19">
        <v>0.0</v>
      </c>
      <c r="L78" s="19">
        <v>0.0</v>
      </c>
      <c r="M78" s="19">
        <v>0.0</v>
      </c>
      <c r="N78" s="19">
        <v>1.0</v>
      </c>
      <c r="O78" s="19">
        <v>1.0</v>
      </c>
      <c r="P78" s="19">
        <v>0.0</v>
      </c>
      <c r="Q78" s="19">
        <v>0.0</v>
      </c>
      <c r="R78" s="19">
        <v>0.0</v>
      </c>
      <c r="S78" s="19">
        <v>1.0</v>
      </c>
      <c r="T78" s="19">
        <v>0.0</v>
      </c>
      <c r="U78" s="19">
        <v>1.0</v>
      </c>
      <c r="V78" s="19">
        <v>0.0</v>
      </c>
      <c r="W78" s="19">
        <v>0.0</v>
      </c>
      <c r="X78" s="19">
        <v>1.0</v>
      </c>
      <c r="Y78" s="19">
        <v>0.0</v>
      </c>
      <c r="Z78" s="19">
        <v>2.0</v>
      </c>
      <c r="AA78" s="19">
        <v>0.0</v>
      </c>
      <c r="AB78" s="19">
        <v>2.0</v>
      </c>
      <c r="AC78" s="19">
        <v>1.0</v>
      </c>
      <c r="AD78" s="19">
        <v>0.0</v>
      </c>
      <c r="AE78" s="19">
        <v>0.0</v>
      </c>
      <c r="AF78" s="13">
        <f t="shared" si="20"/>
        <v>15</v>
      </c>
    </row>
    <row r="79" ht="12.75" customHeight="1">
      <c r="A79" s="18"/>
      <c r="B79" s="55">
        <v>4.0</v>
      </c>
      <c r="C79" s="50" t="s">
        <v>68</v>
      </c>
      <c r="D79" s="57"/>
      <c r="E79" s="19">
        <v>3.0</v>
      </c>
      <c r="F79" s="19">
        <v>1.0</v>
      </c>
      <c r="G79" s="19">
        <v>0.0</v>
      </c>
      <c r="H79" s="19">
        <v>1.0</v>
      </c>
      <c r="I79" s="19">
        <v>0.0</v>
      </c>
      <c r="J79" s="19">
        <v>2.0</v>
      </c>
      <c r="K79" s="19">
        <v>1.0</v>
      </c>
      <c r="L79" s="19">
        <v>1.0</v>
      </c>
      <c r="M79" s="19">
        <v>0.0</v>
      </c>
      <c r="N79" s="19">
        <v>3.0</v>
      </c>
      <c r="O79" s="19">
        <v>0.0</v>
      </c>
      <c r="P79" s="19">
        <v>2.0</v>
      </c>
      <c r="Q79" s="19">
        <v>1.0</v>
      </c>
      <c r="R79" s="19">
        <v>0.0</v>
      </c>
      <c r="S79" s="19">
        <v>0.0</v>
      </c>
      <c r="T79" s="19">
        <v>0.0</v>
      </c>
      <c r="U79" s="19">
        <v>1.0</v>
      </c>
      <c r="V79" s="19">
        <v>0.0</v>
      </c>
      <c r="W79" s="19">
        <v>1.0</v>
      </c>
      <c r="X79" s="19">
        <v>1.0</v>
      </c>
      <c r="Y79" s="19">
        <v>1.0</v>
      </c>
      <c r="Z79" s="19">
        <v>0.0</v>
      </c>
      <c r="AA79" s="19">
        <v>0.0</v>
      </c>
      <c r="AB79" s="19">
        <v>2.0</v>
      </c>
      <c r="AC79" s="19">
        <v>1.0</v>
      </c>
      <c r="AD79" s="19">
        <v>0.0</v>
      </c>
      <c r="AE79" s="19">
        <v>0.0</v>
      </c>
      <c r="AF79" s="13">
        <f t="shared" si="20"/>
        <v>22</v>
      </c>
    </row>
    <row r="80" ht="12.75" customHeight="1">
      <c r="A80" s="18"/>
      <c r="B80" s="55">
        <v>5.0</v>
      </c>
      <c r="C80" s="50" t="s">
        <v>69</v>
      </c>
      <c r="D80" s="57"/>
      <c r="E80" s="19">
        <v>0.0</v>
      </c>
      <c r="F80" s="19">
        <v>1.0</v>
      </c>
      <c r="G80" s="19">
        <v>0.0</v>
      </c>
      <c r="H80" s="19">
        <v>0.0</v>
      </c>
      <c r="I80" s="19">
        <v>1.0</v>
      </c>
      <c r="J80" s="19">
        <v>0.0</v>
      </c>
      <c r="K80" s="19">
        <v>0.0</v>
      </c>
      <c r="L80" s="19">
        <v>0.0</v>
      </c>
      <c r="M80" s="19">
        <v>1.0</v>
      </c>
      <c r="N80" s="19">
        <v>0.0</v>
      </c>
      <c r="O80" s="19">
        <v>0.0</v>
      </c>
      <c r="P80" s="19">
        <v>1.0</v>
      </c>
      <c r="Q80" s="19">
        <v>2.0</v>
      </c>
      <c r="R80" s="19">
        <v>0.0</v>
      </c>
      <c r="S80" s="19">
        <v>0.0</v>
      </c>
      <c r="T80" s="19">
        <v>1.0</v>
      </c>
      <c r="U80" s="19">
        <v>0.0</v>
      </c>
      <c r="V80" s="19">
        <v>0.0</v>
      </c>
      <c r="W80" s="19">
        <v>0.0</v>
      </c>
      <c r="X80" s="19">
        <v>0.0</v>
      </c>
      <c r="Y80" s="19">
        <v>0.0</v>
      </c>
      <c r="Z80" s="19">
        <v>0.0</v>
      </c>
      <c r="AA80" s="19">
        <v>2.0</v>
      </c>
      <c r="AB80" s="19">
        <v>0.0</v>
      </c>
      <c r="AC80" s="19">
        <v>0.0</v>
      </c>
      <c r="AD80" s="19">
        <v>5.0</v>
      </c>
      <c r="AE80" s="19">
        <v>0.0</v>
      </c>
      <c r="AF80" s="13">
        <f t="shared" si="20"/>
        <v>14</v>
      </c>
    </row>
    <row r="81" ht="12.75" customHeight="1">
      <c r="A81" s="18"/>
      <c r="B81" s="55">
        <v>6.0</v>
      </c>
      <c r="C81" s="50" t="s">
        <v>70</v>
      </c>
      <c r="D81" s="57"/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1.0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0.0</v>
      </c>
      <c r="S81" s="19">
        <v>0.0</v>
      </c>
      <c r="T81" s="19">
        <v>0.0</v>
      </c>
      <c r="U81" s="19">
        <v>0.0</v>
      </c>
      <c r="V81" s="19">
        <v>0.0</v>
      </c>
      <c r="W81" s="19">
        <v>0.0</v>
      </c>
      <c r="X81" s="19">
        <v>0.0</v>
      </c>
      <c r="Y81" s="19">
        <v>0.0</v>
      </c>
      <c r="Z81" s="19">
        <v>0.0</v>
      </c>
      <c r="AA81" s="19">
        <v>0.0</v>
      </c>
      <c r="AB81" s="19">
        <v>1.0</v>
      </c>
      <c r="AC81" s="19">
        <v>0.0</v>
      </c>
      <c r="AD81" s="19">
        <v>0.0</v>
      </c>
      <c r="AE81" s="19">
        <v>0.0</v>
      </c>
      <c r="AF81" s="13">
        <f t="shared" si="20"/>
        <v>2</v>
      </c>
    </row>
    <row r="82" ht="12.75" customHeight="1">
      <c r="A82" s="18"/>
      <c r="B82" s="55">
        <v>7.0</v>
      </c>
      <c r="C82" s="50" t="s">
        <v>71</v>
      </c>
      <c r="D82" s="57"/>
      <c r="E82" s="19">
        <v>0.0</v>
      </c>
      <c r="F82" s="19">
        <v>0.0</v>
      </c>
      <c r="G82" s="19">
        <v>0.0</v>
      </c>
      <c r="H82" s="19">
        <v>1.0</v>
      </c>
      <c r="I82" s="19">
        <v>0.0</v>
      </c>
      <c r="J82" s="19">
        <v>0.0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9">
        <v>0.0</v>
      </c>
      <c r="S82" s="19">
        <v>0.0</v>
      </c>
      <c r="T82" s="19">
        <v>0.0</v>
      </c>
      <c r="U82" s="19">
        <v>0.0</v>
      </c>
      <c r="V82" s="19">
        <v>1.0</v>
      </c>
      <c r="W82" s="19">
        <v>0.0</v>
      </c>
      <c r="X82" s="19">
        <v>0.0</v>
      </c>
      <c r="Y82" s="19">
        <v>0.0</v>
      </c>
      <c r="Z82" s="19">
        <v>0.0</v>
      </c>
      <c r="AA82" s="19">
        <v>1.0</v>
      </c>
      <c r="AB82" s="19">
        <v>1.0</v>
      </c>
      <c r="AC82" s="19">
        <v>0.0</v>
      </c>
      <c r="AD82" s="19">
        <v>0.0</v>
      </c>
      <c r="AE82" s="19">
        <v>0.0</v>
      </c>
      <c r="AF82" s="13">
        <f t="shared" si="20"/>
        <v>4</v>
      </c>
    </row>
    <row r="83" ht="12.75" customHeight="1">
      <c r="A83" s="19" t="s">
        <v>15</v>
      </c>
      <c r="B83" s="47" t="s">
        <v>47</v>
      </c>
      <c r="C83" s="15"/>
      <c r="D83" s="16"/>
      <c r="E83" s="13">
        <f t="shared" ref="E83:AF83" si="21">SUM(E75:E82)</f>
        <v>65</v>
      </c>
      <c r="F83" s="13">
        <f t="shared" si="21"/>
        <v>28</v>
      </c>
      <c r="G83" s="13">
        <f t="shared" si="21"/>
        <v>27</v>
      </c>
      <c r="H83" s="13">
        <f t="shared" si="21"/>
        <v>16</v>
      </c>
      <c r="I83" s="13">
        <f t="shared" si="21"/>
        <v>18</v>
      </c>
      <c r="J83" s="13">
        <f t="shared" si="21"/>
        <v>74</v>
      </c>
      <c r="K83" s="13">
        <f t="shared" si="21"/>
        <v>74</v>
      </c>
      <c r="L83" s="13">
        <f t="shared" si="21"/>
        <v>71</v>
      </c>
      <c r="M83" s="13">
        <f t="shared" si="21"/>
        <v>18</v>
      </c>
      <c r="N83" s="13">
        <f t="shared" si="21"/>
        <v>17</v>
      </c>
      <c r="O83" s="13">
        <f t="shared" si="21"/>
        <v>8</v>
      </c>
      <c r="P83" s="13">
        <f t="shared" si="21"/>
        <v>18</v>
      </c>
      <c r="Q83" s="13">
        <f t="shared" si="21"/>
        <v>13</v>
      </c>
      <c r="R83" s="13">
        <f t="shared" si="21"/>
        <v>8</v>
      </c>
      <c r="S83" s="13">
        <f t="shared" si="21"/>
        <v>12</v>
      </c>
      <c r="T83" s="13">
        <f t="shared" si="21"/>
        <v>12</v>
      </c>
      <c r="U83" s="13">
        <f t="shared" si="21"/>
        <v>20</v>
      </c>
      <c r="V83" s="13">
        <f t="shared" si="21"/>
        <v>16</v>
      </c>
      <c r="W83" s="13">
        <f t="shared" si="21"/>
        <v>37</v>
      </c>
      <c r="X83" s="13">
        <f t="shared" si="21"/>
        <v>51</v>
      </c>
      <c r="Y83" s="13">
        <f t="shared" si="21"/>
        <v>28</v>
      </c>
      <c r="Z83" s="13">
        <f t="shared" si="21"/>
        <v>17</v>
      </c>
      <c r="AA83" s="13">
        <f t="shared" si="21"/>
        <v>15</v>
      </c>
      <c r="AB83" s="13">
        <f t="shared" si="21"/>
        <v>13</v>
      </c>
      <c r="AC83" s="13">
        <f t="shared" si="21"/>
        <v>32</v>
      </c>
      <c r="AD83" s="13">
        <f t="shared" si="21"/>
        <v>16</v>
      </c>
      <c r="AE83" s="13">
        <f t="shared" si="21"/>
        <v>11</v>
      </c>
      <c r="AF83" s="13">
        <f t="shared" si="21"/>
        <v>735</v>
      </c>
    </row>
    <row r="84" ht="12.75" customHeight="1">
      <c r="A84" s="45"/>
      <c r="B84" s="44"/>
      <c r="C84" s="44"/>
      <c r="D84" s="44"/>
      <c r="E84" s="44"/>
    </row>
    <row r="85" ht="12.75" customHeight="1">
      <c r="A85" s="30" t="s">
        <v>37</v>
      </c>
      <c r="B85" s="47" t="s">
        <v>72</v>
      </c>
      <c r="C85" s="48" t="s">
        <v>73</v>
      </c>
      <c r="D85" s="16"/>
      <c r="E85" s="19">
        <v>1.0</v>
      </c>
      <c r="F85" s="19">
        <v>0.0</v>
      </c>
      <c r="G85" s="19">
        <v>0.0</v>
      </c>
      <c r="H85" s="19">
        <v>0.0</v>
      </c>
      <c r="I85" s="19">
        <v>4.0</v>
      </c>
      <c r="J85" s="19">
        <v>0.0</v>
      </c>
      <c r="K85" s="19">
        <v>0.0</v>
      </c>
      <c r="L85" s="19">
        <v>1.0</v>
      </c>
      <c r="M85" s="19">
        <v>0.0</v>
      </c>
      <c r="N85" s="19">
        <v>0.0</v>
      </c>
      <c r="O85" s="19">
        <v>2.0</v>
      </c>
      <c r="P85" s="19">
        <v>1.0</v>
      </c>
      <c r="Q85" s="19">
        <v>2.0</v>
      </c>
      <c r="R85" s="19">
        <v>1.0</v>
      </c>
      <c r="S85" s="19">
        <v>2.0</v>
      </c>
      <c r="T85" s="19">
        <v>0.0</v>
      </c>
      <c r="U85" s="19">
        <v>1.0</v>
      </c>
      <c r="V85" s="19">
        <v>0.0</v>
      </c>
      <c r="W85" s="19">
        <v>1.0</v>
      </c>
      <c r="X85" s="19">
        <v>0.0</v>
      </c>
      <c r="Y85" s="19">
        <v>0.0</v>
      </c>
      <c r="Z85" s="19">
        <v>6.0</v>
      </c>
      <c r="AA85" s="19">
        <v>5.0</v>
      </c>
      <c r="AB85" s="19">
        <v>2.0</v>
      </c>
      <c r="AC85" s="19">
        <v>1.0</v>
      </c>
      <c r="AD85" s="19">
        <v>0.0</v>
      </c>
      <c r="AE85" s="19">
        <v>0.0</v>
      </c>
      <c r="AF85" s="13">
        <f t="shared" ref="AF85:AF92" si="22">SUM(E85:AE85)</f>
        <v>30</v>
      </c>
    </row>
    <row r="86" ht="12.75" customHeight="1">
      <c r="A86" s="30" t="s">
        <v>39</v>
      </c>
      <c r="B86" s="55">
        <v>1.0</v>
      </c>
      <c r="C86" s="50" t="s">
        <v>74</v>
      </c>
      <c r="D86" s="57"/>
      <c r="E86" s="19">
        <v>0.0</v>
      </c>
      <c r="F86" s="19">
        <v>1.0</v>
      </c>
      <c r="G86" s="19">
        <v>0.0</v>
      </c>
      <c r="H86" s="19">
        <v>0.0</v>
      </c>
      <c r="I86" s="19">
        <v>0.0</v>
      </c>
      <c r="J86" s="19">
        <v>0.0</v>
      </c>
      <c r="K86" s="19">
        <v>1.0</v>
      </c>
      <c r="L86" s="19">
        <v>2.0</v>
      </c>
      <c r="M86" s="19">
        <v>2.0</v>
      </c>
      <c r="N86" s="19">
        <v>0.0</v>
      </c>
      <c r="O86" s="19">
        <v>2.0</v>
      </c>
      <c r="P86" s="19">
        <v>3.0</v>
      </c>
      <c r="Q86" s="19">
        <v>1.0</v>
      </c>
      <c r="R86" s="19">
        <v>10.0</v>
      </c>
      <c r="S86" s="19">
        <v>0.0</v>
      </c>
      <c r="T86" s="19">
        <v>1.0</v>
      </c>
      <c r="U86" s="19">
        <v>1.0</v>
      </c>
      <c r="V86" s="19">
        <v>2.0</v>
      </c>
      <c r="W86" s="19">
        <v>0.0</v>
      </c>
      <c r="X86" s="19">
        <v>0.0</v>
      </c>
      <c r="Y86" s="19">
        <v>1.0</v>
      </c>
      <c r="Z86" s="19">
        <v>22.0</v>
      </c>
      <c r="AA86" s="19">
        <v>11.0</v>
      </c>
      <c r="AB86" s="19">
        <v>3.0</v>
      </c>
      <c r="AC86" s="19">
        <v>2.0</v>
      </c>
      <c r="AD86" s="19">
        <v>1.0</v>
      </c>
      <c r="AE86" s="19">
        <v>0.0</v>
      </c>
      <c r="AF86" s="13">
        <f t="shared" si="22"/>
        <v>66</v>
      </c>
    </row>
    <row r="87" ht="12.75" customHeight="1">
      <c r="A87" s="18"/>
      <c r="B87" s="55">
        <v>2.0</v>
      </c>
      <c r="C87" s="50" t="s">
        <v>75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11.0</v>
      </c>
      <c r="L87" s="19">
        <v>3.0</v>
      </c>
      <c r="M87" s="19">
        <v>1.0</v>
      </c>
      <c r="N87" s="19">
        <v>0.0</v>
      </c>
      <c r="O87" s="19">
        <v>7.0</v>
      </c>
      <c r="P87" s="19">
        <v>0.0</v>
      </c>
      <c r="Q87" s="19">
        <v>0.0</v>
      </c>
      <c r="R87" s="19">
        <v>0.0</v>
      </c>
      <c r="S87" s="19">
        <v>4.0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2.0</v>
      </c>
      <c r="AA87" s="19">
        <v>11.0</v>
      </c>
      <c r="AB87" s="19">
        <v>40.0</v>
      </c>
      <c r="AC87" s="19">
        <v>19.0</v>
      </c>
      <c r="AD87" s="19">
        <v>1.0</v>
      </c>
      <c r="AE87" s="19">
        <v>0.0</v>
      </c>
      <c r="AF87" s="13">
        <f t="shared" si="22"/>
        <v>99</v>
      </c>
    </row>
    <row r="88" ht="12.75" customHeight="1">
      <c r="A88" s="18"/>
      <c r="B88" s="55">
        <v>3.0</v>
      </c>
      <c r="C88" s="50" t="s">
        <v>76</v>
      </c>
      <c r="D88" s="57"/>
      <c r="E88" s="19">
        <v>0.0</v>
      </c>
      <c r="F88" s="19">
        <v>1.0</v>
      </c>
      <c r="G88" s="19">
        <v>1.0</v>
      </c>
      <c r="H88" s="19">
        <v>0.0</v>
      </c>
      <c r="I88" s="19">
        <v>0.0</v>
      </c>
      <c r="J88" s="19">
        <v>0.0</v>
      </c>
      <c r="K88" s="19">
        <v>0.0</v>
      </c>
      <c r="L88" s="19">
        <v>1.0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2.0</v>
      </c>
      <c r="AB88" s="19">
        <v>0.0</v>
      </c>
      <c r="AC88" s="19">
        <v>1.0</v>
      </c>
      <c r="AD88" s="19">
        <v>0.0</v>
      </c>
      <c r="AE88" s="19">
        <v>0.0</v>
      </c>
      <c r="AF88" s="13">
        <f t="shared" si="22"/>
        <v>6</v>
      </c>
    </row>
    <row r="89" ht="12.75" customHeight="1">
      <c r="A89" s="18"/>
      <c r="B89" s="55">
        <v>4.0</v>
      </c>
      <c r="C89" s="50" t="s">
        <v>77</v>
      </c>
      <c r="D89" s="57"/>
      <c r="E89" s="19">
        <v>0.0</v>
      </c>
      <c r="F89" s="19">
        <v>0.0</v>
      </c>
      <c r="G89" s="19">
        <v>0.0</v>
      </c>
      <c r="H89" s="19">
        <v>0.0</v>
      </c>
      <c r="I89" s="19">
        <v>0.0</v>
      </c>
      <c r="J89" s="19">
        <v>1.0</v>
      </c>
      <c r="K89" s="19">
        <v>1.0</v>
      </c>
      <c r="L89" s="19">
        <v>0.0</v>
      </c>
      <c r="M89" s="19">
        <v>1.0</v>
      </c>
      <c r="N89" s="19">
        <v>0.0</v>
      </c>
      <c r="O89" s="19">
        <v>0.0</v>
      </c>
      <c r="P89" s="19">
        <v>0.0</v>
      </c>
      <c r="Q89" s="19">
        <v>1.0</v>
      </c>
      <c r="R89" s="19">
        <v>0.0</v>
      </c>
      <c r="S89" s="19">
        <v>3.0</v>
      </c>
      <c r="T89" s="19">
        <v>1.0</v>
      </c>
      <c r="U89" s="19">
        <v>0.0</v>
      </c>
      <c r="V89" s="19">
        <v>1.0</v>
      </c>
      <c r="W89" s="19">
        <v>0.0</v>
      </c>
      <c r="X89" s="19">
        <v>0.0</v>
      </c>
      <c r="Y89" s="19">
        <v>0.0</v>
      </c>
      <c r="Z89" s="19">
        <v>0.0</v>
      </c>
      <c r="AA89" s="19">
        <v>1.0</v>
      </c>
      <c r="AB89" s="19">
        <v>1.0</v>
      </c>
      <c r="AC89" s="19">
        <v>0.0</v>
      </c>
      <c r="AD89" s="19">
        <v>0.0</v>
      </c>
      <c r="AE89" s="19">
        <v>0.0</v>
      </c>
      <c r="AF89" s="13">
        <f t="shared" si="22"/>
        <v>11</v>
      </c>
    </row>
    <row r="90" ht="12.75" customHeight="1">
      <c r="A90" s="18"/>
      <c r="B90" s="55">
        <v>5.0</v>
      </c>
      <c r="C90" s="50" t="s">
        <v>78</v>
      </c>
      <c r="D90" s="57"/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1.0</v>
      </c>
      <c r="K90" s="19">
        <v>0.0</v>
      </c>
      <c r="L90" s="19">
        <v>0.0</v>
      </c>
      <c r="M90" s="19">
        <v>0.0</v>
      </c>
      <c r="N90" s="19">
        <v>1.0</v>
      </c>
      <c r="O90" s="19">
        <v>3.0</v>
      </c>
      <c r="P90" s="19">
        <v>0.0</v>
      </c>
      <c r="Q90" s="19">
        <v>0.0</v>
      </c>
      <c r="R90" s="19">
        <v>0.0</v>
      </c>
      <c r="S90" s="19">
        <v>0.0</v>
      </c>
      <c r="T90" s="19">
        <v>0.0</v>
      </c>
      <c r="U90" s="19">
        <v>0.0</v>
      </c>
      <c r="V90" s="19">
        <v>1.0</v>
      </c>
      <c r="W90" s="19">
        <v>0.0</v>
      </c>
      <c r="X90" s="19">
        <v>1.0</v>
      </c>
      <c r="Y90" s="19">
        <v>0.0</v>
      </c>
      <c r="Z90" s="19">
        <v>0.0</v>
      </c>
      <c r="AA90" s="19">
        <v>2.0</v>
      </c>
      <c r="AB90" s="19">
        <v>0.0</v>
      </c>
      <c r="AC90" s="19">
        <v>0.0</v>
      </c>
      <c r="AD90" s="19">
        <v>0.0</v>
      </c>
      <c r="AE90" s="19">
        <v>0.0</v>
      </c>
      <c r="AF90" s="13">
        <f t="shared" si="22"/>
        <v>9</v>
      </c>
    </row>
    <row r="91" ht="12.75" customHeight="1">
      <c r="A91" s="18"/>
      <c r="B91" s="55">
        <v>6.0</v>
      </c>
      <c r="C91" s="50" t="s">
        <v>79</v>
      </c>
      <c r="D91" s="57"/>
      <c r="E91" s="19">
        <v>0.0</v>
      </c>
      <c r="F91" s="19">
        <v>0.0</v>
      </c>
      <c r="G91" s="19">
        <v>0.0</v>
      </c>
      <c r="H91" s="19">
        <v>0.0</v>
      </c>
      <c r="I91" s="19">
        <v>0.0</v>
      </c>
      <c r="J91" s="19">
        <v>0.0</v>
      </c>
      <c r="K91" s="19">
        <v>0.0</v>
      </c>
      <c r="L91" s="19">
        <v>0.0</v>
      </c>
      <c r="M91" s="19">
        <v>0.0</v>
      </c>
      <c r="N91" s="19">
        <v>0.0</v>
      </c>
      <c r="O91" s="19">
        <v>0.0</v>
      </c>
      <c r="P91" s="19">
        <v>0.0</v>
      </c>
      <c r="Q91" s="19">
        <v>0.0</v>
      </c>
      <c r="R91" s="19">
        <v>0.0</v>
      </c>
      <c r="S91" s="19">
        <v>0.0</v>
      </c>
      <c r="T91" s="19">
        <v>0.0</v>
      </c>
      <c r="U91" s="19">
        <v>0.0</v>
      </c>
      <c r="V91" s="19">
        <v>0.0</v>
      </c>
      <c r="W91" s="19">
        <v>0.0</v>
      </c>
      <c r="X91" s="19">
        <v>0.0</v>
      </c>
      <c r="Y91" s="19">
        <v>0.0</v>
      </c>
      <c r="Z91" s="19">
        <v>1.0</v>
      </c>
      <c r="AA91" s="19">
        <v>0.0</v>
      </c>
      <c r="AB91" s="19">
        <v>0.0</v>
      </c>
      <c r="AC91" s="19">
        <v>0.0</v>
      </c>
      <c r="AD91" s="19">
        <v>0.0</v>
      </c>
      <c r="AE91" s="19">
        <v>0.0</v>
      </c>
      <c r="AF91" s="13">
        <f t="shared" si="22"/>
        <v>1</v>
      </c>
    </row>
    <row r="92" ht="12.75" customHeight="1">
      <c r="A92" s="18"/>
      <c r="B92" s="55">
        <v>7.0</v>
      </c>
      <c r="C92" s="50" t="s">
        <v>80</v>
      </c>
      <c r="D92" s="57"/>
      <c r="E92" s="19">
        <v>0.0</v>
      </c>
      <c r="F92" s="19">
        <v>0.0</v>
      </c>
      <c r="G92" s="19">
        <v>0.0</v>
      </c>
      <c r="H92" s="19">
        <v>0.0</v>
      </c>
      <c r="I92" s="19">
        <v>0.0</v>
      </c>
      <c r="J92" s="19">
        <v>0.0</v>
      </c>
      <c r="K92" s="19">
        <v>0.0</v>
      </c>
      <c r="L92" s="19">
        <v>0.0</v>
      </c>
      <c r="M92" s="19">
        <v>0.0</v>
      </c>
      <c r="N92" s="19">
        <v>0.0</v>
      </c>
      <c r="O92" s="19">
        <v>0.0</v>
      </c>
      <c r="P92" s="19">
        <v>0.0</v>
      </c>
      <c r="Q92" s="19">
        <v>0.0</v>
      </c>
      <c r="R92" s="19">
        <v>1.0</v>
      </c>
      <c r="S92" s="19">
        <v>0.0</v>
      </c>
      <c r="T92" s="19">
        <v>0.0</v>
      </c>
      <c r="U92" s="19">
        <v>0.0</v>
      </c>
      <c r="V92" s="19">
        <v>0.0</v>
      </c>
      <c r="W92" s="19">
        <v>0.0</v>
      </c>
      <c r="X92" s="19">
        <v>0.0</v>
      </c>
      <c r="Y92" s="19">
        <v>0.0</v>
      </c>
      <c r="Z92" s="19">
        <v>0.0</v>
      </c>
      <c r="AA92" s="19">
        <v>0.0</v>
      </c>
      <c r="AB92" s="19">
        <v>0.0</v>
      </c>
      <c r="AC92" s="19">
        <v>0.0</v>
      </c>
      <c r="AD92" s="19">
        <v>0.0</v>
      </c>
      <c r="AE92" s="19">
        <v>0.0</v>
      </c>
      <c r="AF92" s="13">
        <f t="shared" si="22"/>
        <v>1</v>
      </c>
    </row>
    <row r="93" ht="12.75" customHeight="1">
      <c r="A93" s="19" t="s">
        <v>15</v>
      </c>
      <c r="B93" s="47" t="s">
        <v>47</v>
      </c>
      <c r="C93" s="15"/>
      <c r="D93" s="16"/>
      <c r="E93" s="13">
        <f t="shared" ref="E93:AF93" si="23">SUM(E85:E92)</f>
        <v>1</v>
      </c>
      <c r="F93" s="13">
        <f t="shared" si="23"/>
        <v>2</v>
      </c>
      <c r="G93" s="13">
        <f t="shared" si="23"/>
        <v>1</v>
      </c>
      <c r="H93" s="13">
        <f t="shared" si="23"/>
        <v>0</v>
      </c>
      <c r="I93" s="13">
        <f t="shared" si="23"/>
        <v>4</v>
      </c>
      <c r="J93" s="13">
        <f t="shared" si="23"/>
        <v>2</v>
      </c>
      <c r="K93" s="13">
        <f t="shared" si="23"/>
        <v>13</v>
      </c>
      <c r="L93" s="13">
        <f t="shared" si="23"/>
        <v>7</v>
      </c>
      <c r="M93" s="13">
        <f t="shared" si="23"/>
        <v>4</v>
      </c>
      <c r="N93" s="13">
        <f t="shared" si="23"/>
        <v>1</v>
      </c>
      <c r="O93" s="13">
        <f t="shared" si="23"/>
        <v>14</v>
      </c>
      <c r="P93" s="13">
        <f t="shared" si="23"/>
        <v>4</v>
      </c>
      <c r="Q93" s="13">
        <f t="shared" si="23"/>
        <v>4</v>
      </c>
      <c r="R93" s="13">
        <f t="shared" si="23"/>
        <v>12</v>
      </c>
      <c r="S93" s="13">
        <f t="shared" si="23"/>
        <v>9</v>
      </c>
      <c r="T93" s="13">
        <f t="shared" si="23"/>
        <v>2</v>
      </c>
      <c r="U93" s="13">
        <f t="shared" si="23"/>
        <v>2</v>
      </c>
      <c r="V93" s="13">
        <f t="shared" si="23"/>
        <v>4</v>
      </c>
      <c r="W93" s="13">
        <f t="shared" si="23"/>
        <v>1</v>
      </c>
      <c r="X93" s="13">
        <f t="shared" si="23"/>
        <v>1</v>
      </c>
      <c r="Y93" s="13">
        <f t="shared" si="23"/>
        <v>1</v>
      </c>
      <c r="Z93" s="13">
        <f t="shared" si="23"/>
        <v>31</v>
      </c>
      <c r="AA93" s="13">
        <f t="shared" si="23"/>
        <v>32</v>
      </c>
      <c r="AB93" s="13">
        <f t="shared" si="23"/>
        <v>46</v>
      </c>
      <c r="AC93" s="13">
        <f t="shared" si="23"/>
        <v>23</v>
      </c>
      <c r="AD93" s="13">
        <f t="shared" si="23"/>
        <v>2</v>
      </c>
      <c r="AE93" s="13">
        <f t="shared" si="23"/>
        <v>0</v>
      </c>
      <c r="AF93" s="13">
        <f t="shared" si="23"/>
        <v>223</v>
      </c>
    </row>
    <row r="94" ht="12.75" customHeight="1">
      <c r="A94" s="45"/>
      <c r="B94" s="44"/>
      <c r="C94" s="44"/>
      <c r="D94" s="44"/>
      <c r="E94" s="44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</row>
    <row r="95" ht="12.75" customHeight="1">
      <c r="A95" s="30" t="s">
        <v>37</v>
      </c>
      <c r="B95" s="47" t="s">
        <v>81</v>
      </c>
      <c r="C95" s="48" t="s">
        <v>82</v>
      </c>
      <c r="D95" s="16"/>
      <c r="E95" s="19">
        <v>1.0</v>
      </c>
      <c r="F95" s="19">
        <v>0.0</v>
      </c>
      <c r="G95" s="19">
        <v>0.0</v>
      </c>
      <c r="H95" s="19">
        <v>1.0</v>
      </c>
      <c r="I95" s="19">
        <v>0.0</v>
      </c>
      <c r="J95" s="19">
        <v>0.0</v>
      </c>
      <c r="K95" s="19">
        <v>1.0</v>
      </c>
      <c r="L95" s="19">
        <v>0.0</v>
      </c>
      <c r="M95" s="19">
        <v>0.0</v>
      </c>
      <c r="N95" s="19">
        <v>0.0</v>
      </c>
      <c r="O95" s="19">
        <v>0.0</v>
      </c>
      <c r="P95" s="19">
        <v>1.0</v>
      </c>
      <c r="Q95" s="19">
        <v>0.0</v>
      </c>
      <c r="R95" s="19">
        <v>1.0</v>
      </c>
      <c r="S95" s="19">
        <v>0.0</v>
      </c>
      <c r="T95" s="19">
        <v>1.0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1.0</v>
      </c>
      <c r="AC95" s="19">
        <v>0.0</v>
      </c>
      <c r="AD95" s="19">
        <v>1.0</v>
      </c>
      <c r="AE95" s="19">
        <v>0.0</v>
      </c>
      <c r="AF95" s="13">
        <f t="shared" ref="AF95:AF102" si="24">SUM(E95:AE95)</f>
        <v>8</v>
      </c>
    </row>
    <row r="96" ht="12.75" customHeight="1">
      <c r="A96" s="30" t="s">
        <v>39</v>
      </c>
      <c r="B96" s="55">
        <v>1.0</v>
      </c>
      <c r="C96" s="50" t="s">
        <v>83</v>
      </c>
      <c r="D96" s="57"/>
      <c r="E96" s="19">
        <v>0.0</v>
      </c>
      <c r="F96" s="19">
        <v>1.0</v>
      </c>
      <c r="G96" s="19">
        <v>2.0</v>
      </c>
      <c r="H96" s="19">
        <v>0.0</v>
      </c>
      <c r="I96" s="19">
        <v>0.0</v>
      </c>
      <c r="J96" s="19">
        <v>0.0</v>
      </c>
      <c r="K96" s="19">
        <v>0.0</v>
      </c>
      <c r="L96" s="19">
        <v>1.0</v>
      </c>
      <c r="M96" s="19">
        <v>1.0</v>
      </c>
      <c r="N96" s="19">
        <v>0.0</v>
      </c>
      <c r="O96" s="19">
        <v>4.0</v>
      </c>
      <c r="P96" s="19">
        <v>1.0</v>
      </c>
      <c r="Q96" s="19">
        <v>0.0</v>
      </c>
      <c r="R96" s="19">
        <v>0.0</v>
      </c>
      <c r="S96" s="19">
        <v>1.0</v>
      </c>
      <c r="T96" s="19">
        <v>0.0</v>
      </c>
      <c r="U96" s="19">
        <v>0.0</v>
      </c>
      <c r="V96" s="19">
        <v>1.0</v>
      </c>
      <c r="W96" s="19">
        <v>0.0</v>
      </c>
      <c r="X96" s="19">
        <v>0.0</v>
      </c>
      <c r="Y96" s="19">
        <v>0.0</v>
      </c>
      <c r="Z96" s="19">
        <v>0.0</v>
      </c>
      <c r="AA96" s="19">
        <v>1.0</v>
      </c>
      <c r="AB96" s="19">
        <v>1.0</v>
      </c>
      <c r="AC96" s="19">
        <v>1.0</v>
      </c>
      <c r="AD96" s="19">
        <v>0.0</v>
      </c>
      <c r="AE96" s="19">
        <v>0.0</v>
      </c>
      <c r="AF96" s="13">
        <f t="shared" si="24"/>
        <v>15</v>
      </c>
    </row>
    <row r="97" ht="12.75" customHeight="1">
      <c r="A97" s="18"/>
      <c r="B97" s="55">
        <v>2.0</v>
      </c>
      <c r="C97" s="50" t="s">
        <v>84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1.0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2.0</v>
      </c>
      <c r="T97" s="19">
        <v>0.0</v>
      </c>
      <c r="U97" s="19">
        <v>1.0</v>
      </c>
      <c r="V97" s="19">
        <v>0.0</v>
      </c>
      <c r="W97" s="19">
        <v>0.0</v>
      </c>
      <c r="X97" s="19">
        <v>0.0</v>
      </c>
      <c r="Y97" s="19">
        <v>0.0</v>
      </c>
      <c r="Z97" s="19">
        <v>0.0</v>
      </c>
      <c r="AA97" s="19">
        <v>2.0</v>
      </c>
      <c r="AB97" s="19">
        <v>1.0</v>
      </c>
      <c r="AC97" s="19">
        <v>0.0</v>
      </c>
      <c r="AD97" s="19">
        <v>0.0</v>
      </c>
      <c r="AE97" s="19">
        <v>0.0</v>
      </c>
      <c r="AF97" s="13">
        <f t="shared" si="24"/>
        <v>7</v>
      </c>
    </row>
    <row r="98" ht="12.75" customHeight="1">
      <c r="A98" s="18"/>
      <c r="B98" s="55">
        <v>3.0</v>
      </c>
      <c r="C98" s="50" t="s">
        <v>85</v>
      </c>
      <c r="D98" s="57"/>
      <c r="E98" s="73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  <c r="AC98" s="19">
        <v>0.0</v>
      </c>
      <c r="AD98" s="19">
        <v>0.0</v>
      </c>
      <c r="AE98" s="19">
        <v>0.0</v>
      </c>
      <c r="AF98" s="13">
        <f t="shared" si="24"/>
        <v>1</v>
      </c>
    </row>
    <row r="99" ht="12.75" customHeight="1">
      <c r="A99" s="18"/>
      <c r="B99" s="55">
        <v>4.0</v>
      </c>
      <c r="C99" s="50" t="s">
        <v>86</v>
      </c>
      <c r="D99" s="57"/>
      <c r="E99" s="73">
        <v>0.0</v>
      </c>
      <c r="F99" s="19">
        <v>0.0</v>
      </c>
      <c r="G99" s="19">
        <v>0.0</v>
      </c>
      <c r="H99" s="19">
        <v>1.0</v>
      </c>
      <c r="I99" s="19">
        <v>1.0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1.0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1.0</v>
      </c>
      <c r="AB99" s="19">
        <v>0.0</v>
      </c>
      <c r="AC99" s="19">
        <v>0.0</v>
      </c>
      <c r="AD99" s="19">
        <v>0.0</v>
      </c>
      <c r="AE99" s="19">
        <v>0.0</v>
      </c>
      <c r="AF99" s="13">
        <f t="shared" si="24"/>
        <v>4</v>
      </c>
    </row>
    <row r="100" ht="12.75" customHeight="1">
      <c r="A100" s="18"/>
      <c r="B100" s="55">
        <v>5.0</v>
      </c>
      <c r="C100" s="50" t="s">
        <v>87</v>
      </c>
      <c r="D100" s="57"/>
      <c r="E100" s="73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9">
        <v>0.0</v>
      </c>
      <c r="AE100" s="19">
        <v>0.0</v>
      </c>
      <c r="AF100" s="13">
        <f t="shared" si="24"/>
        <v>0</v>
      </c>
    </row>
    <row r="101" ht="12.75" customHeight="1">
      <c r="A101" s="18"/>
      <c r="B101" s="55">
        <v>6.0</v>
      </c>
      <c r="C101" s="50" t="s">
        <v>88</v>
      </c>
      <c r="D101" s="57"/>
      <c r="E101" s="73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1.0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9">
        <v>0.0</v>
      </c>
      <c r="Y101" s="19">
        <v>0.0</v>
      </c>
      <c r="Z101" s="19">
        <v>0.0</v>
      </c>
      <c r="AA101" s="19">
        <v>0.0</v>
      </c>
      <c r="AB101" s="19">
        <v>0.0</v>
      </c>
      <c r="AC101" s="19">
        <v>0.0</v>
      </c>
      <c r="AD101" s="19">
        <v>0.0</v>
      </c>
      <c r="AE101" s="19">
        <v>0.0</v>
      </c>
      <c r="AF101" s="13">
        <f t="shared" si="24"/>
        <v>1</v>
      </c>
    </row>
    <row r="102" ht="12.75" customHeight="1">
      <c r="A102" s="18"/>
      <c r="B102" s="55">
        <v>7.0</v>
      </c>
      <c r="C102" s="50" t="s">
        <v>89</v>
      </c>
      <c r="D102" s="57"/>
      <c r="E102" s="73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1.0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0.0</v>
      </c>
      <c r="V102" s="19">
        <v>0.0</v>
      </c>
      <c r="W102" s="19">
        <v>0.0</v>
      </c>
      <c r="X102" s="19">
        <v>0.0</v>
      </c>
      <c r="Y102" s="19">
        <v>0.0</v>
      </c>
      <c r="Z102" s="19">
        <v>0.0</v>
      </c>
      <c r="AA102" s="19">
        <v>0.0</v>
      </c>
      <c r="AB102" s="19">
        <v>0.0</v>
      </c>
      <c r="AC102" s="19">
        <v>0.0</v>
      </c>
      <c r="AD102" s="19">
        <v>0.0</v>
      </c>
      <c r="AE102" s="19">
        <v>0.0</v>
      </c>
      <c r="AF102" s="13">
        <f t="shared" si="24"/>
        <v>1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F103" si="25">SUM(E95:E102)</f>
        <v>1</v>
      </c>
      <c r="F103" s="13">
        <f t="shared" si="25"/>
        <v>1</v>
      </c>
      <c r="G103" s="13">
        <f t="shared" si="25"/>
        <v>2</v>
      </c>
      <c r="H103" s="13">
        <f t="shared" si="25"/>
        <v>2</v>
      </c>
      <c r="I103" s="13">
        <f t="shared" si="25"/>
        <v>1</v>
      </c>
      <c r="J103" s="13">
        <f t="shared" si="25"/>
        <v>1</v>
      </c>
      <c r="K103" s="13">
        <f t="shared" si="25"/>
        <v>3</v>
      </c>
      <c r="L103" s="13">
        <f t="shared" si="25"/>
        <v>1</v>
      </c>
      <c r="M103" s="13">
        <f t="shared" si="25"/>
        <v>1</v>
      </c>
      <c r="N103" s="13">
        <f t="shared" si="25"/>
        <v>0</v>
      </c>
      <c r="O103" s="13">
        <f t="shared" si="25"/>
        <v>4</v>
      </c>
      <c r="P103" s="13">
        <f t="shared" si="25"/>
        <v>2</v>
      </c>
      <c r="Q103" s="13">
        <f t="shared" si="25"/>
        <v>0</v>
      </c>
      <c r="R103" s="13">
        <f t="shared" si="25"/>
        <v>2</v>
      </c>
      <c r="S103" s="13">
        <f t="shared" si="25"/>
        <v>3</v>
      </c>
      <c r="T103" s="13">
        <f t="shared" si="25"/>
        <v>2</v>
      </c>
      <c r="U103" s="13">
        <f t="shared" si="25"/>
        <v>1</v>
      </c>
      <c r="V103" s="13">
        <f t="shared" si="25"/>
        <v>1</v>
      </c>
      <c r="W103" s="13">
        <f t="shared" si="25"/>
        <v>0</v>
      </c>
      <c r="X103" s="13">
        <f t="shared" si="25"/>
        <v>0</v>
      </c>
      <c r="Y103" s="13">
        <f t="shared" si="25"/>
        <v>0</v>
      </c>
      <c r="Z103" s="13">
        <f t="shared" si="25"/>
        <v>0</v>
      </c>
      <c r="AA103" s="13">
        <f t="shared" si="25"/>
        <v>4</v>
      </c>
      <c r="AB103" s="13">
        <f t="shared" si="25"/>
        <v>3</v>
      </c>
      <c r="AC103" s="13">
        <f t="shared" si="25"/>
        <v>1</v>
      </c>
      <c r="AD103" s="13">
        <f t="shared" si="25"/>
        <v>1</v>
      </c>
      <c r="AE103" s="13">
        <f t="shared" si="25"/>
        <v>0</v>
      </c>
      <c r="AF103" s="13">
        <f t="shared" si="25"/>
        <v>37</v>
      </c>
    </row>
    <row r="104" ht="12.75" customHeight="1">
      <c r="A104" s="24"/>
      <c r="B104" s="15"/>
      <c r="C104" s="15"/>
      <c r="D104" s="15"/>
      <c r="E104" s="16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13"/>
    </row>
    <row r="105" ht="12.75" customHeight="1">
      <c r="A105" s="30" t="s">
        <v>37</v>
      </c>
      <c r="B105" s="47" t="s">
        <v>90</v>
      </c>
      <c r="C105" s="48" t="s">
        <v>91</v>
      </c>
      <c r="D105" s="16"/>
      <c r="E105" s="19">
        <v>0.0</v>
      </c>
      <c r="F105" s="19">
        <v>0.0</v>
      </c>
      <c r="G105" s="19">
        <v>1.0</v>
      </c>
      <c r="H105" s="19">
        <v>2.0</v>
      </c>
      <c r="I105" s="19">
        <v>0.0</v>
      </c>
      <c r="J105" s="19">
        <v>0.0</v>
      </c>
      <c r="K105" s="19">
        <v>1.0</v>
      </c>
      <c r="L105" s="19">
        <v>1.0</v>
      </c>
      <c r="M105" s="19">
        <v>5.0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1.0</v>
      </c>
      <c r="V105" s="19">
        <v>1.0</v>
      </c>
      <c r="W105" s="19">
        <v>0.0</v>
      </c>
      <c r="X105" s="19">
        <v>0.0</v>
      </c>
      <c r="Y105" s="19">
        <v>0.0</v>
      </c>
      <c r="Z105" s="19">
        <v>1.0</v>
      </c>
      <c r="AA105" s="19">
        <v>1.0</v>
      </c>
      <c r="AB105" s="19">
        <v>0.0</v>
      </c>
      <c r="AC105" s="19">
        <v>0.0</v>
      </c>
      <c r="AD105" s="19">
        <v>1.0</v>
      </c>
      <c r="AE105" s="19">
        <v>1.0</v>
      </c>
      <c r="AF105" s="13">
        <f t="shared" ref="AF105:AF108" si="26">SUM(E105:AE105)</f>
        <v>16</v>
      </c>
    </row>
    <row r="106" ht="12.75" customHeight="1">
      <c r="A106" s="30" t="s">
        <v>39</v>
      </c>
      <c r="B106" s="55">
        <v>1.0</v>
      </c>
      <c r="C106" s="50" t="s">
        <v>92</v>
      </c>
      <c r="D106" s="57"/>
      <c r="E106" s="19">
        <v>0.0</v>
      </c>
      <c r="F106" s="19">
        <v>0.0</v>
      </c>
      <c r="G106" s="19">
        <v>2.0</v>
      </c>
      <c r="H106" s="19">
        <v>1.0</v>
      </c>
      <c r="I106" s="19">
        <v>0.0</v>
      </c>
      <c r="J106" s="19">
        <v>0.0</v>
      </c>
      <c r="K106" s="19">
        <v>0.0</v>
      </c>
      <c r="L106" s="19">
        <v>2.0</v>
      </c>
      <c r="M106" s="19">
        <v>0.0</v>
      </c>
      <c r="N106" s="19">
        <v>1.0</v>
      </c>
      <c r="O106" s="19">
        <v>3.0</v>
      </c>
      <c r="P106" s="19">
        <v>0.0</v>
      </c>
      <c r="Q106" s="19">
        <v>0.0</v>
      </c>
      <c r="R106" s="19">
        <v>1.0</v>
      </c>
      <c r="S106" s="19">
        <v>0.0</v>
      </c>
      <c r="T106" s="19">
        <v>3.0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0.0</v>
      </c>
      <c r="AA106" s="19">
        <v>1.0</v>
      </c>
      <c r="AB106" s="19">
        <v>0.0</v>
      </c>
      <c r="AC106" s="19">
        <v>0.0</v>
      </c>
      <c r="AD106" s="19">
        <v>0.0</v>
      </c>
      <c r="AE106" s="19">
        <v>0.0</v>
      </c>
      <c r="AF106" s="13">
        <f t="shared" si="26"/>
        <v>14</v>
      </c>
    </row>
    <row r="107" ht="12.75" customHeight="1">
      <c r="A107" s="18"/>
      <c r="B107" s="55">
        <v>2.0</v>
      </c>
      <c r="C107" s="50" t="s">
        <v>93</v>
      </c>
      <c r="D107" s="57"/>
      <c r="E107" s="19">
        <v>1.0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0.0</v>
      </c>
      <c r="N107" s="19">
        <v>1.0</v>
      </c>
      <c r="O107" s="19">
        <v>0.0</v>
      </c>
      <c r="P107" s="19">
        <v>1.0</v>
      </c>
      <c r="Q107" s="19">
        <v>2.0</v>
      </c>
      <c r="R107" s="19">
        <v>0.0</v>
      </c>
      <c r="S107" s="19">
        <v>0.0</v>
      </c>
      <c r="T107" s="19">
        <v>0.0</v>
      </c>
      <c r="U107" s="19">
        <v>0.0</v>
      </c>
      <c r="V107" s="19">
        <v>1.0</v>
      </c>
      <c r="W107" s="19">
        <v>0.0</v>
      </c>
      <c r="X107" s="19">
        <v>0.0</v>
      </c>
      <c r="Y107" s="19">
        <v>0.0</v>
      </c>
      <c r="Z107" s="19">
        <v>1.0</v>
      </c>
      <c r="AA107" s="19">
        <v>0.0</v>
      </c>
      <c r="AB107" s="19">
        <v>1.0</v>
      </c>
      <c r="AC107" s="19">
        <v>0.0</v>
      </c>
      <c r="AD107" s="19">
        <v>0.0</v>
      </c>
      <c r="AE107" s="19">
        <v>0.0</v>
      </c>
      <c r="AF107" s="13">
        <f t="shared" si="26"/>
        <v>9</v>
      </c>
    </row>
    <row r="108" ht="12.75" customHeight="1">
      <c r="A108" s="18"/>
      <c r="B108" s="55">
        <v>3.0</v>
      </c>
      <c r="C108" s="50" t="s">
        <v>94</v>
      </c>
      <c r="D108" s="57"/>
      <c r="E108" s="19">
        <v>0.0</v>
      </c>
      <c r="F108" s="19">
        <v>0.0</v>
      </c>
      <c r="G108" s="19">
        <v>0.0</v>
      </c>
      <c r="H108" s="19">
        <v>1.0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9">
        <v>0.0</v>
      </c>
      <c r="AE108" s="19">
        <v>0.0</v>
      </c>
      <c r="AF108" s="13">
        <f t="shared" si="26"/>
        <v>1</v>
      </c>
    </row>
    <row r="109" ht="12.75" customHeight="1">
      <c r="A109" s="19" t="s">
        <v>15</v>
      </c>
      <c r="B109" s="47" t="s">
        <v>47</v>
      </c>
      <c r="C109" s="15"/>
      <c r="D109" s="16"/>
      <c r="E109" s="13">
        <f t="shared" ref="E109:AF109" si="27">SUM(E105:E108)</f>
        <v>1</v>
      </c>
      <c r="F109" s="13">
        <f t="shared" si="27"/>
        <v>0</v>
      </c>
      <c r="G109" s="13">
        <f t="shared" si="27"/>
        <v>3</v>
      </c>
      <c r="H109" s="13">
        <f t="shared" si="27"/>
        <v>4</v>
      </c>
      <c r="I109" s="13">
        <f t="shared" si="27"/>
        <v>0</v>
      </c>
      <c r="J109" s="13">
        <f t="shared" si="27"/>
        <v>0</v>
      </c>
      <c r="K109" s="13">
        <f t="shared" si="27"/>
        <v>2</v>
      </c>
      <c r="L109" s="13">
        <f t="shared" si="27"/>
        <v>3</v>
      </c>
      <c r="M109" s="13">
        <f t="shared" si="27"/>
        <v>5</v>
      </c>
      <c r="N109" s="13">
        <f t="shared" si="27"/>
        <v>2</v>
      </c>
      <c r="O109" s="13">
        <f t="shared" si="27"/>
        <v>3</v>
      </c>
      <c r="P109" s="13">
        <f t="shared" si="27"/>
        <v>1</v>
      </c>
      <c r="Q109" s="13">
        <f t="shared" si="27"/>
        <v>2</v>
      </c>
      <c r="R109" s="13">
        <f t="shared" si="27"/>
        <v>1</v>
      </c>
      <c r="S109" s="13">
        <f t="shared" si="27"/>
        <v>0</v>
      </c>
      <c r="T109" s="13">
        <f t="shared" si="27"/>
        <v>3</v>
      </c>
      <c r="U109" s="13">
        <f t="shared" si="27"/>
        <v>1</v>
      </c>
      <c r="V109" s="13">
        <f t="shared" si="27"/>
        <v>2</v>
      </c>
      <c r="W109" s="13">
        <f t="shared" si="27"/>
        <v>0</v>
      </c>
      <c r="X109" s="13">
        <f t="shared" si="27"/>
        <v>0</v>
      </c>
      <c r="Y109" s="13">
        <f t="shared" si="27"/>
        <v>0</v>
      </c>
      <c r="Z109" s="13">
        <f t="shared" si="27"/>
        <v>2</v>
      </c>
      <c r="AA109" s="13">
        <f t="shared" si="27"/>
        <v>2</v>
      </c>
      <c r="AB109" s="13">
        <f t="shared" si="27"/>
        <v>1</v>
      </c>
      <c r="AC109" s="13">
        <f t="shared" si="27"/>
        <v>0</v>
      </c>
      <c r="AD109" s="13">
        <f t="shared" si="27"/>
        <v>1</v>
      </c>
      <c r="AE109" s="13">
        <f t="shared" si="27"/>
        <v>1</v>
      </c>
      <c r="AF109" s="13">
        <f t="shared" si="27"/>
        <v>40</v>
      </c>
    </row>
    <row r="110" ht="12.75" customHeight="1">
      <c r="A110" s="24"/>
      <c r="B110" s="15"/>
      <c r="C110" s="15"/>
      <c r="D110" s="15"/>
      <c r="E110" s="16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</row>
    <row r="111" ht="12.75" customHeight="1">
      <c r="A111" s="30" t="s">
        <v>37</v>
      </c>
      <c r="B111" s="47" t="s">
        <v>95</v>
      </c>
      <c r="C111" s="48" t="s">
        <v>96</v>
      </c>
      <c r="D111" s="16"/>
      <c r="E111" s="19">
        <v>0.0</v>
      </c>
      <c r="F111" s="19">
        <v>0.0</v>
      </c>
      <c r="G111" s="19">
        <v>1.0</v>
      </c>
      <c r="H111" s="19">
        <v>1.0</v>
      </c>
      <c r="I111" s="19">
        <v>1.0</v>
      </c>
      <c r="J111" s="19">
        <v>0.0</v>
      </c>
      <c r="K111" s="19">
        <v>0.0</v>
      </c>
      <c r="L111" s="19">
        <v>0.0</v>
      </c>
      <c r="M111" s="19">
        <v>0.0</v>
      </c>
      <c r="N111" s="19">
        <v>1.0</v>
      </c>
      <c r="O111" s="19">
        <v>1.0</v>
      </c>
      <c r="P111" s="19">
        <v>0.0</v>
      </c>
      <c r="Q111" s="19">
        <v>0.0</v>
      </c>
      <c r="R111" s="19">
        <v>0.0</v>
      </c>
      <c r="S111" s="19">
        <v>0.0</v>
      </c>
      <c r="T111" s="19">
        <v>1.0</v>
      </c>
      <c r="U111" s="19">
        <v>0.0</v>
      </c>
      <c r="V111" s="19">
        <v>1.0</v>
      </c>
      <c r="W111" s="19">
        <v>0.0</v>
      </c>
      <c r="X111" s="19">
        <v>0.0</v>
      </c>
      <c r="Y111" s="19">
        <v>0.0</v>
      </c>
      <c r="Z111" s="19">
        <v>1.0</v>
      </c>
      <c r="AA111" s="19">
        <v>0.0</v>
      </c>
      <c r="AB111" s="19">
        <v>0.0</v>
      </c>
      <c r="AC111" s="19">
        <v>0.0</v>
      </c>
      <c r="AD111" s="19">
        <v>0.0</v>
      </c>
      <c r="AE111" s="19">
        <v>0.0</v>
      </c>
      <c r="AF111" s="13">
        <f t="shared" ref="AF111:AF118" si="28">SUM(E111:AE111)</f>
        <v>8</v>
      </c>
    </row>
    <row r="112" ht="12.75" customHeight="1">
      <c r="A112" s="30" t="s">
        <v>39</v>
      </c>
      <c r="B112" s="55">
        <v>1.0</v>
      </c>
      <c r="C112" s="50" t="s">
        <v>97</v>
      </c>
      <c r="D112" s="56"/>
      <c r="E112" s="19">
        <v>0.0</v>
      </c>
      <c r="F112" s="19">
        <v>0.0</v>
      </c>
      <c r="G112" s="19">
        <v>1.0</v>
      </c>
      <c r="H112" s="19">
        <v>2.0</v>
      </c>
      <c r="I112" s="19">
        <v>0.0</v>
      </c>
      <c r="J112" s="19">
        <v>1.0</v>
      </c>
      <c r="K112" s="19">
        <v>0.0</v>
      </c>
      <c r="L112" s="19">
        <v>0.0</v>
      </c>
      <c r="M112" s="19">
        <v>0.0</v>
      </c>
      <c r="N112" s="19">
        <v>2.0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2.0</v>
      </c>
      <c r="W112" s="19">
        <v>1.0</v>
      </c>
      <c r="X112" s="19">
        <v>1.0</v>
      </c>
      <c r="Y112" s="19">
        <v>11.0</v>
      </c>
      <c r="Z112" s="19">
        <v>6.0</v>
      </c>
      <c r="AA112" s="19">
        <v>0.0</v>
      </c>
      <c r="AB112" s="19">
        <v>0.0</v>
      </c>
      <c r="AC112" s="19">
        <v>0.0</v>
      </c>
      <c r="AD112" s="19">
        <v>0.0</v>
      </c>
      <c r="AE112" s="19">
        <v>0.0</v>
      </c>
      <c r="AF112" s="13">
        <f t="shared" si="28"/>
        <v>27</v>
      </c>
    </row>
    <row r="113" ht="12.75" customHeight="1">
      <c r="A113" s="18"/>
      <c r="B113" s="55">
        <v>2.0</v>
      </c>
      <c r="C113" s="50" t="s">
        <v>98</v>
      </c>
      <c r="D113" s="56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1.0</v>
      </c>
      <c r="M113" s="19">
        <v>0.0</v>
      </c>
      <c r="N113" s="19">
        <v>0.0</v>
      </c>
      <c r="O113" s="19">
        <v>0.0</v>
      </c>
      <c r="P113" s="19">
        <v>0.0</v>
      </c>
      <c r="Q113" s="19">
        <v>0.0</v>
      </c>
      <c r="R113" s="19">
        <v>0.0</v>
      </c>
      <c r="S113" s="19">
        <v>1.0</v>
      </c>
      <c r="T113" s="19">
        <v>0.0</v>
      </c>
      <c r="U113" s="19">
        <v>1.0</v>
      </c>
      <c r="V113" s="19">
        <v>0.0</v>
      </c>
      <c r="W113" s="19">
        <v>0.0</v>
      </c>
      <c r="X113" s="19">
        <v>0.0</v>
      </c>
      <c r="Y113" s="19">
        <v>0.0</v>
      </c>
      <c r="Z113" s="19">
        <v>0.0</v>
      </c>
      <c r="AA113" s="19">
        <v>1.0</v>
      </c>
      <c r="AB113" s="19">
        <v>0.0</v>
      </c>
      <c r="AC113" s="19">
        <v>1.0</v>
      </c>
      <c r="AD113" s="19">
        <v>0.0</v>
      </c>
      <c r="AE113" s="19">
        <v>1.0</v>
      </c>
      <c r="AF113" s="13">
        <f t="shared" si="28"/>
        <v>6</v>
      </c>
    </row>
    <row r="114" ht="12.75" customHeight="1">
      <c r="A114" s="18"/>
      <c r="B114" s="55">
        <v>3.0</v>
      </c>
      <c r="C114" s="50" t="s">
        <v>99</v>
      </c>
      <c r="D114" s="56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>
        <v>0.0</v>
      </c>
      <c r="Q114" s="19">
        <v>0.0</v>
      </c>
      <c r="R114" s="19">
        <v>0.0</v>
      </c>
      <c r="S114" s="19">
        <v>1.0</v>
      </c>
      <c r="T114" s="19">
        <v>1.0</v>
      </c>
      <c r="U114" s="19">
        <v>0.0</v>
      </c>
      <c r="V114" s="19">
        <v>0.0</v>
      </c>
      <c r="W114" s="19">
        <v>0.0</v>
      </c>
      <c r="X114" s="19">
        <v>0.0</v>
      </c>
      <c r="Y114" s="19">
        <v>0.0</v>
      </c>
      <c r="Z114" s="19">
        <v>0.0</v>
      </c>
      <c r="AA114" s="19">
        <v>0.0</v>
      </c>
      <c r="AB114" s="19">
        <v>0.0</v>
      </c>
      <c r="AC114" s="19">
        <v>0.0</v>
      </c>
      <c r="AD114" s="19">
        <v>0.0</v>
      </c>
      <c r="AE114" s="19">
        <v>0.0</v>
      </c>
      <c r="AF114" s="13">
        <f t="shared" si="28"/>
        <v>2</v>
      </c>
    </row>
    <row r="115" ht="12.75" customHeight="1">
      <c r="A115" s="18"/>
      <c r="B115" s="55">
        <v>4.0</v>
      </c>
      <c r="C115" s="50" t="s">
        <v>100</v>
      </c>
      <c r="D115" s="56"/>
      <c r="E115" s="19">
        <v>0.0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>
        <v>0.0</v>
      </c>
      <c r="Q115" s="19">
        <v>0.0</v>
      </c>
      <c r="R115" s="19">
        <v>0.0</v>
      </c>
      <c r="S115" s="19">
        <v>0.0</v>
      </c>
      <c r="T115" s="19">
        <v>0.0</v>
      </c>
      <c r="U115" s="19">
        <v>0.0</v>
      </c>
      <c r="V115" s="19">
        <v>0.0</v>
      </c>
      <c r="W115" s="19">
        <v>0.0</v>
      </c>
      <c r="X115" s="19">
        <v>0.0</v>
      </c>
      <c r="Y115" s="19">
        <v>0.0</v>
      </c>
      <c r="Z115" s="19">
        <v>0.0</v>
      </c>
      <c r="AA115" s="19">
        <v>0.0</v>
      </c>
      <c r="AB115" s="19">
        <v>0.0</v>
      </c>
      <c r="AC115" s="19">
        <v>0.0</v>
      </c>
      <c r="AD115" s="19">
        <v>0.0</v>
      </c>
      <c r="AE115" s="19">
        <v>0.0</v>
      </c>
      <c r="AF115" s="13">
        <f t="shared" si="28"/>
        <v>0</v>
      </c>
    </row>
    <row r="116" ht="12.75" customHeight="1">
      <c r="A116" s="18"/>
      <c r="B116" s="55">
        <v>5.0</v>
      </c>
      <c r="C116" s="50" t="s">
        <v>101</v>
      </c>
      <c r="D116" s="56"/>
      <c r="E116" s="19">
        <v>0.0</v>
      </c>
      <c r="F116" s="19">
        <v>0.0</v>
      </c>
      <c r="G116" s="19">
        <v>0.0</v>
      </c>
      <c r="H116" s="19">
        <v>0.0</v>
      </c>
      <c r="I116" s="19">
        <v>0.0</v>
      </c>
      <c r="J116" s="19">
        <v>0.0</v>
      </c>
      <c r="K116" s="19">
        <v>0.0</v>
      </c>
      <c r="L116" s="19">
        <v>0.0</v>
      </c>
      <c r="M116" s="19">
        <v>0.0</v>
      </c>
      <c r="N116" s="19">
        <v>0.0</v>
      </c>
      <c r="O116" s="19">
        <v>0.0</v>
      </c>
      <c r="P116" s="19">
        <v>0.0</v>
      </c>
      <c r="Q116" s="19">
        <v>0.0</v>
      </c>
      <c r="R116" s="19">
        <v>0.0</v>
      </c>
      <c r="S116" s="19">
        <v>0.0</v>
      </c>
      <c r="T116" s="19">
        <v>0.0</v>
      </c>
      <c r="U116" s="19">
        <v>0.0</v>
      </c>
      <c r="V116" s="19">
        <v>0.0</v>
      </c>
      <c r="W116" s="19">
        <v>0.0</v>
      </c>
      <c r="X116" s="19">
        <v>0.0</v>
      </c>
      <c r="Y116" s="19">
        <v>0.0</v>
      </c>
      <c r="Z116" s="19">
        <v>0.0</v>
      </c>
      <c r="AA116" s="19">
        <v>0.0</v>
      </c>
      <c r="AB116" s="19">
        <v>0.0</v>
      </c>
      <c r="AC116" s="19">
        <v>0.0</v>
      </c>
      <c r="AD116" s="19">
        <v>0.0</v>
      </c>
      <c r="AE116" s="19">
        <v>0.0</v>
      </c>
      <c r="AF116" s="13">
        <f t="shared" si="28"/>
        <v>0</v>
      </c>
    </row>
    <row r="117" ht="12.75" customHeight="1">
      <c r="A117" s="18"/>
      <c r="B117" s="55">
        <v>6.0</v>
      </c>
      <c r="C117" s="50" t="s">
        <v>102</v>
      </c>
      <c r="D117" s="57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  <c r="AC117" s="19">
        <v>0.0</v>
      </c>
      <c r="AD117" s="19">
        <v>0.0</v>
      </c>
      <c r="AE117" s="19">
        <v>0.0</v>
      </c>
      <c r="AF117" s="13">
        <f t="shared" si="28"/>
        <v>0</v>
      </c>
    </row>
    <row r="118" ht="12.75" customHeight="1">
      <c r="A118" s="18"/>
      <c r="B118" s="55">
        <v>7.0</v>
      </c>
      <c r="C118" s="50" t="s">
        <v>103</v>
      </c>
      <c r="D118" s="56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0.0</v>
      </c>
      <c r="AD118" s="19">
        <v>0.0</v>
      </c>
      <c r="AE118" s="19">
        <v>0.0</v>
      </c>
      <c r="AF118" s="13">
        <f t="shared" si="28"/>
        <v>0</v>
      </c>
    </row>
    <row r="119" ht="12.75" customHeight="1">
      <c r="A119" s="19" t="s">
        <v>15</v>
      </c>
      <c r="B119" s="47" t="s">
        <v>47</v>
      </c>
      <c r="C119" s="15"/>
      <c r="D119" s="16"/>
      <c r="E119" s="13">
        <f t="shared" ref="E119:AF119" si="29">SUM(E111:E118)</f>
        <v>0</v>
      </c>
      <c r="F119" s="13">
        <f t="shared" si="29"/>
        <v>0</v>
      </c>
      <c r="G119" s="13">
        <f t="shared" si="29"/>
        <v>2</v>
      </c>
      <c r="H119" s="13">
        <f t="shared" si="29"/>
        <v>3</v>
      </c>
      <c r="I119" s="13">
        <f t="shared" si="29"/>
        <v>1</v>
      </c>
      <c r="J119" s="13">
        <f t="shared" si="29"/>
        <v>1</v>
      </c>
      <c r="K119" s="13">
        <f t="shared" si="29"/>
        <v>0</v>
      </c>
      <c r="L119" s="13">
        <f t="shared" si="29"/>
        <v>1</v>
      </c>
      <c r="M119" s="13">
        <f t="shared" si="29"/>
        <v>0</v>
      </c>
      <c r="N119" s="13">
        <f t="shared" si="29"/>
        <v>3</v>
      </c>
      <c r="O119" s="13">
        <f t="shared" si="29"/>
        <v>1</v>
      </c>
      <c r="P119" s="13">
        <f t="shared" si="29"/>
        <v>0</v>
      </c>
      <c r="Q119" s="13">
        <f t="shared" si="29"/>
        <v>0</v>
      </c>
      <c r="R119" s="13">
        <f t="shared" si="29"/>
        <v>0</v>
      </c>
      <c r="S119" s="13">
        <f t="shared" si="29"/>
        <v>2</v>
      </c>
      <c r="T119" s="13">
        <f t="shared" si="29"/>
        <v>2</v>
      </c>
      <c r="U119" s="13">
        <f t="shared" si="29"/>
        <v>1</v>
      </c>
      <c r="V119" s="13">
        <f t="shared" si="29"/>
        <v>3</v>
      </c>
      <c r="W119" s="13">
        <f t="shared" si="29"/>
        <v>1</v>
      </c>
      <c r="X119" s="13">
        <f t="shared" si="29"/>
        <v>1</v>
      </c>
      <c r="Y119" s="13">
        <f t="shared" si="29"/>
        <v>11</v>
      </c>
      <c r="Z119" s="13">
        <f t="shared" si="29"/>
        <v>7</v>
      </c>
      <c r="AA119" s="13">
        <f t="shared" si="29"/>
        <v>1</v>
      </c>
      <c r="AB119" s="13">
        <f t="shared" si="29"/>
        <v>0</v>
      </c>
      <c r="AC119" s="13">
        <f t="shared" si="29"/>
        <v>1</v>
      </c>
      <c r="AD119" s="13">
        <f t="shared" si="29"/>
        <v>0</v>
      </c>
      <c r="AE119" s="13">
        <f t="shared" si="29"/>
        <v>1</v>
      </c>
      <c r="AF119" s="13">
        <f t="shared" si="29"/>
        <v>43</v>
      </c>
    </row>
    <row r="120" ht="12.75" customHeight="1">
      <c r="A120" s="24"/>
      <c r="B120" s="15"/>
      <c r="C120" s="15"/>
      <c r="D120" s="15"/>
      <c r="E120" s="16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</row>
    <row r="121" ht="12.75" customHeight="1">
      <c r="A121" s="30" t="s">
        <v>37</v>
      </c>
      <c r="B121" s="47" t="s">
        <v>104</v>
      </c>
      <c r="C121" s="48" t="s">
        <v>105</v>
      </c>
      <c r="D121" s="16"/>
      <c r="E121" s="19">
        <v>0.0</v>
      </c>
      <c r="F121" s="19">
        <v>0.0</v>
      </c>
      <c r="G121" s="19">
        <v>0.0</v>
      </c>
      <c r="H121" s="19">
        <v>1.0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0.0</v>
      </c>
      <c r="V121" s="19">
        <v>0.0</v>
      </c>
      <c r="W121" s="19">
        <v>0.0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  <c r="AC121" s="19">
        <v>0.0</v>
      </c>
      <c r="AD121" s="19">
        <v>0.0</v>
      </c>
      <c r="AE121" s="19">
        <v>0.0</v>
      </c>
      <c r="AF121" s="13">
        <f t="shared" ref="AF121:AF128" si="30">SUM(E121:AE121)</f>
        <v>1</v>
      </c>
    </row>
    <row r="122" ht="12.75" customHeight="1">
      <c r="A122" s="30" t="s">
        <v>39</v>
      </c>
      <c r="B122" s="55">
        <v>1.0</v>
      </c>
      <c r="C122" s="50" t="s">
        <v>106</v>
      </c>
      <c r="D122" s="57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0.0</v>
      </c>
      <c r="X122" s="19">
        <v>0.0</v>
      </c>
      <c r="Y122" s="19">
        <v>0.0</v>
      </c>
      <c r="Z122" s="19">
        <v>0.0</v>
      </c>
      <c r="AA122" s="19">
        <v>1.0</v>
      </c>
      <c r="AB122" s="19">
        <v>0.0</v>
      </c>
      <c r="AC122" s="19">
        <v>0.0</v>
      </c>
      <c r="AD122" s="19">
        <v>0.0</v>
      </c>
      <c r="AE122" s="19">
        <v>0.0</v>
      </c>
      <c r="AF122" s="13">
        <f t="shared" si="30"/>
        <v>1</v>
      </c>
    </row>
    <row r="123" ht="12.75" customHeight="1">
      <c r="A123" s="18"/>
      <c r="B123" s="55">
        <v>2.0</v>
      </c>
      <c r="C123" s="50" t="s">
        <v>107</v>
      </c>
      <c r="D123" s="57"/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0.0</v>
      </c>
      <c r="K123" s="19">
        <v>0.0</v>
      </c>
      <c r="L123" s="19">
        <v>0.0</v>
      </c>
      <c r="M123" s="19">
        <v>0.0</v>
      </c>
      <c r="N123" s="19">
        <v>0.0</v>
      </c>
      <c r="O123" s="19">
        <v>1.0</v>
      </c>
      <c r="P123" s="19">
        <v>0.0</v>
      </c>
      <c r="Q123" s="19">
        <v>0.0</v>
      </c>
      <c r="R123" s="19">
        <v>0.0</v>
      </c>
      <c r="S123" s="19">
        <v>0.0</v>
      </c>
      <c r="T123" s="19">
        <v>0.0</v>
      </c>
      <c r="U123" s="19">
        <v>0.0</v>
      </c>
      <c r="V123" s="19">
        <v>0.0</v>
      </c>
      <c r="W123" s="19">
        <v>0.0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  <c r="AC123" s="19">
        <v>0.0</v>
      </c>
      <c r="AD123" s="19">
        <v>0.0</v>
      </c>
      <c r="AE123" s="19">
        <v>0.0</v>
      </c>
      <c r="AF123" s="13">
        <f t="shared" si="30"/>
        <v>1</v>
      </c>
    </row>
    <row r="124" ht="12.75" customHeight="1">
      <c r="A124" s="18"/>
      <c r="B124" s="55">
        <v>3.0</v>
      </c>
      <c r="C124" s="50" t="s">
        <v>108</v>
      </c>
      <c r="D124" s="57"/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>
        <v>0.0</v>
      </c>
      <c r="Q124" s="19">
        <v>0.0</v>
      </c>
      <c r="R124" s="19">
        <v>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0.0</v>
      </c>
      <c r="X124" s="19">
        <v>0.0</v>
      </c>
      <c r="Y124" s="19">
        <v>0.0</v>
      </c>
      <c r="Z124" s="19">
        <v>0.0</v>
      </c>
      <c r="AA124" s="19">
        <v>0.0</v>
      </c>
      <c r="AB124" s="19">
        <v>0.0</v>
      </c>
      <c r="AC124" s="19">
        <v>0.0</v>
      </c>
      <c r="AD124" s="19">
        <v>0.0</v>
      </c>
      <c r="AE124" s="19">
        <v>0.0</v>
      </c>
      <c r="AF124" s="13">
        <f t="shared" si="30"/>
        <v>0</v>
      </c>
    </row>
    <row r="125" ht="12.75" customHeight="1">
      <c r="A125" s="18"/>
      <c r="B125" s="55">
        <v>4.0</v>
      </c>
      <c r="C125" s="50" t="s">
        <v>109</v>
      </c>
      <c r="D125" s="57"/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>
        <v>0.0</v>
      </c>
      <c r="Q125" s="19">
        <v>0.0</v>
      </c>
      <c r="R125" s="19">
        <v>0.0</v>
      </c>
      <c r="S125" s="19">
        <v>0.0</v>
      </c>
      <c r="T125" s="19">
        <v>0.0</v>
      </c>
      <c r="U125" s="19">
        <v>0.0</v>
      </c>
      <c r="V125" s="19">
        <v>0.0</v>
      </c>
      <c r="W125" s="19">
        <v>0.0</v>
      </c>
      <c r="X125" s="19">
        <v>0.0</v>
      </c>
      <c r="Y125" s="19">
        <v>0.0</v>
      </c>
      <c r="Z125" s="19">
        <v>0.0</v>
      </c>
      <c r="AA125" s="19">
        <v>0.0</v>
      </c>
      <c r="AB125" s="19">
        <v>0.0</v>
      </c>
      <c r="AC125" s="19">
        <v>0.0</v>
      </c>
      <c r="AD125" s="19">
        <v>0.0</v>
      </c>
      <c r="AE125" s="19">
        <v>0.0</v>
      </c>
      <c r="AF125" s="13">
        <f t="shared" si="30"/>
        <v>0</v>
      </c>
    </row>
    <row r="126" ht="12.75" customHeight="1">
      <c r="A126" s="18"/>
      <c r="B126" s="55">
        <v>5.0</v>
      </c>
      <c r="C126" s="50" t="s">
        <v>110</v>
      </c>
      <c r="D126" s="57"/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>
        <v>0.0</v>
      </c>
      <c r="M126" s="19">
        <v>0.0</v>
      </c>
      <c r="N126" s="19">
        <v>0.0</v>
      </c>
      <c r="O126" s="19">
        <v>0.0</v>
      </c>
      <c r="P126" s="19">
        <v>0.0</v>
      </c>
      <c r="Q126" s="19">
        <v>0.0</v>
      </c>
      <c r="R126" s="19">
        <v>0.0</v>
      </c>
      <c r="S126" s="19">
        <v>0.0</v>
      </c>
      <c r="T126" s="19">
        <v>0.0</v>
      </c>
      <c r="U126" s="19">
        <v>0.0</v>
      </c>
      <c r="V126" s="19">
        <v>0.0</v>
      </c>
      <c r="W126" s="19">
        <v>0.0</v>
      </c>
      <c r="X126" s="19">
        <v>0.0</v>
      </c>
      <c r="Y126" s="19">
        <v>0.0</v>
      </c>
      <c r="Z126" s="19">
        <v>0.0</v>
      </c>
      <c r="AA126" s="19">
        <v>0.0</v>
      </c>
      <c r="AB126" s="19">
        <v>0.0</v>
      </c>
      <c r="AC126" s="19">
        <v>0.0</v>
      </c>
      <c r="AD126" s="19">
        <v>0.0</v>
      </c>
      <c r="AE126" s="19">
        <v>0.0</v>
      </c>
      <c r="AF126" s="13">
        <f t="shared" si="30"/>
        <v>0</v>
      </c>
    </row>
    <row r="127" ht="12.75" customHeight="1">
      <c r="A127" s="18"/>
      <c r="B127" s="55">
        <v>6.0</v>
      </c>
      <c r="C127" s="50" t="s">
        <v>111</v>
      </c>
      <c r="D127" s="57"/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>
        <v>0.0</v>
      </c>
      <c r="Q127" s="19">
        <v>0.0</v>
      </c>
      <c r="R127" s="19">
        <v>0.0</v>
      </c>
      <c r="S127" s="19">
        <v>0.0</v>
      </c>
      <c r="T127" s="19">
        <v>0.0</v>
      </c>
      <c r="U127" s="19">
        <v>0.0</v>
      </c>
      <c r="V127" s="19">
        <v>0.0</v>
      </c>
      <c r="W127" s="19">
        <v>0.0</v>
      </c>
      <c r="X127" s="19">
        <v>0.0</v>
      </c>
      <c r="Y127" s="19">
        <v>0.0</v>
      </c>
      <c r="Z127" s="19">
        <v>0.0</v>
      </c>
      <c r="AA127" s="19">
        <v>0.0</v>
      </c>
      <c r="AB127" s="19">
        <v>0.0</v>
      </c>
      <c r="AC127" s="19">
        <v>0.0</v>
      </c>
      <c r="AD127" s="19">
        <v>0.0</v>
      </c>
      <c r="AE127" s="19">
        <v>0.0</v>
      </c>
      <c r="AF127" s="13">
        <f t="shared" si="30"/>
        <v>0</v>
      </c>
    </row>
    <row r="128" ht="12.75" customHeight="1">
      <c r="A128" s="18"/>
      <c r="B128" s="55">
        <v>7.0</v>
      </c>
      <c r="C128" s="50" t="s">
        <v>112</v>
      </c>
      <c r="D128" s="57"/>
      <c r="E128" s="19">
        <v>0.0</v>
      </c>
      <c r="F128" s="19">
        <v>0.0</v>
      </c>
      <c r="G128" s="19">
        <v>0.0</v>
      </c>
      <c r="H128" s="19">
        <v>0.0</v>
      </c>
      <c r="I128" s="19">
        <v>0.0</v>
      </c>
      <c r="J128" s="19">
        <v>0.0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>
        <v>0.0</v>
      </c>
      <c r="Q128" s="19">
        <v>0.0</v>
      </c>
      <c r="R128" s="19">
        <v>0.0</v>
      </c>
      <c r="S128" s="19">
        <v>0.0</v>
      </c>
      <c r="T128" s="19">
        <v>0.0</v>
      </c>
      <c r="U128" s="19">
        <v>0.0</v>
      </c>
      <c r="V128" s="19">
        <v>0.0</v>
      </c>
      <c r="W128" s="19">
        <v>0.0</v>
      </c>
      <c r="X128" s="19">
        <v>0.0</v>
      </c>
      <c r="Y128" s="19">
        <v>0.0</v>
      </c>
      <c r="Z128" s="19">
        <v>0.0</v>
      </c>
      <c r="AA128" s="19">
        <v>0.0</v>
      </c>
      <c r="AB128" s="19">
        <v>0.0</v>
      </c>
      <c r="AC128" s="19">
        <v>0.0</v>
      </c>
      <c r="AD128" s="19">
        <v>0.0</v>
      </c>
      <c r="AE128" s="19">
        <v>0.0</v>
      </c>
      <c r="AF128" s="13">
        <f t="shared" si="30"/>
        <v>0</v>
      </c>
    </row>
    <row r="129" ht="12.75" customHeight="1">
      <c r="A129" s="19" t="s">
        <v>15</v>
      </c>
      <c r="B129" s="47" t="s">
        <v>47</v>
      </c>
      <c r="C129" s="15"/>
      <c r="D129" s="16"/>
      <c r="E129" s="13">
        <f t="shared" ref="E129:AF129" si="31">SUM(E121:E128)</f>
        <v>0</v>
      </c>
      <c r="F129" s="13">
        <f t="shared" si="31"/>
        <v>0</v>
      </c>
      <c r="G129" s="13">
        <f t="shared" si="31"/>
        <v>0</v>
      </c>
      <c r="H129" s="13">
        <f t="shared" si="31"/>
        <v>1</v>
      </c>
      <c r="I129" s="13">
        <f t="shared" si="31"/>
        <v>0</v>
      </c>
      <c r="J129" s="13">
        <f t="shared" si="31"/>
        <v>0</v>
      </c>
      <c r="K129" s="13">
        <f t="shared" si="31"/>
        <v>0</v>
      </c>
      <c r="L129" s="13">
        <f t="shared" si="31"/>
        <v>0</v>
      </c>
      <c r="M129" s="13">
        <f t="shared" si="31"/>
        <v>0</v>
      </c>
      <c r="N129" s="13">
        <f t="shared" si="31"/>
        <v>0</v>
      </c>
      <c r="O129" s="13">
        <f t="shared" si="31"/>
        <v>1</v>
      </c>
      <c r="P129" s="13">
        <f t="shared" si="31"/>
        <v>0</v>
      </c>
      <c r="Q129" s="13">
        <f t="shared" si="31"/>
        <v>0</v>
      </c>
      <c r="R129" s="13">
        <f t="shared" si="31"/>
        <v>0</v>
      </c>
      <c r="S129" s="13">
        <f t="shared" si="31"/>
        <v>0</v>
      </c>
      <c r="T129" s="13">
        <f t="shared" si="31"/>
        <v>0</v>
      </c>
      <c r="U129" s="13">
        <f t="shared" si="31"/>
        <v>0</v>
      </c>
      <c r="V129" s="13">
        <f t="shared" si="31"/>
        <v>0</v>
      </c>
      <c r="W129" s="13">
        <f t="shared" si="31"/>
        <v>0</v>
      </c>
      <c r="X129" s="13">
        <f t="shared" si="31"/>
        <v>0</v>
      </c>
      <c r="Y129" s="13">
        <f t="shared" si="31"/>
        <v>0</v>
      </c>
      <c r="Z129" s="13">
        <f t="shared" si="31"/>
        <v>0</v>
      </c>
      <c r="AA129" s="13">
        <f t="shared" si="31"/>
        <v>1</v>
      </c>
      <c r="AB129" s="13">
        <f t="shared" si="31"/>
        <v>0</v>
      </c>
      <c r="AC129" s="13">
        <f t="shared" si="31"/>
        <v>0</v>
      </c>
      <c r="AD129" s="13">
        <f t="shared" si="31"/>
        <v>0</v>
      </c>
      <c r="AE129" s="13">
        <f t="shared" si="31"/>
        <v>0</v>
      </c>
      <c r="AF129" s="13">
        <f t="shared" si="31"/>
        <v>3</v>
      </c>
    </row>
    <row r="130" ht="12.75" customHeight="1">
      <c r="A130" s="24"/>
      <c r="B130" s="15"/>
      <c r="C130" s="15"/>
      <c r="D130" s="15"/>
      <c r="E130" s="16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13"/>
    </row>
    <row r="131" ht="12.75" customHeight="1">
      <c r="A131" s="30" t="s">
        <v>37</v>
      </c>
      <c r="B131" s="17" t="s">
        <v>113</v>
      </c>
      <c r="C131" s="59" t="s">
        <v>114</v>
      </c>
      <c r="D131" s="23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2.0</v>
      </c>
      <c r="Q131" s="19">
        <v>0.0</v>
      </c>
      <c r="R131" s="19">
        <v>1.0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9">
        <v>0.0</v>
      </c>
      <c r="AD131" s="19">
        <v>0.0</v>
      </c>
      <c r="AE131" s="19">
        <v>0.0</v>
      </c>
      <c r="AF131" s="13">
        <f t="shared" ref="AF131:AF135" si="32">SUM(E132:AE132)</f>
        <v>6</v>
      </c>
    </row>
    <row r="132" ht="12.75" customHeight="1">
      <c r="A132" s="60" t="s">
        <v>39</v>
      </c>
      <c r="B132" s="55">
        <v>1.0</v>
      </c>
      <c r="C132" s="61" t="s">
        <v>115</v>
      </c>
      <c r="D132" s="57"/>
      <c r="E132" s="74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1.0</v>
      </c>
      <c r="R132" s="19">
        <v>0.0</v>
      </c>
      <c r="S132" s="19">
        <v>1.0</v>
      </c>
      <c r="T132" s="19">
        <v>0.0</v>
      </c>
      <c r="U132" s="19">
        <v>1.0</v>
      </c>
      <c r="V132" s="19">
        <v>2.0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9">
        <v>1.0</v>
      </c>
      <c r="AE132" s="19">
        <v>0.0</v>
      </c>
      <c r="AF132" s="13">
        <f t="shared" si="32"/>
        <v>1</v>
      </c>
    </row>
    <row r="133" ht="12.75" customHeight="1">
      <c r="A133" s="18"/>
      <c r="B133" s="55">
        <v>2.0</v>
      </c>
      <c r="C133" s="61" t="s">
        <v>116</v>
      </c>
      <c r="D133" s="57"/>
      <c r="E133" s="74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9">
        <v>0.0</v>
      </c>
      <c r="AD133" s="19">
        <v>0.0</v>
      </c>
      <c r="AE133" s="19">
        <v>0.0</v>
      </c>
      <c r="AF133" s="13">
        <f t="shared" si="32"/>
        <v>2</v>
      </c>
    </row>
    <row r="134" ht="12.75" customHeight="1">
      <c r="A134" s="18"/>
      <c r="B134" s="55">
        <v>3.0</v>
      </c>
      <c r="C134" s="61" t="s">
        <v>117</v>
      </c>
      <c r="D134" s="57"/>
      <c r="E134" s="74">
        <v>0.0</v>
      </c>
      <c r="F134" s="19">
        <v>1.0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9">
        <v>1.0</v>
      </c>
      <c r="AE134" s="19">
        <v>0.0</v>
      </c>
      <c r="AF134" s="13">
        <f t="shared" si="32"/>
        <v>0</v>
      </c>
    </row>
    <row r="135" ht="12.75" customHeight="1">
      <c r="A135" s="18"/>
      <c r="B135" s="55">
        <v>4.0</v>
      </c>
      <c r="C135" s="61" t="s">
        <v>118</v>
      </c>
      <c r="D135" s="57"/>
      <c r="E135" s="74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9">
        <v>0.0</v>
      </c>
      <c r="AE135" s="19">
        <v>0.0</v>
      </c>
      <c r="AF135" s="13">
        <f t="shared" si="32"/>
        <v>12</v>
      </c>
    </row>
    <row r="136" ht="12.75" customHeight="1">
      <c r="A136" s="19" t="s">
        <v>15</v>
      </c>
      <c r="B136" s="62" t="s">
        <v>47</v>
      </c>
      <c r="C136" s="44"/>
      <c r="D136" s="28"/>
      <c r="E136" s="13">
        <f t="shared" ref="E136:AF136" si="33">SUM(E131:E135)</f>
        <v>0</v>
      </c>
      <c r="F136" s="13">
        <f t="shared" si="33"/>
        <v>1</v>
      </c>
      <c r="G136" s="13">
        <f t="shared" si="33"/>
        <v>0</v>
      </c>
      <c r="H136" s="13">
        <f t="shared" si="33"/>
        <v>0</v>
      </c>
      <c r="I136" s="13">
        <f t="shared" si="33"/>
        <v>0</v>
      </c>
      <c r="J136" s="13">
        <f t="shared" si="33"/>
        <v>1</v>
      </c>
      <c r="K136" s="13">
        <f t="shared" si="33"/>
        <v>0</v>
      </c>
      <c r="L136" s="13">
        <f t="shared" si="33"/>
        <v>0</v>
      </c>
      <c r="M136" s="13">
        <f t="shared" si="33"/>
        <v>0</v>
      </c>
      <c r="N136" s="13">
        <f t="shared" si="33"/>
        <v>0</v>
      </c>
      <c r="O136" s="13">
        <f t="shared" si="33"/>
        <v>0</v>
      </c>
      <c r="P136" s="13">
        <f t="shared" si="33"/>
        <v>2</v>
      </c>
      <c r="Q136" s="13">
        <f t="shared" si="33"/>
        <v>1</v>
      </c>
      <c r="R136" s="13">
        <f t="shared" si="33"/>
        <v>1</v>
      </c>
      <c r="S136" s="13">
        <f t="shared" si="33"/>
        <v>1</v>
      </c>
      <c r="T136" s="13">
        <f t="shared" si="33"/>
        <v>0</v>
      </c>
      <c r="U136" s="13">
        <f t="shared" si="33"/>
        <v>1</v>
      </c>
      <c r="V136" s="13">
        <f t="shared" si="33"/>
        <v>2</v>
      </c>
      <c r="W136" s="13">
        <f t="shared" si="33"/>
        <v>0</v>
      </c>
      <c r="X136" s="13">
        <f t="shared" si="33"/>
        <v>0</v>
      </c>
      <c r="Y136" s="13">
        <f t="shared" si="33"/>
        <v>0</v>
      </c>
      <c r="Z136" s="13">
        <f t="shared" si="33"/>
        <v>0</v>
      </c>
      <c r="AA136" s="13">
        <f t="shared" si="33"/>
        <v>0</v>
      </c>
      <c r="AB136" s="13">
        <f t="shared" si="33"/>
        <v>0</v>
      </c>
      <c r="AC136" s="13">
        <f t="shared" si="33"/>
        <v>0</v>
      </c>
      <c r="AD136" s="13">
        <f t="shared" si="33"/>
        <v>2</v>
      </c>
      <c r="AE136" s="13">
        <f t="shared" si="33"/>
        <v>0</v>
      </c>
      <c r="AF136" s="13">
        <f t="shared" si="33"/>
        <v>21</v>
      </c>
    </row>
    <row r="137" ht="12.75" customHeight="1">
      <c r="A137" s="24"/>
      <c r="B137" s="15"/>
      <c r="C137" s="15"/>
      <c r="D137" s="15"/>
      <c r="E137" s="16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</row>
    <row r="138" ht="12.75" customHeight="1">
      <c r="A138" s="30" t="s">
        <v>37</v>
      </c>
      <c r="B138" s="47" t="s">
        <v>119</v>
      </c>
      <c r="C138" s="48" t="s">
        <v>120</v>
      </c>
      <c r="D138" s="16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9">
        <v>1.0</v>
      </c>
      <c r="T138" s="19">
        <v>0.0</v>
      </c>
      <c r="U138" s="19">
        <v>0.0</v>
      </c>
      <c r="V138" s="19">
        <v>0.0</v>
      </c>
      <c r="W138" s="19">
        <v>0.0</v>
      </c>
      <c r="X138" s="19">
        <v>1.0</v>
      </c>
      <c r="Y138" s="19">
        <v>0.0</v>
      </c>
      <c r="Z138" s="19">
        <v>0.0</v>
      </c>
      <c r="AA138" s="19">
        <v>0.0</v>
      </c>
      <c r="AB138" s="19">
        <v>0.0</v>
      </c>
      <c r="AC138" s="19">
        <v>0.0</v>
      </c>
      <c r="AD138" s="19">
        <v>0.0</v>
      </c>
      <c r="AE138" s="19">
        <v>0.0</v>
      </c>
      <c r="AF138" s="13">
        <f t="shared" ref="AF138:AF145" si="34">SUM(E138:AE138)</f>
        <v>2</v>
      </c>
    </row>
    <row r="139" ht="12.75" customHeight="1">
      <c r="A139" s="30" t="s">
        <v>39</v>
      </c>
      <c r="B139" s="55">
        <v>1.0</v>
      </c>
      <c r="C139" s="50" t="s">
        <v>121</v>
      </c>
      <c r="D139" s="57"/>
      <c r="E139" s="19">
        <v>0.0</v>
      </c>
      <c r="F139" s="19">
        <v>0.0</v>
      </c>
      <c r="G139" s="19">
        <v>0.0</v>
      </c>
      <c r="H139" s="19">
        <v>0.0</v>
      </c>
      <c r="I139" s="19">
        <v>0.0</v>
      </c>
      <c r="J139" s="19">
        <v>1.0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>
        <v>0.0</v>
      </c>
      <c r="Q139" s="19">
        <v>1.0</v>
      </c>
      <c r="R139" s="19">
        <v>0.0</v>
      </c>
      <c r="S139" s="19">
        <v>1.0</v>
      </c>
      <c r="T139" s="19">
        <v>0.0</v>
      </c>
      <c r="U139" s="19">
        <v>0.0</v>
      </c>
      <c r="V139" s="19">
        <v>0.0</v>
      </c>
      <c r="W139" s="19">
        <v>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  <c r="AC139" s="19">
        <v>0.0</v>
      </c>
      <c r="AD139" s="19">
        <v>0.0</v>
      </c>
      <c r="AE139" s="19">
        <v>0.0</v>
      </c>
      <c r="AF139" s="13">
        <f t="shared" si="34"/>
        <v>3</v>
      </c>
    </row>
    <row r="140" ht="12.75" customHeight="1">
      <c r="A140" s="18"/>
      <c r="B140" s="55">
        <v>2.0</v>
      </c>
      <c r="C140" s="50" t="s">
        <v>122</v>
      </c>
      <c r="D140" s="57"/>
      <c r="E140" s="19">
        <v>0.0</v>
      </c>
      <c r="F140" s="19">
        <v>0.0</v>
      </c>
      <c r="G140" s="19">
        <v>0.0</v>
      </c>
      <c r="H140" s="19">
        <v>0.0</v>
      </c>
      <c r="I140" s="19">
        <v>0.0</v>
      </c>
      <c r="J140" s="19">
        <v>0.0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>
        <v>0.0</v>
      </c>
      <c r="Q140" s="19">
        <v>0.0</v>
      </c>
      <c r="R140" s="19">
        <v>0.0</v>
      </c>
      <c r="S140" s="19">
        <v>0.0</v>
      </c>
      <c r="T140" s="19">
        <v>1.0</v>
      </c>
      <c r="U140" s="19">
        <v>0.0</v>
      </c>
      <c r="V140" s="19">
        <v>1.0</v>
      </c>
      <c r="W140" s="19">
        <v>0.0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  <c r="AC140" s="19">
        <v>0.0</v>
      </c>
      <c r="AD140" s="19">
        <v>0.0</v>
      </c>
      <c r="AE140" s="19">
        <v>0.0</v>
      </c>
      <c r="AF140" s="13">
        <f t="shared" si="34"/>
        <v>2</v>
      </c>
    </row>
    <row r="141" ht="12.75" customHeight="1">
      <c r="A141" s="18"/>
      <c r="B141" s="55">
        <v>3.0</v>
      </c>
      <c r="C141" s="50" t="s">
        <v>123</v>
      </c>
      <c r="D141" s="57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1.0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1.0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9">
        <v>0.0</v>
      </c>
      <c r="AE141" s="19">
        <v>0.0</v>
      </c>
      <c r="AF141" s="13">
        <f t="shared" si="34"/>
        <v>2</v>
      </c>
    </row>
    <row r="142" ht="12.75" customHeight="1">
      <c r="A142" s="18"/>
      <c r="B142" s="55">
        <v>4.0</v>
      </c>
      <c r="C142" s="50" t="s">
        <v>124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2.0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1.0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9">
        <v>0.0</v>
      </c>
      <c r="AE142" s="19">
        <v>0.0</v>
      </c>
      <c r="AF142" s="13">
        <f t="shared" si="34"/>
        <v>3</v>
      </c>
    </row>
    <row r="143" ht="12.75" customHeight="1">
      <c r="A143" s="18"/>
      <c r="B143" s="55">
        <v>5.0</v>
      </c>
      <c r="C143" s="50" t="s">
        <v>125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0.0</v>
      </c>
      <c r="AC143" s="19">
        <v>0.0</v>
      </c>
      <c r="AD143" s="19">
        <v>0.0</v>
      </c>
      <c r="AE143" s="19">
        <v>0.0</v>
      </c>
      <c r="AF143" s="13">
        <f t="shared" si="34"/>
        <v>0</v>
      </c>
    </row>
    <row r="144" ht="12.75" customHeight="1">
      <c r="A144" s="18"/>
      <c r="B144" s="55">
        <v>6.0</v>
      </c>
      <c r="C144" s="50" t="s">
        <v>126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9">
        <v>0.0</v>
      </c>
      <c r="AE144" s="19">
        <v>0.0</v>
      </c>
      <c r="AF144" s="13">
        <f t="shared" si="34"/>
        <v>0</v>
      </c>
    </row>
    <row r="145" ht="12.75" customHeight="1">
      <c r="A145" s="18"/>
      <c r="B145" s="55">
        <v>7.0</v>
      </c>
      <c r="C145" s="50" t="s">
        <v>127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9">
        <v>0.0</v>
      </c>
      <c r="AE145" s="19">
        <v>0.0</v>
      </c>
      <c r="AF145" s="13">
        <f t="shared" si="34"/>
        <v>0</v>
      </c>
    </row>
    <row r="146" ht="12.75" customHeight="1">
      <c r="A146" s="19" t="s">
        <v>15</v>
      </c>
      <c r="B146" s="47" t="s">
        <v>47</v>
      </c>
      <c r="C146" s="15"/>
      <c r="D146" s="16"/>
      <c r="E146" s="13">
        <f t="shared" ref="E146:AF146" si="35">SUM(E138:E145)</f>
        <v>0</v>
      </c>
      <c r="F146" s="13">
        <f t="shared" si="35"/>
        <v>0</v>
      </c>
      <c r="G146" s="13">
        <f t="shared" si="35"/>
        <v>0</v>
      </c>
      <c r="H146" s="13">
        <f t="shared" si="35"/>
        <v>0</v>
      </c>
      <c r="I146" s="13">
        <f t="shared" si="35"/>
        <v>0</v>
      </c>
      <c r="J146" s="13">
        <f t="shared" si="35"/>
        <v>1</v>
      </c>
      <c r="K146" s="13">
        <f t="shared" si="35"/>
        <v>0</v>
      </c>
      <c r="L146" s="13">
        <f t="shared" si="35"/>
        <v>2</v>
      </c>
      <c r="M146" s="13">
        <f t="shared" si="35"/>
        <v>0</v>
      </c>
      <c r="N146" s="13">
        <f t="shared" si="35"/>
        <v>1</v>
      </c>
      <c r="O146" s="13">
        <f t="shared" si="35"/>
        <v>0</v>
      </c>
      <c r="P146" s="13">
        <f t="shared" si="35"/>
        <v>0</v>
      </c>
      <c r="Q146" s="13">
        <f t="shared" si="35"/>
        <v>1</v>
      </c>
      <c r="R146" s="13">
        <f t="shared" si="35"/>
        <v>0</v>
      </c>
      <c r="S146" s="13">
        <f t="shared" si="35"/>
        <v>3</v>
      </c>
      <c r="T146" s="13">
        <f t="shared" si="35"/>
        <v>1</v>
      </c>
      <c r="U146" s="13">
        <f t="shared" si="35"/>
        <v>1</v>
      </c>
      <c r="V146" s="13">
        <f t="shared" si="35"/>
        <v>1</v>
      </c>
      <c r="W146" s="13">
        <f t="shared" si="35"/>
        <v>0</v>
      </c>
      <c r="X146" s="13">
        <f t="shared" si="35"/>
        <v>1</v>
      </c>
      <c r="Y146" s="13">
        <f t="shared" si="35"/>
        <v>0</v>
      </c>
      <c r="Z146" s="13">
        <f t="shared" si="35"/>
        <v>0</v>
      </c>
      <c r="AA146" s="13">
        <f t="shared" si="35"/>
        <v>0</v>
      </c>
      <c r="AB146" s="13">
        <f t="shared" si="35"/>
        <v>0</v>
      </c>
      <c r="AC146" s="13">
        <f t="shared" si="35"/>
        <v>0</v>
      </c>
      <c r="AD146" s="13">
        <f t="shared" si="35"/>
        <v>0</v>
      </c>
      <c r="AE146" s="13">
        <f t="shared" si="35"/>
        <v>0</v>
      </c>
      <c r="AF146" s="13">
        <f t="shared" si="35"/>
        <v>12</v>
      </c>
    </row>
    <row r="147" ht="12.75" customHeight="1">
      <c r="A147" s="24"/>
      <c r="B147" s="15"/>
      <c r="C147" s="15"/>
      <c r="D147" s="15"/>
      <c r="E147" s="16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</row>
    <row r="148" ht="12.75" customHeight="1">
      <c r="A148" s="30" t="s">
        <v>37</v>
      </c>
      <c r="B148" s="47" t="s">
        <v>128</v>
      </c>
      <c r="C148" s="48" t="s">
        <v>129</v>
      </c>
      <c r="D148" s="16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1.0</v>
      </c>
      <c r="L148" s="19">
        <v>0.0</v>
      </c>
      <c r="M148" s="19">
        <v>1.0</v>
      </c>
      <c r="N148" s="19">
        <v>2.0</v>
      </c>
      <c r="O148" s="19">
        <v>0.0</v>
      </c>
      <c r="P148" s="19">
        <v>0.0</v>
      </c>
      <c r="Q148" s="19">
        <v>0.0</v>
      </c>
      <c r="R148" s="19">
        <v>1.0</v>
      </c>
      <c r="S148" s="19">
        <v>1.0</v>
      </c>
      <c r="T148" s="19">
        <v>0.0</v>
      </c>
      <c r="U148" s="19">
        <v>2.0</v>
      </c>
      <c r="V148" s="19">
        <v>2.0</v>
      </c>
      <c r="W148" s="19">
        <v>0.0</v>
      </c>
      <c r="X148" s="19">
        <v>1.0</v>
      </c>
      <c r="Y148" s="19">
        <v>0.0</v>
      </c>
      <c r="Z148" s="19">
        <v>1.0</v>
      </c>
      <c r="AA148" s="19">
        <v>0.0</v>
      </c>
      <c r="AB148" s="19">
        <v>0.0</v>
      </c>
      <c r="AC148" s="19">
        <v>1.0</v>
      </c>
      <c r="AD148" s="19">
        <v>1.0</v>
      </c>
      <c r="AE148" s="19">
        <v>0.0</v>
      </c>
      <c r="AF148" s="13">
        <f t="shared" ref="AF148:AF155" si="36">SUM(E148:AE148)</f>
        <v>14</v>
      </c>
    </row>
    <row r="149" ht="12.75" customHeight="1">
      <c r="A149" s="30" t="s">
        <v>39</v>
      </c>
      <c r="B149" s="55">
        <v>1.0</v>
      </c>
      <c r="C149" s="50" t="s">
        <v>130</v>
      </c>
      <c r="D149" s="57"/>
      <c r="E149" s="19">
        <v>0.0</v>
      </c>
      <c r="F149" s="19">
        <v>0.0</v>
      </c>
      <c r="G149" s="19">
        <v>0.0</v>
      </c>
      <c r="H149" s="19">
        <v>0.0</v>
      </c>
      <c r="I149" s="19">
        <v>0.0</v>
      </c>
      <c r="J149" s="19">
        <v>0.0</v>
      </c>
      <c r="K149" s="19">
        <v>0.0</v>
      </c>
      <c r="L149" s="19">
        <v>0.0</v>
      </c>
      <c r="M149" s="19">
        <v>0.0</v>
      </c>
      <c r="N149" s="19">
        <v>0.0</v>
      </c>
      <c r="O149" s="19">
        <v>0.0</v>
      </c>
      <c r="P149" s="19">
        <v>0.0</v>
      </c>
      <c r="Q149" s="19">
        <v>1.0</v>
      </c>
      <c r="R149" s="19">
        <v>1.0</v>
      </c>
      <c r="S149" s="19">
        <v>0.0</v>
      </c>
      <c r="T149" s="19">
        <v>0.0</v>
      </c>
      <c r="U149" s="19">
        <v>0.0</v>
      </c>
      <c r="V149" s="19">
        <v>0.0</v>
      </c>
      <c r="W149" s="19">
        <v>0.0</v>
      </c>
      <c r="X149" s="19">
        <v>0.0</v>
      </c>
      <c r="Y149" s="19">
        <v>0.0</v>
      </c>
      <c r="Z149" s="19">
        <v>0.0</v>
      </c>
      <c r="AA149" s="19">
        <v>0.0</v>
      </c>
      <c r="AB149" s="19">
        <v>0.0</v>
      </c>
      <c r="AC149" s="19">
        <v>1.0</v>
      </c>
      <c r="AD149" s="19">
        <v>0.0</v>
      </c>
      <c r="AE149" s="19">
        <v>0.0</v>
      </c>
      <c r="AF149" s="13">
        <f t="shared" si="36"/>
        <v>3</v>
      </c>
    </row>
    <row r="150" ht="12.75" customHeight="1">
      <c r="A150" s="18"/>
      <c r="B150" s="55">
        <v>2.0</v>
      </c>
      <c r="C150" s="50" t="s">
        <v>131</v>
      </c>
      <c r="D150" s="57"/>
      <c r="E150" s="19">
        <v>0.0</v>
      </c>
      <c r="F150" s="19">
        <v>0.0</v>
      </c>
      <c r="G150" s="19">
        <v>1.0</v>
      </c>
      <c r="H150" s="19">
        <v>2.0</v>
      </c>
      <c r="I150" s="19">
        <v>0.0</v>
      </c>
      <c r="J150" s="19">
        <v>0.0</v>
      </c>
      <c r="K150" s="19">
        <v>1.0</v>
      </c>
      <c r="L150" s="19">
        <v>0.0</v>
      </c>
      <c r="M150" s="19">
        <v>0.0</v>
      </c>
      <c r="N150" s="19">
        <v>0.0</v>
      </c>
      <c r="O150" s="19">
        <v>0.0</v>
      </c>
      <c r="P150" s="19">
        <v>1.0</v>
      </c>
      <c r="Q150" s="19">
        <v>1.0</v>
      </c>
      <c r="R150" s="19">
        <v>2.0</v>
      </c>
      <c r="S150" s="19">
        <v>1.0</v>
      </c>
      <c r="T150" s="19">
        <v>0.0</v>
      </c>
      <c r="U150" s="19">
        <v>0.0</v>
      </c>
      <c r="V150" s="19">
        <v>0.0</v>
      </c>
      <c r="W150" s="19">
        <v>0.0</v>
      </c>
      <c r="X150" s="19">
        <v>0.0</v>
      </c>
      <c r="Y150" s="19">
        <v>0.0</v>
      </c>
      <c r="Z150" s="19">
        <v>0.0</v>
      </c>
      <c r="AA150" s="19">
        <v>0.0</v>
      </c>
      <c r="AB150" s="19">
        <v>0.0</v>
      </c>
      <c r="AC150" s="19">
        <v>0.0</v>
      </c>
      <c r="AD150" s="19">
        <v>0.0</v>
      </c>
      <c r="AE150" s="19">
        <v>0.0</v>
      </c>
      <c r="AF150" s="13">
        <f t="shared" si="36"/>
        <v>9</v>
      </c>
    </row>
    <row r="151" ht="12.75" customHeight="1">
      <c r="A151" s="18"/>
      <c r="B151" s="55">
        <v>3.0</v>
      </c>
      <c r="C151" s="50" t="s">
        <v>132</v>
      </c>
      <c r="D151" s="57"/>
      <c r="E151" s="19">
        <v>0.0</v>
      </c>
      <c r="F151" s="19">
        <v>0.0</v>
      </c>
      <c r="G151" s="19">
        <v>0.0</v>
      </c>
      <c r="H151" s="19">
        <v>1.0</v>
      </c>
      <c r="I151" s="19">
        <v>0.0</v>
      </c>
      <c r="J151" s="19">
        <v>0.0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0.0</v>
      </c>
      <c r="U151" s="19">
        <v>0.0</v>
      </c>
      <c r="V151" s="19">
        <v>0.0</v>
      </c>
      <c r="W151" s="19">
        <v>0.0</v>
      </c>
      <c r="X151" s="19">
        <v>0.0</v>
      </c>
      <c r="Y151" s="19">
        <v>0.0</v>
      </c>
      <c r="Z151" s="19">
        <v>0.0</v>
      </c>
      <c r="AA151" s="19">
        <v>0.0</v>
      </c>
      <c r="AB151" s="19">
        <v>0.0</v>
      </c>
      <c r="AC151" s="19">
        <v>0.0</v>
      </c>
      <c r="AD151" s="19">
        <v>0.0</v>
      </c>
      <c r="AE151" s="19">
        <v>0.0</v>
      </c>
      <c r="AF151" s="13">
        <f t="shared" si="36"/>
        <v>1</v>
      </c>
    </row>
    <row r="152" ht="12.75" customHeight="1">
      <c r="A152" s="18"/>
      <c r="B152" s="55">
        <v>4.0</v>
      </c>
      <c r="C152" s="50" t="s">
        <v>133</v>
      </c>
      <c r="D152" s="57"/>
      <c r="E152" s="19">
        <v>0.0</v>
      </c>
      <c r="F152" s="19">
        <v>0.0</v>
      </c>
      <c r="G152" s="19">
        <v>0.0</v>
      </c>
      <c r="H152" s="19">
        <v>0.0</v>
      </c>
      <c r="I152" s="19">
        <v>0.0</v>
      </c>
      <c r="J152" s="19">
        <v>0.0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>
        <v>0.0</v>
      </c>
      <c r="Q152" s="19">
        <v>0.0</v>
      </c>
      <c r="R152" s="19">
        <v>1.0</v>
      </c>
      <c r="S152" s="19">
        <v>0.0</v>
      </c>
      <c r="T152" s="19">
        <v>0.0</v>
      </c>
      <c r="U152" s="19">
        <v>0.0</v>
      </c>
      <c r="V152" s="19">
        <v>0.0</v>
      </c>
      <c r="W152" s="19">
        <v>0.0</v>
      </c>
      <c r="X152" s="19">
        <v>0.0</v>
      </c>
      <c r="Y152" s="19">
        <v>0.0</v>
      </c>
      <c r="Z152" s="19">
        <v>0.0</v>
      </c>
      <c r="AA152" s="19">
        <v>1.0</v>
      </c>
      <c r="AB152" s="19">
        <v>0.0</v>
      </c>
      <c r="AC152" s="19">
        <v>0.0</v>
      </c>
      <c r="AD152" s="19">
        <v>1.0</v>
      </c>
      <c r="AE152" s="19">
        <v>0.0</v>
      </c>
      <c r="AF152" s="13">
        <f t="shared" si="36"/>
        <v>3</v>
      </c>
    </row>
    <row r="153" ht="12.75" customHeight="1">
      <c r="A153" s="18"/>
      <c r="B153" s="55">
        <v>5.0</v>
      </c>
      <c r="C153" s="50" t="s">
        <v>134</v>
      </c>
      <c r="D153" s="57"/>
      <c r="E153" s="19">
        <v>0.0</v>
      </c>
      <c r="F153" s="19">
        <v>0.0</v>
      </c>
      <c r="G153" s="19">
        <v>1.0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1.0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9">
        <v>0.0</v>
      </c>
      <c r="AE153" s="19">
        <v>0.0</v>
      </c>
      <c r="AF153" s="13">
        <f t="shared" si="36"/>
        <v>2</v>
      </c>
    </row>
    <row r="154" ht="12.75" customHeight="1">
      <c r="A154" s="18"/>
      <c r="B154" s="55">
        <v>6.0</v>
      </c>
      <c r="C154" s="50" t="s">
        <v>135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9">
        <v>0.0</v>
      </c>
      <c r="AE154" s="19">
        <v>0.0</v>
      </c>
      <c r="AF154" s="13">
        <f t="shared" si="36"/>
        <v>0</v>
      </c>
    </row>
    <row r="155" ht="12.75" customHeight="1">
      <c r="A155" s="18"/>
      <c r="B155" s="55">
        <v>7.0</v>
      </c>
      <c r="C155" s="50" t="s">
        <v>136</v>
      </c>
      <c r="D155" s="57"/>
      <c r="E155" s="19">
        <v>0.0</v>
      </c>
      <c r="F155" s="19">
        <v>0.0</v>
      </c>
      <c r="G155" s="19">
        <v>0.0</v>
      </c>
      <c r="H155" s="19">
        <v>1.0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  <c r="AC155" s="19">
        <v>0.0</v>
      </c>
      <c r="AD155" s="19">
        <v>0.0</v>
      </c>
      <c r="AE155" s="19">
        <v>0.0</v>
      </c>
      <c r="AF155" s="13">
        <f t="shared" si="36"/>
        <v>1</v>
      </c>
    </row>
    <row r="156" ht="12.75" customHeight="1">
      <c r="A156" s="19" t="s">
        <v>15</v>
      </c>
      <c r="B156" s="47" t="s">
        <v>47</v>
      </c>
      <c r="C156" s="15"/>
      <c r="D156" s="16"/>
      <c r="E156" s="13">
        <f t="shared" ref="E156:AF156" si="37">SUM(E148:E155)</f>
        <v>0</v>
      </c>
      <c r="F156" s="13">
        <f t="shared" si="37"/>
        <v>0</v>
      </c>
      <c r="G156" s="13">
        <f t="shared" si="37"/>
        <v>2</v>
      </c>
      <c r="H156" s="13">
        <f t="shared" si="37"/>
        <v>4</v>
      </c>
      <c r="I156" s="13">
        <f t="shared" si="37"/>
        <v>0</v>
      </c>
      <c r="J156" s="13">
        <f t="shared" si="37"/>
        <v>0</v>
      </c>
      <c r="K156" s="13">
        <f t="shared" si="37"/>
        <v>2</v>
      </c>
      <c r="L156" s="13">
        <f t="shared" si="37"/>
        <v>0</v>
      </c>
      <c r="M156" s="13">
        <f t="shared" si="37"/>
        <v>1</v>
      </c>
      <c r="N156" s="13">
        <f t="shared" si="37"/>
        <v>2</v>
      </c>
      <c r="O156" s="13">
        <f t="shared" si="37"/>
        <v>0</v>
      </c>
      <c r="P156" s="13">
        <f t="shared" si="37"/>
        <v>1</v>
      </c>
      <c r="Q156" s="13">
        <f t="shared" si="37"/>
        <v>2</v>
      </c>
      <c r="R156" s="13">
        <f t="shared" si="37"/>
        <v>6</v>
      </c>
      <c r="S156" s="13">
        <f t="shared" si="37"/>
        <v>2</v>
      </c>
      <c r="T156" s="13">
        <f t="shared" si="37"/>
        <v>0</v>
      </c>
      <c r="U156" s="13">
        <f t="shared" si="37"/>
        <v>2</v>
      </c>
      <c r="V156" s="13">
        <f t="shared" si="37"/>
        <v>2</v>
      </c>
      <c r="W156" s="13">
        <f t="shared" si="37"/>
        <v>0</v>
      </c>
      <c r="X156" s="13">
        <f t="shared" si="37"/>
        <v>1</v>
      </c>
      <c r="Y156" s="13">
        <f t="shared" si="37"/>
        <v>0</v>
      </c>
      <c r="Z156" s="13">
        <f t="shared" si="37"/>
        <v>1</v>
      </c>
      <c r="AA156" s="13">
        <f t="shared" si="37"/>
        <v>1</v>
      </c>
      <c r="AB156" s="13">
        <f t="shared" si="37"/>
        <v>0</v>
      </c>
      <c r="AC156" s="13">
        <f t="shared" si="37"/>
        <v>2</v>
      </c>
      <c r="AD156" s="13">
        <f t="shared" si="37"/>
        <v>2</v>
      </c>
      <c r="AE156" s="13">
        <f t="shared" si="37"/>
        <v>0</v>
      </c>
      <c r="AF156" s="13">
        <f t="shared" si="37"/>
        <v>33</v>
      </c>
    </row>
    <row r="157" ht="12.75" customHeight="1">
      <c r="A157" s="24"/>
      <c r="B157" s="15"/>
      <c r="C157" s="15"/>
      <c r="D157" s="15"/>
      <c r="E157" s="16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13"/>
    </row>
    <row r="158" ht="12.75" customHeight="1">
      <c r="A158" s="30" t="s">
        <v>37</v>
      </c>
      <c r="B158" s="47" t="s">
        <v>137</v>
      </c>
      <c r="C158" s="48" t="s">
        <v>138</v>
      </c>
      <c r="D158" s="16"/>
      <c r="E158" s="19">
        <v>0.0</v>
      </c>
      <c r="F158" s="19">
        <v>0.0</v>
      </c>
      <c r="G158" s="19">
        <v>0.0</v>
      </c>
      <c r="H158" s="19">
        <v>1.0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9">
        <v>0.0</v>
      </c>
      <c r="S158" s="19">
        <v>0.0</v>
      </c>
      <c r="T158" s="19">
        <v>0.0</v>
      </c>
      <c r="U158" s="19">
        <v>0.0</v>
      </c>
      <c r="V158" s="19">
        <v>0.0</v>
      </c>
      <c r="W158" s="19">
        <v>0.0</v>
      </c>
      <c r="X158" s="19">
        <v>0.0</v>
      </c>
      <c r="Y158" s="19">
        <v>0.0</v>
      </c>
      <c r="Z158" s="19">
        <v>0.0</v>
      </c>
      <c r="AA158" s="19">
        <v>0.0</v>
      </c>
      <c r="AB158" s="19">
        <v>0.0</v>
      </c>
      <c r="AC158" s="19">
        <v>0.0</v>
      </c>
      <c r="AD158" s="19">
        <v>0.0</v>
      </c>
      <c r="AE158" s="19">
        <v>0.0</v>
      </c>
      <c r="AF158" s="13">
        <f t="shared" ref="AF158:AF165" si="38">SUM(E158:AE158)</f>
        <v>1</v>
      </c>
    </row>
    <row r="159" ht="12.75" customHeight="1">
      <c r="A159" s="30" t="s">
        <v>39</v>
      </c>
      <c r="B159" s="55">
        <v>1.0</v>
      </c>
      <c r="C159" s="50" t="s">
        <v>139</v>
      </c>
      <c r="D159" s="57"/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1.0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0.0</v>
      </c>
      <c r="W159" s="19">
        <v>0.0</v>
      </c>
      <c r="X159" s="19">
        <v>0.0</v>
      </c>
      <c r="Y159" s="19">
        <v>0.0</v>
      </c>
      <c r="Z159" s="19">
        <v>0.0</v>
      </c>
      <c r="AA159" s="19">
        <v>0.0</v>
      </c>
      <c r="AB159" s="19">
        <v>0.0</v>
      </c>
      <c r="AC159" s="19">
        <v>0.0</v>
      </c>
      <c r="AD159" s="19">
        <v>0.0</v>
      </c>
      <c r="AE159" s="19">
        <v>0.0</v>
      </c>
      <c r="AF159" s="13">
        <f t="shared" si="38"/>
        <v>1</v>
      </c>
    </row>
    <row r="160" ht="12.75" customHeight="1">
      <c r="A160" s="18"/>
      <c r="B160" s="55">
        <v>2.0</v>
      </c>
      <c r="C160" s="50" t="s">
        <v>140</v>
      </c>
      <c r="D160" s="57"/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1.0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  <c r="AC160" s="19">
        <v>1.0</v>
      </c>
      <c r="AD160" s="19">
        <v>0.0</v>
      </c>
      <c r="AE160" s="19">
        <v>1.0</v>
      </c>
      <c r="AF160" s="13">
        <f t="shared" si="38"/>
        <v>3</v>
      </c>
    </row>
    <row r="161" ht="12.75" customHeight="1">
      <c r="A161" s="18"/>
      <c r="B161" s="55">
        <v>3.0</v>
      </c>
      <c r="C161" s="50" t="s">
        <v>141</v>
      </c>
      <c r="D161" s="57"/>
      <c r="E161" s="19">
        <v>0.0</v>
      </c>
      <c r="F161" s="19">
        <v>0.0</v>
      </c>
      <c r="G161" s="19">
        <v>0.0</v>
      </c>
      <c r="H161" s="19">
        <v>0.0</v>
      </c>
      <c r="I161" s="19">
        <v>1.0</v>
      </c>
      <c r="J161" s="19">
        <v>0.0</v>
      </c>
      <c r="K161" s="19">
        <v>0.0</v>
      </c>
      <c r="L161" s="19">
        <v>0.0</v>
      </c>
      <c r="M161" s="19">
        <v>0.0</v>
      </c>
      <c r="N161" s="19">
        <v>0.0</v>
      </c>
      <c r="O161" s="19">
        <v>0.0</v>
      </c>
      <c r="P161" s="19">
        <v>0.0</v>
      </c>
      <c r="Q161" s="19">
        <v>0.0</v>
      </c>
      <c r="R161" s="19">
        <v>0.0</v>
      </c>
      <c r="S161" s="19">
        <v>0.0</v>
      </c>
      <c r="T161" s="19">
        <v>0.0</v>
      </c>
      <c r="U161" s="19">
        <v>0.0</v>
      </c>
      <c r="V161" s="19">
        <v>0.0</v>
      </c>
      <c r="W161" s="19">
        <v>0.0</v>
      </c>
      <c r="X161" s="19">
        <v>0.0</v>
      </c>
      <c r="Y161" s="19">
        <v>0.0</v>
      </c>
      <c r="Z161" s="19">
        <v>0.0</v>
      </c>
      <c r="AA161" s="19">
        <v>0.0</v>
      </c>
      <c r="AB161" s="19">
        <v>0.0</v>
      </c>
      <c r="AC161" s="19">
        <v>0.0</v>
      </c>
      <c r="AD161" s="19">
        <v>0.0</v>
      </c>
      <c r="AE161" s="19">
        <v>0.0</v>
      </c>
      <c r="AF161" s="13">
        <f t="shared" si="38"/>
        <v>1</v>
      </c>
    </row>
    <row r="162" ht="12.75" customHeight="1">
      <c r="A162" s="18"/>
      <c r="B162" s="55">
        <v>4.0</v>
      </c>
      <c r="C162" s="50" t="s">
        <v>142</v>
      </c>
      <c r="D162" s="57"/>
      <c r="E162" s="19">
        <v>0.0</v>
      </c>
      <c r="F162" s="19">
        <v>0.0</v>
      </c>
      <c r="G162" s="19">
        <v>0.0</v>
      </c>
      <c r="H162" s="19">
        <v>0.0</v>
      </c>
      <c r="I162" s="19">
        <v>0.0</v>
      </c>
      <c r="J162" s="19">
        <v>0.0</v>
      </c>
      <c r="K162" s="19">
        <v>0.0</v>
      </c>
      <c r="L162" s="19">
        <v>0.0</v>
      </c>
      <c r="M162" s="19">
        <v>0.0</v>
      </c>
      <c r="N162" s="19">
        <v>0.0</v>
      </c>
      <c r="O162" s="19">
        <v>0.0</v>
      </c>
      <c r="P162" s="19">
        <v>0.0</v>
      </c>
      <c r="Q162" s="19">
        <v>0.0</v>
      </c>
      <c r="R162" s="19">
        <v>0.0</v>
      </c>
      <c r="S162" s="19">
        <v>0.0</v>
      </c>
      <c r="T162" s="19">
        <v>0.0</v>
      </c>
      <c r="U162" s="19">
        <v>0.0</v>
      </c>
      <c r="V162" s="19">
        <v>0.0</v>
      </c>
      <c r="W162" s="19">
        <v>0.0</v>
      </c>
      <c r="X162" s="19">
        <v>0.0</v>
      </c>
      <c r="Y162" s="19">
        <v>0.0</v>
      </c>
      <c r="Z162" s="19">
        <v>0.0</v>
      </c>
      <c r="AA162" s="19">
        <v>0.0</v>
      </c>
      <c r="AB162" s="19">
        <v>1.0</v>
      </c>
      <c r="AC162" s="19">
        <v>0.0</v>
      </c>
      <c r="AD162" s="19">
        <v>0.0</v>
      </c>
      <c r="AE162" s="19">
        <v>0.0</v>
      </c>
      <c r="AF162" s="13">
        <f t="shared" si="38"/>
        <v>1</v>
      </c>
    </row>
    <row r="163" ht="12.75" customHeight="1">
      <c r="A163" s="18"/>
      <c r="B163" s="55">
        <v>5.0</v>
      </c>
      <c r="C163" s="50" t="s">
        <v>143</v>
      </c>
      <c r="D163" s="57"/>
      <c r="E163" s="19">
        <v>0.0</v>
      </c>
      <c r="F163" s="19">
        <v>0.0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>
        <v>0.0</v>
      </c>
      <c r="M163" s="19">
        <v>0.0</v>
      </c>
      <c r="N163" s="19">
        <v>0.0</v>
      </c>
      <c r="O163" s="19">
        <v>0.0</v>
      </c>
      <c r="P163" s="19">
        <v>0.0</v>
      </c>
      <c r="Q163" s="19">
        <v>0.0</v>
      </c>
      <c r="R163" s="19">
        <v>0.0</v>
      </c>
      <c r="S163" s="19">
        <v>0.0</v>
      </c>
      <c r="T163" s="19">
        <v>0.0</v>
      </c>
      <c r="U163" s="19">
        <v>1.0</v>
      </c>
      <c r="V163" s="19">
        <v>0.0</v>
      </c>
      <c r="W163" s="19">
        <v>0.0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  <c r="AC163" s="19">
        <v>0.0</v>
      </c>
      <c r="AD163" s="19">
        <v>0.0</v>
      </c>
      <c r="AE163" s="19">
        <v>0.0</v>
      </c>
      <c r="AF163" s="13">
        <f t="shared" si="38"/>
        <v>1</v>
      </c>
    </row>
    <row r="164" ht="12.75" customHeight="1">
      <c r="A164" s="18"/>
      <c r="B164" s="55">
        <v>6.0</v>
      </c>
      <c r="C164" s="50" t="s">
        <v>144</v>
      </c>
      <c r="D164" s="57"/>
      <c r="E164" s="19">
        <v>0.0</v>
      </c>
      <c r="F164" s="19">
        <v>0.0</v>
      </c>
      <c r="G164" s="19">
        <v>0.0</v>
      </c>
      <c r="H164" s="19">
        <v>0.0</v>
      </c>
      <c r="I164" s="19">
        <v>0.0</v>
      </c>
      <c r="J164" s="19">
        <v>0.0</v>
      </c>
      <c r="K164" s="19">
        <v>0.0</v>
      </c>
      <c r="L164" s="19">
        <v>0.0</v>
      </c>
      <c r="M164" s="19">
        <v>0.0</v>
      </c>
      <c r="N164" s="19">
        <v>0.0</v>
      </c>
      <c r="O164" s="19">
        <v>0.0</v>
      </c>
      <c r="P164" s="19">
        <v>0.0</v>
      </c>
      <c r="Q164" s="19">
        <v>0.0</v>
      </c>
      <c r="R164" s="19">
        <v>0.0</v>
      </c>
      <c r="S164" s="19">
        <v>0.0</v>
      </c>
      <c r="T164" s="19">
        <v>0.0</v>
      </c>
      <c r="U164" s="19">
        <v>0.0</v>
      </c>
      <c r="V164" s="19">
        <v>0.0</v>
      </c>
      <c r="W164" s="19">
        <v>0.0</v>
      </c>
      <c r="X164" s="19">
        <v>0.0</v>
      </c>
      <c r="Y164" s="19">
        <v>0.0</v>
      </c>
      <c r="Z164" s="19">
        <v>0.0</v>
      </c>
      <c r="AA164" s="19">
        <v>0.0</v>
      </c>
      <c r="AB164" s="19">
        <v>0.0</v>
      </c>
      <c r="AC164" s="19">
        <v>0.0</v>
      </c>
      <c r="AD164" s="19">
        <v>0.0</v>
      </c>
      <c r="AE164" s="19">
        <v>0.0</v>
      </c>
      <c r="AF164" s="13">
        <f t="shared" si="38"/>
        <v>0</v>
      </c>
    </row>
    <row r="165" ht="12.75" customHeight="1">
      <c r="A165" s="18"/>
      <c r="B165" s="55">
        <v>7.0</v>
      </c>
      <c r="C165" s="50" t="s">
        <v>145</v>
      </c>
      <c r="D165" s="57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  <c r="AC165" s="19">
        <v>0.0</v>
      </c>
      <c r="AD165" s="19">
        <v>0.0</v>
      </c>
      <c r="AE165" s="19">
        <v>0.0</v>
      </c>
      <c r="AF165" s="13">
        <f t="shared" si="38"/>
        <v>0</v>
      </c>
    </row>
    <row r="166" ht="12.75" customHeight="1">
      <c r="A166" s="19" t="s">
        <v>15</v>
      </c>
      <c r="B166" s="47" t="s">
        <v>47</v>
      </c>
      <c r="C166" s="15"/>
      <c r="D166" s="16"/>
      <c r="E166" s="13">
        <f t="shared" ref="E166:AF166" si="39">SUM(E158:E165)</f>
        <v>0</v>
      </c>
      <c r="F166" s="13">
        <f t="shared" si="39"/>
        <v>0</v>
      </c>
      <c r="G166" s="13">
        <f t="shared" si="39"/>
        <v>0</v>
      </c>
      <c r="H166" s="13">
        <f t="shared" si="39"/>
        <v>1</v>
      </c>
      <c r="I166" s="13">
        <f t="shared" si="39"/>
        <v>1</v>
      </c>
      <c r="J166" s="13">
        <f t="shared" si="39"/>
        <v>0</v>
      </c>
      <c r="K166" s="13">
        <f t="shared" si="39"/>
        <v>0</v>
      </c>
      <c r="L166" s="13">
        <f t="shared" si="39"/>
        <v>0</v>
      </c>
      <c r="M166" s="13">
        <f t="shared" si="39"/>
        <v>0</v>
      </c>
      <c r="N166" s="13">
        <f t="shared" si="39"/>
        <v>0</v>
      </c>
      <c r="O166" s="13">
        <f t="shared" si="39"/>
        <v>0</v>
      </c>
      <c r="P166" s="13">
        <f t="shared" si="39"/>
        <v>1</v>
      </c>
      <c r="Q166" s="13">
        <f t="shared" si="39"/>
        <v>0</v>
      </c>
      <c r="R166" s="13">
        <f t="shared" si="39"/>
        <v>1</v>
      </c>
      <c r="S166" s="13">
        <f t="shared" si="39"/>
        <v>0</v>
      </c>
      <c r="T166" s="13">
        <f t="shared" si="39"/>
        <v>0</v>
      </c>
      <c r="U166" s="13">
        <f t="shared" si="39"/>
        <v>1</v>
      </c>
      <c r="V166" s="13">
        <f t="shared" si="39"/>
        <v>0</v>
      </c>
      <c r="W166" s="13">
        <f t="shared" si="39"/>
        <v>0</v>
      </c>
      <c r="X166" s="13">
        <f t="shared" si="39"/>
        <v>0</v>
      </c>
      <c r="Y166" s="13">
        <f t="shared" si="39"/>
        <v>0</v>
      </c>
      <c r="Z166" s="13">
        <f t="shared" si="39"/>
        <v>0</v>
      </c>
      <c r="AA166" s="13">
        <f t="shared" si="39"/>
        <v>0</v>
      </c>
      <c r="AB166" s="13">
        <f t="shared" si="39"/>
        <v>1</v>
      </c>
      <c r="AC166" s="13">
        <f t="shared" si="39"/>
        <v>1</v>
      </c>
      <c r="AD166" s="13">
        <f t="shared" si="39"/>
        <v>0</v>
      </c>
      <c r="AE166" s="13">
        <f t="shared" si="39"/>
        <v>1</v>
      </c>
      <c r="AF166" s="13">
        <f t="shared" si="39"/>
        <v>8</v>
      </c>
    </row>
    <row r="167" ht="12.75" customHeight="1">
      <c r="A167" s="24"/>
      <c r="B167" s="15"/>
      <c r="C167" s="15"/>
      <c r="D167" s="15"/>
      <c r="E167" s="16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</row>
    <row r="168" ht="12.75" customHeight="1">
      <c r="A168" s="30" t="s">
        <v>37</v>
      </c>
      <c r="B168" s="47" t="s">
        <v>146</v>
      </c>
      <c r="C168" s="48" t="s">
        <v>147</v>
      </c>
      <c r="D168" s="16"/>
      <c r="E168" s="19">
        <v>3.0</v>
      </c>
      <c r="F168" s="19">
        <v>1.0</v>
      </c>
      <c r="G168" s="19">
        <v>1.0</v>
      </c>
      <c r="H168" s="19">
        <v>1.0</v>
      </c>
      <c r="I168" s="19">
        <v>5.0</v>
      </c>
      <c r="J168" s="19">
        <v>3.0</v>
      </c>
      <c r="K168" s="19">
        <v>5.0</v>
      </c>
      <c r="L168" s="19">
        <v>1.0</v>
      </c>
      <c r="M168" s="19">
        <v>2.0</v>
      </c>
      <c r="N168" s="19">
        <v>0.0</v>
      </c>
      <c r="O168" s="19">
        <v>3.0</v>
      </c>
      <c r="P168" s="19">
        <v>0.0</v>
      </c>
      <c r="Q168" s="19">
        <v>3.0</v>
      </c>
      <c r="R168" s="19">
        <v>1.0</v>
      </c>
      <c r="S168" s="19">
        <v>5.0</v>
      </c>
      <c r="T168" s="19">
        <v>2.0</v>
      </c>
      <c r="U168" s="19">
        <v>2.0</v>
      </c>
      <c r="V168" s="19">
        <v>3.0</v>
      </c>
      <c r="W168" s="19">
        <v>3.0</v>
      </c>
      <c r="X168" s="19">
        <v>0.0</v>
      </c>
      <c r="Y168" s="19">
        <v>3.0</v>
      </c>
      <c r="Z168" s="19">
        <v>2.0</v>
      </c>
      <c r="AA168" s="19">
        <v>2.0</v>
      </c>
      <c r="AB168" s="19">
        <v>4.0</v>
      </c>
      <c r="AC168" s="19">
        <v>4.0</v>
      </c>
      <c r="AD168" s="19">
        <v>6.0</v>
      </c>
      <c r="AE168" s="19">
        <v>8.0</v>
      </c>
      <c r="AF168" s="13">
        <f t="shared" ref="AF168:AF175" si="40">SUM(E168:AE168)</f>
        <v>73</v>
      </c>
    </row>
    <row r="169" ht="12.75" customHeight="1">
      <c r="A169" s="30" t="s">
        <v>39</v>
      </c>
      <c r="B169" s="55">
        <v>1.0</v>
      </c>
      <c r="C169" s="50" t="s">
        <v>148</v>
      </c>
      <c r="D169" s="57"/>
      <c r="E169" s="19">
        <v>14.0</v>
      </c>
      <c r="F169" s="19">
        <v>3.0</v>
      </c>
      <c r="G169" s="19">
        <v>2.0</v>
      </c>
      <c r="H169" s="19">
        <v>10.0</v>
      </c>
      <c r="I169" s="19">
        <v>10.0</v>
      </c>
      <c r="J169" s="19">
        <v>0.0</v>
      </c>
      <c r="K169" s="19">
        <v>2.0</v>
      </c>
      <c r="L169" s="19">
        <v>4.0</v>
      </c>
      <c r="M169" s="19">
        <v>3.0</v>
      </c>
      <c r="N169" s="19">
        <v>1.0</v>
      </c>
      <c r="O169" s="19">
        <v>6.0</v>
      </c>
      <c r="P169" s="19">
        <v>5.0</v>
      </c>
      <c r="Q169" s="19">
        <v>3.0</v>
      </c>
      <c r="R169" s="19">
        <v>5.0</v>
      </c>
      <c r="S169" s="19">
        <v>5.0</v>
      </c>
      <c r="T169" s="19">
        <v>5.0</v>
      </c>
      <c r="U169" s="19">
        <v>4.0</v>
      </c>
      <c r="V169" s="19">
        <v>16.0</v>
      </c>
      <c r="W169" s="19">
        <v>5.0</v>
      </c>
      <c r="X169" s="19">
        <v>7.0</v>
      </c>
      <c r="Y169" s="19">
        <v>14.0</v>
      </c>
      <c r="Z169" s="19">
        <v>3.0</v>
      </c>
      <c r="AA169" s="19">
        <v>5.0</v>
      </c>
      <c r="AB169" s="19">
        <v>6.0</v>
      </c>
      <c r="AC169" s="19">
        <v>3.0</v>
      </c>
      <c r="AD169" s="19">
        <v>12.0</v>
      </c>
      <c r="AE169" s="19">
        <v>37.0</v>
      </c>
      <c r="AF169" s="13">
        <f t="shared" si="40"/>
        <v>190</v>
      </c>
    </row>
    <row r="170" ht="12.75" customHeight="1">
      <c r="A170" s="18"/>
      <c r="B170" s="55">
        <v>2.0</v>
      </c>
      <c r="C170" s="50" t="s">
        <v>149</v>
      </c>
      <c r="D170" s="57"/>
      <c r="E170" s="19">
        <v>1.0</v>
      </c>
      <c r="F170" s="19">
        <v>1.0</v>
      </c>
      <c r="G170" s="19">
        <v>0.0</v>
      </c>
      <c r="H170" s="19">
        <v>1.0</v>
      </c>
      <c r="I170" s="19">
        <v>3.0</v>
      </c>
      <c r="J170" s="19">
        <v>0.0</v>
      </c>
      <c r="K170" s="19">
        <v>1.0</v>
      </c>
      <c r="L170" s="19">
        <v>1.0</v>
      </c>
      <c r="M170" s="19">
        <v>3.0</v>
      </c>
      <c r="N170" s="19">
        <v>3.0</v>
      </c>
      <c r="O170" s="19">
        <v>0.0</v>
      </c>
      <c r="P170" s="19">
        <v>0.0</v>
      </c>
      <c r="Q170" s="19">
        <v>0.0</v>
      </c>
      <c r="R170" s="19">
        <v>2.0</v>
      </c>
      <c r="S170" s="19">
        <v>4.0</v>
      </c>
      <c r="T170" s="19">
        <v>1.0</v>
      </c>
      <c r="U170" s="19">
        <v>4.0</v>
      </c>
      <c r="V170" s="19">
        <v>2.0</v>
      </c>
      <c r="W170" s="19">
        <v>0.0</v>
      </c>
      <c r="X170" s="19">
        <v>4.0</v>
      </c>
      <c r="Y170" s="19">
        <v>0.0</v>
      </c>
      <c r="Z170" s="19">
        <v>1.0</v>
      </c>
      <c r="AA170" s="19">
        <v>2.0</v>
      </c>
      <c r="AB170" s="19">
        <v>1.0</v>
      </c>
      <c r="AC170" s="19">
        <v>2.0</v>
      </c>
      <c r="AD170" s="19">
        <v>3.0</v>
      </c>
      <c r="AE170" s="19">
        <v>1.0</v>
      </c>
      <c r="AF170" s="13">
        <f t="shared" si="40"/>
        <v>41</v>
      </c>
    </row>
    <row r="171" ht="12.75" customHeight="1">
      <c r="A171" s="18"/>
      <c r="B171" s="55">
        <v>3.0</v>
      </c>
      <c r="C171" s="50" t="s">
        <v>150</v>
      </c>
      <c r="D171" s="57"/>
      <c r="E171" s="19">
        <v>0.0</v>
      </c>
      <c r="F171" s="19">
        <v>1.0</v>
      </c>
      <c r="G171" s="19">
        <v>0.0</v>
      </c>
      <c r="H171" s="19">
        <v>1.0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1.0</v>
      </c>
      <c r="O171" s="19">
        <v>1.0</v>
      </c>
      <c r="P171" s="19">
        <v>0.0</v>
      </c>
      <c r="Q171" s="19">
        <v>0.0</v>
      </c>
      <c r="R171" s="19">
        <v>0.0</v>
      </c>
      <c r="S171" s="19">
        <v>2.0</v>
      </c>
      <c r="T171" s="19">
        <v>1.0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9">
        <v>0.0</v>
      </c>
      <c r="AE171" s="19">
        <v>1.0</v>
      </c>
      <c r="AF171" s="13">
        <f t="shared" si="40"/>
        <v>8</v>
      </c>
    </row>
    <row r="172" ht="12.75" customHeight="1">
      <c r="A172" s="18"/>
      <c r="B172" s="55">
        <v>4.0</v>
      </c>
      <c r="C172" s="50" t="s">
        <v>151</v>
      </c>
      <c r="D172" s="57"/>
      <c r="E172" s="19">
        <v>1.0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1.0</v>
      </c>
      <c r="L172" s="19">
        <v>0.0</v>
      </c>
      <c r="M172" s="19">
        <v>0.0</v>
      </c>
      <c r="N172" s="19">
        <v>0.0</v>
      </c>
      <c r="O172" s="19">
        <v>0.0</v>
      </c>
      <c r="P172" s="19">
        <v>2.0</v>
      </c>
      <c r="Q172" s="19">
        <v>0.0</v>
      </c>
      <c r="R172" s="19">
        <v>0.0</v>
      </c>
      <c r="S172" s="19">
        <v>2.0</v>
      </c>
      <c r="T172" s="19">
        <v>0.0</v>
      </c>
      <c r="U172" s="19">
        <v>1.0</v>
      </c>
      <c r="V172" s="19">
        <v>0.0</v>
      </c>
      <c r="W172" s="19">
        <v>0.0</v>
      </c>
      <c r="X172" s="19">
        <v>1.0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9">
        <v>0.0</v>
      </c>
      <c r="AE172" s="19">
        <v>0.0</v>
      </c>
      <c r="AF172" s="13">
        <f t="shared" si="40"/>
        <v>8</v>
      </c>
    </row>
    <row r="173" ht="12.75" customHeight="1">
      <c r="A173" s="18"/>
      <c r="B173" s="55">
        <v>5.0</v>
      </c>
      <c r="C173" s="50" t="s">
        <v>152</v>
      </c>
      <c r="D173" s="57"/>
      <c r="E173" s="19">
        <v>0.0</v>
      </c>
      <c r="F173" s="19">
        <v>0.0</v>
      </c>
      <c r="G173" s="19">
        <v>0.0</v>
      </c>
      <c r="H173" s="19">
        <v>0.0</v>
      </c>
      <c r="I173" s="19">
        <v>0.0</v>
      </c>
      <c r="J173" s="19">
        <v>0.0</v>
      </c>
      <c r="K173" s="19">
        <v>0.0</v>
      </c>
      <c r="L173" s="19">
        <v>0.0</v>
      </c>
      <c r="M173" s="19">
        <v>0.0</v>
      </c>
      <c r="N173" s="19">
        <v>0.0</v>
      </c>
      <c r="O173" s="19">
        <v>0.0</v>
      </c>
      <c r="P173" s="19">
        <v>2.0</v>
      </c>
      <c r="Q173" s="19">
        <v>0.0</v>
      </c>
      <c r="R173" s="19">
        <v>0.0</v>
      </c>
      <c r="S173" s="19">
        <v>0.0</v>
      </c>
      <c r="T173" s="19">
        <v>0.0</v>
      </c>
      <c r="U173" s="19">
        <v>2.0</v>
      </c>
      <c r="V173" s="19">
        <v>0.0</v>
      </c>
      <c r="W173" s="19">
        <v>0.0</v>
      </c>
      <c r="X173" s="19">
        <v>0.0</v>
      </c>
      <c r="Y173" s="19">
        <v>0.0</v>
      </c>
      <c r="Z173" s="19">
        <v>0.0</v>
      </c>
      <c r="AA173" s="19">
        <v>0.0</v>
      </c>
      <c r="AB173" s="19">
        <v>0.0</v>
      </c>
      <c r="AC173" s="19">
        <v>0.0</v>
      </c>
      <c r="AD173" s="19">
        <v>0.0</v>
      </c>
      <c r="AE173" s="19">
        <v>0.0</v>
      </c>
      <c r="AF173" s="13">
        <f t="shared" si="40"/>
        <v>4</v>
      </c>
    </row>
    <row r="174" ht="12.75" customHeight="1">
      <c r="A174" s="18"/>
      <c r="B174" s="55">
        <v>6.0</v>
      </c>
      <c r="C174" s="50" t="s">
        <v>153</v>
      </c>
      <c r="D174" s="57"/>
      <c r="E174" s="19">
        <v>1.0</v>
      </c>
      <c r="F174" s="19">
        <v>0.0</v>
      </c>
      <c r="G174" s="19">
        <v>0.0</v>
      </c>
      <c r="H174" s="19">
        <v>0.0</v>
      </c>
      <c r="I174" s="19">
        <v>0.0</v>
      </c>
      <c r="J174" s="19">
        <v>0.0</v>
      </c>
      <c r="K174" s="19">
        <v>0.0</v>
      </c>
      <c r="L174" s="19">
        <v>0.0</v>
      </c>
      <c r="M174" s="19">
        <v>0.0</v>
      </c>
      <c r="N174" s="19">
        <v>0.0</v>
      </c>
      <c r="O174" s="19">
        <v>0.0</v>
      </c>
      <c r="P174" s="19">
        <v>1.0</v>
      </c>
      <c r="Q174" s="19">
        <v>0.0</v>
      </c>
      <c r="R174" s="19">
        <v>0.0</v>
      </c>
      <c r="S174" s="19">
        <v>0.0</v>
      </c>
      <c r="T174" s="19">
        <v>0.0</v>
      </c>
      <c r="U174" s="19">
        <v>1.0</v>
      </c>
      <c r="V174" s="19">
        <v>1.0</v>
      </c>
      <c r="W174" s="19">
        <v>0.0</v>
      </c>
      <c r="X174" s="19">
        <v>0.0</v>
      </c>
      <c r="Y174" s="19">
        <v>0.0</v>
      </c>
      <c r="Z174" s="19">
        <v>0.0</v>
      </c>
      <c r="AA174" s="19">
        <v>0.0</v>
      </c>
      <c r="AB174" s="19">
        <v>0.0</v>
      </c>
      <c r="AC174" s="19">
        <v>1.0</v>
      </c>
      <c r="AD174" s="19">
        <v>0.0</v>
      </c>
      <c r="AE174" s="19">
        <v>0.0</v>
      </c>
      <c r="AF174" s="13">
        <f t="shared" si="40"/>
        <v>5</v>
      </c>
    </row>
    <row r="175" ht="12.75" customHeight="1">
      <c r="A175" s="18"/>
      <c r="B175" s="55">
        <v>7.0</v>
      </c>
      <c r="C175" s="50" t="s">
        <v>154</v>
      </c>
      <c r="D175" s="57"/>
      <c r="E175" s="19">
        <v>0.0</v>
      </c>
      <c r="F175" s="19">
        <v>2.0</v>
      </c>
      <c r="G175" s="19">
        <v>0.0</v>
      </c>
      <c r="H175" s="19">
        <v>0.0</v>
      </c>
      <c r="I175" s="19">
        <v>0.0</v>
      </c>
      <c r="J175" s="19">
        <v>4.0</v>
      </c>
      <c r="K175" s="19">
        <v>3.0</v>
      </c>
      <c r="L175" s="19">
        <v>2.0</v>
      </c>
      <c r="M175" s="19">
        <v>0.0</v>
      </c>
      <c r="N175" s="19">
        <v>1.0</v>
      </c>
      <c r="O175" s="19">
        <v>1.0</v>
      </c>
      <c r="P175" s="19">
        <v>4.0</v>
      </c>
      <c r="Q175" s="19">
        <v>0.0</v>
      </c>
      <c r="R175" s="19">
        <v>4.0</v>
      </c>
      <c r="S175" s="19">
        <v>1.0</v>
      </c>
      <c r="T175" s="19">
        <v>0.0</v>
      </c>
      <c r="U175" s="19">
        <v>3.0</v>
      </c>
      <c r="V175" s="19">
        <v>0.0</v>
      </c>
      <c r="W175" s="19">
        <v>0.0</v>
      </c>
      <c r="X175" s="19">
        <v>0.0</v>
      </c>
      <c r="Y175" s="19">
        <v>1.0</v>
      </c>
      <c r="Z175" s="19">
        <v>0.0</v>
      </c>
      <c r="AA175" s="19">
        <v>0.0</v>
      </c>
      <c r="AB175" s="19">
        <v>0.0</v>
      </c>
      <c r="AC175" s="19">
        <v>1.0</v>
      </c>
      <c r="AD175" s="19">
        <v>0.0</v>
      </c>
      <c r="AE175" s="19">
        <v>0.0</v>
      </c>
      <c r="AF175" s="13">
        <f t="shared" si="40"/>
        <v>27</v>
      </c>
    </row>
    <row r="176" ht="12.75" customHeight="1">
      <c r="A176" s="19" t="s">
        <v>15</v>
      </c>
      <c r="B176" s="47" t="s">
        <v>47</v>
      </c>
      <c r="C176" s="15"/>
      <c r="D176" s="16"/>
      <c r="E176" s="13">
        <f t="shared" ref="E176:AF176" si="41">SUM(E168:E175)</f>
        <v>20</v>
      </c>
      <c r="F176" s="13">
        <f t="shared" si="41"/>
        <v>8</v>
      </c>
      <c r="G176" s="13">
        <f t="shared" si="41"/>
        <v>3</v>
      </c>
      <c r="H176" s="13">
        <f t="shared" si="41"/>
        <v>13</v>
      </c>
      <c r="I176" s="13">
        <f t="shared" si="41"/>
        <v>18</v>
      </c>
      <c r="J176" s="13">
        <f t="shared" si="41"/>
        <v>7</v>
      </c>
      <c r="K176" s="13">
        <f t="shared" si="41"/>
        <v>12</v>
      </c>
      <c r="L176" s="13">
        <f t="shared" si="41"/>
        <v>8</v>
      </c>
      <c r="M176" s="13">
        <f t="shared" si="41"/>
        <v>8</v>
      </c>
      <c r="N176" s="13">
        <f t="shared" si="41"/>
        <v>6</v>
      </c>
      <c r="O176" s="13">
        <f t="shared" si="41"/>
        <v>11</v>
      </c>
      <c r="P176" s="13">
        <f t="shared" si="41"/>
        <v>14</v>
      </c>
      <c r="Q176" s="13">
        <f t="shared" si="41"/>
        <v>6</v>
      </c>
      <c r="R176" s="13">
        <f t="shared" si="41"/>
        <v>12</v>
      </c>
      <c r="S176" s="13">
        <f t="shared" si="41"/>
        <v>19</v>
      </c>
      <c r="T176" s="13">
        <f t="shared" si="41"/>
        <v>9</v>
      </c>
      <c r="U176" s="13">
        <f t="shared" si="41"/>
        <v>17</v>
      </c>
      <c r="V176" s="13">
        <f t="shared" si="41"/>
        <v>22</v>
      </c>
      <c r="W176" s="13">
        <f t="shared" si="41"/>
        <v>8</v>
      </c>
      <c r="X176" s="13">
        <f t="shared" si="41"/>
        <v>12</v>
      </c>
      <c r="Y176" s="13">
        <f t="shared" si="41"/>
        <v>18</v>
      </c>
      <c r="Z176" s="13">
        <f t="shared" si="41"/>
        <v>6</v>
      </c>
      <c r="AA176" s="13">
        <f t="shared" si="41"/>
        <v>9</v>
      </c>
      <c r="AB176" s="13">
        <f t="shared" si="41"/>
        <v>11</v>
      </c>
      <c r="AC176" s="13">
        <f t="shared" si="41"/>
        <v>11</v>
      </c>
      <c r="AD176" s="13">
        <f t="shared" si="41"/>
        <v>21</v>
      </c>
      <c r="AE176" s="13">
        <f t="shared" si="41"/>
        <v>47</v>
      </c>
      <c r="AF176" s="13">
        <f t="shared" si="41"/>
        <v>356</v>
      </c>
    </row>
    <row r="177" ht="12.75" customHeight="1">
      <c r="A177" s="24"/>
      <c r="B177" s="15"/>
      <c r="C177" s="15"/>
      <c r="D177" s="15"/>
      <c r="E177" s="16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</row>
    <row r="178" ht="12.75" customHeight="1">
      <c r="A178" s="30" t="s">
        <v>37</v>
      </c>
      <c r="B178" s="47" t="s">
        <v>155</v>
      </c>
      <c r="C178" s="48" t="s">
        <v>156</v>
      </c>
      <c r="D178" s="16"/>
      <c r="E178" s="19">
        <v>2.0</v>
      </c>
      <c r="F178" s="19">
        <v>1.0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1.0</v>
      </c>
      <c r="Q178" s="19">
        <v>1.0</v>
      </c>
      <c r="R178" s="19">
        <v>2.0</v>
      </c>
      <c r="S178" s="19">
        <v>0.0</v>
      </c>
      <c r="T178" s="19">
        <v>9.0</v>
      </c>
      <c r="U178" s="19">
        <v>0.0</v>
      </c>
      <c r="V178" s="19">
        <v>1.0</v>
      </c>
      <c r="W178" s="19">
        <v>0.0</v>
      </c>
      <c r="X178" s="19">
        <v>2.0</v>
      </c>
      <c r="Y178" s="19">
        <v>1.0</v>
      </c>
      <c r="Z178" s="19">
        <v>2.0</v>
      </c>
      <c r="AA178" s="19">
        <v>1.0</v>
      </c>
      <c r="AB178" s="19">
        <v>1.0</v>
      </c>
      <c r="AC178" s="19">
        <v>1.0</v>
      </c>
      <c r="AD178" s="19">
        <v>3.0</v>
      </c>
      <c r="AE178" s="19">
        <v>2.0</v>
      </c>
      <c r="AF178" s="13">
        <f t="shared" ref="AF178:AF185" si="42">SUM(E178:AE178)</f>
        <v>30</v>
      </c>
    </row>
    <row r="179" ht="12.75" customHeight="1">
      <c r="A179" s="30" t="s">
        <v>39</v>
      </c>
      <c r="B179" s="55">
        <v>1.0</v>
      </c>
      <c r="C179" s="50" t="s">
        <v>157</v>
      </c>
      <c r="D179" s="56"/>
      <c r="E179" s="19">
        <v>0.0</v>
      </c>
      <c r="F179" s="19">
        <v>2.0</v>
      </c>
      <c r="G179" s="19">
        <v>1.0</v>
      </c>
      <c r="H179" s="19">
        <v>2.0</v>
      </c>
      <c r="I179" s="19">
        <v>0.0</v>
      </c>
      <c r="J179" s="19">
        <v>1.0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0.0</v>
      </c>
      <c r="Q179" s="19">
        <v>3.0</v>
      </c>
      <c r="R179" s="19">
        <v>0.0</v>
      </c>
      <c r="S179" s="19">
        <v>1.0</v>
      </c>
      <c r="T179" s="19">
        <v>3.0</v>
      </c>
      <c r="U179" s="19">
        <v>1.0</v>
      </c>
      <c r="V179" s="19">
        <v>1.0</v>
      </c>
      <c r="W179" s="19">
        <v>0.0</v>
      </c>
      <c r="X179" s="19">
        <v>1.0</v>
      </c>
      <c r="Y179" s="19">
        <v>1.0</v>
      </c>
      <c r="Z179" s="19">
        <v>4.0</v>
      </c>
      <c r="AA179" s="19">
        <v>1.0</v>
      </c>
      <c r="AB179" s="19">
        <v>1.0</v>
      </c>
      <c r="AC179" s="19">
        <v>0.0</v>
      </c>
      <c r="AD179" s="19">
        <v>0.0</v>
      </c>
      <c r="AE179" s="19">
        <v>0.0</v>
      </c>
      <c r="AF179" s="13">
        <f t="shared" si="42"/>
        <v>24</v>
      </c>
    </row>
    <row r="180" ht="12.75" customHeight="1">
      <c r="A180" s="18"/>
      <c r="B180" s="55">
        <v>2.0</v>
      </c>
      <c r="C180" s="50" t="s">
        <v>158</v>
      </c>
      <c r="D180" s="56"/>
      <c r="E180" s="19">
        <v>0.0</v>
      </c>
      <c r="F180" s="19">
        <v>1.0</v>
      </c>
      <c r="G180" s="19">
        <v>1.0</v>
      </c>
      <c r="H180" s="19">
        <v>0.0</v>
      </c>
      <c r="I180" s="19">
        <v>1.0</v>
      </c>
      <c r="J180" s="19">
        <v>0.0</v>
      </c>
      <c r="K180" s="19">
        <v>1.0</v>
      </c>
      <c r="L180" s="19">
        <v>2.0</v>
      </c>
      <c r="M180" s="19">
        <v>2.0</v>
      </c>
      <c r="N180" s="19">
        <v>1.0</v>
      </c>
      <c r="O180" s="19">
        <v>0.0</v>
      </c>
      <c r="P180" s="19">
        <v>0.0</v>
      </c>
      <c r="Q180" s="19">
        <v>1.0</v>
      </c>
      <c r="R180" s="19">
        <v>1.0</v>
      </c>
      <c r="S180" s="19">
        <v>0.0</v>
      </c>
      <c r="T180" s="19">
        <v>2.0</v>
      </c>
      <c r="U180" s="19">
        <v>2.0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1.0</v>
      </c>
      <c r="AC180" s="19">
        <v>1.0</v>
      </c>
      <c r="AD180" s="19">
        <v>1.0</v>
      </c>
      <c r="AE180" s="19">
        <v>2.0</v>
      </c>
      <c r="AF180" s="13">
        <f t="shared" si="42"/>
        <v>20</v>
      </c>
    </row>
    <row r="181" ht="12.75" customHeight="1">
      <c r="A181" s="18"/>
      <c r="B181" s="55">
        <v>3.0</v>
      </c>
      <c r="C181" s="63" t="s">
        <v>159</v>
      </c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2.0</v>
      </c>
      <c r="T181" s="19">
        <v>0.0</v>
      </c>
      <c r="U181" s="19">
        <v>0.0</v>
      </c>
      <c r="V181" s="19">
        <v>1.0</v>
      </c>
      <c r="W181" s="19">
        <v>0.0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9">
        <v>1.0</v>
      </c>
      <c r="AE181" s="19">
        <v>0.0</v>
      </c>
      <c r="AF181" s="13">
        <f t="shared" si="42"/>
        <v>4</v>
      </c>
    </row>
    <row r="182" ht="12.75" customHeight="1">
      <c r="A182" s="18"/>
      <c r="B182" s="55">
        <v>4.0</v>
      </c>
      <c r="C182" s="50" t="s">
        <v>160</v>
      </c>
      <c r="D182" s="56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1.0</v>
      </c>
      <c r="N182" s="19">
        <v>0.0</v>
      </c>
      <c r="O182" s="19">
        <v>0.0</v>
      </c>
      <c r="P182" s="19">
        <v>0.0</v>
      </c>
      <c r="Q182" s="19">
        <v>0.0</v>
      </c>
      <c r="R182" s="19">
        <v>1.0</v>
      </c>
      <c r="S182" s="19">
        <v>1.0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9">
        <v>0.0</v>
      </c>
      <c r="AE182" s="19">
        <v>0.0</v>
      </c>
      <c r="AF182" s="13">
        <f t="shared" si="42"/>
        <v>3</v>
      </c>
    </row>
    <row r="183" ht="12.75" customHeight="1">
      <c r="A183" s="18"/>
      <c r="B183" s="55">
        <v>5.0</v>
      </c>
      <c r="C183" s="50" t="s">
        <v>161</v>
      </c>
      <c r="D183" s="56"/>
      <c r="E183" s="19">
        <v>0.0</v>
      </c>
      <c r="F183" s="19">
        <v>0.0</v>
      </c>
      <c r="G183" s="19">
        <v>1.0</v>
      </c>
      <c r="H183" s="19">
        <v>1.0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1.0</v>
      </c>
      <c r="Z183" s="19">
        <v>0.0</v>
      </c>
      <c r="AA183" s="19">
        <v>0.0</v>
      </c>
      <c r="AB183" s="19">
        <v>0.0</v>
      </c>
      <c r="AC183" s="19">
        <v>0.0</v>
      </c>
      <c r="AD183" s="19">
        <v>0.0</v>
      </c>
      <c r="AE183" s="19">
        <v>0.0</v>
      </c>
      <c r="AF183" s="13">
        <f t="shared" si="42"/>
        <v>3</v>
      </c>
    </row>
    <row r="184" ht="12.75" customHeight="1">
      <c r="A184" s="18"/>
      <c r="B184" s="55">
        <v>6.0</v>
      </c>
      <c r="C184" s="50" t="s">
        <v>162</v>
      </c>
      <c r="D184" s="56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2.0</v>
      </c>
      <c r="V184" s="19">
        <v>1.0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1.0</v>
      </c>
      <c r="AB184" s="19">
        <v>0.0</v>
      </c>
      <c r="AC184" s="19">
        <v>1.0</v>
      </c>
      <c r="AD184" s="19">
        <v>0.0</v>
      </c>
      <c r="AE184" s="19">
        <v>0.0</v>
      </c>
      <c r="AF184" s="13">
        <f t="shared" si="42"/>
        <v>5</v>
      </c>
    </row>
    <row r="185" ht="12.75" customHeight="1">
      <c r="A185" s="18"/>
      <c r="B185" s="55">
        <v>7.0</v>
      </c>
      <c r="C185" s="50" t="s">
        <v>163</v>
      </c>
      <c r="D185" s="56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1.0</v>
      </c>
      <c r="R185" s="19">
        <v>0.0</v>
      </c>
      <c r="S185" s="19">
        <v>0.0</v>
      </c>
      <c r="T185" s="19">
        <v>0.0</v>
      </c>
      <c r="U185" s="19">
        <v>0.0</v>
      </c>
      <c r="V185" s="19">
        <v>0.0</v>
      </c>
      <c r="W185" s="19">
        <v>0.0</v>
      </c>
      <c r="X185" s="19">
        <v>0.0</v>
      </c>
      <c r="Y185" s="19">
        <v>0.0</v>
      </c>
      <c r="Z185" s="19">
        <v>0.0</v>
      </c>
      <c r="AA185" s="19">
        <v>1.0</v>
      </c>
      <c r="AB185" s="19">
        <v>0.0</v>
      </c>
      <c r="AC185" s="19">
        <v>0.0</v>
      </c>
      <c r="AD185" s="19">
        <v>0.0</v>
      </c>
      <c r="AE185" s="19">
        <v>0.0</v>
      </c>
      <c r="AF185" s="13">
        <f t="shared" si="42"/>
        <v>2</v>
      </c>
    </row>
    <row r="186" ht="12.75" customHeight="1">
      <c r="A186" s="19" t="s">
        <v>15</v>
      </c>
      <c r="B186" s="47" t="s">
        <v>47</v>
      </c>
      <c r="C186" s="15"/>
      <c r="D186" s="16"/>
      <c r="E186" s="13">
        <f t="shared" ref="E186:AF186" si="43">SUM(E178:E185)</f>
        <v>2</v>
      </c>
      <c r="F186" s="13">
        <f t="shared" si="43"/>
        <v>4</v>
      </c>
      <c r="G186" s="13">
        <f t="shared" si="43"/>
        <v>3</v>
      </c>
      <c r="H186" s="13">
        <f t="shared" si="43"/>
        <v>3</v>
      </c>
      <c r="I186" s="13">
        <f t="shared" si="43"/>
        <v>1</v>
      </c>
      <c r="J186" s="13">
        <f t="shared" si="43"/>
        <v>1</v>
      </c>
      <c r="K186" s="13">
        <f t="shared" si="43"/>
        <v>1</v>
      </c>
      <c r="L186" s="13">
        <f t="shared" si="43"/>
        <v>2</v>
      </c>
      <c r="M186" s="13">
        <f t="shared" si="43"/>
        <v>3</v>
      </c>
      <c r="N186" s="13">
        <f t="shared" si="43"/>
        <v>2</v>
      </c>
      <c r="O186" s="13">
        <f t="shared" si="43"/>
        <v>0</v>
      </c>
      <c r="P186" s="13">
        <f t="shared" si="43"/>
        <v>1</v>
      </c>
      <c r="Q186" s="13">
        <f t="shared" si="43"/>
        <v>6</v>
      </c>
      <c r="R186" s="13">
        <f t="shared" si="43"/>
        <v>4</v>
      </c>
      <c r="S186" s="13">
        <f t="shared" si="43"/>
        <v>4</v>
      </c>
      <c r="T186" s="13">
        <f t="shared" si="43"/>
        <v>14</v>
      </c>
      <c r="U186" s="13">
        <f t="shared" si="43"/>
        <v>5</v>
      </c>
      <c r="V186" s="13">
        <f t="shared" si="43"/>
        <v>4</v>
      </c>
      <c r="W186" s="13">
        <f t="shared" si="43"/>
        <v>0</v>
      </c>
      <c r="X186" s="13">
        <f t="shared" si="43"/>
        <v>3</v>
      </c>
      <c r="Y186" s="13">
        <f t="shared" si="43"/>
        <v>3</v>
      </c>
      <c r="Z186" s="13">
        <f t="shared" si="43"/>
        <v>6</v>
      </c>
      <c r="AA186" s="13">
        <f t="shared" si="43"/>
        <v>4</v>
      </c>
      <c r="AB186" s="13">
        <f t="shared" si="43"/>
        <v>3</v>
      </c>
      <c r="AC186" s="13">
        <f t="shared" si="43"/>
        <v>3</v>
      </c>
      <c r="AD186" s="13">
        <f t="shared" si="43"/>
        <v>5</v>
      </c>
      <c r="AE186" s="13">
        <f t="shared" si="43"/>
        <v>4</v>
      </c>
      <c r="AF186" s="13">
        <f t="shared" si="43"/>
        <v>91</v>
      </c>
    </row>
    <row r="187" ht="12.75" customHeight="1">
      <c r="A187" s="24"/>
      <c r="B187" s="15"/>
      <c r="C187" s="15"/>
      <c r="D187" s="15"/>
      <c r="E187" s="16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</row>
    <row r="188" ht="12.75" customHeight="1">
      <c r="A188" s="30" t="s">
        <v>37</v>
      </c>
      <c r="B188" s="47" t="s">
        <v>164</v>
      </c>
      <c r="C188" s="48" t="s">
        <v>165</v>
      </c>
      <c r="D188" s="16"/>
      <c r="E188" s="19">
        <v>0.0</v>
      </c>
      <c r="F188" s="19">
        <v>0.0</v>
      </c>
      <c r="G188" s="19">
        <v>0.0</v>
      </c>
      <c r="H188" s="19">
        <v>0.0</v>
      </c>
      <c r="I188" s="19">
        <v>0.0</v>
      </c>
      <c r="J188" s="19">
        <v>0.0</v>
      </c>
      <c r="K188" s="19">
        <v>0.0</v>
      </c>
      <c r="L188" s="19">
        <v>0.0</v>
      </c>
      <c r="M188" s="19">
        <v>0.0</v>
      </c>
      <c r="N188" s="19">
        <v>0.0</v>
      </c>
      <c r="O188" s="19">
        <v>0.0</v>
      </c>
      <c r="P188" s="19">
        <v>1.0</v>
      </c>
      <c r="Q188" s="19">
        <v>0.0</v>
      </c>
      <c r="R188" s="19">
        <v>0.0</v>
      </c>
      <c r="S188" s="19">
        <v>0.0</v>
      </c>
      <c r="T188" s="19">
        <v>1.0</v>
      </c>
      <c r="U188" s="19">
        <v>1.0</v>
      </c>
      <c r="V188" s="19">
        <v>0.0</v>
      </c>
      <c r="W188" s="19">
        <v>0.0</v>
      </c>
      <c r="X188" s="19">
        <v>0.0</v>
      </c>
      <c r="Y188" s="19">
        <v>0.0</v>
      </c>
      <c r="Z188" s="19">
        <v>1.0</v>
      </c>
      <c r="AA188" s="19">
        <v>0.0</v>
      </c>
      <c r="AB188" s="19">
        <v>0.0</v>
      </c>
      <c r="AC188" s="19">
        <v>1.0</v>
      </c>
      <c r="AD188" s="19">
        <v>0.0</v>
      </c>
      <c r="AE188" s="19">
        <v>0.0</v>
      </c>
      <c r="AF188" s="13">
        <f t="shared" ref="AF188:AF195" si="44">SUM(E188:AE188)</f>
        <v>5</v>
      </c>
    </row>
    <row r="189" ht="12.75" customHeight="1">
      <c r="A189" s="30" t="s">
        <v>39</v>
      </c>
      <c r="B189" s="55">
        <v>1.0</v>
      </c>
      <c r="C189" s="50" t="s">
        <v>166</v>
      </c>
      <c r="D189" s="57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0.0</v>
      </c>
      <c r="K189" s="19">
        <v>1.0</v>
      </c>
      <c r="L189" s="19">
        <v>0.0</v>
      </c>
      <c r="M189" s="19">
        <v>1.0</v>
      </c>
      <c r="N189" s="19">
        <v>1.0</v>
      </c>
      <c r="O189" s="19">
        <v>0.0</v>
      </c>
      <c r="P189" s="19">
        <v>1.0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3.0</v>
      </c>
      <c r="AC189" s="19">
        <v>0.0</v>
      </c>
      <c r="AD189" s="19">
        <v>0.0</v>
      </c>
      <c r="AE189" s="19">
        <v>0.0</v>
      </c>
      <c r="AF189" s="13">
        <f t="shared" si="44"/>
        <v>8</v>
      </c>
    </row>
    <row r="190" ht="12.75" customHeight="1">
      <c r="A190" s="18"/>
      <c r="B190" s="55">
        <v>2.0</v>
      </c>
      <c r="C190" s="50" t="s">
        <v>167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1.0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1.0</v>
      </c>
      <c r="AB190" s="19">
        <v>1.0</v>
      </c>
      <c r="AC190" s="19">
        <v>0.0</v>
      </c>
      <c r="AD190" s="19">
        <v>0.0</v>
      </c>
      <c r="AE190" s="19">
        <v>0.0</v>
      </c>
      <c r="AF190" s="13">
        <f t="shared" si="44"/>
        <v>3</v>
      </c>
    </row>
    <row r="191" ht="12.75" customHeight="1">
      <c r="A191" s="18"/>
      <c r="B191" s="55">
        <v>3.0</v>
      </c>
      <c r="C191" s="50" t="s">
        <v>168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1.0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9">
        <v>0.0</v>
      </c>
      <c r="AE191" s="19">
        <v>0.0</v>
      </c>
      <c r="AF191" s="13">
        <f t="shared" si="44"/>
        <v>1</v>
      </c>
    </row>
    <row r="192" ht="12.75" customHeight="1">
      <c r="A192" s="18"/>
      <c r="B192" s="55">
        <v>4.0</v>
      </c>
      <c r="C192" s="50" t="s">
        <v>169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9">
        <v>0.0</v>
      </c>
      <c r="AE192" s="19">
        <v>0.0</v>
      </c>
      <c r="AF192" s="13">
        <f t="shared" si="44"/>
        <v>0</v>
      </c>
    </row>
    <row r="193" ht="12.75" customHeight="1">
      <c r="A193" s="18"/>
      <c r="B193" s="55">
        <v>5.0</v>
      </c>
      <c r="C193" s="50" t="s">
        <v>170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9">
        <v>0.0</v>
      </c>
      <c r="AD193" s="19">
        <v>0.0</v>
      </c>
      <c r="AE193" s="19">
        <v>0.0</v>
      </c>
      <c r="AF193" s="13">
        <f t="shared" si="44"/>
        <v>0</v>
      </c>
    </row>
    <row r="194" ht="12.75" customHeight="1">
      <c r="A194" s="18"/>
      <c r="B194" s="55">
        <v>6.0</v>
      </c>
      <c r="C194" s="50" t="s">
        <v>171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9">
        <v>0.0</v>
      </c>
      <c r="AE194" s="19">
        <v>0.0</v>
      </c>
      <c r="AF194" s="13">
        <f t="shared" si="44"/>
        <v>0</v>
      </c>
    </row>
    <row r="195" ht="12.75" customHeight="1">
      <c r="A195" s="18"/>
      <c r="B195" s="55">
        <v>7.0</v>
      </c>
      <c r="C195" s="50" t="s">
        <v>172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1.0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1.0</v>
      </c>
      <c r="V195" s="19">
        <v>1.0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9">
        <v>0.0</v>
      </c>
      <c r="AE195" s="19">
        <v>0.0</v>
      </c>
      <c r="AF195" s="13">
        <f t="shared" si="44"/>
        <v>3</v>
      </c>
    </row>
    <row r="196" ht="12.75" customHeight="1">
      <c r="A196" s="19" t="s">
        <v>15</v>
      </c>
      <c r="B196" s="47" t="s">
        <v>47</v>
      </c>
      <c r="C196" s="15"/>
      <c r="D196" s="16"/>
      <c r="E196" s="13">
        <f t="shared" ref="E196:AF196" si="45">SUM(E188:E195)</f>
        <v>0</v>
      </c>
      <c r="F196" s="13">
        <f t="shared" si="45"/>
        <v>1</v>
      </c>
      <c r="G196" s="13">
        <f t="shared" si="45"/>
        <v>0</v>
      </c>
      <c r="H196" s="13">
        <f t="shared" si="45"/>
        <v>0</v>
      </c>
      <c r="I196" s="13">
        <f t="shared" si="45"/>
        <v>1</v>
      </c>
      <c r="J196" s="13">
        <f t="shared" si="45"/>
        <v>0</v>
      </c>
      <c r="K196" s="13">
        <f t="shared" si="45"/>
        <v>1</v>
      </c>
      <c r="L196" s="13">
        <f t="shared" si="45"/>
        <v>0</v>
      </c>
      <c r="M196" s="13">
        <f t="shared" si="45"/>
        <v>1</v>
      </c>
      <c r="N196" s="13">
        <f t="shared" si="45"/>
        <v>1</v>
      </c>
      <c r="O196" s="13">
        <f t="shared" si="45"/>
        <v>0</v>
      </c>
      <c r="P196" s="13">
        <f t="shared" si="45"/>
        <v>2</v>
      </c>
      <c r="Q196" s="13">
        <f t="shared" si="45"/>
        <v>1</v>
      </c>
      <c r="R196" s="13">
        <f t="shared" si="45"/>
        <v>1</v>
      </c>
      <c r="S196" s="13">
        <f t="shared" si="45"/>
        <v>0</v>
      </c>
      <c r="T196" s="13">
        <f t="shared" si="45"/>
        <v>1</v>
      </c>
      <c r="U196" s="13">
        <f t="shared" si="45"/>
        <v>2</v>
      </c>
      <c r="V196" s="13">
        <f t="shared" si="45"/>
        <v>1</v>
      </c>
      <c r="W196" s="13">
        <f t="shared" si="45"/>
        <v>0</v>
      </c>
      <c r="X196" s="13">
        <f t="shared" si="45"/>
        <v>0</v>
      </c>
      <c r="Y196" s="13">
        <f t="shared" si="45"/>
        <v>0</v>
      </c>
      <c r="Z196" s="13">
        <f t="shared" si="45"/>
        <v>1</v>
      </c>
      <c r="AA196" s="13">
        <f t="shared" si="45"/>
        <v>1</v>
      </c>
      <c r="AB196" s="13">
        <f t="shared" si="45"/>
        <v>4</v>
      </c>
      <c r="AC196" s="13">
        <f t="shared" si="45"/>
        <v>1</v>
      </c>
      <c r="AD196" s="13">
        <f t="shared" si="45"/>
        <v>0</v>
      </c>
      <c r="AE196" s="13">
        <f t="shared" si="45"/>
        <v>0</v>
      </c>
      <c r="AF196" s="13">
        <f t="shared" si="45"/>
        <v>20</v>
      </c>
    </row>
    <row r="197" ht="12.75" customHeight="1">
      <c r="A197" s="24"/>
      <c r="B197" s="15"/>
      <c r="C197" s="15"/>
      <c r="D197" s="15"/>
      <c r="E197" s="16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</row>
    <row r="198" ht="12.75" customHeight="1">
      <c r="A198" s="30" t="s">
        <v>37</v>
      </c>
      <c r="B198" s="47" t="s">
        <v>173</v>
      </c>
      <c r="C198" s="48" t="s">
        <v>174</v>
      </c>
      <c r="D198" s="16"/>
      <c r="E198" s="19">
        <v>1.0</v>
      </c>
      <c r="F198" s="19">
        <v>1.0</v>
      </c>
      <c r="G198" s="19">
        <v>1.0</v>
      </c>
      <c r="H198" s="19">
        <v>2.0</v>
      </c>
      <c r="I198" s="19">
        <v>0.0</v>
      </c>
      <c r="J198" s="19">
        <v>1.0</v>
      </c>
      <c r="K198" s="19">
        <v>0.0</v>
      </c>
      <c r="L198" s="19">
        <v>0.0</v>
      </c>
      <c r="M198" s="19">
        <v>5.0</v>
      </c>
      <c r="N198" s="19">
        <v>1.0</v>
      </c>
      <c r="O198" s="19">
        <v>3.0</v>
      </c>
      <c r="P198" s="19">
        <v>1.0</v>
      </c>
      <c r="Q198" s="19">
        <v>0.0</v>
      </c>
      <c r="R198" s="19">
        <v>0.0</v>
      </c>
      <c r="S198" s="19">
        <v>2.0</v>
      </c>
      <c r="T198" s="19">
        <v>1.0</v>
      </c>
      <c r="U198" s="19">
        <v>3.0</v>
      </c>
      <c r="V198" s="19">
        <v>0.0</v>
      </c>
      <c r="W198" s="19">
        <v>0.0</v>
      </c>
      <c r="X198" s="19">
        <v>0.0</v>
      </c>
      <c r="Y198" s="19">
        <v>0.0</v>
      </c>
      <c r="Z198" s="19">
        <v>0.0</v>
      </c>
      <c r="AA198" s="19">
        <v>1.0</v>
      </c>
      <c r="AB198" s="19">
        <v>1.0</v>
      </c>
      <c r="AC198" s="19">
        <v>0.0</v>
      </c>
      <c r="AD198" s="19">
        <v>0.0</v>
      </c>
      <c r="AE198" s="19">
        <v>3.0</v>
      </c>
      <c r="AF198" s="13">
        <f t="shared" ref="AF198:AF205" si="46">SUM(E198:AE198)</f>
        <v>27</v>
      </c>
    </row>
    <row r="199" ht="12.75" customHeight="1">
      <c r="A199" s="30" t="s">
        <v>39</v>
      </c>
      <c r="B199" s="55">
        <v>1.0</v>
      </c>
      <c r="C199" s="50" t="s">
        <v>175</v>
      </c>
      <c r="D199" s="57"/>
      <c r="E199" s="19">
        <v>0.0</v>
      </c>
      <c r="F199" s="19">
        <v>0.0</v>
      </c>
      <c r="G199" s="19">
        <v>0.0</v>
      </c>
      <c r="H199" s="19">
        <v>0.0</v>
      </c>
      <c r="I199" s="19">
        <v>0.0</v>
      </c>
      <c r="J199" s="19">
        <v>0.0</v>
      </c>
      <c r="K199" s="19">
        <v>0.0</v>
      </c>
      <c r="L199" s="19">
        <v>1.0</v>
      </c>
      <c r="M199" s="19">
        <v>0.0</v>
      </c>
      <c r="N199" s="19">
        <v>1.0</v>
      </c>
      <c r="O199" s="19">
        <v>0.0</v>
      </c>
      <c r="P199" s="19">
        <v>0.0</v>
      </c>
      <c r="Q199" s="19">
        <v>0.0</v>
      </c>
      <c r="R199" s="19">
        <v>0.0</v>
      </c>
      <c r="S199" s="19">
        <v>0.0</v>
      </c>
      <c r="T199" s="19">
        <v>0.0</v>
      </c>
      <c r="U199" s="19">
        <v>0.0</v>
      </c>
      <c r="V199" s="19">
        <v>0.0</v>
      </c>
      <c r="W199" s="19">
        <v>0.0</v>
      </c>
      <c r="X199" s="19">
        <v>1.0</v>
      </c>
      <c r="Y199" s="19">
        <v>0.0</v>
      </c>
      <c r="Z199" s="19">
        <v>0.0</v>
      </c>
      <c r="AA199" s="19">
        <v>0.0</v>
      </c>
      <c r="AB199" s="19">
        <v>0.0</v>
      </c>
      <c r="AC199" s="19">
        <v>3.0</v>
      </c>
      <c r="AD199" s="19">
        <v>2.0</v>
      </c>
      <c r="AE199" s="19">
        <v>1.0</v>
      </c>
      <c r="AF199" s="13">
        <f t="shared" si="46"/>
        <v>9</v>
      </c>
    </row>
    <row r="200" ht="12.75" customHeight="1">
      <c r="A200" s="18"/>
      <c r="B200" s="55">
        <v>2.0</v>
      </c>
      <c r="C200" s="50" t="s">
        <v>176</v>
      </c>
      <c r="D200" s="57"/>
      <c r="E200" s="19">
        <v>1.0</v>
      </c>
      <c r="F200" s="19">
        <v>0.0</v>
      </c>
      <c r="G200" s="19">
        <v>1.0</v>
      </c>
      <c r="H200" s="19">
        <v>1.0</v>
      </c>
      <c r="I200" s="19">
        <v>1.0</v>
      </c>
      <c r="J200" s="19">
        <v>0.0</v>
      </c>
      <c r="K200" s="19">
        <v>0.0</v>
      </c>
      <c r="L200" s="19">
        <v>0.0</v>
      </c>
      <c r="M200" s="19">
        <v>0.0</v>
      </c>
      <c r="N200" s="19">
        <v>0.0</v>
      </c>
      <c r="O200" s="19">
        <v>0.0</v>
      </c>
      <c r="P200" s="19">
        <v>0.0</v>
      </c>
      <c r="Q200" s="19">
        <v>0.0</v>
      </c>
      <c r="R200" s="19">
        <v>1.0</v>
      </c>
      <c r="S200" s="19">
        <v>1.0</v>
      </c>
      <c r="T200" s="19">
        <v>0.0</v>
      </c>
      <c r="U200" s="19">
        <v>2.0</v>
      </c>
      <c r="V200" s="19">
        <v>0.0</v>
      </c>
      <c r="W200" s="19">
        <v>0.0</v>
      </c>
      <c r="X200" s="19">
        <v>1.0</v>
      </c>
      <c r="Y200" s="19">
        <v>0.0</v>
      </c>
      <c r="Z200" s="19">
        <v>0.0</v>
      </c>
      <c r="AA200" s="19">
        <v>0.0</v>
      </c>
      <c r="AB200" s="19">
        <v>0.0</v>
      </c>
      <c r="AC200" s="19">
        <v>2.0</v>
      </c>
      <c r="AD200" s="19">
        <v>0.0</v>
      </c>
      <c r="AE200" s="19">
        <v>6.0</v>
      </c>
      <c r="AF200" s="13">
        <f t="shared" si="46"/>
        <v>17</v>
      </c>
    </row>
    <row r="201" ht="12.75" customHeight="1">
      <c r="A201" s="18"/>
      <c r="B201" s="55">
        <v>3.0</v>
      </c>
      <c r="C201" s="50" t="s">
        <v>177</v>
      </c>
      <c r="D201" s="57"/>
      <c r="E201" s="19">
        <v>0.0</v>
      </c>
      <c r="F201" s="19">
        <v>0.0</v>
      </c>
      <c r="G201" s="19">
        <v>0.0</v>
      </c>
      <c r="H201" s="19">
        <v>0.0</v>
      </c>
      <c r="I201" s="19">
        <v>1.0</v>
      </c>
      <c r="J201" s="19">
        <v>0.0</v>
      </c>
      <c r="K201" s="19">
        <v>0.0</v>
      </c>
      <c r="L201" s="19">
        <v>0.0</v>
      </c>
      <c r="M201" s="19">
        <v>0.0</v>
      </c>
      <c r="N201" s="19">
        <v>0.0</v>
      </c>
      <c r="O201" s="19">
        <v>0.0</v>
      </c>
      <c r="P201" s="19">
        <v>0.0</v>
      </c>
      <c r="Q201" s="19">
        <v>0.0</v>
      </c>
      <c r="R201" s="19">
        <v>0.0</v>
      </c>
      <c r="S201" s="19">
        <v>0.0</v>
      </c>
      <c r="T201" s="19">
        <v>0.0</v>
      </c>
      <c r="U201" s="19">
        <v>0.0</v>
      </c>
      <c r="V201" s="19">
        <v>0.0</v>
      </c>
      <c r="W201" s="19">
        <v>0.0</v>
      </c>
      <c r="X201" s="19">
        <v>0.0</v>
      </c>
      <c r="Y201" s="19">
        <v>0.0</v>
      </c>
      <c r="Z201" s="19">
        <v>0.0</v>
      </c>
      <c r="AA201" s="19">
        <v>0.0</v>
      </c>
      <c r="AB201" s="19">
        <v>1.0</v>
      </c>
      <c r="AC201" s="19">
        <v>1.0</v>
      </c>
      <c r="AD201" s="19">
        <v>0.0</v>
      </c>
      <c r="AE201" s="19">
        <v>0.0</v>
      </c>
      <c r="AF201" s="13">
        <f t="shared" si="46"/>
        <v>3</v>
      </c>
    </row>
    <row r="202" ht="12.75" customHeight="1">
      <c r="A202" s="18"/>
      <c r="B202" s="55">
        <v>4.0</v>
      </c>
      <c r="C202" s="50" t="s">
        <v>178</v>
      </c>
      <c r="D202" s="57"/>
      <c r="E202" s="19">
        <v>0.0</v>
      </c>
      <c r="F202" s="19">
        <v>0.0</v>
      </c>
      <c r="G202" s="19">
        <v>0.0</v>
      </c>
      <c r="H202" s="19">
        <v>0.0</v>
      </c>
      <c r="I202" s="19">
        <v>0.0</v>
      </c>
      <c r="J202" s="19">
        <v>0.0</v>
      </c>
      <c r="K202" s="19">
        <v>0.0</v>
      </c>
      <c r="L202" s="19">
        <v>0.0</v>
      </c>
      <c r="M202" s="19">
        <v>0.0</v>
      </c>
      <c r="N202" s="19">
        <v>0.0</v>
      </c>
      <c r="O202" s="19">
        <v>1.0</v>
      </c>
      <c r="P202" s="19">
        <v>0.0</v>
      </c>
      <c r="Q202" s="19">
        <v>0.0</v>
      </c>
      <c r="R202" s="19">
        <v>0.0</v>
      </c>
      <c r="S202" s="19">
        <v>0.0</v>
      </c>
      <c r="T202" s="19">
        <v>0.0</v>
      </c>
      <c r="U202" s="19">
        <v>1.0</v>
      </c>
      <c r="V202" s="19">
        <v>0.0</v>
      </c>
      <c r="W202" s="19">
        <v>0.0</v>
      </c>
      <c r="X202" s="19">
        <v>0.0</v>
      </c>
      <c r="Y202" s="19">
        <v>0.0</v>
      </c>
      <c r="Z202" s="19">
        <v>0.0</v>
      </c>
      <c r="AA202" s="19">
        <v>0.0</v>
      </c>
      <c r="AB202" s="19">
        <v>0.0</v>
      </c>
      <c r="AC202" s="19">
        <v>0.0</v>
      </c>
      <c r="AD202" s="19">
        <v>0.0</v>
      </c>
      <c r="AE202" s="19">
        <v>1.0</v>
      </c>
      <c r="AF202" s="13">
        <f t="shared" si="46"/>
        <v>3</v>
      </c>
    </row>
    <row r="203" ht="12.75" customHeight="1">
      <c r="A203" s="18"/>
      <c r="B203" s="55">
        <v>5.0</v>
      </c>
      <c r="C203" s="50" t="s">
        <v>179</v>
      </c>
      <c r="D203" s="57"/>
      <c r="E203" s="19">
        <v>0.0</v>
      </c>
      <c r="F203" s="19">
        <v>0.0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0.0</v>
      </c>
      <c r="M203" s="19">
        <v>0.0</v>
      </c>
      <c r="N203" s="19">
        <v>0.0</v>
      </c>
      <c r="O203" s="19">
        <v>0.0</v>
      </c>
      <c r="P203" s="19">
        <v>1.0</v>
      </c>
      <c r="Q203" s="19">
        <v>0.0</v>
      </c>
      <c r="R203" s="19">
        <v>0.0</v>
      </c>
      <c r="S203" s="19">
        <v>0.0</v>
      </c>
      <c r="T203" s="19">
        <v>0.0</v>
      </c>
      <c r="U203" s="19">
        <v>0.0</v>
      </c>
      <c r="V203" s="19">
        <v>0.0</v>
      </c>
      <c r="W203" s="19">
        <v>0.0</v>
      </c>
      <c r="X203" s="19">
        <v>0.0</v>
      </c>
      <c r="Y203" s="19">
        <v>0.0</v>
      </c>
      <c r="Z203" s="19">
        <v>0.0</v>
      </c>
      <c r="AA203" s="19">
        <v>0.0</v>
      </c>
      <c r="AB203" s="19">
        <v>0.0</v>
      </c>
      <c r="AC203" s="19">
        <v>0.0</v>
      </c>
      <c r="AD203" s="19">
        <v>0.0</v>
      </c>
      <c r="AE203" s="19">
        <v>0.0</v>
      </c>
      <c r="AF203" s="13">
        <f t="shared" si="46"/>
        <v>1</v>
      </c>
    </row>
    <row r="204" ht="12.75" customHeight="1">
      <c r="A204" s="18"/>
      <c r="B204" s="55">
        <v>6.0</v>
      </c>
      <c r="C204" s="50" t="s">
        <v>180</v>
      </c>
      <c r="D204" s="57"/>
      <c r="E204" s="19">
        <v>0.0</v>
      </c>
      <c r="F204" s="19">
        <v>1.0</v>
      </c>
      <c r="G204" s="19">
        <v>0.0</v>
      </c>
      <c r="H204" s="19">
        <v>1.0</v>
      </c>
      <c r="I204" s="19">
        <v>0.0</v>
      </c>
      <c r="J204" s="19">
        <v>1.0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0.0</v>
      </c>
      <c r="AD204" s="19">
        <v>0.0</v>
      </c>
      <c r="AE204" s="19">
        <v>0.0</v>
      </c>
      <c r="AF204" s="13">
        <f t="shared" si="46"/>
        <v>3</v>
      </c>
    </row>
    <row r="205" ht="12.75" customHeight="1">
      <c r="A205" s="18"/>
      <c r="B205" s="55">
        <v>7.0</v>
      </c>
      <c r="C205" s="50" t="s">
        <v>181</v>
      </c>
      <c r="D205" s="57"/>
      <c r="E205" s="19">
        <v>3.0</v>
      </c>
      <c r="F205" s="19">
        <v>2.0</v>
      </c>
      <c r="G205" s="19">
        <v>13.0</v>
      </c>
      <c r="H205" s="19">
        <v>27.0</v>
      </c>
      <c r="I205" s="19">
        <v>2.0</v>
      </c>
      <c r="J205" s="19">
        <v>32.0</v>
      </c>
      <c r="K205" s="19">
        <v>15.0</v>
      </c>
      <c r="L205" s="19">
        <v>51.0</v>
      </c>
      <c r="M205" s="19">
        <v>50.0</v>
      </c>
      <c r="N205" s="19">
        <v>29.0</v>
      </c>
      <c r="O205" s="19">
        <v>33.0</v>
      </c>
      <c r="P205" s="19">
        <v>23.0</v>
      </c>
      <c r="Q205" s="19">
        <v>12.0</v>
      </c>
      <c r="R205" s="19">
        <v>31.0</v>
      </c>
      <c r="S205" s="19">
        <v>31.0</v>
      </c>
      <c r="T205" s="19">
        <v>8.0</v>
      </c>
      <c r="U205" s="19">
        <v>1.0</v>
      </c>
      <c r="V205" s="19">
        <v>4.0</v>
      </c>
      <c r="W205" s="19">
        <v>8.0</v>
      </c>
      <c r="X205" s="19">
        <v>20.0</v>
      </c>
      <c r="Y205" s="19">
        <v>19.0</v>
      </c>
      <c r="Z205" s="19">
        <v>34.0</v>
      </c>
      <c r="AA205" s="19">
        <v>18.0</v>
      </c>
      <c r="AB205" s="19">
        <v>6.0</v>
      </c>
      <c r="AC205" s="19">
        <v>8.0</v>
      </c>
      <c r="AD205" s="19">
        <v>4.0</v>
      </c>
      <c r="AE205" s="19">
        <v>18.0</v>
      </c>
      <c r="AF205" s="13">
        <f t="shared" si="46"/>
        <v>502</v>
      </c>
    </row>
    <row r="206" ht="12.75" customHeight="1">
      <c r="A206" s="19" t="s">
        <v>15</v>
      </c>
      <c r="B206" s="47" t="s">
        <v>47</v>
      </c>
      <c r="C206" s="15"/>
      <c r="D206" s="16"/>
      <c r="E206" s="13">
        <f t="shared" ref="E206:AF206" si="47">SUM(E198:E205)</f>
        <v>5</v>
      </c>
      <c r="F206" s="13">
        <f t="shared" si="47"/>
        <v>4</v>
      </c>
      <c r="G206" s="13">
        <f t="shared" si="47"/>
        <v>15</v>
      </c>
      <c r="H206" s="13">
        <f t="shared" si="47"/>
        <v>31</v>
      </c>
      <c r="I206" s="13">
        <f t="shared" si="47"/>
        <v>4</v>
      </c>
      <c r="J206" s="13">
        <f t="shared" si="47"/>
        <v>34</v>
      </c>
      <c r="K206" s="13">
        <f t="shared" si="47"/>
        <v>15</v>
      </c>
      <c r="L206" s="13">
        <f t="shared" si="47"/>
        <v>52</v>
      </c>
      <c r="M206" s="13">
        <f t="shared" si="47"/>
        <v>55</v>
      </c>
      <c r="N206" s="13">
        <f t="shared" si="47"/>
        <v>31</v>
      </c>
      <c r="O206" s="13">
        <f t="shared" si="47"/>
        <v>37</v>
      </c>
      <c r="P206" s="13">
        <f t="shared" si="47"/>
        <v>25</v>
      </c>
      <c r="Q206" s="13">
        <f t="shared" si="47"/>
        <v>12</v>
      </c>
      <c r="R206" s="13">
        <f t="shared" si="47"/>
        <v>32</v>
      </c>
      <c r="S206" s="13">
        <f t="shared" si="47"/>
        <v>34</v>
      </c>
      <c r="T206" s="13">
        <f t="shared" si="47"/>
        <v>9</v>
      </c>
      <c r="U206" s="13">
        <f t="shared" si="47"/>
        <v>7</v>
      </c>
      <c r="V206" s="13">
        <f t="shared" si="47"/>
        <v>4</v>
      </c>
      <c r="W206" s="13">
        <f t="shared" si="47"/>
        <v>8</v>
      </c>
      <c r="X206" s="13">
        <f t="shared" si="47"/>
        <v>22</v>
      </c>
      <c r="Y206" s="13">
        <f t="shared" si="47"/>
        <v>19</v>
      </c>
      <c r="Z206" s="13">
        <f t="shared" si="47"/>
        <v>34</v>
      </c>
      <c r="AA206" s="13">
        <f t="shared" si="47"/>
        <v>19</v>
      </c>
      <c r="AB206" s="13">
        <f t="shared" si="47"/>
        <v>8</v>
      </c>
      <c r="AC206" s="13">
        <f t="shared" si="47"/>
        <v>14</v>
      </c>
      <c r="AD206" s="13">
        <f t="shared" si="47"/>
        <v>6</v>
      </c>
      <c r="AE206" s="13">
        <f t="shared" si="47"/>
        <v>29</v>
      </c>
      <c r="AF206" s="13">
        <f t="shared" si="47"/>
        <v>565</v>
      </c>
    </row>
    <row r="207" ht="12.75" customHeight="1">
      <c r="A207" s="24"/>
      <c r="B207" s="15"/>
      <c r="C207" s="15"/>
      <c r="D207" s="15"/>
      <c r="E207" s="16"/>
    </row>
    <row r="208" ht="12.75" customHeight="1">
      <c r="A208" s="30" t="s">
        <v>37</v>
      </c>
      <c r="B208" s="47" t="s">
        <v>182</v>
      </c>
      <c r="C208" s="48" t="s">
        <v>183</v>
      </c>
      <c r="D208" s="16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1.0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1.0</v>
      </c>
      <c r="Q208" s="19">
        <v>1.0</v>
      </c>
      <c r="R208" s="19">
        <v>0.0</v>
      </c>
      <c r="S208" s="19">
        <v>0.0</v>
      </c>
      <c r="T208" s="19">
        <v>0.0</v>
      </c>
      <c r="U208" s="19">
        <v>1.0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9">
        <v>0.0</v>
      </c>
      <c r="AE208" s="19">
        <v>0.0</v>
      </c>
      <c r="AF208" s="13">
        <f t="shared" ref="AF208:AF214" si="48">SUM(E208:AE208)</f>
        <v>4</v>
      </c>
    </row>
    <row r="209" ht="12.75" customHeight="1">
      <c r="A209" s="30" t="s">
        <v>39</v>
      </c>
      <c r="B209" s="55">
        <v>1.0</v>
      </c>
      <c r="C209" s="61" t="s">
        <v>184</v>
      </c>
      <c r="D209" s="57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1.0</v>
      </c>
      <c r="Q209" s="19">
        <v>0.0</v>
      </c>
      <c r="R209" s="19">
        <v>0.0</v>
      </c>
      <c r="S209" s="19">
        <v>0.0</v>
      </c>
      <c r="T209" s="19">
        <v>0.0</v>
      </c>
      <c r="U209" s="19">
        <v>3.0</v>
      </c>
      <c r="V209" s="19">
        <v>1.0</v>
      </c>
      <c r="W209" s="19">
        <v>0.0</v>
      </c>
      <c r="X209" s="19">
        <v>0.0</v>
      </c>
      <c r="Y209" s="19">
        <v>0.0</v>
      </c>
      <c r="Z209" s="19">
        <v>0.0</v>
      </c>
      <c r="AA209" s="19">
        <v>0.0</v>
      </c>
      <c r="AB209" s="19">
        <v>0.0</v>
      </c>
      <c r="AC209" s="19">
        <v>0.0</v>
      </c>
      <c r="AD209" s="19">
        <v>0.0</v>
      </c>
      <c r="AE209" s="19">
        <v>0.0</v>
      </c>
      <c r="AF209" s="13">
        <f t="shared" si="48"/>
        <v>5</v>
      </c>
    </row>
    <row r="210" ht="12.75" customHeight="1">
      <c r="A210" s="18"/>
      <c r="B210" s="55">
        <v>2.0</v>
      </c>
      <c r="C210" s="61" t="s">
        <v>185</v>
      </c>
      <c r="D210" s="57"/>
      <c r="E210" s="19">
        <v>0.0</v>
      </c>
      <c r="F210" s="19">
        <v>1.0</v>
      </c>
      <c r="G210" s="19">
        <v>0.0</v>
      </c>
      <c r="H210" s="19">
        <v>0.0</v>
      </c>
      <c r="I210" s="19">
        <v>1.0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9">
        <v>0.0</v>
      </c>
      <c r="U210" s="19">
        <v>0.0</v>
      </c>
      <c r="V210" s="19">
        <v>0.0</v>
      </c>
      <c r="W210" s="19">
        <v>0.0</v>
      </c>
      <c r="X210" s="19">
        <v>0.0</v>
      </c>
      <c r="Y210" s="19">
        <v>0.0</v>
      </c>
      <c r="Z210" s="19">
        <v>0.0</v>
      </c>
      <c r="AA210" s="19">
        <v>0.0</v>
      </c>
      <c r="AB210" s="19">
        <v>0.0</v>
      </c>
      <c r="AC210" s="19">
        <v>0.0</v>
      </c>
      <c r="AD210" s="19">
        <v>0.0</v>
      </c>
      <c r="AE210" s="19">
        <v>0.0</v>
      </c>
      <c r="AF210" s="13">
        <f t="shared" si="48"/>
        <v>2</v>
      </c>
    </row>
    <row r="211" ht="12.75" customHeight="1">
      <c r="A211" s="18"/>
      <c r="B211" s="55">
        <v>3.0</v>
      </c>
      <c r="C211" s="61" t="s">
        <v>186</v>
      </c>
      <c r="D211" s="57"/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>
        <v>0.0</v>
      </c>
      <c r="M211" s="19">
        <v>0.0</v>
      </c>
      <c r="N211" s="19">
        <v>0.0</v>
      </c>
      <c r="O211" s="19">
        <v>0.0</v>
      </c>
      <c r="P211" s="19">
        <v>0.0</v>
      </c>
      <c r="Q211" s="19">
        <v>0.0</v>
      </c>
      <c r="R211" s="19">
        <v>0.0</v>
      </c>
      <c r="S211" s="19">
        <v>0.0</v>
      </c>
      <c r="T211" s="19">
        <v>0.0</v>
      </c>
      <c r="U211" s="19">
        <v>0.0</v>
      </c>
      <c r="V211" s="19">
        <v>0.0</v>
      </c>
      <c r="W211" s="19">
        <v>0.0</v>
      </c>
      <c r="X211" s="19">
        <v>0.0</v>
      </c>
      <c r="Y211" s="19">
        <v>0.0</v>
      </c>
      <c r="Z211" s="19">
        <v>0.0</v>
      </c>
      <c r="AA211" s="19">
        <v>0.0</v>
      </c>
      <c r="AB211" s="19">
        <v>0.0</v>
      </c>
      <c r="AC211" s="19">
        <v>0.0</v>
      </c>
      <c r="AD211" s="19">
        <v>0.0</v>
      </c>
      <c r="AE211" s="19">
        <v>0.0</v>
      </c>
      <c r="AF211" s="13">
        <f t="shared" si="48"/>
        <v>0</v>
      </c>
    </row>
    <row r="212" ht="12.75" customHeight="1">
      <c r="A212" s="18"/>
      <c r="B212" s="55">
        <v>4.0</v>
      </c>
      <c r="C212" s="61" t="s">
        <v>187</v>
      </c>
      <c r="D212" s="57"/>
      <c r="E212" s="19">
        <v>0.0</v>
      </c>
      <c r="F212" s="19">
        <v>0.0</v>
      </c>
      <c r="G212" s="19">
        <v>0.0</v>
      </c>
      <c r="H212" s="19">
        <v>0.0</v>
      </c>
      <c r="I212" s="19">
        <v>0.0</v>
      </c>
      <c r="J212" s="19">
        <v>0.0</v>
      </c>
      <c r="K212" s="19">
        <v>0.0</v>
      </c>
      <c r="L212" s="19">
        <v>0.0</v>
      </c>
      <c r="M212" s="19">
        <v>0.0</v>
      </c>
      <c r="N212" s="19">
        <v>0.0</v>
      </c>
      <c r="O212" s="19">
        <v>0.0</v>
      </c>
      <c r="P212" s="19">
        <v>1.0</v>
      </c>
      <c r="Q212" s="19">
        <v>0.0</v>
      </c>
      <c r="R212" s="19">
        <v>0.0</v>
      </c>
      <c r="S212" s="19">
        <v>0.0</v>
      </c>
      <c r="T212" s="19">
        <v>0.0</v>
      </c>
      <c r="U212" s="19">
        <v>0.0</v>
      </c>
      <c r="V212" s="19">
        <v>0.0</v>
      </c>
      <c r="W212" s="19">
        <v>0.0</v>
      </c>
      <c r="X212" s="19">
        <v>0.0</v>
      </c>
      <c r="Y212" s="19">
        <v>0.0</v>
      </c>
      <c r="Z212" s="19">
        <v>0.0</v>
      </c>
      <c r="AA212" s="19">
        <v>0.0</v>
      </c>
      <c r="AB212" s="19">
        <v>0.0</v>
      </c>
      <c r="AC212" s="19">
        <v>0.0</v>
      </c>
      <c r="AD212" s="19">
        <v>0.0</v>
      </c>
      <c r="AE212" s="19">
        <v>0.0</v>
      </c>
      <c r="AF212" s="13">
        <f t="shared" si="48"/>
        <v>1</v>
      </c>
    </row>
    <row r="213" ht="12.75" customHeight="1">
      <c r="A213" s="18"/>
      <c r="B213" s="55">
        <v>5.0</v>
      </c>
      <c r="C213" s="61" t="s">
        <v>188</v>
      </c>
      <c r="D213" s="57"/>
      <c r="E213" s="19">
        <v>0.0</v>
      </c>
      <c r="F213" s="19">
        <v>0.0</v>
      </c>
      <c r="G213" s="19">
        <v>0.0</v>
      </c>
      <c r="H213" s="19">
        <v>0.0</v>
      </c>
      <c r="I213" s="19">
        <v>0.0</v>
      </c>
      <c r="J213" s="19">
        <v>0.0</v>
      </c>
      <c r="K213" s="19">
        <v>0.0</v>
      </c>
      <c r="L213" s="19">
        <v>0.0</v>
      </c>
      <c r="M213" s="19">
        <v>0.0</v>
      </c>
      <c r="N213" s="19">
        <v>0.0</v>
      </c>
      <c r="O213" s="19">
        <v>0.0</v>
      </c>
      <c r="P213" s="19">
        <v>1.0</v>
      </c>
      <c r="Q213" s="19">
        <v>0.0</v>
      </c>
      <c r="R213" s="19">
        <v>0.0</v>
      </c>
      <c r="S213" s="19">
        <v>0.0</v>
      </c>
      <c r="T213" s="19">
        <v>0.0</v>
      </c>
      <c r="U213" s="19">
        <v>0.0</v>
      </c>
      <c r="V213" s="19">
        <v>0.0</v>
      </c>
      <c r="W213" s="19">
        <v>0.0</v>
      </c>
      <c r="X213" s="19">
        <v>0.0</v>
      </c>
      <c r="Y213" s="19">
        <v>0.0</v>
      </c>
      <c r="Z213" s="19">
        <v>1.0</v>
      </c>
      <c r="AA213" s="19">
        <v>0.0</v>
      </c>
      <c r="AB213" s="19">
        <v>0.0</v>
      </c>
      <c r="AC213" s="19">
        <v>0.0</v>
      </c>
      <c r="AD213" s="19">
        <v>0.0</v>
      </c>
      <c r="AE213" s="19">
        <v>0.0</v>
      </c>
      <c r="AF213" s="13">
        <f t="shared" si="48"/>
        <v>2</v>
      </c>
    </row>
    <row r="214" ht="12.75" customHeight="1">
      <c r="A214" s="18"/>
      <c r="B214" s="55">
        <v>6.0</v>
      </c>
      <c r="C214" s="61" t="s">
        <v>189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1.0</v>
      </c>
      <c r="P214" s="19">
        <v>0.0</v>
      </c>
      <c r="Q214" s="19">
        <v>0.0</v>
      </c>
      <c r="R214" s="19">
        <v>0.0</v>
      </c>
      <c r="S214" s="19">
        <v>0.0</v>
      </c>
      <c r="T214" s="19">
        <v>0.0</v>
      </c>
      <c r="U214" s="19">
        <v>0.0</v>
      </c>
      <c r="V214" s="19">
        <v>0.0</v>
      </c>
      <c r="W214" s="19">
        <v>0.0</v>
      </c>
      <c r="X214" s="19">
        <v>0.0</v>
      </c>
      <c r="Y214" s="19">
        <v>0.0</v>
      </c>
      <c r="Z214" s="19">
        <v>0.0</v>
      </c>
      <c r="AA214" s="19">
        <v>0.0</v>
      </c>
      <c r="AB214" s="19">
        <v>0.0</v>
      </c>
      <c r="AC214" s="19">
        <v>0.0</v>
      </c>
      <c r="AD214" s="19">
        <v>0.0</v>
      </c>
      <c r="AE214" s="19">
        <v>0.0</v>
      </c>
      <c r="AF214" s="13">
        <f t="shared" si="48"/>
        <v>1</v>
      </c>
    </row>
    <row r="215" ht="12.75" customHeight="1">
      <c r="A215" s="19" t="s">
        <v>15</v>
      </c>
      <c r="B215" s="47" t="s">
        <v>47</v>
      </c>
      <c r="C215" s="15"/>
      <c r="D215" s="16"/>
      <c r="E215" s="13">
        <f t="shared" ref="E215:AF215" si="49">SUM(E208:E214)</f>
        <v>0</v>
      </c>
      <c r="F215" s="13">
        <f t="shared" si="49"/>
        <v>1</v>
      </c>
      <c r="G215" s="13">
        <f t="shared" si="49"/>
        <v>0</v>
      </c>
      <c r="H215" s="13">
        <f t="shared" si="49"/>
        <v>0</v>
      </c>
      <c r="I215" s="13">
        <f t="shared" si="49"/>
        <v>1</v>
      </c>
      <c r="J215" s="13">
        <f t="shared" si="49"/>
        <v>1</v>
      </c>
      <c r="K215" s="13">
        <f t="shared" si="49"/>
        <v>0</v>
      </c>
      <c r="L215" s="13">
        <f t="shared" si="49"/>
        <v>0</v>
      </c>
      <c r="M215" s="13">
        <f t="shared" si="49"/>
        <v>0</v>
      </c>
      <c r="N215" s="13">
        <f t="shared" si="49"/>
        <v>0</v>
      </c>
      <c r="O215" s="13">
        <f t="shared" si="49"/>
        <v>1</v>
      </c>
      <c r="P215" s="13">
        <f t="shared" si="49"/>
        <v>4</v>
      </c>
      <c r="Q215" s="13">
        <f t="shared" si="49"/>
        <v>1</v>
      </c>
      <c r="R215" s="13">
        <f t="shared" si="49"/>
        <v>0</v>
      </c>
      <c r="S215" s="13">
        <f t="shared" si="49"/>
        <v>0</v>
      </c>
      <c r="T215" s="13">
        <f t="shared" si="49"/>
        <v>0</v>
      </c>
      <c r="U215" s="13">
        <f t="shared" si="49"/>
        <v>4</v>
      </c>
      <c r="V215" s="13">
        <f t="shared" si="49"/>
        <v>1</v>
      </c>
      <c r="W215" s="13">
        <f t="shared" si="49"/>
        <v>0</v>
      </c>
      <c r="X215" s="13">
        <f t="shared" si="49"/>
        <v>0</v>
      </c>
      <c r="Y215" s="13">
        <f t="shared" si="49"/>
        <v>0</v>
      </c>
      <c r="Z215" s="13">
        <f t="shared" si="49"/>
        <v>1</v>
      </c>
      <c r="AA215" s="13">
        <f t="shared" si="49"/>
        <v>0</v>
      </c>
      <c r="AB215" s="13">
        <f t="shared" si="49"/>
        <v>0</v>
      </c>
      <c r="AC215" s="13">
        <f t="shared" si="49"/>
        <v>0</v>
      </c>
      <c r="AD215" s="13">
        <f t="shared" si="49"/>
        <v>0</v>
      </c>
      <c r="AE215" s="13">
        <f t="shared" si="49"/>
        <v>0</v>
      </c>
      <c r="AF215" s="13">
        <f t="shared" si="49"/>
        <v>15</v>
      </c>
    </row>
    <row r="216" ht="12.75" customHeight="1"/>
    <row r="217" ht="12.75" customHeight="1">
      <c r="A217" s="42" t="s">
        <v>190</v>
      </c>
      <c r="B217" s="14" t="s">
        <v>191</v>
      </c>
      <c r="C217" s="15"/>
      <c r="D217" s="16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 ht="12.75" customHeight="1">
      <c r="A218" s="42"/>
      <c r="B218" s="64" t="s">
        <v>192</v>
      </c>
      <c r="C218" s="65" t="s">
        <v>193</v>
      </c>
      <c r="D218" s="16"/>
      <c r="E218" s="19">
        <f t="shared" ref="E218:AE218" si="50">E53+E63+E73+E83+E93+E103+E109+E119+E129+E136+E146+E156+E166+E176+E186+E196+E206+E215</f>
        <v>184</v>
      </c>
      <c r="F218" s="19">
        <f t="shared" si="50"/>
        <v>173</v>
      </c>
      <c r="G218" s="19">
        <f t="shared" si="50"/>
        <v>193</v>
      </c>
      <c r="H218" s="19">
        <f t="shared" si="50"/>
        <v>196</v>
      </c>
      <c r="I218" s="19">
        <f t="shared" si="50"/>
        <v>195</v>
      </c>
      <c r="J218" s="19">
        <f t="shared" si="50"/>
        <v>202</v>
      </c>
      <c r="K218" s="19">
        <f t="shared" si="50"/>
        <v>221</v>
      </c>
      <c r="L218" s="19">
        <f t="shared" si="50"/>
        <v>229</v>
      </c>
      <c r="M218" s="19">
        <f t="shared" si="50"/>
        <v>191</v>
      </c>
      <c r="N218" s="19">
        <f t="shared" si="50"/>
        <v>196</v>
      </c>
      <c r="O218" s="19">
        <f t="shared" si="50"/>
        <v>182</v>
      </c>
      <c r="P218" s="19">
        <f t="shared" si="50"/>
        <v>208</v>
      </c>
      <c r="Q218" s="19">
        <f t="shared" si="50"/>
        <v>192</v>
      </c>
      <c r="R218" s="19">
        <f t="shared" si="50"/>
        <v>202</v>
      </c>
      <c r="S218" s="19">
        <f t="shared" si="50"/>
        <v>196</v>
      </c>
      <c r="T218" s="19">
        <f t="shared" si="50"/>
        <v>196</v>
      </c>
      <c r="U218" s="19">
        <f t="shared" si="50"/>
        <v>172</v>
      </c>
      <c r="V218" s="19">
        <f t="shared" si="50"/>
        <v>202</v>
      </c>
      <c r="W218" s="19">
        <f t="shared" si="50"/>
        <v>172</v>
      </c>
      <c r="X218" s="19">
        <f t="shared" si="50"/>
        <v>182</v>
      </c>
      <c r="Y218" s="19">
        <f t="shared" si="50"/>
        <v>203</v>
      </c>
      <c r="Z218" s="19">
        <f t="shared" si="50"/>
        <v>184</v>
      </c>
      <c r="AA218" s="19">
        <f t="shared" si="50"/>
        <v>175</v>
      </c>
      <c r="AB218" s="19">
        <f t="shared" si="50"/>
        <v>192</v>
      </c>
      <c r="AC218" s="19">
        <f t="shared" si="50"/>
        <v>157</v>
      </c>
      <c r="AD218" s="19">
        <f t="shared" si="50"/>
        <v>180</v>
      </c>
      <c r="AE218" s="19">
        <f t="shared" si="50"/>
        <v>201</v>
      </c>
      <c r="AF218" s="13">
        <f t="shared" ref="AF218:AF220" si="51">SUM(E218:AE218)</f>
        <v>5176</v>
      </c>
    </row>
    <row r="219" ht="12.75" customHeight="1">
      <c r="A219" s="35"/>
      <c r="B219" s="64" t="s">
        <v>194</v>
      </c>
      <c r="C219" s="65" t="s">
        <v>195</v>
      </c>
      <c r="D219" s="16"/>
      <c r="E219" s="19">
        <v>14.0</v>
      </c>
      <c r="F219" s="19">
        <v>20.0</v>
      </c>
      <c r="G219" s="19">
        <v>24.0</v>
      </c>
      <c r="H219" s="19">
        <v>30.0</v>
      </c>
      <c r="I219" s="19">
        <v>21.0</v>
      </c>
      <c r="J219" s="19">
        <v>13.0</v>
      </c>
      <c r="K219" s="19">
        <v>20.0</v>
      </c>
      <c r="L219" s="19">
        <v>9.0</v>
      </c>
      <c r="M219" s="19">
        <v>26.0</v>
      </c>
      <c r="N219" s="19">
        <v>17.0</v>
      </c>
      <c r="O219" s="19">
        <v>24.0</v>
      </c>
      <c r="P219" s="19">
        <v>18.0</v>
      </c>
      <c r="Q219" s="19">
        <v>24.0</v>
      </c>
      <c r="R219" s="19">
        <v>16.0</v>
      </c>
      <c r="S219" s="19">
        <v>17.0</v>
      </c>
      <c r="T219" s="19">
        <v>16.0</v>
      </c>
      <c r="U219" s="19">
        <v>19.0</v>
      </c>
      <c r="V219" s="19">
        <v>21.0</v>
      </c>
      <c r="W219" s="19">
        <v>22.0</v>
      </c>
      <c r="X219" s="19">
        <v>29.0</v>
      </c>
      <c r="Y219" s="19">
        <v>14.0</v>
      </c>
      <c r="Z219" s="19">
        <v>6.0</v>
      </c>
      <c r="AA219" s="19">
        <v>27.0</v>
      </c>
      <c r="AB219" s="19">
        <v>19.0</v>
      </c>
      <c r="AC219" s="19">
        <v>25.0</v>
      </c>
      <c r="AD219" s="19">
        <v>22.0</v>
      </c>
      <c r="AE219" s="19">
        <v>24.0</v>
      </c>
      <c r="AF219" s="13">
        <f t="shared" si="51"/>
        <v>537</v>
      </c>
    </row>
    <row r="220" ht="12.75" customHeight="1">
      <c r="A220" s="41"/>
      <c r="B220" s="64" t="s">
        <v>196</v>
      </c>
      <c r="C220" s="65" t="s">
        <v>197</v>
      </c>
      <c r="D220" s="16"/>
      <c r="E220" s="13">
        <f t="shared" ref="E220:AE220" si="52">SUM(E218:E219)</f>
        <v>198</v>
      </c>
      <c r="F220" s="13">
        <f t="shared" si="52"/>
        <v>193</v>
      </c>
      <c r="G220" s="13">
        <f t="shared" si="52"/>
        <v>217</v>
      </c>
      <c r="H220" s="13">
        <f t="shared" si="52"/>
        <v>226</v>
      </c>
      <c r="I220" s="13">
        <f t="shared" si="52"/>
        <v>216</v>
      </c>
      <c r="J220" s="13">
        <f t="shared" si="52"/>
        <v>215</v>
      </c>
      <c r="K220" s="13">
        <f t="shared" si="52"/>
        <v>241</v>
      </c>
      <c r="L220" s="13">
        <f t="shared" si="52"/>
        <v>238</v>
      </c>
      <c r="M220" s="13">
        <f t="shared" si="52"/>
        <v>217</v>
      </c>
      <c r="N220" s="13">
        <f t="shared" si="52"/>
        <v>213</v>
      </c>
      <c r="O220" s="13">
        <f t="shared" si="52"/>
        <v>206</v>
      </c>
      <c r="P220" s="13">
        <f t="shared" si="52"/>
        <v>226</v>
      </c>
      <c r="Q220" s="13">
        <f t="shared" si="52"/>
        <v>216</v>
      </c>
      <c r="R220" s="13">
        <f t="shared" si="52"/>
        <v>218</v>
      </c>
      <c r="S220" s="13">
        <f t="shared" si="52"/>
        <v>213</v>
      </c>
      <c r="T220" s="13">
        <f t="shared" si="52"/>
        <v>212</v>
      </c>
      <c r="U220" s="13">
        <f t="shared" si="52"/>
        <v>191</v>
      </c>
      <c r="V220" s="13">
        <f t="shared" si="52"/>
        <v>223</v>
      </c>
      <c r="W220" s="13">
        <f t="shared" si="52"/>
        <v>194</v>
      </c>
      <c r="X220" s="13">
        <f t="shared" si="52"/>
        <v>211</v>
      </c>
      <c r="Y220" s="13">
        <f t="shared" si="52"/>
        <v>217</v>
      </c>
      <c r="Z220" s="13">
        <f t="shared" si="52"/>
        <v>190</v>
      </c>
      <c r="AA220" s="13">
        <f t="shared" si="52"/>
        <v>202</v>
      </c>
      <c r="AB220" s="13">
        <f t="shared" si="52"/>
        <v>211</v>
      </c>
      <c r="AC220" s="13">
        <f t="shared" si="52"/>
        <v>182</v>
      </c>
      <c r="AD220" s="13">
        <f t="shared" si="52"/>
        <v>202</v>
      </c>
      <c r="AE220" s="13">
        <f t="shared" si="52"/>
        <v>225</v>
      </c>
      <c r="AF220" s="13">
        <f t="shared" si="51"/>
        <v>5713</v>
      </c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C50:D50"/>
    <mergeCell ref="C51:D51"/>
    <mergeCell ref="C52:D52"/>
    <mergeCell ref="B53:D53"/>
    <mergeCell ref="A54:E54"/>
    <mergeCell ref="C55:D55"/>
    <mergeCell ref="B63:D63"/>
    <mergeCell ref="A64:E64"/>
    <mergeCell ref="C65:D65"/>
    <mergeCell ref="B73:D73"/>
    <mergeCell ref="A74:E74"/>
    <mergeCell ref="C75:D75"/>
    <mergeCell ref="B83:D83"/>
    <mergeCell ref="A84:E84"/>
    <mergeCell ref="B103:D103"/>
    <mergeCell ref="A104:E104"/>
    <mergeCell ref="C105:D105"/>
    <mergeCell ref="B109:D109"/>
    <mergeCell ref="A110:E110"/>
    <mergeCell ref="C111:D111"/>
    <mergeCell ref="B119:D119"/>
    <mergeCell ref="A120:E120"/>
    <mergeCell ref="C121:D121"/>
    <mergeCell ref="B129:D129"/>
    <mergeCell ref="A130:E130"/>
    <mergeCell ref="C131:D131"/>
    <mergeCell ref="B136:D136"/>
    <mergeCell ref="A137:E137"/>
    <mergeCell ref="C138:D138"/>
    <mergeCell ref="B146:D146"/>
    <mergeCell ref="A147:E147"/>
    <mergeCell ref="C148:D148"/>
    <mergeCell ref="B156:D156"/>
    <mergeCell ref="A157:E157"/>
    <mergeCell ref="C158:D158"/>
    <mergeCell ref="B166:D166"/>
    <mergeCell ref="A167:E167"/>
    <mergeCell ref="C168:D168"/>
    <mergeCell ref="B176:D176"/>
    <mergeCell ref="A177:E177"/>
    <mergeCell ref="C178:D178"/>
    <mergeCell ref="B186:D186"/>
    <mergeCell ref="C208:D208"/>
    <mergeCell ref="B215:D215"/>
    <mergeCell ref="B217:D217"/>
    <mergeCell ref="C218:D218"/>
    <mergeCell ref="C219:D219"/>
    <mergeCell ref="C220:D220"/>
    <mergeCell ref="A187:E187"/>
    <mergeCell ref="C188:D188"/>
    <mergeCell ref="B196:D196"/>
    <mergeCell ref="A197:E197"/>
    <mergeCell ref="C198:D198"/>
    <mergeCell ref="B206:D206"/>
    <mergeCell ref="A207:E207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85:D85"/>
    <mergeCell ref="B93:D93"/>
    <mergeCell ref="A94:E94"/>
    <mergeCell ref="C95:D95"/>
  </mergeCells>
  <conditionalFormatting sqref="E14:AE15">
    <cfRule type="containsBlanks" dxfId="0" priority="1">
      <formula>LEN(TRIM(E14))=0</formula>
    </cfRule>
  </conditionalFormatting>
  <conditionalFormatting sqref="E19:AE20">
    <cfRule type="containsBlanks" dxfId="0" priority="2">
      <formula>LEN(TRIM(E19))=0</formula>
    </cfRule>
  </conditionalFormatting>
  <conditionalFormatting sqref="E22:AE23 E25:AE26 E33:AE33 E35:AE35 E39:AE40">
    <cfRule type="containsBlanks" dxfId="0" priority="3">
      <formula>LEN(TRIM(E22))=0</formula>
    </cfRule>
  </conditionalFormatting>
  <conditionalFormatting sqref="E30:AE30">
    <cfRule type="expression" dxfId="1" priority="4">
      <formula>E30&lt;&gt;E47</formula>
    </cfRule>
  </conditionalFormatting>
  <conditionalFormatting sqref="E30:AE30">
    <cfRule type="expression" dxfId="1" priority="5">
      <formula>E30&lt;&gt;E34</formula>
    </cfRule>
  </conditionalFormatting>
  <conditionalFormatting sqref="E45:AE52">
    <cfRule type="containsBlanks" dxfId="0" priority="6">
      <formula>LEN(TRIM(E45))=0</formula>
    </cfRule>
  </conditionalFormatting>
  <conditionalFormatting sqref="E55:AE62">
    <cfRule type="containsBlanks" dxfId="0" priority="7">
      <formula>LEN(TRIM(E55))=0</formula>
    </cfRule>
  </conditionalFormatting>
  <conditionalFormatting sqref="E65:AE72">
    <cfRule type="containsBlanks" dxfId="0" priority="8">
      <formula>LEN(TRIM(E65))=0</formula>
    </cfRule>
  </conditionalFormatting>
  <conditionalFormatting sqref="E75:AE82">
    <cfRule type="containsBlanks" dxfId="0" priority="9">
      <formula>LEN(TRIM(E75))=0</formula>
    </cfRule>
  </conditionalFormatting>
  <conditionalFormatting sqref="E85:AE92">
    <cfRule type="containsBlanks" dxfId="0" priority="10">
      <formula>LEN(TRIM(E85))=0</formula>
    </cfRule>
  </conditionalFormatting>
  <conditionalFormatting sqref="E95:AE102">
    <cfRule type="containsBlanks" dxfId="0" priority="11">
      <formula>LEN(TRIM(E95))=0</formula>
    </cfRule>
  </conditionalFormatting>
  <conditionalFormatting sqref="E105:AE108">
    <cfRule type="containsBlanks" dxfId="0" priority="12">
      <formula>LEN(TRIM(E105))=0</formula>
    </cfRule>
  </conditionalFormatting>
  <conditionalFormatting sqref="E111:AE118">
    <cfRule type="containsBlanks" dxfId="0" priority="13">
      <formula>LEN(TRIM(E111))=0</formula>
    </cfRule>
  </conditionalFormatting>
  <conditionalFormatting sqref="E121:AE128">
    <cfRule type="containsBlanks" dxfId="0" priority="14">
      <formula>LEN(TRIM(E121))=0</formula>
    </cfRule>
  </conditionalFormatting>
  <conditionalFormatting sqref="E131:AE135">
    <cfRule type="containsBlanks" dxfId="0" priority="15">
      <formula>LEN(TRIM(E131))=0</formula>
    </cfRule>
  </conditionalFormatting>
  <conditionalFormatting sqref="E138:AE145">
    <cfRule type="containsBlanks" dxfId="0" priority="16">
      <formula>LEN(TRIM(E138))=0</formula>
    </cfRule>
  </conditionalFormatting>
  <conditionalFormatting sqref="E148:AE155">
    <cfRule type="containsBlanks" dxfId="0" priority="17">
      <formula>LEN(TRIM(E148))=0</formula>
    </cfRule>
  </conditionalFormatting>
  <conditionalFormatting sqref="E158:AE165">
    <cfRule type="containsBlanks" dxfId="0" priority="18">
      <formula>LEN(TRIM(E158))=0</formula>
    </cfRule>
  </conditionalFormatting>
  <conditionalFormatting sqref="E168:AE175">
    <cfRule type="containsBlanks" dxfId="0" priority="19">
      <formula>LEN(TRIM(E168))=0</formula>
    </cfRule>
  </conditionalFormatting>
  <conditionalFormatting sqref="E178:AE185">
    <cfRule type="containsBlanks" dxfId="0" priority="20">
      <formula>LEN(TRIM(E178))=0</formula>
    </cfRule>
  </conditionalFormatting>
  <conditionalFormatting sqref="E188:AE195">
    <cfRule type="containsBlanks" dxfId="0" priority="21">
      <formula>LEN(TRIM(E188))=0</formula>
    </cfRule>
  </conditionalFormatting>
  <conditionalFormatting sqref="E198:AE205">
    <cfRule type="containsBlanks" dxfId="0" priority="22">
      <formula>LEN(TRIM(E198))=0</formula>
    </cfRule>
  </conditionalFormatting>
  <conditionalFormatting sqref="E208:AE214">
    <cfRule type="containsBlanks" dxfId="0" priority="23">
      <formula>LEN(TRIM(E208))=0</formula>
    </cfRule>
  </conditionalFormatting>
  <conditionalFormatting sqref="E218:AE219">
    <cfRule type="containsBlanks" dxfId="0" priority="24">
      <formula>LEN(TRIM(E218))=0</formula>
    </cfRule>
  </conditionalFormatting>
  <conditionalFormatting sqref="E34:AE34">
    <cfRule type="expression" dxfId="2" priority="25">
      <formula>E30&lt;&gt;E34</formula>
    </cfRule>
  </conditionalFormatting>
  <conditionalFormatting sqref="E34:AE34">
    <cfRule type="expression" dxfId="3" priority="26">
      <formula>E30=E34</formula>
    </cfRule>
  </conditionalFormatting>
  <conditionalFormatting sqref="E34:AE34">
    <cfRule type="expression" dxfId="1" priority="27">
      <formula>E34&lt;&gt;E30</formula>
    </cfRule>
  </conditionalFormatting>
  <conditionalFormatting sqref="E34:AE34">
    <cfRule type="expression" dxfId="1" priority="28">
      <formula>E34&lt;&gt;E62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