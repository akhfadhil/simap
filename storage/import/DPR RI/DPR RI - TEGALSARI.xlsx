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DASRI" sheetId="2" r:id="rId5"/>
    <sheet state="visible" name="KARANGDORO" sheetId="3" r:id="rId6"/>
    <sheet state="visible" name="KARANGMULYO" sheetId="4" r:id="rId7"/>
    <sheet state="visible" name="TAMANSARI" sheetId="5" r:id="rId8"/>
    <sheet state="visible" name="TEGALREJO" sheetId="6" r:id="rId9"/>
    <sheet state="visible" name="TEGALSARI" sheetId="7" r:id="rId10"/>
  </sheets>
  <definedNames/>
  <calcPr/>
  <extLst>
    <ext uri="GoogleSheetsCustomDataVersion2">
      <go:sheetsCustomData xmlns:go="http://customooxmlschemas.google.com/" r:id="rId11" roundtripDataChecksum="yZaVxlIxklFGhzmgMnWKKx++r+mevsfpQWFvDca51ro="/>
    </ext>
  </extLst>
</workbook>
</file>

<file path=xl/sharedStrings.xml><?xml version="1.0" encoding="utf-8"?>
<sst xmlns="http://schemas.openxmlformats.org/spreadsheetml/2006/main" count="2203" uniqueCount="262">
  <si>
    <t>Kecamatan</t>
  </si>
  <si>
    <t>TEGALSARI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</si>
  <si>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</si>
  <si>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</si>
  <si>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</si>
  <si>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</si>
  <si>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</si>
  <si>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</si>
  <si>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</si>
  <si>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</si>
  <si>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</si>
  <si>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</si>
  <si>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</si>
  <si>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</si>
  <si>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</si>
  <si>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</si>
  <si>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</si>
  <si>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</si>
  <si>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</si>
  <si>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</si>
  <si>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</si>
  <si>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</si>
  <si>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</si>
  <si>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</si>
  <si>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</si>
  <si>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</si>
  <si>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</si>
  <si>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</si>
  <si>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</si>
  <si>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</si>
  <si>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</si>
  <si>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</si>
  <si>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</si>
  <si>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</si>
  <si>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</si>
  <si>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</si>
  <si>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</si>
  <si>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</si>
  <si>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</si>
  <si>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</si>
  <si>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</si>
  <si>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</si>
  <si>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</si>
  <si>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</si>
  <si>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</si>
  <si>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</si>
  <si>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</si>
  <si>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</si>
  <si>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</si>
  <si>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</si>
  <si>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</si>
  <si>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</si>
  <si>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</si>
  <si>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</si>
  <si>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</si>
  <si>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</si>
  <si>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</si>
  <si>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</si>
  <si>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</si>
  <si>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</si>
  <si>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</si>
  <si>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</si>
  <si>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</si>
  <si>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</si>
  <si>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</si>
  <si>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</si>
  <si>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</si>
  <si>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</si>
  <si>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</si>
  <si>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</si>
  <si>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</si>
  <si>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</si>
  <si>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</si>
  <si>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</si>
  <si>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</si>
  <si>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</si>
  <si>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</si>
  <si>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</si>
  <si>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</si>
  <si>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</si>
  <si>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</si>
  <si>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</si>
  <si>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</si>
  <si>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</si>
  <si>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</si>
  <si>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</si>
  <si>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</si>
  <si>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</si>
  <si>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</si>
  <si>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</si>
  <si>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</si>
  <si>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</si>
  <si>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</si>
  <si>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</si>
  <si>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</si>
  <si>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</si>
  <si>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</si>
  <si>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</si>
  <si>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</si>
  <si>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</si>
  <si>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</si>
  <si>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</si>
  <si>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</si>
  <si>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</si>
  <si>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</si>
  <si>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</si>
  <si>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</si>
  <si>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</si>
  <si>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</si>
  <si>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</si>
  <si>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</si>
  <si>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</si>
  <si>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</si>
  <si>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</si>
  <si>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</si>
  <si>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</si>
  <si>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</si>
  <si>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</si>
  <si>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</si>
  <si>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</si>
  <si>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</si>
  <si>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</si>
  <si>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</si>
  <si>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</si>
  <si>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</si>
  <si>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</si>
  <si>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</si>
  <si>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</si>
  <si>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</si>
  <si>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</si>
  <si>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</si>
  <si>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</si>
  <si>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</si>
  <si>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</si>
  <si>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</si>
  <si>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</si>
  <si>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</si>
  <si>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</si>
  <si>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</si>
  <si>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</si>
  <si>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</si>
  <si>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</si>
  <si>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</si>
  <si>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</si>
  <si>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</si>
  <si>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</si>
  <si>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</si>
  <si>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</si>
  <si>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</si>
  <si>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</si>
  <si>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</si>
  <si>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</si>
  <si>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</si>
  <si>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</si>
  <si>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</si>
  <si>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</si>
  <si>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</si>
  <si>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</si>
  <si>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</si>
  <si>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</si>
  <si>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</si>
  <si>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</si>
  <si>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</si>
  <si>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</si>
  <si>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</si>
  <si>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</si>
  <si>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</si>
  <si>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</si>
  <si>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</si>
  <si>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</si>
  <si>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</si>
  <si>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</si>
  <si>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</si>
  <si>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</si>
  <si>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</si>
  <si>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</si>
  <si>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</si>
  <si>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</si>
  <si>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</si>
  <si>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</si>
  <si>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</si>
  <si>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</si>
  <si>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</si>
  <si>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</si>
  <si>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</si>
  <si>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</si>
  <si>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</si>
  <si>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</si>
  <si>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</si>
  <si>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</si>
  <si>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</si>
  <si>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</si>
  <si>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</si>
  <si>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</si>
  <si>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</si>
  <si>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</si>
  <si>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</si>
  <si>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</si>
  <si>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</si>
  <si>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DASRI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</si>
  <si>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</si>
  <si>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</si>
  <si>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</si>
  <si>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</si>
  <si>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</si>
  <si>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</si>
  <si>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</si>
  <si>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</si>
  <si>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</si>
  <si>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</si>
  <si>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</si>
  <si>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</si>
  <si>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</si>
  <si>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</si>
  <si>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</si>
  <si>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</si>
  <si>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</si>
  <si>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</si>
  <si>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</si>
  <si>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</si>
  <si>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</si>
  <si>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</si>
  <si>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0                   0</t>
  </si>
  <si>
    <t>KARANGDORO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</si>
  <si>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</si>
  <si>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</si>
  <si>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</si>
  <si>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</si>
  <si>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</si>
  <si>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</si>
  <si>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</si>
  <si>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</si>
  <si>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</si>
  <si>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</si>
  <si>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</si>
  <si>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</si>
  <si>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</si>
  <si>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901</t>
  </si>
  <si>
    <t>TPS 902</t>
  </si>
  <si>
    <t>TPS 903</t>
  </si>
  <si>
    <t>TPS 904</t>
  </si>
  <si>
    <t>TPS 905</t>
  </si>
  <si>
    <t>TPS 906</t>
  </si>
  <si>
    <t>TPS 907</t>
  </si>
  <si>
    <t>TPS 908</t>
  </si>
  <si>
    <t>a</t>
  </si>
  <si>
    <t>0                                         4</t>
  </si>
  <si>
    <t>KARANGMULYO</t>
  </si>
  <si>
    <t>TAMANSARI</t>
  </si>
  <si>
    <t>0                        0</t>
  </si>
  <si>
    <t>0                       0                       1</t>
  </si>
  <si>
    <t>0                       0                        0</t>
  </si>
  <si>
    <t>TEGALREJO</t>
  </si>
  <si>
    <t xml:space="preserve"> </t>
  </si>
  <si>
    <t>TPS 036</t>
  </si>
  <si>
    <t>TPS 037</t>
  </si>
  <si>
    <t>TPS 038</t>
  </si>
  <si>
    <t>TPS 039</t>
  </si>
  <si>
    <t>TPS 040</t>
  </si>
  <si>
    <t>TPS 041</t>
  </si>
  <si>
    <t>TPS 042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</si>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</sst>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vertical="center"/>
    </xf>
    <xf borderId="2" fillId="0" fontId="3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DASRI!AA14+KARANGDORO!AV14+KARANGMULYO!W14+TAMANSARI!AA14+TEGALREJO!AB14+TEGALSARI!AU14</f>
        <v>21381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DASRI!AA15+KARANGDORO!AV15+KARANGMULYO!W15+TAMANSARI!AA15+TEGALREJO!AB15+TEGALSARI!AU15</f>
        <v>21258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42639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DASRI!AA19+KARANGDORO!AV19+KARANGMULYO!W19+TAMANSARI!AA19+TEGALREJO!AB19+TEGALSARI!AU19</f>
        <v>14885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DASRI!AA20+KARANGDORO!AV20+KARANGMULYO!W20+TAMANSARI!AA20+TEGALREJO!AB20+TEGALSARI!AU20</f>
        <v>15702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30587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DASRI!AA22+KARANGDORO!AV22+KARANGMULYO!W22+TAMANSARI!AA22+TEGALREJO!AB22+TEGALSARI!AU22</f>
        <v>24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DASRI!AA23+KARANGDORO!AV23+KARANGMULYO!W23+TAMANSARI!AA23+TEGALREJO!AB23+TEGALSARI!AU23</f>
        <v>33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DASRI!AA25+KARANGDORO!AV25+KARANGMULYO!W25+TAMANSARI!AA25+TEGALREJO!AB25+TEGALSARI!AU25</f>
        <v>224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DASRI!AA26+KARANGDORO!AV26+KARANGMULYO!W26+TAMANSARI!AA26+TEGALREJO!AB26+TEGALSARI!AU26</f>
        <v>267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15133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16002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31135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DASRI!AA33+KARANGDORO!AV33+KARANGMULYO!W33+TAMANSARI!AA33+TEGALREJO!AB33+TEGALSARI!AU33</f>
        <v>43580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DASRI!AA34+KARANGDORO!AV34+KARANGMULYO!W34+TAMANSARI!AA34+TEGALREJO!AB34+TEGALSARI!AU34</f>
        <v>31135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DASRI!AA35+KARANGDORO!AV35+KARANGMULYO!W35+TAMANSARI!AA35+TEGALREJO!AB35+TEGALSARI!AU35</f>
        <v>158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12287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DASRI!AA39+KARANGDORO!AV39+KARANGMULYO!W39+TAMANSARI!AA39+TEGALREJO!AB39+TEGALSARI!AU39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DASRI!AA40+KARANGDORO!AV40+KARANGMULYO!W40+TAMANSARI!AA40+TEGALREJO!AB40+TEGALSARI!AU40</f>
        <v>18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DASRI!AA45+KARANGDORO!AV45+KARANGMULYO!W45+TAMANSARI!AA45+TEGALREJO!AB45+TEGALSARI!AU45</f>
        <v>953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DASRI!AA46+KARANGDORO!AV46+KARANGMULYO!W46+TAMANSARI!AA46+TEGALREJO!AB46+TEGALSARI!AU46</f>
        <v>4139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DASRI!AA47+KARANGDORO!AV47+KARANGMULYO!W47+TAMANSARI!AA47+TEGALREJO!AB47+TEGALSARI!AU47</f>
        <v>367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DASRI!AA48+KARANGDORO!AV48+KARANGMULYO!W48+TAMANSARI!AA48+TEGALREJO!AB48+TEGALSARI!AU48</f>
        <v>186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DASRI!AA49+KARANGDORO!AV49+KARANGMULYO!W49+TAMANSARI!AA49+TEGALREJO!AB49+TEGALSARI!AU49</f>
        <v>137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DASRI!AA50+KARANGDORO!AV50+KARANGMULYO!W50+TAMANSARI!AA50+TEGALREJO!AB50+TEGALSARI!AU50</f>
        <v>81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DASRI!AA51+KARANGDORO!AV51+KARANGMULYO!W51+TAMANSARI!AA51+TEGALREJO!AB51+TEGALSARI!AU51</f>
        <v>155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DASRI!AA52+KARANGDORO!AV52+KARANGMULYO!W52+TAMANSARI!AA52+TEGALREJO!AB52+TEGALSARI!AU52</f>
        <v>56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6074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DASRI!AA57+KARANGDORO!AV57+KARANGMULYO!W57+TAMANSARI!AA57+TEGALREJO!AB57+TEGALSARI!AU57</f>
        <v>1021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DASRI!AA58+KARANGDORO!AV58+KARANGMULYO!W58+TAMANSARI!AA58+TEGALREJO!AB58+TEGALSARI!AU58</f>
        <v>3268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DASRI!AA59+KARANGDORO!AV59+KARANGMULYO!W59+TAMANSARI!AA59+TEGALREJO!AB59+TEGALSARI!AU59</f>
        <v>946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DASRI!AA60+KARANGDORO!AV60+KARANGMULYO!W60+TAMANSARI!AA60+TEGALREJO!AB60+TEGALSARI!AU60</f>
        <v>89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DASRI!AA61+KARANGDORO!AV61+KARANGMULYO!W61+TAMANSARI!AA61+TEGALREJO!AB61+TEGALSARI!AU61</f>
        <v>275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DASRI!AA62+KARANGDORO!AV62+KARANGMULYO!W62+TAMANSARI!AA62+TEGALREJO!AB62+TEGALSARI!AU62</f>
        <v>39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DASRI!AA63+KARANGDORO!AV63+KARANGMULYO!W63+TAMANSARI!AA63+TEGALREJO!AB63+TEGALSARI!AU63</f>
        <v>79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DASRI!AA64+KARANGDORO!AV64+KARANGMULYO!W64+TAMANSARI!AA64+TEGALREJO!AB64+TEGALSARI!AU64</f>
        <v>48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5765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DASRI!AA69+KARANGDORO!AV69+KARANGMULYO!W69+TAMANSARI!AA69+TEGALREJO!AB69+TEGALSARI!AU69</f>
        <v>1411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DASRI!AA70+KARANGDORO!AV70+KARANGMULYO!W70+TAMANSARI!AA70+TEGALREJO!AB70+TEGALSARI!AU70</f>
        <v>1898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DASRI!AA71+KARANGDORO!AV71+KARANGMULYO!W71+TAMANSARI!AA71+TEGALREJO!AB71+TEGALSARI!AU71</f>
        <v>315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DASRI!AA72+KARANGDORO!AV72+KARANGMULYO!W72+TAMANSARI!AA72+TEGALREJO!AB72+TEGALSARI!AU72</f>
        <v>1576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DASRI!AA73+KARANGDORO!AV73+KARANGMULYO!W73+TAMANSARI!AA73+TEGALREJO!AB73+TEGALSARI!AU73</f>
        <v>347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DASRI!AA74+KARANGDORO!AV74+KARANGMULYO!W74+TAMANSARI!AA74+TEGALREJO!AB74+TEGALSARI!AU74</f>
        <v>323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DASRI!AA75+KARANGDORO!AV75+KARANGMULYO!W75+TAMANSARI!AA75+TEGALREJO!AB75+TEGALSARI!AU75</f>
        <v>136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DASRI!AA76+KARANGDORO!AV76+KARANGMULYO!W76+TAMANSARI!AA76+TEGALREJO!AB76+TEGALSARI!AU76</f>
        <v>213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6219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DASRI!AA81+KARANGDORO!AV81+KARANGMULYO!W81+TAMANSARI!AA81+TEGALREJO!AB81+TEGALSARI!AU81</f>
        <v>496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DASRI!AA82+KARANGDORO!AV82+KARANGMULYO!W82+TAMANSARI!AA82+TEGALREJO!AB82+TEGALSARI!AU82</f>
        <v>1381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DASRI!AA83+KARANGDORO!AV83+KARANGMULYO!W83+TAMANSARI!AA83+TEGALREJO!AB83+TEGALSARI!AU83</f>
        <v>677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DASRI!AA84+KARANGDORO!AV84+KARANGMULYO!W84+TAMANSARI!AA84+TEGALREJO!AB84+TEGALSARI!AU84</f>
        <v>86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DASRI!AA85+KARANGDORO!AV85+KARANGMULYO!W85+TAMANSARI!AA85+TEGALREJO!AB85+TEGALSARI!AU85</f>
        <v>69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DASRI!AA86+KARANGDORO!AV86+KARANGMULYO!W86+TAMANSARI!AA86+TEGALREJO!AB86+TEGALSARI!AU86</f>
        <v>99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DASRI!AA87+KARANGDORO!AV87+KARANGMULYO!W87+TAMANSARI!AA87+TEGALREJO!AB87+TEGALSARI!AU87</f>
        <v>26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DASRI!AA88+KARANGDORO!AV88+KARANGMULYO!W88+TAMANSARI!AA88+TEGALREJO!AB88+TEGALSARI!AU88</f>
        <v>13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2847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DASRI!AA93+KARANGDORO!AV93+KARANGMULYO!W93+TAMANSARI!AA93+TEGALREJO!AB93+TEGALSARI!AU93</f>
        <v>251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DASRI!AA94+KARANGDORO!AV94+KARANGMULYO!W94+TAMANSARI!AA94+TEGALREJO!AB94+TEGALSARI!AU94</f>
        <v>321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DASRI!AA95+KARANGDORO!AV95+KARANGMULYO!W95+TAMANSARI!AA95+TEGALREJO!AB95+TEGALSARI!AU95</f>
        <v>541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DASRI!AA96+KARANGDORO!AV96+KARANGMULYO!W96+TAMANSARI!AA96+TEGALREJO!AB96+TEGALSARI!AU96</f>
        <v>20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DASRI!AA97+KARANGDORO!AV97+KARANGMULYO!W97+TAMANSARI!AA97+TEGALREJO!AB97+TEGALSARI!AU97</f>
        <v>43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DASRI!AA98+KARANGDORO!AV98+KARANGMULYO!W98+TAMANSARI!AA98+TEGALREJO!AB98+TEGALSARI!AU98</f>
        <v>9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DASRI!AA99+KARANGDORO!AV99+KARANGMULYO!W99+TAMANSARI!AA99+TEGALREJO!AB99+TEGALSARI!AU99</f>
        <v>12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DASRI!AA100+KARANGDORO!AV100+KARANGMULYO!W100+TAMANSARI!AA100+TEGALREJO!AB100+TEGALSARI!AU100</f>
        <v>7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1204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DASRI!AA105+KARANGDORO!AV105+KARANGMULYO!W105+TAMANSARI!AA105+TEGALREJO!AB105+TEGALSARI!AU105</f>
        <v>127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DASRI!AA106+KARANGDORO!AV106+KARANGMULYO!W106+TAMANSARI!AA106+TEGALREJO!AB106+TEGALSARI!AU106</f>
        <v>35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DASRI!AA107+KARANGDORO!AV107+KARANGMULYO!W107+TAMANSARI!AA107+TEGALREJO!AB107+TEGALSARI!AU107</f>
        <v>27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DASRI!AA108+KARANGDORO!AV108+KARANGMULYO!W108+TAMANSARI!AA108+TEGALREJO!AB108+TEGALSARI!AU108</f>
        <v>11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f>DASRI!AA109+KARANGDORO!AV109+KARANGMULYO!W109+TAMANSARI!AA109+TEGALREJO!AB109+TEGALSARI!AU109</f>
        <v>8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DASRI!AA110+KARANGDORO!AV110+KARANGMULYO!W110+TAMANSARI!AA110+TEGALREJO!AB110+TEGALSARI!AU110</f>
        <v>4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DASRI!AA111+KARANGDORO!AV111+KARANGMULYO!W111+TAMANSARI!AA111+TEGALREJO!AB111+TEGALSARI!AU111</f>
        <v>5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DASRI!AA112+KARANGDORO!AV112+KARANGMULYO!W112+TAMANSARI!AA112+TEGALREJO!AB112+TEGALSARI!AU112</f>
        <v>2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219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DASRI!AA117+KARANGDORO!AV117+KARANGMULYO!W117+TAMANSARI!AA117+TEGALREJO!AB117+TEGALSARI!AU117</f>
        <v>99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DASRI!AA118+KARANGDORO!AV118+KARANGMULYO!W118+TAMANSARI!AA118+TEGALREJO!AB118+TEGALSARI!AU118</f>
        <v>29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f>DASRI!AA119+KARANGDORO!AV119+KARANGMULYO!W119+TAMANSARI!AA119+TEGALREJO!AB119+TEGALSARI!AU119</f>
        <v>14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f>DASRI!AA120+KARANGDORO!AV120+KARANGMULYO!W120+TAMANSARI!AA120+TEGALREJO!AB120+TEGALSARI!AU120</f>
        <v>9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2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2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64">
        <f>SUM(E117:E120)</f>
        <v>151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DASRI!AA129+KARANGDORO!AV129+KARANGMULYO!W129+TAMANSARI!AA129+TEGALREJO!AB129+TEGALSARI!AU129</f>
        <v>66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DASRI!AA130+KARANGDORO!AV130+KARANGMULYO!W130+TAMANSARI!AA130+TEGALREJO!AB130+TEGALSARI!AU130</f>
        <v>127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f>DASRI!AA131+KARANGDORO!AV131+KARANGMULYO!W131+TAMANSARI!AA131+TEGALREJO!AB131+TEGALSARI!AU131</f>
        <v>36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f>DASRI!AA132+KARANGDORO!AV132+KARANGMULYO!W132+TAMANSARI!AA132+TEGALREJO!AB132+TEGALSARI!AU132</f>
        <v>12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DASRI!AA133+KARANGDORO!AV133+KARANGMULYO!W133+TAMANSARI!AA133+TEGALREJO!AB133+TEGALSARI!AU133</f>
        <v>8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DASRI!AA134+KARANGDORO!AV134+KARANGMULYO!W134+TAMANSARI!AA134+TEGALREJO!AB134+TEGALSARI!AU134</f>
        <v>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DASRI!AA135+KARANGDORO!AV135+KARANGMULYO!W135+TAMANSARI!AA135+TEGALREJO!AB135+TEGALSARI!AU135</f>
        <v>5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f>DASRI!AA136+KARANGDORO!AV136+KARANGMULYO!W136+TAMANSARI!AA136+TEGALREJO!AB136+TEGALSARI!AU136</f>
        <v>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259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DASRI!AA141+KARANGDORO!AV141+KARANGMULYO!W141+TAMANSARI!AA141+TEGALREJO!AB141+TEGALSARI!AU141</f>
        <v>12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DASRI!AA142+KARANGDORO!AV142+KARANGMULYO!W142+TAMANSARI!AA142+TEGALREJO!AB142+TEGALSARI!AU142</f>
        <v>2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f>DASRI!AA143+KARANGDORO!AV143+KARANGMULYO!W143+TAMANSARI!AA143+TEGALREJO!AB143+TEGALSARI!AU143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DASRI!AA144+KARANGDORO!AV144+KARANGMULYO!W144+TAMANSARI!AA144+TEGALREJO!AB144+TEGALSARI!AU144</f>
        <v>2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DASRI!AA145+KARANGDORO!AV145+KARANGMULYO!W145+TAMANSARI!AA145+TEGALREJO!AB145+TEGALSARI!AU145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DASRI!AA146+KARANGDORO!AV146+KARANGMULYO!W146+TAMANSARI!AA146+TEGALREJO!AB146+TEGALSARI!AU146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f>DASRI!AA147+KARANGDORO!AV147+KARANGMULYO!W147+TAMANSARI!AA147+TEGALREJO!AB147+TEGALSARI!AU147</f>
        <v>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f>DASRI!AA148+KARANGDORO!AV148+KARANGMULYO!W148+TAMANSARI!AA148+TEGALREJO!AB148+TEGALSARI!AU148</f>
        <v>1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21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5" t="s">
        <v>114</v>
      </c>
      <c r="D153" s="23"/>
      <c r="E153" s="24">
        <f>DASRI!AA153+KARANGDORO!AV153+KARANGMULYO!W153+TAMANSARI!AA153+TEGALREJO!AB153+TEGALSARI!AU153</f>
        <v>22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6" t="s">
        <v>39</v>
      </c>
      <c r="B154" s="55">
        <v>1.0</v>
      </c>
      <c r="C154" s="67" t="s">
        <v>115</v>
      </c>
      <c r="D154" s="60"/>
      <c r="E154" s="24">
        <f>DASRI!AA154+KARANGDORO!AV154+KARANGMULYO!W154+TAMANSARI!AA154+TEGALREJO!AB154+TEGALSARI!AU154</f>
        <v>16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7" t="s">
        <v>116</v>
      </c>
      <c r="D155" s="60"/>
      <c r="E155" s="24">
        <f>DASRI!AA155+KARANGDORO!AV155+KARANGMULYO!W155+TAMANSARI!AA155+TEGALREJO!AB155+TEGALSARI!AU155</f>
        <v>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7" t="s">
        <v>117</v>
      </c>
      <c r="D156" s="60"/>
      <c r="E156" s="24">
        <f>DASRI!AA156+KARANGDORO!AV156+KARANGMULYO!W156+TAMANSARI!AA156+TEGALREJO!AB156+TEGALSARI!AU156</f>
        <v>1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7" t="s">
        <v>118</v>
      </c>
      <c r="D157" s="60"/>
      <c r="E157" s="24">
        <f>DASRI!AA157+KARANGDORO!AV157+KARANGMULYO!W157+TAMANSARI!AA157+TEGALREJO!AB157+TEGALSARI!AU157</f>
        <v>6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2"/>
      <c r="E158" s="63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2"/>
      <c r="E159" s="63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2"/>
      <c r="E160" s="63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8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8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9" t="s">
        <v>47</v>
      </c>
      <c r="C163" s="44"/>
      <c r="D163" s="28"/>
      <c r="E163" s="13">
        <f>SUM(E153:E157)</f>
        <v>53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DASRI!AA165+KARANGDORO!AV165+KARANGMULYO!W165+TAMANSARI!AA165+TEGALREJO!AB165+TEGALSARI!AU165</f>
        <v>36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DASRI!AA166+KARANGDORO!AV166+KARANGMULYO!W166+TAMANSARI!AA166+TEGALREJO!AB166+TEGALSARI!AU166</f>
        <v>17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f>DASRI!AA167+KARANGDORO!AV167+KARANGMULYO!W167+TAMANSARI!AA167+TEGALREJO!AB167+TEGALSARI!AU167</f>
        <v>5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DASRI!AA168+KARANGDORO!AV168+KARANGMULYO!W168+TAMANSARI!AA168+TEGALREJO!AB168+TEGALSARI!AU168</f>
        <v>7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DASRI!AA169+KARANGDORO!AV169+KARANGMULYO!W169+TAMANSARI!AA169+TEGALREJO!AB169+TEGALSARI!AU169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DASRI!AA170+KARANGDORO!AV170+KARANGMULYO!W170+TAMANSARI!AA170+TEGALREJO!AB170+TEGALSARI!AU170</f>
        <v>2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DASRI!AA171+KARANGDORO!AV171+KARANGMULYO!W171+TAMANSARI!AA171+TEGALREJO!AB171+TEGALSARI!AU171</f>
        <v>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DASRI!AA172+KARANGDORO!AV172+KARANGMULYO!W172+TAMANSARI!AA172+TEGALREJO!AB172+TEGALSARI!AU172</f>
        <v>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80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DASRI!AA177+KARANGDORO!AV177+KARANGMULYO!W177+TAMANSARI!AA177+TEGALREJO!AB177+TEGALSARI!AU177</f>
        <v>57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DASRI!AA178+KARANGDORO!AV178+KARANGMULYO!W178+TAMANSARI!AA178+TEGALREJO!AB178+TEGALSARI!AU178</f>
        <v>46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f>DASRI!AA179+KARANGDORO!AV179+KARANGMULYO!W179+TAMANSARI!AA179+TEGALREJO!AB179+TEGALSARI!AU179</f>
        <v>30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DASRI!AA180+KARANGDORO!AV180+KARANGMULYO!W180+TAMANSARI!AA180+TEGALREJO!AB180+TEGALSARI!AU180</f>
        <v>16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DASRI!AA181+KARANGDORO!AV181+KARANGMULYO!W181+TAMANSARI!AA181+TEGALREJO!AB181+TEGALSARI!AU181</f>
        <v>9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DASRI!AA182+KARANGDORO!AV182+KARANGMULYO!W182+TAMANSARI!AA182+TEGALREJO!AB182+TEGALSARI!AU182</f>
        <v>6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DASRI!AA183+KARANGDORO!AV183+KARANGMULYO!W183+TAMANSARI!AA183+TEGALREJO!AB183+TEGALSARI!AU183</f>
        <v>2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DASRI!AA184+KARANGDORO!AV184+KARANGMULYO!W184+TAMANSARI!AA184+TEGALREJO!AB184+TEGALSARI!AU184</f>
        <v>3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169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DASRI!AA189+KARANGDORO!AV189+KARANGMULYO!W189+TAMANSARI!AA189+TEGALREJO!AB189+TEGALSARI!AU189</f>
        <v>17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DASRI!AA190+KARANGDORO!AV190+KARANGMULYO!W190+TAMANSARI!AA190+TEGALREJO!AB190+TEGALSARI!AU190</f>
        <v>19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f>DASRI!AA191+KARANGDORO!AV191+KARANGMULYO!W191+TAMANSARI!AA191+TEGALREJO!AB191+TEGALSARI!AU191</f>
        <v>2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DASRI!AA192+KARANGDORO!AV192+KARANGMULYO!W192+TAMANSARI!AA192+TEGALREJO!AB192+TEGALSARI!AU192</f>
        <v>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f>DASRI!AA193+KARANGDORO!AV193+KARANGMULYO!W193+TAMANSARI!AA193+TEGALREJO!AB193+TEGALSARI!AU193</f>
        <v>5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f>DASRI!AA194+KARANGDORO!AV194+KARANGMULYO!W194+TAMANSARI!AA194+TEGALREJO!AB194+TEGALSARI!AU194</f>
        <v>7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DASRI!AA195+KARANGDORO!AV195+KARANGMULYO!W195+TAMANSARI!AA195+TEGALREJO!AB195+TEGALSARI!AU195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DASRI!AA196+KARANGDORO!AV196+KARANGMULYO!W196+TAMANSARI!AA196+TEGALREJO!AB196+TEGALSARI!AU196</f>
        <v>14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64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DASRI!AA201+KARANGDORO!AV201+KARANGMULYO!W201+TAMANSARI!AA201+TEGALREJO!AB201+TEGALSARI!AU201</f>
        <v>497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DASRI!AA202+KARANGDORO!AV202+KARANGMULYO!W202+TAMANSARI!AA202+TEGALREJO!AB202+TEGALSARI!AU202</f>
        <v>733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f>DASRI!AA203+KARANGDORO!AV203+KARANGMULYO!W203+TAMANSARI!AA203+TEGALREJO!AB203+TEGALSARI!AU203</f>
        <v>143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DASRI!AA204+KARANGDORO!AV204+KARANGMULYO!W204+TAMANSARI!AA204+TEGALREJO!AB204+TEGALSARI!AU204</f>
        <v>70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DASRI!AA205+KARANGDORO!AV205+KARANGMULYO!W205+TAMANSARI!AA205+TEGALREJO!AB205+TEGALSARI!AU205</f>
        <v>156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DASRI!AA206+KARANGDORO!AV206+KARANGMULYO!W206+TAMANSARI!AA206+TEGALREJO!AB206+TEGALSARI!AU206</f>
        <v>30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DASRI!AA207+KARANGDORO!AV207+KARANGMULYO!W207+TAMANSARI!AA207+TEGALREJO!AB207+TEGALSARI!AU207</f>
        <v>16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 t="str">
        <f>DASRI!AA208+KARANGDORO!AV208+KARANGMULYO!W208+TAMANSARI!AA208+TEGALREJO!AB208+TEGALSARI!AU208</f>
        <v>#VALUE!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 t="str">
        <f>SUM(E201:E208)</f>
        <v>#VALUE!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DASRI!AA213+KARANGDORO!AV213+KARANGMULYO!W213+TAMANSARI!AA213+TEGALREJO!AB213+TEGALSARI!AU213</f>
        <v>187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DASRI!AA214+KARANGDORO!AV214+KARANGMULYO!W214+TAMANSARI!AA214+TEGALREJO!AB214+TEGALSARI!AU214</f>
        <v>212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f>DASRI!AA215+KARANGDORO!AV215+KARANGMULYO!W215+TAMANSARI!AA215+TEGALREJO!AB215+TEGALSARI!AU215</f>
        <v>386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70" t="s">
        <v>159</v>
      </c>
      <c r="E216" s="24">
        <f>DASRI!AA216+KARANGDORO!AV216+KARANGMULYO!W216+TAMANSARI!AA216+TEGALREJO!AB216+TEGALSARI!AU216</f>
        <v>29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f>DASRI!AA217+KARANGDORO!AV217+KARANGMULYO!W217+TAMANSARI!AA217+TEGALREJO!AB217+TEGALSARI!AU217</f>
        <v>12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f>DASRI!AA218+KARANGDORO!AV218+KARANGMULYO!W218+TAMANSARI!AA218+TEGALREJO!AB218+TEGALSARI!AU218</f>
        <v>10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f>DASRI!AA219+KARANGDORO!AV219+KARANGMULYO!W219+TAMANSARI!AA219+TEGALREJO!AB219+TEGALSARI!AU219</f>
        <v>18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f>DASRI!AA220+KARANGDORO!AV220+KARANGMULYO!W220+TAMANSARI!AA220+TEGALREJO!AB220+TEGALSARI!AU220</f>
        <v>17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871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DASRI!AA225+KARANGDORO!AV225+KARANGMULYO!W225+TAMANSARI!AA225+TEGALREJO!AB225+TEGALSARI!AU225</f>
        <v>21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DASRI!AA226+KARANGDORO!AV226+KARANGMULYO!W226+TAMANSARI!AA226+TEGALREJO!AB226+TEGALSARI!AU226</f>
        <v>116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DASRI!AA227+KARANGDORO!AV227+KARANGMULYO!W227+TAMANSARI!AA227+TEGALREJO!AB227+TEGALSARI!AU227</f>
        <v>2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f>DASRI!AA228+KARANGDORO!AV228+KARANGMULYO!W228+TAMANSARI!AA228+TEGALREJO!AB228+TEGALSARI!AU228</f>
        <v>4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f>DASRI!AA229+KARANGDORO!AV229+KARANGMULYO!W229+TAMANSARI!AA229+TEGALREJO!AB229+TEGALSARI!AU229</f>
        <v>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f>DASRI!AA230+KARANGDORO!AV230+KARANGMULYO!W230+TAMANSARI!AA230+TEGALREJO!AB230+TEGALSARI!AU230</f>
        <v>3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f>DASRI!AA231+KARANGDORO!AV231+KARANGMULYO!W231+TAMANSARI!AA231+TEGALREJO!AB231+TEGALSARI!AU231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f>DASRI!AA232+KARANGDORO!AV232+KARANGMULYO!W232+TAMANSARI!AA232+TEGALREJO!AB232+TEGALSARI!AU232</f>
        <v>17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165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DASRI!AA237+KARANGDORO!AV237+KARANGMULYO!W237+TAMANSARI!AA237+TEGALREJO!AB237+TEGALSARI!AU237</f>
        <v>262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DASRI!AA238+KARANGDORO!AV238+KARANGMULYO!W238+TAMANSARI!AA238+TEGALREJO!AB238+TEGALSARI!AU238</f>
        <v>158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DASRI!AA239+KARANGDORO!AV239+KARANGMULYO!W239+TAMANSARI!AA239+TEGALREJO!AB239+TEGALSARI!AU239</f>
        <v>122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f>DASRI!AA240+KARANGDORO!AV240+KARANGMULYO!W240+TAMANSARI!AA240+TEGALREJO!AB240+TEGALSARI!AU240</f>
        <v>18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f>DASRI!AA241+KARANGDORO!AV241+KARANGMULYO!W241+TAMANSARI!AA241+TEGALREJO!AB241+TEGALSARI!AU241</f>
        <v>21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f>DASRI!AA242+KARANGDORO!AV242+KARANGMULYO!W242+TAMANSARI!AA242+TEGALREJO!AB242+TEGALSARI!AU242</f>
        <v>7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f>DASRI!AA243+KARANGDORO!AV243+KARANGMULYO!W243+TAMANSARI!AA243+TEGALREJO!AB243+TEGALSARI!AU243</f>
        <v>18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f>DASRI!AA244+KARANGDORO!AV244+KARANGMULYO!W244+TAMANSARI!AA244+TEGALREJO!AB244+TEGALSARI!AU244</f>
        <v>2081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2687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DASRI!AA249+KARANGDORO!AV249+KARANGMULYO!W249+TAMANSARI!AA249+TEGALREJO!AB249+TEGALSARI!AU249</f>
        <v>17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7" t="s">
        <v>184</v>
      </c>
      <c r="D250" s="60"/>
      <c r="E250" s="24">
        <f>DASRI!AA250+KARANGDORO!AV250+KARANGMULYO!W250+TAMANSARI!AA250+TEGALREJO!AB250+TEGALSARI!AU250</f>
        <v>19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7" t="s">
        <v>185</v>
      </c>
      <c r="D251" s="60"/>
      <c r="E251" s="24">
        <f>DASRI!AA251+KARANGDORO!AV251+KARANGMULYO!W251+TAMANSARI!AA251+TEGALREJO!AB251+TEGALSARI!AU251</f>
        <v>10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7" t="s">
        <v>186</v>
      </c>
      <c r="D252" s="60"/>
      <c r="E252" s="24">
        <f>DASRI!AA252+KARANGDORO!AV252+KARANGMULYO!W252+TAMANSARI!AA252+TEGALREJO!AB252+TEGALSARI!AU252</f>
        <v>2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7" t="s">
        <v>187</v>
      </c>
      <c r="D253" s="60"/>
      <c r="E253" s="24">
        <f>DASRI!AA253+KARANGDORO!AV253+KARANGMULYO!W253+TAMANSARI!AA253+TEGALREJO!AB253+TEGALSARI!AU253</f>
        <v>2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7" t="s">
        <v>188</v>
      </c>
      <c r="D254" s="60"/>
      <c r="E254" s="24">
        <f>DASRI!AA254+KARANGDORO!AV254+KARANGMULYO!W254+TAMANSARI!AA254+TEGALREJO!AB254+TEGALSARI!AU254</f>
        <v>6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7" t="s">
        <v>189</v>
      </c>
      <c r="D255" s="60"/>
      <c r="E255" s="24">
        <f>DASRI!AA255+KARANGDORO!AV255+KARANGMULYO!W255+TAMANSARI!AA255+TEGALREJO!AB255+TEGALSARI!AU255</f>
        <v>9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8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8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8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65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1" t="s">
        <v>192</v>
      </c>
      <c r="C262" s="72" t="s">
        <v>193</v>
      </c>
      <c r="D262" s="16"/>
      <c r="E262" s="24">
        <f>DASRI!AA262+KARANGDORO!AV262+KARANGMULYO!W262+TAMANSARI!AA262+TEGALREJO!AB262+TEGALSARI!AU262</f>
        <v>28580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1" t="s">
        <v>194</v>
      </c>
      <c r="C263" s="72" t="s">
        <v>195</v>
      </c>
      <c r="D263" s="16"/>
      <c r="E263" s="24">
        <f>DASRI!AA263+KARANGDORO!AV263+KARANGMULYO!W263+TAMANSARI!AA263+TEGALREJO!AB263+TEGALSARI!AU263</f>
        <v>2555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1" t="s">
        <v>196</v>
      </c>
      <c r="C264" s="72" t="s">
        <v>197</v>
      </c>
      <c r="D264" s="16"/>
      <c r="E264" s="13">
        <f>SUM(E262:E263)</f>
        <v>31135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3"/>
      <c r="C265" s="7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3"/>
      <c r="C266" s="7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3"/>
      <c r="C267" s="7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3"/>
      <c r="C268" s="7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3"/>
      <c r="C269" s="7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3"/>
      <c r="C270" s="7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3"/>
      <c r="C271" s="7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3"/>
      <c r="C272" s="7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3"/>
      <c r="C273" s="7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3"/>
      <c r="C274" s="7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3"/>
      <c r="C275" s="7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3"/>
      <c r="C276" s="7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3"/>
      <c r="C277" s="7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3"/>
      <c r="C278" s="7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3"/>
      <c r="C279" s="7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3"/>
      <c r="C280" s="7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3"/>
      <c r="C281" s="7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3"/>
      <c r="C282" s="7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3"/>
      <c r="C283" s="7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3"/>
      <c r="C284" s="7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3"/>
      <c r="C285" s="7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3"/>
      <c r="C286" s="7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3"/>
      <c r="C287" s="7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3"/>
      <c r="C288" s="7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3"/>
      <c r="C289" s="7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3"/>
      <c r="C290" s="7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3"/>
      <c r="C291" s="7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3"/>
      <c r="C292" s="7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3"/>
      <c r="C293" s="7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3"/>
      <c r="C294" s="7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3"/>
      <c r="C295" s="7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3"/>
      <c r="C296" s="7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3"/>
      <c r="C297" s="7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3"/>
      <c r="C298" s="7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3"/>
      <c r="C299" s="7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3"/>
      <c r="C300" s="7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3"/>
      <c r="C301" s="7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3"/>
      <c r="C302" s="7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3"/>
      <c r="C303" s="7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3"/>
      <c r="C304" s="7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3"/>
      <c r="C305" s="7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3"/>
      <c r="C306" s="7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3"/>
      <c r="C307" s="7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3"/>
      <c r="C308" s="7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3"/>
      <c r="C309" s="7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3"/>
      <c r="C310" s="7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3"/>
      <c r="C311" s="7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3"/>
      <c r="C312" s="7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3"/>
      <c r="C313" s="7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3"/>
      <c r="C314" s="7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3"/>
      <c r="C315" s="7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3"/>
      <c r="C316" s="7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3"/>
      <c r="C317" s="7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3"/>
      <c r="C318" s="7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3"/>
      <c r="C319" s="7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3"/>
      <c r="C320" s="7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3"/>
      <c r="C321" s="7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3"/>
      <c r="C322" s="7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3"/>
      <c r="C323" s="7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3"/>
      <c r="C324" s="7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3"/>
      <c r="C325" s="7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3"/>
      <c r="C326" s="7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3"/>
      <c r="C327" s="7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3"/>
      <c r="C328" s="7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3"/>
      <c r="C329" s="7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3"/>
      <c r="C330" s="7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3"/>
      <c r="C331" s="7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3"/>
      <c r="C332" s="7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3"/>
      <c r="C333" s="7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3"/>
      <c r="C334" s="7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3"/>
      <c r="C335" s="7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3"/>
      <c r="C336" s="7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3"/>
      <c r="C337" s="7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3"/>
      <c r="C338" s="7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3"/>
      <c r="C339" s="7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3"/>
      <c r="C340" s="7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3"/>
      <c r="C341" s="7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3"/>
      <c r="C342" s="7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3"/>
      <c r="C343" s="7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3"/>
      <c r="C344" s="7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3"/>
      <c r="C345" s="7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3"/>
      <c r="C346" s="7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3"/>
      <c r="C347" s="7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3"/>
      <c r="C348" s="7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3"/>
      <c r="C349" s="7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3"/>
      <c r="C350" s="7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3"/>
      <c r="C351" s="7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3"/>
      <c r="C352" s="7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3"/>
      <c r="C353" s="7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3"/>
      <c r="C354" s="7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3"/>
      <c r="C355" s="7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3"/>
      <c r="C356" s="7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3"/>
      <c r="C357" s="7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3"/>
      <c r="C358" s="7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3"/>
      <c r="C359" s="7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3"/>
      <c r="C360" s="7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3"/>
      <c r="C361" s="7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3"/>
      <c r="C362" s="7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3"/>
      <c r="C363" s="7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3"/>
      <c r="C364" s="7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3"/>
      <c r="C365" s="7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3"/>
      <c r="C366" s="7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3"/>
      <c r="C367" s="7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3"/>
      <c r="C368" s="7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3"/>
      <c r="C369" s="7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3"/>
      <c r="C370" s="7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3"/>
      <c r="C371" s="7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3"/>
      <c r="C372" s="7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3"/>
      <c r="C373" s="7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3"/>
      <c r="C374" s="7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3"/>
      <c r="C375" s="7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3"/>
      <c r="C376" s="7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3"/>
      <c r="C377" s="7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3"/>
      <c r="C378" s="7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3"/>
      <c r="C379" s="7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3"/>
      <c r="C380" s="7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3"/>
      <c r="C381" s="7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3"/>
      <c r="C382" s="7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3"/>
      <c r="C383" s="7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3"/>
      <c r="C384" s="7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3"/>
      <c r="C385" s="7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3"/>
      <c r="C386" s="7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3"/>
      <c r="C387" s="7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3"/>
      <c r="C388" s="7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3"/>
      <c r="C389" s="7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3"/>
      <c r="C390" s="7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3"/>
      <c r="C391" s="7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3"/>
      <c r="C392" s="7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3"/>
      <c r="C393" s="7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3"/>
      <c r="C394" s="7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3"/>
      <c r="C395" s="7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3"/>
      <c r="C396" s="7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3"/>
      <c r="C397" s="7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3"/>
      <c r="C398" s="7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3"/>
      <c r="C399" s="7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3"/>
      <c r="C400" s="7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3"/>
      <c r="C401" s="7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3"/>
      <c r="C402" s="7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3"/>
      <c r="C403" s="7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3"/>
      <c r="C404" s="7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3"/>
      <c r="C405" s="7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3"/>
      <c r="C406" s="7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3"/>
      <c r="C407" s="7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3"/>
      <c r="C408" s="7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3"/>
      <c r="C409" s="7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3"/>
      <c r="C410" s="7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3"/>
      <c r="C411" s="7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3"/>
      <c r="C412" s="7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3"/>
      <c r="C413" s="7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3"/>
      <c r="C414" s="7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3"/>
      <c r="C415" s="7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3"/>
      <c r="C416" s="7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3"/>
      <c r="C417" s="7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3"/>
      <c r="C418" s="7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3"/>
      <c r="C419" s="7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3"/>
      <c r="C420" s="7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3"/>
      <c r="C421" s="7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3"/>
      <c r="C422" s="7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3"/>
      <c r="C423" s="7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3"/>
      <c r="C424" s="7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3"/>
      <c r="C425" s="7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3"/>
      <c r="C426" s="7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3"/>
      <c r="C427" s="7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3"/>
      <c r="C428" s="7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3"/>
      <c r="C429" s="7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3"/>
      <c r="C430" s="7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3"/>
      <c r="C431" s="7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3"/>
      <c r="C432" s="7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3"/>
      <c r="C433" s="7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3"/>
      <c r="C434" s="7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3"/>
      <c r="C435" s="7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3"/>
      <c r="C436" s="7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3"/>
      <c r="C437" s="7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3"/>
      <c r="C438" s="7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3"/>
      <c r="C439" s="7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3"/>
      <c r="C440" s="7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3"/>
      <c r="C441" s="7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3"/>
      <c r="C442" s="7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3"/>
      <c r="C443" s="7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3"/>
      <c r="C444" s="7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3"/>
      <c r="C445" s="7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3"/>
      <c r="C446" s="7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3"/>
      <c r="C447" s="7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3"/>
      <c r="C448" s="7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3"/>
      <c r="C449" s="7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3"/>
      <c r="C450" s="7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3"/>
      <c r="C451" s="7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3"/>
      <c r="C452" s="7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3"/>
      <c r="C453" s="7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3"/>
      <c r="C454" s="7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3"/>
      <c r="C455" s="7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3"/>
      <c r="C456" s="7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3"/>
      <c r="C457" s="7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3"/>
      <c r="C458" s="7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3"/>
      <c r="C459" s="7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3"/>
      <c r="C460" s="7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3"/>
      <c r="C461" s="7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3"/>
      <c r="C462" s="74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3"/>
      <c r="C463" s="74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3"/>
      <c r="C464" s="74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110.0</v>
      </c>
      <c r="G14" s="19">
        <v>133.0</v>
      </c>
      <c r="H14" s="19">
        <v>138.0</v>
      </c>
      <c r="I14" s="19">
        <v>130.0</v>
      </c>
      <c r="J14" s="19">
        <v>102.0</v>
      </c>
      <c r="K14" s="19">
        <v>122.0</v>
      </c>
      <c r="L14" s="19">
        <v>149.0</v>
      </c>
      <c r="M14" s="19">
        <v>146.0</v>
      </c>
      <c r="N14" s="19">
        <v>155.0</v>
      </c>
      <c r="O14" s="19">
        <v>163.0</v>
      </c>
      <c r="P14" s="19">
        <v>131.0</v>
      </c>
      <c r="Q14" s="19">
        <v>123.0</v>
      </c>
      <c r="R14" s="19">
        <v>136.0</v>
      </c>
      <c r="S14" s="19">
        <v>137.0</v>
      </c>
      <c r="T14" s="19">
        <v>119.0</v>
      </c>
      <c r="U14" s="19">
        <v>117.0</v>
      </c>
      <c r="V14" s="19">
        <v>124.0</v>
      </c>
      <c r="W14" s="19">
        <v>135.0</v>
      </c>
      <c r="X14" s="19">
        <v>121.0</v>
      </c>
      <c r="Y14" s="19">
        <v>129.0</v>
      </c>
      <c r="Z14" s="19">
        <v>148.0</v>
      </c>
      <c r="AA14" s="13">
        <f t="shared" ref="AA14:AA16" si="1">SUM(E14:Z14)</f>
        <v>2896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123.0</v>
      </c>
      <c r="G15" s="19">
        <v>120.0</v>
      </c>
      <c r="H15" s="19">
        <v>135.0</v>
      </c>
      <c r="I15" s="19">
        <v>136.0</v>
      </c>
      <c r="J15" s="19">
        <v>105.0</v>
      </c>
      <c r="K15" s="19">
        <v>127.0</v>
      </c>
      <c r="L15" s="19">
        <v>145.0</v>
      </c>
      <c r="M15" s="19">
        <v>152.0</v>
      </c>
      <c r="N15" s="19">
        <v>144.0</v>
      </c>
      <c r="O15" s="19">
        <v>137.0</v>
      </c>
      <c r="P15" s="19">
        <v>119.0</v>
      </c>
      <c r="Q15" s="19">
        <v>122.0</v>
      </c>
      <c r="R15" s="19">
        <v>140.0</v>
      </c>
      <c r="S15" s="19">
        <v>113.0</v>
      </c>
      <c r="T15" s="19">
        <v>124.0</v>
      </c>
      <c r="U15" s="19">
        <v>110.0</v>
      </c>
      <c r="V15" s="19">
        <v>127.0</v>
      </c>
      <c r="W15" s="19">
        <v>132.0</v>
      </c>
      <c r="X15" s="19">
        <v>130.0</v>
      </c>
      <c r="Y15" s="19">
        <v>113.0</v>
      </c>
      <c r="Z15" s="19">
        <v>131.0</v>
      </c>
      <c r="AA15" s="13">
        <f t="shared" si="1"/>
        <v>2802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245</v>
      </c>
      <c r="F16" s="13">
        <f t="shared" si="2"/>
        <v>233</v>
      </c>
      <c r="G16" s="13">
        <f t="shared" si="2"/>
        <v>253</v>
      </c>
      <c r="H16" s="13">
        <f t="shared" si="2"/>
        <v>273</v>
      </c>
      <c r="I16" s="13">
        <f t="shared" si="2"/>
        <v>266</v>
      </c>
      <c r="J16" s="13">
        <f t="shared" si="2"/>
        <v>207</v>
      </c>
      <c r="K16" s="13">
        <f t="shared" si="2"/>
        <v>249</v>
      </c>
      <c r="L16" s="13">
        <f t="shared" si="2"/>
        <v>294</v>
      </c>
      <c r="M16" s="13">
        <f t="shared" si="2"/>
        <v>298</v>
      </c>
      <c r="N16" s="13">
        <f t="shared" si="2"/>
        <v>299</v>
      </c>
      <c r="O16" s="13">
        <f t="shared" si="2"/>
        <v>300</v>
      </c>
      <c r="P16" s="13">
        <f t="shared" si="2"/>
        <v>250</v>
      </c>
      <c r="Q16" s="13">
        <f t="shared" si="2"/>
        <v>245</v>
      </c>
      <c r="R16" s="13">
        <f t="shared" si="2"/>
        <v>276</v>
      </c>
      <c r="S16" s="13">
        <f t="shared" si="2"/>
        <v>250</v>
      </c>
      <c r="T16" s="13">
        <f t="shared" si="2"/>
        <v>243</v>
      </c>
      <c r="U16" s="13">
        <f t="shared" si="2"/>
        <v>227</v>
      </c>
      <c r="V16" s="13">
        <f t="shared" si="2"/>
        <v>251</v>
      </c>
      <c r="W16" s="13">
        <f t="shared" si="2"/>
        <v>267</v>
      </c>
      <c r="X16" s="13">
        <f t="shared" si="2"/>
        <v>251</v>
      </c>
      <c r="Y16" s="13">
        <f t="shared" si="2"/>
        <v>242</v>
      </c>
      <c r="Z16" s="13">
        <f t="shared" si="2"/>
        <v>279</v>
      </c>
      <c r="AA16" s="13">
        <f t="shared" si="1"/>
        <v>5698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19"/>
      <c r="T17" s="19"/>
      <c r="U17" s="19"/>
      <c r="V17" s="19"/>
      <c r="W17" s="19"/>
      <c r="X17" s="76"/>
      <c r="Y17" s="19"/>
      <c r="Z17" s="19"/>
      <c r="AA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19"/>
      <c r="T18" s="19"/>
      <c r="U18" s="19"/>
      <c r="V18" s="19"/>
      <c r="W18" s="19"/>
      <c r="X18" s="76"/>
      <c r="Y18" s="19"/>
      <c r="Z18" s="19"/>
      <c r="AA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85.0</v>
      </c>
      <c r="G19" s="19">
        <v>92.0</v>
      </c>
      <c r="H19" s="19">
        <v>99.0</v>
      </c>
      <c r="I19" s="19">
        <v>94.0</v>
      </c>
      <c r="J19" s="19">
        <v>73.0</v>
      </c>
      <c r="K19" s="19">
        <v>88.0</v>
      </c>
      <c r="L19" s="19">
        <v>104.0</v>
      </c>
      <c r="M19" s="19">
        <v>101.0</v>
      </c>
      <c r="N19" s="19">
        <v>109.0</v>
      </c>
      <c r="O19" s="19">
        <v>114.0</v>
      </c>
      <c r="P19" s="19">
        <v>86.0</v>
      </c>
      <c r="Q19" s="19">
        <v>79.0</v>
      </c>
      <c r="R19" s="19">
        <v>104.0</v>
      </c>
      <c r="S19" s="19">
        <v>77.0</v>
      </c>
      <c r="T19" s="19">
        <v>87.0</v>
      </c>
      <c r="U19" s="19">
        <v>81.0</v>
      </c>
      <c r="V19" s="19">
        <v>95.0</v>
      </c>
      <c r="W19" s="19">
        <v>96.0</v>
      </c>
      <c r="X19" s="19">
        <v>81.0</v>
      </c>
      <c r="Y19" s="19">
        <v>85.0</v>
      </c>
      <c r="Z19" s="19">
        <v>108.0</v>
      </c>
      <c r="AA19" s="13">
        <f t="shared" ref="AA19:AA30" si="3">SUM(E19:Z19)</f>
        <v>2035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89.0</v>
      </c>
      <c r="G20" s="19">
        <v>88.0</v>
      </c>
      <c r="H20" s="19">
        <v>109.0</v>
      </c>
      <c r="I20" s="19">
        <v>98.0</v>
      </c>
      <c r="J20" s="19">
        <v>78.0</v>
      </c>
      <c r="K20" s="19">
        <v>98.0</v>
      </c>
      <c r="L20" s="19">
        <v>108.0</v>
      </c>
      <c r="M20" s="19">
        <v>109.0</v>
      </c>
      <c r="N20" s="19">
        <v>109.0</v>
      </c>
      <c r="O20" s="19">
        <v>110.0</v>
      </c>
      <c r="P20" s="19">
        <v>77.0</v>
      </c>
      <c r="Q20" s="19">
        <v>86.0</v>
      </c>
      <c r="R20" s="19">
        <v>109.0</v>
      </c>
      <c r="S20" s="19">
        <v>74.0</v>
      </c>
      <c r="T20" s="19">
        <v>84.0</v>
      </c>
      <c r="U20" s="19">
        <v>81.0</v>
      </c>
      <c r="V20" s="19">
        <v>92.0</v>
      </c>
      <c r="W20" s="19">
        <v>92.0</v>
      </c>
      <c r="X20" s="19">
        <v>105.0</v>
      </c>
      <c r="Y20" s="19">
        <v>80.0</v>
      </c>
      <c r="Z20" s="19">
        <v>104.0</v>
      </c>
      <c r="AA20" s="13">
        <f t="shared" si="3"/>
        <v>2069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186</v>
      </c>
      <c r="F21" s="13">
        <f t="shared" si="4"/>
        <v>174</v>
      </c>
      <c r="G21" s="13">
        <f t="shared" si="4"/>
        <v>180</v>
      </c>
      <c r="H21" s="13">
        <f t="shared" si="4"/>
        <v>208</v>
      </c>
      <c r="I21" s="13">
        <f t="shared" si="4"/>
        <v>192</v>
      </c>
      <c r="J21" s="13">
        <f t="shared" si="4"/>
        <v>151</v>
      </c>
      <c r="K21" s="13">
        <f t="shared" si="4"/>
        <v>186</v>
      </c>
      <c r="L21" s="13">
        <f t="shared" si="4"/>
        <v>212</v>
      </c>
      <c r="M21" s="13">
        <f t="shared" si="4"/>
        <v>210</v>
      </c>
      <c r="N21" s="13">
        <f t="shared" si="4"/>
        <v>218</v>
      </c>
      <c r="O21" s="13">
        <f t="shared" si="4"/>
        <v>224</v>
      </c>
      <c r="P21" s="13">
        <f t="shared" si="4"/>
        <v>163</v>
      </c>
      <c r="Q21" s="13">
        <f t="shared" si="4"/>
        <v>165</v>
      </c>
      <c r="R21" s="13">
        <f t="shared" si="4"/>
        <v>213</v>
      </c>
      <c r="S21" s="13">
        <f t="shared" si="4"/>
        <v>151</v>
      </c>
      <c r="T21" s="13">
        <f t="shared" si="4"/>
        <v>171</v>
      </c>
      <c r="U21" s="13">
        <f t="shared" si="4"/>
        <v>162</v>
      </c>
      <c r="V21" s="13">
        <f t="shared" si="4"/>
        <v>187</v>
      </c>
      <c r="W21" s="13">
        <f t="shared" si="4"/>
        <v>188</v>
      </c>
      <c r="X21" s="13">
        <f t="shared" si="4"/>
        <v>186</v>
      </c>
      <c r="Y21" s="13">
        <f t="shared" si="4"/>
        <v>165</v>
      </c>
      <c r="Z21" s="13">
        <f t="shared" si="4"/>
        <v>212</v>
      </c>
      <c r="AA21" s="13">
        <f t="shared" si="3"/>
        <v>4104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2.0</v>
      </c>
      <c r="J25" s="19">
        <v>5.0</v>
      </c>
      <c r="K25" s="19">
        <v>4.0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2.0</v>
      </c>
      <c r="R25" s="19">
        <v>2.0</v>
      </c>
      <c r="S25" s="19">
        <v>1.0</v>
      </c>
      <c r="T25" s="19">
        <v>3.0</v>
      </c>
      <c r="U25" s="19">
        <v>2.0</v>
      </c>
      <c r="V25" s="19">
        <v>4.0</v>
      </c>
      <c r="W25" s="19">
        <v>1.0</v>
      </c>
      <c r="X25" s="19">
        <v>2.0</v>
      </c>
      <c r="Y25" s="19">
        <v>0.0</v>
      </c>
      <c r="Z25" s="19">
        <v>2.0</v>
      </c>
      <c r="AA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4.0</v>
      </c>
      <c r="H26" s="19">
        <v>0.0</v>
      </c>
      <c r="I26" s="19">
        <v>4.0</v>
      </c>
      <c r="J26" s="19">
        <v>5.0</v>
      </c>
      <c r="K26" s="19">
        <v>1.0</v>
      </c>
      <c r="L26" s="19">
        <v>1.0</v>
      </c>
      <c r="M26" s="19">
        <v>2.0</v>
      </c>
      <c r="N26" s="19">
        <v>3.0</v>
      </c>
      <c r="O26" s="19">
        <v>1.0</v>
      </c>
      <c r="P26" s="19">
        <v>1.0</v>
      </c>
      <c r="Q26" s="19">
        <v>1.0</v>
      </c>
      <c r="R26" s="19">
        <v>2.0</v>
      </c>
      <c r="S26" s="19">
        <v>4.0</v>
      </c>
      <c r="T26" s="19">
        <v>4.0</v>
      </c>
      <c r="U26" s="19">
        <v>3.0</v>
      </c>
      <c r="V26" s="19">
        <v>3.0</v>
      </c>
      <c r="W26" s="19">
        <v>2.0</v>
      </c>
      <c r="X26" s="19">
        <v>0.0</v>
      </c>
      <c r="Y26" s="19">
        <v>1.0</v>
      </c>
      <c r="Z26" s="19">
        <v>0.0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3</v>
      </c>
      <c r="F27" s="13">
        <f t="shared" si="6"/>
        <v>3</v>
      </c>
      <c r="G27" s="13">
        <f t="shared" si="6"/>
        <v>4</v>
      </c>
      <c r="H27" s="13">
        <f t="shared" si="6"/>
        <v>1</v>
      </c>
      <c r="I27" s="13">
        <f t="shared" si="6"/>
        <v>6</v>
      </c>
      <c r="J27" s="13">
        <f t="shared" si="6"/>
        <v>10</v>
      </c>
      <c r="K27" s="13">
        <f t="shared" si="6"/>
        <v>5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7</v>
      </c>
      <c r="U27" s="13">
        <f t="shared" si="6"/>
        <v>5</v>
      </c>
      <c r="V27" s="13">
        <f t="shared" si="6"/>
        <v>7</v>
      </c>
      <c r="W27" s="13">
        <f t="shared" si="6"/>
        <v>3</v>
      </c>
      <c r="X27" s="13">
        <f t="shared" si="6"/>
        <v>2</v>
      </c>
      <c r="Y27" s="13">
        <f t="shared" si="6"/>
        <v>1</v>
      </c>
      <c r="Z27" s="13">
        <f t="shared" si="6"/>
        <v>2</v>
      </c>
      <c r="AA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98</v>
      </c>
      <c r="F28" s="13">
        <f t="shared" si="7"/>
        <v>87</v>
      </c>
      <c r="G28" s="13">
        <f t="shared" si="7"/>
        <v>92</v>
      </c>
      <c r="H28" s="13">
        <f t="shared" si="7"/>
        <v>100</v>
      </c>
      <c r="I28" s="13">
        <f t="shared" si="7"/>
        <v>97</v>
      </c>
      <c r="J28" s="13">
        <f t="shared" si="7"/>
        <v>78</v>
      </c>
      <c r="K28" s="13">
        <f t="shared" si="7"/>
        <v>92</v>
      </c>
      <c r="L28" s="13">
        <f t="shared" si="7"/>
        <v>104</v>
      </c>
      <c r="M28" s="13">
        <f t="shared" si="7"/>
        <v>102</v>
      </c>
      <c r="N28" s="13">
        <f t="shared" si="7"/>
        <v>111</v>
      </c>
      <c r="O28" s="13">
        <f t="shared" si="7"/>
        <v>114</v>
      </c>
      <c r="P28" s="13">
        <f t="shared" si="7"/>
        <v>87</v>
      </c>
      <c r="Q28" s="13">
        <f t="shared" si="7"/>
        <v>81</v>
      </c>
      <c r="R28" s="13">
        <f t="shared" si="7"/>
        <v>106</v>
      </c>
      <c r="S28" s="13">
        <f t="shared" si="7"/>
        <v>78</v>
      </c>
      <c r="T28" s="13">
        <f t="shared" si="7"/>
        <v>90</v>
      </c>
      <c r="U28" s="13">
        <f t="shared" si="7"/>
        <v>83</v>
      </c>
      <c r="V28" s="13">
        <f t="shared" si="7"/>
        <v>99</v>
      </c>
      <c r="W28" s="13">
        <f t="shared" si="7"/>
        <v>97</v>
      </c>
      <c r="X28" s="13">
        <f t="shared" si="7"/>
        <v>83</v>
      </c>
      <c r="Y28" s="13">
        <f t="shared" si="7"/>
        <v>85</v>
      </c>
      <c r="Z28" s="13">
        <f t="shared" si="7"/>
        <v>110</v>
      </c>
      <c r="AA28" s="13">
        <f t="shared" si="3"/>
        <v>2074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91</v>
      </c>
      <c r="F29" s="13">
        <f t="shared" si="8"/>
        <v>90</v>
      </c>
      <c r="G29" s="13">
        <f t="shared" si="8"/>
        <v>92</v>
      </c>
      <c r="H29" s="13">
        <f t="shared" si="8"/>
        <v>109</v>
      </c>
      <c r="I29" s="13">
        <f t="shared" si="8"/>
        <v>102</v>
      </c>
      <c r="J29" s="13">
        <f t="shared" si="8"/>
        <v>83</v>
      </c>
      <c r="K29" s="13">
        <f t="shared" si="8"/>
        <v>99</v>
      </c>
      <c r="L29" s="13">
        <f t="shared" si="8"/>
        <v>109</v>
      </c>
      <c r="M29" s="13">
        <f t="shared" si="8"/>
        <v>111</v>
      </c>
      <c r="N29" s="13">
        <f t="shared" si="8"/>
        <v>112</v>
      </c>
      <c r="O29" s="13">
        <f t="shared" si="8"/>
        <v>111</v>
      </c>
      <c r="P29" s="13">
        <f t="shared" si="8"/>
        <v>78</v>
      </c>
      <c r="Q29" s="13">
        <f t="shared" si="8"/>
        <v>87</v>
      </c>
      <c r="R29" s="13">
        <f t="shared" si="8"/>
        <v>111</v>
      </c>
      <c r="S29" s="13">
        <f t="shared" si="8"/>
        <v>78</v>
      </c>
      <c r="T29" s="13">
        <f t="shared" si="8"/>
        <v>88</v>
      </c>
      <c r="U29" s="13">
        <f t="shared" si="8"/>
        <v>84</v>
      </c>
      <c r="V29" s="13">
        <f t="shared" si="8"/>
        <v>95</v>
      </c>
      <c r="W29" s="13">
        <f t="shared" si="8"/>
        <v>94</v>
      </c>
      <c r="X29" s="13">
        <f t="shared" si="8"/>
        <v>105</v>
      </c>
      <c r="Y29" s="13">
        <f t="shared" si="8"/>
        <v>81</v>
      </c>
      <c r="Z29" s="13">
        <f t="shared" si="8"/>
        <v>104</v>
      </c>
      <c r="AA29" s="13">
        <f t="shared" si="3"/>
        <v>2114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189</v>
      </c>
      <c r="F30" s="13">
        <f t="shared" si="9"/>
        <v>177</v>
      </c>
      <c r="G30" s="13">
        <f t="shared" si="9"/>
        <v>184</v>
      </c>
      <c r="H30" s="13">
        <f t="shared" si="9"/>
        <v>209</v>
      </c>
      <c r="I30" s="13">
        <f t="shared" si="9"/>
        <v>199</v>
      </c>
      <c r="J30" s="13">
        <f t="shared" si="9"/>
        <v>161</v>
      </c>
      <c r="K30" s="13">
        <f t="shared" si="9"/>
        <v>191</v>
      </c>
      <c r="L30" s="13">
        <f t="shared" si="9"/>
        <v>213</v>
      </c>
      <c r="M30" s="13">
        <f t="shared" si="9"/>
        <v>213</v>
      </c>
      <c r="N30" s="13">
        <f t="shared" si="9"/>
        <v>223</v>
      </c>
      <c r="O30" s="13">
        <f t="shared" si="9"/>
        <v>225</v>
      </c>
      <c r="P30" s="13">
        <f t="shared" si="9"/>
        <v>165</v>
      </c>
      <c r="Q30" s="13">
        <f t="shared" si="9"/>
        <v>168</v>
      </c>
      <c r="R30" s="13">
        <f t="shared" si="9"/>
        <v>217</v>
      </c>
      <c r="S30" s="13">
        <f t="shared" si="9"/>
        <v>156</v>
      </c>
      <c r="T30" s="13">
        <f t="shared" si="9"/>
        <v>178</v>
      </c>
      <c r="U30" s="13">
        <f t="shared" si="9"/>
        <v>167</v>
      </c>
      <c r="V30" s="13">
        <f t="shared" si="9"/>
        <v>194</v>
      </c>
      <c r="W30" s="13">
        <f t="shared" si="9"/>
        <v>191</v>
      </c>
      <c r="X30" s="13">
        <f t="shared" si="9"/>
        <v>188</v>
      </c>
      <c r="Y30" s="13">
        <f t="shared" si="9"/>
        <v>166</v>
      </c>
      <c r="Z30" s="13">
        <f t="shared" si="9"/>
        <v>214</v>
      </c>
      <c r="AA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19"/>
      <c r="T31" s="19"/>
      <c r="U31" s="19"/>
      <c r="V31" s="19"/>
      <c r="W31" s="19"/>
      <c r="X31" s="76"/>
      <c r="Y31" s="19"/>
      <c r="Z31" s="19"/>
      <c r="AA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13"/>
      <c r="P32" s="13"/>
      <c r="Q32" s="13"/>
      <c r="R32" s="13"/>
      <c r="S32" s="13"/>
      <c r="T32" s="13"/>
      <c r="U32" s="13"/>
      <c r="V32" s="13"/>
      <c r="W32" s="13"/>
      <c r="X32" s="78"/>
      <c r="Y32" s="13"/>
      <c r="Z32" s="13"/>
      <c r="AA32" s="77"/>
    </row>
    <row r="33" ht="12.75" customHeight="1">
      <c r="A33" s="19">
        <v>1.0</v>
      </c>
      <c r="B33" s="20" t="s">
        <v>27</v>
      </c>
      <c r="C33" s="15"/>
      <c r="D33" s="16"/>
      <c r="E33" s="19">
        <v>250.0</v>
      </c>
      <c r="F33" s="19">
        <v>238.0</v>
      </c>
      <c r="G33" s="19">
        <v>259.0</v>
      </c>
      <c r="H33" s="19">
        <v>279.0</v>
      </c>
      <c r="I33" s="19">
        <v>272.0</v>
      </c>
      <c r="J33" s="19">
        <v>212.0</v>
      </c>
      <c r="K33" s="19">
        <v>254.0</v>
      </c>
      <c r="L33" s="19">
        <v>300.0</v>
      </c>
      <c r="M33" s="19">
        <v>304.0</v>
      </c>
      <c r="N33" s="19">
        <v>305.0</v>
      </c>
      <c r="O33" s="19">
        <v>299.0</v>
      </c>
      <c r="P33" s="19">
        <v>255.0</v>
      </c>
      <c r="Q33" s="19">
        <v>250.0</v>
      </c>
      <c r="R33" s="19">
        <v>283.0</v>
      </c>
      <c r="S33" s="19">
        <v>256.0</v>
      </c>
      <c r="T33" s="19">
        <v>248.0</v>
      </c>
      <c r="U33" s="19">
        <v>232.0</v>
      </c>
      <c r="V33" s="19">
        <v>257.0</v>
      </c>
      <c r="W33" s="19">
        <v>273.0</v>
      </c>
      <c r="X33" s="19">
        <v>257.0</v>
      </c>
      <c r="Y33" s="19">
        <v>249.0</v>
      </c>
      <c r="Z33" s="19">
        <v>285.0</v>
      </c>
      <c r="AA33" s="13">
        <f t="shared" ref="AA33:AA36" si="10">SUM(E33:Z33)</f>
        <v>5817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177.0</v>
      </c>
      <c r="G34" s="13">
        <v>184.0</v>
      </c>
      <c r="H34" s="13">
        <v>209.0</v>
      </c>
      <c r="I34" s="13">
        <v>199.0</v>
      </c>
      <c r="J34" s="13">
        <v>161.0</v>
      </c>
      <c r="K34" s="13">
        <v>191.0</v>
      </c>
      <c r="L34" s="13">
        <v>213.0</v>
      </c>
      <c r="M34" s="13">
        <v>213.0</v>
      </c>
      <c r="N34" s="13">
        <v>223.0</v>
      </c>
      <c r="O34" s="13">
        <v>225.0</v>
      </c>
      <c r="P34" s="13">
        <v>165.0</v>
      </c>
      <c r="Q34" s="13">
        <v>168.0</v>
      </c>
      <c r="R34" s="13">
        <v>217.0</v>
      </c>
      <c r="S34" s="13">
        <v>156.0</v>
      </c>
      <c r="T34" s="13">
        <v>178.0</v>
      </c>
      <c r="U34" s="13">
        <v>167.0</v>
      </c>
      <c r="V34" s="13">
        <v>194.0</v>
      </c>
      <c r="W34" s="13">
        <v>191.0</v>
      </c>
      <c r="X34" s="13">
        <v>188.0</v>
      </c>
      <c r="Y34" s="13">
        <v>166.0</v>
      </c>
      <c r="Z34" s="13">
        <v>214.0</v>
      </c>
      <c r="AA34" s="13">
        <f t="shared" si="10"/>
        <v>4188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1.0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2.0</v>
      </c>
      <c r="AA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61</v>
      </c>
      <c r="F36" s="13">
        <f t="shared" si="11"/>
        <v>61</v>
      </c>
      <c r="G36" s="13">
        <f t="shared" si="11"/>
        <v>75</v>
      </c>
      <c r="H36" s="13">
        <f t="shared" si="11"/>
        <v>69</v>
      </c>
      <c r="I36" s="13">
        <f t="shared" si="11"/>
        <v>73</v>
      </c>
      <c r="J36" s="13">
        <f t="shared" si="11"/>
        <v>49</v>
      </c>
      <c r="K36" s="13">
        <f t="shared" si="11"/>
        <v>63</v>
      </c>
      <c r="L36" s="13">
        <f t="shared" si="11"/>
        <v>87</v>
      </c>
      <c r="M36" s="13">
        <f t="shared" si="11"/>
        <v>91</v>
      </c>
      <c r="N36" s="13">
        <f t="shared" si="11"/>
        <v>82</v>
      </c>
      <c r="O36" s="13">
        <f t="shared" si="11"/>
        <v>73</v>
      </c>
      <c r="P36" s="13">
        <f t="shared" si="11"/>
        <v>90</v>
      </c>
      <c r="Q36" s="13">
        <f t="shared" si="11"/>
        <v>81</v>
      </c>
      <c r="R36" s="13">
        <f t="shared" si="11"/>
        <v>66</v>
      </c>
      <c r="S36" s="13">
        <f t="shared" si="11"/>
        <v>100</v>
      </c>
      <c r="T36" s="13">
        <f t="shared" si="11"/>
        <v>69</v>
      </c>
      <c r="U36" s="13">
        <f t="shared" si="11"/>
        <v>65</v>
      </c>
      <c r="V36" s="13">
        <f t="shared" si="11"/>
        <v>63</v>
      </c>
      <c r="W36" s="13">
        <f t="shared" si="11"/>
        <v>82</v>
      </c>
      <c r="X36" s="13">
        <f t="shared" si="11"/>
        <v>67</v>
      </c>
      <c r="Y36" s="13">
        <f t="shared" si="11"/>
        <v>83</v>
      </c>
      <c r="Z36" s="13">
        <f t="shared" si="11"/>
        <v>69</v>
      </c>
      <c r="AA36" s="13">
        <f t="shared" si="10"/>
        <v>1619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13"/>
      <c r="P38" s="13"/>
      <c r="Q38" s="13"/>
      <c r="R38" s="13"/>
      <c r="S38" s="13"/>
      <c r="T38" s="13"/>
      <c r="U38" s="13"/>
      <c r="V38" s="13"/>
      <c r="W38" s="13"/>
      <c r="X38" s="78"/>
      <c r="Y38" s="13"/>
      <c r="Z38" s="13"/>
      <c r="AA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  <c r="Q43" s="13"/>
      <c r="R43" s="13"/>
      <c r="S43" s="13"/>
      <c r="T43" s="13"/>
      <c r="U43" s="13"/>
      <c r="V43" s="13"/>
      <c r="W43" s="13"/>
      <c r="X43" s="78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19"/>
      <c r="T44" s="19"/>
      <c r="U44" s="19"/>
      <c r="V44" s="19"/>
      <c r="W44" s="19"/>
      <c r="X44" s="76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1.0</v>
      </c>
      <c r="G45" s="19">
        <v>5.0</v>
      </c>
      <c r="H45" s="19">
        <v>5.0</v>
      </c>
      <c r="I45" s="19">
        <v>7.0</v>
      </c>
      <c r="J45" s="19">
        <v>0.0</v>
      </c>
      <c r="K45" s="19">
        <v>2.0</v>
      </c>
      <c r="L45" s="19">
        <v>0.0</v>
      </c>
      <c r="M45" s="19">
        <v>1.0</v>
      </c>
      <c r="N45" s="19">
        <v>4.0</v>
      </c>
      <c r="O45" s="19">
        <v>2.0</v>
      </c>
      <c r="P45" s="19">
        <v>3.0</v>
      </c>
      <c r="Q45" s="19">
        <v>5.0</v>
      </c>
      <c r="R45" s="19">
        <v>7.0</v>
      </c>
      <c r="S45" s="19">
        <v>6.0</v>
      </c>
      <c r="T45" s="19">
        <v>9.0</v>
      </c>
      <c r="U45" s="19">
        <v>10.0</v>
      </c>
      <c r="V45" s="19">
        <v>3.0</v>
      </c>
      <c r="W45" s="19">
        <v>6.0</v>
      </c>
      <c r="X45" s="19">
        <v>6.0</v>
      </c>
      <c r="Y45" s="19">
        <v>5.0</v>
      </c>
      <c r="Z45" s="19">
        <v>7.0</v>
      </c>
      <c r="AA45" s="13">
        <f t="shared" ref="AA45:AA54" si="14">SUM(E45:Z45)</f>
        <v>95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9.0</v>
      </c>
      <c r="G46" s="19">
        <v>9.0</v>
      </c>
      <c r="H46" s="19">
        <v>20.0</v>
      </c>
      <c r="I46" s="19">
        <v>7.0</v>
      </c>
      <c r="J46" s="19">
        <v>7.0</v>
      </c>
      <c r="K46" s="19">
        <v>7.0</v>
      </c>
      <c r="L46" s="19">
        <v>22.0</v>
      </c>
      <c r="M46" s="19">
        <v>13.0</v>
      </c>
      <c r="N46" s="19">
        <v>6.0</v>
      </c>
      <c r="O46" s="19">
        <v>5.0</v>
      </c>
      <c r="P46" s="19">
        <v>1.0</v>
      </c>
      <c r="Q46" s="19">
        <v>2.0</v>
      </c>
      <c r="R46" s="19">
        <v>33.0</v>
      </c>
      <c r="S46" s="19">
        <v>11.0</v>
      </c>
      <c r="T46" s="19">
        <v>41.0</v>
      </c>
      <c r="U46" s="19">
        <v>24.0</v>
      </c>
      <c r="V46" s="19">
        <v>14.0</v>
      </c>
      <c r="W46" s="19">
        <v>19.0</v>
      </c>
      <c r="X46" s="19">
        <v>5.0</v>
      </c>
      <c r="Y46" s="19">
        <v>6.0</v>
      </c>
      <c r="Z46" s="19">
        <v>71.0</v>
      </c>
      <c r="AA46" s="13">
        <f t="shared" si="14"/>
        <v>342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0.0</v>
      </c>
      <c r="G47" s="19">
        <v>3.0</v>
      </c>
      <c r="H47" s="19">
        <v>2.0</v>
      </c>
      <c r="I47" s="19">
        <v>2.0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19">
        <v>1.0</v>
      </c>
      <c r="S47" s="19">
        <v>1.0</v>
      </c>
      <c r="T47" s="19">
        <v>0.0</v>
      </c>
      <c r="U47" s="19">
        <v>2.0</v>
      </c>
      <c r="V47" s="19">
        <v>0.0</v>
      </c>
      <c r="W47" s="19">
        <v>0.0</v>
      </c>
      <c r="X47" s="19">
        <v>0.0</v>
      </c>
      <c r="Y47" s="19">
        <v>0.0</v>
      </c>
      <c r="Z47" s="19">
        <v>0.0</v>
      </c>
      <c r="AA47" s="13">
        <f t="shared" si="14"/>
        <v>13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2.0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3.0</v>
      </c>
      <c r="S48" s="19">
        <v>2.0</v>
      </c>
      <c r="T48" s="19">
        <v>9.0</v>
      </c>
      <c r="U48" s="19">
        <v>19.0</v>
      </c>
      <c r="V48" s="19">
        <v>8.0</v>
      </c>
      <c r="W48" s="19">
        <v>0.0</v>
      </c>
      <c r="X48" s="19">
        <v>5.0</v>
      </c>
      <c r="Y48" s="19">
        <v>0.0</v>
      </c>
      <c r="Z48" s="19">
        <v>0.0</v>
      </c>
      <c r="AA48" s="13">
        <f t="shared" si="14"/>
        <v>52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4.0</v>
      </c>
      <c r="H49" s="19">
        <v>0.0</v>
      </c>
      <c r="I49" s="19">
        <v>1.0</v>
      </c>
      <c r="J49" s="19">
        <v>0.0</v>
      </c>
      <c r="K49" s="19">
        <v>0.0</v>
      </c>
      <c r="L49" s="19">
        <v>1.0</v>
      </c>
      <c r="M49" s="19">
        <v>2.0</v>
      </c>
      <c r="N49" s="19">
        <v>0.0</v>
      </c>
      <c r="O49" s="19">
        <v>0.0</v>
      </c>
      <c r="P49" s="19">
        <v>1.0</v>
      </c>
      <c r="Q49" s="19">
        <v>0.0</v>
      </c>
      <c r="R49" s="19">
        <v>1.0</v>
      </c>
      <c r="S49" s="19">
        <v>1.0</v>
      </c>
      <c r="T49" s="19">
        <v>1.0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3.0</v>
      </c>
      <c r="AA49" s="13">
        <f t="shared" si="14"/>
        <v>18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1.0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2.0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2.0</v>
      </c>
      <c r="N51" s="19">
        <v>0.0</v>
      </c>
      <c r="O51" s="19">
        <v>0.0</v>
      </c>
      <c r="P51" s="19">
        <v>0.0</v>
      </c>
      <c r="Q51" s="19">
        <v>2.0</v>
      </c>
      <c r="R51" s="19">
        <v>0.0</v>
      </c>
      <c r="S51" s="19">
        <v>0.0</v>
      </c>
      <c r="T51" s="19">
        <v>2.0</v>
      </c>
      <c r="U51" s="19">
        <v>2.0</v>
      </c>
      <c r="V51" s="19">
        <v>1.0</v>
      </c>
      <c r="W51" s="19">
        <v>2.0</v>
      </c>
      <c r="X51" s="19">
        <v>3.0</v>
      </c>
      <c r="Y51" s="19">
        <v>0.0</v>
      </c>
      <c r="Z51" s="19">
        <v>0.0</v>
      </c>
      <c r="AA51" s="13">
        <f t="shared" si="14"/>
        <v>15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9">
        <v>0.0</v>
      </c>
      <c r="Y52" s="19">
        <v>0.0</v>
      </c>
      <c r="Z52" s="19">
        <v>0.0</v>
      </c>
      <c r="AA52" s="13">
        <f t="shared" si="14"/>
        <v>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SUM(E45:E54)</f>
        <v>16</v>
      </c>
      <c r="F55" s="13">
        <f t="shared" si="15"/>
        <v>13</v>
      </c>
      <c r="G55" s="13">
        <f t="shared" si="15"/>
        <v>22</v>
      </c>
      <c r="H55" s="13">
        <f t="shared" si="15"/>
        <v>28</v>
      </c>
      <c r="I55" s="13">
        <f t="shared" si="15"/>
        <v>18</v>
      </c>
      <c r="J55" s="13">
        <f t="shared" si="15"/>
        <v>8</v>
      </c>
      <c r="K55" s="13">
        <f t="shared" si="15"/>
        <v>11</v>
      </c>
      <c r="L55" s="13">
        <f t="shared" si="15"/>
        <v>25</v>
      </c>
      <c r="M55" s="13">
        <f t="shared" si="15"/>
        <v>18</v>
      </c>
      <c r="N55" s="13">
        <f t="shared" si="15"/>
        <v>11</v>
      </c>
      <c r="O55" s="13">
        <f t="shared" si="15"/>
        <v>7</v>
      </c>
      <c r="P55" s="13">
        <f t="shared" si="15"/>
        <v>5</v>
      </c>
      <c r="Q55" s="13">
        <f t="shared" si="15"/>
        <v>10</v>
      </c>
      <c r="R55" s="13">
        <f t="shared" si="15"/>
        <v>45</v>
      </c>
      <c r="S55" s="13">
        <f t="shared" si="15"/>
        <v>21</v>
      </c>
      <c r="T55" s="13">
        <f t="shared" si="15"/>
        <v>64</v>
      </c>
      <c r="U55" s="13">
        <f t="shared" si="15"/>
        <v>59</v>
      </c>
      <c r="V55" s="13">
        <f t="shared" si="15"/>
        <v>27</v>
      </c>
      <c r="W55" s="13">
        <f t="shared" si="15"/>
        <v>27</v>
      </c>
      <c r="X55" s="13">
        <f t="shared" si="15"/>
        <v>19</v>
      </c>
      <c r="Y55" s="13">
        <f t="shared" si="15"/>
        <v>11</v>
      </c>
      <c r="Z55" s="13">
        <f t="shared" si="15"/>
        <v>82</v>
      </c>
      <c r="AA55" s="13">
        <f t="shared" si="15"/>
        <v>547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2.0</v>
      </c>
      <c r="F57" s="19">
        <v>3.0</v>
      </c>
      <c r="G57" s="19">
        <v>11.0</v>
      </c>
      <c r="H57" s="19">
        <v>12.0</v>
      </c>
      <c r="I57" s="19">
        <v>10.0</v>
      </c>
      <c r="J57" s="19">
        <v>10.0</v>
      </c>
      <c r="K57" s="19">
        <v>5.0</v>
      </c>
      <c r="L57" s="19">
        <v>5.0</v>
      </c>
      <c r="M57" s="19">
        <v>8.0</v>
      </c>
      <c r="N57" s="19">
        <v>6.0</v>
      </c>
      <c r="O57" s="19">
        <v>16.0</v>
      </c>
      <c r="P57" s="19">
        <v>10.0</v>
      </c>
      <c r="Q57" s="19">
        <v>6.0</v>
      </c>
      <c r="R57" s="19">
        <v>5.0</v>
      </c>
      <c r="S57" s="19">
        <v>11.0</v>
      </c>
      <c r="T57" s="19">
        <v>8.0</v>
      </c>
      <c r="U57" s="19">
        <v>7.0</v>
      </c>
      <c r="V57" s="19">
        <v>7.0</v>
      </c>
      <c r="W57" s="19">
        <v>8.0</v>
      </c>
      <c r="X57" s="19">
        <v>7.0</v>
      </c>
      <c r="Y57" s="19">
        <v>3.0</v>
      </c>
      <c r="Z57" s="19">
        <v>5.0</v>
      </c>
      <c r="AA57" s="13">
        <f t="shared" ref="AA57:AA66" si="16">SUM(E57:Z57)</f>
        <v>165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2.0</v>
      </c>
      <c r="F58" s="19">
        <v>9.0</v>
      </c>
      <c r="G58" s="19">
        <v>2.0</v>
      </c>
      <c r="H58" s="19">
        <v>4.0</v>
      </c>
      <c r="I58" s="19">
        <v>1.0</v>
      </c>
      <c r="J58" s="19">
        <v>3.0</v>
      </c>
      <c r="K58" s="19">
        <v>7.0</v>
      </c>
      <c r="L58" s="19">
        <v>13.0</v>
      </c>
      <c r="M58" s="19">
        <v>6.0</v>
      </c>
      <c r="N58" s="19">
        <v>1.0</v>
      </c>
      <c r="O58" s="19">
        <v>6.0</v>
      </c>
      <c r="P58" s="19">
        <v>8.0</v>
      </c>
      <c r="Q58" s="19">
        <v>6.0</v>
      </c>
      <c r="R58" s="19">
        <v>8.0</v>
      </c>
      <c r="S58" s="19">
        <v>5.0</v>
      </c>
      <c r="T58" s="19">
        <v>0.0</v>
      </c>
      <c r="U58" s="19">
        <v>7.0</v>
      </c>
      <c r="V58" s="19">
        <v>4.0</v>
      </c>
      <c r="W58" s="19">
        <v>11.0</v>
      </c>
      <c r="X58" s="19">
        <v>9.0</v>
      </c>
      <c r="Y58" s="19">
        <v>0.0</v>
      </c>
      <c r="Z58" s="19">
        <v>38.0</v>
      </c>
      <c r="AA58" s="13">
        <f t="shared" si="16"/>
        <v>150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3.0</v>
      </c>
      <c r="G59" s="19">
        <v>2.0</v>
      </c>
      <c r="H59" s="19">
        <v>1.0</v>
      </c>
      <c r="I59" s="19">
        <v>0.0</v>
      </c>
      <c r="J59" s="19">
        <v>3.0</v>
      </c>
      <c r="K59" s="19">
        <v>2.0</v>
      </c>
      <c r="L59" s="19">
        <v>2.0</v>
      </c>
      <c r="M59" s="19">
        <v>6.0</v>
      </c>
      <c r="N59" s="19">
        <v>4.0</v>
      </c>
      <c r="O59" s="19">
        <v>2.0</v>
      </c>
      <c r="P59" s="19">
        <v>0.0</v>
      </c>
      <c r="Q59" s="19">
        <v>6.0</v>
      </c>
      <c r="R59" s="19">
        <v>1.0</v>
      </c>
      <c r="S59" s="19">
        <v>3.0</v>
      </c>
      <c r="T59" s="19">
        <v>2.0</v>
      </c>
      <c r="U59" s="19">
        <v>2.0</v>
      </c>
      <c r="V59" s="19">
        <v>1.0</v>
      </c>
      <c r="W59" s="19">
        <v>4.0</v>
      </c>
      <c r="X59" s="19">
        <v>1.0</v>
      </c>
      <c r="Y59" s="19">
        <v>1.0</v>
      </c>
      <c r="Z59" s="19">
        <v>3.0</v>
      </c>
      <c r="AA59" s="13">
        <f t="shared" si="16"/>
        <v>50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0.0</v>
      </c>
      <c r="H60" s="19">
        <v>0.0</v>
      </c>
      <c r="I60" s="19">
        <v>2.0</v>
      </c>
      <c r="J60" s="19">
        <v>2.0</v>
      </c>
      <c r="K60" s="19">
        <v>0.0</v>
      </c>
      <c r="L60" s="19">
        <v>1.0</v>
      </c>
      <c r="M60" s="19">
        <v>0.0</v>
      </c>
      <c r="N60" s="19">
        <v>0.0</v>
      </c>
      <c r="O60" s="19">
        <v>1.0</v>
      </c>
      <c r="P60" s="19">
        <v>0.0</v>
      </c>
      <c r="Q60" s="19">
        <v>0.0</v>
      </c>
      <c r="R60" s="19">
        <v>2.0</v>
      </c>
      <c r="S60" s="19">
        <v>1.0</v>
      </c>
      <c r="T60" s="19">
        <v>1.0</v>
      </c>
      <c r="U60" s="19">
        <v>0.0</v>
      </c>
      <c r="V60" s="19">
        <v>0.0</v>
      </c>
      <c r="W60" s="19">
        <v>0.0</v>
      </c>
      <c r="X60" s="19">
        <v>0.0</v>
      </c>
      <c r="Y60" s="19">
        <v>1.0</v>
      </c>
      <c r="Z60" s="19">
        <v>1.0</v>
      </c>
      <c r="AA60" s="13">
        <f t="shared" si="16"/>
        <v>13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1.0</v>
      </c>
      <c r="G61" s="19">
        <v>1.0</v>
      </c>
      <c r="H61" s="19">
        <v>2.0</v>
      </c>
      <c r="I61" s="19">
        <v>3.0</v>
      </c>
      <c r="J61" s="19">
        <v>0.0</v>
      </c>
      <c r="K61" s="19">
        <v>2.0</v>
      </c>
      <c r="L61" s="19">
        <v>0.0</v>
      </c>
      <c r="M61" s="19">
        <v>4.0</v>
      </c>
      <c r="N61" s="19">
        <v>1.0</v>
      </c>
      <c r="O61" s="19">
        <v>1.0</v>
      </c>
      <c r="P61" s="19">
        <v>0.0</v>
      </c>
      <c r="Q61" s="19">
        <v>2.0</v>
      </c>
      <c r="R61" s="19">
        <v>2.0</v>
      </c>
      <c r="S61" s="19">
        <v>2.0</v>
      </c>
      <c r="T61" s="19">
        <v>2.0</v>
      </c>
      <c r="U61" s="19">
        <v>0.0</v>
      </c>
      <c r="V61" s="19">
        <v>1.0</v>
      </c>
      <c r="W61" s="19">
        <v>4.0</v>
      </c>
      <c r="X61" s="19">
        <v>2.0</v>
      </c>
      <c r="Y61" s="19">
        <v>2.0</v>
      </c>
      <c r="Z61" s="19">
        <v>0.0</v>
      </c>
      <c r="AA61" s="13">
        <f t="shared" si="16"/>
        <v>32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1.0</v>
      </c>
      <c r="G62" s="19">
        <v>1.0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1.0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1.0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1.0</v>
      </c>
      <c r="N63" s="19">
        <v>2.0</v>
      </c>
      <c r="O63" s="19">
        <v>1.0</v>
      </c>
      <c r="P63" s="19">
        <v>1.0</v>
      </c>
      <c r="Q63" s="19">
        <v>0.0</v>
      </c>
      <c r="R63" s="19">
        <v>0.0</v>
      </c>
      <c r="S63" s="19">
        <v>1.0</v>
      </c>
      <c r="T63" s="19">
        <v>1.0</v>
      </c>
      <c r="U63" s="19">
        <v>0.0</v>
      </c>
      <c r="V63" s="19">
        <v>2.0</v>
      </c>
      <c r="W63" s="19">
        <v>0.0</v>
      </c>
      <c r="X63" s="19">
        <v>1.0</v>
      </c>
      <c r="Y63" s="19">
        <v>0.0</v>
      </c>
      <c r="Z63" s="19">
        <v>0.0</v>
      </c>
      <c r="AA63" s="13">
        <f t="shared" si="16"/>
        <v>13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3">
        <f t="shared" si="16"/>
        <v>3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SUM(E57:E66)</f>
        <v>8</v>
      </c>
      <c r="F67" s="13">
        <f t="shared" si="17"/>
        <v>18</v>
      </c>
      <c r="G67" s="13">
        <f t="shared" si="17"/>
        <v>18</v>
      </c>
      <c r="H67" s="13">
        <f t="shared" si="17"/>
        <v>20</v>
      </c>
      <c r="I67" s="13">
        <f t="shared" si="17"/>
        <v>16</v>
      </c>
      <c r="J67" s="13">
        <f t="shared" si="17"/>
        <v>19</v>
      </c>
      <c r="K67" s="13">
        <f t="shared" si="17"/>
        <v>16</v>
      </c>
      <c r="L67" s="13">
        <f t="shared" si="17"/>
        <v>21</v>
      </c>
      <c r="M67" s="13">
        <f t="shared" si="17"/>
        <v>25</v>
      </c>
      <c r="N67" s="13">
        <f t="shared" si="17"/>
        <v>15</v>
      </c>
      <c r="O67" s="13">
        <f t="shared" si="17"/>
        <v>27</v>
      </c>
      <c r="P67" s="13">
        <f t="shared" si="17"/>
        <v>19</v>
      </c>
      <c r="Q67" s="13">
        <f t="shared" si="17"/>
        <v>20</v>
      </c>
      <c r="R67" s="13">
        <f t="shared" si="17"/>
        <v>19</v>
      </c>
      <c r="S67" s="13">
        <f t="shared" si="17"/>
        <v>23</v>
      </c>
      <c r="T67" s="13">
        <f t="shared" si="17"/>
        <v>16</v>
      </c>
      <c r="U67" s="13">
        <f t="shared" si="17"/>
        <v>17</v>
      </c>
      <c r="V67" s="13">
        <f t="shared" si="17"/>
        <v>15</v>
      </c>
      <c r="W67" s="13">
        <f t="shared" si="17"/>
        <v>27</v>
      </c>
      <c r="X67" s="13">
        <f t="shared" si="17"/>
        <v>20</v>
      </c>
      <c r="Y67" s="13">
        <f t="shared" si="17"/>
        <v>7</v>
      </c>
      <c r="Z67" s="13">
        <f t="shared" si="17"/>
        <v>47</v>
      </c>
      <c r="AA67" s="13">
        <f t="shared" si="17"/>
        <v>433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11.0</v>
      </c>
      <c r="G69" s="19">
        <v>19.0</v>
      </c>
      <c r="H69" s="19">
        <v>34.0</v>
      </c>
      <c r="I69" s="19">
        <v>21.0</v>
      </c>
      <c r="J69" s="19">
        <v>16.0</v>
      </c>
      <c r="K69" s="19">
        <v>14.0</v>
      </c>
      <c r="L69" s="19">
        <v>8.0</v>
      </c>
      <c r="M69" s="19">
        <v>9.0</v>
      </c>
      <c r="N69" s="19">
        <v>15.0</v>
      </c>
      <c r="O69" s="19">
        <v>16.0</v>
      </c>
      <c r="P69" s="19">
        <v>5.0</v>
      </c>
      <c r="Q69" s="19">
        <v>13.0</v>
      </c>
      <c r="R69" s="19">
        <v>24.0</v>
      </c>
      <c r="S69" s="19">
        <v>18.0</v>
      </c>
      <c r="T69" s="19">
        <v>8.0</v>
      </c>
      <c r="U69" s="19">
        <v>7.0</v>
      </c>
      <c r="V69" s="19">
        <v>5.0</v>
      </c>
      <c r="W69" s="19">
        <v>6.0</v>
      </c>
      <c r="X69" s="19">
        <v>8.0</v>
      </c>
      <c r="Y69" s="19">
        <v>9.0</v>
      </c>
      <c r="Z69" s="19">
        <v>2.0</v>
      </c>
      <c r="AA69" s="13">
        <f t="shared" ref="AA69:AA78" si="18">SUM(E69:Z69)</f>
        <v>278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14.0</v>
      </c>
      <c r="F70" s="19">
        <v>7.0</v>
      </c>
      <c r="G70" s="19">
        <v>21.0</v>
      </c>
      <c r="H70" s="19">
        <v>10.0</v>
      </c>
      <c r="I70" s="19">
        <v>14.0</v>
      </c>
      <c r="J70" s="19">
        <v>10.0</v>
      </c>
      <c r="K70" s="19">
        <v>12.0</v>
      </c>
      <c r="L70" s="19">
        <v>15.0</v>
      </c>
      <c r="M70" s="19">
        <v>5.0</v>
      </c>
      <c r="N70" s="19">
        <v>19.0</v>
      </c>
      <c r="O70" s="19">
        <v>63.0</v>
      </c>
      <c r="P70" s="19">
        <v>20.0</v>
      </c>
      <c r="Q70" s="19">
        <v>49.0</v>
      </c>
      <c r="R70" s="19">
        <v>28.0</v>
      </c>
      <c r="S70" s="19">
        <v>20.0</v>
      </c>
      <c r="T70" s="19">
        <v>10.0</v>
      </c>
      <c r="U70" s="19">
        <v>19.0</v>
      </c>
      <c r="V70" s="19">
        <v>16.0</v>
      </c>
      <c r="W70" s="19">
        <v>13.0</v>
      </c>
      <c r="X70" s="19">
        <v>21.0</v>
      </c>
      <c r="Y70" s="19">
        <v>52.0</v>
      </c>
      <c r="Z70" s="19">
        <v>13.0</v>
      </c>
      <c r="AA70" s="13">
        <f t="shared" si="18"/>
        <v>451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1.0</v>
      </c>
      <c r="G71" s="19">
        <v>3.0</v>
      </c>
      <c r="H71" s="19">
        <v>5.0</v>
      </c>
      <c r="I71" s="19">
        <v>4.0</v>
      </c>
      <c r="J71" s="19">
        <v>1.0</v>
      </c>
      <c r="K71" s="19">
        <v>3.0</v>
      </c>
      <c r="L71" s="19">
        <v>6.0</v>
      </c>
      <c r="M71" s="19">
        <v>4.0</v>
      </c>
      <c r="N71" s="19">
        <v>5.0</v>
      </c>
      <c r="O71" s="19">
        <v>5.0</v>
      </c>
      <c r="P71" s="19">
        <v>5.0</v>
      </c>
      <c r="Q71" s="19">
        <v>1.0</v>
      </c>
      <c r="R71" s="19">
        <v>2.0</v>
      </c>
      <c r="S71" s="19">
        <v>1.0</v>
      </c>
      <c r="T71" s="19">
        <v>1.0</v>
      </c>
      <c r="U71" s="19">
        <v>1.0</v>
      </c>
      <c r="V71" s="19">
        <v>0.0</v>
      </c>
      <c r="W71" s="19">
        <v>3.0</v>
      </c>
      <c r="X71" s="19">
        <v>0.0</v>
      </c>
      <c r="Y71" s="19">
        <v>0.0</v>
      </c>
      <c r="Z71" s="19">
        <v>3.0</v>
      </c>
      <c r="AA71" s="13">
        <f t="shared" si="18"/>
        <v>56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11.0</v>
      </c>
      <c r="G72" s="19">
        <v>6.0</v>
      </c>
      <c r="H72" s="19">
        <v>3.0</v>
      </c>
      <c r="I72" s="19">
        <v>16.0</v>
      </c>
      <c r="J72" s="19">
        <v>41.0</v>
      </c>
      <c r="K72" s="19">
        <v>8.0</v>
      </c>
      <c r="L72" s="19">
        <v>31.0</v>
      </c>
      <c r="M72" s="19">
        <v>11.0</v>
      </c>
      <c r="N72" s="19">
        <v>18.0</v>
      </c>
      <c r="O72" s="19">
        <v>0.0</v>
      </c>
      <c r="P72" s="19">
        <v>3.0</v>
      </c>
      <c r="Q72" s="19">
        <v>3.0</v>
      </c>
      <c r="R72" s="19">
        <v>9.0</v>
      </c>
      <c r="S72" s="19">
        <v>10.0</v>
      </c>
      <c r="T72" s="19">
        <v>2.0</v>
      </c>
      <c r="U72" s="19">
        <v>6.0</v>
      </c>
      <c r="V72" s="19">
        <v>18.0</v>
      </c>
      <c r="W72" s="19">
        <v>17.0</v>
      </c>
      <c r="X72" s="19">
        <v>11.0</v>
      </c>
      <c r="Y72" s="19">
        <v>12.0</v>
      </c>
      <c r="Z72" s="19">
        <v>10.0</v>
      </c>
      <c r="AA72" s="13">
        <f t="shared" si="18"/>
        <v>247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9.0</v>
      </c>
      <c r="H73" s="19">
        <v>3.0</v>
      </c>
      <c r="I73" s="19">
        <v>4.0</v>
      </c>
      <c r="J73" s="19">
        <v>1.0</v>
      </c>
      <c r="K73" s="19">
        <v>3.0</v>
      </c>
      <c r="L73" s="19">
        <v>3.0</v>
      </c>
      <c r="M73" s="19">
        <v>1.0</v>
      </c>
      <c r="N73" s="19">
        <v>3.0</v>
      </c>
      <c r="O73" s="19">
        <v>4.0</v>
      </c>
      <c r="P73" s="19">
        <v>0.0</v>
      </c>
      <c r="Q73" s="19">
        <v>2.0</v>
      </c>
      <c r="R73" s="19">
        <v>1.0</v>
      </c>
      <c r="S73" s="19">
        <v>4.0</v>
      </c>
      <c r="T73" s="19">
        <v>2.0</v>
      </c>
      <c r="U73" s="19">
        <v>5.0</v>
      </c>
      <c r="V73" s="19">
        <v>0.0</v>
      </c>
      <c r="W73" s="19">
        <v>7.0</v>
      </c>
      <c r="X73" s="19">
        <v>0.0</v>
      </c>
      <c r="Y73" s="19">
        <v>1.0</v>
      </c>
      <c r="Z73" s="19">
        <v>4.0</v>
      </c>
      <c r="AA73" s="13">
        <f t="shared" si="18"/>
        <v>58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2.0</v>
      </c>
      <c r="G74" s="19">
        <v>3.0</v>
      </c>
      <c r="H74" s="19">
        <v>2.0</v>
      </c>
      <c r="I74" s="19">
        <v>5.0</v>
      </c>
      <c r="J74" s="19">
        <v>0.0</v>
      </c>
      <c r="K74" s="19">
        <v>3.0</v>
      </c>
      <c r="L74" s="19">
        <v>4.0</v>
      </c>
      <c r="M74" s="19">
        <v>2.0</v>
      </c>
      <c r="N74" s="19">
        <v>4.0</v>
      </c>
      <c r="O74" s="19">
        <v>3.0</v>
      </c>
      <c r="P74" s="19">
        <v>4.0</v>
      </c>
      <c r="Q74" s="19">
        <v>5.0</v>
      </c>
      <c r="R74" s="19">
        <v>6.0</v>
      </c>
      <c r="S74" s="19">
        <v>3.0</v>
      </c>
      <c r="T74" s="19">
        <v>1.0</v>
      </c>
      <c r="U74" s="19">
        <v>0.0</v>
      </c>
      <c r="V74" s="19">
        <v>0.0</v>
      </c>
      <c r="W74" s="19">
        <v>4.0</v>
      </c>
      <c r="X74" s="19">
        <v>2.0</v>
      </c>
      <c r="Y74" s="19">
        <v>0.0</v>
      </c>
      <c r="Z74" s="19">
        <v>0.0</v>
      </c>
      <c r="AA74" s="13">
        <f t="shared" si="18"/>
        <v>54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4.0</v>
      </c>
      <c r="H75" s="19">
        <v>1.0</v>
      </c>
      <c r="I75" s="19">
        <v>3.0</v>
      </c>
      <c r="J75" s="19">
        <v>2.0</v>
      </c>
      <c r="K75" s="19">
        <v>1.0</v>
      </c>
      <c r="L75" s="19">
        <v>0.0</v>
      </c>
      <c r="M75" s="19">
        <v>1.0</v>
      </c>
      <c r="N75" s="19">
        <v>1.0</v>
      </c>
      <c r="O75" s="19">
        <v>1.0</v>
      </c>
      <c r="P75" s="19">
        <v>0.0</v>
      </c>
      <c r="Q75" s="19">
        <v>1.0</v>
      </c>
      <c r="R75" s="19">
        <v>1.0</v>
      </c>
      <c r="S75" s="19">
        <v>0.0</v>
      </c>
      <c r="T75" s="19">
        <v>1.0</v>
      </c>
      <c r="U75" s="19">
        <v>1.0</v>
      </c>
      <c r="V75" s="19">
        <v>0.0</v>
      </c>
      <c r="W75" s="19">
        <v>3.0</v>
      </c>
      <c r="X75" s="19">
        <v>1.0</v>
      </c>
      <c r="Y75" s="19">
        <v>0.0</v>
      </c>
      <c r="Z75" s="19">
        <v>0.0</v>
      </c>
      <c r="AA75" s="13">
        <f t="shared" si="18"/>
        <v>23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1.0</v>
      </c>
      <c r="I76" s="19">
        <v>1.0</v>
      </c>
      <c r="J76" s="19">
        <v>0.0</v>
      </c>
      <c r="K76" s="19">
        <v>2.0</v>
      </c>
      <c r="L76" s="19">
        <v>1.0</v>
      </c>
      <c r="M76" s="19">
        <v>2.0</v>
      </c>
      <c r="N76" s="19">
        <v>4.0</v>
      </c>
      <c r="O76" s="19">
        <v>3.0</v>
      </c>
      <c r="P76" s="19">
        <v>0.0</v>
      </c>
      <c r="Q76" s="19">
        <v>1.0</v>
      </c>
      <c r="R76" s="19">
        <v>0.0</v>
      </c>
      <c r="S76" s="19">
        <v>1.0</v>
      </c>
      <c r="T76" s="19">
        <v>0.0</v>
      </c>
      <c r="U76" s="19">
        <v>2.0</v>
      </c>
      <c r="V76" s="19">
        <v>1.0</v>
      </c>
      <c r="W76" s="19">
        <v>8.0</v>
      </c>
      <c r="X76" s="19">
        <v>6.0</v>
      </c>
      <c r="Y76" s="19">
        <v>22.0</v>
      </c>
      <c r="Z76" s="19">
        <v>0.0</v>
      </c>
      <c r="AA76" s="13">
        <f t="shared" si="18"/>
        <v>56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SUM(E69:E78)</f>
        <v>31</v>
      </c>
      <c r="F79" s="13">
        <f t="shared" si="19"/>
        <v>32</v>
      </c>
      <c r="G79" s="13">
        <f t="shared" si="19"/>
        <v>65</v>
      </c>
      <c r="H79" s="13">
        <f t="shared" si="19"/>
        <v>59</v>
      </c>
      <c r="I79" s="13">
        <f t="shared" si="19"/>
        <v>68</v>
      </c>
      <c r="J79" s="13">
        <f t="shared" si="19"/>
        <v>71</v>
      </c>
      <c r="K79" s="13">
        <f t="shared" si="19"/>
        <v>46</v>
      </c>
      <c r="L79" s="13">
        <f t="shared" si="19"/>
        <v>68</v>
      </c>
      <c r="M79" s="13">
        <f t="shared" si="19"/>
        <v>35</v>
      </c>
      <c r="N79" s="13">
        <f t="shared" si="19"/>
        <v>69</v>
      </c>
      <c r="O79" s="13">
        <f t="shared" si="19"/>
        <v>95</v>
      </c>
      <c r="P79" s="13">
        <f t="shared" si="19"/>
        <v>37</v>
      </c>
      <c r="Q79" s="13">
        <f t="shared" si="19"/>
        <v>75</v>
      </c>
      <c r="R79" s="13">
        <f t="shared" si="19"/>
        <v>71</v>
      </c>
      <c r="S79" s="13">
        <f t="shared" si="19"/>
        <v>57</v>
      </c>
      <c r="T79" s="13">
        <f t="shared" si="19"/>
        <v>25</v>
      </c>
      <c r="U79" s="13">
        <f t="shared" si="19"/>
        <v>41</v>
      </c>
      <c r="V79" s="13">
        <f t="shared" si="19"/>
        <v>40</v>
      </c>
      <c r="W79" s="13">
        <f t="shared" si="19"/>
        <v>61</v>
      </c>
      <c r="X79" s="13">
        <f t="shared" si="19"/>
        <v>49</v>
      </c>
      <c r="Y79" s="13">
        <f t="shared" si="19"/>
        <v>96</v>
      </c>
      <c r="Z79" s="13">
        <f t="shared" si="19"/>
        <v>32</v>
      </c>
      <c r="AA79" s="13">
        <f t="shared" si="19"/>
        <v>1223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2.0</v>
      </c>
      <c r="G81" s="19">
        <v>9.0</v>
      </c>
      <c r="H81" s="19">
        <v>6.0</v>
      </c>
      <c r="I81" s="19">
        <v>6.0</v>
      </c>
      <c r="J81" s="19">
        <v>3.0</v>
      </c>
      <c r="K81" s="19">
        <v>7.0</v>
      </c>
      <c r="L81" s="19">
        <v>7.0</v>
      </c>
      <c r="M81" s="19">
        <v>4.0</v>
      </c>
      <c r="N81" s="19">
        <v>7.0</v>
      </c>
      <c r="O81" s="19">
        <v>4.0</v>
      </c>
      <c r="P81" s="19">
        <v>3.0</v>
      </c>
      <c r="Q81" s="19">
        <v>3.0</v>
      </c>
      <c r="R81" s="19">
        <v>3.0</v>
      </c>
      <c r="S81" s="19">
        <v>3.0</v>
      </c>
      <c r="T81" s="19">
        <v>6.0</v>
      </c>
      <c r="U81" s="19">
        <v>4.0</v>
      </c>
      <c r="V81" s="19">
        <v>6.0</v>
      </c>
      <c r="W81" s="19">
        <v>3.0</v>
      </c>
      <c r="X81" s="19">
        <v>5.0</v>
      </c>
      <c r="Y81" s="19">
        <v>1.0</v>
      </c>
      <c r="Z81" s="19">
        <v>1.0</v>
      </c>
      <c r="AA81" s="13">
        <f t="shared" ref="AA81:AA90" si="20">SUM(E81:Z81)</f>
        <v>95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7.0</v>
      </c>
      <c r="F82" s="19">
        <v>5.0</v>
      </c>
      <c r="G82" s="19">
        <v>1.0</v>
      </c>
      <c r="H82" s="19">
        <v>3.0</v>
      </c>
      <c r="I82" s="19">
        <v>1.0</v>
      </c>
      <c r="J82" s="19">
        <v>0.0</v>
      </c>
      <c r="K82" s="19">
        <v>11.0</v>
      </c>
      <c r="L82" s="19">
        <v>4.0</v>
      </c>
      <c r="M82" s="19">
        <v>30.0</v>
      </c>
      <c r="N82" s="19">
        <v>9.0</v>
      </c>
      <c r="O82" s="19">
        <v>7.0</v>
      </c>
      <c r="P82" s="19">
        <v>64.0</v>
      </c>
      <c r="Q82" s="19">
        <v>9.0</v>
      </c>
      <c r="R82" s="19">
        <v>4.0</v>
      </c>
      <c r="S82" s="19">
        <v>6.0</v>
      </c>
      <c r="T82" s="19">
        <v>2.0</v>
      </c>
      <c r="U82" s="19">
        <v>2.0</v>
      </c>
      <c r="V82" s="19">
        <v>39.0</v>
      </c>
      <c r="W82" s="19">
        <v>2.0</v>
      </c>
      <c r="X82" s="19">
        <v>48.0</v>
      </c>
      <c r="Y82" s="19">
        <v>0.0</v>
      </c>
      <c r="Z82" s="19">
        <v>0.0</v>
      </c>
      <c r="AA82" s="13">
        <f t="shared" si="20"/>
        <v>254</v>
      </c>
    </row>
    <row r="83" ht="12.75" customHeight="1">
      <c r="A83" s="18"/>
      <c r="B83" s="55">
        <v>2.0</v>
      </c>
      <c r="C83" s="50" t="s">
        <v>66</v>
      </c>
      <c r="D83" s="60"/>
      <c r="E83" s="19">
        <v>5.0</v>
      </c>
      <c r="F83" s="19">
        <v>8.0</v>
      </c>
      <c r="G83" s="19">
        <v>7.0</v>
      </c>
      <c r="H83" s="19">
        <v>1.0</v>
      </c>
      <c r="I83" s="19">
        <v>7.0</v>
      </c>
      <c r="J83" s="19">
        <v>8.0</v>
      </c>
      <c r="K83" s="19">
        <v>7.0</v>
      </c>
      <c r="L83" s="19">
        <v>12.0</v>
      </c>
      <c r="M83" s="19">
        <v>10.0</v>
      </c>
      <c r="N83" s="19">
        <v>6.0</v>
      </c>
      <c r="O83" s="19">
        <v>11.0</v>
      </c>
      <c r="P83" s="19">
        <v>5.0</v>
      </c>
      <c r="Q83" s="19">
        <v>5.0</v>
      </c>
      <c r="R83" s="19">
        <v>9.0</v>
      </c>
      <c r="S83" s="19">
        <v>4.0</v>
      </c>
      <c r="T83" s="19">
        <v>7.0</v>
      </c>
      <c r="U83" s="19">
        <v>1.0</v>
      </c>
      <c r="V83" s="19">
        <v>1.0</v>
      </c>
      <c r="W83" s="19">
        <v>8.0</v>
      </c>
      <c r="X83" s="19">
        <v>3.0</v>
      </c>
      <c r="Y83" s="19">
        <v>0.0</v>
      </c>
      <c r="Z83" s="19">
        <v>1.0</v>
      </c>
      <c r="AA83" s="13">
        <f t="shared" si="20"/>
        <v>126</v>
      </c>
    </row>
    <row r="84" ht="12.75" customHeight="1">
      <c r="A84" s="18"/>
      <c r="B84" s="55">
        <v>3.0</v>
      </c>
      <c r="C84" s="50" t="s">
        <v>67</v>
      </c>
      <c r="D84" s="60"/>
      <c r="E84" s="19">
        <v>2.0</v>
      </c>
      <c r="F84" s="19">
        <v>0.0</v>
      </c>
      <c r="G84" s="19">
        <v>1.0</v>
      </c>
      <c r="H84" s="19">
        <v>0.0</v>
      </c>
      <c r="I84" s="19">
        <v>1.0</v>
      </c>
      <c r="J84" s="19">
        <v>1.0</v>
      </c>
      <c r="K84" s="19">
        <v>3.0</v>
      </c>
      <c r="L84" s="19">
        <v>7.0</v>
      </c>
      <c r="M84" s="19">
        <v>0.0</v>
      </c>
      <c r="N84" s="19">
        <v>4.0</v>
      </c>
      <c r="O84" s="19">
        <v>1.0</v>
      </c>
      <c r="P84" s="19">
        <v>1.0</v>
      </c>
      <c r="Q84" s="19">
        <v>2.0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3.0</v>
      </c>
      <c r="Y84" s="19">
        <v>0.0</v>
      </c>
      <c r="Z84" s="19">
        <v>1.0</v>
      </c>
      <c r="AA84" s="13">
        <f t="shared" si="20"/>
        <v>28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2.0</v>
      </c>
      <c r="G85" s="19">
        <v>2.0</v>
      </c>
      <c r="H85" s="19">
        <v>0.0</v>
      </c>
      <c r="I85" s="19">
        <v>2.0</v>
      </c>
      <c r="J85" s="19">
        <v>0.0</v>
      </c>
      <c r="K85" s="19">
        <v>0.0</v>
      </c>
      <c r="L85" s="19">
        <v>1.0</v>
      </c>
      <c r="M85" s="19">
        <v>2.0</v>
      </c>
      <c r="N85" s="19">
        <v>1.0</v>
      </c>
      <c r="O85" s="19">
        <v>1.0</v>
      </c>
      <c r="P85" s="19">
        <v>2.0</v>
      </c>
      <c r="Q85" s="19">
        <v>1.0</v>
      </c>
      <c r="R85" s="19">
        <v>0.0</v>
      </c>
      <c r="S85" s="19">
        <v>0.0</v>
      </c>
      <c r="T85" s="19">
        <v>2.0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3">
        <f t="shared" si="20"/>
        <v>16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1.0</v>
      </c>
      <c r="H86" s="19">
        <v>2.0</v>
      </c>
      <c r="I86" s="19">
        <v>5.0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1.0</v>
      </c>
      <c r="Q86" s="19">
        <v>0.0</v>
      </c>
      <c r="R86" s="19">
        <v>2.0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0.0</v>
      </c>
      <c r="Z87" s="19">
        <v>0.0</v>
      </c>
      <c r="AA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1.0</v>
      </c>
      <c r="Y88" s="19">
        <v>0.0</v>
      </c>
      <c r="Z88" s="19">
        <v>0.0</v>
      </c>
      <c r="AA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SUM(E81:E90)</f>
        <v>16</v>
      </c>
      <c r="F91" s="13">
        <f t="shared" si="21"/>
        <v>17</v>
      </c>
      <c r="G91" s="13">
        <f t="shared" si="21"/>
        <v>21</v>
      </c>
      <c r="H91" s="13">
        <f t="shared" si="21"/>
        <v>13</v>
      </c>
      <c r="I91" s="13">
        <f t="shared" si="21"/>
        <v>22</v>
      </c>
      <c r="J91" s="13">
        <f t="shared" si="21"/>
        <v>12</v>
      </c>
      <c r="K91" s="13">
        <f t="shared" si="21"/>
        <v>28</v>
      </c>
      <c r="L91" s="13">
        <f t="shared" si="21"/>
        <v>31</v>
      </c>
      <c r="M91" s="13">
        <f t="shared" si="21"/>
        <v>46</v>
      </c>
      <c r="N91" s="13">
        <f t="shared" si="21"/>
        <v>28</v>
      </c>
      <c r="O91" s="13">
        <f t="shared" si="21"/>
        <v>25</v>
      </c>
      <c r="P91" s="13">
        <f t="shared" si="21"/>
        <v>76</v>
      </c>
      <c r="Q91" s="13">
        <f t="shared" si="21"/>
        <v>21</v>
      </c>
      <c r="R91" s="13">
        <f t="shared" si="21"/>
        <v>19</v>
      </c>
      <c r="S91" s="13">
        <f t="shared" si="21"/>
        <v>13</v>
      </c>
      <c r="T91" s="13">
        <f t="shared" si="21"/>
        <v>17</v>
      </c>
      <c r="U91" s="13">
        <f t="shared" si="21"/>
        <v>7</v>
      </c>
      <c r="V91" s="13">
        <f t="shared" si="21"/>
        <v>46</v>
      </c>
      <c r="W91" s="13">
        <f t="shared" si="21"/>
        <v>13</v>
      </c>
      <c r="X91" s="13">
        <f t="shared" si="21"/>
        <v>61</v>
      </c>
      <c r="Y91" s="13">
        <f t="shared" si="21"/>
        <v>1</v>
      </c>
      <c r="Z91" s="13">
        <f t="shared" si="21"/>
        <v>3</v>
      </c>
      <c r="AA91" s="13">
        <f t="shared" si="21"/>
        <v>536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2.0</v>
      </c>
      <c r="G93" s="19">
        <v>0.0</v>
      </c>
      <c r="H93" s="19">
        <v>4.0</v>
      </c>
      <c r="I93" s="19">
        <v>1.0</v>
      </c>
      <c r="J93" s="19">
        <v>1.0</v>
      </c>
      <c r="K93" s="19">
        <v>2.0</v>
      </c>
      <c r="L93" s="19">
        <v>0.0</v>
      </c>
      <c r="M93" s="19">
        <v>1.0</v>
      </c>
      <c r="N93" s="19">
        <v>3.0</v>
      </c>
      <c r="O93" s="19">
        <v>5.0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5.0</v>
      </c>
      <c r="V93" s="19">
        <v>1.0</v>
      </c>
      <c r="W93" s="19">
        <v>0.0</v>
      </c>
      <c r="X93" s="19">
        <v>1.0</v>
      </c>
      <c r="Y93" s="19">
        <v>0.0</v>
      </c>
      <c r="Z93" s="19">
        <v>5.0</v>
      </c>
      <c r="AA93" s="13">
        <f t="shared" ref="AA93:AA102" si="22">SUM(E93:Z93)</f>
        <v>32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3.0</v>
      </c>
      <c r="F94" s="19">
        <v>0.0</v>
      </c>
      <c r="G94" s="19">
        <v>0.0</v>
      </c>
      <c r="H94" s="19">
        <v>18.0</v>
      </c>
      <c r="I94" s="19">
        <v>1.0</v>
      </c>
      <c r="J94" s="19">
        <v>2.0</v>
      </c>
      <c r="K94" s="19">
        <v>0.0</v>
      </c>
      <c r="L94" s="19">
        <v>0.0</v>
      </c>
      <c r="M94" s="19">
        <v>1.0</v>
      </c>
      <c r="N94" s="19">
        <v>2.0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9">
        <v>3.0</v>
      </c>
      <c r="U94" s="19">
        <v>3.0</v>
      </c>
      <c r="V94" s="19">
        <v>1.0</v>
      </c>
      <c r="W94" s="19">
        <v>3.0</v>
      </c>
      <c r="X94" s="19">
        <v>0.0</v>
      </c>
      <c r="Y94" s="19">
        <v>1.0</v>
      </c>
      <c r="Z94" s="19">
        <v>9.0</v>
      </c>
      <c r="AA94" s="13">
        <f t="shared" si="22"/>
        <v>49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1.0</v>
      </c>
      <c r="G95" s="19">
        <v>0.0</v>
      </c>
      <c r="H95" s="19">
        <v>11.0</v>
      </c>
      <c r="I95" s="19">
        <v>18.0</v>
      </c>
      <c r="J95" s="19">
        <v>9.0</v>
      </c>
      <c r="K95" s="19">
        <v>19.0</v>
      </c>
      <c r="L95" s="19">
        <v>22.0</v>
      </c>
      <c r="M95" s="19">
        <v>18.0</v>
      </c>
      <c r="N95" s="19">
        <v>33.0</v>
      </c>
      <c r="O95" s="19">
        <v>15.0</v>
      </c>
      <c r="P95" s="19">
        <v>0.0</v>
      </c>
      <c r="Q95" s="19">
        <v>1.0</v>
      </c>
      <c r="R95" s="19">
        <v>0.0</v>
      </c>
      <c r="S95" s="19">
        <v>0.0</v>
      </c>
      <c r="T95" s="19">
        <v>1.0</v>
      </c>
      <c r="U95" s="19">
        <v>1.0</v>
      </c>
      <c r="V95" s="19">
        <v>0.0</v>
      </c>
      <c r="W95" s="19">
        <v>0.0</v>
      </c>
      <c r="X95" s="19">
        <v>0.0</v>
      </c>
      <c r="Y95" s="19">
        <v>1.0</v>
      </c>
      <c r="Z95" s="19">
        <v>1.0</v>
      </c>
      <c r="AA95" s="13">
        <f t="shared" si="22"/>
        <v>153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0.0</v>
      </c>
      <c r="H97" s="19">
        <v>2.0</v>
      </c>
      <c r="I97" s="19">
        <v>3.0</v>
      </c>
      <c r="J97" s="19">
        <v>1.0</v>
      </c>
      <c r="K97" s="19">
        <v>1.0</v>
      </c>
      <c r="L97" s="19">
        <v>0.0</v>
      </c>
      <c r="M97" s="19">
        <v>1.0</v>
      </c>
      <c r="N97" s="19">
        <v>1.0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3">
        <f t="shared" si="22"/>
        <v>11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SUM(E93:E102)</f>
        <v>7</v>
      </c>
      <c r="F103" s="13">
        <f t="shared" si="23"/>
        <v>3</v>
      </c>
      <c r="G103" s="13">
        <f t="shared" si="23"/>
        <v>0</v>
      </c>
      <c r="H103" s="13">
        <f t="shared" si="23"/>
        <v>35</v>
      </c>
      <c r="I103" s="13">
        <f t="shared" si="23"/>
        <v>23</v>
      </c>
      <c r="J103" s="13">
        <f t="shared" si="23"/>
        <v>13</v>
      </c>
      <c r="K103" s="13">
        <f t="shared" si="23"/>
        <v>22</v>
      </c>
      <c r="L103" s="13">
        <f t="shared" si="23"/>
        <v>22</v>
      </c>
      <c r="M103" s="13">
        <f t="shared" si="23"/>
        <v>21</v>
      </c>
      <c r="N103" s="13">
        <f t="shared" si="23"/>
        <v>39</v>
      </c>
      <c r="O103" s="13">
        <f t="shared" si="23"/>
        <v>21</v>
      </c>
      <c r="P103" s="13">
        <f t="shared" si="23"/>
        <v>0</v>
      </c>
      <c r="Q103" s="13">
        <f t="shared" si="23"/>
        <v>2</v>
      </c>
      <c r="R103" s="13">
        <f t="shared" si="23"/>
        <v>0</v>
      </c>
      <c r="S103" s="13">
        <f t="shared" si="23"/>
        <v>1</v>
      </c>
      <c r="T103" s="13">
        <f t="shared" si="23"/>
        <v>5</v>
      </c>
      <c r="U103" s="13">
        <f t="shared" si="23"/>
        <v>9</v>
      </c>
      <c r="V103" s="13">
        <f t="shared" si="23"/>
        <v>2</v>
      </c>
      <c r="W103" s="13">
        <f t="shared" si="23"/>
        <v>3</v>
      </c>
      <c r="X103" s="13">
        <f t="shared" si="23"/>
        <v>2</v>
      </c>
      <c r="Y103" s="13">
        <f t="shared" si="23"/>
        <v>2</v>
      </c>
      <c r="Z103" s="13">
        <f t="shared" si="23"/>
        <v>15</v>
      </c>
      <c r="AA103" s="13">
        <f t="shared" si="23"/>
        <v>247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1.0</v>
      </c>
      <c r="I105" s="19">
        <v>1.0</v>
      </c>
      <c r="J105" s="19">
        <v>0.0</v>
      </c>
      <c r="K105" s="19">
        <v>2.0</v>
      </c>
      <c r="L105" s="19">
        <v>1.0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2.0</v>
      </c>
      <c r="U105" s="19">
        <v>0.0</v>
      </c>
      <c r="V105" s="19">
        <v>2.0</v>
      </c>
      <c r="W105" s="19">
        <v>2.0</v>
      </c>
      <c r="X105" s="19">
        <v>1.0</v>
      </c>
      <c r="Y105" s="19">
        <v>1.0</v>
      </c>
      <c r="Z105" s="19">
        <v>0.0</v>
      </c>
      <c r="AA105" s="13">
        <f t="shared" ref="AA105:AA114" si="24">SUM(E105:Z105)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2.0</v>
      </c>
      <c r="R106" s="19">
        <v>0.0</v>
      </c>
      <c r="S106" s="19">
        <v>0.0</v>
      </c>
      <c r="T106" s="19">
        <v>0.0</v>
      </c>
      <c r="U106" s="19">
        <v>1.0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 t="s">
        <v>222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0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SUM(E105:E114)</f>
        <v>0</v>
      </c>
      <c r="F115" s="13">
        <f t="shared" si="25"/>
        <v>1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1</v>
      </c>
      <c r="V115" s="13">
        <f t="shared" si="25"/>
        <v>3</v>
      </c>
      <c r="W115" s="13">
        <f t="shared" si="25"/>
        <v>2</v>
      </c>
      <c r="X115" s="13">
        <f t="shared" si="25"/>
        <v>2</v>
      </c>
      <c r="Y115" s="13">
        <f t="shared" si="25"/>
        <v>1</v>
      </c>
      <c r="Z115" s="13">
        <f t="shared" si="25"/>
        <v>0</v>
      </c>
      <c r="AA115" s="13">
        <f t="shared" si="25"/>
        <v>23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2.0</v>
      </c>
      <c r="K117" s="19">
        <v>0.0</v>
      </c>
      <c r="L117" s="19">
        <v>1.0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4.0</v>
      </c>
      <c r="S117" s="19">
        <v>1.0</v>
      </c>
      <c r="T117" s="19">
        <v>0.0</v>
      </c>
      <c r="U117" s="19">
        <v>1.0</v>
      </c>
      <c r="V117" s="19">
        <v>0.0</v>
      </c>
      <c r="W117" s="19">
        <v>0.0</v>
      </c>
      <c r="X117" s="19">
        <v>1.0</v>
      </c>
      <c r="Y117" s="19">
        <v>2.0</v>
      </c>
      <c r="Z117" s="19">
        <v>1.0</v>
      </c>
      <c r="AA117" s="13">
        <f t="shared" ref="AA117:AA126" si="26">SUM(E117:Z117)</f>
        <v>14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3.0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1.0</v>
      </c>
      <c r="AA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A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2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4</v>
      </c>
      <c r="S127" s="13">
        <f t="shared" si="27"/>
        <v>1</v>
      </c>
      <c r="T127" s="13">
        <f t="shared" si="27"/>
        <v>3</v>
      </c>
      <c r="U127" s="13">
        <f t="shared" si="27"/>
        <v>1</v>
      </c>
      <c r="V127" s="13">
        <f t="shared" si="27"/>
        <v>0</v>
      </c>
      <c r="W127" s="13">
        <f t="shared" si="27"/>
        <v>1</v>
      </c>
      <c r="X127" s="13">
        <f t="shared" si="27"/>
        <v>1</v>
      </c>
      <c r="Y127" s="13">
        <f t="shared" si="27"/>
        <v>2</v>
      </c>
      <c r="Z127" s="13">
        <f t="shared" si="27"/>
        <v>2</v>
      </c>
      <c r="AA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3.0</v>
      </c>
      <c r="G129" s="19">
        <v>0.0</v>
      </c>
      <c r="H129" s="19">
        <v>1.0</v>
      </c>
      <c r="I129" s="19">
        <v>0.0</v>
      </c>
      <c r="J129" s="19">
        <v>0.0</v>
      </c>
      <c r="K129" s="19">
        <v>0.0</v>
      </c>
      <c r="L129" s="19">
        <v>0.0</v>
      </c>
      <c r="M129" s="19">
        <v>3.0</v>
      </c>
      <c r="N129" s="19">
        <v>1.0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3">
        <f t="shared" ref="AA129:AA138" si="28">SUM(E129:Z129)</f>
        <v>12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0.0</v>
      </c>
      <c r="H130" s="19">
        <v>0.0</v>
      </c>
      <c r="I130" s="19">
        <v>1.0</v>
      </c>
      <c r="J130" s="19">
        <v>0.0</v>
      </c>
      <c r="K130" s="19">
        <v>1.0</v>
      </c>
      <c r="L130" s="19">
        <v>0.0</v>
      </c>
      <c r="M130" s="19">
        <v>2.0</v>
      </c>
      <c r="N130" s="19">
        <v>2.0</v>
      </c>
      <c r="O130" s="19">
        <v>0.0</v>
      </c>
      <c r="P130" s="19">
        <v>0.0</v>
      </c>
      <c r="Q130" s="19">
        <v>0.0</v>
      </c>
      <c r="R130" s="19">
        <v>1.0</v>
      </c>
      <c r="S130" s="19">
        <v>0.0</v>
      </c>
      <c r="T130" s="19">
        <v>1.0</v>
      </c>
      <c r="U130" s="19">
        <v>0.0</v>
      </c>
      <c r="V130" s="19">
        <v>3.0</v>
      </c>
      <c r="W130" s="19">
        <v>0.0</v>
      </c>
      <c r="X130" s="19">
        <v>0.0</v>
      </c>
      <c r="Y130" s="19">
        <v>0.0</v>
      </c>
      <c r="Z130" s="19">
        <v>0.0</v>
      </c>
      <c r="AA130" s="13">
        <f t="shared" si="28"/>
        <v>12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2.0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2.0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3">
        <f t="shared" si="28"/>
        <v>8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3">
        <f t="shared" si="28"/>
        <v>3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1.0</v>
      </c>
      <c r="Y134" s="19">
        <v>0.0</v>
      </c>
      <c r="Z134" s="19">
        <v>0.0</v>
      </c>
      <c r="AA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SUM(E129:E138)</f>
        <v>4</v>
      </c>
      <c r="F139" s="13">
        <f t="shared" si="29"/>
        <v>6</v>
      </c>
      <c r="G139" s="13">
        <f t="shared" si="29"/>
        <v>1</v>
      </c>
      <c r="H139" s="13">
        <f t="shared" si="29"/>
        <v>1</v>
      </c>
      <c r="I139" s="13">
        <f t="shared" si="29"/>
        <v>3</v>
      </c>
      <c r="J139" s="13">
        <f t="shared" si="29"/>
        <v>0</v>
      </c>
      <c r="K139" s="13">
        <f t="shared" si="29"/>
        <v>1</v>
      </c>
      <c r="L139" s="13">
        <f t="shared" si="29"/>
        <v>1</v>
      </c>
      <c r="M139" s="13">
        <f t="shared" si="29"/>
        <v>6</v>
      </c>
      <c r="N139" s="13">
        <f t="shared" si="29"/>
        <v>3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3</v>
      </c>
      <c r="S139" s="13">
        <f t="shared" si="29"/>
        <v>1</v>
      </c>
      <c r="T139" s="13">
        <f t="shared" si="29"/>
        <v>3</v>
      </c>
      <c r="U139" s="13">
        <f t="shared" si="29"/>
        <v>0</v>
      </c>
      <c r="V139" s="13">
        <f t="shared" si="29"/>
        <v>3</v>
      </c>
      <c r="W139" s="13">
        <f t="shared" si="29"/>
        <v>1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38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50" si="30">SUM(E141:Z141)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0.0</v>
      </c>
      <c r="AA153" s="13">
        <f t="shared" ref="AA153:AA162" si="32">SUM(E153:Z153)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3">
        <f t="shared" si="32"/>
        <v>2</v>
      </c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1.0</v>
      </c>
      <c r="X155" s="19">
        <v>0.0</v>
      </c>
      <c r="Y155" s="19">
        <v>0.0</v>
      </c>
      <c r="Z155" s="19">
        <v>0.0</v>
      </c>
      <c r="AA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1</v>
      </c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3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2.0</v>
      </c>
      <c r="H165" s="19">
        <v>1.0</v>
      </c>
      <c r="I165" s="19">
        <v>1.0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4" si="34">SUM(E165:Z165)</f>
        <v>8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2.0</v>
      </c>
      <c r="X166" s="19">
        <v>0.0</v>
      </c>
      <c r="Y166" s="19">
        <v>1.0</v>
      </c>
      <c r="Z166" s="19">
        <v>0.0</v>
      </c>
      <c r="AA166" s="13">
        <f t="shared" si="34"/>
        <v>5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1.0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34"/>
        <v>3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1.0</v>
      </c>
      <c r="X170" s="19">
        <v>0.0</v>
      </c>
      <c r="Y170" s="19">
        <v>0.0</v>
      </c>
      <c r="Z170" s="19">
        <v>0.0</v>
      </c>
      <c r="AA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SUM(E165:E174)</f>
        <v>0</v>
      </c>
      <c r="F175" s="13">
        <f t="shared" si="35"/>
        <v>2</v>
      </c>
      <c r="G175" s="13">
        <f t="shared" si="35"/>
        <v>4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3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20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2.0</v>
      </c>
      <c r="G177" s="19">
        <v>0.0</v>
      </c>
      <c r="H177" s="19">
        <v>1.0</v>
      </c>
      <c r="I177" s="19">
        <v>2.0</v>
      </c>
      <c r="J177" s="19">
        <v>0.0</v>
      </c>
      <c r="K177" s="19">
        <v>2.0</v>
      </c>
      <c r="L177" s="19">
        <v>0.0</v>
      </c>
      <c r="M177" s="19">
        <v>0.0</v>
      </c>
      <c r="N177" s="19">
        <v>1.0</v>
      </c>
      <c r="O177" s="19">
        <v>1.0</v>
      </c>
      <c r="P177" s="19">
        <v>1.0</v>
      </c>
      <c r="Q177" s="19">
        <v>0.0</v>
      </c>
      <c r="R177" s="19">
        <v>0.0</v>
      </c>
      <c r="S177" s="19">
        <v>0.0</v>
      </c>
      <c r="T177" s="19">
        <v>1.0</v>
      </c>
      <c r="U177" s="19">
        <v>1.0</v>
      </c>
      <c r="V177" s="19">
        <v>0.0</v>
      </c>
      <c r="W177" s="19">
        <v>0.0</v>
      </c>
      <c r="X177" s="19">
        <v>2.0</v>
      </c>
      <c r="Y177" s="19">
        <v>0.0</v>
      </c>
      <c r="Z177" s="19">
        <v>0.0</v>
      </c>
      <c r="AA177" s="13">
        <f t="shared" ref="AA177:AA186" si="36">SUM(E177:Z177)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1.0</v>
      </c>
      <c r="I178" s="19">
        <v>1.0</v>
      </c>
      <c r="J178" s="19">
        <v>1.0</v>
      </c>
      <c r="K178" s="19">
        <v>0.0</v>
      </c>
      <c r="L178" s="19">
        <v>0.0</v>
      </c>
      <c r="M178" s="19">
        <v>4.0</v>
      </c>
      <c r="N178" s="19">
        <v>0.0</v>
      </c>
      <c r="O178" s="19">
        <v>0.0</v>
      </c>
      <c r="P178" s="19">
        <v>0.0</v>
      </c>
      <c r="Q178" s="19">
        <v>0.0</v>
      </c>
      <c r="R178" s="19">
        <v>2.0</v>
      </c>
      <c r="S178" s="19">
        <v>0.0</v>
      </c>
      <c r="T178" s="19">
        <v>2.0</v>
      </c>
      <c r="U178" s="19">
        <v>1.0</v>
      </c>
      <c r="V178" s="19">
        <v>0.0</v>
      </c>
      <c r="W178" s="19">
        <v>1.0</v>
      </c>
      <c r="X178" s="19">
        <v>1.0</v>
      </c>
      <c r="Y178" s="19">
        <v>0.0</v>
      </c>
      <c r="Z178" s="19">
        <v>1.0</v>
      </c>
      <c r="AA178" s="13">
        <f t="shared" si="36"/>
        <v>15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1.0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3">
        <f t="shared" si="36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3">
        <f t="shared" si="36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SUM(E177:E186)</f>
        <v>1</v>
      </c>
      <c r="F187" s="13">
        <f t="shared" si="37"/>
        <v>4</v>
      </c>
      <c r="G187" s="13">
        <f t="shared" si="37"/>
        <v>0</v>
      </c>
      <c r="H187" s="13">
        <f t="shared" si="37"/>
        <v>4</v>
      </c>
      <c r="I187" s="13">
        <f t="shared" si="37"/>
        <v>3</v>
      </c>
      <c r="J187" s="13">
        <f t="shared" si="37"/>
        <v>2</v>
      </c>
      <c r="K187" s="13">
        <f t="shared" si="37"/>
        <v>2</v>
      </c>
      <c r="L187" s="13">
        <f t="shared" si="37"/>
        <v>0</v>
      </c>
      <c r="M187" s="13">
        <f t="shared" si="37"/>
        <v>4</v>
      </c>
      <c r="N187" s="13">
        <f t="shared" si="37"/>
        <v>2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2</v>
      </c>
      <c r="S187" s="13">
        <f t="shared" si="37"/>
        <v>0</v>
      </c>
      <c r="T187" s="13">
        <f t="shared" si="37"/>
        <v>3</v>
      </c>
      <c r="U187" s="13">
        <f t="shared" si="37"/>
        <v>3</v>
      </c>
      <c r="V187" s="13">
        <f t="shared" si="37"/>
        <v>0</v>
      </c>
      <c r="W187" s="13">
        <f t="shared" si="37"/>
        <v>2</v>
      </c>
      <c r="X187" s="13">
        <f t="shared" si="37"/>
        <v>3</v>
      </c>
      <c r="Y187" s="13">
        <f t="shared" si="37"/>
        <v>0</v>
      </c>
      <c r="Z187" s="13">
        <f t="shared" si="37"/>
        <v>2</v>
      </c>
      <c r="AA187" s="13">
        <f t="shared" si="37"/>
        <v>39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3">
        <f t="shared" ref="AA189:AA198" si="38">SUM(E189:Z189)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1.0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2.0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3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1.0</v>
      </c>
      <c r="Z196" s="19">
        <v>1.0</v>
      </c>
      <c r="AA196" s="13">
        <f t="shared" si="38"/>
        <v>2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2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1</v>
      </c>
      <c r="AA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15.0</v>
      </c>
      <c r="F201" s="19">
        <v>8.0</v>
      </c>
      <c r="G201" s="19">
        <v>8.0</v>
      </c>
      <c r="H201" s="19">
        <v>8.0</v>
      </c>
      <c r="I201" s="19">
        <v>6.0</v>
      </c>
      <c r="J201" s="19">
        <v>2.0</v>
      </c>
      <c r="K201" s="19">
        <v>12.0</v>
      </c>
      <c r="L201" s="19">
        <v>1.0</v>
      </c>
      <c r="M201" s="19">
        <v>13.0</v>
      </c>
      <c r="N201" s="19">
        <v>7.0</v>
      </c>
      <c r="O201" s="19">
        <v>1.0</v>
      </c>
      <c r="P201" s="19">
        <v>3.0</v>
      </c>
      <c r="Q201" s="19">
        <v>2.0</v>
      </c>
      <c r="R201" s="19">
        <v>12.0</v>
      </c>
      <c r="S201" s="19">
        <v>3.0</v>
      </c>
      <c r="T201" s="19">
        <v>5.0</v>
      </c>
      <c r="U201" s="19">
        <v>1.0</v>
      </c>
      <c r="V201" s="19">
        <v>8.0</v>
      </c>
      <c r="W201" s="19">
        <v>2.0</v>
      </c>
      <c r="X201" s="19">
        <v>7.0</v>
      </c>
      <c r="Y201" s="19">
        <v>5.0</v>
      </c>
      <c r="Z201" s="19">
        <v>2.0</v>
      </c>
      <c r="AA201" s="13">
        <f t="shared" ref="AA201:AA210" si="40">SUM(E201:Z201)</f>
        <v>131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58.0</v>
      </c>
      <c r="F202" s="19">
        <v>29.0</v>
      </c>
      <c r="G202" s="19">
        <v>3.0</v>
      </c>
      <c r="H202" s="19">
        <v>9.0</v>
      </c>
      <c r="I202" s="19">
        <v>5.0</v>
      </c>
      <c r="J202" s="19">
        <v>6.0</v>
      </c>
      <c r="K202" s="19">
        <v>2.0</v>
      </c>
      <c r="L202" s="19">
        <v>3.0</v>
      </c>
      <c r="M202" s="19">
        <v>14.0</v>
      </c>
      <c r="N202" s="19">
        <v>4.0</v>
      </c>
      <c r="O202" s="19">
        <v>9.0</v>
      </c>
      <c r="P202" s="19">
        <v>5.0</v>
      </c>
      <c r="Q202" s="19">
        <v>1.0</v>
      </c>
      <c r="R202" s="19">
        <v>1.0</v>
      </c>
      <c r="S202" s="19">
        <v>5.0</v>
      </c>
      <c r="T202" s="19">
        <v>9.0</v>
      </c>
      <c r="U202" s="19">
        <v>2.0</v>
      </c>
      <c r="V202" s="19">
        <v>21.0</v>
      </c>
      <c r="W202" s="19">
        <v>8.0</v>
      </c>
      <c r="X202" s="19">
        <v>6.0</v>
      </c>
      <c r="Y202" s="19">
        <v>8.0</v>
      </c>
      <c r="Z202" s="19">
        <v>3.0</v>
      </c>
      <c r="AA202" s="13">
        <f t="shared" si="40"/>
        <v>211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3.0</v>
      </c>
      <c r="G203" s="19">
        <v>1.0</v>
      </c>
      <c r="H203" s="19">
        <v>0.0</v>
      </c>
      <c r="I203" s="19">
        <v>2.0</v>
      </c>
      <c r="J203" s="19">
        <v>0.0</v>
      </c>
      <c r="K203" s="19">
        <v>3.0</v>
      </c>
      <c r="L203" s="19">
        <v>2.0</v>
      </c>
      <c r="M203" s="19">
        <v>2.0</v>
      </c>
      <c r="N203" s="19">
        <v>3.0</v>
      </c>
      <c r="O203" s="19">
        <v>4.0</v>
      </c>
      <c r="P203" s="19">
        <v>0.0</v>
      </c>
      <c r="Q203" s="19">
        <v>0.0</v>
      </c>
      <c r="R203" s="19">
        <v>5.0</v>
      </c>
      <c r="S203" s="19">
        <v>0.0</v>
      </c>
      <c r="T203" s="19">
        <v>3.0</v>
      </c>
      <c r="U203" s="19">
        <v>0.0</v>
      </c>
      <c r="V203" s="19">
        <v>2.0</v>
      </c>
      <c r="W203" s="19">
        <v>1.0</v>
      </c>
      <c r="X203" s="19">
        <v>1.0</v>
      </c>
      <c r="Y203" s="19">
        <v>0.0</v>
      </c>
      <c r="Z203" s="19">
        <v>0.0</v>
      </c>
      <c r="AA203" s="13">
        <f t="shared" si="40"/>
        <v>32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1.0</v>
      </c>
      <c r="G204" s="19">
        <v>3.0</v>
      </c>
      <c r="H204" s="19">
        <v>1.0</v>
      </c>
      <c r="I204" s="19">
        <v>0.0</v>
      </c>
      <c r="J204" s="19">
        <v>1.0</v>
      </c>
      <c r="K204" s="19">
        <v>1.0</v>
      </c>
      <c r="L204" s="19">
        <v>0.0</v>
      </c>
      <c r="M204" s="19">
        <v>0.0</v>
      </c>
      <c r="N204" s="19">
        <v>7.0</v>
      </c>
      <c r="O204" s="19">
        <v>1.0</v>
      </c>
      <c r="P204" s="19">
        <v>0.0</v>
      </c>
      <c r="Q204" s="19">
        <v>1.0</v>
      </c>
      <c r="R204" s="19">
        <v>1.0</v>
      </c>
      <c r="S204" s="19">
        <v>0.0</v>
      </c>
      <c r="T204" s="19">
        <v>1.0</v>
      </c>
      <c r="U204" s="19">
        <v>0.0</v>
      </c>
      <c r="V204" s="19">
        <v>1.0</v>
      </c>
      <c r="W204" s="19">
        <v>4.0</v>
      </c>
      <c r="X204" s="19">
        <v>0.0</v>
      </c>
      <c r="Y204" s="19">
        <v>0.0</v>
      </c>
      <c r="Z204" s="19">
        <v>0.0</v>
      </c>
      <c r="AA204" s="13">
        <f t="shared" si="40"/>
        <v>24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1.0</v>
      </c>
      <c r="G205" s="19">
        <v>4.0</v>
      </c>
      <c r="H205" s="19">
        <v>4.0</v>
      </c>
      <c r="I205" s="19">
        <v>2.0</v>
      </c>
      <c r="J205" s="19">
        <v>0.0</v>
      </c>
      <c r="K205" s="19">
        <v>1.0</v>
      </c>
      <c r="L205" s="19">
        <v>2.0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2.0</v>
      </c>
      <c r="Y205" s="19">
        <v>0.0</v>
      </c>
      <c r="Z205" s="19">
        <v>0.0</v>
      </c>
      <c r="AA205" s="13">
        <f t="shared" si="40"/>
        <v>19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2.0</v>
      </c>
      <c r="N206" s="19">
        <v>0.0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3">
        <f t="shared" si="40"/>
        <v>5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3">
        <f t="shared" si="40"/>
        <v>4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SUM(E201:E210)</f>
        <v>76</v>
      </c>
      <c r="F211" s="13">
        <f t="shared" si="41"/>
        <v>43</v>
      </c>
      <c r="G211" s="13">
        <f t="shared" si="41"/>
        <v>19</v>
      </c>
      <c r="H211" s="13">
        <f t="shared" si="41"/>
        <v>22</v>
      </c>
      <c r="I211" s="13">
        <f t="shared" si="41"/>
        <v>15</v>
      </c>
      <c r="J211" s="13">
        <f t="shared" si="41"/>
        <v>9</v>
      </c>
      <c r="K211" s="13">
        <f t="shared" si="41"/>
        <v>19</v>
      </c>
      <c r="L211" s="13">
        <f t="shared" si="41"/>
        <v>8</v>
      </c>
      <c r="M211" s="13">
        <f t="shared" si="41"/>
        <v>33</v>
      </c>
      <c r="N211" s="13">
        <f t="shared" si="41"/>
        <v>22</v>
      </c>
      <c r="O211" s="13">
        <f t="shared" si="41"/>
        <v>16</v>
      </c>
      <c r="P211" s="13">
        <f t="shared" si="41"/>
        <v>9</v>
      </c>
      <c r="Q211" s="13">
        <f t="shared" si="41"/>
        <v>4</v>
      </c>
      <c r="R211" s="13">
        <f t="shared" si="41"/>
        <v>20</v>
      </c>
      <c r="S211" s="13">
        <f t="shared" si="41"/>
        <v>8</v>
      </c>
      <c r="T211" s="13">
        <f t="shared" si="41"/>
        <v>19</v>
      </c>
      <c r="U211" s="13">
        <f t="shared" si="41"/>
        <v>4</v>
      </c>
      <c r="V211" s="13">
        <f t="shared" si="41"/>
        <v>32</v>
      </c>
      <c r="W211" s="13">
        <f t="shared" si="41"/>
        <v>15</v>
      </c>
      <c r="X211" s="13">
        <f t="shared" si="41"/>
        <v>16</v>
      </c>
      <c r="Y211" s="13">
        <f t="shared" si="41"/>
        <v>13</v>
      </c>
      <c r="Z211" s="13">
        <f t="shared" si="41"/>
        <v>5</v>
      </c>
      <c r="AA211" s="13">
        <f t="shared" si="41"/>
        <v>427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3.0</v>
      </c>
      <c r="G213" s="19">
        <v>3.0</v>
      </c>
      <c r="H213" s="19">
        <v>4.0</v>
      </c>
      <c r="I213" s="19">
        <v>2.0</v>
      </c>
      <c r="J213" s="19">
        <v>1.0</v>
      </c>
      <c r="K213" s="19">
        <v>3.0</v>
      </c>
      <c r="L213" s="19">
        <v>1.0</v>
      </c>
      <c r="M213" s="19">
        <v>1.0</v>
      </c>
      <c r="N213" s="19">
        <v>3.0</v>
      </c>
      <c r="O213" s="19">
        <v>0.0</v>
      </c>
      <c r="P213" s="19">
        <v>0.0</v>
      </c>
      <c r="Q213" s="19">
        <v>1.0</v>
      </c>
      <c r="R213" s="19">
        <v>4.0</v>
      </c>
      <c r="S213" s="19">
        <v>3.0</v>
      </c>
      <c r="T213" s="19">
        <v>2.0</v>
      </c>
      <c r="U213" s="19">
        <v>1.0</v>
      </c>
      <c r="V213" s="19">
        <v>1.0</v>
      </c>
      <c r="W213" s="19">
        <v>1.0</v>
      </c>
      <c r="X213" s="19">
        <v>1.0</v>
      </c>
      <c r="Y213" s="19">
        <v>0.0</v>
      </c>
      <c r="Z213" s="19">
        <v>0.0</v>
      </c>
      <c r="AA213" s="13">
        <f t="shared" ref="AA213:AA222" si="42">SUM(E213:Z213)</f>
        <v>36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2.0</v>
      </c>
      <c r="G214" s="19">
        <v>0.0</v>
      </c>
      <c r="H214" s="19">
        <v>0.0</v>
      </c>
      <c r="I214" s="19">
        <v>1.0</v>
      </c>
      <c r="J214" s="19">
        <v>1.0</v>
      </c>
      <c r="K214" s="19">
        <v>1.0</v>
      </c>
      <c r="L214" s="19">
        <v>1.0</v>
      </c>
      <c r="M214" s="19">
        <v>1.0</v>
      </c>
      <c r="N214" s="19">
        <v>0.0</v>
      </c>
      <c r="O214" s="19">
        <v>2.0</v>
      </c>
      <c r="P214" s="19">
        <v>2.0</v>
      </c>
      <c r="Q214" s="19">
        <v>1.0</v>
      </c>
      <c r="R214" s="19">
        <v>1.0</v>
      </c>
      <c r="S214" s="19">
        <v>8.0</v>
      </c>
      <c r="T214" s="19">
        <v>1.0</v>
      </c>
      <c r="U214" s="19">
        <v>0.0</v>
      </c>
      <c r="V214" s="19">
        <v>0.0</v>
      </c>
      <c r="W214" s="19">
        <v>0.0</v>
      </c>
      <c r="X214" s="19">
        <v>3.0</v>
      </c>
      <c r="Y214" s="19">
        <v>1.0</v>
      </c>
      <c r="Z214" s="19">
        <v>0.0</v>
      </c>
      <c r="AA214" s="13">
        <f t="shared" si="42"/>
        <v>27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3.0</v>
      </c>
      <c r="F215" s="19">
        <v>1.0</v>
      </c>
      <c r="G215" s="19">
        <v>1.0</v>
      </c>
      <c r="H215" s="19">
        <v>3.0</v>
      </c>
      <c r="I215" s="19">
        <v>3.0</v>
      </c>
      <c r="J215" s="19">
        <v>1.0</v>
      </c>
      <c r="K215" s="19">
        <v>3.0</v>
      </c>
      <c r="L215" s="19">
        <v>5.0</v>
      </c>
      <c r="M215" s="19">
        <v>1.0</v>
      </c>
      <c r="N215" s="19">
        <v>1.0</v>
      </c>
      <c r="O215" s="19">
        <v>0.0</v>
      </c>
      <c r="P215" s="19">
        <v>1.0</v>
      </c>
      <c r="Q215" s="19">
        <v>0.0</v>
      </c>
      <c r="R215" s="19">
        <v>0.0</v>
      </c>
      <c r="S215" s="19">
        <v>1.0</v>
      </c>
      <c r="T215" s="19">
        <v>0.0</v>
      </c>
      <c r="U215" s="19">
        <v>6.0</v>
      </c>
      <c r="V215" s="19">
        <v>1.0</v>
      </c>
      <c r="W215" s="19">
        <v>0.0</v>
      </c>
      <c r="X215" s="19">
        <v>0.0</v>
      </c>
      <c r="Y215" s="19">
        <v>0.0</v>
      </c>
      <c r="Z215" s="19">
        <v>1.0</v>
      </c>
      <c r="AA215" s="13">
        <f t="shared" si="42"/>
        <v>32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1.0</v>
      </c>
      <c r="H216" s="19">
        <v>1.0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0.0</v>
      </c>
      <c r="AA216" s="13">
        <f t="shared" si="42"/>
        <v>5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1.0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3">
        <f t="shared" si="42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SUM(E213:E222)</f>
        <v>5</v>
      </c>
      <c r="F223" s="13">
        <f t="shared" si="43"/>
        <v>7</v>
      </c>
      <c r="G223" s="13">
        <f t="shared" si="43"/>
        <v>5</v>
      </c>
      <c r="H223" s="13">
        <f t="shared" si="43"/>
        <v>10</v>
      </c>
      <c r="I223" s="13">
        <f t="shared" si="43"/>
        <v>6</v>
      </c>
      <c r="J223" s="13">
        <f t="shared" si="43"/>
        <v>4</v>
      </c>
      <c r="K223" s="13">
        <f t="shared" si="43"/>
        <v>7</v>
      </c>
      <c r="L223" s="13">
        <f t="shared" si="43"/>
        <v>9</v>
      </c>
      <c r="M223" s="13">
        <f t="shared" si="43"/>
        <v>3</v>
      </c>
      <c r="N223" s="13">
        <f t="shared" si="43"/>
        <v>5</v>
      </c>
      <c r="O223" s="13">
        <f t="shared" si="43"/>
        <v>3</v>
      </c>
      <c r="P223" s="13">
        <f t="shared" si="43"/>
        <v>3</v>
      </c>
      <c r="Q223" s="13">
        <f t="shared" si="43"/>
        <v>2</v>
      </c>
      <c r="R223" s="13">
        <f t="shared" si="43"/>
        <v>5</v>
      </c>
      <c r="S223" s="13">
        <f t="shared" si="43"/>
        <v>12</v>
      </c>
      <c r="T223" s="13">
        <f t="shared" si="43"/>
        <v>3</v>
      </c>
      <c r="U223" s="13">
        <f t="shared" si="43"/>
        <v>7</v>
      </c>
      <c r="V223" s="13">
        <f t="shared" si="43"/>
        <v>2</v>
      </c>
      <c r="W223" s="13">
        <f t="shared" si="43"/>
        <v>2</v>
      </c>
      <c r="X223" s="13">
        <f t="shared" si="43"/>
        <v>5</v>
      </c>
      <c r="Y223" s="13">
        <f t="shared" si="43"/>
        <v>1</v>
      </c>
      <c r="Z223" s="13">
        <f t="shared" si="43"/>
        <v>1</v>
      </c>
      <c r="AA223" s="13">
        <f t="shared" si="43"/>
        <v>107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3">
        <f t="shared" ref="AA225:AA234" si="44">SUM(E225:Z225)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4.0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4.0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1.0</v>
      </c>
      <c r="X226" s="19">
        <v>0.0</v>
      </c>
      <c r="Y226" s="19">
        <v>0.0</v>
      </c>
      <c r="Z226" s="19">
        <v>0.0</v>
      </c>
      <c r="AA226" s="13">
        <f t="shared" si="44"/>
        <v>11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3">
        <f t="shared" si="44"/>
        <v>3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SUM(E225:E234)</f>
        <v>2</v>
      </c>
      <c r="F235" s="13">
        <f t="shared" si="45"/>
        <v>6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4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17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3.0</v>
      </c>
      <c r="K237" s="19">
        <v>3.0</v>
      </c>
      <c r="L237" s="19">
        <v>1.0</v>
      </c>
      <c r="M237" s="19">
        <v>1.0</v>
      </c>
      <c r="N237" s="19">
        <v>2.0</v>
      </c>
      <c r="O237" s="19">
        <v>0.0</v>
      </c>
      <c r="P237" s="19">
        <v>0.0</v>
      </c>
      <c r="Q237" s="19">
        <v>0.0</v>
      </c>
      <c r="R237" s="19">
        <v>4.0</v>
      </c>
      <c r="S237" s="19">
        <v>3.0</v>
      </c>
      <c r="T237" s="19">
        <v>1.0</v>
      </c>
      <c r="U237" s="19">
        <v>0.0</v>
      </c>
      <c r="V237" s="19">
        <v>1.0</v>
      </c>
      <c r="W237" s="19">
        <v>0.0</v>
      </c>
      <c r="X237" s="19">
        <v>0.0</v>
      </c>
      <c r="Y237" s="19">
        <v>0.0</v>
      </c>
      <c r="Z237" s="19">
        <v>0.0</v>
      </c>
      <c r="AA237" s="13">
        <f t="shared" ref="AA237:AA246" si="46">SUM(E237:Z237)</f>
        <v>20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3.0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3.0</v>
      </c>
      <c r="S238" s="19">
        <v>3.0</v>
      </c>
      <c r="T238" s="19">
        <v>1.0</v>
      </c>
      <c r="U238" s="19">
        <v>2.0</v>
      </c>
      <c r="V238" s="19">
        <v>1.0</v>
      </c>
      <c r="W238" s="19">
        <v>0.0</v>
      </c>
      <c r="X238" s="19">
        <v>0.0</v>
      </c>
      <c r="Y238" s="19">
        <v>0.0</v>
      </c>
      <c r="Z238" s="19">
        <v>0.0</v>
      </c>
      <c r="AA238" s="13">
        <f t="shared" si="46"/>
        <v>14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2.0</v>
      </c>
      <c r="F239" s="19">
        <v>0.0</v>
      </c>
      <c r="G239" s="19">
        <v>1.0</v>
      </c>
      <c r="H239" s="19">
        <v>0.0</v>
      </c>
      <c r="I239" s="19">
        <v>0.0</v>
      </c>
      <c r="J239" s="19">
        <v>2.0</v>
      </c>
      <c r="K239" s="19">
        <v>0.0</v>
      </c>
      <c r="L239" s="19">
        <v>0.0</v>
      </c>
      <c r="M239" s="19">
        <v>1.0</v>
      </c>
      <c r="N239" s="19">
        <v>2.0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1.0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3">
        <f t="shared" si="46"/>
        <v>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2.0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3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2.0</v>
      </c>
      <c r="I244" s="19">
        <v>0.0</v>
      </c>
      <c r="J244" s="19">
        <v>0.0</v>
      </c>
      <c r="K244" s="19">
        <v>1.0</v>
      </c>
      <c r="L244" s="19">
        <v>0.0</v>
      </c>
      <c r="M244" s="19">
        <v>1.0</v>
      </c>
      <c r="N244" s="19">
        <v>0.0</v>
      </c>
      <c r="O244" s="19">
        <v>0.0</v>
      </c>
      <c r="P244" s="19">
        <v>1.0</v>
      </c>
      <c r="Q244" s="19">
        <v>13.0</v>
      </c>
      <c r="R244" s="19">
        <v>9.0</v>
      </c>
      <c r="S244" s="19">
        <v>0.0</v>
      </c>
      <c r="T244" s="19">
        <v>1.0</v>
      </c>
      <c r="U244" s="19">
        <v>0.0</v>
      </c>
      <c r="V244" s="19">
        <v>3.0</v>
      </c>
      <c r="W244" s="19">
        <v>6.0</v>
      </c>
      <c r="X244" s="19">
        <v>0.0</v>
      </c>
      <c r="Y244" s="19">
        <v>18.0</v>
      </c>
      <c r="Z244" s="19">
        <v>2.0</v>
      </c>
      <c r="AA244" s="13">
        <f t="shared" si="46"/>
        <v>57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SUM(E237:E246)</f>
        <v>3</v>
      </c>
      <c r="F247" s="13">
        <f t="shared" si="47"/>
        <v>0</v>
      </c>
      <c r="G247" s="13">
        <f t="shared" si="47"/>
        <v>2</v>
      </c>
      <c r="H247" s="13">
        <f t="shared" si="47"/>
        <v>3</v>
      </c>
      <c r="I247" s="13">
        <f t="shared" si="47"/>
        <v>0</v>
      </c>
      <c r="J247" s="13">
        <f t="shared" si="47"/>
        <v>6</v>
      </c>
      <c r="K247" s="13">
        <f t="shared" si="47"/>
        <v>7</v>
      </c>
      <c r="L247" s="13">
        <f t="shared" si="47"/>
        <v>3</v>
      </c>
      <c r="M247" s="13">
        <f t="shared" si="47"/>
        <v>4</v>
      </c>
      <c r="N247" s="13">
        <f t="shared" si="47"/>
        <v>5</v>
      </c>
      <c r="O247" s="13">
        <f t="shared" si="47"/>
        <v>2</v>
      </c>
      <c r="P247" s="13">
        <f t="shared" si="47"/>
        <v>1</v>
      </c>
      <c r="Q247" s="13">
        <f t="shared" si="47"/>
        <v>13</v>
      </c>
      <c r="R247" s="13">
        <f t="shared" si="47"/>
        <v>16</v>
      </c>
      <c r="S247" s="13">
        <f t="shared" si="47"/>
        <v>6</v>
      </c>
      <c r="T247" s="13">
        <f t="shared" si="47"/>
        <v>4</v>
      </c>
      <c r="U247" s="13">
        <f t="shared" si="47"/>
        <v>2</v>
      </c>
      <c r="V247" s="13">
        <f t="shared" si="47"/>
        <v>5</v>
      </c>
      <c r="W247" s="13">
        <f t="shared" si="47"/>
        <v>6</v>
      </c>
      <c r="X247" s="13">
        <f t="shared" si="47"/>
        <v>0</v>
      </c>
      <c r="Y247" s="13">
        <f t="shared" si="47"/>
        <v>18</v>
      </c>
      <c r="Z247" s="13">
        <f t="shared" si="47"/>
        <v>2</v>
      </c>
      <c r="AA247" s="13">
        <f t="shared" si="47"/>
        <v>108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1.0</v>
      </c>
      <c r="W249" s="19">
        <v>0.0</v>
      </c>
      <c r="X249" s="19">
        <v>0.0</v>
      </c>
      <c r="Y249" s="19">
        <v>1.0</v>
      </c>
      <c r="Z249" s="19">
        <v>0.0</v>
      </c>
      <c r="AA249" s="13">
        <f t="shared" ref="AA249:AA258" si="48">SUM(E249:Z249)</f>
        <v>4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2.0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8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1.0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8"/>
        <v>2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SUM(E249:E258)</f>
        <v>2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13"/>
      <c r="P261" s="13"/>
      <c r="Q261" s="13"/>
      <c r="R261" s="13"/>
      <c r="S261" s="13"/>
      <c r="T261" s="13"/>
      <c r="U261" s="13"/>
      <c r="V261" s="13"/>
      <c r="W261" s="13"/>
      <c r="X261" s="78"/>
      <c r="Y261" s="13"/>
      <c r="Z261" s="13"/>
      <c r="AA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Z262" si="50">E55+E67+E79+E91+E103+E115+E127+E139+E151+E163+E175+E187+E199+E211+E223+E235+E247+E259</f>
        <v>171</v>
      </c>
      <c r="F262" s="19">
        <f t="shared" si="50"/>
        <v>153</v>
      </c>
      <c r="G262" s="19">
        <f t="shared" si="50"/>
        <v>159</v>
      </c>
      <c r="H262" s="19">
        <f t="shared" si="50"/>
        <v>200</v>
      </c>
      <c r="I262" s="19">
        <f t="shared" si="50"/>
        <v>177</v>
      </c>
      <c r="J262" s="19">
        <f t="shared" si="50"/>
        <v>149</v>
      </c>
      <c r="K262" s="19">
        <f t="shared" si="50"/>
        <v>163</v>
      </c>
      <c r="L262" s="19">
        <f t="shared" si="50"/>
        <v>192</v>
      </c>
      <c r="M262" s="19">
        <f t="shared" si="50"/>
        <v>198</v>
      </c>
      <c r="N262" s="19">
        <f t="shared" si="50"/>
        <v>201</v>
      </c>
      <c r="O262" s="19">
        <f t="shared" si="50"/>
        <v>200</v>
      </c>
      <c r="P262" s="19">
        <f t="shared" si="50"/>
        <v>152</v>
      </c>
      <c r="Q262" s="19">
        <f t="shared" si="50"/>
        <v>153</v>
      </c>
      <c r="R262" s="19">
        <f t="shared" si="50"/>
        <v>205</v>
      </c>
      <c r="S262" s="19">
        <f t="shared" si="50"/>
        <v>146</v>
      </c>
      <c r="T262" s="19">
        <f t="shared" si="50"/>
        <v>165</v>
      </c>
      <c r="U262" s="19">
        <f t="shared" si="50"/>
        <v>156</v>
      </c>
      <c r="V262" s="19">
        <f t="shared" si="50"/>
        <v>177</v>
      </c>
      <c r="W262" s="19">
        <f t="shared" si="50"/>
        <v>167</v>
      </c>
      <c r="X262" s="19">
        <f t="shared" si="50"/>
        <v>179</v>
      </c>
      <c r="Y262" s="19">
        <f t="shared" si="50"/>
        <v>155</v>
      </c>
      <c r="Z262" s="19">
        <f t="shared" si="50"/>
        <v>192</v>
      </c>
      <c r="AA262" s="13">
        <f t="shared" ref="AA262:AA264" si="51">SUM(E262:Z262)</f>
        <v>3810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18.0</v>
      </c>
      <c r="F263" s="19">
        <v>24.0</v>
      </c>
      <c r="G263" s="19">
        <v>25.0</v>
      </c>
      <c r="H263" s="19">
        <v>9.0</v>
      </c>
      <c r="I263" s="19">
        <v>22.0</v>
      </c>
      <c r="J263" s="19">
        <v>12.0</v>
      </c>
      <c r="K263" s="19">
        <v>28.0</v>
      </c>
      <c r="L263" s="19">
        <v>21.0</v>
      </c>
      <c r="M263" s="19">
        <v>15.0</v>
      </c>
      <c r="N263" s="19">
        <v>22.0</v>
      </c>
      <c r="O263" s="19">
        <v>25.0</v>
      </c>
      <c r="P263" s="19">
        <v>13.0</v>
      </c>
      <c r="Q263" s="19">
        <v>15.0</v>
      </c>
      <c r="R263" s="19">
        <v>12.0</v>
      </c>
      <c r="S263" s="19">
        <v>10.0</v>
      </c>
      <c r="T263" s="19">
        <v>13.0</v>
      </c>
      <c r="U263" s="19">
        <v>11.0</v>
      </c>
      <c r="V263" s="19">
        <v>17.0</v>
      </c>
      <c r="W263" s="19">
        <v>24.0</v>
      </c>
      <c r="X263" s="19">
        <v>9.0</v>
      </c>
      <c r="Y263" s="19">
        <v>11.0</v>
      </c>
      <c r="Z263" s="19">
        <v>22.0</v>
      </c>
      <c r="AA263" s="13">
        <f t="shared" si="51"/>
        <v>378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Z264" si="52">SUM(E262:E263)</f>
        <v>189</v>
      </c>
      <c r="F264" s="13">
        <f t="shared" si="52"/>
        <v>177</v>
      </c>
      <c r="G264" s="13">
        <f t="shared" si="52"/>
        <v>184</v>
      </c>
      <c r="H264" s="13">
        <f t="shared" si="52"/>
        <v>209</v>
      </c>
      <c r="I264" s="13">
        <f t="shared" si="52"/>
        <v>199</v>
      </c>
      <c r="J264" s="13">
        <f t="shared" si="52"/>
        <v>161</v>
      </c>
      <c r="K264" s="13">
        <f t="shared" si="52"/>
        <v>191</v>
      </c>
      <c r="L264" s="13">
        <f t="shared" si="52"/>
        <v>213</v>
      </c>
      <c r="M264" s="13">
        <f t="shared" si="52"/>
        <v>213</v>
      </c>
      <c r="N264" s="13">
        <f t="shared" si="52"/>
        <v>223</v>
      </c>
      <c r="O264" s="13">
        <f t="shared" si="52"/>
        <v>225</v>
      </c>
      <c r="P264" s="13">
        <f t="shared" si="52"/>
        <v>165</v>
      </c>
      <c r="Q264" s="13">
        <f t="shared" si="52"/>
        <v>168</v>
      </c>
      <c r="R264" s="13">
        <f t="shared" si="52"/>
        <v>217</v>
      </c>
      <c r="S264" s="13">
        <f t="shared" si="52"/>
        <v>156</v>
      </c>
      <c r="T264" s="13">
        <f t="shared" si="52"/>
        <v>178</v>
      </c>
      <c r="U264" s="13">
        <f t="shared" si="52"/>
        <v>167</v>
      </c>
      <c r="V264" s="13">
        <f t="shared" si="52"/>
        <v>194</v>
      </c>
      <c r="W264" s="13">
        <f t="shared" si="52"/>
        <v>191</v>
      </c>
      <c r="X264" s="13">
        <f t="shared" si="52"/>
        <v>188</v>
      </c>
      <c r="Y264" s="13">
        <f t="shared" si="52"/>
        <v>166</v>
      </c>
      <c r="Z264" s="13">
        <f t="shared" si="52"/>
        <v>214</v>
      </c>
      <c r="AA264" s="13">
        <f t="shared" si="51"/>
        <v>4188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Z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Z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Z15 E19:Z20 E22:Z23 E25:Z26 E33:Z33 E35:Z35 E39:Z40 E45:Z54 E57:Z66 E69:Z78 E81:Z90 E93:Z102 E105:Z114 E117:Z126 E129:Z138 E141:Z150 E153:Z162 E165:Z174 E177:Z186 E189:Z198 E201:Z210 E213:Z222 E225:Z234 E237:Z246 E249:Z258 E262:Z263">
    <cfRule type="containsBlanks" dxfId="1" priority="1">
      <formula>LEN(TRIM(E14))=0</formula>
    </cfRule>
  </conditionalFormatting>
  <conditionalFormatting sqref="E30:Z30">
    <cfRule type="expression" dxfId="0" priority="2">
      <formula>E30&lt;&gt;E47</formula>
    </cfRule>
  </conditionalFormatting>
  <conditionalFormatting sqref="E30:Z30">
    <cfRule type="expression" dxfId="0" priority="3">
      <formula>E30&lt;&gt;E34</formula>
    </cfRule>
  </conditionalFormatting>
  <conditionalFormatting sqref="E34:Z34">
    <cfRule type="expression" dxfId="2" priority="4">
      <formula>E30&lt;&gt;E34</formula>
    </cfRule>
  </conditionalFormatting>
  <conditionalFormatting sqref="E34:Z34">
    <cfRule type="expression" dxfId="3" priority="5">
      <formula>E30=E34</formula>
    </cfRule>
  </conditionalFormatting>
  <conditionalFormatting sqref="E34:Z34">
    <cfRule type="expression" dxfId="0" priority="6">
      <formula>E34&lt;&gt;E30</formula>
    </cfRule>
  </conditionalFormatting>
  <conditionalFormatting sqref="E34:Z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21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224</v>
      </c>
      <c r="AB13" s="13" t="s">
        <v>225</v>
      </c>
      <c r="AC13" s="13" t="s">
        <v>226</v>
      </c>
      <c r="AD13" s="13" t="s">
        <v>227</v>
      </c>
      <c r="AE13" s="13" t="s">
        <v>228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13" t="s">
        <v>236</v>
      </c>
      <c r="AN13" s="13" t="s">
        <v>237</v>
      </c>
      <c r="AO13" s="13" t="s">
        <v>238</v>
      </c>
      <c r="AP13" s="13" t="s">
        <v>239</v>
      </c>
      <c r="AQ13" s="13" t="s">
        <v>240</v>
      </c>
      <c r="AR13" s="13" t="s">
        <v>241</v>
      </c>
      <c r="AS13" s="13" t="s">
        <v>242</v>
      </c>
      <c r="AT13" s="13" t="s">
        <v>243</v>
      </c>
      <c r="AU13" s="13" t="s">
        <v>244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157.0</v>
      </c>
      <c r="F14" s="19">
        <v>141.0</v>
      </c>
      <c r="G14" s="19">
        <v>125.0</v>
      </c>
      <c r="H14" s="19">
        <v>133.0</v>
      </c>
      <c r="I14" s="19">
        <v>139.0</v>
      </c>
      <c r="J14" s="19">
        <v>119.0</v>
      </c>
      <c r="K14" s="19">
        <v>131.0</v>
      </c>
      <c r="L14" s="19">
        <v>139.0</v>
      </c>
      <c r="M14" s="19">
        <v>132.0</v>
      </c>
      <c r="N14" s="19">
        <v>140.0</v>
      </c>
      <c r="O14" s="19">
        <v>139.0</v>
      </c>
      <c r="P14" s="19">
        <v>114.0</v>
      </c>
      <c r="Q14" s="19">
        <v>108.0</v>
      </c>
      <c r="R14" s="19">
        <v>135.0</v>
      </c>
      <c r="S14" s="19">
        <v>126.0</v>
      </c>
      <c r="T14" s="19">
        <v>140.0</v>
      </c>
      <c r="U14" s="19">
        <v>141.0</v>
      </c>
      <c r="V14" s="19">
        <v>136.0</v>
      </c>
      <c r="W14" s="19">
        <v>135.0</v>
      </c>
      <c r="X14" s="19">
        <v>144.0</v>
      </c>
      <c r="Y14" s="19">
        <v>135.0</v>
      </c>
      <c r="Z14" s="19">
        <v>152.0</v>
      </c>
      <c r="AA14" s="19">
        <v>151.0</v>
      </c>
      <c r="AB14" s="19">
        <v>143.0</v>
      </c>
      <c r="AC14" s="19">
        <v>120.0</v>
      </c>
      <c r="AD14" s="19">
        <v>119.0</v>
      </c>
      <c r="AE14" s="19">
        <v>119.0</v>
      </c>
      <c r="AF14" s="19">
        <v>106.0</v>
      </c>
      <c r="AG14" s="19">
        <v>105.0</v>
      </c>
      <c r="AH14" s="19">
        <v>112.0</v>
      </c>
      <c r="AI14" s="19">
        <v>114.0</v>
      </c>
      <c r="AJ14" s="19">
        <v>116.0</v>
      </c>
      <c r="AK14" s="19">
        <v>123.0</v>
      </c>
      <c r="AL14" s="19">
        <v>141.0</v>
      </c>
      <c r="AM14" s="19">
        <v>136.0</v>
      </c>
      <c r="AN14" s="19">
        <v>0.0</v>
      </c>
      <c r="AO14" s="19">
        <v>0.0</v>
      </c>
      <c r="AP14" s="19">
        <v>0.0</v>
      </c>
      <c r="AQ14" s="19">
        <v>300.0</v>
      </c>
      <c r="AR14" s="19">
        <v>298.0</v>
      </c>
      <c r="AS14" s="19">
        <v>298.0</v>
      </c>
      <c r="AT14" s="19">
        <v>65.0</v>
      </c>
      <c r="AU14" s="19"/>
      <c r="AV14" s="13">
        <f t="shared" ref="AV14:AV16" si="1">SUM(E14:AU14)</f>
        <v>5527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155.0</v>
      </c>
      <c r="G15" s="19">
        <v>139.0</v>
      </c>
      <c r="H15" s="19">
        <v>136.0</v>
      </c>
      <c r="I15" s="19">
        <v>132.0</v>
      </c>
      <c r="J15" s="19">
        <v>119.0</v>
      </c>
      <c r="K15" s="19">
        <v>127.0</v>
      </c>
      <c r="L15" s="19">
        <v>142.0</v>
      </c>
      <c r="M15" s="19">
        <v>132.0</v>
      </c>
      <c r="N15" s="19">
        <v>128.0</v>
      </c>
      <c r="O15" s="19">
        <v>124.0</v>
      </c>
      <c r="P15" s="19">
        <v>121.0</v>
      </c>
      <c r="Q15" s="19">
        <v>116.0</v>
      </c>
      <c r="R15" s="19">
        <v>125.0</v>
      </c>
      <c r="S15" s="19">
        <v>116.0</v>
      </c>
      <c r="T15" s="19">
        <v>122.0</v>
      </c>
      <c r="U15" s="19">
        <v>140.0</v>
      </c>
      <c r="V15" s="19">
        <v>140.0</v>
      </c>
      <c r="W15" s="19">
        <v>120.0</v>
      </c>
      <c r="X15" s="19">
        <v>135.0</v>
      </c>
      <c r="Y15" s="19">
        <v>132.0</v>
      </c>
      <c r="Z15" s="19">
        <v>143.0</v>
      </c>
      <c r="AA15" s="19">
        <v>145.0</v>
      </c>
      <c r="AB15" s="19">
        <v>151.0</v>
      </c>
      <c r="AC15" s="19">
        <v>114.0</v>
      </c>
      <c r="AD15" s="19">
        <v>111.0</v>
      </c>
      <c r="AE15" s="19">
        <v>103.0</v>
      </c>
      <c r="AF15" s="19">
        <v>125.0</v>
      </c>
      <c r="AG15" s="19">
        <v>106.0</v>
      </c>
      <c r="AH15" s="19">
        <v>84.0</v>
      </c>
      <c r="AI15" s="19">
        <v>119.0</v>
      </c>
      <c r="AJ15" s="19">
        <v>101.0</v>
      </c>
      <c r="AK15" s="19">
        <v>123.0</v>
      </c>
      <c r="AL15" s="19">
        <v>147.0</v>
      </c>
      <c r="AM15" s="19">
        <v>158.0</v>
      </c>
      <c r="AN15" s="19">
        <v>300.0</v>
      </c>
      <c r="AO15" s="19">
        <v>292.0</v>
      </c>
      <c r="AP15" s="19">
        <v>297.0</v>
      </c>
      <c r="AQ15" s="19">
        <v>187.0</v>
      </c>
      <c r="AR15" s="19">
        <v>0.0</v>
      </c>
      <c r="AS15" s="19">
        <v>0.0</v>
      </c>
      <c r="AT15" s="19">
        <v>0.0</v>
      </c>
      <c r="AU15" s="19"/>
      <c r="AV15" s="13">
        <f t="shared" si="1"/>
        <v>5549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299</v>
      </c>
      <c r="F16" s="13">
        <f t="shared" si="2"/>
        <v>296</v>
      </c>
      <c r="G16" s="13">
        <f t="shared" si="2"/>
        <v>264</v>
      </c>
      <c r="H16" s="13">
        <f t="shared" si="2"/>
        <v>269</v>
      </c>
      <c r="I16" s="13">
        <f t="shared" si="2"/>
        <v>271</v>
      </c>
      <c r="J16" s="13">
        <f t="shared" si="2"/>
        <v>238</v>
      </c>
      <c r="K16" s="13">
        <f t="shared" si="2"/>
        <v>258</v>
      </c>
      <c r="L16" s="13">
        <f t="shared" si="2"/>
        <v>281</v>
      </c>
      <c r="M16" s="13">
        <f t="shared" si="2"/>
        <v>264</v>
      </c>
      <c r="N16" s="13">
        <f t="shared" si="2"/>
        <v>268</v>
      </c>
      <c r="O16" s="13">
        <f t="shared" si="2"/>
        <v>263</v>
      </c>
      <c r="P16" s="13">
        <f t="shared" si="2"/>
        <v>235</v>
      </c>
      <c r="Q16" s="13">
        <f t="shared" si="2"/>
        <v>224</v>
      </c>
      <c r="R16" s="13">
        <f t="shared" si="2"/>
        <v>260</v>
      </c>
      <c r="S16" s="13">
        <f t="shared" si="2"/>
        <v>242</v>
      </c>
      <c r="T16" s="13">
        <f t="shared" si="2"/>
        <v>262</v>
      </c>
      <c r="U16" s="13">
        <f t="shared" si="2"/>
        <v>281</v>
      </c>
      <c r="V16" s="13">
        <f t="shared" si="2"/>
        <v>276</v>
      </c>
      <c r="W16" s="13">
        <f t="shared" si="2"/>
        <v>255</v>
      </c>
      <c r="X16" s="13">
        <f t="shared" si="2"/>
        <v>279</v>
      </c>
      <c r="Y16" s="13">
        <f t="shared" si="2"/>
        <v>267</v>
      </c>
      <c r="Z16" s="13">
        <f t="shared" si="2"/>
        <v>295</v>
      </c>
      <c r="AA16" s="13">
        <f t="shared" si="2"/>
        <v>296</v>
      </c>
      <c r="AB16" s="13">
        <f t="shared" si="2"/>
        <v>294</v>
      </c>
      <c r="AC16" s="13">
        <f t="shared" si="2"/>
        <v>234</v>
      </c>
      <c r="AD16" s="13">
        <f t="shared" si="2"/>
        <v>230</v>
      </c>
      <c r="AE16" s="13">
        <f t="shared" si="2"/>
        <v>222</v>
      </c>
      <c r="AF16" s="13">
        <f t="shared" si="2"/>
        <v>231</v>
      </c>
      <c r="AG16" s="13">
        <f t="shared" si="2"/>
        <v>211</v>
      </c>
      <c r="AH16" s="13">
        <f t="shared" si="2"/>
        <v>196</v>
      </c>
      <c r="AI16" s="13">
        <f t="shared" si="2"/>
        <v>233</v>
      </c>
      <c r="AJ16" s="13">
        <f t="shared" si="2"/>
        <v>217</v>
      </c>
      <c r="AK16" s="13">
        <f t="shared" si="2"/>
        <v>246</v>
      </c>
      <c r="AL16" s="13">
        <f t="shared" si="2"/>
        <v>288</v>
      </c>
      <c r="AM16" s="13">
        <f t="shared" si="2"/>
        <v>294</v>
      </c>
      <c r="AN16" s="13">
        <f t="shared" si="2"/>
        <v>300</v>
      </c>
      <c r="AO16" s="13">
        <f t="shared" si="2"/>
        <v>292</v>
      </c>
      <c r="AP16" s="13">
        <f t="shared" si="2"/>
        <v>297</v>
      </c>
      <c r="AQ16" s="13">
        <f t="shared" si="2"/>
        <v>487</v>
      </c>
      <c r="AR16" s="13">
        <f t="shared" si="2"/>
        <v>298</v>
      </c>
      <c r="AS16" s="13">
        <f t="shared" si="2"/>
        <v>298</v>
      </c>
      <c r="AT16" s="13">
        <f t="shared" si="2"/>
        <v>65</v>
      </c>
      <c r="AU16" s="13">
        <f t="shared" si="2"/>
        <v>0</v>
      </c>
      <c r="AV16" s="13">
        <f t="shared" si="1"/>
        <v>11076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108.0</v>
      </c>
      <c r="G19" s="19">
        <v>93.0</v>
      </c>
      <c r="H19" s="19">
        <v>93.0</v>
      </c>
      <c r="I19" s="19">
        <v>106.0</v>
      </c>
      <c r="J19" s="19">
        <v>95.0</v>
      </c>
      <c r="K19" s="19">
        <v>96.0</v>
      </c>
      <c r="L19" s="19">
        <v>108.0</v>
      </c>
      <c r="M19" s="19">
        <v>91.0</v>
      </c>
      <c r="N19" s="19">
        <v>103.0</v>
      </c>
      <c r="O19" s="19">
        <v>109.0</v>
      </c>
      <c r="P19" s="19">
        <v>75.0</v>
      </c>
      <c r="Q19" s="19">
        <v>68.0</v>
      </c>
      <c r="R19" s="19">
        <v>97.0</v>
      </c>
      <c r="S19" s="19">
        <v>71.0</v>
      </c>
      <c r="T19" s="19">
        <v>114.0</v>
      </c>
      <c r="U19" s="19">
        <v>103.0</v>
      </c>
      <c r="V19" s="19">
        <v>101.0</v>
      </c>
      <c r="W19" s="19">
        <v>105.0</v>
      </c>
      <c r="X19" s="19">
        <v>108.0</v>
      </c>
      <c r="Y19" s="19">
        <v>92.0</v>
      </c>
      <c r="Z19" s="19">
        <v>104.0</v>
      </c>
      <c r="AA19" s="19">
        <v>117.0</v>
      </c>
      <c r="AB19" s="19">
        <v>101.0</v>
      </c>
      <c r="AC19" s="19">
        <v>87.0</v>
      </c>
      <c r="AD19" s="19">
        <v>79.0</v>
      </c>
      <c r="AE19" s="19">
        <v>91.0</v>
      </c>
      <c r="AF19" s="19">
        <v>77.0</v>
      </c>
      <c r="AG19" s="19">
        <v>77.0</v>
      </c>
      <c r="AH19" s="19">
        <v>81.0</v>
      </c>
      <c r="AI19" s="19">
        <v>91.0</v>
      </c>
      <c r="AJ19" s="19">
        <v>79.0</v>
      </c>
      <c r="AK19" s="19">
        <v>84.0</v>
      </c>
      <c r="AL19" s="19">
        <v>119.0</v>
      </c>
      <c r="AM19" s="19">
        <v>98.0</v>
      </c>
      <c r="AN19" s="19">
        <v>0.0</v>
      </c>
      <c r="AO19" s="19">
        <v>0.0</v>
      </c>
      <c r="AP19" s="19">
        <v>0.0</v>
      </c>
      <c r="AQ19" s="19">
        <v>0.0</v>
      </c>
      <c r="AR19" s="19">
        <v>1.0</v>
      </c>
      <c r="AS19" s="19">
        <v>0.0</v>
      </c>
      <c r="AT19" s="19">
        <v>2.0</v>
      </c>
      <c r="AU19" s="19">
        <v>0.0</v>
      </c>
      <c r="AV19" s="13">
        <f t="shared" ref="AV19:AV30" si="3">SUM(E19:AU19)</f>
        <v>3337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124.0</v>
      </c>
      <c r="G20" s="19">
        <v>101.0</v>
      </c>
      <c r="H20" s="19">
        <v>108.0</v>
      </c>
      <c r="I20" s="19">
        <v>99.0</v>
      </c>
      <c r="J20" s="19">
        <v>98.0</v>
      </c>
      <c r="K20" s="19">
        <v>97.0</v>
      </c>
      <c r="L20" s="19">
        <v>120.0</v>
      </c>
      <c r="M20" s="19">
        <v>91.0</v>
      </c>
      <c r="N20" s="19">
        <v>99.0</v>
      </c>
      <c r="O20" s="19">
        <v>96.0</v>
      </c>
      <c r="P20" s="19">
        <v>85.0</v>
      </c>
      <c r="Q20" s="19">
        <v>83.0</v>
      </c>
      <c r="R20" s="19">
        <v>100.0</v>
      </c>
      <c r="S20" s="19">
        <v>75.0</v>
      </c>
      <c r="T20" s="19">
        <v>104.0</v>
      </c>
      <c r="U20" s="19">
        <v>102.0</v>
      </c>
      <c r="V20" s="19">
        <v>106.0</v>
      </c>
      <c r="W20" s="19">
        <v>104.0</v>
      </c>
      <c r="X20" s="19">
        <v>113.0</v>
      </c>
      <c r="Y20" s="19">
        <v>109.0</v>
      </c>
      <c r="Z20" s="19">
        <v>101.0</v>
      </c>
      <c r="AA20" s="19">
        <v>116.0</v>
      </c>
      <c r="AB20" s="19">
        <v>118.0</v>
      </c>
      <c r="AC20" s="19">
        <v>91.0</v>
      </c>
      <c r="AD20" s="19">
        <v>78.0</v>
      </c>
      <c r="AE20" s="19">
        <v>75.0</v>
      </c>
      <c r="AF20" s="19">
        <v>95.0</v>
      </c>
      <c r="AG20" s="19">
        <v>87.0</v>
      </c>
      <c r="AH20" s="19">
        <v>61.0</v>
      </c>
      <c r="AI20" s="19">
        <v>97.0</v>
      </c>
      <c r="AJ20" s="19">
        <v>82.0</v>
      </c>
      <c r="AK20" s="19">
        <v>88.0</v>
      </c>
      <c r="AL20" s="19">
        <v>124.0</v>
      </c>
      <c r="AM20" s="19">
        <v>107.0</v>
      </c>
      <c r="AN20" s="19">
        <v>0.0</v>
      </c>
      <c r="AO20" s="19">
        <v>0.0</v>
      </c>
      <c r="AP20" s="19">
        <v>3.0</v>
      </c>
      <c r="AQ20" s="19">
        <v>1.0</v>
      </c>
      <c r="AR20" s="19">
        <v>0.0</v>
      </c>
      <c r="AS20" s="19">
        <v>0.0</v>
      </c>
      <c r="AT20" s="19">
        <v>0.0</v>
      </c>
      <c r="AU20" s="19">
        <v>0.0</v>
      </c>
      <c r="AV20" s="13">
        <f t="shared" si="3"/>
        <v>3452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227</v>
      </c>
      <c r="F21" s="13">
        <f t="shared" si="4"/>
        <v>232</v>
      </c>
      <c r="G21" s="13">
        <f t="shared" si="4"/>
        <v>194</v>
      </c>
      <c r="H21" s="13">
        <f t="shared" si="4"/>
        <v>201</v>
      </c>
      <c r="I21" s="13">
        <f t="shared" si="4"/>
        <v>205</v>
      </c>
      <c r="J21" s="13">
        <f t="shared" si="4"/>
        <v>193</v>
      </c>
      <c r="K21" s="13">
        <f t="shared" si="4"/>
        <v>193</v>
      </c>
      <c r="L21" s="13">
        <f t="shared" si="4"/>
        <v>228</v>
      </c>
      <c r="M21" s="13">
        <f t="shared" si="4"/>
        <v>182</v>
      </c>
      <c r="N21" s="13">
        <f t="shared" si="4"/>
        <v>202</v>
      </c>
      <c r="O21" s="13">
        <f t="shared" si="4"/>
        <v>205</v>
      </c>
      <c r="P21" s="13">
        <f t="shared" si="4"/>
        <v>160</v>
      </c>
      <c r="Q21" s="13">
        <f t="shared" si="4"/>
        <v>151</v>
      </c>
      <c r="R21" s="13">
        <f t="shared" si="4"/>
        <v>197</v>
      </c>
      <c r="S21" s="13">
        <f t="shared" si="4"/>
        <v>146</v>
      </c>
      <c r="T21" s="13">
        <f t="shared" si="4"/>
        <v>218</v>
      </c>
      <c r="U21" s="13">
        <f t="shared" si="4"/>
        <v>205</v>
      </c>
      <c r="V21" s="13">
        <f t="shared" si="4"/>
        <v>207</v>
      </c>
      <c r="W21" s="13">
        <f t="shared" si="4"/>
        <v>209</v>
      </c>
      <c r="X21" s="13">
        <f t="shared" si="4"/>
        <v>221</v>
      </c>
      <c r="Y21" s="13">
        <f t="shared" si="4"/>
        <v>201</v>
      </c>
      <c r="Z21" s="13">
        <f t="shared" si="4"/>
        <v>205</v>
      </c>
      <c r="AA21" s="13">
        <f t="shared" si="4"/>
        <v>233</v>
      </c>
      <c r="AB21" s="13">
        <f t="shared" si="4"/>
        <v>219</v>
      </c>
      <c r="AC21" s="13">
        <f t="shared" si="4"/>
        <v>178</v>
      </c>
      <c r="AD21" s="13">
        <f t="shared" si="4"/>
        <v>157</v>
      </c>
      <c r="AE21" s="13">
        <f t="shared" si="4"/>
        <v>166</v>
      </c>
      <c r="AF21" s="13">
        <f t="shared" si="4"/>
        <v>172</v>
      </c>
      <c r="AG21" s="13">
        <f t="shared" si="4"/>
        <v>164</v>
      </c>
      <c r="AH21" s="13">
        <f t="shared" si="4"/>
        <v>142</v>
      </c>
      <c r="AI21" s="13">
        <f t="shared" si="4"/>
        <v>188</v>
      </c>
      <c r="AJ21" s="13">
        <f t="shared" si="4"/>
        <v>161</v>
      </c>
      <c r="AK21" s="13">
        <f t="shared" si="4"/>
        <v>172</v>
      </c>
      <c r="AL21" s="13">
        <f t="shared" si="4"/>
        <v>243</v>
      </c>
      <c r="AM21" s="13">
        <f t="shared" si="4"/>
        <v>205</v>
      </c>
      <c r="AN21" s="13">
        <f t="shared" si="4"/>
        <v>0</v>
      </c>
      <c r="AO21" s="13">
        <f t="shared" si="4"/>
        <v>0</v>
      </c>
      <c r="AP21" s="13">
        <f t="shared" si="4"/>
        <v>3</v>
      </c>
      <c r="AQ21" s="13">
        <f t="shared" si="4"/>
        <v>1</v>
      </c>
      <c r="AR21" s="13">
        <f t="shared" si="4"/>
        <v>1</v>
      </c>
      <c r="AS21" s="13">
        <f t="shared" si="4"/>
        <v>0</v>
      </c>
      <c r="AT21" s="13">
        <f t="shared" si="4"/>
        <v>2</v>
      </c>
      <c r="AU21" s="13">
        <f t="shared" si="4"/>
        <v>0</v>
      </c>
      <c r="AV21" s="13">
        <f t="shared" si="3"/>
        <v>6789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3.0</v>
      </c>
      <c r="I22" s="19">
        <v>1.0</v>
      </c>
      <c r="J22" s="19">
        <v>2.0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1.0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3.0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3.0</v>
      </c>
      <c r="S23" s="19">
        <v>5.0</v>
      </c>
      <c r="T23" s="19">
        <v>8.0</v>
      </c>
      <c r="U23" s="19">
        <v>2.0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3">
        <f t="shared" si="3"/>
        <v>22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4</v>
      </c>
      <c r="G24" s="13">
        <f t="shared" si="5"/>
        <v>0</v>
      </c>
      <c r="H24" s="13">
        <f t="shared" si="5"/>
        <v>3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4</v>
      </c>
      <c r="S24" s="13">
        <f t="shared" si="5"/>
        <v>5</v>
      </c>
      <c r="T24" s="13">
        <f t="shared" si="5"/>
        <v>9</v>
      </c>
      <c r="U24" s="13">
        <f t="shared" si="5"/>
        <v>3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4.0</v>
      </c>
      <c r="H25" s="19">
        <v>3.0</v>
      </c>
      <c r="I25" s="19">
        <v>2.0</v>
      </c>
      <c r="J25" s="19">
        <v>3.0</v>
      </c>
      <c r="K25" s="19">
        <v>2.0</v>
      </c>
      <c r="L25" s="19">
        <v>2.0</v>
      </c>
      <c r="M25" s="19">
        <v>20.0</v>
      </c>
      <c r="N25" s="19">
        <v>11.0</v>
      </c>
      <c r="O25" s="19">
        <v>1.0</v>
      </c>
      <c r="P25" s="19">
        <v>1.0</v>
      </c>
      <c r="Q25" s="19">
        <v>1.0</v>
      </c>
      <c r="R25" s="19">
        <v>2.0</v>
      </c>
      <c r="S25" s="19">
        <v>5.0</v>
      </c>
      <c r="T25" s="19">
        <v>2.0</v>
      </c>
      <c r="U25" s="19">
        <v>2.0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1.0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9">
        <v>0.0</v>
      </c>
      <c r="AK25" s="19">
        <v>0.0</v>
      </c>
      <c r="AL25" s="19">
        <v>3.0</v>
      </c>
      <c r="AM25" s="19">
        <v>3.0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6.0</v>
      </c>
      <c r="H26" s="19">
        <v>6.0</v>
      </c>
      <c r="I26" s="19">
        <v>4.0</v>
      </c>
      <c r="J26" s="19">
        <v>3.0</v>
      </c>
      <c r="K26" s="19">
        <v>3.0</v>
      </c>
      <c r="L26" s="19">
        <v>2.0</v>
      </c>
      <c r="M26" s="19">
        <v>1.0</v>
      </c>
      <c r="N26" s="19">
        <v>0.0</v>
      </c>
      <c r="O26" s="19">
        <v>4.0</v>
      </c>
      <c r="P26" s="19">
        <v>1.0</v>
      </c>
      <c r="Q26" s="19">
        <v>2.0</v>
      </c>
      <c r="R26" s="19">
        <v>3.0</v>
      </c>
      <c r="S26" s="19">
        <v>5.0</v>
      </c>
      <c r="T26" s="19">
        <v>0.0</v>
      </c>
      <c r="U26" s="19">
        <v>2.0</v>
      </c>
      <c r="V26" s="19">
        <v>0.0</v>
      </c>
      <c r="W26" s="19">
        <v>1.0</v>
      </c>
      <c r="X26" s="19">
        <v>0.0</v>
      </c>
      <c r="Y26" s="19">
        <v>3.0</v>
      </c>
      <c r="Z26" s="19">
        <v>0.0</v>
      </c>
      <c r="AA26" s="19">
        <v>2.0</v>
      </c>
      <c r="AB26" s="19">
        <v>0.0</v>
      </c>
      <c r="AC26" s="19">
        <v>1.0</v>
      </c>
      <c r="AD26" s="19">
        <v>1.0</v>
      </c>
      <c r="AE26" s="19">
        <v>4.0</v>
      </c>
      <c r="AF26" s="19">
        <v>1.0</v>
      </c>
      <c r="AG26" s="19">
        <v>2.0</v>
      </c>
      <c r="AH26" s="19">
        <v>3.0</v>
      </c>
      <c r="AI26" s="19">
        <v>0.0</v>
      </c>
      <c r="AJ26" s="19">
        <v>0.0</v>
      </c>
      <c r="AK26" s="19">
        <v>1.0</v>
      </c>
      <c r="AL26" s="19">
        <v>0.0</v>
      </c>
      <c r="AM26" s="19">
        <v>5.0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2</v>
      </c>
      <c r="F27" s="13">
        <f t="shared" si="6"/>
        <v>6</v>
      </c>
      <c r="G27" s="13">
        <f t="shared" si="6"/>
        <v>10</v>
      </c>
      <c r="H27" s="13">
        <f t="shared" si="6"/>
        <v>9</v>
      </c>
      <c r="I27" s="13">
        <f t="shared" si="6"/>
        <v>6</v>
      </c>
      <c r="J27" s="13">
        <f t="shared" si="6"/>
        <v>6</v>
      </c>
      <c r="K27" s="13">
        <f t="shared" si="6"/>
        <v>5</v>
      </c>
      <c r="L27" s="13">
        <f t="shared" si="6"/>
        <v>4</v>
      </c>
      <c r="M27" s="13">
        <f t="shared" si="6"/>
        <v>21</v>
      </c>
      <c r="N27" s="13">
        <f t="shared" si="6"/>
        <v>11</v>
      </c>
      <c r="O27" s="13">
        <f t="shared" si="6"/>
        <v>5</v>
      </c>
      <c r="P27" s="13">
        <f t="shared" si="6"/>
        <v>2</v>
      </c>
      <c r="Q27" s="13">
        <f t="shared" si="6"/>
        <v>3</v>
      </c>
      <c r="R27" s="13">
        <f t="shared" si="6"/>
        <v>5</v>
      </c>
      <c r="S27" s="13">
        <f t="shared" si="6"/>
        <v>10</v>
      </c>
      <c r="T27" s="13">
        <f t="shared" si="6"/>
        <v>2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4</v>
      </c>
      <c r="Z27" s="13">
        <f t="shared" si="6"/>
        <v>0</v>
      </c>
      <c r="AA27" s="13">
        <f t="shared" si="6"/>
        <v>2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4</v>
      </c>
      <c r="AF27" s="13">
        <f t="shared" si="6"/>
        <v>1</v>
      </c>
      <c r="AG27" s="13">
        <f t="shared" si="6"/>
        <v>2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1</v>
      </c>
      <c r="AL27" s="13">
        <f t="shared" si="6"/>
        <v>3</v>
      </c>
      <c r="AM27" s="13">
        <f t="shared" si="6"/>
        <v>8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3"/>
        <v>145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115</v>
      </c>
      <c r="F28" s="13">
        <f t="shared" si="7"/>
        <v>112</v>
      </c>
      <c r="G28" s="13">
        <f t="shared" si="7"/>
        <v>97</v>
      </c>
      <c r="H28" s="13">
        <f t="shared" si="7"/>
        <v>99</v>
      </c>
      <c r="I28" s="13">
        <f t="shared" si="7"/>
        <v>109</v>
      </c>
      <c r="J28" s="13">
        <f t="shared" si="7"/>
        <v>100</v>
      </c>
      <c r="K28" s="13">
        <f t="shared" si="7"/>
        <v>99</v>
      </c>
      <c r="L28" s="13">
        <f t="shared" si="7"/>
        <v>110</v>
      </c>
      <c r="M28" s="13">
        <f t="shared" si="7"/>
        <v>111</v>
      </c>
      <c r="N28" s="13">
        <f t="shared" si="7"/>
        <v>114</v>
      </c>
      <c r="O28" s="13">
        <f t="shared" si="7"/>
        <v>110</v>
      </c>
      <c r="P28" s="13">
        <f t="shared" si="7"/>
        <v>76</v>
      </c>
      <c r="Q28" s="13">
        <f t="shared" si="7"/>
        <v>69</v>
      </c>
      <c r="R28" s="13">
        <f t="shared" si="7"/>
        <v>100</v>
      </c>
      <c r="S28" s="13">
        <f t="shared" si="7"/>
        <v>76</v>
      </c>
      <c r="T28" s="13">
        <f t="shared" si="7"/>
        <v>117</v>
      </c>
      <c r="U28" s="13">
        <f t="shared" si="7"/>
        <v>106</v>
      </c>
      <c r="V28" s="13">
        <f t="shared" si="7"/>
        <v>101</v>
      </c>
      <c r="W28" s="13">
        <f t="shared" si="7"/>
        <v>105</v>
      </c>
      <c r="X28" s="13">
        <f t="shared" si="7"/>
        <v>108</v>
      </c>
      <c r="Y28" s="13">
        <f t="shared" si="7"/>
        <v>93</v>
      </c>
      <c r="Z28" s="13">
        <f t="shared" si="7"/>
        <v>104</v>
      </c>
      <c r="AA28" s="13">
        <f t="shared" si="7"/>
        <v>117</v>
      </c>
      <c r="AB28" s="13">
        <f t="shared" si="7"/>
        <v>102</v>
      </c>
      <c r="AC28" s="13">
        <f t="shared" si="7"/>
        <v>88</v>
      </c>
      <c r="AD28" s="13">
        <f t="shared" si="7"/>
        <v>80</v>
      </c>
      <c r="AE28" s="13">
        <f t="shared" si="7"/>
        <v>91</v>
      </c>
      <c r="AF28" s="13">
        <f t="shared" si="7"/>
        <v>77</v>
      </c>
      <c r="AG28" s="13">
        <f t="shared" si="7"/>
        <v>77</v>
      </c>
      <c r="AH28" s="13">
        <f t="shared" si="7"/>
        <v>82</v>
      </c>
      <c r="AI28" s="13">
        <f t="shared" si="7"/>
        <v>91</v>
      </c>
      <c r="AJ28" s="13">
        <f t="shared" si="7"/>
        <v>79</v>
      </c>
      <c r="AK28" s="13">
        <f t="shared" si="7"/>
        <v>84</v>
      </c>
      <c r="AL28" s="13">
        <f t="shared" si="7"/>
        <v>122</v>
      </c>
      <c r="AM28" s="13">
        <f t="shared" si="7"/>
        <v>101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1</v>
      </c>
      <c r="AS28" s="13">
        <f t="shared" si="7"/>
        <v>0</v>
      </c>
      <c r="AT28" s="13">
        <f t="shared" si="7"/>
        <v>2</v>
      </c>
      <c r="AU28" s="13">
        <f t="shared" si="7"/>
        <v>0</v>
      </c>
      <c r="AV28" s="13">
        <f t="shared" si="3"/>
        <v>3425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114</v>
      </c>
      <c r="F29" s="13">
        <f t="shared" si="8"/>
        <v>130</v>
      </c>
      <c r="G29" s="13">
        <f t="shared" si="8"/>
        <v>107</v>
      </c>
      <c r="H29" s="13">
        <f t="shared" si="8"/>
        <v>114</v>
      </c>
      <c r="I29" s="13">
        <f t="shared" si="8"/>
        <v>103</v>
      </c>
      <c r="J29" s="13">
        <f t="shared" si="8"/>
        <v>101</v>
      </c>
      <c r="K29" s="13">
        <f t="shared" si="8"/>
        <v>100</v>
      </c>
      <c r="L29" s="13">
        <f t="shared" si="8"/>
        <v>122</v>
      </c>
      <c r="M29" s="13">
        <f t="shared" si="8"/>
        <v>92</v>
      </c>
      <c r="N29" s="13">
        <f t="shared" si="8"/>
        <v>99</v>
      </c>
      <c r="O29" s="13">
        <f t="shared" si="8"/>
        <v>100</v>
      </c>
      <c r="P29" s="13">
        <f t="shared" si="8"/>
        <v>86</v>
      </c>
      <c r="Q29" s="13">
        <f t="shared" si="8"/>
        <v>85</v>
      </c>
      <c r="R29" s="13">
        <f t="shared" si="8"/>
        <v>106</v>
      </c>
      <c r="S29" s="13">
        <f t="shared" si="8"/>
        <v>85</v>
      </c>
      <c r="T29" s="13">
        <f t="shared" si="8"/>
        <v>112</v>
      </c>
      <c r="U29" s="13">
        <f t="shared" si="8"/>
        <v>106</v>
      </c>
      <c r="V29" s="13">
        <f t="shared" si="8"/>
        <v>107</v>
      </c>
      <c r="W29" s="13">
        <f t="shared" si="8"/>
        <v>105</v>
      </c>
      <c r="X29" s="13">
        <f t="shared" si="8"/>
        <v>113</v>
      </c>
      <c r="Y29" s="13">
        <f t="shared" si="8"/>
        <v>112</v>
      </c>
      <c r="Z29" s="13">
        <f t="shared" si="8"/>
        <v>101</v>
      </c>
      <c r="AA29" s="13">
        <f t="shared" si="8"/>
        <v>118</v>
      </c>
      <c r="AB29" s="13">
        <f t="shared" si="8"/>
        <v>118</v>
      </c>
      <c r="AC29" s="13">
        <f t="shared" si="8"/>
        <v>92</v>
      </c>
      <c r="AD29" s="13">
        <f t="shared" si="8"/>
        <v>79</v>
      </c>
      <c r="AE29" s="13">
        <f t="shared" si="8"/>
        <v>79</v>
      </c>
      <c r="AF29" s="13">
        <f t="shared" si="8"/>
        <v>96</v>
      </c>
      <c r="AG29" s="13">
        <f t="shared" si="8"/>
        <v>89</v>
      </c>
      <c r="AH29" s="13">
        <f t="shared" si="8"/>
        <v>64</v>
      </c>
      <c r="AI29" s="13">
        <f t="shared" si="8"/>
        <v>97</v>
      </c>
      <c r="AJ29" s="13">
        <f t="shared" si="8"/>
        <v>82</v>
      </c>
      <c r="AK29" s="13">
        <f t="shared" si="8"/>
        <v>89</v>
      </c>
      <c r="AL29" s="13">
        <f t="shared" si="8"/>
        <v>124</v>
      </c>
      <c r="AM29" s="13">
        <f t="shared" si="8"/>
        <v>112</v>
      </c>
      <c r="AN29" s="13">
        <f t="shared" si="8"/>
        <v>0</v>
      </c>
      <c r="AO29" s="13">
        <f t="shared" si="8"/>
        <v>0</v>
      </c>
      <c r="AP29" s="13">
        <f t="shared" si="8"/>
        <v>3</v>
      </c>
      <c r="AQ29" s="13">
        <f t="shared" si="8"/>
        <v>1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3"/>
        <v>3543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229</v>
      </c>
      <c r="F30" s="13">
        <f t="shared" si="9"/>
        <v>242</v>
      </c>
      <c r="G30" s="13">
        <f t="shared" si="9"/>
        <v>204</v>
      </c>
      <c r="H30" s="13">
        <f t="shared" si="9"/>
        <v>213</v>
      </c>
      <c r="I30" s="13">
        <f t="shared" si="9"/>
        <v>212</v>
      </c>
      <c r="J30" s="13">
        <f t="shared" si="9"/>
        <v>201</v>
      </c>
      <c r="K30" s="13">
        <f t="shared" si="9"/>
        <v>199</v>
      </c>
      <c r="L30" s="13">
        <f t="shared" si="9"/>
        <v>232</v>
      </c>
      <c r="M30" s="13">
        <f t="shared" si="9"/>
        <v>203</v>
      </c>
      <c r="N30" s="13">
        <f t="shared" si="9"/>
        <v>213</v>
      </c>
      <c r="O30" s="13">
        <f t="shared" si="9"/>
        <v>210</v>
      </c>
      <c r="P30" s="13">
        <f t="shared" si="9"/>
        <v>162</v>
      </c>
      <c r="Q30" s="13">
        <f t="shared" si="9"/>
        <v>154</v>
      </c>
      <c r="R30" s="13">
        <f t="shared" si="9"/>
        <v>206</v>
      </c>
      <c r="S30" s="13">
        <f t="shared" si="9"/>
        <v>161</v>
      </c>
      <c r="T30" s="13">
        <f t="shared" si="9"/>
        <v>229</v>
      </c>
      <c r="U30" s="13">
        <f t="shared" si="9"/>
        <v>212</v>
      </c>
      <c r="V30" s="13">
        <f t="shared" si="9"/>
        <v>208</v>
      </c>
      <c r="W30" s="13">
        <f t="shared" si="9"/>
        <v>210</v>
      </c>
      <c r="X30" s="13">
        <f t="shared" si="9"/>
        <v>221</v>
      </c>
      <c r="Y30" s="13">
        <f t="shared" si="9"/>
        <v>205</v>
      </c>
      <c r="Z30" s="13">
        <f t="shared" si="9"/>
        <v>205</v>
      </c>
      <c r="AA30" s="13">
        <f t="shared" si="9"/>
        <v>235</v>
      </c>
      <c r="AB30" s="13">
        <f t="shared" si="9"/>
        <v>220</v>
      </c>
      <c r="AC30" s="13">
        <f t="shared" si="9"/>
        <v>180</v>
      </c>
      <c r="AD30" s="13">
        <f t="shared" si="9"/>
        <v>159</v>
      </c>
      <c r="AE30" s="13">
        <f t="shared" si="9"/>
        <v>170</v>
      </c>
      <c r="AF30" s="13">
        <f t="shared" si="9"/>
        <v>173</v>
      </c>
      <c r="AG30" s="13">
        <f t="shared" si="9"/>
        <v>166</v>
      </c>
      <c r="AH30" s="13">
        <f t="shared" si="9"/>
        <v>146</v>
      </c>
      <c r="AI30" s="13">
        <f t="shared" si="9"/>
        <v>188</v>
      </c>
      <c r="AJ30" s="13">
        <f t="shared" si="9"/>
        <v>161</v>
      </c>
      <c r="AK30" s="13">
        <f t="shared" si="9"/>
        <v>173</v>
      </c>
      <c r="AL30" s="13">
        <f t="shared" si="9"/>
        <v>246</v>
      </c>
      <c r="AM30" s="13">
        <f t="shared" si="9"/>
        <v>213</v>
      </c>
      <c r="AN30" s="13">
        <f t="shared" si="9"/>
        <v>0</v>
      </c>
      <c r="AO30" s="13">
        <f t="shared" si="9"/>
        <v>0</v>
      </c>
      <c r="AP30" s="13">
        <f t="shared" si="9"/>
        <v>3</v>
      </c>
      <c r="AQ30" s="13">
        <f t="shared" si="9"/>
        <v>1</v>
      </c>
      <c r="AR30" s="13">
        <f t="shared" si="9"/>
        <v>1</v>
      </c>
      <c r="AS30" s="13">
        <f t="shared" si="9"/>
        <v>0</v>
      </c>
      <c r="AT30" s="13">
        <f t="shared" si="9"/>
        <v>2</v>
      </c>
      <c r="AU30" s="13">
        <f t="shared" si="9"/>
        <v>0</v>
      </c>
      <c r="AV30" s="13">
        <f t="shared" si="3"/>
        <v>6968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77"/>
    </row>
    <row r="33" ht="12.75" customHeight="1">
      <c r="A33" s="19">
        <v>1.0</v>
      </c>
      <c r="B33" s="20" t="s">
        <v>27</v>
      </c>
      <c r="C33" s="15"/>
      <c r="D33" s="16"/>
      <c r="E33" s="19">
        <v>305.0</v>
      </c>
      <c r="F33" s="19">
        <v>303.0</v>
      </c>
      <c r="G33" s="19">
        <v>269.0</v>
      </c>
      <c r="H33" s="19">
        <v>274.0</v>
      </c>
      <c r="I33" s="19">
        <v>294.0</v>
      </c>
      <c r="J33" s="19">
        <v>243.0</v>
      </c>
      <c r="K33" s="19">
        <v>244.0</v>
      </c>
      <c r="L33" s="19">
        <v>287.0</v>
      </c>
      <c r="M33" s="19">
        <v>269.0</v>
      </c>
      <c r="N33" s="19">
        <v>274.0</v>
      </c>
      <c r="O33" s="19">
        <v>269.0</v>
      </c>
      <c r="P33" s="19">
        <v>244.0</v>
      </c>
      <c r="Q33" s="19">
        <v>229.0</v>
      </c>
      <c r="R33" s="19">
        <v>266.0</v>
      </c>
      <c r="S33" s="19">
        <v>248.0</v>
      </c>
      <c r="T33" s="19">
        <v>268.0</v>
      </c>
      <c r="U33" s="19">
        <v>287.0</v>
      </c>
      <c r="V33" s="19">
        <v>279.0</v>
      </c>
      <c r="W33" s="19">
        <v>261.0</v>
      </c>
      <c r="X33" s="19">
        <v>285.0</v>
      </c>
      <c r="Y33" s="19">
        <v>273.0</v>
      </c>
      <c r="Z33" s="19">
        <v>301.0</v>
      </c>
      <c r="AA33" s="19">
        <v>302.0</v>
      </c>
      <c r="AB33" s="19">
        <v>300.0</v>
      </c>
      <c r="AC33" s="19">
        <v>240.0</v>
      </c>
      <c r="AD33" s="19">
        <v>235.0</v>
      </c>
      <c r="AE33" s="19">
        <v>227.0</v>
      </c>
      <c r="AF33" s="19">
        <v>226.0</v>
      </c>
      <c r="AG33" s="19">
        <v>216.0</v>
      </c>
      <c r="AH33" s="19">
        <v>201.0</v>
      </c>
      <c r="AI33" s="19">
        <v>238.0</v>
      </c>
      <c r="AJ33" s="19">
        <v>222.0</v>
      </c>
      <c r="AK33" s="19">
        <v>251.0</v>
      </c>
      <c r="AL33" s="19">
        <v>294.0</v>
      </c>
      <c r="AM33" s="19">
        <v>300.0</v>
      </c>
      <c r="AN33" s="19">
        <v>306.0</v>
      </c>
      <c r="AO33" s="19">
        <v>299.0</v>
      </c>
      <c r="AP33" s="19">
        <v>303.0</v>
      </c>
      <c r="AQ33" s="19">
        <v>191.0</v>
      </c>
      <c r="AR33" s="19">
        <v>307.0</v>
      </c>
      <c r="AS33" s="19">
        <v>304.0</v>
      </c>
      <c r="AT33" s="19">
        <v>304.0</v>
      </c>
      <c r="AU33" s="19">
        <v>67.0</v>
      </c>
      <c r="AV33" s="13">
        <f t="shared" ref="AV33:AV36" si="10">SUM(E33:AU33)</f>
        <v>11305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242.0</v>
      </c>
      <c r="G34" s="13">
        <v>204.0</v>
      </c>
      <c r="H34" s="13">
        <v>213.0</v>
      </c>
      <c r="I34" s="13">
        <v>212.0</v>
      </c>
      <c r="J34" s="13">
        <v>201.0</v>
      </c>
      <c r="K34" s="13">
        <v>199.0</v>
      </c>
      <c r="L34" s="13">
        <v>232.0</v>
      </c>
      <c r="M34" s="13">
        <v>203.0</v>
      </c>
      <c r="N34" s="13">
        <v>213.0</v>
      </c>
      <c r="O34" s="13">
        <v>210.0</v>
      </c>
      <c r="P34" s="13">
        <v>162.0</v>
      </c>
      <c r="Q34" s="13">
        <v>154.0</v>
      </c>
      <c r="R34" s="13">
        <v>206.0</v>
      </c>
      <c r="S34" s="13">
        <v>161.0</v>
      </c>
      <c r="T34" s="13">
        <v>229.0</v>
      </c>
      <c r="U34" s="13">
        <v>212.0</v>
      </c>
      <c r="V34" s="13">
        <v>208.0</v>
      </c>
      <c r="W34" s="13">
        <v>210.0</v>
      </c>
      <c r="X34" s="13">
        <v>221.0</v>
      </c>
      <c r="Y34" s="13">
        <v>205.0</v>
      </c>
      <c r="Z34" s="13">
        <v>205.0</v>
      </c>
      <c r="AA34" s="13">
        <v>235.0</v>
      </c>
      <c r="AB34" s="13">
        <v>220.0</v>
      </c>
      <c r="AC34" s="13">
        <v>180.0</v>
      </c>
      <c r="AD34" s="13">
        <v>159.0</v>
      </c>
      <c r="AE34" s="13">
        <v>170.0</v>
      </c>
      <c r="AF34" s="13">
        <v>173.0</v>
      </c>
      <c r="AG34" s="13">
        <v>166.0</v>
      </c>
      <c r="AH34" s="13">
        <v>146.0</v>
      </c>
      <c r="AI34" s="13">
        <v>188.0</v>
      </c>
      <c r="AJ34" s="13">
        <v>161.0</v>
      </c>
      <c r="AK34" s="13">
        <v>173.0</v>
      </c>
      <c r="AL34" s="13">
        <v>246.0</v>
      </c>
      <c r="AM34" s="13">
        <v>213.0</v>
      </c>
      <c r="AN34" s="13">
        <v>0.0</v>
      </c>
      <c r="AO34" s="13">
        <v>0.0</v>
      </c>
      <c r="AP34" s="13">
        <v>3.0</v>
      </c>
      <c r="AQ34" s="13">
        <v>1.0</v>
      </c>
      <c r="AR34" s="13">
        <v>1.0</v>
      </c>
      <c r="AS34" s="13">
        <v>0.0</v>
      </c>
      <c r="AT34" s="13">
        <v>2.0</v>
      </c>
      <c r="AU34" s="13">
        <v>0.0</v>
      </c>
      <c r="AV34" s="13">
        <f t="shared" si="10"/>
        <v>6968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15.0</v>
      </c>
      <c r="J35" s="19">
        <v>0.0</v>
      </c>
      <c r="K35" s="19">
        <v>3.0</v>
      </c>
      <c r="L35" s="19">
        <v>0.0</v>
      </c>
      <c r="M35" s="19">
        <v>5.0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60.0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1.0</v>
      </c>
      <c r="AJ35" s="19">
        <v>0.0</v>
      </c>
      <c r="AK35" s="19">
        <v>2.0</v>
      </c>
      <c r="AL35" s="19">
        <v>3.0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89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76</v>
      </c>
      <c r="F36" s="13">
        <f t="shared" si="11"/>
        <v>61</v>
      </c>
      <c r="G36" s="13">
        <f t="shared" si="11"/>
        <v>65</v>
      </c>
      <c r="H36" s="13">
        <f t="shared" si="11"/>
        <v>61</v>
      </c>
      <c r="I36" s="13">
        <f t="shared" si="11"/>
        <v>67</v>
      </c>
      <c r="J36" s="13">
        <f t="shared" si="11"/>
        <v>42</v>
      </c>
      <c r="K36" s="13">
        <f t="shared" si="11"/>
        <v>42</v>
      </c>
      <c r="L36" s="13">
        <f t="shared" si="11"/>
        <v>55</v>
      </c>
      <c r="M36" s="13">
        <f t="shared" si="11"/>
        <v>61</v>
      </c>
      <c r="N36" s="13">
        <f t="shared" si="11"/>
        <v>61</v>
      </c>
      <c r="O36" s="13">
        <f t="shared" si="11"/>
        <v>59</v>
      </c>
      <c r="P36" s="13">
        <f t="shared" si="11"/>
        <v>82</v>
      </c>
      <c r="Q36" s="13">
        <f t="shared" si="11"/>
        <v>75</v>
      </c>
      <c r="R36" s="13">
        <f t="shared" si="11"/>
        <v>60</v>
      </c>
      <c r="S36" s="13">
        <f t="shared" si="11"/>
        <v>87</v>
      </c>
      <c r="T36" s="13">
        <f t="shared" si="11"/>
        <v>39</v>
      </c>
      <c r="U36" s="13">
        <f t="shared" si="11"/>
        <v>75</v>
      </c>
      <c r="V36" s="13">
        <f t="shared" si="11"/>
        <v>71</v>
      </c>
      <c r="W36" s="13">
        <f t="shared" si="11"/>
        <v>51</v>
      </c>
      <c r="X36" s="13">
        <f t="shared" si="11"/>
        <v>64</v>
      </c>
      <c r="Y36" s="13">
        <f t="shared" si="11"/>
        <v>68</v>
      </c>
      <c r="Z36" s="13">
        <f t="shared" si="11"/>
        <v>96</v>
      </c>
      <c r="AA36" s="13">
        <f t="shared" si="11"/>
        <v>67</v>
      </c>
      <c r="AB36" s="13">
        <f t="shared" si="11"/>
        <v>80</v>
      </c>
      <c r="AC36" s="13">
        <f t="shared" si="11"/>
        <v>0</v>
      </c>
      <c r="AD36" s="13">
        <f t="shared" si="11"/>
        <v>76</v>
      </c>
      <c r="AE36" s="13">
        <f t="shared" si="11"/>
        <v>57</v>
      </c>
      <c r="AF36" s="13">
        <f t="shared" si="11"/>
        <v>53</v>
      </c>
      <c r="AG36" s="13">
        <f t="shared" si="11"/>
        <v>50</v>
      </c>
      <c r="AH36" s="13">
        <f t="shared" si="11"/>
        <v>55</v>
      </c>
      <c r="AI36" s="13">
        <f t="shared" si="11"/>
        <v>49</v>
      </c>
      <c r="AJ36" s="13">
        <f t="shared" si="11"/>
        <v>61</v>
      </c>
      <c r="AK36" s="13">
        <f t="shared" si="11"/>
        <v>76</v>
      </c>
      <c r="AL36" s="13">
        <f t="shared" si="11"/>
        <v>45</v>
      </c>
      <c r="AM36" s="13">
        <f t="shared" si="11"/>
        <v>87</v>
      </c>
      <c r="AN36" s="13">
        <f t="shared" si="11"/>
        <v>306</v>
      </c>
      <c r="AO36" s="13">
        <f t="shared" si="11"/>
        <v>299</v>
      </c>
      <c r="AP36" s="13">
        <f t="shared" si="11"/>
        <v>300</v>
      </c>
      <c r="AQ36" s="13">
        <f t="shared" si="11"/>
        <v>190</v>
      </c>
      <c r="AR36" s="13">
        <f t="shared" si="11"/>
        <v>306</v>
      </c>
      <c r="AS36" s="13">
        <f t="shared" si="11"/>
        <v>304</v>
      </c>
      <c r="AT36" s="13">
        <f t="shared" si="11"/>
        <v>302</v>
      </c>
      <c r="AU36" s="13">
        <f t="shared" si="11"/>
        <v>67</v>
      </c>
      <c r="AV36" s="13">
        <f t="shared" si="10"/>
        <v>4248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7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3">
        <f t="shared" ref="AV39:AV41" si="12">SUM(E39:AU39)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4.0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1.0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v>1.0</v>
      </c>
      <c r="F41" s="13">
        <v>0.0</v>
      </c>
      <c r="G41" s="13">
        <v>5.0</v>
      </c>
      <c r="H41" s="13">
        <v>0.0</v>
      </c>
      <c r="I41" s="13">
        <v>0.0</v>
      </c>
      <c r="J41" s="13">
        <v>0.0</v>
      </c>
      <c r="K41" s="13">
        <v>0.0</v>
      </c>
      <c r="L41" s="13">
        <v>2.0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f t="shared" ref="T41:AU41" si="13">SUM(T39:T40)</f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1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2.0</v>
      </c>
      <c r="G45" s="19">
        <v>3.0</v>
      </c>
      <c r="H45" s="19">
        <v>4.0</v>
      </c>
      <c r="I45" s="19">
        <v>3.0</v>
      </c>
      <c r="J45" s="19">
        <v>5.0</v>
      </c>
      <c r="K45" s="19">
        <v>1.0</v>
      </c>
      <c r="L45" s="19">
        <v>3.0</v>
      </c>
      <c r="M45" s="19">
        <v>3.0</v>
      </c>
      <c r="N45" s="19">
        <v>3.0</v>
      </c>
      <c r="O45" s="19">
        <v>4.0</v>
      </c>
      <c r="P45" s="19">
        <v>13.0</v>
      </c>
      <c r="Q45" s="19">
        <v>4.0</v>
      </c>
      <c r="R45" s="19">
        <v>7.0</v>
      </c>
      <c r="S45" s="19">
        <v>5.0</v>
      </c>
      <c r="T45" s="19">
        <v>24.0</v>
      </c>
      <c r="U45" s="19">
        <v>15.0</v>
      </c>
      <c r="V45" s="19">
        <v>27.0</v>
      </c>
      <c r="W45" s="19">
        <v>17.0</v>
      </c>
      <c r="X45" s="19">
        <v>11.0</v>
      </c>
      <c r="Y45" s="19">
        <v>28.0</v>
      </c>
      <c r="Z45" s="19">
        <v>17.0</v>
      </c>
      <c r="AA45" s="19">
        <v>17.0</v>
      </c>
      <c r="AB45" s="19">
        <v>8.0</v>
      </c>
      <c r="AC45" s="19">
        <v>3.0</v>
      </c>
      <c r="AD45" s="19">
        <v>6.0</v>
      </c>
      <c r="AE45" s="19">
        <v>8.0</v>
      </c>
      <c r="AF45" s="19">
        <v>7.0</v>
      </c>
      <c r="AG45" s="19">
        <v>2.0</v>
      </c>
      <c r="AH45" s="19">
        <v>2.0</v>
      </c>
      <c r="AI45" s="19">
        <v>2.0</v>
      </c>
      <c r="AJ45" s="19">
        <v>3.0</v>
      </c>
      <c r="AK45" s="19">
        <v>3.0</v>
      </c>
      <c r="AL45" s="19">
        <v>5.0</v>
      </c>
      <c r="AM45" s="19">
        <v>6.0</v>
      </c>
      <c r="AN45" s="19">
        <v>0.0</v>
      </c>
      <c r="AO45" s="19">
        <v>0.0</v>
      </c>
      <c r="AP45" s="19">
        <v>0.0</v>
      </c>
      <c r="AQ45" s="19">
        <v>0.0</v>
      </c>
      <c r="AR45" s="19">
        <v>0.0</v>
      </c>
      <c r="AS45" s="19">
        <v>0.0</v>
      </c>
      <c r="AT45" s="19">
        <v>0.0</v>
      </c>
      <c r="AU45" s="19">
        <v>0.0</v>
      </c>
      <c r="AV45" s="13">
        <f t="shared" ref="AV45:AV54" si="14">SUM(E45:AU45)</f>
        <v>272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11.0</v>
      </c>
      <c r="F46" s="19">
        <v>13.0</v>
      </c>
      <c r="G46" s="19">
        <v>7.0</v>
      </c>
      <c r="H46" s="19">
        <v>15.0</v>
      </c>
      <c r="I46" s="19">
        <v>21.0</v>
      </c>
      <c r="J46" s="19">
        <v>22.0</v>
      </c>
      <c r="K46" s="19">
        <v>13.0</v>
      </c>
      <c r="L46" s="19">
        <v>30.0</v>
      </c>
      <c r="M46" s="19">
        <v>31.0</v>
      </c>
      <c r="N46" s="19">
        <v>30.0</v>
      </c>
      <c r="O46" s="19">
        <v>72.0</v>
      </c>
      <c r="P46" s="19">
        <v>35.0</v>
      </c>
      <c r="Q46" s="19">
        <v>18.0</v>
      </c>
      <c r="R46" s="19">
        <v>135.0</v>
      </c>
      <c r="S46" s="19">
        <v>34.0</v>
      </c>
      <c r="T46" s="19">
        <v>124.0</v>
      </c>
      <c r="U46" s="19">
        <v>82.0</v>
      </c>
      <c r="V46" s="19">
        <v>139.0</v>
      </c>
      <c r="W46" s="19">
        <v>175.0</v>
      </c>
      <c r="X46" s="19">
        <v>163.0</v>
      </c>
      <c r="Y46" s="19">
        <v>116.0</v>
      </c>
      <c r="Z46" s="19">
        <v>76.0</v>
      </c>
      <c r="AA46" s="19">
        <v>71.0</v>
      </c>
      <c r="AB46" s="19">
        <v>55.0</v>
      </c>
      <c r="AC46" s="19">
        <v>15.0</v>
      </c>
      <c r="AD46" s="19">
        <v>15.0</v>
      </c>
      <c r="AE46" s="19">
        <v>32.0</v>
      </c>
      <c r="AF46" s="19">
        <v>22.0</v>
      </c>
      <c r="AG46" s="19">
        <v>6.0</v>
      </c>
      <c r="AH46" s="19">
        <v>26.0</v>
      </c>
      <c r="AI46" s="19">
        <v>0.0</v>
      </c>
      <c r="AJ46" s="19">
        <v>10.0</v>
      </c>
      <c r="AK46" s="19">
        <v>17.0</v>
      </c>
      <c r="AL46" s="19">
        <v>15.0</v>
      </c>
      <c r="AM46" s="19">
        <v>25.0</v>
      </c>
      <c r="AN46" s="19">
        <v>0.0</v>
      </c>
      <c r="AO46" s="19">
        <v>0.0</v>
      </c>
      <c r="AP46" s="19">
        <v>2.0</v>
      </c>
      <c r="AQ46" s="19">
        <v>1.0</v>
      </c>
      <c r="AR46" s="19">
        <v>1.0</v>
      </c>
      <c r="AS46" s="19">
        <v>0.0</v>
      </c>
      <c r="AT46" s="19">
        <v>2.0</v>
      </c>
      <c r="AU46" s="19">
        <v>0.0</v>
      </c>
      <c r="AV46" s="13">
        <f t="shared" si="14"/>
        <v>1677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0.0</v>
      </c>
      <c r="G47" s="19">
        <v>1.0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9">
        <v>9.0</v>
      </c>
      <c r="N47" s="19">
        <v>9.0</v>
      </c>
      <c r="O47" s="19">
        <v>0.0</v>
      </c>
      <c r="P47" s="19">
        <v>0.0</v>
      </c>
      <c r="Q47" s="19">
        <v>2.0</v>
      </c>
      <c r="R47" s="19">
        <v>1.0</v>
      </c>
      <c r="S47" s="19">
        <v>1.0</v>
      </c>
      <c r="T47" s="19">
        <v>3.0</v>
      </c>
      <c r="U47" s="19">
        <v>4.0</v>
      </c>
      <c r="V47" s="19">
        <v>1.0</v>
      </c>
      <c r="W47" s="19">
        <v>1.0</v>
      </c>
      <c r="X47" s="19">
        <v>2.0</v>
      </c>
      <c r="Y47" s="19">
        <v>4.0</v>
      </c>
      <c r="Z47" s="19">
        <v>4.0</v>
      </c>
      <c r="AA47" s="19">
        <v>0.0</v>
      </c>
      <c r="AB47" s="19">
        <v>1.0</v>
      </c>
      <c r="AC47" s="19">
        <v>0.0</v>
      </c>
      <c r="AD47" s="19">
        <v>1.0</v>
      </c>
      <c r="AE47" s="19">
        <v>0.0</v>
      </c>
      <c r="AF47" s="19">
        <v>1.0</v>
      </c>
      <c r="AG47" s="19">
        <v>0.0</v>
      </c>
      <c r="AH47" s="19">
        <v>0.0</v>
      </c>
      <c r="AI47" s="19">
        <v>0.0</v>
      </c>
      <c r="AJ47" s="19">
        <v>1.0</v>
      </c>
      <c r="AK47" s="19">
        <v>1.0</v>
      </c>
      <c r="AL47" s="19">
        <v>1.0</v>
      </c>
      <c r="AM47" s="19">
        <v>0.0</v>
      </c>
      <c r="AN47" s="19">
        <v>0.0</v>
      </c>
      <c r="AO47" s="19">
        <v>0.0</v>
      </c>
      <c r="AP47" s="19">
        <v>0.0</v>
      </c>
      <c r="AQ47" s="19">
        <v>0.0</v>
      </c>
      <c r="AR47" s="19">
        <v>0.0</v>
      </c>
      <c r="AS47" s="19">
        <v>0.0</v>
      </c>
      <c r="AT47" s="19">
        <v>0.0</v>
      </c>
      <c r="AU47" s="19">
        <v>0.0</v>
      </c>
      <c r="AV47" s="13">
        <f t="shared" si="14"/>
        <v>50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1.0</v>
      </c>
      <c r="O48" s="19">
        <v>1.0</v>
      </c>
      <c r="P48" s="19">
        <v>1.0</v>
      </c>
      <c r="Q48" s="19">
        <v>0.0</v>
      </c>
      <c r="R48" s="19">
        <v>1.0</v>
      </c>
      <c r="S48" s="19">
        <v>1.0</v>
      </c>
      <c r="T48" s="19">
        <v>2.0</v>
      </c>
      <c r="U48" s="19">
        <v>1.0</v>
      </c>
      <c r="V48" s="19">
        <v>0.0</v>
      </c>
      <c r="W48" s="19">
        <v>2.0</v>
      </c>
      <c r="X48" s="19">
        <v>2.0</v>
      </c>
      <c r="Y48" s="19">
        <v>0.0</v>
      </c>
      <c r="Z48" s="19">
        <v>2.0</v>
      </c>
      <c r="AA48" s="19">
        <v>1.0</v>
      </c>
      <c r="AB48" s="19">
        <v>1.0</v>
      </c>
      <c r="AC48" s="19">
        <v>1.0</v>
      </c>
      <c r="AD48" s="19">
        <v>0.0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9">
        <v>0.0</v>
      </c>
      <c r="AK48" s="19">
        <v>0.0</v>
      </c>
      <c r="AL48" s="19">
        <v>0.0</v>
      </c>
      <c r="AM48" s="19">
        <v>0.0</v>
      </c>
      <c r="AN48" s="19">
        <v>0.0</v>
      </c>
      <c r="AO48" s="19">
        <v>0.0</v>
      </c>
      <c r="AP48" s="19">
        <v>0.0</v>
      </c>
      <c r="AQ48" s="19">
        <v>0.0</v>
      </c>
      <c r="AR48" s="19">
        <v>0.0</v>
      </c>
      <c r="AS48" s="19">
        <v>0.0</v>
      </c>
      <c r="AT48" s="19">
        <v>0.0</v>
      </c>
      <c r="AU48" s="19">
        <v>0.0</v>
      </c>
      <c r="AV48" s="13">
        <f t="shared" si="14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3.0</v>
      </c>
      <c r="X49" s="19">
        <v>1.0</v>
      </c>
      <c r="Y49" s="19">
        <v>2.0</v>
      </c>
      <c r="Z49" s="19">
        <v>1.0</v>
      </c>
      <c r="AA49" s="19">
        <v>2.0</v>
      </c>
      <c r="AB49" s="19">
        <v>0.0</v>
      </c>
      <c r="AC49" s="19">
        <v>0.0</v>
      </c>
      <c r="AD49" s="19">
        <v>2.0</v>
      </c>
      <c r="AE49" s="19">
        <v>0.0</v>
      </c>
      <c r="AF49" s="19">
        <v>2.0</v>
      </c>
      <c r="AG49" s="19">
        <v>0.0</v>
      </c>
      <c r="AH49" s="19">
        <v>0.0</v>
      </c>
      <c r="AI49" s="19">
        <v>0.0</v>
      </c>
      <c r="AJ49" s="19">
        <v>0.0</v>
      </c>
      <c r="AK49" s="19">
        <v>0.0</v>
      </c>
      <c r="AL49" s="19">
        <v>1.0</v>
      </c>
      <c r="AM49" s="19">
        <v>0.0</v>
      </c>
      <c r="AN49" s="19">
        <v>0.0</v>
      </c>
      <c r="AO49" s="19">
        <v>0.0</v>
      </c>
      <c r="AP49" s="19">
        <v>0.0</v>
      </c>
      <c r="AQ49" s="19">
        <v>0.0</v>
      </c>
      <c r="AR49" s="19">
        <v>0.0</v>
      </c>
      <c r="AS49" s="19">
        <v>0.0</v>
      </c>
      <c r="AT49" s="19">
        <v>0.0</v>
      </c>
      <c r="AU49" s="19">
        <v>0.0</v>
      </c>
      <c r="AV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2.0</v>
      </c>
      <c r="S50" s="19">
        <v>0.0</v>
      </c>
      <c r="T50" s="19">
        <v>2.0</v>
      </c>
      <c r="U50" s="19">
        <v>1.0</v>
      </c>
      <c r="V50" s="19">
        <v>0.0</v>
      </c>
      <c r="W50" s="19">
        <v>1.0</v>
      </c>
      <c r="X50" s="19">
        <v>0.0</v>
      </c>
      <c r="Y50" s="19">
        <v>1.0</v>
      </c>
      <c r="Z50" s="19">
        <v>0.0</v>
      </c>
      <c r="AA50" s="19">
        <v>1.0</v>
      </c>
      <c r="AB50" s="19">
        <v>1.0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1.0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0.0</v>
      </c>
      <c r="AV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9">
        <v>1.0</v>
      </c>
      <c r="AC51" s="19">
        <v>0.0</v>
      </c>
      <c r="AD51" s="19">
        <v>1.0</v>
      </c>
      <c r="AE51" s="19">
        <v>0.0</v>
      </c>
      <c r="AF51" s="19">
        <v>0.0</v>
      </c>
      <c r="AG51" s="19">
        <v>0.0</v>
      </c>
      <c r="AH51" s="19">
        <v>0.0</v>
      </c>
      <c r="AI51" s="19">
        <v>1.0</v>
      </c>
      <c r="AJ51" s="19">
        <v>0.0</v>
      </c>
      <c r="AK51" s="19">
        <v>0.0</v>
      </c>
      <c r="AL51" s="19">
        <v>1.0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3">
        <f t="shared" si="14"/>
        <v>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1.0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V55" si="15">SUM(E45:E54)</f>
        <v>14</v>
      </c>
      <c r="F55" s="13">
        <f t="shared" si="15"/>
        <v>16</v>
      </c>
      <c r="G55" s="13">
        <f t="shared" si="15"/>
        <v>12</v>
      </c>
      <c r="H55" s="13">
        <f t="shared" si="15"/>
        <v>19</v>
      </c>
      <c r="I55" s="13">
        <f t="shared" si="15"/>
        <v>26</v>
      </c>
      <c r="J55" s="13">
        <f t="shared" si="15"/>
        <v>27</v>
      </c>
      <c r="K55" s="13">
        <f t="shared" si="15"/>
        <v>14</v>
      </c>
      <c r="L55" s="13">
        <f t="shared" si="15"/>
        <v>34</v>
      </c>
      <c r="M55" s="13">
        <f t="shared" si="15"/>
        <v>44</v>
      </c>
      <c r="N55" s="13">
        <f t="shared" si="15"/>
        <v>43</v>
      </c>
      <c r="O55" s="13">
        <f t="shared" si="15"/>
        <v>79</v>
      </c>
      <c r="P55" s="13">
        <f t="shared" si="15"/>
        <v>50</v>
      </c>
      <c r="Q55" s="13">
        <f t="shared" si="15"/>
        <v>25</v>
      </c>
      <c r="R55" s="13">
        <f t="shared" si="15"/>
        <v>147</v>
      </c>
      <c r="S55" s="13">
        <f t="shared" si="15"/>
        <v>41</v>
      </c>
      <c r="T55" s="13">
        <f t="shared" si="15"/>
        <v>155</v>
      </c>
      <c r="U55" s="13">
        <f t="shared" si="15"/>
        <v>103</v>
      </c>
      <c r="V55" s="13">
        <f t="shared" si="15"/>
        <v>167</v>
      </c>
      <c r="W55" s="13">
        <f t="shared" si="15"/>
        <v>199</v>
      </c>
      <c r="X55" s="13">
        <f t="shared" si="15"/>
        <v>179</v>
      </c>
      <c r="Y55" s="13">
        <f t="shared" si="15"/>
        <v>152</v>
      </c>
      <c r="Z55" s="13">
        <f t="shared" si="15"/>
        <v>101</v>
      </c>
      <c r="AA55" s="13">
        <f t="shared" si="15"/>
        <v>92</v>
      </c>
      <c r="AB55" s="13">
        <f t="shared" si="15"/>
        <v>67</v>
      </c>
      <c r="AC55" s="13">
        <f t="shared" si="15"/>
        <v>19</v>
      </c>
      <c r="AD55" s="13">
        <f t="shared" si="15"/>
        <v>25</v>
      </c>
      <c r="AE55" s="13">
        <f t="shared" si="15"/>
        <v>40</v>
      </c>
      <c r="AF55" s="13">
        <f t="shared" si="15"/>
        <v>33</v>
      </c>
      <c r="AG55" s="13">
        <f t="shared" si="15"/>
        <v>8</v>
      </c>
      <c r="AH55" s="13">
        <f t="shared" si="15"/>
        <v>28</v>
      </c>
      <c r="AI55" s="13">
        <f t="shared" si="15"/>
        <v>3</v>
      </c>
      <c r="AJ55" s="13">
        <f t="shared" si="15"/>
        <v>14</v>
      </c>
      <c r="AK55" s="13">
        <f t="shared" si="15"/>
        <v>21</v>
      </c>
      <c r="AL55" s="13">
        <f t="shared" si="15"/>
        <v>23</v>
      </c>
      <c r="AM55" s="13">
        <f t="shared" si="15"/>
        <v>32</v>
      </c>
      <c r="AN55" s="13">
        <f t="shared" si="15"/>
        <v>0</v>
      </c>
      <c r="AO55" s="13">
        <f t="shared" si="15"/>
        <v>0</v>
      </c>
      <c r="AP55" s="13">
        <f t="shared" si="15"/>
        <v>2</v>
      </c>
      <c r="AQ55" s="13">
        <f t="shared" si="15"/>
        <v>1</v>
      </c>
      <c r="AR55" s="13">
        <f t="shared" si="15"/>
        <v>1</v>
      </c>
      <c r="AS55" s="13">
        <f t="shared" si="15"/>
        <v>0</v>
      </c>
      <c r="AT55" s="13">
        <f t="shared" si="15"/>
        <v>2</v>
      </c>
      <c r="AU55" s="13">
        <f t="shared" si="15"/>
        <v>0</v>
      </c>
      <c r="AV55" s="13">
        <f t="shared" si="15"/>
        <v>2058</v>
      </c>
    </row>
    <row r="56" ht="12.75" customHeight="1">
      <c r="A56" s="45"/>
      <c r="B56" s="44"/>
      <c r="C56" s="44"/>
      <c r="D56" s="44"/>
      <c r="E56" s="44"/>
      <c r="A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2.0</v>
      </c>
      <c r="G57" s="19">
        <v>5.0</v>
      </c>
      <c r="H57" s="19">
        <v>6.0</v>
      </c>
      <c r="I57" s="19">
        <v>9.0</v>
      </c>
      <c r="J57" s="19">
        <v>3.0</v>
      </c>
      <c r="K57" s="19">
        <v>1.0</v>
      </c>
      <c r="L57" s="19">
        <v>8.0</v>
      </c>
      <c r="M57" s="19">
        <v>9.0</v>
      </c>
      <c r="N57" s="19">
        <v>12.0</v>
      </c>
      <c r="O57" s="19">
        <v>9.0</v>
      </c>
      <c r="P57" s="19">
        <v>4.0</v>
      </c>
      <c r="Q57" s="19">
        <v>9.0</v>
      </c>
      <c r="R57" s="19">
        <v>4.0</v>
      </c>
      <c r="S57" s="19">
        <v>4.0</v>
      </c>
      <c r="T57" s="19">
        <v>2.0</v>
      </c>
      <c r="U57" s="19">
        <v>2.0</v>
      </c>
      <c r="V57" s="19">
        <v>2.0</v>
      </c>
      <c r="W57" s="19">
        <v>0.0</v>
      </c>
      <c r="X57" s="19">
        <v>0.0</v>
      </c>
      <c r="Y57" s="19">
        <v>3.0</v>
      </c>
      <c r="Z57" s="19">
        <v>9.0</v>
      </c>
      <c r="AA57" s="19">
        <v>12.0</v>
      </c>
      <c r="AB57" s="19">
        <v>7.0</v>
      </c>
      <c r="AC57" s="19">
        <v>4.0</v>
      </c>
      <c r="AD57" s="19">
        <v>9.0</v>
      </c>
      <c r="AE57" s="19">
        <v>7.0</v>
      </c>
      <c r="AF57" s="19">
        <v>6.0</v>
      </c>
      <c r="AG57" s="19">
        <v>14.0</v>
      </c>
      <c r="AH57" s="19">
        <v>6.0</v>
      </c>
      <c r="AI57" s="19">
        <v>7.0</v>
      </c>
      <c r="AJ57" s="19">
        <v>12.0</v>
      </c>
      <c r="AK57" s="19">
        <v>10.0</v>
      </c>
      <c r="AL57" s="19">
        <v>7.0</v>
      </c>
      <c r="AM57" s="19">
        <v>10.0</v>
      </c>
      <c r="AN57" s="19">
        <v>0.0</v>
      </c>
      <c r="AO57" s="19">
        <v>0.0</v>
      </c>
      <c r="AP57" s="19">
        <v>0.0</v>
      </c>
      <c r="AQ57" s="19">
        <v>0.0</v>
      </c>
      <c r="AR57" s="19">
        <v>0.0</v>
      </c>
      <c r="AS57" s="19">
        <v>0.0</v>
      </c>
      <c r="AT57" s="19">
        <v>0.0</v>
      </c>
      <c r="AU57" s="19">
        <v>0.0</v>
      </c>
      <c r="AV57" s="13">
        <f t="shared" ref="AV57:AV66" si="16">SUM(E57:AU57)</f>
        <v>217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24.0</v>
      </c>
      <c r="F58" s="19">
        <v>15.0</v>
      </c>
      <c r="G58" s="19">
        <v>14.0</v>
      </c>
      <c r="H58" s="19">
        <v>33.0</v>
      </c>
      <c r="I58" s="19">
        <v>24.0</v>
      </c>
      <c r="J58" s="19">
        <v>10.0</v>
      </c>
      <c r="K58" s="19">
        <v>94.0</v>
      </c>
      <c r="L58" s="19">
        <v>24.0</v>
      </c>
      <c r="M58" s="19">
        <v>37.0</v>
      </c>
      <c r="N58" s="19">
        <v>35.0</v>
      </c>
      <c r="O58" s="19">
        <v>20.0</v>
      </c>
      <c r="P58" s="19">
        <v>33.0</v>
      </c>
      <c r="Q58" s="19">
        <v>27.0</v>
      </c>
      <c r="R58" s="19">
        <v>5.0</v>
      </c>
      <c r="S58" s="19">
        <v>24.0</v>
      </c>
      <c r="T58" s="19">
        <v>8.0</v>
      </c>
      <c r="U58" s="19">
        <v>18.0</v>
      </c>
      <c r="V58" s="19">
        <v>2.0</v>
      </c>
      <c r="W58" s="19">
        <v>4.0</v>
      </c>
      <c r="X58" s="19">
        <v>7.0</v>
      </c>
      <c r="Y58" s="19">
        <v>9.0</v>
      </c>
      <c r="Z58" s="19">
        <v>34.0</v>
      </c>
      <c r="AA58" s="19">
        <v>35.0</v>
      </c>
      <c r="AB58" s="19">
        <v>29.0</v>
      </c>
      <c r="AC58" s="19">
        <v>29.0</v>
      </c>
      <c r="AD58" s="19">
        <v>36.0</v>
      </c>
      <c r="AE58" s="19">
        <v>53.0</v>
      </c>
      <c r="AF58" s="19">
        <v>23.0</v>
      </c>
      <c r="AG58" s="19">
        <v>68.0</v>
      </c>
      <c r="AH58" s="19">
        <v>20.0</v>
      </c>
      <c r="AI58" s="19">
        <v>79.0</v>
      </c>
      <c r="AJ58" s="19">
        <v>29.0</v>
      </c>
      <c r="AK58" s="19">
        <v>20.0</v>
      </c>
      <c r="AL58" s="19">
        <v>65.0</v>
      </c>
      <c r="AM58" s="19">
        <v>42.0</v>
      </c>
      <c r="AN58" s="19">
        <v>0.0</v>
      </c>
      <c r="AO58" s="19">
        <v>0.0</v>
      </c>
      <c r="AP58" s="19">
        <v>0.0</v>
      </c>
      <c r="AQ58" s="19">
        <v>0.0</v>
      </c>
      <c r="AR58" s="19">
        <v>0.0</v>
      </c>
      <c r="AS58" s="19">
        <v>0.0</v>
      </c>
      <c r="AT58" s="19">
        <v>0.0</v>
      </c>
      <c r="AU58" s="19">
        <v>0.0</v>
      </c>
      <c r="AV58" s="13">
        <f t="shared" si="16"/>
        <v>1029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1.0</v>
      </c>
      <c r="G59" s="19">
        <v>1.0</v>
      </c>
      <c r="H59" s="19">
        <v>2.0</v>
      </c>
      <c r="I59" s="19">
        <v>2.0</v>
      </c>
      <c r="J59" s="19">
        <v>1.0</v>
      </c>
      <c r="K59" s="19">
        <v>4.0</v>
      </c>
      <c r="L59" s="19">
        <v>2.0</v>
      </c>
      <c r="M59" s="19">
        <v>3.0</v>
      </c>
      <c r="N59" s="19">
        <v>7.0</v>
      </c>
      <c r="O59" s="19">
        <v>2.0</v>
      </c>
      <c r="P59" s="19">
        <v>2.0</v>
      </c>
      <c r="Q59" s="19">
        <v>1.0</v>
      </c>
      <c r="R59" s="19">
        <v>0.0</v>
      </c>
      <c r="S59" s="19">
        <v>3.0</v>
      </c>
      <c r="T59" s="19">
        <v>1.0</v>
      </c>
      <c r="U59" s="19">
        <v>2.0</v>
      </c>
      <c r="V59" s="19">
        <v>0.0</v>
      </c>
      <c r="W59" s="19">
        <v>0.0</v>
      </c>
      <c r="X59" s="19">
        <v>1.0</v>
      </c>
      <c r="Y59" s="19">
        <v>1.0</v>
      </c>
      <c r="Z59" s="19">
        <v>2.0</v>
      </c>
      <c r="AA59" s="19">
        <v>4.0</v>
      </c>
      <c r="AB59" s="19">
        <v>5.0</v>
      </c>
      <c r="AC59" s="19">
        <v>34.0</v>
      </c>
      <c r="AD59" s="19">
        <v>19.0</v>
      </c>
      <c r="AE59" s="19">
        <v>0.0</v>
      </c>
      <c r="AF59" s="19">
        <v>4.0</v>
      </c>
      <c r="AG59" s="19">
        <v>2.0</v>
      </c>
      <c r="AH59" s="19">
        <v>3.0</v>
      </c>
      <c r="AI59" s="19">
        <v>8.0</v>
      </c>
      <c r="AJ59" s="19">
        <v>2.0</v>
      </c>
      <c r="AK59" s="19">
        <v>2.0</v>
      </c>
      <c r="AL59" s="19">
        <v>1.0</v>
      </c>
      <c r="AM59" s="19">
        <v>0.0</v>
      </c>
      <c r="AN59" s="19">
        <v>0.0</v>
      </c>
      <c r="AO59" s="19">
        <v>0.0</v>
      </c>
      <c r="AP59" s="19">
        <v>0.0</v>
      </c>
      <c r="AQ59" s="19">
        <v>0.0</v>
      </c>
      <c r="AR59" s="19">
        <v>0.0</v>
      </c>
      <c r="AS59" s="19">
        <v>0.0</v>
      </c>
      <c r="AT59" s="19">
        <v>0.0</v>
      </c>
      <c r="AU59" s="19">
        <v>0.0</v>
      </c>
      <c r="AV59" s="13">
        <f t="shared" si="16"/>
        <v>122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1.0</v>
      </c>
      <c r="J60" s="19">
        <v>0.0</v>
      </c>
      <c r="K60" s="19">
        <v>0.0</v>
      </c>
      <c r="L60" s="19">
        <v>1.0</v>
      </c>
      <c r="M60" s="19">
        <v>2.0</v>
      </c>
      <c r="N60" s="19">
        <v>0.0</v>
      </c>
      <c r="O60" s="19">
        <v>0.0</v>
      </c>
      <c r="P60" s="19">
        <v>0.0</v>
      </c>
      <c r="Q60" s="19">
        <v>0.0</v>
      </c>
      <c r="R60" s="19">
        <v>1.0</v>
      </c>
      <c r="S60" s="19">
        <v>2.0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1.0</v>
      </c>
      <c r="AA60" s="19">
        <v>0.0</v>
      </c>
      <c r="AB60" s="19">
        <v>1.0</v>
      </c>
      <c r="AC60" s="19">
        <v>0.0</v>
      </c>
      <c r="AD60" s="19">
        <v>0.0</v>
      </c>
      <c r="AE60" s="19">
        <v>1.0</v>
      </c>
      <c r="AF60" s="19">
        <v>0.0</v>
      </c>
      <c r="AG60" s="19">
        <v>0.0</v>
      </c>
      <c r="AH60" s="19">
        <v>0.0</v>
      </c>
      <c r="AI60" s="19">
        <v>1.0</v>
      </c>
      <c r="AJ60" s="19">
        <v>0.0</v>
      </c>
      <c r="AK60" s="19">
        <v>0.0</v>
      </c>
      <c r="AL60" s="19">
        <v>0.0</v>
      </c>
      <c r="AM60" s="19">
        <v>3.0</v>
      </c>
      <c r="AN60" s="19">
        <v>0.0</v>
      </c>
      <c r="AO60" s="19">
        <v>0.0</v>
      </c>
      <c r="AP60" s="19">
        <v>0.0</v>
      </c>
      <c r="AQ60" s="19">
        <v>0.0</v>
      </c>
      <c r="AR60" s="19">
        <v>0.0</v>
      </c>
      <c r="AS60" s="19">
        <v>0.0</v>
      </c>
      <c r="AT60" s="19">
        <v>0.0</v>
      </c>
      <c r="AU60" s="19">
        <v>0.0</v>
      </c>
      <c r="AV60" s="13">
        <f t="shared" si="16"/>
        <v>14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1.0</v>
      </c>
      <c r="H61" s="19">
        <v>3.0</v>
      </c>
      <c r="I61" s="19">
        <v>2.0</v>
      </c>
      <c r="J61" s="19">
        <v>0.0</v>
      </c>
      <c r="K61" s="19">
        <v>3.0</v>
      </c>
      <c r="L61" s="19">
        <v>1.0</v>
      </c>
      <c r="M61" s="19">
        <v>2.0</v>
      </c>
      <c r="N61" s="19">
        <v>4.0</v>
      </c>
      <c r="O61" s="19">
        <v>2.0</v>
      </c>
      <c r="P61" s="19">
        <v>0.0</v>
      </c>
      <c r="Q61" s="19">
        <v>3.0</v>
      </c>
      <c r="R61" s="19">
        <v>0.0</v>
      </c>
      <c r="S61" s="19">
        <v>2.0</v>
      </c>
      <c r="T61" s="19">
        <v>1.0</v>
      </c>
      <c r="U61" s="19">
        <v>2.0</v>
      </c>
      <c r="V61" s="19">
        <v>0.0</v>
      </c>
      <c r="W61" s="19">
        <v>0.0</v>
      </c>
      <c r="X61" s="19">
        <v>0.0</v>
      </c>
      <c r="Y61" s="19">
        <v>0.0</v>
      </c>
      <c r="Z61" s="19">
        <v>1.0</v>
      </c>
      <c r="AA61" s="19">
        <v>1.0</v>
      </c>
      <c r="AB61" s="19">
        <v>1.0</v>
      </c>
      <c r="AC61" s="19">
        <v>5.0</v>
      </c>
      <c r="AD61" s="19">
        <v>3.0</v>
      </c>
      <c r="AE61" s="19">
        <v>1.0</v>
      </c>
      <c r="AF61" s="19">
        <v>2.0</v>
      </c>
      <c r="AG61" s="19">
        <v>1.0</v>
      </c>
      <c r="AH61" s="19">
        <v>1.0</v>
      </c>
      <c r="AI61" s="19">
        <v>1.0</v>
      </c>
      <c r="AJ61" s="19">
        <v>0.0</v>
      </c>
      <c r="AK61" s="19">
        <v>0.0</v>
      </c>
      <c r="AL61" s="19">
        <v>3.0</v>
      </c>
      <c r="AM61" s="19">
        <v>0.0</v>
      </c>
      <c r="AN61" s="19">
        <v>0.0</v>
      </c>
      <c r="AO61" s="19">
        <v>0.0</v>
      </c>
      <c r="AP61" s="19">
        <v>0.0</v>
      </c>
      <c r="AQ61" s="19">
        <v>0.0</v>
      </c>
      <c r="AR61" s="19">
        <v>0.0</v>
      </c>
      <c r="AS61" s="19">
        <v>0.0</v>
      </c>
      <c r="AT61" s="19">
        <v>0.0</v>
      </c>
      <c r="AU61" s="19">
        <v>0.0</v>
      </c>
      <c r="AV61" s="13">
        <f t="shared" si="16"/>
        <v>47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2.0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1.0</v>
      </c>
      <c r="AH62" s="19">
        <v>0.0</v>
      </c>
      <c r="AI62" s="19">
        <v>0.0</v>
      </c>
      <c r="AJ62" s="19">
        <v>0.0</v>
      </c>
      <c r="AK62" s="19">
        <v>0.0</v>
      </c>
      <c r="AL62" s="19">
        <v>1.0</v>
      </c>
      <c r="AM62" s="19">
        <v>1.0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3">
        <f t="shared" si="16"/>
        <v>10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1.0</v>
      </c>
      <c r="Z63" s="19">
        <v>0.0</v>
      </c>
      <c r="AA63" s="19">
        <v>0.0</v>
      </c>
      <c r="AB63" s="19">
        <v>0.0</v>
      </c>
      <c r="AC63" s="19">
        <v>2.0</v>
      </c>
      <c r="AD63" s="19">
        <v>0.0</v>
      </c>
      <c r="AE63" s="19">
        <v>0.0</v>
      </c>
      <c r="AF63" s="19">
        <v>1.0</v>
      </c>
      <c r="AG63" s="19">
        <v>1.0</v>
      </c>
      <c r="AH63" s="19">
        <v>0.0</v>
      </c>
      <c r="AI63" s="19">
        <v>0.0</v>
      </c>
      <c r="AJ63" s="19">
        <v>0.0</v>
      </c>
      <c r="AK63" s="19">
        <v>0.0</v>
      </c>
      <c r="AL63" s="19">
        <v>1.0</v>
      </c>
      <c r="AM63" s="19">
        <v>1.0</v>
      </c>
      <c r="AN63" s="19">
        <v>0.0</v>
      </c>
      <c r="AO63" s="19">
        <v>0.0</v>
      </c>
      <c r="AP63" s="19">
        <v>0.0</v>
      </c>
      <c r="AQ63" s="19">
        <v>0.0</v>
      </c>
      <c r="AR63" s="19">
        <v>0.0</v>
      </c>
      <c r="AS63" s="19">
        <v>0.0</v>
      </c>
      <c r="AT63" s="19">
        <v>0.0</v>
      </c>
      <c r="AU63" s="19">
        <v>0.0</v>
      </c>
      <c r="AV63" s="13">
        <f t="shared" si="16"/>
        <v>10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1.0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0.0</v>
      </c>
      <c r="AL64" s="19">
        <v>1.0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0.0</v>
      </c>
      <c r="AS64" s="19">
        <v>0.0</v>
      </c>
      <c r="AT64" s="19">
        <v>0.0</v>
      </c>
      <c r="AU64" s="19">
        <v>0.0</v>
      </c>
      <c r="AV64" s="13">
        <f t="shared" si="16"/>
        <v>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V67" si="17">SUM(E57:E66)</f>
        <v>28</v>
      </c>
      <c r="F67" s="13">
        <f t="shared" si="17"/>
        <v>19</v>
      </c>
      <c r="G67" s="13">
        <f t="shared" si="17"/>
        <v>22</v>
      </c>
      <c r="H67" s="13">
        <f t="shared" si="17"/>
        <v>44</v>
      </c>
      <c r="I67" s="13">
        <f t="shared" si="17"/>
        <v>38</v>
      </c>
      <c r="J67" s="13">
        <f t="shared" si="17"/>
        <v>14</v>
      </c>
      <c r="K67" s="13">
        <f t="shared" si="17"/>
        <v>105</v>
      </c>
      <c r="L67" s="13">
        <f t="shared" si="17"/>
        <v>37</v>
      </c>
      <c r="M67" s="13">
        <f t="shared" si="17"/>
        <v>53</v>
      </c>
      <c r="N67" s="13">
        <f t="shared" si="17"/>
        <v>60</v>
      </c>
      <c r="O67" s="13">
        <f t="shared" si="17"/>
        <v>33</v>
      </c>
      <c r="P67" s="13">
        <f t="shared" si="17"/>
        <v>40</v>
      </c>
      <c r="Q67" s="13">
        <f t="shared" si="17"/>
        <v>42</v>
      </c>
      <c r="R67" s="13">
        <f t="shared" si="17"/>
        <v>10</v>
      </c>
      <c r="S67" s="13">
        <f t="shared" si="17"/>
        <v>36</v>
      </c>
      <c r="T67" s="13">
        <f t="shared" si="17"/>
        <v>12</v>
      </c>
      <c r="U67" s="13">
        <f t="shared" si="17"/>
        <v>25</v>
      </c>
      <c r="V67" s="13">
        <f t="shared" si="17"/>
        <v>4</v>
      </c>
      <c r="W67" s="13">
        <f t="shared" si="17"/>
        <v>4</v>
      </c>
      <c r="X67" s="13">
        <f t="shared" si="17"/>
        <v>9</v>
      </c>
      <c r="Y67" s="13">
        <f t="shared" si="17"/>
        <v>14</v>
      </c>
      <c r="Z67" s="13">
        <f t="shared" si="17"/>
        <v>47</v>
      </c>
      <c r="AA67" s="13">
        <f t="shared" si="17"/>
        <v>52</v>
      </c>
      <c r="AB67" s="13">
        <f t="shared" si="17"/>
        <v>44</v>
      </c>
      <c r="AC67" s="13">
        <f t="shared" si="17"/>
        <v>74</v>
      </c>
      <c r="AD67" s="13">
        <f t="shared" si="17"/>
        <v>67</v>
      </c>
      <c r="AE67" s="13">
        <f t="shared" si="17"/>
        <v>62</v>
      </c>
      <c r="AF67" s="13">
        <f t="shared" si="17"/>
        <v>36</v>
      </c>
      <c r="AG67" s="13">
        <f t="shared" si="17"/>
        <v>87</v>
      </c>
      <c r="AH67" s="13">
        <f t="shared" si="17"/>
        <v>30</v>
      </c>
      <c r="AI67" s="13">
        <f t="shared" si="17"/>
        <v>96</v>
      </c>
      <c r="AJ67" s="13">
        <f t="shared" si="17"/>
        <v>43</v>
      </c>
      <c r="AK67" s="13">
        <f t="shared" si="17"/>
        <v>32</v>
      </c>
      <c r="AL67" s="13">
        <f t="shared" si="17"/>
        <v>79</v>
      </c>
      <c r="AM67" s="13">
        <f t="shared" si="17"/>
        <v>57</v>
      </c>
      <c r="AN67" s="13">
        <f t="shared" si="17"/>
        <v>0</v>
      </c>
      <c r="AO67" s="13">
        <f t="shared" si="17"/>
        <v>0</v>
      </c>
      <c r="AP67" s="13">
        <f t="shared" si="17"/>
        <v>0</v>
      </c>
      <c r="AQ67" s="13">
        <f t="shared" si="17"/>
        <v>0</v>
      </c>
      <c r="AR67" s="13">
        <f t="shared" si="17"/>
        <v>0</v>
      </c>
      <c r="AS67" s="13">
        <f t="shared" si="17"/>
        <v>0</v>
      </c>
      <c r="AT67" s="13">
        <f t="shared" si="17"/>
        <v>0</v>
      </c>
      <c r="AU67" s="13">
        <f t="shared" si="17"/>
        <v>0</v>
      </c>
      <c r="AV67" s="13">
        <f t="shared" si="17"/>
        <v>1455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18.0</v>
      </c>
      <c r="F69" s="19">
        <v>22.0</v>
      </c>
      <c r="G69" s="19">
        <v>28.0</v>
      </c>
      <c r="H69" s="19">
        <v>15.0</v>
      </c>
      <c r="I69" s="19">
        <v>19.0</v>
      </c>
      <c r="J69" s="19">
        <v>25.0</v>
      </c>
      <c r="K69" s="19">
        <v>2.0</v>
      </c>
      <c r="L69" s="19">
        <v>14.0</v>
      </c>
      <c r="M69" s="19">
        <v>14.0</v>
      </c>
      <c r="N69" s="19">
        <v>12.0</v>
      </c>
      <c r="O69" s="19">
        <v>13.0</v>
      </c>
      <c r="P69" s="19">
        <v>9.0</v>
      </c>
      <c r="Q69" s="19">
        <v>5.0</v>
      </c>
      <c r="R69" s="19">
        <v>2.0</v>
      </c>
      <c r="S69" s="19">
        <v>10.0</v>
      </c>
      <c r="T69" s="19">
        <v>9.0</v>
      </c>
      <c r="U69" s="19">
        <v>7.0</v>
      </c>
      <c r="V69" s="19">
        <v>3.0</v>
      </c>
      <c r="W69" s="19">
        <v>0.0</v>
      </c>
      <c r="X69" s="19">
        <v>3.0</v>
      </c>
      <c r="Y69" s="19">
        <v>1.0</v>
      </c>
      <c r="Z69" s="19">
        <v>6.0</v>
      </c>
      <c r="AA69" s="19">
        <v>5.0</v>
      </c>
      <c r="AB69" s="19">
        <v>24.0</v>
      </c>
      <c r="AC69" s="19">
        <v>14.0</v>
      </c>
      <c r="AD69" s="19">
        <v>16.0</v>
      </c>
      <c r="AE69" s="19">
        <v>11.0</v>
      </c>
      <c r="AF69" s="19">
        <v>18.0</v>
      </c>
      <c r="AG69" s="19">
        <v>11.0</v>
      </c>
      <c r="AH69" s="19">
        <v>21.0</v>
      </c>
      <c r="AI69" s="19">
        <v>14.0</v>
      </c>
      <c r="AJ69" s="19">
        <v>18.0</v>
      </c>
      <c r="AK69" s="19">
        <v>13.0</v>
      </c>
      <c r="AL69" s="19">
        <v>9.0</v>
      </c>
      <c r="AM69" s="19">
        <v>14.0</v>
      </c>
      <c r="AN69" s="19">
        <v>0.0</v>
      </c>
      <c r="AO69" s="19">
        <v>0.0</v>
      </c>
      <c r="AP69" s="19">
        <v>0.0</v>
      </c>
      <c r="AQ69" s="19">
        <v>0.0</v>
      </c>
      <c r="AR69" s="19">
        <v>0.0</v>
      </c>
      <c r="AS69" s="19">
        <v>0.0</v>
      </c>
      <c r="AT69" s="19">
        <v>0.0</v>
      </c>
      <c r="AU69" s="19">
        <v>0.0</v>
      </c>
      <c r="AV69" s="13">
        <f t="shared" ref="AV69:AV78" si="18">SUM(E69:AU69)</f>
        <v>425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59.0</v>
      </c>
      <c r="F70" s="19">
        <v>80.0</v>
      </c>
      <c r="G70" s="19">
        <v>46.0</v>
      </c>
      <c r="H70" s="19">
        <v>67.0</v>
      </c>
      <c r="I70" s="19">
        <v>55.0</v>
      </c>
      <c r="J70" s="19">
        <v>102.0</v>
      </c>
      <c r="K70" s="19">
        <v>9.0</v>
      </c>
      <c r="L70" s="19">
        <v>8.0</v>
      </c>
      <c r="M70" s="19">
        <v>10.0</v>
      </c>
      <c r="N70" s="19">
        <v>16.0</v>
      </c>
      <c r="O70" s="19">
        <v>13.0</v>
      </c>
      <c r="P70" s="19">
        <v>3.0</v>
      </c>
      <c r="Q70" s="19">
        <v>16.0</v>
      </c>
      <c r="R70" s="19">
        <v>1.0</v>
      </c>
      <c r="S70" s="19">
        <v>4.0</v>
      </c>
      <c r="T70" s="19">
        <v>4.0</v>
      </c>
      <c r="U70" s="19">
        <v>5.0</v>
      </c>
      <c r="V70" s="19">
        <v>2.0</v>
      </c>
      <c r="W70" s="19">
        <v>2.0</v>
      </c>
      <c r="X70" s="19">
        <v>2.0</v>
      </c>
      <c r="Y70" s="19">
        <v>4.0</v>
      </c>
      <c r="Z70" s="19">
        <v>1.0</v>
      </c>
      <c r="AA70" s="19">
        <v>6.0</v>
      </c>
      <c r="AB70" s="19">
        <v>5.0</v>
      </c>
      <c r="AC70" s="19">
        <v>6.0</v>
      </c>
      <c r="AD70" s="19">
        <v>6.0</v>
      </c>
      <c r="AE70" s="19">
        <v>8.0</v>
      </c>
      <c r="AF70" s="19">
        <v>10.0</v>
      </c>
      <c r="AG70" s="19">
        <v>14.0</v>
      </c>
      <c r="AH70" s="19">
        <v>15.0</v>
      </c>
      <c r="AI70" s="19">
        <v>7.0</v>
      </c>
      <c r="AJ70" s="19">
        <v>17.0</v>
      </c>
      <c r="AK70" s="19">
        <v>10.0</v>
      </c>
      <c r="AL70" s="19">
        <v>35.0</v>
      </c>
      <c r="AM70" s="19">
        <v>2.0</v>
      </c>
      <c r="AN70" s="19">
        <v>0.0</v>
      </c>
      <c r="AO70" s="19">
        <v>0.0</v>
      </c>
      <c r="AP70" s="19">
        <v>0.0</v>
      </c>
      <c r="AQ70" s="19">
        <v>0.0</v>
      </c>
      <c r="AR70" s="19">
        <v>0.0</v>
      </c>
      <c r="AS70" s="19">
        <v>0.0</v>
      </c>
      <c r="AT70" s="19">
        <v>0.0</v>
      </c>
      <c r="AU70" s="19">
        <v>0.0</v>
      </c>
      <c r="AV70" s="13">
        <f t="shared" si="18"/>
        <v>650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5.0</v>
      </c>
      <c r="G71" s="19">
        <v>4.0</v>
      </c>
      <c r="H71" s="19">
        <v>2.0</v>
      </c>
      <c r="I71" s="19">
        <v>3.0</v>
      </c>
      <c r="J71" s="19">
        <v>0.0</v>
      </c>
      <c r="K71" s="19">
        <v>3.0</v>
      </c>
      <c r="L71" s="19">
        <v>3.0</v>
      </c>
      <c r="M71" s="19">
        <v>2.0</v>
      </c>
      <c r="N71" s="19">
        <v>6.0</v>
      </c>
      <c r="O71" s="19">
        <v>4.0</v>
      </c>
      <c r="P71" s="19">
        <v>5.0</v>
      </c>
      <c r="Q71" s="19">
        <v>6.0</v>
      </c>
      <c r="R71" s="19">
        <v>1.0</v>
      </c>
      <c r="S71" s="19">
        <v>2.0</v>
      </c>
      <c r="T71" s="19">
        <v>1.0</v>
      </c>
      <c r="U71" s="19">
        <v>4.0</v>
      </c>
      <c r="V71" s="19">
        <v>0.0</v>
      </c>
      <c r="W71" s="19">
        <v>0.0</v>
      </c>
      <c r="X71" s="19">
        <v>1.0</v>
      </c>
      <c r="Y71" s="19">
        <v>1.0</v>
      </c>
      <c r="Z71" s="19">
        <v>1.0</v>
      </c>
      <c r="AA71" s="19">
        <v>1.0</v>
      </c>
      <c r="AB71" s="19">
        <v>6.0</v>
      </c>
      <c r="AC71" s="19">
        <v>3.0</v>
      </c>
      <c r="AD71" s="19">
        <v>5.0</v>
      </c>
      <c r="AE71" s="19">
        <v>3.0</v>
      </c>
      <c r="AF71" s="19">
        <v>3.0</v>
      </c>
      <c r="AG71" s="19">
        <v>3.0</v>
      </c>
      <c r="AH71" s="19">
        <v>2.0</v>
      </c>
      <c r="AI71" s="19">
        <v>5.0</v>
      </c>
      <c r="AJ71" s="19">
        <v>5.0</v>
      </c>
      <c r="AK71" s="19">
        <v>2.0</v>
      </c>
      <c r="AL71" s="19">
        <v>2.0</v>
      </c>
      <c r="AM71" s="19">
        <v>5.0</v>
      </c>
      <c r="AN71" s="19">
        <v>0.0</v>
      </c>
      <c r="AO71" s="19">
        <v>0.0</v>
      </c>
      <c r="AP71" s="19">
        <v>0.0</v>
      </c>
      <c r="AQ71" s="19">
        <v>0.0</v>
      </c>
      <c r="AR71" s="19">
        <v>0.0</v>
      </c>
      <c r="AS71" s="19">
        <v>0.0</v>
      </c>
      <c r="AT71" s="19">
        <v>0.0</v>
      </c>
      <c r="AU71" s="19">
        <v>0.0</v>
      </c>
      <c r="AV71" s="13">
        <f t="shared" si="18"/>
        <v>101</v>
      </c>
    </row>
    <row r="72" ht="12.75" customHeight="1">
      <c r="A72" s="18"/>
      <c r="B72" s="55">
        <v>3.0</v>
      </c>
      <c r="C72" s="50" t="s">
        <v>59</v>
      </c>
      <c r="D72" s="60"/>
      <c r="E72" s="19">
        <v>6.0</v>
      </c>
      <c r="F72" s="19">
        <v>3.0</v>
      </c>
      <c r="G72" s="19">
        <v>2.0</v>
      </c>
      <c r="H72" s="19">
        <v>4.0</v>
      </c>
      <c r="I72" s="19">
        <v>3.0</v>
      </c>
      <c r="J72" s="19">
        <v>1.0</v>
      </c>
      <c r="K72" s="19">
        <v>37.0</v>
      </c>
      <c r="L72" s="19">
        <v>81.0</v>
      </c>
      <c r="M72" s="19">
        <v>16.0</v>
      </c>
      <c r="N72" s="19">
        <v>8.0</v>
      </c>
      <c r="O72" s="19">
        <v>4.0</v>
      </c>
      <c r="P72" s="19">
        <v>2.0</v>
      </c>
      <c r="Q72" s="19">
        <v>3.0</v>
      </c>
      <c r="R72" s="19">
        <v>1.0</v>
      </c>
      <c r="S72" s="19">
        <v>3.0</v>
      </c>
      <c r="T72" s="19">
        <v>4.0</v>
      </c>
      <c r="U72" s="19">
        <v>7.0</v>
      </c>
      <c r="V72" s="19">
        <v>2.0</v>
      </c>
      <c r="W72" s="19">
        <v>0.0</v>
      </c>
      <c r="X72" s="19">
        <v>0.0</v>
      </c>
      <c r="Y72" s="19">
        <v>3.0</v>
      </c>
      <c r="Z72" s="19">
        <v>2.0</v>
      </c>
      <c r="AA72" s="19">
        <v>2.0</v>
      </c>
      <c r="AB72" s="19">
        <v>11.0</v>
      </c>
      <c r="AC72" s="19">
        <v>4.0</v>
      </c>
      <c r="AD72" s="19">
        <v>2.0</v>
      </c>
      <c r="AE72" s="19">
        <v>3.0</v>
      </c>
      <c r="AF72" s="19">
        <v>4.0</v>
      </c>
      <c r="AG72" s="19">
        <v>9.0</v>
      </c>
      <c r="AH72" s="19">
        <v>7.0</v>
      </c>
      <c r="AI72" s="19">
        <v>37.0</v>
      </c>
      <c r="AJ72" s="19">
        <v>7.0</v>
      </c>
      <c r="AK72" s="19">
        <v>2.0</v>
      </c>
      <c r="AL72" s="19">
        <v>36.0</v>
      </c>
      <c r="AM72" s="19">
        <v>13.0</v>
      </c>
      <c r="AN72" s="19">
        <v>0.0</v>
      </c>
      <c r="AO72" s="19">
        <v>0.0</v>
      </c>
      <c r="AP72" s="19">
        <v>0.0</v>
      </c>
      <c r="AQ72" s="19">
        <v>0.0</v>
      </c>
      <c r="AR72" s="19">
        <v>0.0</v>
      </c>
      <c r="AS72" s="19">
        <v>0.0</v>
      </c>
      <c r="AT72" s="19">
        <v>0.0</v>
      </c>
      <c r="AU72" s="19">
        <v>0.0</v>
      </c>
      <c r="AV72" s="13">
        <f t="shared" si="18"/>
        <v>329</v>
      </c>
    </row>
    <row r="73" ht="12.75" customHeight="1">
      <c r="A73" s="18"/>
      <c r="B73" s="55">
        <v>4.0</v>
      </c>
      <c r="C73" s="50" t="s">
        <v>60</v>
      </c>
      <c r="D73" s="60"/>
      <c r="E73" s="19">
        <v>6.0</v>
      </c>
      <c r="F73" s="19">
        <v>4.0</v>
      </c>
      <c r="G73" s="19">
        <v>9.0</v>
      </c>
      <c r="H73" s="19">
        <v>7.0</v>
      </c>
      <c r="I73" s="19">
        <v>6.0</v>
      </c>
      <c r="J73" s="19">
        <v>5.0</v>
      </c>
      <c r="K73" s="19">
        <v>0.0</v>
      </c>
      <c r="L73" s="19">
        <v>6.0</v>
      </c>
      <c r="M73" s="19">
        <v>6.0</v>
      </c>
      <c r="N73" s="19">
        <v>6.0</v>
      </c>
      <c r="O73" s="19">
        <v>3.0</v>
      </c>
      <c r="P73" s="19">
        <v>11.0</v>
      </c>
      <c r="Q73" s="19">
        <v>3.0</v>
      </c>
      <c r="R73" s="19">
        <v>4.0</v>
      </c>
      <c r="S73" s="19">
        <v>3.0</v>
      </c>
      <c r="T73" s="19">
        <v>1.0</v>
      </c>
      <c r="U73" s="19">
        <v>6.0</v>
      </c>
      <c r="V73" s="19">
        <v>1.0</v>
      </c>
      <c r="W73" s="19">
        <v>0.0</v>
      </c>
      <c r="X73" s="19">
        <v>2.0</v>
      </c>
      <c r="Y73" s="19">
        <v>1.0</v>
      </c>
      <c r="Z73" s="19">
        <v>2.0</v>
      </c>
      <c r="AA73" s="19">
        <v>1.0</v>
      </c>
      <c r="AB73" s="19">
        <v>9.0</v>
      </c>
      <c r="AC73" s="19">
        <v>5.0</v>
      </c>
      <c r="AD73" s="19">
        <v>2.0</v>
      </c>
      <c r="AE73" s="19">
        <v>3.0</v>
      </c>
      <c r="AF73" s="19">
        <v>11.0</v>
      </c>
      <c r="AG73" s="19">
        <v>3.0</v>
      </c>
      <c r="AH73" s="19">
        <v>1.0</v>
      </c>
      <c r="AI73" s="19">
        <v>2.0</v>
      </c>
      <c r="AJ73" s="19">
        <v>5.0</v>
      </c>
      <c r="AK73" s="19">
        <v>3.0</v>
      </c>
      <c r="AL73" s="19">
        <v>0.0</v>
      </c>
      <c r="AM73" s="19">
        <v>6.0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0.0</v>
      </c>
      <c r="AT73" s="19">
        <v>0.0</v>
      </c>
      <c r="AU73" s="19">
        <v>0.0</v>
      </c>
      <c r="AV73" s="13">
        <f t="shared" si="18"/>
        <v>143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2.0</v>
      </c>
      <c r="G74" s="19">
        <v>3.0</v>
      </c>
      <c r="H74" s="19">
        <v>3.0</v>
      </c>
      <c r="I74" s="19">
        <v>4.0</v>
      </c>
      <c r="J74" s="19">
        <v>0.0</v>
      </c>
      <c r="K74" s="19">
        <v>1.0</v>
      </c>
      <c r="L74" s="19">
        <v>3.0</v>
      </c>
      <c r="M74" s="19">
        <v>2.0</v>
      </c>
      <c r="N74" s="19">
        <v>1.0</v>
      </c>
      <c r="O74" s="19">
        <v>2.0</v>
      </c>
      <c r="P74" s="19">
        <v>1.0</v>
      </c>
      <c r="Q74" s="19">
        <v>3.0</v>
      </c>
      <c r="R74" s="19">
        <v>0.0</v>
      </c>
      <c r="S74" s="19">
        <v>2.0</v>
      </c>
      <c r="T74" s="19">
        <v>2.0</v>
      </c>
      <c r="U74" s="19">
        <v>6.0</v>
      </c>
      <c r="V74" s="19">
        <v>2.0</v>
      </c>
      <c r="W74" s="19">
        <v>1.0</v>
      </c>
      <c r="X74" s="19">
        <v>1.0</v>
      </c>
      <c r="Y74" s="19">
        <v>8.0</v>
      </c>
      <c r="Z74" s="19">
        <v>3.0</v>
      </c>
      <c r="AA74" s="19">
        <v>6.0</v>
      </c>
      <c r="AB74" s="19">
        <v>3.0</v>
      </c>
      <c r="AC74" s="19">
        <v>4.0</v>
      </c>
      <c r="AD74" s="19">
        <v>3.0</v>
      </c>
      <c r="AE74" s="19">
        <v>0.0</v>
      </c>
      <c r="AF74" s="19">
        <v>2.0</v>
      </c>
      <c r="AG74" s="19">
        <v>2.0</v>
      </c>
      <c r="AH74" s="19">
        <v>1.0</v>
      </c>
      <c r="AI74" s="19">
        <v>0.0</v>
      </c>
      <c r="AJ74" s="19">
        <v>5.0</v>
      </c>
      <c r="AK74" s="19">
        <v>2.0</v>
      </c>
      <c r="AL74" s="19">
        <v>1.0</v>
      </c>
      <c r="AM74" s="19">
        <v>1.0</v>
      </c>
      <c r="AN74" s="19">
        <v>0.0</v>
      </c>
      <c r="AO74" s="19">
        <v>0.0</v>
      </c>
      <c r="AP74" s="19">
        <v>0.0</v>
      </c>
      <c r="AQ74" s="19">
        <v>0.0</v>
      </c>
      <c r="AR74" s="19">
        <v>0.0</v>
      </c>
      <c r="AS74" s="19">
        <v>0.0</v>
      </c>
      <c r="AT74" s="19">
        <v>0.0</v>
      </c>
      <c r="AU74" s="19">
        <v>0.0</v>
      </c>
      <c r="AV74" s="13">
        <f t="shared" si="18"/>
        <v>81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1.0</v>
      </c>
      <c r="G75" s="19">
        <v>0.0</v>
      </c>
      <c r="H75" s="19">
        <v>0.0</v>
      </c>
      <c r="I75" s="19">
        <v>0.0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3.0</v>
      </c>
      <c r="P75" s="19">
        <v>1.0</v>
      </c>
      <c r="Q75" s="19">
        <v>2.0</v>
      </c>
      <c r="R75" s="19">
        <v>1.0</v>
      </c>
      <c r="S75" s="19">
        <v>1.0</v>
      </c>
      <c r="T75" s="19">
        <v>2.0</v>
      </c>
      <c r="U75" s="19">
        <v>2.0</v>
      </c>
      <c r="V75" s="19">
        <v>0.0</v>
      </c>
      <c r="W75" s="19">
        <v>0.0</v>
      </c>
      <c r="X75" s="19">
        <v>1.0</v>
      </c>
      <c r="Y75" s="19">
        <v>0.0</v>
      </c>
      <c r="Z75" s="19">
        <v>1.0</v>
      </c>
      <c r="AA75" s="19">
        <v>2.0</v>
      </c>
      <c r="AB75" s="19">
        <v>2.0</v>
      </c>
      <c r="AC75" s="19">
        <v>0.0</v>
      </c>
      <c r="AD75" s="19">
        <v>1.0</v>
      </c>
      <c r="AE75" s="19">
        <v>2.0</v>
      </c>
      <c r="AF75" s="19">
        <v>1.0</v>
      </c>
      <c r="AG75" s="19">
        <v>0.0</v>
      </c>
      <c r="AH75" s="19">
        <v>1.0</v>
      </c>
      <c r="AI75" s="19">
        <v>0.0</v>
      </c>
      <c r="AJ75" s="19">
        <v>0.0</v>
      </c>
      <c r="AK75" s="19">
        <v>1.0</v>
      </c>
      <c r="AL75" s="19">
        <v>1.0</v>
      </c>
      <c r="AM75" s="19">
        <v>1.0</v>
      </c>
      <c r="AN75" s="19">
        <v>0.0</v>
      </c>
      <c r="AO75" s="19">
        <v>0.0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0.0</v>
      </c>
      <c r="AV75" s="13">
        <f t="shared" si="18"/>
        <v>33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3.0</v>
      </c>
      <c r="G76" s="19">
        <v>1.0</v>
      </c>
      <c r="H76" s="19">
        <v>0.0</v>
      </c>
      <c r="I76" s="19">
        <v>4.0</v>
      </c>
      <c r="J76" s="19">
        <v>1.0</v>
      </c>
      <c r="K76" s="19">
        <v>1.0</v>
      </c>
      <c r="L76" s="19">
        <v>0.0</v>
      </c>
      <c r="M76" s="19">
        <v>0.0</v>
      </c>
      <c r="N76" s="19">
        <v>2.0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2.0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2.0</v>
      </c>
      <c r="AC76" s="19">
        <v>3.0</v>
      </c>
      <c r="AD76" s="19">
        <v>2.0</v>
      </c>
      <c r="AE76" s="19">
        <v>2.0</v>
      </c>
      <c r="AF76" s="19">
        <v>0.0</v>
      </c>
      <c r="AG76" s="19">
        <v>8.0</v>
      </c>
      <c r="AH76" s="19">
        <v>0.0</v>
      </c>
      <c r="AI76" s="19">
        <v>0.0</v>
      </c>
      <c r="AJ76" s="19">
        <v>2.0</v>
      </c>
      <c r="AK76" s="19">
        <v>0.0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9">
        <v>0.0</v>
      </c>
      <c r="AT76" s="19">
        <v>0.0</v>
      </c>
      <c r="AU76" s="19">
        <v>0.0</v>
      </c>
      <c r="AV76" s="13">
        <f t="shared" si="18"/>
        <v>35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V79" si="19">SUM(E69:E78)</f>
        <v>95</v>
      </c>
      <c r="F79" s="13">
        <f t="shared" si="19"/>
        <v>120</v>
      </c>
      <c r="G79" s="13">
        <f t="shared" si="19"/>
        <v>93</v>
      </c>
      <c r="H79" s="13">
        <f t="shared" si="19"/>
        <v>98</v>
      </c>
      <c r="I79" s="13">
        <f t="shared" si="19"/>
        <v>94</v>
      </c>
      <c r="J79" s="13">
        <f t="shared" si="19"/>
        <v>135</v>
      </c>
      <c r="K79" s="13">
        <f t="shared" si="19"/>
        <v>54</v>
      </c>
      <c r="L79" s="13">
        <f t="shared" si="19"/>
        <v>116</v>
      </c>
      <c r="M79" s="13">
        <f t="shared" si="19"/>
        <v>51</v>
      </c>
      <c r="N79" s="13">
        <f t="shared" si="19"/>
        <v>52</v>
      </c>
      <c r="O79" s="13">
        <f t="shared" si="19"/>
        <v>42</v>
      </c>
      <c r="P79" s="13">
        <f t="shared" si="19"/>
        <v>32</v>
      </c>
      <c r="Q79" s="13">
        <f t="shared" si="19"/>
        <v>38</v>
      </c>
      <c r="R79" s="13">
        <f t="shared" si="19"/>
        <v>10</v>
      </c>
      <c r="S79" s="13">
        <f t="shared" si="19"/>
        <v>25</v>
      </c>
      <c r="T79" s="13">
        <f t="shared" si="19"/>
        <v>25</v>
      </c>
      <c r="U79" s="13">
        <f t="shared" si="19"/>
        <v>37</v>
      </c>
      <c r="V79" s="13">
        <f t="shared" si="19"/>
        <v>10</v>
      </c>
      <c r="W79" s="13">
        <f t="shared" si="19"/>
        <v>3</v>
      </c>
      <c r="X79" s="13">
        <f t="shared" si="19"/>
        <v>10</v>
      </c>
      <c r="Y79" s="13">
        <f t="shared" si="19"/>
        <v>18</v>
      </c>
      <c r="Z79" s="13">
        <f t="shared" si="19"/>
        <v>16</v>
      </c>
      <c r="AA79" s="13">
        <f t="shared" si="19"/>
        <v>23</v>
      </c>
      <c r="AB79" s="13">
        <f t="shared" si="19"/>
        <v>62</v>
      </c>
      <c r="AC79" s="13">
        <f t="shared" si="19"/>
        <v>39</v>
      </c>
      <c r="AD79" s="13">
        <f t="shared" si="19"/>
        <v>37</v>
      </c>
      <c r="AE79" s="13">
        <f t="shared" si="19"/>
        <v>32</v>
      </c>
      <c r="AF79" s="13">
        <f t="shared" si="19"/>
        <v>49</v>
      </c>
      <c r="AG79" s="13">
        <f t="shared" si="19"/>
        <v>50</v>
      </c>
      <c r="AH79" s="13">
        <f t="shared" si="19"/>
        <v>48</v>
      </c>
      <c r="AI79" s="13">
        <f t="shared" si="19"/>
        <v>65</v>
      </c>
      <c r="AJ79" s="13">
        <f t="shared" si="19"/>
        <v>59</v>
      </c>
      <c r="AK79" s="13">
        <f t="shared" si="19"/>
        <v>33</v>
      </c>
      <c r="AL79" s="13">
        <f t="shared" si="19"/>
        <v>84</v>
      </c>
      <c r="AM79" s="13">
        <f t="shared" si="19"/>
        <v>42</v>
      </c>
      <c r="AN79" s="13">
        <f t="shared" si="19"/>
        <v>0</v>
      </c>
      <c r="AO79" s="13">
        <f t="shared" si="19"/>
        <v>0</v>
      </c>
      <c r="AP79" s="13">
        <f t="shared" si="19"/>
        <v>0</v>
      </c>
      <c r="AQ79" s="13">
        <f t="shared" si="19"/>
        <v>0</v>
      </c>
      <c r="AR79" s="13">
        <f t="shared" si="19"/>
        <v>0</v>
      </c>
      <c r="AS79" s="13">
        <f t="shared" si="19"/>
        <v>0</v>
      </c>
      <c r="AT79" s="13">
        <f t="shared" si="19"/>
        <v>0</v>
      </c>
      <c r="AU79" s="13">
        <f t="shared" si="19"/>
        <v>0</v>
      </c>
      <c r="AV79" s="13">
        <f t="shared" si="19"/>
        <v>1797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8.0</v>
      </c>
      <c r="F81" s="19">
        <v>7.0</v>
      </c>
      <c r="G81" s="19">
        <v>9.0</v>
      </c>
      <c r="H81" s="19">
        <v>4.0</v>
      </c>
      <c r="I81" s="19">
        <v>6.0</v>
      </c>
      <c r="J81" s="19">
        <v>1.0</v>
      </c>
      <c r="K81" s="19">
        <v>1.0</v>
      </c>
      <c r="L81" s="19">
        <v>3.0</v>
      </c>
      <c r="M81" s="19">
        <v>4.0</v>
      </c>
      <c r="N81" s="19">
        <v>4.0</v>
      </c>
      <c r="O81" s="19">
        <v>3.0</v>
      </c>
      <c r="P81" s="19">
        <v>3.0</v>
      </c>
      <c r="Q81" s="19">
        <v>3.0</v>
      </c>
      <c r="R81" s="19">
        <v>3.0</v>
      </c>
      <c r="S81" s="19">
        <v>9.0</v>
      </c>
      <c r="T81" s="19">
        <v>3.0</v>
      </c>
      <c r="U81" s="19">
        <v>4.0</v>
      </c>
      <c r="V81" s="19">
        <v>0.0</v>
      </c>
      <c r="W81" s="19">
        <v>0.0</v>
      </c>
      <c r="X81" s="19">
        <v>1.0</v>
      </c>
      <c r="Y81" s="19">
        <v>0.0</v>
      </c>
      <c r="Z81" s="19">
        <v>1.0</v>
      </c>
      <c r="AA81" s="19">
        <v>3.0</v>
      </c>
      <c r="AB81" s="19">
        <v>2.0</v>
      </c>
      <c r="AC81" s="19">
        <v>3.0</v>
      </c>
      <c r="AD81" s="19">
        <v>1.0</v>
      </c>
      <c r="AE81" s="19">
        <v>0.0</v>
      </c>
      <c r="AF81" s="19">
        <v>3.0</v>
      </c>
      <c r="AG81" s="19">
        <v>3.0</v>
      </c>
      <c r="AH81" s="19">
        <v>1.0</v>
      </c>
      <c r="AI81" s="19">
        <v>3.0</v>
      </c>
      <c r="AJ81" s="19">
        <v>6.0</v>
      </c>
      <c r="AK81" s="19">
        <v>2.0</v>
      </c>
      <c r="AL81" s="19">
        <v>3.0</v>
      </c>
      <c r="AM81" s="19">
        <v>3.0</v>
      </c>
      <c r="AN81" s="19">
        <v>0.0</v>
      </c>
      <c r="AO81" s="19">
        <v>0.0</v>
      </c>
      <c r="AP81" s="19">
        <v>0.0</v>
      </c>
      <c r="AQ81" s="19">
        <v>0.0</v>
      </c>
      <c r="AR81" s="19">
        <v>0.0</v>
      </c>
      <c r="AS81" s="19">
        <v>0.0</v>
      </c>
      <c r="AT81" s="19">
        <v>0.0</v>
      </c>
      <c r="AU81" s="19">
        <v>0.0</v>
      </c>
      <c r="AV81" s="13">
        <f t="shared" ref="AV81:AV90" si="20">SUM(E81:AU81)</f>
        <v>110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30.0</v>
      </c>
      <c r="F82" s="19">
        <v>25.0</v>
      </c>
      <c r="G82" s="19">
        <v>7.0</v>
      </c>
      <c r="H82" s="19">
        <v>13.0</v>
      </c>
      <c r="I82" s="19">
        <v>12.0</v>
      </c>
      <c r="J82" s="19">
        <v>1.0</v>
      </c>
      <c r="K82" s="19">
        <v>8.0</v>
      </c>
      <c r="L82" s="19">
        <v>0.0</v>
      </c>
      <c r="M82" s="19">
        <v>2.0</v>
      </c>
      <c r="N82" s="19">
        <v>0.0</v>
      </c>
      <c r="O82" s="19">
        <v>0.0</v>
      </c>
      <c r="P82" s="19">
        <v>0.0</v>
      </c>
      <c r="Q82" s="19">
        <v>0.0</v>
      </c>
      <c r="R82" s="19">
        <v>1.0</v>
      </c>
      <c r="S82" s="19">
        <v>8.0</v>
      </c>
      <c r="T82" s="19">
        <v>8.0</v>
      </c>
      <c r="U82" s="19">
        <v>4.0</v>
      </c>
      <c r="V82" s="19">
        <v>1.0</v>
      </c>
      <c r="W82" s="19">
        <v>0.0</v>
      </c>
      <c r="X82" s="19">
        <v>0.0</v>
      </c>
      <c r="Y82" s="19">
        <v>1.0</v>
      </c>
      <c r="Z82" s="19">
        <v>3.0</v>
      </c>
      <c r="AA82" s="19">
        <v>5.0</v>
      </c>
      <c r="AB82" s="19">
        <v>5.0</v>
      </c>
      <c r="AC82" s="19">
        <v>1.0</v>
      </c>
      <c r="AD82" s="19">
        <v>0.0</v>
      </c>
      <c r="AE82" s="19">
        <v>0.0</v>
      </c>
      <c r="AF82" s="19">
        <v>7.0</v>
      </c>
      <c r="AG82" s="19">
        <v>2.0</v>
      </c>
      <c r="AH82" s="19">
        <v>2.0</v>
      </c>
      <c r="AI82" s="19">
        <v>11.0</v>
      </c>
      <c r="AJ82" s="19">
        <v>3.0</v>
      </c>
      <c r="AK82" s="19">
        <v>1.0</v>
      </c>
      <c r="AL82" s="19">
        <v>1.0</v>
      </c>
      <c r="AM82" s="19">
        <v>2.0</v>
      </c>
      <c r="AN82" s="19">
        <v>0.0</v>
      </c>
      <c r="AO82" s="19">
        <v>0.0</v>
      </c>
      <c r="AP82" s="19">
        <v>0.0</v>
      </c>
      <c r="AQ82" s="19">
        <v>0.0</v>
      </c>
      <c r="AR82" s="19">
        <v>0.0</v>
      </c>
      <c r="AS82" s="19">
        <v>0.0</v>
      </c>
      <c r="AT82" s="19">
        <v>0.0</v>
      </c>
      <c r="AU82" s="19">
        <v>0.0</v>
      </c>
      <c r="AV82" s="13">
        <f t="shared" si="20"/>
        <v>164</v>
      </c>
    </row>
    <row r="83" ht="12.75" customHeight="1">
      <c r="A83" s="18"/>
      <c r="B83" s="55">
        <v>2.0</v>
      </c>
      <c r="C83" s="50" t="s">
        <v>66</v>
      </c>
      <c r="D83" s="60"/>
      <c r="E83" s="19">
        <v>5.0</v>
      </c>
      <c r="F83" s="19">
        <v>11.0</v>
      </c>
      <c r="G83" s="19">
        <v>3.0</v>
      </c>
      <c r="H83" s="19">
        <v>2.0</v>
      </c>
      <c r="I83" s="19">
        <v>2.0</v>
      </c>
      <c r="J83" s="19">
        <v>2.0</v>
      </c>
      <c r="K83" s="19">
        <v>0.0</v>
      </c>
      <c r="L83" s="19">
        <v>2.0</v>
      </c>
      <c r="M83" s="19">
        <v>3.0</v>
      </c>
      <c r="N83" s="19">
        <v>4.0</v>
      </c>
      <c r="O83" s="19">
        <v>1.0</v>
      </c>
      <c r="P83" s="19">
        <v>2.0</v>
      </c>
      <c r="Q83" s="19">
        <v>4.0</v>
      </c>
      <c r="R83" s="19">
        <v>1.0</v>
      </c>
      <c r="S83" s="19">
        <v>2.0</v>
      </c>
      <c r="T83" s="19">
        <v>0.0</v>
      </c>
      <c r="U83" s="19">
        <v>2.0</v>
      </c>
      <c r="V83" s="19">
        <v>1.0</v>
      </c>
      <c r="W83" s="19">
        <v>0.0</v>
      </c>
      <c r="X83" s="19">
        <v>0.0</v>
      </c>
      <c r="Y83" s="19">
        <v>0.0</v>
      </c>
      <c r="Z83" s="19">
        <v>0.0</v>
      </c>
      <c r="AA83" s="19">
        <v>2.0</v>
      </c>
      <c r="AB83" s="19">
        <v>1.0</v>
      </c>
      <c r="AC83" s="19">
        <v>5.0</v>
      </c>
      <c r="AD83" s="19">
        <v>0.0</v>
      </c>
      <c r="AE83" s="19">
        <v>2.0</v>
      </c>
      <c r="AF83" s="19">
        <v>4.0</v>
      </c>
      <c r="AG83" s="19">
        <v>1.0</v>
      </c>
      <c r="AH83" s="19">
        <v>8.0</v>
      </c>
      <c r="AI83" s="19">
        <v>2.0</v>
      </c>
      <c r="AJ83" s="19">
        <v>3.0</v>
      </c>
      <c r="AK83" s="19">
        <v>1.0</v>
      </c>
      <c r="AL83" s="19">
        <v>2.0</v>
      </c>
      <c r="AM83" s="19">
        <v>4.0</v>
      </c>
      <c r="AN83" s="19">
        <v>0.0</v>
      </c>
      <c r="AO83" s="19">
        <v>0.0</v>
      </c>
      <c r="AP83" s="19">
        <v>0.0</v>
      </c>
      <c r="AQ83" s="19">
        <v>0.0</v>
      </c>
      <c r="AR83" s="19">
        <v>0.0</v>
      </c>
      <c r="AS83" s="19">
        <v>0.0</v>
      </c>
      <c r="AT83" s="19">
        <v>0.0</v>
      </c>
      <c r="AU83" s="19">
        <v>0.0</v>
      </c>
      <c r="AV83" s="13">
        <f t="shared" si="20"/>
        <v>82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1.0</v>
      </c>
      <c r="N84" s="19">
        <v>1.0</v>
      </c>
      <c r="O84" s="19">
        <v>0.0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1.0</v>
      </c>
      <c r="AC84" s="19">
        <v>0.0</v>
      </c>
      <c r="AD84" s="19">
        <v>1.0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1.0</v>
      </c>
      <c r="AM84" s="19">
        <v>1.0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0.0</v>
      </c>
      <c r="AU84" s="19">
        <v>0.0</v>
      </c>
      <c r="AV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1.0</v>
      </c>
      <c r="G85" s="19">
        <v>0.0</v>
      </c>
      <c r="H85" s="19">
        <v>1.0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2.0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1.0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0.0</v>
      </c>
      <c r="AV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2.0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2.0</v>
      </c>
      <c r="O86" s="19">
        <v>0.0</v>
      </c>
      <c r="P86" s="19">
        <v>0.0</v>
      </c>
      <c r="Q86" s="19">
        <v>1.0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1.0</v>
      </c>
      <c r="AK86" s="19">
        <v>0.0</v>
      </c>
      <c r="AL86" s="19">
        <v>0.0</v>
      </c>
      <c r="AM86" s="19">
        <v>2.0</v>
      </c>
      <c r="AN86" s="19">
        <v>0.0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0.0</v>
      </c>
      <c r="AU86" s="19">
        <v>0.0</v>
      </c>
      <c r="AV86" s="13">
        <f t="shared" si="20"/>
        <v>11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1.0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V91" si="21">SUM(E81:E90)</f>
        <v>47</v>
      </c>
      <c r="F91" s="13">
        <f t="shared" si="21"/>
        <v>44</v>
      </c>
      <c r="G91" s="13">
        <f t="shared" si="21"/>
        <v>21</v>
      </c>
      <c r="H91" s="13">
        <f t="shared" si="21"/>
        <v>21</v>
      </c>
      <c r="I91" s="13">
        <f t="shared" si="21"/>
        <v>21</v>
      </c>
      <c r="J91" s="13">
        <f t="shared" si="21"/>
        <v>4</v>
      </c>
      <c r="K91" s="13">
        <f t="shared" si="21"/>
        <v>9</v>
      </c>
      <c r="L91" s="13">
        <f t="shared" si="21"/>
        <v>6</v>
      </c>
      <c r="M91" s="13">
        <f t="shared" si="21"/>
        <v>12</v>
      </c>
      <c r="N91" s="13">
        <f t="shared" si="21"/>
        <v>12</v>
      </c>
      <c r="O91" s="13">
        <f t="shared" si="21"/>
        <v>4</v>
      </c>
      <c r="P91" s="13">
        <f t="shared" si="21"/>
        <v>7</v>
      </c>
      <c r="Q91" s="13">
        <f t="shared" si="21"/>
        <v>10</v>
      </c>
      <c r="R91" s="13">
        <f t="shared" si="21"/>
        <v>5</v>
      </c>
      <c r="S91" s="13">
        <f t="shared" si="21"/>
        <v>19</v>
      </c>
      <c r="T91" s="13">
        <f t="shared" si="21"/>
        <v>11</v>
      </c>
      <c r="U91" s="13">
        <f t="shared" si="21"/>
        <v>11</v>
      </c>
      <c r="V91" s="13">
        <f t="shared" si="21"/>
        <v>2</v>
      </c>
      <c r="W91" s="13">
        <f t="shared" si="21"/>
        <v>0</v>
      </c>
      <c r="X91" s="13">
        <f t="shared" si="21"/>
        <v>1</v>
      </c>
      <c r="Y91" s="13">
        <f t="shared" si="21"/>
        <v>1</v>
      </c>
      <c r="Z91" s="13">
        <f t="shared" si="21"/>
        <v>4</v>
      </c>
      <c r="AA91" s="13">
        <f t="shared" si="21"/>
        <v>10</v>
      </c>
      <c r="AB91" s="13">
        <f t="shared" si="21"/>
        <v>9</v>
      </c>
      <c r="AC91" s="13">
        <f t="shared" si="21"/>
        <v>9</v>
      </c>
      <c r="AD91" s="13">
        <f t="shared" si="21"/>
        <v>3</v>
      </c>
      <c r="AE91" s="13">
        <f t="shared" si="21"/>
        <v>2</v>
      </c>
      <c r="AF91" s="13">
        <f t="shared" si="21"/>
        <v>15</v>
      </c>
      <c r="AG91" s="13">
        <f t="shared" si="21"/>
        <v>6</v>
      </c>
      <c r="AH91" s="13">
        <f t="shared" si="21"/>
        <v>11</v>
      </c>
      <c r="AI91" s="13">
        <f t="shared" si="21"/>
        <v>16</v>
      </c>
      <c r="AJ91" s="13">
        <f t="shared" si="21"/>
        <v>13</v>
      </c>
      <c r="AK91" s="13">
        <f t="shared" si="21"/>
        <v>4</v>
      </c>
      <c r="AL91" s="13">
        <f t="shared" si="21"/>
        <v>7</v>
      </c>
      <c r="AM91" s="13">
        <f t="shared" si="21"/>
        <v>13</v>
      </c>
      <c r="AN91" s="13">
        <f t="shared" si="21"/>
        <v>0</v>
      </c>
      <c r="AO91" s="13">
        <f t="shared" si="21"/>
        <v>0</v>
      </c>
      <c r="AP91" s="13">
        <f t="shared" si="21"/>
        <v>0</v>
      </c>
      <c r="AQ91" s="13">
        <f t="shared" si="21"/>
        <v>0</v>
      </c>
      <c r="AR91" s="13">
        <f t="shared" si="21"/>
        <v>0</v>
      </c>
      <c r="AS91" s="13">
        <f t="shared" si="21"/>
        <v>0</v>
      </c>
      <c r="AT91" s="13">
        <f t="shared" si="21"/>
        <v>0</v>
      </c>
      <c r="AU91" s="13">
        <f t="shared" si="21"/>
        <v>0</v>
      </c>
      <c r="AV91" s="13">
        <f t="shared" si="21"/>
        <v>390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1.0</v>
      </c>
      <c r="I93" s="19">
        <v>1.0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3.0</v>
      </c>
      <c r="P93" s="19">
        <v>0.0</v>
      </c>
      <c r="Q93" s="19">
        <v>0.0</v>
      </c>
      <c r="R93" s="19">
        <v>0.0</v>
      </c>
      <c r="S93" s="19">
        <v>0.0</v>
      </c>
      <c r="T93" s="19">
        <v>1.0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2.0</v>
      </c>
      <c r="AE93" s="19">
        <v>0.0</v>
      </c>
      <c r="AF93" s="19">
        <v>0.0</v>
      </c>
      <c r="AG93" s="19">
        <v>0.0</v>
      </c>
      <c r="AH93" s="19">
        <v>0.0</v>
      </c>
      <c r="AI93" s="19">
        <v>0.0</v>
      </c>
      <c r="AJ93" s="19">
        <v>0.0</v>
      </c>
      <c r="AK93" s="19">
        <v>3.0</v>
      </c>
      <c r="AL93" s="19">
        <v>4.0</v>
      </c>
      <c r="AM93" s="19">
        <v>3.0</v>
      </c>
      <c r="AN93" s="19">
        <v>0.0</v>
      </c>
      <c r="AO93" s="19">
        <v>0.0</v>
      </c>
      <c r="AP93" s="19">
        <v>0.0</v>
      </c>
      <c r="AQ93" s="19">
        <v>0.0</v>
      </c>
      <c r="AR93" s="19">
        <v>0.0</v>
      </c>
      <c r="AS93" s="19">
        <v>0.0</v>
      </c>
      <c r="AT93" s="19">
        <v>0.0</v>
      </c>
      <c r="AU93" s="19">
        <v>0.0</v>
      </c>
      <c r="AV93" s="13">
        <f t="shared" ref="AV93:AV102" si="22">SUM(E93:AU93)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0.0</v>
      </c>
      <c r="G94" s="19">
        <v>1.0</v>
      </c>
      <c r="H94" s="19">
        <v>1.0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1.0</v>
      </c>
      <c r="P94" s="19">
        <v>9.0</v>
      </c>
      <c r="Q94" s="19">
        <v>0.0</v>
      </c>
      <c r="R94" s="19">
        <v>0.0</v>
      </c>
      <c r="S94" s="19">
        <v>0.0</v>
      </c>
      <c r="T94" s="19">
        <v>0.0</v>
      </c>
      <c r="U94" s="19">
        <v>0.0</v>
      </c>
      <c r="V94" s="19">
        <v>1.0</v>
      </c>
      <c r="W94" s="19">
        <v>0.0</v>
      </c>
      <c r="X94" s="19">
        <v>0.0</v>
      </c>
      <c r="Y94" s="19">
        <v>1.0</v>
      </c>
      <c r="Z94" s="19">
        <v>0.0</v>
      </c>
      <c r="AA94" s="19">
        <v>11.0</v>
      </c>
      <c r="AB94" s="19">
        <v>1.0</v>
      </c>
      <c r="AC94" s="19">
        <v>1.0</v>
      </c>
      <c r="AD94" s="19">
        <v>0.0</v>
      </c>
      <c r="AE94" s="19">
        <v>3.0</v>
      </c>
      <c r="AF94" s="19">
        <v>0.0</v>
      </c>
      <c r="AG94" s="19">
        <v>0.0</v>
      </c>
      <c r="AH94" s="19">
        <v>0.0</v>
      </c>
      <c r="AI94" s="19">
        <v>0.0</v>
      </c>
      <c r="AJ94" s="19">
        <v>5.0</v>
      </c>
      <c r="AK94" s="19">
        <v>6.0</v>
      </c>
      <c r="AL94" s="19">
        <v>14.0</v>
      </c>
      <c r="AM94" s="19">
        <v>12.0</v>
      </c>
      <c r="AN94" s="19">
        <v>0.0</v>
      </c>
      <c r="AO94" s="19">
        <v>0.0</v>
      </c>
      <c r="AP94" s="19">
        <v>0.0</v>
      </c>
      <c r="AQ94" s="19">
        <v>0.0</v>
      </c>
      <c r="AR94" s="19">
        <v>0.0</v>
      </c>
      <c r="AS94" s="19">
        <v>0.0</v>
      </c>
      <c r="AT94" s="19">
        <v>0.0</v>
      </c>
      <c r="AU94" s="19">
        <v>0.0</v>
      </c>
      <c r="AV94" s="13">
        <f t="shared" si="22"/>
        <v>69</v>
      </c>
    </row>
    <row r="95" ht="12.75" customHeight="1">
      <c r="A95" s="18"/>
      <c r="B95" s="55">
        <v>2.0</v>
      </c>
      <c r="C95" s="50" t="s">
        <v>75</v>
      </c>
      <c r="D95" s="60"/>
      <c r="E95" s="19">
        <v>3.0</v>
      </c>
      <c r="F95" s="19">
        <v>18.0</v>
      </c>
      <c r="G95" s="19">
        <v>2.0</v>
      </c>
      <c r="H95" s="19">
        <v>2.0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0.0</v>
      </c>
      <c r="V95" s="19">
        <v>4.0</v>
      </c>
      <c r="W95" s="19">
        <v>0.0</v>
      </c>
      <c r="X95" s="19">
        <v>0.0</v>
      </c>
      <c r="Y95" s="19">
        <v>1.0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2.0</v>
      </c>
      <c r="AL95" s="19">
        <v>0.0</v>
      </c>
      <c r="AM95" s="19">
        <v>3.0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3">
        <f t="shared" si="22"/>
        <v>37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1.0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1.0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0.0</v>
      </c>
      <c r="AV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1.0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1.0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V103" si="23">SUM(E93:E102)</f>
        <v>7</v>
      </c>
      <c r="F103" s="13">
        <f t="shared" si="23"/>
        <v>18</v>
      </c>
      <c r="G103" s="13">
        <f t="shared" si="23"/>
        <v>3</v>
      </c>
      <c r="H103" s="13">
        <f t="shared" si="23"/>
        <v>4</v>
      </c>
      <c r="I103" s="13">
        <f t="shared" si="23"/>
        <v>1</v>
      </c>
      <c r="J103" s="13">
        <f t="shared" si="23"/>
        <v>0</v>
      </c>
      <c r="K103" s="13">
        <f t="shared" si="23"/>
        <v>0</v>
      </c>
      <c r="L103" s="13">
        <f t="shared" si="23"/>
        <v>1</v>
      </c>
      <c r="M103" s="13">
        <f t="shared" si="23"/>
        <v>0</v>
      </c>
      <c r="N103" s="13">
        <f t="shared" si="23"/>
        <v>0</v>
      </c>
      <c r="O103" s="13">
        <f t="shared" si="23"/>
        <v>4</v>
      </c>
      <c r="P103" s="13">
        <f t="shared" si="23"/>
        <v>9</v>
      </c>
      <c r="Q103" s="13">
        <f t="shared" si="23"/>
        <v>1</v>
      </c>
      <c r="R103" s="13">
        <f t="shared" si="23"/>
        <v>0</v>
      </c>
      <c r="S103" s="13">
        <f t="shared" si="23"/>
        <v>2</v>
      </c>
      <c r="T103" s="13">
        <f t="shared" si="23"/>
        <v>1</v>
      </c>
      <c r="U103" s="13">
        <f t="shared" si="23"/>
        <v>0</v>
      </c>
      <c r="V103" s="13">
        <f t="shared" si="23"/>
        <v>5</v>
      </c>
      <c r="W103" s="13">
        <f t="shared" si="23"/>
        <v>0</v>
      </c>
      <c r="X103" s="13">
        <f t="shared" si="23"/>
        <v>0</v>
      </c>
      <c r="Y103" s="13">
        <f t="shared" si="23"/>
        <v>2</v>
      </c>
      <c r="Z103" s="13">
        <f t="shared" si="23"/>
        <v>0</v>
      </c>
      <c r="AA103" s="13">
        <f t="shared" si="23"/>
        <v>11</v>
      </c>
      <c r="AB103" s="13">
        <f t="shared" si="23"/>
        <v>1</v>
      </c>
      <c r="AC103" s="13">
        <f t="shared" si="23"/>
        <v>1</v>
      </c>
      <c r="AD103" s="13">
        <f t="shared" si="23"/>
        <v>2</v>
      </c>
      <c r="AE103" s="13">
        <f t="shared" si="23"/>
        <v>5</v>
      </c>
      <c r="AF103" s="13">
        <f t="shared" si="23"/>
        <v>0</v>
      </c>
      <c r="AG103" s="13">
        <f t="shared" si="23"/>
        <v>0</v>
      </c>
      <c r="AH103" s="13">
        <f t="shared" si="23"/>
        <v>0</v>
      </c>
      <c r="AI103" s="13">
        <f t="shared" si="23"/>
        <v>0</v>
      </c>
      <c r="AJ103" s="13">
        <f t="shared" si="23"/>
        <v>5</v>
      </c>
      <c r="AK103" s="13">
        <f t="shared" si="23"/>
        <v>11</v>
      </c>
      <c r="AL103" s="13">
        <f t="shared" si="23"/>
        <v>18</v>
      </c>
      <c r="AM103" s="13">
        <f t="shared" si="23"/>
        <v>20</v>
      </c>
      <c r="AN103" s="13">
        <f t="shared" si="23"/>
        <v>0</v>
      </c>
      <c r="AO103" s="13">
        <f t="shared" si="23"/>
        <v>0</v>
      </c>
      <c r="AP103" s="13">
        <f t="shared" si="23"/>
        <v>0</v>
      </c>
      <c r="AQ103" s="13">
        <f t="shared" si="23"/>
        <v>0</v>
      </c>
      <c r="AR103" s="13">
        <f t="shared" si="23"/>
        <v>0</v>
      </c>
      <c r="AS103" s="13">
        <f t="shared" si="23"/>
        <v>0</v>
      </c>
      <c r="AT103" s="13">
        <f t="shared" si="23"/>
        <v>0</v>
      </c>
      <c r="AU103" s="13">
        <f t="shared" si="23"/>
        <v>0</v>
      </c>
      <c r="AV103" s="13">
        <f t="shared" si="23"/>
        <v>132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2.0</v>
      </c>
      <c r="N105" s="19">
        <v>1.0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1.0</v>
      </c>
      <c r="AG105" s="19">
        <v>0.0</v>
      </c>
      <c r="AH105" s="19">
        <v>0.0</v>
      </c>
      <c r="AI105" s="19">
        <v>0.0</v>
      </c>
      <c r="AJ105" s="19">
        <v>2.0</v>
      </c>
      <c r="AK105" s="19">
        <v>0.0</v>
      </c>
      <c r="AL105" s="19">
        <v>0.0</v>
      </c>
      <c r="AM105" s="19">
        <v>1.0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3">
        <f t="shared" ref="AV105:AV114" si="24">SUM(E105:AU105)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1.0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1.0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3.0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1.0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1.0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1.0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3">
        <f t="shared" si="24"/>
        <v>0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V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2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2</v>
      </c>
      <c r="AK115" s="13">
        <f t="shared" si="25"/>
        <v>4</v>
      </c>
      <c r="AL115" s="13">
        <f t="shared" si="25"/>
        <v>1</v>
      </c>
      <c r="AM115" s="13">
        <f t="shared" si="25"/>
        <v>1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0</v>
      </c>
      <c r="AV115" s="13">
        <f t="shared" si="25"/>
        <v>24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1.0</v>
      </c>
      <c r="R117" s="19">
        <v>0.0</v>
      </c>
      <c r="S117" s="19">
        <v>1.0</v>
      </c>
      <c r="T117" s="19">
        <v>0.0</v>
      </c>
      <c r="U117" s="19">
        <v>1.0</v>
      </c>
      <c r="V117" s="19">
        <v>0.0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1.0</v>
      </c>
      <c r="AC117" s="19">
        <v>0.0</v>
      </c>
      <c r="AD117" s="19">
        <v>1.0</v>
      </c>
      <c r="AE117" s="19">
        <v>3.0</v>
      </c>
      <c r="AF117" s="19">
        <v>3.0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2.0</v>
      </c>
      <c r="AL117" s="19">
        <v>1.0</v>
      </c>
      <c r="AM117" s="19">
        <v>1.0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0.0</v>
      </c>
      <c r="AU117" s="19">
        <v>0.0</v>
      </c>
      <c r="AV117" s="13">
        <f t="shared" ref="AV117:AV126" si="26">SUM(E117:AU117)</f>
        <v>18</v>
      </c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1.0</v>
      </c>
      <c r="AK118" s="19">
        <v>0.0</v>
      </c>
      <c r="AL118" s="19">
        <v>1.0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3">
        <f t="shared" si="26"/>
        <v>3</v>
      </c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3">
        <f t="shared" si="26"/>
        <v>2</v>
      </c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3">
        <f t="shared" si="26"/>
        <v>1</v>
      </c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3">
        <f t="shared" si="26"/>
        <v>0</v>
      </c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3">
        <f t="shared" si="26"/>
        <v>0</v>
      </c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13">
        <f t="shared" si="26"/>
        <v>0</v>
      </c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13">
        <f t="shared" si="26"/>
        <v>0</v>
      </c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13">
        <f t="shared" si="26"/>
        <v>0</v>
      </c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13">
        <f t="shared" si="26"/>
        <v>0</v>
      </c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V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1</v>
      </c>
      <c r="R127" s="13">
        <f t="shared" si="27"/>
        <v>0</v>
      </c>
      <c r="S127" s="13">
        <f t="shared" si="27"/>
        <v>2</v>
      </c>
      <c r="T127" s="13">
        <f t="shared" si="27"/>
        <v>0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0</v>
      </c>
      <c r="AB127" s="13">
        <f t="shared" si="27"/>
        <v>1</v>
      </c>
      <c r="AC127" s="13">
        <f t="shared" si="27"/>
        <v>0</v>
      </c>
      <c r="AD127" s="13">
        <f t="shared" si="27"/>
        <v>1</v>
      </c>
      <c r="AE127" s="13">
        <f t="shared" si="27"/>
        <v>4</v>
      </c>
      <c r="AF127" s="13">
        <f t="shared" si="27"/>
        <v>3</v>
      </c>
      <c r="AG127" s="13">
        <f t="shared" si="27"/>
        <v>0</v>
      </c>
      <c r="AH127" s="13">
        <f t="shared" si="27"/>
        <v>0</v>
      </c>
      <c r="AI127" s="13">
        <f t="shared" si="27"/>
        <v>0</v>
      </c>
      <c r="AJ127" s="13">
        <f t="shared" si="27"/>
        <v>1</v>
      </c>
      <c r="AK127" s="13">
        <f t="shared" si="27"/>
        <v>3</v>
      </c>
      <c r="AL127" s="13">
        <f t="shared" si="27"/>
        <v>2</v>
      </c>
      <c r="AM127" s="13">
        <f t="shared" si="27"/>
        <v>1</v>
      </c>
      <c r="AN127" s="13">
        <f t="shared" si="27"/>
        <v>0</v>
      </c>
      <c r="AO127" s="13">
        <f t="shared" si="27"/>
        <v>0</v>
      </c>
      <c r="AP127" s="13">
        <f t="shared" si="27"/>
        <v>0</v>
      </c>
      <c r="AQ127" s="13">
        <f t="shared" si="27"/>
        <v>0</v>
      </c>
      <c r="AR127" s="13">
        <f t="shared" si="27"/>
        <v>0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24</v>
      </c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1.0</v>
      </c>
      <c r="N129" s="19">
        <v>1.0</v>
      </c>
      <c r="O129" s="19">
        <v>0.0</v>
      </c>
      <c r="P129" s="19">
        <v>1.0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1.0</v>
      </c>
      <c r="AD129" s="19">
        <v>0.0</v>
      </c>
      <c r="AE129" s="19">
        <v>0.0</v>
      </c>
      <c r="AF129" s="19">
        <v>1.0</v>
      </c>
      <c r="AG129" s="19">
        <v>0.0</v>
      </c>
      <c r="AH129" s="19">
        <v>0.0</v>
      </c>
      <c r="AI129" s="19">
        <v>0.0</v>
      </c>
      <c r="AJ129" s="19">
        <v>1.0</v>
      </c>
      <c r="AK129" s="19">
        <v>0.0</v>
      </c>
      <c r="AL129" s="19">
        <v>0.0</v>
      </c>
      <c r="AM129" s="19">
        <v>2.0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0.0</v>
      </c>
      <c r="AS129" s="19">
        <v>0.0</v>
      </c>
      <c r="AT129" s="19">
        <v>0.0</v>
      </c>
      <c r="AU129" s="19">
        <v>0.0</v>
      </c>
      <c r="AV129" s="13">
        <f t="shared" ref="AV129:AV138" si="28">SUM(E129:AU129)</f>
        <v>10</v>
      </c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0.0</v>
      </c>
      <c r="I130" s="19">
        <v>3.0</v>
      </c>
      <c r="J130" s="19">
        <v>0.0</v>
      </c>
      <c r="K130" s="19">
        <v>0.0</v>
      </c>
      <c r="L130" s="19">
        <v>0.0</v>
      </c>
      <c r="M130" s="19">
        <v>1.0</v>
      </c>
      <c r="N130" s="19">
        <v>0.0</v>
      </c>
      <c r="O130" s="19">
        <v>1.0</v>
      </c>
      <c r="P130" s="19">
        <v>0.0</v>
      </c>
      <c r="Q130" s="19">
        <v>1.0</v>
      </c>
      <c r="R130" s="19">
        <v>0.0</v>
      </c>
      <c r="S130" s="19">
        <v>2.0</v>
      </c>
      <c r="T130" s="19">
        <v>2.0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0.0</v>
      </c>
      <c r="AB130" s="19">
        <v>0.0</v>
      </c>
      <c r="AC130" s="19">
        <v>1.0</v>
      </c>
      <c r="AD130" s="19">
        <v>0.0</v>
      </c>
      <c r="AE130" s="19">
        <v>1.0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9">
        <v>0.0</v>
      </c>
      <c r="AM130" s="19">
        <v>1.0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0.0</v>
      </c>
      <c r="AT130" s="19">
        <v>0.0</v>
      </c>
      <c r="AU130" s="19">
        <v>0.0</v>
      </c>
      <c r="AV130" s="13">
        <f t="shared" si="28"/>
        <v>15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2.0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1.0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3">
        <f t="shared" si="28"/>
        <v>7</v>
      </c>
      <c r="AW131" s="52"/>
      <c r="AX131" s="5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82"/>
      <c r="DZ131" s="82"/>
      <c r="EA131" s="82"/>
      <c r="EB131" s="82"/>
      <c r="EC131" s="82"/>
      <c r="ED131" s="82"/>
      <c r="EE131" s="82"/>
      <c r="EF131" s="82"/>
      <c r="EG131" s="82"/>
      <c r="EH131" s="82"/>
      <c r="EI131" s="82"/>
      <c r="EJ131" s="82"/>
      <c r="EK131" s="82"/>
      <c r="EL131" s="82"/>
      <c r="EM131" s="82"/>
      <c r="EN131" s="82"/>
      <c r="EO131" s="82"/>
      <c r="EP131" s="82"/>
      <c r="EQ131" s="82"/>
      <c r="ER131" s="82"/>
      <c r="ES131" s="82"/>
      <c r="ET131" s="82"/>
      <c r="EU131" s="82"/>
      <c r="EV131" s="82"/>
      <c r="EW131" s="82"/>
      <c r="EX131" s="82"/>
      <c r="EY131" s="82"/>
      <c r="EZ131" s="82"/>
      <c r="FA131" s="82"/>
      <c r="FB131" s="82"/>
      <c r="FC131" s="82"/>
      <c r="FD131" s="82"/>
      <c r="FE131" s="82"/>
      <c r="FF131" s="82"/>
      <c r="FG131" s="82"/>
      <c r="FH131" s="82"/>
      <c r="FI131" s="82"/>
      <c r="FJ131" s="82"/>
      <c r="FK131" s="82"/>
      <c r="FL131" s="82"/>
      <c r="FM131" s="82"/>
      <c r="FN131" s="82"/>
      <c r="FO131" s="82"/>
      <c r="FP131" s="82"/>
      <c r="FQ131" s="82"/>
      <c r="FR131" s="82"/>
      <c r="FS131" s="82"/>
      <c r="FT131" s="82"/>
      <c r="FU131" s="82"/>
      <c r="FV131" s="82"/>
      <c r="FW131" s="82"/>
      <c r="FX131" s="82"/>
      <c r="FY131" s="82"/>
      <c r="FZ131" s="82"/>
      <c r="GA131" s="82"/>
      <c r="GB131" s="82"/>
      <c r="GC131" s="82"/>
      <c r="GD131" s="82"/>
      <c r="GE131" s="82"/>
      <c r="GF131" s="82"/>
      <c r="GG131" s="82"/>
      <c r="GH131" s="82"/>
      <c r="GI131" s="82"/>
      <c r="GJ131" s="82"/>
      <c r="GK131" s="82"/>
      <c r="GL131" s="82"/>
      <c r="GM131" s="82"/>
      <c r="GN131" s="82"/>
      <c r="GO131" s="82"/>
      <c r="GP131" s="82"/>
      <c r="GQ131" s="82"/>
      <c r="GR131" s="82"/>
      <c r="GS131" s="82"/>
      <c r="GT131" s="82"/>
      <c r="GU131" s="82"/>
      <c r="GV131" s="82"/>
      <c r="GW131" s="82"/>
      <c r="GX131" s="82"/>
      <c r="GY131" s="82"/>
      <c r="GZ131" s="82"/>
      <c r="HA131" s="82"/>
      <c r="HB131" s="82"/>
      <c r="HC131" s="82"/>
      <c r="HD131" s="82"/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3">
        <f t="shared" si="28"/>
        <v>3</v>
      </c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3">
        <f t="shared" si="28"/>
        <v>0</v>
      </c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3">
        <f t="shared" si="28"/>
        <v>0</v>
      </c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1.0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3">
        <f t="shared" si="28"/>
        <v>2</v>
      </c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3">
        <f t="shared" si="28"/>
        <v>0</v>
      </c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3">
        <f t="shared" si="28"/>
        <v>0</v>
      </c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3">
        <f t="shared" si="28"/>
        <v>0</v>
      </c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V139" si="29">SUM(E129:E138)</f>
        <v>0</v>
      </c>
      <c r="F139" s="13">
        <f t="shared" si="29"/>
        <v>1</v>
      </c>
      <c r="G139" s="13">
        <f t="shared" si="29"/>
        <v>2</v>
      </c>
      <c r="H139" s="13">
        <f t="shared" si="29"/>
        <v>0</v>
      </c>
      <c r="I139" s="13">
        <f t="shared" si="29"/>
        <v>6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2</v>
      </c>
      <c r="N139" s="13">
        <f t="shared" si="29"/>
        <v>1</v>
      </c>
      <c r="O139" s="13">
        <f t="shared" si="29"/>
        <v>2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2</v>
      </c>
      <c r="T139" s="13">
        <f t="shared" si="29"/>
        <v>3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1</v>
      </c>
      <c r="AA139" s="13">
        <f t="shared" si="29"/>
        <v>0</v>
      </c>
      <c r="AB139" s="13">
        <f t="shared" si="29"/>
        <v>1</v>
      </c>
      <c r="AC139" s="13">
        <f t="shared" si="29"/>
        <v>4</v>
      </c>
      <c r="AD139" s="13">
        <f t="shared" si="29"/>
        <v>1</v>
      </c>
      <c r="AE139" s="13">
        <f t="shared" si="29"/>
        <v>1</v>
      </c>
      <c r="AF139" s="13">
        <f t="shared" si="29"/>
        <v>1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1</v>
      </c>
      <c r="AK139" s="13">
        <f t="shared" si="29"/>
        <v>0</v>
      </c>
      <c r="AL139" s="13">
        <f t="shared" si="29"/>
        <v>0</v>
      </c>
      <c r="AM139" s="13">
        <f t="shared" si="29"/>
        <v>4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9"/>
        <v>0</v>
      </c>
      <c r="AS139" s="13">
        <f t="shared" si="29"/>
        <v>0</v>
      </c>
      <c r="AT139" s="13">
        <f t="shared" si="29"/>
        <v>0</v>
      </c>
      <c r="AU139" s="13">
        <f t="shared" si="29"/>
        <v>0</v>
      </c>
      <c r="AV139" s="13">
        <f t="shared" si="29"/>
        <v>37</v>
      </c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3">
        <f t="shared" ref="AV141:AV150" si="30">SUM(E141:AU141)</f>
        <v>0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3">
        <f t="shared" si="30"/>
        <v>0</v>
      </c>
      <c r="AW142" s="52"/>
      <c r="AX142" s="5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82"/>
      <c r="DT142" s="82"/>
      <c r="DU142" s="82"/>
      <c r="DV142" s="82"/>
      <c r="DW142" s="82"/>
      <c r="DX142" s="82"/>
      <c r="DY142" s="82"/>
      <c r="DZ142" s="82"/>
      <c r="EA142" s="82"/>
      <c r="EB142" s="82"/>
      <c r="EC142" s="82"/>
      <c r="ED142" s="82"/>
      <c r="EE142" s="82"/>
      <c r="EF142" s="82"/>
      <c r="EG142" s="82"/>
      <c r="EH142" s="82"/>
      <c r="EI142" s="82"/>
      <c r="EJ142" s="82"/>
      <c r="EK142" s="82"/>
      <c r="EL142" s="82"/>
      <c r="EM142" s="82"/>
      <c r="EN142" s="82"/>
      <c r="EO142" s="82"/>
      <c r="EP142" s="82"/>
      <c r="EQ142" s="82"/>
      <c r="ER142" s="82"/>
      <c r="ES142" s="82"/>
      <c r="ET142" s="82"/>
      <c r="EU142" s="82"/>
      <c r="EV142" s="82"/>
      <c r="EW142" s="82"/>
      <c r="EX142" s="82"/>
      <c r="EY142" s="82"/>
      <c r="EZ142" s="82"/>
      <c r="FA142" s="82"/>
      <c r="FB142" s="82"/>
      <c r="FC142" s="82"/>
      <c r="FD142" s="82"/>
      <c r="FE142" s="82"/>
      <c r="FF142" s="82"/>
      <c r="FG142" s="82"/>
      <c r="FH142" s="82"/>
      <c r="FI142" s="82"/>
      <c r="FJ142" s="82"/>
      <c r="FK142" s="82"/>
      <c r="FL142" s="82"/>
      <c r="FM142" s="82"/>
      <c r="FN142" s="82"/>
      <c r="FO142" s="82"/>
      <c r="FP142" s="82"/>
      <c r="FQ142" s="82"/>
      <c r="FR142" s="82"/>
      <c r="FS142" s="82"/>
      <c r="FT142" s="82"/>
      <c r="FU142" s="82"/>
      <c r="FV142" s="82"/>
      <c r="FW142" s="82"/>
      <c r="FX142" s="82"/>
      <c r="FY142" s="82"/>
      <c r="FZ142" s="82"/>
      <c r="GA142" s="82"/>
      <c r="GB142" s="82"/>
      <c r="GC142" s="82"/>
      <c r="GD142" s="82"/>
      <c r="GE142" s="82"/>
      <c r="GF142" s="82"/>
      <c r="GG142" s="82"/>
      <c r="GH142" s="82"/>
      <c r="GI142" s="82"/>
      <c r="GJ142" s="82"/>
      <c r="GK142" s="82"/>
      <c r="GL142" s="82"/>
      <c r="GM142" s="82"/>
      <c r="GN142" s="82"/>
      <c r="GO142" s="82"/>
      <c r="GP142" s="82"/>
      <c r="GQ142" s="82"/>
      <c r="GR142" s="82"/>
      <c r="GS142" s="82"/>
      <c r="GT142" s="82"/>
      <c r="GU142" s="82"/>
      <c r="GV142" s="82"/>
      <c r="GW142" s="82"/>
      <c r="GX142" s="82"/>
      <c r="GY142" s="82"/>
      <c r="GZ142" s="82"/>
      <c r="HA142" s="82"/>
      <c r="HB142" s="82"/>
      <c r="HC142" s="82"/>
      <c r="HD142" s="82"/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3">
        <f t="shared" si="30"/>
        <v>0</v>
      </c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3">
        <f t="shared" si="30"/>
        <v>0</v>
      </c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3">
        <f t="shared" si="30"/>
        <v>0</v>
      </c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1.0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3">
        <f t="shared" si="30"/>
        <v>1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3">
        <f t="shared" si="30"/>
        <v>0</v>
      </c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3">
        <f t="shared" si="30"/>
        <v>0</v>
      </c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3">
        <f t="shared" si="30"/>
        <v>0</v>
      </c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3">
        <f t="shared" si="30"/>
        <v>0</v>
      </c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V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1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1</v>
      </c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13"/>
      <c r="AW152" s="52"/>
      <c r="AX152" s="5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  <c r="FU152" s="82"/>
      <c r="FV152" s="82"/>
      <c r="FW152" s="82"/>
      <c r="FX152" s="82"/>
      <c r="FY152" s="82"/>
      <c r="FZ152" s="82"/>
      <c r="GA152" s="82"/>
      <c r="GB152" s="82"/>
      <c r="GC152" s="82"/>
      <c r="GD152" s="82"/>
      <c r="GE152" s="82"/>
      <c r="GF152" s="82"/>
      <c r="GG152" s="82"/>
      <c r="GH152" s="82"/>
      <c r="GI152" s="82"/>
      <c r="GJ152" s="82"/>
      <c r="GK152" s="82"/>
      <c r="GL152" s="82"/>
      <c r="GM152" s="82"/>
      <c r="GN152" s="82"/>
      <c r="GO152" s="82"/>
      <c r="GP152" s="82"/>
      <c r="GQ152" s="82"/>
      <c r="GR152" s="82"/>
      <c r="GS152" s="82"/>
      <c r="GT152" s="82"/>
      <c r="GU152" s="82"/>
      <c r="GV152" s="82"/>
      <c r="GW152" s="82"/>
      <c r="GX152" s="82"/>
      <c r="GY152" s="82"/>
      <c r="GZ152" s="82"/>
      <c r="HA152" s="82"/>
      <c r="HB152" s="82"/>
      <c r="HC152" s="82"/>
      <c r="HD152" s="82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1.0</v>
      </c>
      <c r="AG153" s="19">
        <v>0.0</v>
      </c>
      <c r="AH153" s="19">
        <v>1.0</v>
      </c>
      <c r="AI153" s="19">
        <v>1.0</v>
      </c>
      <c r="AJ153" s="19">
        <v>1.0</v>
      </c>
      <c r="AK153" s="19">
        <v>0.0</v>
      </c>
      <c r="AL153" s="19">
        <v>1.0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3">
        <f t="shared" ref="AV153:AV162" si="32">SUM(E153:AU153)</f>
        <v>7</v>
      </c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1.0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3">
        <f t="shared" si="32"/>
        <v>2</v>
      </c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3">
        <f t="shared" si="32"/>
        <v>1</v>
      </c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3">
        <f t="shared" si="32"/>
        <v>0</v>
      </c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3">
        <f t="shared" si="32"/>
        <v>0</v>
      </c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3">
        <f t="shared" si="32"/>
        <v>0</v>
      </c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3">
        <f t="shared" si="32"/>
        <v>0</v>
      </c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3">
        <f t="shared" si="32"/>
        <v>0</v>
      </c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3">
        <f t="shared" si="32"/>
        <v>0</v>
      </c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3">
        <f t="shared" si="32"/>
        <v>0</v>
      </c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V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1</v>
      </c>
      <c r="AI163" s="13">
        <f t="shared" si="33"/>
        <v>1</v>
      </c>
      <c r="AJ163" s="13">
        <f t="shared" si="33"/>
        <v>1</v>
      </c>
      <c r="AK163" s="13">
        <f t="shared" si="33"/>
        <v>1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10</v>
      </c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2.0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1.0</v>
      </c>
      <c r="AD165" s="19">
        <v>0.0</v>
      </c>
      <c r="AE165" s="19">
        <v>0.0</v>
      </c>
      <c r="AF165" s="19">
        <v>1.0</v>
      </c>
      <c r="AG165" s="19">
        <v>1.0</v>
      </c>
      <c r="AH165" s="19">
        <v>1.0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1.0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3">
        <f t="shared" ref="AV165:AV174" si="34">SUM(E165:AU165)</f>
        <v>8</v>
      </c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1.0</v>
      </c>
      <c r="AM166" s="19">
        <v>1.0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3">
        <f t="shared" si="34"/>
        <v>4</v>
      </c>
      <c r="AW166" s="52"/>
      <c r="AX166" s="5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82"/>
      <c r="DZ166" s="82"/>
      <c r="EA166" s="82"/>
      <c r="EB166" s="82"/>
      <c r="EC166" s="82"/>
      <c r="ED166" s="82"/>
      <c r="EE166" s="82"/>
      <c r="EF166" s="82"/>
      <c r="EG166" s="82"/>
      <c r="EH166" s="82"/>
      <c r="EI166" s="82"/>
      <c r="EJ166" s="82"/>
      <c r="EK166" s="82"/>
      <c r="EL166" s="82"/>
      <c r="EM166" s="82"/>
      <c r="EN166" s="82"/>
      <c r="EO166" s="82"/>
      <c r="EP166" s="82"/>
      <c r="EQ166" s="82"/>
      <c r="ER166" s="82"/>
      <c r="ES166" s="82"/>
      <c r="ET166" s="82"/>
      <c r="EU166" s="82"/>
      <c r="EV166" s="82"/>
      <c r="EW166" s="82"/>
      <c r="EX166" s="82"/>
      <c r="EY166" s="82"/>
      <c r="EZ166" s="82"/>
      <c r="FA166" s="82"/>
      <c r="FB166" s="82"/>
      <c r="FC166" s="82"/>
      <c r="FD166" s="82"/>
      <c r="FE166" s="82"/>
      <c r="FF166" s="82"/>
      <c r="FG166" s="82"/>
      <c r="FH166" s="82"/>
      <c r="FI166" s="82"/>
      <c r="FJ166" s="82"/>
      <c r="FK166" s="82"/>
      <c r="FL166" s="82"/>
      <c r="FM166" s="82"/>
      <c r="FN166" s="82"/>
      <c r="FO166" s="82"/>
      <c r="FP166" s="82"/>
      <c r="FQ166" s="82"/>
      <c r="FR166" s="82"/>
      <c r="FS166" s="82"/>
      <c r="FT166" s="82"/>
      <c r="FU166" s="82"/>
      <c r="FV166" s="82"/>
      <c r="FW166" s="82"/>
      <c r="FX166" s="82"/>
      <c r="FY166" s="82"/>
      <c r="FZ166" s="82"/>
      <c r="GA166" s="82"/>
      <c r="GB166" s="82"/>
      <c r="GC166" s="82"/>
      <c r="GD166" s="82"/>
      <c r="GE166" s="82"/>
      <c r="GF166" s="82"/>
      <c r="GG166" s="82"/>
      <c r="GH166" s="82"/>
      <c r="GI166" s="82"/>
      <c r="GJ166" s="82"/>
      <c r="GK166" s="82"/>
      <c r="GL166" s="82"/>
      <c r="GM166" s="82"/>
      <c r="GN166" s="82"/>
      <c r="GO166" s="82"/>
      <c r="GP166" s="82"/>
      <c r="GQ166" s="82"/>
      <c r="GR166" s="82"/>
      <c r="GS166" s="82"/>
      <c r="GT166" s="82"/>
      <c r="GU166" s="82"/>
      <c r="GV166" s="82"/>
      <c r="GW166" s="82"/>
      <c r="GX166" s="82"/>
      <c r="GY166" s="82"/>
      <c r="GZ166" s="82"/>
      <c r="HA166" s="82"/>
      <c r="HB166" s="82"/>
      <c r="HC166" s="82"/>
      <c r="HD166" s="82"/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 t="s">
        <v>245</v>
      </c>
      <c r="AS167" s="19">
        <v>0.0</v>
      </c>
      <c r="AT167" s="19">
        <v>0.0</v>
      </c>
      <c r="AU167" s="19">
        <v>0.0</v>
      </c>
      <c r="AV167" s="13">
        <f t="shared" si="34"/>
        <v>0</v>
      </c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1.0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 t="s">
        <v>245</v>
      </c>
      <c r="AT168" s="19">
        <v>0.0</v>
      </c>
      <c r="AU168" s="19" t="s">
        <v>245</v>
      </c>
      <c r="AV168" s="13">
        <f t="shared" si="34"/>
        <v>2</v>
      </c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 t="s">
        <v>245</v>
      </c>
      <c r="AT169" s="19">
        <v>0.0</v>
      </c>
      <c r="AU169" s="19">
        <v>0.0</v>
      </c>
      <c r="AV169" s="13">
        <f t="shared" si="34"/>
        <v>1</v>
      </c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3">
        <f t="shared" si="34"/>
        <v>0</v>
      </c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</row>
    <row r="171" ht="12.75" customHeight="1">
      <c r="A171" s="18"/>
      <c r="B171" s="55">
        <v>6.0</v>
      </c>
      <c r="C171" s="50" t="s">
        <v>126</v>
      </c>
      <c r="D171" s="60"/>
      <c r="E171" s="19">
        <v>1.0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 t="s">
        <v>245</v>
      </c>
      <c r="AS171" s="19" t="s">
        <v>245</v>
      </c>
      <c r="AT171" s="19">
        <v>0.0</v>
      </c>
      <c r="AU171" s="19">
        <v>0.0</v>
      </c>
      <c r="AV171" s="13">
        <f t="shared" si="34"/>
        <v>1</v>
      </c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1.0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3">
        <f t="shared" si="34"/>
        <v>1</v>
      </c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3">
        <f t="shared" si="34"/>
        <v>0</v>
      </c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3">
        <f t="shared" si="34"/>
        <v>0</v>
      </c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V175" si="35">SUM(E165:E174)</f>
        <v>1</v>
      </c>
      <c r="F175" s="13">
        <f t="shared" si="35"/>
        <v>0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1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1</v>
      </c>
      <c r="AM175" s="13">
        <f t="shared" si="35"/>
        <v>2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17</v>
      </c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1.0</v>
      </c>
      <c r="J177" s="19">
        <v>0.0</v>
      </c>
      <c r="K177" s="19">
        <v>1.0</v>
      </c>
      <c r="L177" s="19">
        <v>1.0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1.0</v>
      </c>
      <c r="S177" s="19">
        <v>2.0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1.0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3.0</v>
      </c>
      <c r="AE177" s="19">
        <v>0.0</v>
      </c>
      <c r="AF177" s="19">
        <v>0.0</v>
      </c>
      <c r="AG177" s="19">
        <v>1.0</v>
      </c>
      <c r="AH177" s="19">
        <v>1.0</v>
      </c>
      <c r="AI177" s="19">
        <v>0.0</v>
      </c>
      <c r="AJ177" s="19">
        <v>1.0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0.0</v>
      </c>
      <c r="AT177" s="19">
        <v>0.0</v>
      </c>
      <c r="AU177" s="19">
        <v>0.0</v>
      </c>
      <c r="AV177" s="13">
        <f t="shared" ref="AV177:AV186" si="36">SUM(E177:AU177)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1.0</v>
      </c>
      <c r="V178" s="19">
        <v>1.0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2.0</v>
      </c>
      <c r="AE178" s="19">
        <v>0.0</v>
      </c>
      <c r="AF178" s="19">
        <v>1.0</v>
      </c>
      <c r="AG178" s="19">
        <v>0.0</v>
      </c>
      <c r="AH178" s="19">
        <v>0.0</v>
      </c>
      <c r="AI178" s="19">
        <v>1.0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3">
        <f t="shared" si="36"/>
        <v>9</v>
      </c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1.0</v>
      </c>
      <c r="AM179" s="19">
        <v>1.0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3">
        <f t="shared" si="36"/>
        <v>7</v>
      </c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1.0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 t="s">
        <v>246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3">
        <f t="shared" si="36"/>
        <v>5</v>
      </c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3">
        <f t="shared" si="36"/>
        <v>0</v>
      </c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1.0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 t="s">
        <v>245</v>
      </c>
      <c r="AS182" s="19">
        <v>0.0</v>
      </c>
      <c r="AT182" s="19">
        <v>0.0</v>
      </c>
      <c r="AU182" s="19">
        <v>0.0</v>
      </c>
      <c r="AV182" s="13">
        <f t="shared" si="36"/>
        <v>2</v>
      </c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 t="s">
        <v>245</v>
      </c>
      <c r="AN183" s="19">
        <v>0.0</v>
      </c>
      <c r="AO183" s="19">
        <v>0.0</v>
      </c>
      <c r="AP183" s="19">
        <v>0.0</v>
      </c>
      <c r="AQ183" s="19">
        <v>0.0</v>
      </c>
      <c r="AR183" s="19" t="s">
        <v>245</v>
      </c>
      <c r="AS183" s="19">
        <v>0.0</v>
      </c>
      <c r="AT183" s="19">
        <v>0.0</v>
      </c>
      <c r="AU183" s="19">
        <v>0.0</v>
      </c>
      <c r="AV183" s="13">
        <f t="shared" si="36"/>
        <v>0</v>
      </c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 t="s">
        <v>245</v>
      </c>
      <c r="AQ184" s="19">
        <v>0.0</v>
      </c>
      <c r="AR184" s="19" t="s">
        <v>245</v>
      </c>
      <c r="AS184" s="19">
        <v>0.0</v>
      </c>
      <c r="AT184" s="19">
        <v>0.0</v>
      </c>
      <c r="AU184" s="19">
        <v>0.0</v>
      </c>
      <c r="AV184" s="13">
        <f t="shared" si="36"/>
        <v>2</v>
      </c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3">
        <f t="shared" si="36"/>
        <v>0</v>
      </c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3">
        <f t="shared" si="36"/>
        <v>0</v>
      </c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V187" si="37">SUM(E177:E186)</f>
        <v>2</v>
      </c>
      <c r="F187" s="13">
        <f t="shared" si="37"/>
        <v>1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0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0</v>
      </c>
      <c r="R187" s="13">
        <f t="shared" si="37"/>
        <v>1</v>
      </c>
      <c r="S187" s="13">
        <f t="shared" si="37"/>
        <v>3</v>
      </c>
      <c r="T187" s="13">
        <f t="shared" si="37"/>
        <v>2</v>
      </c>
      <c r="U187" s="13">
        <f t="shared" si="37"/>
        <v>1</v>
      </c>
      <c r="V187" s="13">
        <f t="shared" si="37"/>
        <v>1</v>
      </c>
      <c r="W187" s="13">
        <f t="shared" si="37"/>
        <v>0</v>
      </c>
      <c r="X187" s="13">
        <f t="shared" si="37"/>
        <v>0</v>
      </c>
      <c r="Y187" s="13">
        <f t="shared" si="37"/>
        <v>3</v>
      </c>
      <c r="Z187" s="13">
        <f t="shared" si="37"/>
        <v>1</v>
      </c>
      <c r="AA187" s="13">
        <f t="shared" si="37"/>
        <v>2</v>
      </c>
      <c r="AB187" s="13">
        <f t="shared" si="37"/>
        <v>0</v>
      </c>
      <c r="AC187" s="13">
        <f t="shared" si="37"/>
        <v>0</v>
      </c>
      <c r="AD187" s="13">
        <f t="shared" si="37"/>
        <v>5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1</v>
      </c>
      <c r="AI187" s="13">
        <f t="shared" si="37"/>
        <v>2</v>
      </c>
      <c r="AJ187" s="13">
        <f t="shared" si="37"/>
        <v>1</v>
      </c>
      <c r="AK187" s="13">
        <f t="shared" si="37"/>
        <v>0</v>
      </c>
      <c r="AL187" s="13">
        <f t="shared" si="37"/>
        <v>1</v>
      </c>
      <c r="AM187" s="13">
        <f t="shared" si="37"/>
        <v>1</v>
      </c>
      <c r="AN187" s="13">
        <f t="shared" si="37"/>
        <v>0</v>
      </c>
      <c r="AO187" s="13">
        <f t="shared" si="37"/>
        <v>0</v>
      </c>
      <c r="AP187" s="13">
        <f t="shared" si="37"/>
        <v>0</v>
      </c>
      <c r="AQ187" s="13">
        <f t="shared" si="37"/>
        <v>0</v>
      </c>
      <c r="AR187" s="13">
        <f t="shared" si="37"/>
        <v>0</v>
      </c>
      <c r="AS187" s="13">
        <f t="shared" si="37"/>
        <v>0</v>
      </c>
      <c r="AT187" s="13">
        <f t="shared" si="37"/>
        <v>0</v>
      </c>
      <c r="AU187" s="13">
        <f t="shared" si="37"/>
        <v>0</v>
      </c>
      <c r="AV187" s="13">
        <f t="shared" si="37"/>
        <v>40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3">
        <f t="shared" ref="AV189:AV198" si="38">SUM(E189:AU189)</f>
        <v>1</v>
      </c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1.0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3">
        <f t="shared" si="38"/>
        <v>1</v>
      </c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1.0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3">
        <f t="shared" si="38"/>
        <v>1</v>
      </c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3">
        <f t="shared" si="38"/>
        <v>0</v>
      </c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3">
        <f t="shared" si="38"/>
        <v>0</v>
      </c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3">
        <f t="shared" si="38"/>
        <v>0</v>
      </c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3">
        <f t="shared" si="38"/>
        <v>0</v>
      </c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3">
        <f t="shared" si="38"/>
        <v>0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3">
        <f t="shared" si="38"/>
        <v>0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3">
        <f t="shared" si="38"/>
        <v>0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V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1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3</v>
      </c>
      <c r="AW199" s="52"/>
      <c r="AX199" s="5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2"/>
      <c r="CN199" s="82"/>
      <c r="CO199" s="82"/>
      <c r="CP199" s="82"/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82"/>
      <c r="DZ199" s="82"/>
      <c r="EA199" s="82"/>
      <c r="EB199" s="82"/>
      <c r="EC199" s="82"/>
      <c r="ED199" s="82"/>
      <c r="EE199" s="82"/>
      <c r="EF199" s="82"/>
      <c r="EG199" s="82"/>
      <c r="EH199" s="82"/>
      <c r="EI199" s="82"/>
      <c r="EJ199" s="82"/>
      <c r="EK199" s="82"/>
      <c r="EL199" s="82"/>
      <c r="EM199" s="82"/>
      <c r="EN199" s="82"/>
      <c r="EO199" s="82"/>
      <c r="EP199" s="82"/>
      <c r="EQ199" s="82"/>
      <c r="ER199" s="82"/>
      <c r="ES199" s="82"/>
      <c r="ET199" s="82"/>
      <c r="EU199" s="82"/>
      <c r="EV199" s="82"/>
      <c r="EW199" s="82"/>
      <c r="EX199" s="82"/>
      <c r="EY199" s="82"/>
      <c r="EZ199" s="82"/>
      <c r="FA199" s="82"/>
      <c r="FB199" s="82"/>
      <c r="FC199" s="82"/>
      <c r="FD199" s="82"/>
      <c r="FE199" s="82"/>
      <c r="FF199" s="82"/>
      <c r="FG199" s="82"/>
      <c r="FH199" s="82"/>
      <c r="FI199" s="82"/>
      <c r="FJ199" s="82"/>
      <c r="FK199" s="82"/>
      <c r="FL199" s="82"/>
      <c r="FM199" s="82"/>
      <c r="FN199" s="82"/>
      <c r="FO199" s="82"/>
      <c r="FP199" s="82"/>
      <c r="FQ199" s="82"/>
      <c r="FR199" s="82"/>
      <c r="FS199" s="82"/>
      <c r="FT199" s="82"/>
      <c r="FU199" s="82"/>
      <c r="FV199" s="82"/>
      <c r="FW199" s="82"/>
      <c r="FX199" s="82"/>
      <c r="FY199" s="82"/>
      <c r="FZ199" s="82"/>
      <c r="GA199" s="82"/>
      <c r="GB199" s="82"/>
      <c r="GC199" s="82"/>
      <c r="GD199" s="82"/>
      <c r="GE199" s="82"/>
      <c r="GF199" s="82"/>
      <c r="GG199" s="82"/>
      <c r="GH199" s="82"/>
      <c r="GI199" s="82"/>
      <c r="GJ199" s="82"/>
      <c r="GK199" s="82"/>
      <c r="GL199" s="82"/>
      <c r="GM199" s="82"/>
      <c r="GN199" s="82"/>
      <c r="GO199" s="82"/>
      <c r="GP199" s="82"/>
      <c r="GQ199" s="82"/>
      <c r="GR199" s="82"/>
      <c r="GS199" s="82"/>
      <c r="GT199" s="82"/>
      <c r="GU199" s="82"/>
      <c r="GV199" s="82"/>
      <c r="GW199" s="82"/>
      <c r="GX199" s="82"/>
      <c r="GY199" s="82"/>
      <c r="GZ199" s="82"/>
      <c r="HA199" s="82"/>
      <c r="HB199" s="82"/>
      <c r="HC199" s="82"/>
      <c r="HD199" s="8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1.0</v>
      </c>
      <c r="G201" s="19">
        <v>1.0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3.0</v>
      </c>
      <c r="N201" s="19">
        <v>7.0</v>
      </c>
      <c r="O201" s="19">
        <v>1.0</v>
      </c>
      <c r="P201" s="19">
        <v>0.0</v>
      </c>
      <c r="Q201" s="19">
        <v>2.0</v>
      </c>
      <c r="R201" s="19">
        <v>0.0</v>
      </c>
      <c r="S201" s="19">
        <v>1.0</v>
      </c>
      <c r="T201" s="19">
        <v>0.0</v>
      </c>
      <c r="U201" s="19">
        <v>2.0</v>
      </c>
      <c r="V201" s="19">
        <v>1.0</v>
      </c>
      <c r="W201" s="19">
        <v>0.0</v>
      </c>
      <c r="X201" s="19">
        <v>1.0</v>
      </c>
      <c r="Y201" s="19">
        <v>0.0</v>
      </c>
      <c r="Z201" s="19">
        <v>0.0</v>
      </c>
      <c r="AA201" s="19">
        <v>2.0</v>
      </c>
      <c r="AB201" s="19">
        <v>0.0</v>
      </c>
      <c r="AC201" s="19">
        <v>1.0</v>
      </c>
      <c r="AD201" s="19">
        <v>0.0</v>
      </c>
      <c r="AE201" s="19">
        <v>0.0</v>
      </c>
      <c r="AF201" s="19">
        <v>2.0</v>
      </c>
      <c r="AG201" s="19">
        <v>1.0</v>
      </c>
      <c r="AH201" s="19">
        <v>2.0</v>
      </c>
      <c r="AI201" s="19">
        <v>0.0</v>
      </c>
      <c r="AJ201" s="19">
        <v>4.0</v>
      </c>
      <c r="AK201" s="19">
        <v>20.0</v>
      </c>
      <c r="AL201" s="19">
        <v>5.0</v>
      </c>
      <c r="AM201" s="19">
        <v>7.0</v>
      </c>
      <c r="AN201" s="19">
        <v>0.0</v>
      </c>
      <c r="AO201" s="19">
        <v>0.0</v>
      </c>
      <c r="AP201" s="19">
        <v>0.0</v>
      </c>
      <c r="AQ201" s="19">
        <v>0.0</v>
      </c>
      <c r="AR201" s="19">
        <v>0.0</v>
      </c>
      <c r="AS201" s="19">
        <v>0.0</v>
      </c>
      <c r="AT201" s="19">
        <v>0.0</v>
      </c>
      <c r="AU201" s="19">
        <v>0.0</v>
      </c>
      <c r="AV201" s="13">
        <f t="shared" ref="AV201:AV210" si="40">SUM(E201:AU201)</f>
        <v>66</v>
      </c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1.0</v>
      </c>
      <c r="G202" s="19">
        <v>1.0</v>
      </c>
      <c r="H202" s="19">
        <v>1.0</v>
      </c>
      <c r="I202" s="19">
        <v>0.0</v>
      </c>
      <c r="J202" s="19">
        <v>1.0</v>
      </c>
      <c r="K202" s="19">
        <v>0.0</v>
      </c>
      <c r="L202" s="19">
        <v>1.0</v>
      </c>
      <c r="M202" s="19">
        <v>6.0</v>
      </c>
      <c r="N202" s="19">
        <v>2.0</v>
      </c>
      <c r="O202" s="19">
        <v>1.0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1.0</v>
      </c>
      <c r="V202" s="19">
        <v>2.0</v>
      </c>
      <c r="W202" s="19">
        <v>0.0</v>
      </c>
      <c r="X202" s="19">
        <v>1.0</v>
      </c>
      <c r="Y202" s="19">
        <v>0.0</v>
      </c>
      <c r="Z202" s="19">
        <v>0.0</v>
      </c>
      <c r="AA202" s="19">
        <v>0.0</v>
      </c>
      <c r="AB202" s="19">
        <v>1.0</v>
      </c>
      <c r="AC202" s="19">
        <v>2.0</v>
      </c>
      <c r="AD202" s="19">
        <v>0.0</v>
      </c>
      <c r="AE202" s="19">
        <v>1.0</v>
      </c>
      <c r="AF202" s="19">
        <v>6.0</v>
      </c>
      <c r="AG202" s="19">
        <v>3.0</v>
      </c>
      <c r="AH202" s="19">
        <v>1.0</v>
      </c>
      <c r="AI202" s="19">
        <v>1.0</v>
      </c>
      <c r="AJ202" s="19">
        <v>1.0</v>
      </c>
      <c r="AK202" s="19">
        <v>10.0</v>
      </c>
      <c r="AL202" s="19">
        <v>6.0</v>
      </c>
      <c r="AM202" s="19">
        <v>4.0</v>
      </c>
      <c r="AN202" s="19">
        <v>0.0</v>
      </c>
      <c r="AO202" s="19">
        <v>0.0</v>
      </c>
      <c r="AP202" s="19">
        <v>0.0</v>
      </c>
      <c r="AQ202" s="19">
        <v>0.0</v>
      </c>
      <c r="AR202" s="19">
        <v>0.0</v>
      </c>
      <c r="AS202" s="19">
        <v>0.0</v>
      </c>
      <c r="AT202" s="19">
        <v>0.0</v>
      </c>
      <c r="AU202" s="19">
        <v>0.0</v>
      </c>
      <c r="AV202" s="13">
        <f t="shared" si="40"/>
        <v>54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0.0</v>
      </c>
      <c r="L203" s="19">
        <v>1.0</v>
      </c>
      <c r="M203" s="19">
        <v>1.0</v>
      </c>
      <c r="N203" s="19">
        <v>1.0</v>
      </c>
      <c r="O203" s="19">
        <v>1.0</v>
      </c>
      <c r="P203" s="19">
        <v>0.0</v>
      </c>
      <c r="Q203" s="19">
        <v>3.0</v>
      </c>
      <c r="R203" s="19">
        <v>0.0</v>
      </c>
      <c r="S203" s="19">
        <v>1.0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1.0</v>
      </c>
      <c r="AA203" s="19">
        <v>0.0</v>
      </c>
      <c r="AB203" s="19">
        <v>0.0</v>
      </c>
      <c r="AC203" s="19">
        <v>0.0</v>
      </c>
      <c r="AD203" s="19">
        <v>0.0</v>
      </c>
      <c r="AE203" s="19">
        <v>2.0</v>
      </c>
      <c r="AF203" s="19">
        <v>1.0</v>
      </c>
      <c r="AG203" s="19">
        <v>1.0</v>
      </c>
      <c r="AH203" s="19">
        <v>0.0</v>
      </c>
      <c r="AI203" s="19">
        <v>0.0</v>
      </c>
      <c r="AJ203" s="19">
        <v>1.0</v>
      </c>
      <c r="AK203" s="19">
        <v>2.0</v>
      </c>
      <c r="AL203" s="19">
        <v>0.0</v>
      </c>
      <c r="AM203" s="19">
        <v>2.0</v>
      </c>
      <c r="AN203" s="19">
        <v>0.0</v>
      </c>
      <c r="AO203" s="19">
        <v>0.0</v>
      </c>
      <c r="AP203" s="19">
        <v>0.0</v>
      </c>
      <c r="AQ203" s="19">
        <v>0.0</v>
      </c>
      <c r="AR203" s="19">
        <v>0.0</v>
      </c>
      <c r="AS203" s="19">
        <v>0.0</v>
      </c>
      <c r="AT203" s="19">
        <v>0.0</v>
      </c>
      <c r="AU203" s="19">
        <v>0.0</v>
      </c>
      <c r="AV203" s="13">
        <f t="shared" si="40"/>
        <v>20</v>
      </c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1.0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1.0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3">
        <f t="shared" si="40"/>
        <v>4</v>
      </c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2.0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4.0</v>
      </c>
      <c r="AH205" s="19">
        <v>2.0</v>
      </c>
      <c r="AI205" s="19">
        <v>0.0</v>
      </c>
      <c r="AJ205" s="19">
        <v>0.0</v>
      </c>
      <c r="AK205" s="19">
        <v>13.0</v>
      </c>
      <c r="AL205" s="19">
        <v>9.0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3">
        <f t="shared" si="40"/>
        <v>34</v>
      </c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3">
        <f t="shared" si="40"/>
        <v>2</v>
      </c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3">
        <f t="shared" si="40"/>
        <v>0</v>
      </c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3">
        <f t="shared" si="40"/>
        <v>1</v>
      </c>
      <c r="AW208" s="52"/>
      <c r="AX208" s="5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  <c r="BY208" s="82"/>
      <c r="BZ208" s="82"/>
      <c r="CA208" s="82"/>
      <c r="CB208" s="82"/>
      <c r="CC208" s="82"/>
      <c r="CD208" s="82"/>
      <c r="CE208" s="82"/>
      <c r="CF208" s="82"/>
      <c r="CG208" s="82"/>
      <c r="CH208" s="82"/>
      <c r="CI208" s="82"/>
      <c r="CJ208" s="82"/>
      <c r="CK208" s="82"/>
      <c r="CL208" s="82"/>
      <c r="CM208" s="82"/>
      <c r="CN208" s="82"/>
      <c r="CO208" s="82"/>
      <c r="CP208" s="82"/>
      <c r="CQ208" s="82"/>
      <c r="CR208" s="82"/>
      <c r="CS208" s="82"/>
      <c r="CT208" s="82"/>
      <c r="CU208" s="82"/>
      <c r="CV208" s="82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  <c r="DQ208" s="82"/>
      <c r="DR208" s="82"/>
      <c r="DS208" s="82"/>
      <c r="DT208" s="82"/>
      <c r="DU208" s="82"/>
      <c r="DV208" s="82"/>
      <c r="DW208" s="82"/>
      <c r="DX208" s="82"/>
      <c r="DY208" s="82"/>
      <c r="DZ208" s="82"/>
      <c r="EA208" s="82"/>
      <c r="EB208" s="82"/>
      <c r="EC208" s="82"/>
      <c r="ED208" s="82"/>
      <c r="EE208" s="82"/>
      <c r="EF208" s="82"/>
      <c r="EG208" s="82"/>
      <c r="EH208" s="82"/>
      <c r="EI208" s="82"/>
      <c r="EJ208" s="82"/>
      <c r="EK208" s="82"/>
      <c r="EL208" s="82"/>
      <c r="EM208" s="82"/>
      <c r="EN208" s="82"/>
      <c r="EO208" s="82"/>
      <c r="EP208" s="82"/>
      <c r="EQ208" s="82"/>
      <c r="ER208" s="82"/>
      <c r="ES208" s="82"/>
      <c r="ET208" s="82"/>
      <c r="EU208" s="82"/>
      <c r="EV208" s="82"/>
      <c r="EW208" s="82"/>
      <c r="EX208" s="82"/>
      <c r="EY208" s="82"/>
      <c r="EZ208" s="82"/>
      <c r="FA208" s="82"/>
      <c r="FB208" s="82"/>
      <c r="FC208" s="82"/>
      <c r="FD208" s="82"/>
      <c r="FE208" s="82"/>
      <c r="FF208" s="82"/>
      <c r="FG208" s="82"/>
      <c r="FH208" s="82"/>
      <c r="FI208" s="82"/>
      <c r="FJ208" s="82"/>
      <c r="FK208" s="82"/>
      <c r="FL208" s="82"/>
      <c r="FM208" s="82"/>
      <c r="FN208" s="82"/>
      <c r="FO208" s="82"/>
      <c r="FP208" s="82"/>
      <c r="FQ208" s="82"/>
      <c r="FR208" s="82"/>
      <c r="FS208" s="82"/>
      <c r="FT208" s="82"/>
      <c r="FU208" s="82"/>
      <c r="FV208" s="82"/>
      <c r="FW208" s="82"/>
      <c r="FX208" s="82"/>
      <c r="FY208" s="82"/>
      <c r="FZ208" s="82"/>
      <c r="GA208" s="82"/>
      <c r="GB208" s="82"/>
      <c r="GC208" s="82"/>
      <c r="GD208" s="82"/>
      <c r="GE208" s="82"/>
      <c r="GF208" s="82"/>
      <c r="GG208" s="82"/>
      <c r="GH208" s="82"/>
      <c r="GI208" s="82"/>
      <c r="GJ208" s="82"/>
      <c r="GK208" s="82"/>
      <c r="GL208" s="82"/>
      <c r="GM208" s="82"/>
      <c r="GN208" s="82"/>
      <c r="GO208" s="82"/>
      <c r="GP208" s="82"/>
      <c r="GQ208" s="82"/>
      <c r="GR208" s="82"/>
      <c r="GS208" s="82"/>
      <c r="GT208" s="82"/>
      <c r="GU208" s="82"/>
      <c r="GV208" s="82"/>
      <c r="GW208" s="82"/>
      <c r="GX208" s="82"/>
      <c r="GY208" s="82"/>
      <c r="GZ208" s="82"/>
      <c r="HA208" s="82"/>
      <c r="HB208" s="82"/>
      <c r="HC208" s="82"/>
      <c r="HD208" s="82"/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3">
        <f t="shared" si="40"/>
        <v>0</v>
      </c>
      <c r="AW209" s="52"/>
      <c r="AX209" s="5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82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  <c r="DQ209" s="82"/>
      <c r="DR209" s="82"/>
      <c r="DS209" s="82"/>
      <c r="DT209" s="82"/>
      <c r="DU209" s="82"/>
      <c r="DV209" s="82"/>
      <c r="DW209" s="82"/>
      <c r="DX209" s="82"/>
      <c r="DY209" s="82"/>
      <c r="DZ209" s="82"/>
      <c r="EA209" s="82"/>
      <c r="EB209" s="82"/>
      <c r="EC209" s="82"/>
      <c r="ED209" s="82"/>
      <c r="EE209" s="82"/>
      <c r="EF209" s="82"/>
      <c r="EG209" s="82"/>
      <c r="EH209" s="82"/>
      <c r="EI209" s="82"/>
      <c r="EJ209" s="82"/>
      <c r="EK209" s="82"/>
      <c r="EL209" s="82"/>
      <c r="EM209" s="82"/>
      <c r="EN209" s="82"/>
      <c r="EO209" s="82"/>
      <c r="EP209" s="82"/>
      <c r="EQ209" s="82"/>
      <c r="ER209" s="82"/>
      <c r="ES209" s="82"/>
      <c r="ET209" s="82"/>
      <c r="EU209" s="82"/>
      <c r="EV209" s="82"/>
      <c r="EW209" s="82"/>
      <c r="EX209" s="82"/>
      <c r="EY209" s="82"/>
      <c r="EZ209" s="82"/>
      <c r="FA209" s="82"/>
      <c r="FB209" s="82"/>
      <c r="FC209" s="82"/>
      <c r="FD209" s="82"/>
      <c r="FE209" s="82"/>
      <c r="FF209" s="82"/>
      <c r="FG209" s="82"/>
      <c r="FH209" s="82"/>
      <c r="FI209" s="82"/>
      <c r="FJ209" s="82"/>
      <c r="FK209" s="82"/>
      <c r="FL209" s="82"/>
      <c r="FM209" s="82"/>
      <c r="FN209" s="82"/>
      <c r="FO209" s="82"/>
      <c r="FP209" s="82"/>
      <c r="FQ209" s="82"/>
      <c r="FR209" s="82"/>
      <c r="FS209" s="82"/>
      <c r="FT209" s="82"/>
      <c r="FU209" s="82"/>
      <c r="FV209" s="82"/>
      <c r="FW209" s="82"/>
      <c r="FX209" s="82"/>
      <c r="FY209" s="82"/>
      <c r="FZ209" s="82"/>
      <c r="GA209" s="82"/>
      <c r="GB209" s="82"/>
      <c r="GC209" s="82"/>
      <c r="GD209" s="82"/>
      <c r="GE209" s="82"/>
      <c r="GF209" s="82"/>
      <c r="GG209" s="82"/>
      <c r="GH209" s="82"/>
      <c r="GI209" s="82"/>
      <c r="GJ209" s="82"/>
      <c r="GK209" s="82"/>
      <c r="GL209" s="82"/>
      <c r="GM209" s="82"/>
      <c r="GN209" s="82"/>
      <c r="GO209" s="82"/>
      <c r="GP209" s="82"/>
      <c r="GQ209" s="82"/>
      <c r="GR209" s="82"/>
      <c r="GS209" s="82"/>
      <c r="GT209" s="82"/>
      <c r="GU209" s="82"/>
      <c r="GV209" s="82"/>
      <c r="GW209" s="82"/>
      <c r="GX209" s="82"/>
      <c r="GY209" s="82"/>
      <c r="GZ209" s="82"/>
      <c r="HA209" s="82"/>
      <c r="HB209" s="82"/>
      <c r="HC209" s="82"/>
      <c r="HD209" s="82"/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3">
        <f t="shared" si="40"/>
        <v>0</v>
      </c>
      <c r="AW210" s="52"/>
      <c r="AX210" s="5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82"/>
      <c r="DZ210" s="82"/>
      <c r="EA210" s="82"/>
      <c r="EB210" s="82"/>
      <c r="EC210" s="82"/>
      <c r="ED210" s="82"/>
      <c r="EE210" s="82"/>
      <c r="EF210" s="82"/>
      <c r="EG210" s="82"/>
      <c r="EH210" s="82"/>
      <c r="EI210" s="82"/>
      <c r="EJ210" s="82"/>
      <c r="EK210" s="82"/>
      <c r="EL210" s="82"/>
      <c r="EM210" s="82"/>
      <c r="EN210" s="82"/>
      <c r="EO210" s="82"/>
      <c r="EP210" s="82"/>
      <c r="EQ210" s="82"/>
      <c r="ER210" s="82"/>
      <c r="ES210" s="82"/>
      <c r="ET210" s="82"/>
      <c r="EU210" s="82"/>
      <c r="EV210" s="82"/>
      <c r="EW210" s="82"/>
      <c r="EX210" s="82"/>
      <c r="EY210" s="82"/>
      <c r="EZ210" s="82"/>
      <c r="FA210" s="82"/>
      <c r="FB210" s="82"/>
      <c r="FC210" s="82"/>
      <c r="FD210" s="82"/>
      <c r="FE210" s="82"/>
      <c r="FF210" s="82"/>
      <c r="FG210" s="82"/>
      <c r="FH210" s="82"/>
      <c r="FI210" s="82"/>
      <c r="FJ210" s="82"/>
      <c r="FK210" s="82"/>
      <c r="FL210" s="82"/>
      <c r="FM210" s="82"/>
      <c r="FN210" s="82"/>
      <c r="FO210" s="82"/>
      <c r="FP210" s="82"/>
      <c r="FQ210" s="82"/>
      <c r="FR210" s="82"/>
      <c r="FS210" s="82"/>
      <c r="FT210" s="82"/>
      <c r="FU210" s="82"/>
      <c r="FV210" s="82"/>
      <c r="FW210" s="82"/>
      <c r="FX210" s="82"/>
      <c r="FY210" s="82"/>
      <c r="FZ210" s="82"/>
      <c r="GA210" s="82"/>
      <c r="GB210" s="82"/>
      <c r="GC210" s="82"/>
      <c r="GD210" s="82"/>
      <c r="GE210" s="82"/>
      <c r="GF210" s="82"/>
      <c r="GG210" s="82"/>
      <c r="GH210" s="82"/>
      <c r="GI210" s="82"/>
      <c r="GJ210" s="82"/>
      <c r="GK210" s="82"/>
      <c r="GL210" s="82"/>
      <c r="GM210" s="82"/>
      <c r="GN210" s="82"/>
      <c r="GO210" s="82"/>
      <c r="GP210" s="82"/>
      <c r="GQ210" s="82"/>
      <c r="GR210" s="82"/>
      <c r="GS210" s="82"/>
      <c r="GT210" s="82"/>
      <c r="GU210" s="82"/>
      <c r="GV210" s="82"/>
      <c r="GW210" s="82"/>
      <c r="GX210" s="82"/>
      <c r="GY210" s="82"/>
      <c r="GZ210" s="82"/>
      <c r="HA210" s="82"/>
      <c r="HB210" s="82"/>
      <c r="HC210" s="82"/>
      <c r="HD210" s="8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V211" si="41">SUM(E201:E210)</f>
        <v>4</v>
      </c>
      <c r="F211" s="13">
        <f t="shared" si="41"/>
        <v>4</v>
      </c>
      <c r="G211" s="13">
        <f t="shared" si="41"/>
        <v>2</v>
      </c>
      <c r="H211" s="13">
        <f t="shared" si="41"/>
        <v>2</v>
      </c>
      <c r="I211" s="13">
        <f t="shared" si="41"/>
        <v>1</v>
      </c>
      <c r="J211" s="13">
        <f t="shared" si="41"/>
        <v>1</v>
      </c>
      <c r="K211" s="13">
        <f t="shared" si="41"/>
        <v>0</v>
      </c>
      <c r="L211" s="13">
        <f t="shared" si="41"/>
        <v>2</v>
      </c>
      <c r="M211" s="13">
        <f t="shared" si="41"/>
        <v>10</v>
      </c>
      <c r="N211" s="13">
        <f t="shared" si="41"/>
        <v>12</v>
      </c>
      <c r="O211" s="13">
        <f t="shared" si="41"/>
        <v>3</v>
      </c>
      <c r="P211" s="13">
        <f t="shared" si="41"/>
        <v>0</v>
      </c>
      <c r="Q211" s="13">
        <f t="shared" si="41"/>
        <v>6</v>
      </c>
      <c r="R211" s="13">
        <f t="shared" si="41"/>
        <v>0</v>
      </c>
      <c r="S211" s="13">
        <f t="shared" si="41"/>
        <v>2</v>
      </c>
      <c r="T211" s="13">
        <f t="shared" si="41"/>
        <v>0</v>
      </c>
      <c r="U211" s="13">
        <f t="shared" si="41"/>
        <v>4</v>
      </c>
      <c r="V211" s="13">
        <f t="shared" si="41"/>
        <v>3</v>
      </c>
      <c r="W211" s="13">
        <f t="shared" si="41"/>
        <v>0</v>
      </c>
      <c r="X211" s="13">
        <f t="shared" si="41"/>
        <v>2</v>
      </c>
      <c r="Y211" s="13">
        <f t="shared" si="41"/>
        <v>0</v>
      </c>
      <c r="Z211" s="13">
        <f t="shared" si="41"/>
        <v>1</v>
      </c>
      <c r="AA211" s="13">
        <f t="shared" si="41"/>
        <v>2</v>
      </c>
      <c r="AB211" s="13">
        <f t="shared" si="41"/>
        <v>2</v>
      </c>
      <c r="AC211" s="13">
        <f t="shared" si="41"/>
        <v>3</v>
      </c>
      <c r="AD211" s="13">
        <f t="shared" si="41"/>
        <v>0</v>
      </c>
      <c r="AE211" s="13">
        <f t="shared" si="41"/>
        <v>3</v>
      </c>
      <c r="AF211" s="13">
        <f t="shared" si="41"/>
        <v>10</v>
      </c>
      <c r="AG211" s="13">
        <f t="shared" si="41"/>
        <v>10</v>
      </c>
      <c r="AH211" s="13">
        <f t="shared" si="41"/>
        <v>5</v>
      </c>
      <c r="AI211" s="13">
        <f t="shared" si="41"/>
        <v>1</v>
      </c>
      <c r="AJ211" s="13">
        <f t="shared" si="41"/>
        <v>6</v>
      </c>
      <c r="AK211" s="13">
        <f t="shared" si="41"/>
        <v>45</v>
      </c>
      <c r="AL211" s="13">
        <f t="shared" si="41"/>
        <v>20</v>
      </c>
      <c r="AM211" s="13">
        <f t="shared" si="41"/>
        <v>15</v>
      </c>
      <c r="AN211" s="13">
        <f t="shared" si="41"/>
        <v>0</v>
      </c>
      <c r="AO211" s="13">
        <f t="shared" si="41"/>
        <v>0</v>
      </c>
      <c r="AP211" s="13">
        <f t="shared" si="41"/>
        <v>0</v>
      </c>
      <c r="AQ211" s="13">
        <f t="shared" si="41"/>
        <v>0</v>
      </c>
      <c r="AR211" s="13">
        <f t="shared" si="41"/>
        <v>0</v>
      </c>
      <c r="AS211" s="13">
        <f t="shared" si="41"/>
        <v>0</v>
      </c>
      <c r="AT211" s="13">
        <f t="shared" si="41"/>
        <v>0</v>
      </c>
      <c r="AU211" s="13">
        <f t="shared" si="41"/>
        <v>0</v>
      </c>
      <c r="AV211" s="13">
        <f t="shared" si="41"/>
        <v>181</v>
      </c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1.0</v>
      </c>
      <c r="H213" s="19">
        <v>0.0</v>
      </c>
      <c r="I213" s="19">
        <v>1.0</v>
      </c>
      <c r="J213" s="19">
        <v>1.0</v>
      </c>
      <c r="K213" s="19">
        <v>0.0</v>
      </c>
      <c r="L213" s="19">
        <v>0.0</v>
      </c>
      <c r="M213" s="19">
        <v>2.0</v>
      </c>
      <c r="N213" s="19">
        <v>2.0</v>
      </c>
      <c r="O213" s="19">
        <v>4.0</v>
      </c>
      <c r="P213" s="19">
        <v>2.0</v>
      </c>
      <c r="Q213" s="19">
        <v>0.0</v>
      </c>
      <c r="R213" s="19">
        <v>0.0</v>
      </c>
      <c r="S213" s="19">
        <v>1.0</v>
      </c>
      <c r="T213" s="19">
        <v>0.0</v>
      </c>
      <c r="U213" s="19">
        <v>1.0</v>
      </c>
      <c r="V213" s="19">
        <v>0.0</v>
      </c>
      <c r="W213" s="19">
        <v>0.0</v>
      </c>
      <c r="X213" s="19">
        <v>1.0</v>
      </c>
      <c r="Y213" s="19">
        <v>1.0</v>
      </c>
      <c r="Z213" s="19">
        <v>1.0</v>
      </c>
      <c r="AA213" s="19">
        <v>0.0</v>
      </c>
      <c r="AB213" s="19">
        <v>1.0</v>
      </c>
      <c r="AC213" s="19">
        <v>2.0</v>
      </c>
      <c r="AD213" s="19">
        <v>1.0</v>
      </c>
      <c r="AE213" s="19">
        <v>2.0</v>
      </c>
      <c r="AF213" s="19">
        <v>0.0</v>
      </c>
      <c r="AG213" s="19">
        <v>0.0</v>
      </c>
      <c r="AH213" s="19">
        <v>3.0</v>
      </c>
      <c r="AI213" s="19">
        <v>0.0</v>
      </c>
      <c r="AJ213" s="19">
        <v>1.0</v>
      </c>
      <c r="AK213" s="19">
        <v>1.0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0.0</v>
      </c>
      <c r="AR213" s="19">
        <v>0.0</v>
      </c>
      <c r="AS213" s="19">
        <v>0.0</v>
      </c>
      <c r="AT213" s="19">
        <v>0.0</v>
      </c>
      <c r="AU213" s="19">
        <v>0.0</v>
      </c>
      <c r="AV213" s="13">
        <f t="shared" ref="AV213:AV222" si="42">SUM(E213:AU213)</f>
        <v>32</v>
      </c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0.0</v>
      </c>
      <c r="G214" s="19">
        <v>0.0</v>
      </c>
      <c r="H214" s="19">
        <v>3.0</v>
      </c>
      <c r="I214" s="19">
        <v>0.0</v>
      </c>
      <c r="J214" s="19">
        <v>1.0</v>
      </c>
      <c r="K214" s="19">
        <v>1.0</v>
      </c>
      <c r="L214" s="19">
        <v>2.0</v>
      </c>
      <c r="M214" s="19">
        <v>4.0</v>
      </c>
      <c r="N214" s="19">
        <v>2.0</v>
      </c>
      <c r="O214" s="19">
        <v>3.0</v>
      </c>
      <c r="P214" s="19">
        <v>3.0</v>
      </c>
      <c r="Q214" s="19">
        <v>1.0</v>
      </c>
      <c r="R214" s="19">
        <v>1.0</v>
      </c>
      <c r="S214" s="19">
        <v>0.0</v>
      </c>
      <c r="T214" s="19">
        <v>0.0</v>
      </c>
      <c r="U214" s="19">
        <v>3.0</v>
      </c>
      <c r="V214" s="19">
        <v>1.0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2.0</v>
      </c>
      <c r="AB214" s="19">
        <v>2.0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2.0</v>
      </c>
      <c r="AL214" s="19">
        <v>1.0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0.0</v>
      </c>
      <c r="AT214" s="19">
        <v>0.0</v>
      </c>
      <c r="AU214" s="19">
        <v>0.0</v>
      </c>
      <c r="AV214" s="13">
        <f t="shared" si="42"/>
        <v>33</v>
      </c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3.0</v>
      </c>
      <c r="G215" s="19">
        <v>0.0</v>
      </c>
      <c r="H215" s="19">
        <v>0.0</v>
      </c>
      <c r="I215" s="19">
        <v>1.0</v>
      </c>
      <c r="J215" s="19">
        <v>0.0</v>
      </c>
      <c r="K215" s="19">
        <v>0.0</v>
      </c>
      <c r="L215" s="19">
        <v>3.0</v>
      </c>
      <c r="M215" s="19">
        <v>0.0</v>
      </c>
      <c r="N215" s="19">
        <v>1.0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1.0</v>
      </c>
      <c r="U215" s="19">
        <v>3.0</v>
      </c>
      <c r="V215" s="19">
        <v>0.0</v>
      </c>
      <c r="W215" s="19">
        <v>2.0</v>
      </c>
      <c r="X215" s="19">
        <v>1.0</v>
      </c>
      <c r="Y215" s="19">
        <v>1.0</v>
      </c>
      <c r="Z215" s="19">
        <v>0.0</v>
      </c>
      <c r="AA215" s="19">
        <v>0.0</v>
      </c>
      <c r="AB215" s="19">
        <v>1.0</v>
      </c>
      <c r="AC215" s="19">
        <v>0.0</v>
      </c>
      <c r="AD215" s="19">
        <v>1.0</v>
      </c>
      <c r="AE215" s="19">
        <v>1.0</v>
      </c>
      <c r="AF215" s="19">
        <v>0.0</v>
      </c>
      <c r="AG215" s="19">
        <v>0.0</v>
      </c>
      <c r="AH215" s="19">
        <v>0.0</v>
      </c>
      <c r="AI215" s="19">
        <v>0.0</v>
      </c>
      <c r="AJ215" s="19">
        <v>0.0</v>
      </c>
      <c r="AK215" s="19">
        <v>0.0</v>
      </c>
      <c r="AL215" s="19">
        <v>1.0</v>
      </c>
      <c r="AM215" s="19">
        <v>0.0</v>
      </c>
      <c r="AN215" s="19">
        <v>0.0</v>
      </c>
      <c r="AO215" s="19">
        <v>0.0</v>
      </c>
      <c r="AP215" s="19">
        <v>0.0</v>
      </c>
      <c r="AQ215" s="19">
        <v>0.0</v>
      </c>
      <c r="AR215" s="19">
        <v>0.0</v>
      </c>
      <c r="AS215" s="19">
        <v>0.0</v>
      </c>
      <c r="AT215" s="19">
        <v>0.0</v>
      </c>
      <c r="AU215" s="19">
        <v>0.0</v>
      </c>
      <c r="AV215" s="13">
        <f t="shared" si="42"/>
        <v>20</v>
      </c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2.0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3">
        <f t="shared" si="42"/>
        <v>6</v>
      </c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3">
        <f t="shared" si="42"/>
        <v>2</v>
      </c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3">
        <f t="shared" si="42"/>
        <v>1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3">
        <f t="shared" si="42"/>
        <v>4</v>
      </c>
      <c r="AW219" s="52"/>
      <c r="AX219" s="5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82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  <c r="DQ219" s="82"/>
      <c r="DR219" s="82"/>
      <c r="DS219" s="82"/>
      <c r="DT219" s="82"/>
      <c r="DU219" s="82"/>
      <c r="DV219" s="82"/>
      <c r="DW219" s="82"/>
      <c r="DX219" s="82"/>
      <c r="DY219" s="82"/>
      <c r="DZ219" s="82"/>
      <c r="EA219" s="82"/>
      <c r="EB219" s="82"/>
      <c r="EC219" s="82"/>
      <c r="ED219" s="82"/>
      <c r="EE219" s="82"/>
      <c r="EF219" s="82"/>
      <c r="EG219" s="82"/>
      <c r="EH219" s="82"/>
      <c r="EI219" s="82"/>
      <c r="EJ219" s="82"/>
      <c r="EK219" s="82"/>
      <c r="EL219" s="82"/>
      <c r="EM219" s="82"/>
      <c r="EN219" s="82"/>
      <c r="EO219" s="82"/>
      <c r="EP219" s="82"/>
      <c r="EQ219" s="82"/>
      <c r="ER219" s="82"/>
      <c r="ES219" s="82"/>
      <c r="ET219" s="82"/>
      <c r="EU219" s="82"/>
      <c r="EV219" s="82"/>
      <c r="EW219" s="82"/>
      <c r="EX219" s="82"/>
      <c r="EY219" s="82"/>
      <c r="EZ219" s="82"/>
      <c r="FA219" s="82"/>
      <c r="FB219" s="82"/>
      <c r="FC219" s="82"/>
      <c r="FD219" s="82"/>
      <c r="FE219" s="82"/>
      <c r="FF219" s="82"/>
      <c r="FG219" s="82"/>
      <c r="FH219" s="82"/>
      <c r="FI219" s="82"/>
      <c r="FJ219" s="82"/>
      <c r="FK219" s="82"/>
      <c r="FL219" s="82"/>
      <c r="FM219" s="82"/>
      <c r="FN219" s="82"/>
      <c r="FO219" s="82"/>
      <c r="FP219" s="82"/>
      <c r="FQ219" s="82"/>
      <c r="FR219" s="82"/>
      <c r="FS219" s="82"/>
      <c r="FT219" s="82"/>
      <c r="FU219" s="82"/>
      <c r="FV219" s="82"/>
      <c r="FW219" s="82"/>
      <c r="FX219" s="82"/>
      <c r="FY219" s="82"/>
      <c r="FZ219" s="82"/>
      <c r="GA219" s="82"/>
      <c r="GB219" s="82"/>
      <c r="GC219" s="82"/>
      <c r="GD219" s="82"/>
      <c r="GE219" s="82"/>
      <c r="GF219" s="82"/>
      <c r="GG219" s="82"/>
      <c r="GH219" s="82"/>
      <c r="GI219" s="82"/>
      <c r="GJ219" s="82"/>
      <c r="GK219" s="82"/>
      <c r="GL219" s="82"/>
      <c r="GM219" s="82"/>
      <c r="GN219" s="82"/>
      <c r="GO219" s="82"/>
      <c r="GP219" s="82"/>
      <c r="GQ219" s="82"/>
      <c r="GR219" s="82"/>
      <c r="GS219" s="82"/>
      <c r="GT219" s="82"/>
      <c r="GU219" s="82"/>
      <c r="GV219" s="82"/>
      <c r="GW219" s="82"/>
      <c r="GX219" s="82"/>
      <c r="GY219" s="82"/>
      <c r="GZ219" s="82"/>
      <c r="HA219" s="82"/>
      <c r="HB219" s="82"/>
      <c r="HC219" s="82"/>
      <c r="HD219" s="82"/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2.0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1.0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3">
        <f t="shared" si="42"/>
        <v>4</v>
      </c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3">
        <f t="shared" si="42"/>
        <v>0</v>
      </c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3">
        <f t="shared" si="42"/>
        <v>0</v>
      </c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V223" si="43">SUM(E213:E222)</f>
        <v>3</v>
      </c>
      <c r="F223" s="13">
        <f t="shared" si="43"/>
        <v>4</v>
      </c>
      <c r="G223" s="13">
        <f t="shared" si="43"/>
        <v>1</v>
      </c>
      <c r="H223" s="13">
        <f t="shared" si="43"/>
        <v>3</v>
      </c>
      <c r="I223" s="13">
        <f t="shared" si="43"/>
        <v>2</v>
      </c>
      <c r="J223" s="13">
        <f t="shared" si="43"/>
        <v>2</v>
      </c>
      <c r="K223" s="13">
        <f t="shared" si="43"/>
        <v>1</v>
      </c>
      <c r="L223" s="13">
        <f t="shared" si="43"/>
        <v>6</v>
      </c>
      <c r="M223" s="13">
        <f t="shared" si="43"/>
        <v>7</v>
      </c>
      <c r="N223" s="13">
        <f t="shared" si="43"/>
        <v>6</v>
      </c>
      <c r="O223" s="13">
        <f t="shared" si="43"/>
        <v>8</v>
      </c>
      <c r="P223" s="13">
        <f t="shared" si="43"/>
        <v>6</v>
      </c>
      <c r="Q223" s="13">
        <f t="shared" si="43"/>
        <v>1</v>
      </c>
      <c r="R223" s="13">
        <f t="shared" si="43"/>
        <v>1</v>
      </c>
      <c r="S223" s="13">
        <f t="shared" si="43"/>
        <v>2</v>
      </c>
      <c r="T223" s="13">
        <f t="shared" si="43"/>
        <v>3</v>
      </c>
      <c r="U223" s="13">
        <f t="shared" si="43"/>
        <v>9</v>
      </c>
      <c r="V223" s="13">
        <f t="shared" si="43"/>
        <v>1</v>
      </c>
      <c r="W223" s="13">
        <f t="shared" si="43"/>
        <v>2</v>
      </c>
      <c r="X223" s="13">
        <f t="shared" si="43"/>
        <v>3</v>
      </c>
      <c r="Y223" s="13">
        <f t="shared" si="43"/>
        <v>2</v>
      </c>
      <c r="Z223" s="13">
        <f t="shared" si="43"/>
        <v>2</v>
      </c>
      <c r="AA223" s="13">
        <f t="shared" si="43"/>
        <v>2</v>
      </c>
      <c r="AB223" s="13">
        <f t="shared" si="43"/>
        <v>7</v>
      </c>
      <c r="AC223" s="13">
        <f t="shared" si="43"/>
        <v>3</v>
      </c>
      <c r="AD223" s="13">
        <f t="shared" si="43"/>
        <v>2</v>
      </c>
      <c r="AE223" s="13">
        <f t="shared" si="43"/>
        <v>3</v>
      </c>
      <c r="AF223" s="13">
        <f t="shared" si="43"/>
        <v>0</v>
      </c>
      <c r="AG223" s="13">
        <f t="shared" si="43"/>
        <v>0</v>
      </c>
      <c r="AH223" s="13">
        <f t="shared" si="43"/>
        <v>3</v>
      </c>
      <c r="AI223" s="13">
        <f t="shared" si="43"/>
        <v>0</v>
      </c>
      <c r="AJ223" s="13">
        <f t="shared" si="43"/>
        <v>2</v>
      </c>
      <c r="AK223" s="13">
        <f t="shared" si="43"/>
        <v>3</v>
      </c>
      <c r="AL223" s="13">
        <f t="shared" si="43"/>
        <v>2</v>
      </c>
      <c r="AM223" s="13">
        <f t="shared" si="43"/>
        <v>0</v>
      </c>
      <c r="AN223" s="13">
        <f t="shared" si="43"/>
        <v>0</v>
      </c>
      <c r="AO223" s="13">
        <f t="shared" si="43"/>
        <v>0</v>
      </c>
      <c r="AP223" s="13">
        <f t="shared" si="43"/>
        <v>0</v>
      </c>
      <c r="AQ223" s="13">
        <f t="shared" si="43"/>
        <v>0</v>
      </c>
      <c r="AR223" s="13">
        <f t="shared" si="43"/>
        <v>0</v>
      </c>
      <c r="AS223" s="13">
        <f t="shared" si="43"/>
        <v>0</v>
      </c>
      <c r="AT223" s="13">
        <f t="shared" si="43"/>
        <v>0</v>
      </c>
      <c r="AU223" s="13">
        <f t="shared" si="43"/>
        <v>0</v>
      </c>
      <c r="AV223" s="13">
        <f t="shared" si="43"/>
        <v>102</v>
      </c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3.0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3">
        <f t="shared" ref="AV225:AV234" si="44">SUM(E225:AU225)</f>
        <v>5</v>
      </c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2.0</v>
      </c>
      <c r="I226" s="19">
        <v>3.0</v>
      </c>
      <c r="J226" s="19">
        <v>1.0</v>
      </c>
      <c r="K226" s="19">
        <v>0.0</v>
      </c>
      <c r="L226" s="19">
        <v>2.0</v>
      </c>
      <c r="M226" s="19">
        <v>0.0</v>
      </c>
      <c r="N226" s="19">
        <v>0.0</v>
      </c>
      <c r="O226" s="19">
        <v>0.0</v>
      </c>
      <c r="P226" s="19">
        <v>1.0</v>
      </c>
      <c r="Q226" s="19">
        <v>0.0</v>
      </c>
      <c r="R226" s="19">
        <v>0.0</v>
      </c>
      <c r="S226" s="19">
        <v>0.0</v>
      </c>
      <c r="T226" s="19">
        <v>0.0</v>
      </c>
      <c r="U226" s="19">
        <v>1.0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9">
        <v>0.0</v>
      </c>
      <c r="AT226" s="19">
        <v>0.0</v>
      </c>
      <c r="AU226" s="19">
        <v>0.0</v>
      </c>
      <c r="AV226" s="13">
        <f t="shared" si="44"/>
        <v>10</v>
      </c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3">
        <f t="shared" si="44"/>
        <v>1</v>
      </c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3">
        <f t="shared" si="44"/>
        <v>0</v>
      </c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3">
        <f t="shared" si="44"/>
        <v>0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1.0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3">
        <f t="shared" si="44"/>
        <v>1</v>
      </c>
      <c r="AW230" s="52"/>
      <c r="AX230" s="5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/>
      <c r="BX230" s="82"/>
      <c r="BY230" s="82"/>
      <c r="BZ230" s="82"/>
      <c r="CA230" s="82"/>
      <c r="CB230" s="82"/>
      <c r="CC230" s="82"/>
      <c r="CD230" s="82"/>
      <c r="CE230" s="82"/>
      <c r="CF230" s="82"/>
      <c r="CG230" s="82"/>
      <c r="CH230" s="82"/>
      <c r="CI230" s="82"/>
      <c r="CJ230" s="82"/>
      <c r="CK230" s="82"/>
      <c r="CL230" s="82"/>
      <c r="CM230" s="82"/>
      <c r="CN230" s="82"/>
      <c r="CO230" s="82"/>
      <c r="CP230" s="82"/>
      <c r="CQ230" s="82"/>
      <c r="CR230" s="82"/>
      <c r="CS230" s="82"/>
      <c r="CT230" s="82"/>
      <c r="CU230" s="82"/>
      <c r="CV230" s="82"/>
      <c r="CW230" s="82"/>
      <c r="CX230" s="82"/>
      <c r="CY230" s="82"/>
      <c r="CZ230" s="82"/>
      <c r="DA230" s="82"/>
      <c r="DB230" s="82"/>
      <c r="DC230" s="82"/>
      <c r="DD230" s="82"/>
      <c r="DE230" s="82"/>
      <c r="DF230" s="82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  <c r="DQ230" s="82"/>
      <c r="DR230" s="82"/>
      <c r="DS230" s="82"/>
      <c r="DT230" s="82"/>
      <c r="DU230" s="82"/>
      <c r="DV230" s="82"/>
      <c r="DW230" s="82"/>
      <c r="DX230" s="82"/>
      <c r="DY230" s="82"/>
      <c r="DZ230" s="82"/>
      <c r="EA230" s="82"/>
      <c r="EB230" s="82"/>
      <c r="EC230" s="82"/>
      <c r="ED230" s="82"/>
      <c r="EE230" s="82"/>
      <c r="EF230" s="82"/>
      <c r="EG230" s="82"/>
      <c r="EH230" s="82"/>
      <c r="EI230" s="82"/>
      <c r="EJ230" s="82"/>
      <c r="EK230" s="82"/>
      <c r="EL230" s="82"/>
      <c r="EM230" s="82"/>
      <c r="EN230" s="82"/>
      <c r="EO230" s="82"/>
      <c r="EP230" s="82"/>
      <c r="EQ230" s="82"/>
      <c r="ER230" s="82"/>
      <c r="ES230" s="82"/>
      <c r="ET230" s="82"/>
      <c r="EU230" s="82"/>
      <c r="EV230" s="82"/>
      <c r="EW230" s="82"/>
      <c r="EX230" s="82"/>
      <c r="EY230" s="82"/>
      <c r="EZ230" s="82"/>
      <c r="FA230" s="82"/>
      <c r="FB230" s="82"/>
      <c r="FC230" s="82"/>
      <c r="FD230" s="82"/>
      <c r="FE230" s="82"/>
      <c r="FF230" s="82"/>
      <c r="FG230" s="82"/>
      <c r="FH230" s="82"/>
      <c r="FI230" s="82"/>
      <c r="FJ230" s="82"/>
      <c r="FK230" s="82"/>
      <c r="FL230" s="82"/>
      <c r="FM230" s="82"/>
      <c r="FN230" s="82"/>
      <c r="FO230" s="82"/>
      <c r="FP230" s="82"/>
      <c r="FQ230" s="82"/>
      <c r="FR230" s="82"/>
      <c r="FS230" s="82"/>
      <c r="FT230" s="82"/>
      <c r="FU230" s="82"/>
      <c r="FV230" s="82"/>
      <c r="FW230" s="82"/>
      <c r="FX230" s="82"/>
      <c r="FY230" s="82"/>
      <c r="FZ230" s="82"/>
      <c r="GA230" s="82"/>
      <c r="GB230" s="82"/>
      <c r="GC230" s="82"/>
      <c r="GD230" s="82"/>
      <c r="GE230" s="82"/>
      <c r="GF230" s="82"/>
      <c r="GG230" s="82"/>
      <c r="GH230" s="82"/>
      <c r="GI230" s="82"/>
      <c r="GJ230" s="82"/>
      <c r="GK230" s="82"/>
      <c r="GL230" s="82"/>
      <c r="GM230" s="82"/>
      <c r="GN230" s="82"/>
      <c r="GO230" s="82"/>
      <c r="GP230" s="82"/>
      <c r="GQ230" s="82"/>
      <c r="GR230" s="82"/>
      <c r="GS230" s="82"/>
      <c r="GT230" s="82"/>
      <c r="GU230" s="82"/>
      <c r="GV230" s="82"/>
      <c r="GW230" s="82"/>
      <c r="GX230" s="82"/>
      <c r="GY230" s="82"/>
      <c r="GZ230" s="82"/>
      <c r="HA230" s="82"/>
      <c r="HB230" s="82"/>
      <c r="HC230" s="82"/>
      <c r="HD230" s="82"/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3">
        <f t="shared" si="44"/>
        <v>0</v>
      </c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3">
        <f t="shared" si="44"/>
        <v>3</v>
      </c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3">
        <f t="shared" si="44"/>
        <v>0</v>
      </c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3">
        <f t="shared" si="44"/>
        <v>0</v>
      </c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V235" si="45">SUM(E225:E234)</f>
        <v>0</v>
      </c>
      <c r="F235" s="13">
        <f t="shared" si="45"/>
        <v>0</v>
      </c>
      <c r="G235" s="13">
        <f t="shared" si="45"/>
        <v>3</v>
      </c>
      <c r="H235" s="13">
        <f t="shared" si="45"/>
        <v>2</v>
      </c>
      <c r="I235" s="13">
        <f t="shared" si="45"/>
        <v>4</v>
      </c>
      <c r="J235" s="13">
        <f t="shared" si="45"/>
        <v>1</v>
      </c>
      <c r="K235" s="13">
        <f t="shared" si="45"/>
        <v>0</v>
      </c>
      <c r="L235" s="13">
        <f t="shared" si="45"/>
        <v>2</v>
      </c>
      <c r="M235" s="13">
        <f t="shared" si="45"/>
        <v>1</v>
      </c>
      <c r="N235" s="13">
        <f t="shared" si="45"/>
        <v>1</v>
      </c>
      <c r="O235" s="13">
        <f t="shared" si="45"/>
        <v>0</v>
      </c>
      <c r="P235" s="13">
        <f t="shared" si="45"/>
        <v>2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0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 t="shared" si="45"/>
        <v>0</v>
      </c>
      <c r="AT235" s="13">
        <f t="shared" si="45"/>
        <v>0</v>
      </c>
      <c r="AU235" s="13">
        <f t="shared" si="45"/>
        <v>0</v>
      </c>
      <c r="AV235" s="13">
        <f t="shared" si="45"/>
        <v>20</v>
      </c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3.0</v>
      </c>
      <c r="G237" s="19">
        <v>1.0</v>
      </c>
      <c r="H237" s="19">
        <v>1.0</v>
      </c>
      <c r="I237" s="19">
        <v>1.0</v>
      </c>
      <c r="J237" s="19">
        <v>0.0</v>
      </c>
      <c r="K237" s="19">
        <v>0.0</v>
      </c>
      <c r="L237" s="19">
        <v>0.0</v>
      </c>
      <c r="M237" s="19">
        <v>1.0</v>
      </c>
      <c r="N237" s="19">
        <v>0.0</v>
      </c>
      <c r="O237" s="19">
        <v>1.0</v>
      </c>
      <c r="P237" s="19">
        <v>0.0</v>
      </c>
      <c r="Q237" s="19">
        <v>1.0</v>
      </c>
      <c r="R237" s="19">
        <v>14.0</v>
      </c>
      <c r="S237" s="19">
        <v>1.0</v>
      </c>
      <c r="T237" s="19">
        <v>2.0</v>
      </c>
      <c r="U237" s="19">
        <v>0.0</v>
      </c>
      <c r="V237" s="19">
        <v>2.0</v>
      </c>
      <c r="W237" s="19">
        <v>1.0</v>
      </c>
      <c r="X237" s="19">
        <v>1.0</v>
      </c>
      <c r="Y237" s="19">
        <v>3.0</v>
      </c>
      <c r="Z237" s="19">
        <v>5.0</v>
      </c>
      <c r="AA237" s="19">
        <v>6.0</v>
      </c>
      <c r="AB237" s="19">
        <v>0.0</v>
      </c>
      <c r="AC237" s="19">
        <v>0.0</v>
      </c>
      <c r="AD237" s="19">
        <v>1.0</v>
      </c>
      <c r="AE237" s="19">
        <v>0.0</v>
      </c>
      <c r="AF237" s="19">
        <v>2.0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4.0</v>
      </c>
      <c r="AN237" s="19">
        <v>0.0</v>
      </c>
      <c r="AO237" s="19">
        <v>0.0</v>
      </c>
      <c r="AP237" s="19">
        <v>0.0</v>
      </c>
      <c r="AQ237" s="19">
        <v>0.0</v>
      </c>
      <c r="AR237" s="19">
        <v>0.0</v>
      </c>
      <c r="AS237" s="19">
        <v>0.0</v>
      </c>
      <c r="AT237" s="19">
        <v>0.0</v>
      </c>
      <c r="AU237" s="19">
        <v>0.0</v>
      </c>
      <c r="AV237" s="13">
        <f t="shared" ref="AV237:AV246" si="46">SUM(E237:AU237)</f>
        <v>52</v>
      </c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5.0</v>
      </c>
      <c r="F238" s="19">
        <v>1.0</v>
      </c>
      <c r="G238" s="19">
        <v>1.0</v>
      </c>
      <c r="H238" s="19">
        <v>1.0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2.0</v>
      </c>
      <c r="S238" s="19">
        <v>0.0</v>
      </c>
      <c r="T238" s="19">
        <v>2.0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5.0</v>
      </c>
      <c r="AA238" s="19">
        <v>2.0</v>
      </c>
      <c r="AB238" s="19">
        <v>0.0</v>
      </c>
      <c r="AC238" s="19">
        <v>3.0</v>
      </c>
      <c r="AD238" s="19">
        <v>1.0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1.0</v>
      </c>
      <c r="AL238" s="19">
        <v>0.0</v>
      </c>
      <c r="AM238" s="19">
        <v>1.0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3">
        <f t="shared" si="46"/>
        <v>27</v>
      </c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2.0</v>
      </c>
      <c r="G239" s="19">
        <v>3.0</v>
      </c>
      <c r="H239" s="19">
        <v>4.0</v>
      </c>
      <c r="I239" s="19">
        <v>2.0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3.0</v>
      </c>
      <c r="S239" s="19">
        <v>1.0</v>
      </c>
      <c r="T239" s="19">
        <v>0.0</v>
      </c>
      <c r="U239" s="19">
        <v>1.0</v>
      </c>
      <c r="V239" s="19">
        <v>1.0</v>
      </c>
      <c r="W239" s="19">
        <v>0.0</v>
      </c>
      <c r="X239" s="19">
        <v>0.0</v>
      </c>
      <c r="Y239" s="19">
        <v>1.0</v>
      </c>
      <c r="Z239" s="19">
        <v>3.0</v>
      </c>
      <c r="AA239" s="19">
        <v>6.0</v>
      </c>
      <c r="AB239" s="19">
        <v>0.0</v>
      </c>
      <c r="AC239" s="19">
        <v>0.0</v>
      </c>
      <c r="AD239" s="19">
        <v>2.0</v>
      </c>
      <c r="AE239" s="19">
        <v>0.0</v>
      </c>
      <c r="AF239" s="19">
        <v>0.0</v>
      </c>
      <c r="AG239" s="19">
        <v>0.0</v>
      </c>
      <c r="AH239" s="19">
        <v>1.0</v>
      </c>
      <c r="AI239" s="19">
        <v>0.0</v>
      </c>
      <c r="AJ239" s="19">
        <v>0.0</v>
      </c>
      <c r="AK239" s="19">
        <v>1.0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0.0</v>
      </c>
      <c r="AU239" s="19">
        <v>0.0</v>
      </c>
      <c r="AV239" s="13">
        <f t="shared" si="46"/>
        <v>31</v>
      </c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3">
        <f t="shared" si="46"/>
        <v>2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1.0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1.0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1.0</v>
      </c>
      <c r="S243" s="19">
        <v>0.0</v>
      </c>
      <c r="T243" s="19">
        <v>1.0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1.0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3.0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2.0</v>
      </c>
      <c r="AD244" s="19">
        <v>1.0</v>
      </c>
      <c r="AE244" s="19">
        <v>3.0</v>
      </c>
      <c r="AF244" s="19">
        <v>4.0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0.0</v>
      </c>
      <c r="AM244" s="19">
        <v>2.0</v>
      </c>
      <c r="AN244" s="19">
        <v>0.0</v>
      </c>
      <c r="AO244" s="19">
        <v>0.0</v>
      </c>
      <c r="AP244" s="19">
        <v>0.0</v>
      </c>
      <c r="AQ244" s="19">
        <v>0.0</v>
      </c>
      <c r="AR244" s="19">
        <v>0.0</v>
      </c>
      <c r="AS244" s="19">
        <v>0.0</v>
      </c>
      <c r="AT244" s="19">
        <v>0.0</v>
      </c>
      <c r="AU244" s="19">
        <v>0.0</v>
      </c>
      <c r="AV244" s="13">
        <f t="shared" si="46"/>
        <v>16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V247" si="47">SUM(E237:E246)</f>
        <v>7</v>
      </c>
      <c r="F247" s="13">
        <f t="shared" si="47"/>
        <v>6</v>
      </c>
      <c r="G247" s="13">
        <f t="shared" si="47"/>
        <v>6</v>
      </c>
      <c r="H247" s="13">
        <f t="shared" si="47"/>
        <v>7</v>
      </c>
      <c r="I247" s="13">
        <f t="shared" si="47"/>
        <v>5</v>
      </c>
      <c r="J247" s="13">
        <f t="shared" si="47"/>
        <v>0</v>
      </c>
      <c r="K247" s="13">
        <f t="shared" si="47"/>
        <v>0</v>
      </c>
      <c r="L247" s="13">
        <f t="shared" si="47"/>
        <v>0</v>
      </c>
      <c r="M247" s="13">
        <f t="shared" si="47"/>
        <v>4</v>
      </c>
      <c r="N247" s="13">
        <f t="shared" si="47"/>
        <v>0</v>
      </c>
      <c r="O247" s="13">
        <f t="shared" si="47"/>
        <v>3</v>
      </c>
      <c r="P247" s="13">
        <f t="shared" si="47"/>
        <v>0</v>
      </c>
      <c r="Q247" s="13">
        <f t="shared" si="47"/>
        <v>1</v>
      </c>
      <c r="R247" s="13">
        <f t="shared" si="47"/>
        <v>21</v>
      </c>
      <c r="S247" s="13">
        <f t="shared" si="47"/>
        <v>2</v>
      </c>
      <c r="T247" s="13">
        <f t="shared" si="47"/>
        <v>5</v>
      </c>
      <c r="U247" s="13">
        <f t="shared" si="47"/>
        <v>1</v>
      </c>
      <c r="V247" s="13">
        <f t="shared" si="47"/>
        <v>4</v>
      </c>
      <c r="W247" s="13">
        <f t="shared" si="47"/>
        <v>1</v>
      </c>
      <c r="X247" s="13">
        <f t="shared" si="47"/>
        <v>1</v>
      </c>
      <c r="Y247" s="13">
        <f t="shared" si="47"/>
        <v>4</v>
      </c>
      <c r="Z247" s="13">
        <f t="shared" si="47"/>
        <v>14</v>
      </c>
      <c r="AA247" s="13">
        <f t="shared" si="47"/>
        <v>14</v>
      </c>
      <c r="AB247" s="13">
        <f t="shared" si="47"/>
        <v>0</v>
      </c>
      <c r="AC247" s="13">
        <f t="shared" si="47"/>
        <v>5</v>
      </c>
      <c r="AD247" s="13">
        <f t="shared" si="47"/>
        <v>6</v>
      </c>
      <c r="AE247" s="13">
        <f t="shared" si="47"/>
        <v>3</v>
      </c>
      <c r="AF247" s="13">
        <f t="shared" si="47"/>
        <v>6</v>
      </c>
      <c r="AG247" s="13">
        <f t="shared" si="47"/>
        <v>0</v>
      </c>
      <c r="AH247" s="13">
        <f t="shared" si="47"/>
        <v>1</v>
      </c>
      <c r="AI247" s="13">
        <f t="shared" si="47"/>
        <v>0</v>
      </c>
      <c r="AJ247" s="13">
        <f t="shared" si="47"/>
        <v>0</v>
      </c>
      <c r="AK247" s="13">
        <f t="shared" si="47"/>
        <v>2</v>
      </c>
      <c r="AL247" s="13">
        <f t="shared" si="47"/>
        <v>0</v>
      </c>
      <c r="AM247" s="13">
        <f t="shared" si="47"/>
        <v>7</v>
      </c>
      <c r="AN247" s="13">
        <f t="shared" si="47"/>
        <v>0</v>
      </c>
      <c r="AO247" s="13">
        <f t="shared" si="47"/>
        <v>0</v>
      </c>
      <c r="AP247" s="13">
        <f t="shared" si="47"/>
        <v>0</v>
      </c>
      <c r="AQ247" s="13">
        <f t="shared" si="47"/>
        <v>0</v>
      </c>
      <c r="AR247" s="13">
        <f t="shared" si="47"/>
        <v>0</v>
      </c>
      <c r="AS247" s="13">
        <f t="shared" si="47"/>
        <v>0</v>
      </c>
      <c r="AT247" s="13">
        <f t="shared" si="47"/>
        <v>0</v>
      </c>
      <c r="AU247" s="13">
        <f t="shared" si="47"/>
        <v>0</v>
      </c>
      <c r="AV247" s="13">
        <f t="shared" si="47"/>
        <v>136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3">
        <f t="shared" ref="AV249:AV258" si="48">SUM(E249:AU249)</f>
        <v>0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3">
        <f t="shared" si="48"/>
        <v>2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1.0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V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U262" si="50">E55+E67+E79+E91+E103+E115+E127+E139+E151+E163+E175+E187+E199+E211+E223+E235+E247+E259</f>
        <v>209</v>
      </c>
      <c r="F262" s="19">
        <f t="shared" si="50"/>
        <v>234</v>
      </c>
      <c r="G262" s="19">
        <f t="shared" si="50"/>
        <v>167</v>
      </c>
      <c r="H262" s="19">
        <f t="shared" si="50"/>
        <v>202</v>
      </c>
      <c r="I262" s="19">
        <f t="shared" si="50"/>
        <v>199</v>
      </c>
      <c r="J262" s="19">
        <f t="shared" si="50"/>
        <v>186</v>
      </c>
      <c r="K262" s="19">
        <f t="shared" si="50"/>
        <v>184</v>
      </c>
      <c r="L262" s="19">
        <f t="shared" si="50"/>
        <v>207</v>
      </c>
      <c r="M262" s="19">
        <f t="shared" si="50"/>
        <v>187</v>
      </c>
      <c r="N262" s="19">
        <f t="shared" si="50"/>
        <v>193</v>
      </c>
      <c r="O262" s="19">
        <f t="shared" si="50"/>
        <v>180</v>
      </c>
      <c r="P262" s="19">
        <f t="shared" si="50"/>
        <v>151</v>
      </c>
      <c r="Q262" s="19">
        <f t="shared" si="50"/>
        <v>127</v>
      </c>
      <c r="R262" s="19">
        <f t="shared" si="50"/>
        <v>197</v>
      </c>
      <c r="S262" s="19">
        <f t="shared" si="50"/>
        <v>140</v>
      </c>
      <c r="T262" s="19">
        <f t="shared" si="50"/>
        <v>220</v>
      </c>
      <c r="U262" s="19">
        <f t="shared" si="50"/>
        <v>193</v>
      </c>
      <c r="V262" s="19">
        <f t="shared" si="50"/>
        <v>197</v>
      </c>
      <c r="W262" s="19">
        <f t="shared" si="50"/>
        <v>209</v>
      </c>
      <c r="X262" s="19">
        <f t="shared" si="50"/>
        <v>206</v>
      </c>
      <c r="Y262" s="19">
        <f t="shared" si="50"/>
        <v>198</v>
      </c>
      <c r="Z262" s="19">
        <f t="shared" si="50"/>
        <v>190</v>
      </c>
      <c r="AA262" s="19">
        <f t="shared" si="50"/>
        <v>209</v>
      </c>
      <c r="AB262" s="19">
        <f t="shared" si="50"/>
        <v>195</v>
      </c>
      <c r="AC262" s="19">
        <f t="shared" si="50"/>
        <v>158</v>
      </c>
      <c r="AD262" s="19">
        <f t="shared" si="50"/>
        <v>150</v>
      </c>
      <c r="AE262" s="19">
        <f t="shared" si="50"/>
        <v>156</v>
      </c>
      <c r="AF262" s="19">
        <f t="shared" si="50"/>
        <v>159</v>
      </c>
      <c r="AG262" s="19">
        <f t="shared" si="50"/>
        <v>163</v>
      </c>
      <c r="AH262" s="19">
        <f t="shared" si="50"/>
        <v>129</v>
      </c>
      <c r="AI262" s="19">
        <f t="shared" si="50"/>
        <v>184</v>
      </c>
      <c r="AJ262" s="19">
        <f t="shared" si="50"/>
        <v>149</v>
      </c>
      <c r="AK262" s="19">
        <f t="shared" si="50"/>
        <v>159</v>
      </c>
      <c r="AL262" s="19">
        <f t="shared" si="50"/>
        <v>241</v>
      </c>
      <c r="AM262" s="19">
        <f t="shared" si="50"/>
        <v>195</v>
      </c>
      <c r="AN262" s="19">
        <f t="shared" si="50"/>
        <v>0</v>
      </c>
      <c r="AO262" s="19">
        <f t="shared" si="50"/>
        <v>0</v>
      </c>
      <c r="AP262" s="19">
        <f t="shared" si="50"/>
        <v>3</v>
      </c>
      <c r="AQ262" s="19">
        <f t="shared" si="50"/>
        <v>1</v>
      </c>
      <c r="AR262" s="19">
        <f t="shared" si="50"/>
        <v>1</v>
      </c>
      <c r="AS262" s="19">
        <f t="shared" si="50"/>
        <v>0</v>
      </c>
      <c r="AT262" s="19">
        <f t="shared" si="50"/>
        <v>2</v>
      </c>
      <c r="AU262" s="19">
        <f t="shared" si="50"/>
        <v>0</v>
      </c>
      <c r="AV262" s="13">
        <f t="shared" ref="AV262:AV264" si="51">SUM(E262:AU262)</f>
        <v>6430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20.0</v>
      </c>
      <c r="F263" s="19">
        <v>8.0</v>
      </c>
      <c r="G263" s="19">
        <v>37.0</v>
      </c>
      <c r="H263" s="19">
        <v>11.0</v>
      </c>
      <c r="I263" s="19">
        <v>13.0</v>
      </c>
      <c r="J263" s="19">
        <v>15.0</v>
      </c>
      <c r="K263" s="19">
        <v>15.0</v>
      </c>
      <c r="L263" s="19">
        <v>25.0</v>
      </c>
      <c r="M263" s="19">
        <v>16.0</v>
      </c>
      <c r="N263" s="19">
        <v>20.0</v>
      </c>
      <c r="O263" s="19">
        <v>30.0</v>
      </c>
      <c r="P263" s="19">
        <v>11.0</v>
      </c>
      <c r="Q263" s="19">
        <v>27.0</v>
      </c>
      <c r="R263" s="19">
        <v>9.0</v>
      </c>
      <c r="S263" s="19">
        <v>21.0</v>
      </c>
      <c r="T263" s="19">
        <v>9.0</v>
      </c>
      <c r="U263" s="19">
        <v>19.0</v>
      </c>
      <c r="V263" s="19">
        <v>11.0</v>
      </c>
      <c r="W263" s="19">
        <v>1.0</v>
      </c>
      <c r="X263" s="19">
        <v>15.0</v>
      </c>
      <c r="Y263" s="19">
        <v>7.0</v>
      </c>
      <c r="Z263" s="19">
        <v>15.0</v>
      </c>
      <c r="AA263" s="19">
        <v>26.0</v>
      </c>
      <c r="AB263" s="19">
        <v>25.0</v>
      </c>
      <c r="AC263" s="19">
        <v>22.0</v>
      </c>
      <c r="AD263" s="19">
        <v>9.0</v>
      </c>
      <c r="AE263" s="19">
        <v>14.0</v>
      </c>
      <c r="AF263" s="19">
        <v>14.0</v>
      </c>
      <c r="AG263" s="19">
        <v>3.0</v>
      </c>
      <c r="AH263" s="19">
        <v>17.0</v>
      </c>
      <c r="AI263" s="19">
        <v>4.0</v>
      </c>
      <c r="AJ263" s="19">
        <v>12.0</v>
      </c>
      <c r="AK263" s="19">
        <v>14.0</v>
      </c>
      <c r="AL263" s="19">
        <v>5.0</v>
      </c>
      <c r="AM263" s="19">
        <v>18.0</v>
      </c>
      <c r="AN263" s="19">
        <v>0.0</v>
      </c>
      <c r="AO263" s="19">
        <v>0.0</v>
      </c>
      <c r="AP263" s="19">
        <v>0.0</v>
      </c>
      <c r="AQ263" s="19">
        <v>0.0</v>
      </c>
      <c r="AR263" s="19">
        <v>0.0</v>
      </c>
      <c r="AS263" s="19">
        <v>0.0</v>
      </c>
      <c r="AT263" s="19">
        <v>0.0</v>
      </c>
      <c r="AU263" s="19">
        <v>0.0</v>
      </c>
      <c r="AV263" s="13">
        <f t="shared" si="51"/>
        <v>538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U264" si="52">SUM(E262:E263)</f>
        <v>229</v>
      </c>
      <c r="F264" s="13">
        <f t="shared" si="52"/>
        <v>242</v>
      </c>
      <c r="G264" s="13">
        <f t="shared" si="52"/>
        <v>204</v>
      </c>
      <c r="H264" s="13">
        <f t="shared" si="52"/>
        <v>213</v>
      </c>
      <c r="I264" s="13">
        <f t="shared" si="52"/>
        <v>212</v>
      </c>
      <c r="J264" s="13">
        <f t="shared" si="52"/>
        <v>201</v>
      </c>
      <c r="K264" s="13">
        <f t="shared" si="52"/>
        <v>199</v>
      </c>
      <c r="L264" s="13">
        <f t="shared" si="52"/>
        <v>232</v>
      </c>
      <c r="M264" s="13">
        <f t="shared" si="52"/>
        <v>203</v>
      </c>
      <c r="N264" s="13">
        <f t="shared" si="52"/>
        <v>213</v>
      </c>
      <c r="O264" s="13">
        <f t="shared" si="52"/>
        <v>210</v>
      </c>
      <c r="P264" s="13">
        <f t="shared" si="52"/>
        <v>162</v>
      </c>
      <c r="Q264" s="13">
        <f t="shared" si="52"/>
        <v>154</v>
      </c>
      <c r="R264" s="13">
        <f t="shared" si="52"/>
        <v>206</v>
      </c>
      <c r="S264" s="13">
        <f t="shared" si="52"/>
        <v>161</v>
      </c>
      <c r="T264" s="13">
        <f t="shared" si="52"/>
        <v>229</v>
      </c>
      <c r="U264" s="13">
        <f t="shared" si="52"/>
        <v>212</v>
      </c>
      <c r="V264" s="13">
        <f t="shared" si="52"/>
        <v>208</v>
      </c>
      <c r="W264" s="13">
        <f t="shared" si="52"/>
        <v>210</v>
      </c>
      <c r="X264" s="13">
        <f t="shared" si="52"/>
        <v>221</v>
      </c>
      <c r="Y264" s="13">
        <f t="shared" si="52"/>
        <v>205</v>
      </c>
      <c r="Z264" s="13">
        <f t="shared" si="52"/>
        <v>205</v>
      </c>
      <c r="AA264" s="13">
        <f t="shared" si="52"/>
        <v>235</v>
      </c>
      <c r="AB264" s="13">
        <f t="shared" si="52"/>
        <v>220</v>
      </c>
      <c r="AC264" s="13">
        <f t="shared" si="52"/>
        <v>180</v>
      </c>
      <c r="AD264" s="13">
        <f t="shared" si="52"/>
        <v>159</v>
      </c>
      <c r="AE264" s="13">
        <f t="shared" si="52"/>
        <v>170</v>
      </c>
      <c r="AF264" s="13">
        <f t="shared" si="52"/>
        <v>173</v>
      </c>
      <c r="AG264" s="13">
        <f t="shared" si="52"/>
        <v>166</v>
      </c>
      <c r="AH264" s="13">
        <f t="shared" si="52"/>
        <v>146</v>
      </c>
      <c r="AI264" s="13">
        <f t="shared" si="52"/>
        <v>188</v>
      </c>
      <c r="AJ264" s="13">
        <f t="shared" si="52"/>
        <v>161</v>
      </c>
      <c r="AK264" s="13">
        <f t="shared" si="52"/>
        <v>173</v>
      </c>
      <c r="AL264" s="13">
        <f t="shared" si="52"/>
        <v>246</v>
      </c>
      <c r="AM264" s="13">
        <f t="shared" si="52"/>
        <v>213</v>
      </c>
      <c r="AN264" s="13">
        <f t="shared" si="52"/>
        <v>0</v>
      </c>
      <c r="AO264" s="13">
        <f t="shared" si="52"/>
        <v>0</v>
      </c>
      <c r="AP264" s="13">
        <f t="shared" si="52"/>
        <v>3</v>
      </c>
      <c r="AQ264" s="13">
        <f t="shared" si="52"/>
        <v>1</v>
      </c>
      <c r="AR264" s="13">
        <f t="shared" si="52"/>
        <v>1</v>
      </c>
      <c r="AS264" s="13">
        <f t="shared" si="52"/>
        <v>0</v>
      </c>
      <c r="AT264" s="13">
        <f t="shared" si="52"/>
        <v>2</v>
      </c>
      <c r="AU264" s="13">
        <f t="shared" si="52"/>
        <v>0</v>
      </c>
      <c r="AV264" s="13">
        <f t="shared" si="51"/>
        <v>6968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U15 E19:AU20 E22:AU23 E25:AU26 E33:AU33 E35:AU35 E39:AU40 E45:AU54 E57:AU66 E69:AU78 E81:AU90 E93:AU102 E105:AU114 E117:AU126 E129:AU138 E141:AU150 E153:AU162 E165:AU174 E177:AU186 E189:AU198 E201:AU210 E213:AU222 E225:AU234 E237:AU246 E249:AU258 E262:AU263">
    <cfRule type="containsBlanks" dxfId="1" priority="1">
      <formula>LEN(TRIM(E14))=0</formula>
    </cfRule>
  </conditionalFormatting>
  <conditionalFormatting sqref="E30:AU30">
    <cfRule type="expression" dxfId="0" priority="2">
      <formula>E30&lt;&gt;E47</formula>
    </cfRule>
  </conditionalFormatting>
  <conditionalFormatting sqref="E30:AU30">
    <cfRule type="expression" dxfId="0" priority="3">
      <formula>E30&lt;&gt;E34</formula>
    </cfRule>
  </conditionalFormatting>
  <conditionalFormatting sqref="E34:AU34">
    <cfRule type="expression" dxfId="2" priority="4">
      <formula>E30&lt;&gt;E34</formula>
    </cfRule>
  </conditionalFormatting>
  <conditionalFormatting sqref="E34:AU34">
    <cfRule type="expression" dxfId="3" priority="5">
      <formula>E30=E34</formula>
    </cfRule>
  </conditionalFormatting>
  <conditionalFormatting sqref="E34:AU34">
    <cfRule type="expression" dxfId="0" priority="6">
      <formula>E34&lt;&gt;E30</formula>
    </cfRule>
  </conditionalFormatting>
  <conditionalFormatting sqref="E34:AU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134.0</v>
      </c>
      <c r="F14" s="19">
        <v>122.0</v>
      </c>
      <c r="G14" s="19">
        <v>127.0</v>
      </c>
      <c r="H14" s="19">
        <v>124.0</v>
      </c>
      <c r="I14" s="19">
        <v>130.0</v>
      </c>
      <c r="J14" s="19">
        <v>113.0</v>
      </c>
      <c r="K14" s="19">
        <v>133.0</v>
      </c>
      <c r="L14" s="19">
        <v>118.0</v>
      </c>
      <c r="M14" s="19">
        <v>138.0</v>
      </c>
      <c r="N14" s="19">
        <v>145.0</v>
      </c>
      <c r="O14" s="19">
        <v>127.0</v>
      </c>
      <c r="P14" s="19">
        <v>128.0</v>
      </c>
      <c r="Q14" s="19">
        <v>135.0</v>
      </c>
      <c r="R14" s="19">
        <v>117.0</v>
      </c>
      <c r="S14" s="19">
        <v>107.0</v>
      </c>
      <c r="T14" s="19">
        <v>118.0</v>
      </c>
      <c r="U14" s="19">
        <v>120.0</v>
      </c>
      <c r="V14" s="19">
        <v>134.0</v>
      </c>
      <c r="W14" s="13">
        <f t="shared" ref="W14:W16" si="1">SUM(E14:V14)</f>
        <v>2270</v>
      </c>
    </row>
    <row r="15" ht="12.75" customHeight="1">
      <c r="A15" s="18"/>
      <c r="B15" s="26"/>
      <c r="C15" s="27"/>
      <c r="D15" s="19" t="s">
        <v>13</v>
      </c>
      <c r="E15" s="19">
        <v>122.0</v>
      </c>
      <c r="F15" s="19">
        <v>131.0</v>
      </c>
      <c r="G15" s="19">
        <v>128.0</v>
      </c>
      <c r="H15" s="19">
        <v>136.0</v>
      </c>
      <c r="I15" s="19">
        <v>120.0</v>
      </c>
      <c r="J15" s="19">
        <v>127.0</v>
      </c>
      <c r="K15" s="19">
        <v>117.0</v>
      </c>
      <c r="L15" s="19">
        <v>125.0</v>
      </c>
      <c r="M15" s="19">
        <v>132.0</v>
      </c>
      <c r="N15" s="19">
        <v>131.0</v>
      </c>
      <c r="O15" s="19">
        <v>147.0</v>
      </c>
      <c r="P15" s="19">
        <v>128.0</v>
      </c>
      <c r="Q15" s="19">
        <v>125.0</v>
      </c>
      <c r="R15" s="19">
        <v>125.0</v>
      </c>
      <c r="S15" s="19">
        <v>99.0</v>
      </c>
      <c r="T15" s="19">
        <v>132.0</v>
      </c>
      <c r="U15" s="19">
        <v>117.0</v>
      </c>
      <c r="V15" s="19">
        <v>134.0</v>
      </c>
      <c r="W15" s="13">
        <f t="shared" si="1"/>
        <v>2276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256</v>
      </c>
      <c r="F16" s="13">
        <f t="shared" si="2"/>
        <v>253</v>
      </c>
      <c r="G16" s="13">
        <f t="shared" si="2"/>
        <v>255</v>
      </c>
      <c r="H16" s="13">
        <f t="shared" si="2"/>
        <v>260</v>
      </c>
      <c r="I16" s="13">
        <f t="shared" si="2"/>
        <v>250</v>
      </c>
      <c r="J16" s="13">
        <f t="shared" si="2"/>
        <v>240</v>
      </c>
      <c r="K16" s="13">
        <f t="shared" si="2"/>
        <v>250</v>
      </c>
      <c r="L16" s="13">
        <f t="shared" si="2"/>
        <v>243</v>
      </c>
      <c r="M16" s="13">
        <f t="shared" si="2"/>
        <v>270</v>
      </c>
      <c r="N16" s="13">
        <f t="shared" si="2"/>
        <v>276</v>
      </c>
      <c r="O16" s="13">
        <f t="shared" si="2"/>
        <v>274</v>
      </c>
      <c r="P16" s="13">
        <f t="shared" si="2"/>
        <v>256</v>
      </c>
      <c r="Q16" s="13">
        <f t="shared" si="2"/>
        <v>260</v>
      </c>
      <c r="R16" s="13">
        <f t="shared" si="2"/>
        <v>242</v>
      </c>
      <c r="S16" s="13">
        <f t="shared" si="2"/>
        <v>206</v>
      </c>
      <c r="T16" s="13">
        <f t="shared" si="2"/>
        <v>250</v>
      </c>
      <c r="U16" s="13">
        <f t="shared" si="2"/>
        <v>237</v>
      </c>
      <c r="V16" s="13">
        <f t="shared" si="2"/>
        <v>268</v>
      </c>
      <c r="W16" s="13">
        <f t="shared" si="1"/>
        <v>4546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88.0</v>
      </c>
      <c r="G19" s="19">
        <v>91.0</v>
      </c>
      <c r="H19" s="19">
        <v>86.0</v>
      </c>
      <c r="I19" s="19">
        <v>101.0</v>
      </c>
      <c r="J19" s="19">
        <v>82.0</v>
      </c>
      <c r="K19" s="19">
        <v>106.0</v>
      </c>
      <c r="L19" s="19">
        <v>89.0</v>
      </c>
      <c r="M19" s="19">
        <v>105.0</v>
      </c>
      <c r="N19" s="19">
        <v>110.0</v>
      </c>
      <c r="O19" s="19">
        <v>96.0</v>
      </c>
      <c r="P19" s="19">
        <v>85.0</v>
      </c>
      <c r="Q19" s="19">
        <v>103.0</v>
      </c>
      <c r="R19" s="19">
        <v>78.0</v>
      </c>
      <c r="S19" s="19">
        <v>73.0</v>
      </c>
      <c r="T19" s="19">
        <v>86.0</v>
      </c>
      <c r="U19" s="19">
        <v>95.0</v>
      </c>
      <c r="V19" s="19">
        <v>102.0</v>
      </c>
      <c r="W19" s="13">
        <f t="shared" ref="W19:W30" si="3">SUM(E19:V19)</f>
        <v>1669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105.0</v>
      </c>
      <c r="G20" s="19">
        <v>99.0</v>
      </c>
      <c r="H20" s="19">
        <v>99.0</v>
      </c>
      <c r="I20" s="19">
        <v>93.0</v>
      </c>
      <c r="J20" s="19">
        <v>94.0</v>
      </c>
      <c r="K20" s="19">
        <v>94.0</v>
      </c>
      <c r="L20" s="19">
        <v>104.0</v>
      </c>
      <c r="M20" s="19">
        <v>105.0</v>
      </c>
      <c r="N20" s="19">
        <v>100.0</v>
      </c>
      <c r="O20" s="19">
        <v>111.0</v>
      </c>
      <c r="P20" s="19">
        <v>99.0</v>
      </c>
      <c r="Q20" s="19">
        <v>98.0</v>
      </c>
      <c r="R20" s="19">
        <v>97.0</v>
      </c>
      <c r="S20" s="19">
        <v>71.0</v>
      </c>
      <c r="T20" s="19">
        <v>100.0</v>
      </c>
      <c r="U20" s="19">
        <v>102.0</v>
      </c>
      <c r="V20" s="19">
        <v>99.0</v>
      </c>
      <c r="W20" s="13">
        <f t="shared" si="3"/>
        <v>1758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181</v>
      </c>
      <c r="F21" s="13">
        <f t="shared" si="4"/>
        <v>193</v>
      </c>
      <c r="G21" s="13">
        <f t="shared" si="4"/>
        <v>190</v>
      </c>
      <c r="H21" s="13">
        <f t="shared" si="4"/>
        <v>185</v>
      </c>
      <c r="I21" s="13">
        <f t="shared" si="4"/>
        <v>194</v>
      </c>
      <c r="J21" s="13">
        <f t="shared" si="4"/>
        <v>176</v>
      </c>
      <c r="K21" s="13">
        <f t="shared" si="4"/>
        <v>200</v>
      </c>
      <c r="L21" s="13">
        <f t="shared" si="4"/>
        <v>193</v>
      </c>
      <c r="M21" s="13">
        <f t="shared" si="4"/>
        <v>210</v>
      </c>
      <c r="N21" s="13">
        <f t="shared" si="4"/>
        <v>210</v>
      </c>
      <c r="O21" s="13">
        <f t="shared" si="4"/>
        <v>207</v>
      </c>
      <c r="P21" s="13">
        <f t="shared" si="4"/>
        <v>184</v>
      </c>
      <c r="Q21" s="13">
        <f t="shared" si="4"/>
        <v>201</v>
      </c>
      <c r="R21" s="13">
        <f t="shared" si="4"/>
        <v>175</v>
      </c>
      <c r="S21" s="13">
        <f t="shared" si="4"/>
        <v>144</v>
      </c>
      <c r="T21" s="13">
        <f t="shared" si="4"/>
        <v>186</v>
      </c>
      <c r="U21" s="13">
        <f t="shared" si="4"/>
        <v>197</v>
      </c>
      <c r="V21" s="13">
        <f t="shared" si="4"/>
        <v>201</v>
      </c>
      <c r="W21" s="13">
        <f t="shared" si="3"/>
        <v>3427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0.0</v>
      </c>
      <c r="J25" s="19">
        <v>2.0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2.0</v>
      </c>
      <c r="R25" s="19">
        <v>1.0</v>
      </c>
      <c r="S25" s="19">
        <v>0.0</v>
      </c>
      <c r="T25" s="19">
        <v>1.0</v>
      </c>
      <c r="U25" s="19">
        <v>2.0</v>
      </c>
      <c r="V25" s="19">
        <v>0.0</v>
      </c>
      <c r="W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1.0</v>
      </c>
      <c r="N26" s="19">
        <v>2.0</v>
      </c>
      <c r="O26" s="19">
        <v>1.0</v>
      </c>
      <c r="P26" s="19">
        <v>1.0</v>
      </c>
      <c r="Q26" s="19">
        <v>2.0</v>
      </c>
      <c r="R26" s="19">
        <v>2.0</v>
      </c>
      <c r="S26" s="19">
        <v>0.0</v>
      </c>
      <c r="T26" s="19">
        <v>6.0</v>
      </c>
      <c r="U26" s="19">
        <v>1.0</v>
      </c>
      <c r="V26" s="19">
        <v>1.0</v>
      </c>
      <c r="W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4</v>
      </c>
      <c r="P27" s="13">
        <f t="shared" si="6"/>
        <v>2</v>
      </c>
      <c r="Q27" s="13">
        <f t="shared" si="6"/>
        <v>4</v>
      </c>
      <c r="R27" s="13">
        <f t="shared" si="6"/>
        <v>3</v>
      </c>
      <c r="S27" s="13">
        <f t="shared" si="6"/>
        <v>0</v>
      </c>
      <c r="T27" s="13">
        <f t="shared" si="6"/>
        <v>7</v>
      </c>
      <c r="U27" s="13">
        <f t="shared" si="6"/>
        <v>3</v>
      </c>
      <c r="V27" s="13">
        <f t="shared" si="6"/>
        <v>1</v>
      </c>
      <c r="W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94</v>
      </c>
      <c r="F28" s="13">
        <f t="shared" si="7"/>
        <v>88</v>
      </c>
      <c r="G28" s="13">
        <f t="shared" si="7"/>
        <v>92</v>
      </c>
      <c r="H28" s="13">
        <f t="shared" si="7"/>
        <v>87</v>
      </c>
      <c r="I28" s="13">
        <f t="shared" si="7"/>
        <v>101</v>
      </c>
      <c r="J28" s="13">
        <f t="shared" si="7"/>
        <v>84</v>
      </c>
      <c r="K28" s="13">
        <f t="shared" si="7"/>
        <v>106</v>
      </c>
      <c r="L28" s="13">
        <f t="shared" si="7"/>
        <v>89</v>
      </c>
      <c r="M28" s="13">
        <f t="shared" si="7"/>
        <v>105</v>
      </c>
      <c r="N28" s="13">
        <f t="shared" si="7"/>
        <v>110</v>
      </c>
      <c r="O28" s="13">
        <f t="shared" si="7"/>
        <v>99</v>
      </c>
      <c r="P28" s="13">
        <f t="shared" si="7"/>
        <v>86</v>
      </c>
      <c r="Q28" s="13">
        <f t="shared" si="7"/>
        <v>105</v>
      </c>
      <c r="R28" s="13">
        <f t="shared" si="7"/>
        <v>79</v>
      </c>
      <c r="S28" s="13">
        <f t="shared" si="7"/>
        <v>73</v>
      </c>
      <c r="T28" s="13">
        <f t="shared" si="7"/>
        <v>87</v>
      </c>
      <c r="U28" s="13">
        <f t="shared" si="7"/>
        <v>98</v>
      </c>
      <c r="V28" s="13">
        <f t="shared" si="7"/>
        <v>102</v>
      </c>
      <c r="W28" s="13">
        <f t="shared" si="3"/>
        <v>1685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90</v>
      </c>
      <c r="F29" s="13">
        <f t="shared" si="8"/>
        <v>105</v>
      </c>
      <c r="G29" s="13">
        <f t="shared" si="8"/>
        <v>99</v>
      </c>
      <c r="H29" s="13">
        <f t="shared" si="8"/>
        <v>100</v>
      </c>
      <c r="I29" s="13">
        <f t="shared" si="8"/>
        <v>93</v>
      </c>
      <c r="J29" s="13">
        <f t="shared" si="8"/>
        <v>94</v>
      </c>
      <c r="K29" s="13">
        <f t="shared" si="8"/>
        <v>94</v>
      </c>
      <c r="L29" s="13">
        <f t="shared" si="8"/>
        <v>104</v>
      </c>
      <c r="M29" s="13">
        <f t="shared" si="8"/>
        <v>106</v>
      </c>
      <c r="N29" s="13">
        <f t="shared" si="8"/>
        <v>102</v>
      </c>
      <c r="O29" s="13">
        <f t="shared" si="8"/>
        <v>112</v>
      </c>
      <c r="P29" s="13">
        <f t="shared" si="8"/>
        <v>100</v>
      </c>
      <c r="Q29" s="13">
        <f t="shared" si="8"/>
        <v>100</v>
      </c>
      <c r="R29" s="13">
        <f t="shared" si="8"/>
        <v>99</v>
      </c>
      <c r="S29" s="13">
        <f t="shared" si="8"/>
        <v>71</v>
      </c>
      <c r="T29" s="13">
        <f t="shared" si="8"/>
        <v>106</v>
      </c>
      <c r="U29" s="13">
        <f t="shared" si="8"/>
        <v>103</v>
      </c>
      <c r="V29" s="13">
        <f t="shared" si="8"/>
        <v>100</v>
      </c>
      <c r="W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184</v>
      </c>
      <c r="F30" s="13">
        <f t="shared" si="9"/>
        <v>193</v>
      </c>
      <c r="G30" s="13">
        <f t="shared" si="9"/>
        <v>191</v>
      </c>
      <c r="H30" s="13">
        <f t="shared" si="9"/>
        <v>187</v>
      </c>
      <c r="I30" s="13">
        <f t="shared" si="9"/>
        <v>194</v>
      </c>
      <c r="J30" s="13">
        <f t="shared" si="9"/>
        <v>178</v>
      </c>
      <c r="K30" s="13">
        <f t="shared" si="9"/>
        <v>200</v>
      </c>
      <c r="L30" s="13">
        <f t="shared" si="9"/>
        <v>193</v>
      </c>
      <c r="M30" s="13">
        <f t="shared" si="9"/>
        <v>211</v>
      </c>
      <c r="N30" s="13">
        <f t="shared" si="9"/>
        <v>212</v>
      </c>
      <c r="O30" s="13">
        <f t="shared" si="9"/>
        <v>211</v>
      </c>
      <c r="P30" s="13">
        <f t="shared" si="9"/>
        <v>186</v>
      </c>
      <c r="Q30" s="13">
        <f t="shared" si="9"/>
        <v>205</v>
      </c>
      <c r="R30" s="13">
        <f t="shared" si="9"/>
        <v>178</v>
      </c>
      <c r="S30" s="13">
        <f t="shared" si="9"/>
        <v>144</v>
      </c>
      <c r="T30" s="13">
        <f t="shared" si="9"/>
        <v>193</v>
      </c>
      <c r="U30" s="13">
        <f t="shared" si="9"/>
        <v>201</v>
      </c>
      <c r="V30" s="13">
        <f t="shared" si="9"/>
        <v>202</v>
      </c>
      <c r="W30" s="13">
        <f t="shared" si="3"/>
        <v>3463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7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259.0</v>
      </c>
      <c r="G33" s="19">
        <v>261.0</v>
      </c>
      <c r="H33" s="19">
        <v>266.0</v>
      </c>
      <c r="I33" s="19">
        <v>255.0</v>
      </c>
      <c r="J33" s="19">
        <v>245.0</v>
      </c>
      <c r="K33" s="19">
        <v>255.0</v>
      </c>
      <c r="L33" s="19">
        <v>248.0</v>
      </c>
      <c r="M33" s="19">
        <v>277.0</v>
      </c>
      <c r="N33" s="19">
        <v>282.0</v>
      </c>
      <c r="O33" s="19">
        <v>280.0</v>
      </c>
      <c r="P33" s="19">
        <v>272.0</v>
      </c>
      <c r="Q33" s="19">
        <v>266.0</v>
      </c>
      <c r="R33" s="19">
        <v>247.0</v>
      </c>
      <c r="S33" s="19">
        <v>211.0</v>
      </c>
      <c r="T33" s="19">
        <v>257.0</v>
      </c>
      <c r="U33" s="19">
        <v>242.0</v>
      </c>
      <c r="V33" s="19">
        <v>274.0</v>
      </c>
      <c r="W33" s="13">
        <f t="shared" ref="W33:W36" si="10">SUM(E33:V33)</f>
        <v>4659</v>
      </c>
    </row>
    <row r="34" ht="12.75" customHeight="1">
      <c r="A34" s="19">
        <v>2.0</v>
      </c>
      <c r="B34" s="20" t="s">
        <v>28</v>
      </c>
      <c r="C34" s="15"/>
      <c r="D34" s="16"/>
      <c r="E34" s="13">
        <v>184.0</v>
      </c>
      <c r="F34" s="13">
        <v>193.0</v>
      </c>
      <c r="G34" s="13">
        <v>191.0</v>
      </c>
      <c r="H34" s="13">
        <v>187.0</v>
      </c>
      <c r="I34" s="13">
        <v>194.0</v>
      </c>
      <c r="J34" s="13">
        <v>178.0</v>
      </c>
      <c r="K34" s="13">
        <v>200.0</v>
      </c>
      <c r="L34" s="13">
        <v>193.0</v>
      </c>
      <c r="M34" s="13">
        <v>211.0</v>
      </c>
      <c r="N34" s="13">
        <v>212.0</v>
      </c>
      <c r="O34" s="13">
        <v>211.0</v>
      </c>
      <c r="P34" s="13">
        <v>186.0</v>
      </c>
      <c r="Q34" s="13">
        <v>205.0</v>
      </c>
      <c r="R34" s="13">
        <v>178.0</v>
      </c>
      <c r="S34" s="13">
        <v>144.0</v>
      </c>
      <c r="T34" s="13">
        <v>193.0</v>
      </c>
      <c r="U34" s="13">
        <v>201.0</v>
      </c>
      <c r="V34" s="13">
        <v>202.0</v>
      </c>
      <c r="W34" s="13">
        <f t="shared" si="10"/>
        <v>3463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1.0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78</v>
      </c>
      <c r="F36" s="13">
        <f t="shared" si="11"/>
        <v>66</v>
      </c>
      <c r="G36" s="13">
        <f t="shared" si="11"/>
        <v>70</v>
      </c>
      <c r="H36" s="13">
        <f t="shared" si="11"/>
        <v>79</v>
      </c>
      <c r="I36" s="13">
        <f t="shared" si="11"/>
        <v>60</v>
      </c>
      <c r="J36" s="13">
        <f t="shared" si="11"/>
        <v>67</v>
      </c>
      <c r="K36" s="13">
        <f t="shared" si="11"/>
        <v>55</v>
      </c>
      <c r="L36" s="13">
        <f t="shared" si="11"/>
        <v>55</v>
      </c>
      <c r="M36" s="13">
        <f t="shared" si="11"/>
        <v>65</v>
      </c>
      <c r="N36" s="13">
        <f t="shared" si="11"/>
        <v>69</v>
      </c>
      <c r="O36" s="13">
        <f t="shared" si="11"/>
        <v>69</v>
      </c>
      <c r="P36" s="13">
        <f t="shared" si="11"/>
        <v>86</v>
      </c>
      <c r="Q36" s="13">
        <f t="shared" si="11"/>
        <v>61</v>
      </c>
      <c r="R36" s="13">
        <f t="shared" si="11"/>
        <v>69</v>
      </c>
      <c r="S36" s="13">
        <f t="shared" si="11"/>
        <v>67</v>
      </c>
      <c r="T36" s="13">
        <f t="shared" si="11"/>
        <v>63</v>
      </c>
      <c r="U36" s="13">
        <f t="shared" si="11"/>
        <v>41</v>
      </c>
      <c r="V36" s="13">
        <f t="shared" si="11"/>
        <v>72</v>
      </c>
      <c r="W36" s="13">
        <f t="shared" si="10"/>
        <v>1192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83"/>
      <c r="P37" s="83"/>
      <c r="Q37" s="83"/>
      <c r="R37" s="83"/>
      <c r="S37" s="83"/>
      <c r="T37" s="83"/>
      <c r="U37" s="83"/>
      <c r="V37" s="83"/>
      <c r="W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7.0</v>
      </c>
      <c r="G45" s="19">
        <v>5.0</v>
      </c>
      <c r="H45" s="19">
        <v>10.0</v>
      </c>
      <c r="I45" s="19">
        <v>6.0</v>
      </c>
      <c r="J45" s="19">
        <v>4.0</v>
      </c>
      <c r="K45" s="19">
        <v>7.0</v>
      </c>
      <c r="L45" s="19">
        <v>4.0</v>
      </c>
      <c r="M45" s="19">
        <v>15.0</v>
      </c>
      <c r="N45" s="19">
        <v>4.0</v>
      </c>
      <c r="O45" s="19">
        <v>3.0</v>
      </c>
      <c r="P45" s="19">
        <v>9.0</v>
      </c>
      <c r="Q45" s="19">
        <v>6.0</v>
      </c>
      <c r="R45" s="19">
        <v>8.0</v>
      </c>
      <c r="S45" s="19">
        <v>4.0</v>
      </c>
      <c r="T45" s="19">
        <v>4.0</v>
      </c>
      <c r="U45" s="19">
        <v>5.0</v>
      </c>
      <c r="V45" s="19">
        <v>16.0</v>
      </c>
      <c r="W45" s="13">
        <f t="shared" ref="W45:W54" si="14">SUM(E45:V45)</f>
        <v>117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37.0</v>
      </c>
      <c r="F46" s="19">
        <v>30.0</v>
      </c>
      <c r="G46" s="19">
        <v>30.0</v>
      </c>
      <c r="H46" s="19">
        <v>36.0</v>
      </c>
      <c r="I46" s="19">
        <v>12.0</v>
      </c>
      <c r="J46" s="19">
        <v>16.0</v>
      </c>
      <c r="K46" s="19">
        <v>9.0</v>
      </c>
      <c r="L46" s="19">
        <v>11.0</v>
      </c>
      <c r="M46" s="19">
        <v>27.0</v>
      </c>
      <c r="N46" s="19">
        <v>16.0</v>
      </c>
      <c r="O46" s="19">
        <v>10.0</v>
      </c>
      <c r="P46" s="19">
        <v>36.0</v>
      </c>
      <c r="Q46" s="19">
        <v>44.0</v>
      </c>
      <c r="R46" s="19">
        <v>19.0</v>
      </c>
      <c r="S46" s="19">
        <v>21.0</v>
      </c>
      <c r="T46" s="19">
        <v>20.0</v>
      </c>
      <c r="U46" s="19">
        <v>45.0</v>
      </c>
      <c r="V46" s="19">
        <v>37.0</v>
      </c>
      <c r="W46" s="13">
        <f t="shared" si="14"/>
        <v>456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1.0</v>
      </c>
      <c r="H47" s="19">
        <v>0.0</v>
      </c>
      <c r="I47" s="19">
        <v>0.0</v>
      </c>
      <c r="J47" s="19">
        <v>0.0</v>
      </c>
      <c r="K47" s="19">
        <v>0.0</v>
      </c>
      <c r="L47" s="19">
        <v>9.0</v>
      </c>
      <c r="M47" s="19">
        <v>0.0</v>
      </c>
      <c r="N47" s="19">
        <v>1.0</v>
      </c>
      <c r="O47" s="19">
        <v>0.0</v>
      </c>
      <c r="P47" s="19">
        <v>8.0</v>
      </c>
      <c r="Q47" s="19">
        <v>0.0</v>
      </c>
      <c r="R47" s="19">
        <v>1.0</v>
      </c>
      <c r="S47" s="19">
        <v>1.0</v>
      </c>
      <c r="T47" s="19">
        <v>1.0</v>
      </c>
      <c r="U47" s="19">
        <v>4.0</v>
      </c>
      <c r="V47" s="19">
        <v>1.0</v>
      </c>
      <c r="W47" s="13">
        <f t="shared" si="14"/>
        <v>28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1.0</v>
      </c>
      <c r="T48" s="19">
        <v>0.0</v>
      </c>
      <c r="U48" s="19">
        <v>0.0</v>
      </c>
      <c r="V48" s="19">
        <v>1.0</v>
      </c>
      <c r="W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1.0</v>
      </c>
      <c r="J49" s="19">
        <v>5.0</v>
      </c>
      <c r="K49" s="19">
        <v>2.0</v>
      </c>
      <c r="L49" s="19">
        <v>1.0</v>
      </c>
      <c r="M49" s="19">
        <v>1.0</v>
      </c>
      <c r="N49" s="19">
        <v>0.0</v>
      </c>
      <c r="O49" s="19">
        <v>0.0</v>
      </c>
      <c r="P49" s="19">
        <v>1.0</v>
      </c>
      <c r="Q49" s="19">
        <v>1.0</v>
      </c>
      <c r="R49" s="19">
        <v>3.0</v>
      </c>
      <c r="S49" s="19">
        <v>0.0</v>
      </c>
      <c r="T49" s="19">
        <v>1.0</v>
      </c>
      <c r="U49" s="19">
        <v>0.0</v>
      </c>
      <c r="V49" s="19">
        <v>1.0</v>
      </c>
      <c r="W49" s="13">
        <f t="shared" si="14"/>
        <v>19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1.0</v>
      </c>
      <c r="T50" s="19">
        <v>1.0</v>
      </c>
      <c r="U50" s="19">
        <v>0.0</v>
      </c>
      <c r="V50" s="19">
        <v>0.0</v>
      </c>
      <c r="W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3.0</v>
      </c>
      <c r="S51" s="19">
        <v>0.0</v>
      </c>
      <c r="T51" s="19">
        <v>0.0</v>
      </c>
      <c r="U51" s="19">
        <v>1.0</v>
      </c>
      <c r="V51" s="19">
        <v>0.0</v>
      </c>
      <c r="W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4"/>
        <v>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SUM(E45:E54)</f>
        <v>38</v>
      </c>
      <c r="F55" s="13">
        <f t="shared" si="15"/>
        <v>38</v>
      </c>
      <c r="G55" s="13">
        <f t="shared" si="15"/>
        <v>37</v>
      </c>
      <c r="H55" s="13">
        <f t="shared" si="15"/>
        <v>48</v>
      </c>
      <c r="I55" s="13">
        <f t="shared" si="15"/>
        <v>19</v>
      </c>
      <c r="J55" s="13">
        <f t="shared" si="15"/>
        <v>25</v>
      </c>
      <c r="K55" s="13">
        <f t="shared" si="15"/>
        <v>18</v>
      </c>
      <c r="L55" s="13">
        <f t="shared" si="15"/>
        <v>25</v>
      </c>
      <c r="M55" s="13">
        <f t="shared" si="15"/>
        <v>46</v>
      </c>
      <c r="N55" s="13">
        <f t="shared" si="15"/>
        <v>21</v>
      </c>
      <c r="O55" s="13">
        <f t="shared" si="15"/>
        <v>15</v>
      </c>
      <c r="P55" s="13">
        <f t="shared" si="15"/>
        <v>54</v>
      </c>
      <c r="Q55" s="13">
        <f t="shared" si="15"/>
        <v>52</v>
      </c>
      <c r="R55" s="13">
        <f t="shared" si="15"/>
        <v>35</v>
      </c>
      <c r="S55" s="13">
        <f t="shared" si="15"/>
        <v>28</v>
      </c>
      <c r="T55" s="13">
        <f t="shared" si="15"/>
        <v>27</v>
      </c>
      <c r="U55" s="13">
        <f t="shared" si="15"/>
        <v>55</v>
      </c>
      <c r="V55" s="13">
        <f t="shared" si="15"/>
        <v>56</v>
      </c>
      <c r="W55" s="13">
        <f t="shared" si="15"/>
        <v>637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9.0</v>
      </c>
      <c r="G57" s="19">
        <v>5.0</v>
      </c>
      <c r="H57" s="19">
        <v>8.0</v>
      </c>
      <c r="I57" s="19">
        <v>6.0</v>
      </c>
      <c r="J57" s="19">
        <v>6.0</v>
      </c>
      <c r="K57" s="19">
        <v>7.0</v>
      </c>
      <c r="L57" s="19">
        <v>12.0</v>
      </c>
      <c r="M57" s="19">
        <v>8.0</v>
      </c>
      <c r="N57" s="19">
        <v>9.0</v>
      </c>
      <c r="O57" s="19">
        <v>11.0</v>
      </c>
      <c r="P57" s="19">
        <v>8.0</v>
      </c>
      <c r="Q57" s="19">
        <v>6.0</v>
      </c>
      <c r="R57" s="19">
        <v>3.0</v>
      </c>
      <c r="S57" s="19">
        <v>9.0</v>
      </c>
      <c r="T57" s="19">
        <v>12.0</v>
      </c>
      <c r="U57" s="19">
        <v>6.0</v>
      </c>
      <c r="V57" s="19">
        <v>3.0</v>
      </c>
      <c r="W57" s="13">
        <f t="shared" ref="W57:W66" si="16">SUM(E57:V57)</f>
        <v>132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28.0</v>
      </c>
      <c r="F58" s="19">
        <v>11.0</v>
      </c>
      <c r="G58" s="19">
        <v>43.0</v>
      </c>
      <c r="H58" s="19">
        <v>39.0</v>
      </c>
      <c r="I58" s="19">
        <v>40.0</v>
      </c>
      <c r="J58" s="19">
        <v>29.0</v>
      </c>
      <c r="K58" s="19">
        <v>44.0</v>
      </c>
      <c r="L58" s="19">
        <v>44.0</v>
      </c>
      <c r="M58" s="19">
        <v>9.0</v>
      </c>
      <c r="N58" s="19">
        <v>20.0</v>
      </c>
      <c r="O58" s="19">
        <v>15.0</v>
      </c>
      <c r="P58" s="19">
        <v>22.0</v>
      </c>
      <c r="Q58" s="19">
        <v>8.0</v>
      </c>
      <c r="R58" s="19">
        <v>20.0</v>
      </c>
      <c r="S58" s="19">
        <v>37.0</v>
      </c>
      <c r="T58" s="19">
        <v>52.0</v>
      </c>
      <c r="U58" s="19">
        <v>43.0</v>
      </c>
      <c r="V58" s="19">
        <v>10.0</v>
      </c>
      <c r="W58" s="13">
        <f t="shared" si="16"/>
        <v>514</v>
      </c>
    </row>
    <row r="59" ht="12.75" customHeight="1">
      <c r="A59" s="18"/>
      <c r="B59" s="55">
        <v>2.0</v>
      </c>
      <c r="C59" s="50" t="s">
        <v>50</v>
      </c>
      <c r="D59" s="59"/>
      <c r="E59" s="19">
        <v>7.0</v>
      </c>
      <c r="F59" s="19">
        <v>2.0</v>
      </c>
      <c r="G59" s="19">
        <v>2.0</v>
      </c>
      <c r="H59" s="19">
        <v>1.0</v>
      </c>
      <c r="I59" s="19">
        <v>5.0</v>
      </c>
      <c r="J59" s="19">
        <v>5.0</v>
      </c>
      <c r="K59" s="19">
        <v>6.0</v>
      </c>
      <c r="L59" s="19">
        <v>2.0</v>
      </c>
      <c r="M59" s="19">
        <v>17.0</v>
      </c>
      <c r="N59" s="19">
        <v>50.0</v>
      </c>
      <c r="O59" s="19">
        <v>22.0</v>
      </c>
      <c r="P59" s="19">
        <v>4.0</v>
      </c>
      <c r="Q59" s="19">
        <v>22.0</v>
      </c>
      <c r="R59" s="19">
        <v>2.0</v>
      </c>
      <c r="S59" s="19">
        <v>3.0</v>
      </c>
      <c r="T59" s="19">
        <v>8.0</v>
      </c>
      <c r="U59" s="19">
        <v>2.0</v>
      </c>
      <c r="V59" s="19">
        <v>55.0</v>
      </c>
      <c r="W59" s="13">
        <f t="shared" si="16"/>
        <v>215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1.0</v>
      </c>
      <c r="N60" s="19">
        <v>1.0</v>
      </c>
      <c r="O60" s="19">
        <v>0.0</v>
      </c>
      <c r="P60" s="19">
        <v>0.0</v>
      </c>
      <c r="Q60" s="19">
        <v>1.0</v>
      </c>
      <c r="R60" s="19">
        <v>0.0</v>
      </c>
      <c r="S60" s="19">
        <v>2.0</v>
      </c>
      <c r="T60" s="19">
        <v>0.0</v>
      </c>
      <c r="U60" s="19">
        <v>1.0</v>
      </c>
      <c r="V60" s="19">
        <v>1.0</v>
      </c>
      <c r="W60" s="13">
        <f t="shared" si="16"/>
        <v>7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4.0</v>
      </c>
      <c r="G61" s="19">
        <v>1.0</v>
      </c>
      <c r="H61" s="19">
        <v>0.0</v>
      </c>
      <c r="I61" s="19">
        <v>0.0</v>
      </c>
      <c r="J61" s="19">
        <v>1.0</v>
      </c>
      <c r="K61" s="19">
        <v>1.0</v>
      </c>
      <c r="L61" s="19">
        <v>0.0</v>
      </c>
      <c r="M61" s="19">
        <v>4.0</v>
      </c>
      <c r="N61" s="19">
        <v>4.0</v>
      </c>
      <c r="O61" s="19">
        <v>3.0</v>
      </c>
      <c r="P61" s="19">
        <v>0.0</v>
      </c>
      <c r="Q61" s="19">
        <v>2.0</v>
      </c>
      <c r="R61" s="19">
        <v>2.0</v>
      </c>
      <c r="S61" s="19">
        <v>0.0</v>
      </c>
      <c r="T61" s="19">
        <v>0.0</v>
      </c>
      <c r="U61" s="19">
        <v>1.0</v>
      </c>
      <c r="V61" s="19">
        <v>5.0</v>
      </c>
      <c r="W61" s="13">
        <f t="shared" si="16"/>
        <v>28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2.0</v>
      </c>
      <c r="F63" s="19">
        <v>1.0</v>
      </c>
      <c r="G63" s="19">
        <v>0.0</v>
      </c>
      <c r="H63" s="19">
        <v>0.0</v>
      </c>
      <c r="I63" s="19">
        <v>0.0</v>
      </c>
      <c r="J63" s="19">
        <v>2.0</v>
      </c>
      <c r="K63" s="19">
        <v>0.0</v>
      </c>
      <c r="L63" s="19">
        <v>0.0</v>
      </c>
      <c r="M63" s="19">
        <v>0.0</v>
      </c>
      <c r="N63" s="19">
        <v>1.0</v>
      </c>
      <c r="O63" s="19">
        <v>1.0</v>
      </c>
      <c r="P63" s="19">
        <v>0.0</v>
      </c>
      <c r="Q63" s="19">
        <v>1.0</v>
      </c>
      <c r="R63" s="19">
        <v>1.0</v>
      </c>
      <c r="S63" s="19">
        <v>0.0</v>
      </c>
      <c r="T63" s="19">
        <v>0.0</v>
      </c>
      <c r="U63" s="19">
        <v>0.0</v>
      </c>
      <c r="V63" s="19">
        <v>0.0</v>
      </c>
      <c r="W63" s="13">
        <f t="shared" si="16"/>
        <v>9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1.0</v>
      </c>
      <c r="R64" s="19">
        <v>0.0</v>
      </c>
      <c r="S64" s="19">
        <v>1.0</v>
      </c>
      <c r="T64" s="19">
        <v>0.0</v>
      </c>
      <c r="U64" s="19">
        <v>0.0</v>
      </c>
      <c r="V64" s="19">
        <v>1.0</v>
      </c>
      <c r="W64" s="13">
        <f t="shared" si="16"/>
        <v>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SUM(E57:E66)</f>
        <v>42</v>
      </c>
      <c r="F67" s="13">
        <f t="shared" si="17"/>
        <v>27</v>
      </c>
      <c r="G67" s="13">
        <f t="shared" si="17"/>
        <v>51</v>
      </c>
      <c r="H67" s="13">
        <f t="shared" si="17"/>
        <v>48</v>
      </c>
      <c r="I67" s="13">
        <f t="shared" si="17"/>
        <v>51</v>
      </c>
      <c r="J67" s="13">
        <f t="shared" si="17"/>
        <v>43</v>
      </c>
      <c r="K67" s="13">
        <f t="shared" si="17"/>
        <v>58</v>
      </c>
      <c r="L67" s="13">
        <f t="shared" si="17"/>
        <v>58</v>
      </c>
      <c r="M67" s="13">
        <f t="shared" si="17"/>
        <v>39</v>
      </c>
      <c r="N67" s="13">
        <f t="shared" si="17"/>
        <v>86</v>
      </c>
      <c r="O67" s="13">
        <f t="shared" si="17"/>
        <v>53</v>
      </c>
      <c r="P67" s="13">
        <f t="shared" si="17"/>
        <v>34</v>
      </c>
      <c r="Q67" s="13">
        <f t="shared" si="17"/>
        <v>42</v>
      </c>
      <c r="R67" s="13">
        <f t="shared" si="17"/>
        <v>28</v>
      </c>
      <c r="S67" s="13">
        <f t="shared" si="17"/>
        <v>52</v>
      </c>
      <c r="T67" s="13">
        <f t="shared" si="17"/>
        <v>73</v>
      </c>
      <c r="U67" s="13">
        <f t="shared" si="17"/>
        <v>53</v>
      </c>
      <c r="V67" s="13">
        <f t="shared" si="17"/>
        <v>75</v>
      </c>
      <c r="W67" s="13">
        <f t="shared" si="17"/>
        <v>913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8.0</v>
      </c>
      <c r="G69" s="19">
        <v>6.0</v>
      </c>
      <c r="H69" s="19">
        <v>3.0</v>
      </c>
      <c r="I69" s="19">
        <v>6.0</v>
      </c>
      <c r="J69" s="19">
        <v>12.0</v>
      </c>
      <c r="K69" s="19">
        <v>8.0</v>
      </c>
      <c r="L69" s="19">
        <v>13.0</v>
      </c>
      <c r="M69" s="19">
        <v>6.0</v>
      </c>
      <c r="N69" s="19">
        <v>8.0</v>
      </c>
      <c r="O69" s="19">
        <v>11.0</v>
      </c>
      <c r="P69" s="19">
        <v>10.0</v>
      </c>
      <c r="Q69" s="19">
        <v>15.0</v>
      </c>
      <c r="R69" s="19">
        <v>4.0</v>
      </c>
      <c r="S69" s="19">
        <v>2.0</v>
      </c>
      <c r="T69" s="19">
        <v>7.0</v>
      </c>
      <c r="U69" s="19">
        <v>9.0</v>
      </c>
      <c r="V69" s="19">
        <v>4.0</v>
      </c>
      <c r="W69" s="13">
        <f t="shared" ref="W69:W78" si="18">SUM(E69:V69)</f>
        <v>139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3.0</v>
      </c>
      <c r="F70" s="19">
        <v>2.0</v>
      </c>
      <c r="G70" s="19">
        <v>8.0</v>
      </c>
      <c r="H70" s="19">
        <v>3.0</v>
      </c>
      <c r="I70" s="19">
        <v>7.0</v>
      </c>
      <c r="J70" s="19">
        <v>4.0</v>
      </c>
      <c r="K70" s="19">
        <v>4.0</v>
      </c>
      <c r="L70" s="19">
        <v>12.0</v>
      </c>
      <c r="M70" s="19">
        <v>6.0</v>
      </c>
      <c r="N70" s="19">
        <v>4.0</v>
      </c>
      <c r="O70" s="19">
        <v>5.0</v>
      </c>
      <c r="P70" s="19">
        <v>2.0</v>
      </c>
      <c r="Q70" s="19">
        <v>6.0</v>
      </c>
      <c r="R70" s="19">
        <v>7.0</v>
      </c>
      <c r="S70" s="19">
        <v>6.0</v>
      </c>
      <c r="T70" s="19">
        <v>4.0</v>
      </c>
      <c r="U70" s="19">
        <v>8.0</v>
      </c>
      <c r="V70" s="19">
        <v>8.0</v>
      </c>
      <c r="W70" s="13">
        <f t="shared" si="18"/>
        <v>99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4.0</v>
      </c>
      <c r="G71" s="19">
        <v>0.0</v>
      </c>
      <c r="H71" s="19">
        <v>1.0</v>
      </c>
      <c r="I71" s="19">
        <v>0.0</v>
      </c>
      <c r="J71" s="19">
        <v>4.0</v>
      </c>
      <c r="K71" s="19">
        <v>4.0</v>
      </c>
      <c r="L71" s="19">
        <v>1.0</v>
      </c>
      <c r="M71" s="19">
        <v>4.0</v>
      </c>
      <c r="N71" s="19">
        <v>1.0</v>
      </c>
      <c r="O71" s="19">
        <v>2.0</v>
      </c>
      <c r="P71" s="19">
        <v>4.0</v>
      </c>
      <c r="Q71" s="19">
        <v>4.0</v>
      </c>
      <c r="R71" s="19">
        <v>3.0</v>
      </c>
      <c r="S71" s="19">
        <v>2.0</v>
      </c>
      <c r="T71" s="19">
        <v>4.0</v>
      </c>
      <c r="U71" s="19">
        <v>4.0</v>
      </c>
      <c r="V71" s="19">
        <v>5.0</v>
      </c>
      <c r="W71" s="13">
        <f t="shared" si="18"/>
        <v>47</v>
      </c>
    </row>
    <row r="72" ht="12.75" customHeight="1">
      <c r="A72" s="18"/>
      <c r="B72" s="55">
        <v>3.0</v>
      </c>
      <c r="C72" s="50" t="s">
        <v>59</v>
      </c>
      <c r="D72" s="60"/>
      <c r="E72" s="19">
        <v>20.0</v>
      </c>
      <c r="F72" s="19">
        <v>53.0</v>
      </c>
      <c r="G72" s="19">
        <v>25.0</v>
      </c>
      <c r="H72" s="19">
        <v>3.0</v>
      </c>
      <c r="I72" s="19">
        <v>2.0</v>
      </c>
      <c r="J72" s="19">
        <v>5.0</v>
      </c>
      <c r="K72" s="19">
        <v>7.0</v>
      </c>
      <c r="L72" s="19">
        <v>9.0</v>
      </c>
      <c r="M72" s="19">
        <v>7.0</v>
      </c>
      <c r="N72" s="19">
        <v>1.0</v>
      </c>
      <c r="O72" s="19">
        <v>3.0</v>
      </c>
      <c r="P72" s="19">
        <v>6.0</v>
      </c>
      <c r="Q72" s="19">
        <v>5.0</v>
      </c>
      <c r="R72" s="19">
        <v>2.0</v>
      </c>
      <c r="S72" s="19">
        <v>1.0</v>
      </c>
      <c r="T72" s="19">
        <v>2.0</v>
      </c>
      <c r="U72" s="19">
        <v>5.0</v>
      </c>
      <c r="V72" s="19">
        <v>1.0</v>
      </c>
      <c r="W72" s="13">
        <f t="shared" si="18"/>
        <v>157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1.0</v>
      </c>
      <c r="G73" s="19">
        <v>0.0</v>
      </c>
      <c r="H73" s="19">
        <v>2.0</v>
      </c>
      <c r="I73" s="19">
        <v>1.0</v>
      </c>
      <c r="J73" s="19">
        <v>2.0</v>
      </c>
      <c r="K73" s="19">
        <v>3.0</v>
      </c>
      <c r="L73" s="19">
        <v>4.0</v>
      </c>
      <c r="M73" s="19">
        <v>1.0</v>
      </c>
      <c r="N73" s="19">
        <v>4.0</v>
      </c>
      <c r="O73" s="19">
        <v>0.0</v>
      </c>
      <c r="P73" s="19">
        <v>8.0</v>
      </c>
      <c r="Q73" s="19">
        <v>2.0</v>
      </c>
      <c r="R73" s="19">
        <v>1.0</v>
      </c>
      <c r="S73" s="19">
        <v>0.0</v>
      </c>
      <c r="T73" s="19">
        <v>8.0</v>
      </c>
      <c r="U73" s="19">
        <v>5.0</v>
      </c>
      <c r="V73" s="19">
        <v>1.0</v>
      </c>
      <c r="W73" s="13">
        <f t="shared" si="18"/>
        <v>43</v>
      </c>
    </row>
    <row r="74" ht="12.75" customHeight="1">
      <c r="A74" s="18"/>
      <c r="B74" s="55">
        <v>5.0</v>
      </c>
      <c r="C74" s="50" t="s">
        <v>61</v>
      </c>
      <c r="D74" s="60"/>
      <c r="E74" s="19">
        <v>4.0</v>
      </c>
      <c r="F74" s="19">
        <v>1.0</v>
      </c>
      <c r="G74" s="19">
        <v>0.0</v>
      </c>
      <c r="H74" s="19">
        <v>1.0</v>
      </c>
      <c r="I74" s="19">
        <v>1.0</v>
      </c>
      <c r="J74" s="19">
        <v>1.0</v>
      </c>
      <c r="K74" s="19">
        <v>6.0</v>
      </c>
      <c r="L74" s="19">
        <v>4.0</v>
      </c>
      <c r="M74" s="19">
        <v>2.0</v>
      </c>
      <c r="N74" s="19">
        <v>2.0</v>
      </c>
      <c r="O74" s="19">
        <v>3.0</v>
      </c>
      <c r="P74" s="19">
        <v>2.0</v>
      </c>
      <c r="Q74" s="19">
        <v>0.0</v>
      </c>
      <c r="R74" s="19">
        <v>3.0</v>
      </c>
      <c r="S74" s="19">
        <v>1.0</v>
      </c>
      <c r="T74" s="19">
        <v>2.0</v>
      </c>
      <c r="U74" s="19">
        <v>2.0</v>
      </c>
      <c r="V74" s="19">
        <v>0.0</v>
      </c>
      <c r="W74" s="13">
        <f t="shared" si="18"/>
        <v>35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2.0</v>
      </c>
      <c r="G75" s="19">
        <v>0.0</v>
      </c>
      <c r="H75" s="19">
        <v>0.0</v>
      </c>
      <c r="I75" s="19">
        <v>0.0</v>
      </c>
      <c r="J75" s="19">
        <v>1.0</v>
      </c>
      <c r="K75" s="19">
        <v>2.0</v>
      </c>
      <c r="L75" s="19">
        <v>2.0</v>
      </c>
      <c r="M75" s="19">
        <v>2.0</v>
      </c>
      <c r="N75" s="19">
        <v>1.0</v>
      </c>
      <c r="O75" s="19">
        <v>2.0</v>
      </c>
      <c r="P75" s="19">
        <v>1.0</v>
      </c>
      <c r="Q75" s="19">
        <v>2.0</v>
      </c>
      <c r="R75" s="19">
        <v>0.0</v>
      </c>
      <c r="S75" s="19">
        <v>3.0</v>
      </c>
      <c r="T75" s="19">
        <v>2.0</v>
      </c>
      <c r="U75" s="19">
        <v>3.0</v>
      </c>
      <c r="V75" s="19">
        <v>1.0</v>
      </c>
      <c r="W75" s="13">
        <f t="shared" si="18"/>
        <v>25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1.0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1.0</v>
      </c>
      <c r="U76" s="19">
        <v>0.0</v>
      </c>
      <c r="V76" s="19">
        <v>0.0</v>
      </c>
      <c r="W76" s="13">
        <f t="shared" si="18"/>
        <v>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SUM(E69:E78)</f>
        <v>36</v>
      </c>
      <c r="F79" s="13">
        <f t="shared" si="19"/>
        <v>72</v>
      </c>
      <c r="G79" s="13">
        <f t="shared" si="19"/>
        <v>39</v>
      </c>
      <c r="H79" s="13">
        <f t="shared" si="19"/>
        <v>13</v>
      </c>
      <c r="I79" s="13">
        <f t="shared" si="19"/>
        <v>18</v>
      </c>
      <c r="J79" s="13">
        <f t="shared" si="19"/>
        <v>29</v>
      </c>
      <c r="K79" s="13">
        <f t="shared" si="19"/>
        <v>34</v>
      </c>
      <c r="L79" s="13">
        <f t="shared" si="19"/>
        <v>45</v>
      </c>
      <c r="M79" s="13">
        <f t="shared" si="19"/>
        <v>29</v>
      </c>
      <c r="N79" s="13">
        <f t="shared" si="19"/>
        <v>21</v>
      </c>
      <c r="O79" s="13">
        <f t="shared" si="19"/>
        <v>26</v>
      </c>
      <c r="P79" s="13">
        <f t="shared" si="19"/>
        <v>33</v>
      </c>
      <c r="Q79" s="13">
        <f t="shared" si="19"/>
        <v>34</v>
      </c>
      <c r="R79" s="13">
        <f t="shared" si="19"/>
        <v>20</v>
      </c>
      <c r="S79" s="13">
        <f t="shared" si="19"/>
        <v>15</v>
      </c>
      <c r="T79" s="13">
        <f t="shared" si="19"/>
        <v>30</v>
      </c>
      <c r="U79" s="13">
        <f t="shared" si="19"/>
        <v>36</v>
      </c>
      <c r="V79" s="13">
        <f t="shared" si="19"/>
        <v>20</v>
      </c>
      <c r="W79" s="13">
        <f t="shared" si="19"/>
        <v>550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1.0</v>
      </c>
      <c r="G81" s="19">
        <v>3.0</v>
      </c>
      <c r="H81" s="19">
        <v>2.0</v>
      </c>
      <c r="I81" s="19">
        <v>2.0</v>
      </c>
      <c r="J81" s="19">
        <v>7.0</v>
      </c>
      <c r="K81" s="19">
        <v>3.0</v>
      </c>
      <c r="L81" s="19">
        <v>6.0</v>
      </c>
      <c r="M81" s="19">
        <v>6.0</v>
      </c>
      <c r="N81" s="19">
        <v>7.0</v>
      </c>
      <c r="O81" s="19">
        <v>6.0</v>
      </c>
      <c r="P81" s="19">
        <v>4.0</v>
      </c>
      <c r="Q81" s="19">
        <v>1.0</v>
      </c>
      <c r="R81" s="19">
        <v>5.0</v>
      </c>
      <c r="S81" s="19">
        <v>3.0</v>
      </c>
      <c r="T81" s="19">
        <v>4.0</v>
      </c>
      <c r="U81" s="19">
        <v>5.0</v>
      </c>
      <c r="V81" s="19">
        <v>3.0</v>
      </c>
      <c r="W81" s="13">
        <f t="shared" ref="W81:W90" si="20">SUM(E81:V81)</f>
        <v>71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3.0</v>
      </c>
      <c r="F82" s="19">
        <v>11.0</v>
      </c>
      <c r="G82" s="19">
        <v>5.0</v>
      </c>
      <c r="H82" s="19">
        <v>8.0</v>
      </c>
      <c r="I82" s="19">
        <v>19.0</v>
      </c>
      <c r="J82" s="19">
        <v>20.0</v>
      </c>
      <c r="K82" s="19">
        <v>16.0</v>
      </c>
      <c r="L82" s="19">
        <v>16.0</v>
      </c>
      <c r="M82" s="19">
        <v>11.0</v>
      </c>
      <c r="N82" s="19">
        <v>12.0</v>
      </c>
      <c r="O82" s="19">
        <v>20.0</v>
      </c>
      <c r="P82" s="19">
        <v>1.0</v>
      </c>
      <c r="Q82" s="19">
        <v>2.0</v>
      </c>
      <c r="R82" s="19">
        <v>4.0</v>
      </c>
      <c r="S82" s="19">
        <v>8.0</v>
      </c>
      <c r="T82" s="19">
        <v>9.0</v>
      </c>
      <c r="U82" s="19">
        <v>5.0</v>
      </c>
      <c r="V82" s="19">
        <v>4.0</v>
      </c>
      <c r="W82" s="13">
        <f t="shared" si="20"/>
        <v>174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2.0</v>
      </c>
      <c r="G83" s="19">
        <v>0.0</v>
      </c>
      <c r="H83" s="19">
        <v>5.0</v>
      </c>
      <c r="I83" s="19">
        <v>7.0</v>
      </c>
      <c r="J83" s="19">
        <v>3.0</v>
      </c>
      <c r="K83" s="19">
        <v>4.0</v>
      </c>
      <c r="L83" s="19">
        <v>3.0</v>
      </c>
      <c r="M83" s="19">
        <v>9.0</v>
      </c>
      <c r="N83" s="19">
        <v>12.0</v>
      </c>
      <c r="O83" s="19">
        <v>4.0</v>
      </c>
      <c r="P83" s="19">
        <v>4.0</v>
      </c>
      <c r="Q83" s="19">
        <v>2.0</v>
      </c>
      <c r="R83" s="19">
        <v>0.0</v>
      </c>
      <c r="S83" s="19">
        <v>1.0</v>
      </c>
      <c r="T83" s="19">
        <v>3.0</v>
      </c>
      <c r="U83" s="19">
        <v>2.0</v>
      </c>
      <c r="V83" s="19">
        <v>1.0</v>
      </c>
      <c r="W83" s="13">
        <f t="shared" si="20"/>
        <v>64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2.0</v>
      </c>
      <c r="L84" s="19">
        <v>1.0</v>
      </c>
      <c r="M84" s="19">
        <v>0.0</v>
      </c>
      <c r="N84" s="19">
        <v>1.0</v>
      </c>
      <c r="O84" s="19">
        <v>2.0</v>
      </c>
      <c r="P84" s="19">
        <v>1.0</v>
      </c>
      <c r="Q84" s="19">
        <v>0.0</v>
      </c>
      <c r="R84" s="19">
        <v>0.0</v>
      </c>
      <c r="S84" s="19">
        <v>0.0</v>
      </c>
      <c r="T84" s="19">
        <v>1.0</v>
      </c>
      <c r="U84" s="19">
        <v>0.0</v>
      </c>
      <c r="V84" s="19">
        <v>0.0</v>
      </c>
      <c r="W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2.0</v>
      </c>
      <c r="V85" s="19">
        <v>0.0</v>
      </c>
      <c r="W85" s="13">
        <f t="shared" si="20"/>
        <v>8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2.0</v>
      </c>
      <c r="Q86" s="19">
        <v>0.0</v>
      </c>
      <c r="R86" s="19">
        <v>0.0</v>
      </c>
      <c r="S86" s="19">
        <v>0.0</v>
      </c>
      <c r="T86" s="19">
        <v>0.0</v>
      </c>
      <c r="U86" s="19">
        <v>1.0</v>
      </c>
      <c r="V86" s="19">
        <v>0.0</v>
      </c>
      <c r="W86" s="13">
        <f t="shared" si="20"/>
        <v>5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2.0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SUM(E81:E90)</f>
        <v>9</v>
      </c>
      <c r="F91" s="13">
        <f t="shared" si="21"/>
        <v>14</v>
      </c>
      <c r="G91" s="13">
        <f t="shared" si="21"/>
        <v>8</v>
      </c>
      <c r="H91" s="13">
        <f t="shared" si="21"/>
        <v>17</v>
      </c>
      <c r="I91" s="13">
        <f t="shared" si="21"/>
        <v>29</v>
      </c>
      <c r="J91" s="13">
        <f t="shared" si="21"/>
        <v>30</v>
      </c>
      <c r="K91" s="13">
        <f t="shared" si="21"/>
        <v>26</v>
      </c>
      <c r="L91" s="13">
        <f t="shared" si="21"/>
        <v>30</v>
      </c>
      <c r="M91" s="13">
        <f t="shared" si="21"/>
        <v>26</v>
      </c>
      <c r="N91" s="13">
        <f t="shared" si="21"/>
        <v>33</v>
      </c>
      <c r="O91" s="13">
        <f t="shared" si="21"/>
        <v>34</v>
      </c>
      <c r="P91" s="13">
        <f t="shared" si="21"/>
        <v>13</v>
      </c>
      <c r="Q91" s="13">
        <f t="shared" si="21"/>
        <v>5</v>
      </c>
      <c r="R91" s="13">
        <f t="shared" si="21"/>
        <v>10</v>
      </c>
      <c r="S91" s="13">
        <f t="shared" si="21"/>
        <v>12</v>
      </c>
      <c r="T91" s="13">
        <f t="shared" si="21"/>
        <v>17</v>
      </c>
      <c r="U91" s="13">
        <f t="shared" si="21"/>
        <v>15</v>
      </c>
      <c r="V91" s="13">
        <f t="shared" si="21"/>
        <v>8</v>
      </c>
      <c r="W91" s="13">
        <f t="shared" si="21"/>
        <v>336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2.0</v>
      </c>
      <c r="J93" s="19">
        <v>0.0</v>
      </c>
      <c r="K93" s="19">
        <v>1.0</v>
      </c>
      <c r="L93" s="19">
        <v>0.0</v>
      </c>
      <c r="M93" s="19">
        <v>6.0</v>
      </c>
      <c r="N93" s="19">
        <v>0.0</v>
      </c>
      <c r="O93" s="19">
        <v>7.0</v>
      </c>
      <c r="P93" s="19">
        <v>2.0</v>
      </c>
      <c r="Q93" s="19">
        <v>1.0</v>
      </c>
      <c r="R93" s="19">
        <v>0.0</v>
      </c>
      <c r="S93" s="19">
        <v>0.0</v>
      </c>
      <c r="T93" s="19">
        <v>1.0</v>
      </c>
      <c r="U93" s="19">
        <v>0.0</v>
      </c>
      <c r="V93" s="19">
        <v>2.0</v>
      </c>
      <c r="W93" s="13">
        <f t="shared" ref="W93:W102" si="22">SUM(E93:V93)</f>
        <v>22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1.0</v>
      </c>
      <c r="I94" s="19">
        <v>2.0</v>
      </c>
      <c r="J94" s="19">
        <v>0.0</v>
      </c>
      <c r="K94" s="19">
        <v>2.0</v>
      </c>
      <c r="L94" s="19">
        <v>0.0</v>
      </c>
      <c r="M94" s="19">
        <v>3.0</v>
      </c>
      <c r="N94" s="19">
        <v>0.0</v>
      </c>
      <c r="O94" s="19">
        <v>12.0</v>
      </c>
      <c r="P94" s="19">
        <v>3.0</v>
      </c>
      <c r="Q94" s="19">
        <v>0.0</v>
      </c>
      <c r="R94" s="19">
        <v>0.0</v>
      </c>
      <c r="S94" s="19">
        <v>1.0</v>
      </c>
      <c r="T94" s="19">
        <v>0.0</v>
      </c>
      <c r="U94" s="19">
        <v>0.0</v>
      </c>
      <c r="V94" s="19">
        <v>0.0</v>
      </c>
      <c r="W94" s="13">
        <f t="shared" si="22"/>
        <v>25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2.0</v>
      </c>
      <c r="M97" s="19">
        <v>1.0</v>
      </c>
      <c r="N97" s="19">
        <v>0.0</v>
      </c>
      <c r="O97" s="19">
        <v>3.0</v>
      </c>
      <c r="P97" s="19">
        <v>0.0</v>
      </c>
      <c r="Q97" s="19">
        <v>1.0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3">
        <f t="shared" si="22"/>
        <v>10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SUM(E93:E102)</f>
        <v>1</v>
      </c>
      <c r="F103" s="13">
        <f t="shared" si="23"/>
        <v>1</v>
      </c>
      <c r="G103" s="13">
        <f t="shared" si="23"/>
        <v>1</v>
      </c>
      <c r="H103" s="13">
        <f t="shared" si="23"/>
        <v>1</v>
      </c>
      <c r="I103" s="13">
        <f t="shared" si="23"/>
        <v>5</v>
      </c>
      <c r="J103" s="13">
        <f t="shared" si="23"/>
        <v>0</v>
      </c>
      <c r="K103" s="13">
        <f t="shared" si="23"/>
        <v>3</v>
      </c>
      <c r="L103" s="13">
        <f t="shared" si="23"/>
        <v>2</v>
      </c>
      <c r="M103" s="13">
        <f t="shared" si="23"/>
        <v>10</v>
      </c>
      <c r="N103" s="13">
        <f t="shared" si="23"/>
        <v>0</v>
      </c>
      <c r="O103" s="13">
        <f t="shared" si="23"/>
        <v>22</v>
      </c>
      <c r="P103" s="13">
        <f t="shared" si="23"/>
        <v>5</v>
      </c>
      <c r="Q103" s="13">
        <f t="shared" si="23"/>
        <v>2</v>
      </c>
      <c r="R103" s="13">
        <f t="shared" si="23"/>
        <v>1</v>
      </c>
      <c r="S103" s="13">
        <f t="shared" si="23"/>
        <v>1</v>
      </c>
      <c r="T103" s="13">
        <f t="shared" si="23"/>
        <v>1</v>
      </c>
      <c r="U103" s="13">
        <f t="shared" si="23"/>
        <v>0</v>
      </c>
      <c r="V103" s="13">
        <f t="shared" si="23"/>
        <v>2</v>
      </c>
      <c r="W103" s="13">
        <f t="shared" si="23"/>
        <v>58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1.0</v>
      </c>
      <c r="T105" s="19">
        <v>2.0</v>
      </c>
      <c r="U105" s="19">
        <v>4.0</v>
      </c>
      <c r="V105" s="19">
        <v>0.0</v>
      </c>
      <c r="W105" s="13">
        <f t="shared" ref="W105:W114" si="24">SUM(E105:V105)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2.0</v>
      </c>
      <c r="V106" s="19">
        <v>0.0</v>
      </c>
      <c r="W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1.0</v>
      </c>
      <c r="R110" s="19">
        <v>1.0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1.0</v>
      </c>
      <c r="V111" s="19">
        <v>0.0</v>
      </c>
      <c r="W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0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2</v>
      </c>
      <c r="T115" s="13">
        <f t="shared" si="25"/>
        <v>2</v>
      </c>
      <c r="U115" s="13">
        <f t="shared" si="25"/>
        <v>7</v>
      </c>
      <c r="V115" s="13">
        <f t="shared" si="25"/>
        <v>0</v>
      </c>
      <c r="W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1.0</v>
      </c>
      <c r="L117" s="19">
        <v>1.0</v>
      </c>
      <c r="M117" s="19">
        <v>1.0</v>
      </c>
      <c r="N117" s="19">
        <v>3.0</v>
      </c>
      <c r="O117" s="19">
        <v>0.0</v>
      </c>
      <c r="P117" s="19">
        <v>0.0</v>
      </c>
      <c r="Q117" s="19">
        <v>1.0</v>
      </c>
      <c r="R117" s="19">
        <v>1.0</v>
      </c>
      <c r="S117" s="19">
        <v>0.0</v>
      </c>
      <c r="T117" s="19">
        <v>1.0</v>
      </c>
      <c r="U117" s="19">
        <v>1.0</v>
      </c>
      <c r="V117" s="19">
        <v>0.0</v>
      </c>
      <c r="W117" s="13">
        <f t="shared" ref="W117:W126" si="26">SUM(E117:V117)</f>
        <v>10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1.0</v>
      </c>
      <c r="U118" s="19">
        <v>0.0</v>
      </c>
      <c r="V118" s="19">
        <v>0.0</v>
      </c>
      <c r="W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1.0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3">
        <f t="shared" si="26"/>
        <v>2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W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1</v>
      </c>
      <c r="N127" s="13">
        <f t="shared" si="27"/>
        <v>3</v>
      </c>
      <c r="O127" s="13">
        <f t="shared" si="27"/>
        <v>0</v>
      </c>
      <c r="P127" s="13">
        <f t="shared" si="27"/>
        <v>1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2</v>
      </c>
      <c r="U127" s="13">
        <f t="shared" si="27"/>
        <v>1</v>
      </c>
      <c r="V127" s="13">
        <f t="shared" si="27"/>
        <v>0</v>
      </c>
      <c r="W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2.0</v>
      </c>
      <c r="H129" s="19">
        <v>1.0</v>
      </c>
      <c r="I129" s="19">
        <v>2.0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1.0</v>
      </c>
      <c r="Q129" s="19">
        <v>0.0</v>
      </c>
      <c r="R129" s="19">
        <v>0.0</v>
      </c>
      <c r="S129" s="19">
        <v>1.0</v>
      </c>
      <c r="T129" s="19">
        <v>1.0</v>
      </c>
      <c r="U129" s="19">
        <v>0.0</v>
      </c>
      <c r="V129" s="19">
        <v>0.0</v>
      </c>
      <c r="W129" s="13">
        <f t="shared" ref="W129:W138" si="28">SUM(E129:V129)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3.0</v>
      </c>
      <c r="F130" s="19">
        <v>0.0</v>
      </c>
      <c r="G130" s="19">
        <v>2.0</v>
      </c>
      <c r="H130" s="19">
        <v>0.0</v>
      </c>
      <c r="I130" s="19">
        <v>15.0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1.0</v>
      </c>
      <c r="R130" s="19">
        <v>1.0</v>
      </c>
      <c r="S130" s="19">
        <v>0.0</v>
      </c>
      <c r="T130" s="19">
        <v>0.0</v>
      </c>
      <c r="U130" s="19">
        <v>0.0</v>
      </c>
      <c r="V130" s="19">
        <v>1.0</v>
      </c>
      <c r="W130" s="13">
        <f t="shared" si="28"/>
        <v>23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1.0</v>
      </c>
      <c r="T131" s="19">
        <v>2.0</v>
      </c>
      <c r="U131" s="19">
        <v>0.0</v>
      </c>
      <c r="V131" s="19">
        <v>0.0</v>
      </c>
      <c r="W131" s="13">
        <f t="shared" si="28"/>
        <v>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1.0</v>
      </c>
      <c r="F133" s="19">
        <v>0.0</v>
      </c>
      <c r="G133" s="19">
        <v>1.0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3">
        <f t="shared" si="28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SUM(E129:E138)</f>
        <v>4</v>
      </c>
      <c r="F139" s="13">
        <f t="shared" si="29"/>
        <v>0</v>
      </c>
      <c r="G139" s="13">
        <f t="shared" si="29"/>
        <v>5</v>
      </c>
      <c r="H139" s="13">
        <f t="shared" si="29"/>
        <v>3</v>
      </c>
      <c r="I139" s="13">
        <f t="shared" si="29"/>
        <v>18</v>
      </c>
      <c r="J139" s="13">
        <f t="shared" si="29"/>
        <v>0</v>
      </c>
      <c r="K139" s="13">
        <f t="shared" si="29"/>
        <v>1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2</v>
      </c>
      <c r="R139" s="13">
        <f t="shared" si="29"/>
        <v>2</v>
      </c>
      <c r="S139" s="13">
        <f t="shared" si="29"/>
        <v>3</v>
      </c>
      <c r="T139" s="13">
        <f t="shared" si="29"/>
        <v>3</v>
      </c>
      <c r="U139" s="13">
        <f t="shared" si="29"/>
        <v>0</v>
      </c>
      <c r="V139" s="13">
        <f t="shared" si="29"/>
        <v>1</v>
      </c>
      <c r="W139" s="13">
        <f t="shared" si="29"/>
        <v>43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ref="W141:W150" si="30">SUM(E141:V141)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1.0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3">
        <f t="shared" ref="W153:W160" si="32">SUM(E153:V153)</f>
        <v>4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1.0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2"/>
        <v>3</v>
      </c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si="32"/>
        <v>0</v>
      </c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3">
        <f t="shared" si="32"/>
        <v>0</v>
      </c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3">
        <f t="shared" si="32"/>
        <v>0</v>
      </c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2"/>
        <v>0</v>
      </c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84"/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84"/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W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2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2.0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3">
        <f t="shared" ref="W165:W174" si="34">SUM(E165:V165)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2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9">
        <v>3.0</v>
      </c>
      <c r="Q177" s="19">
        <v>1.0</v>
      </c>
      <c r="R177" s="19">
        <v>1.0</v>
      </c>
      <c r="S177" s="19">
        <v>1.0</v>
      </c>
      <c r="T177" s="19">
        <v>0.0</v>
      </c>
      <c r="U177" s="19">
        <v>0.0</v>
      </c>
      <c r="V177" s="19">
        <v>0.0</v>
      </c>
      <c r="W177" s="13">
        <f t="shared" ref="W177:W186" si="36">SUM(E177:V177)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2.0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1.0</v>
      </c>
      <c r="L178" s="19">
        <v>1.0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3">
        <f t="shared" si="36"/>
        <v>7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3">
        <f t="shared" si="36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SUM(E177:E186)</f>
        <v>2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0</v>
      </c>
      <c r="J187" s="13">
        <f t="shared" si="37"/>
        <v>0</v>
      </c>
      <c r="K187" s="13">
        <f t="shared" si="37"/>
        <v>3</v>
      </c>
      <c r="L187" s="13">
        <f t="shared" si="37"/>
        <v>2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3</v>
      </c>
      <c r="Q187" s="13">
        <f t="shared" si="37"/>
        <v>1</v>
      </c>
      <c r="R187" s="13">
        <f t="shared" si="37"/>
        <v>2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19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ref="W189:W198" si="38">SUM(E189:V189)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2.0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1.0</v>
      </c>
      <c r="U190" s="19">
        <v>0.0</v>
      </c>
      <c r="V190" s="19">
        <v>0.0</v>
      </c>
      <c r="W190" s="13">
        <f t="shared" si="38"/>
        <v>5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3.0</v>
      </c>
      <c r="G201" s="19">
        <v>0.0</v>
      </c>
      <c r="H201" s="19">
        <v>1.0</v>
      </c>
      <c r="I201" s="19">
        <v>3.0</v>
      </c>
      <c r="J201" s="19">
        <v>2.0</v>
      </c>
      <c r="K201" s="19">
        <v>1.0</v>
      </c>
      <c r="L201" s="19">
        <v>1.0</v>
      </c>
      <c r="M201" s="19">
        <v>0.0</v>
      </c>
      <c r="N201" s="19">
        <v>4.0</v>
      </c>
      <c r="O201" s="19">
        <v>6.0</v>
      </c>
      <c r="P201" s="19">
        <v>1.0</v>
      </c>
      <c r="Q201" s="19">
        <v>9.0</v>
      </c>
      <c r="R201" s="19">
        <v>5.0</v>
      </c>
      <c r="S201" s="19">
        <v>5.0</v>
      </c>
      <c r="T201" s="19">
        <v>3.0</v>
      </c>
      <c r="U201" s="19">
        <v>1.0</v>
      </c>
      <c r="V201" s="19">
        <v>2.0</v>
      </c>
      <c r="W201" s="13">
        <f t="shared" ref="W201:W210" si="40">SUM(E201:V201)</f>
        <v>47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6.0</v>
      </c>
      <c r="F202" s="19">
        <v>3.0</v>
      </c>
      <c r="G202" s="19">
        <v>3.0</v>
      </c>
      <c r="H202" s="19">
        <v>4.0</v>
      </c>
      <c r="I202" s="19">
        <v>9.0</v>
      </c>
      <c r="J202" s="19">
        <v>2.0</v>
      </c>
      <c r="K202" s="19">
        <v>2.0</v>
      </c>
      <c r="L202" s="19">
        <v>1.0</v>
      </c>
      <c r="M202" s="19">
        <v>3.0</v>
      </c>
      <c r="N202" s="19">
        <v>3.0</v>
      </c>
      <c r="O202" s="19">
        <v>4.0</v>
      </c>
      <c r="P202" s="19">
        <v>7.0</v>
      </c>
      <c r="Q202" s="19">
        <v>11.0</v>
      </c>
      <c r="R202" s="19">
        <v>12.0</v>
      </c>
      <c r="S202" s="19">
        <v>1.0</v>
      </c>
      <c r="T202" s="19">
        <v>5.0</v>
      </c>
      <c r="U202" s="19">
        <v>3.0</v>
      </c>
      <c r="V202" s="19">
        <v>0.0</v>
      </c>
      <c r="W202" s="13">
        <f t="shared" si="40"/>
        <v>79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0.0</v>
      </c>
      <c r="I203" s="19">
        <v>2.0</v>
      </c>
      <c r="J203" s="19">
        <v>0.0</v>
      </c>
      <c r="K203" s="19">
        <v>0.0</v>
      </c>
      <c r="L203" s="19">
        <v>0.0</v>
      </c>
      <c r="M203" s="19">
        <v>1.0</v>
      </c>
      <c r="N203" s="19">
        <v>1.0</v>
      </c>
      <c r="O203" s="19">
        <v>3.0</v>
      </c>
      <c r="P203" s="19">
        <v>0.0</v>
      </c>
      <c r="Q203" s="19">
        <v>1.0</v>
      </c>
      <c r="R203" s="19">
        <v>2.0</v>
      </c>
      <c r="S203" s="19">
        <v>1.0</v>
      </c>
      <c r="T203" s="19">
        <v>2.0</v>
      </c>
      <c r="U203" s="19">
        <v>0.0</v>
      </c>
      <c r="V203" s="19">
        <v>1.0</v>
      </c>
      <c r="W203" s="13">
        <f t="shared" si="40"/>
        <v>14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5.0</v>
      </c>
      <c r="P204" s="19">
        <v>1.0</v>
      </c>
      <c r="Q204" s="19">
        <v>1.0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3">
        <f t="shared" si="40"/>
        <v>9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1.0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4.0</v>
      </c>
      <c r="P205" s="19">
        <v>0.0</v>
      </c>
      <c r="Q205" s="19">
        <v>1.0</v>
      </c>
      <c r="R205" s="19">
        <v>1.0</v>
      </c>
      <c r="S205" s="19">
        <v>2.0</v>
      </c>
      <c r="T205" s="19">
        <v>0.0</v>
      </c>
      <c r="U205" s="19">
        <v>0.0</v>
      </c>
      <c r="V205" s="19">
        <v>1.0</v>
      </c>
      <c r="W205" s="13">
        <f t="shared" si="40"/>
        <v>12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3.0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9">
        <v>0.0</v>
      </c>
      <c r="V206" s="19">
        <v>0.0</v>
      </c>
      <c r="W206" s="13">
        <f t="shared" si="40"/>
        <v>5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0.0</v>
      </c>
      <c r="U207" s="19">
        <v>0.0</v>
      </c>
      <c r="V207" s="19">
        <v>0.0</v>
      </c>
      <c r="W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3">
        <f t="shared" si="40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1">SUM(E201:E210)</f>
        <v>9</v>
      </c>
      <c r="F211" s="13">
        <f t="shared" si="41"/>
        <v>7</v>
      </c>
      <c r="G211" s="13">
        <f t="shared" si="41"/>
        <v>3</v>
      </c>
      <c r="H211" s="13">
        <f t="shared" si="41"/>
        <v>5</v>
      </c>
      <c r="I211" s="13">
        <f t="shared" si="41"/>
        <v>18</v>
      </c>
      <c r="J211" s="13">
        <f t="shared" si="41"/>
        <v>4</v>
      </c>
      <c r="K211" s="13">
        <f t="shared" si="41"/>
        <v>3</v>
      </c>
      <c r="L211" s="13">
        <f t="shared" si="41"/>
        <v>2</v>
      </c>
      <c r="M211" s="13">
        <f t="shared" si="41"/>
        <v>4</v>
      </c>
      <c r="N211" s="13">
        <f t="shared" si="41"/>
        <v>8</v>
      </c>
      <c r="O211" s="13">
        <f t="shared" si="41"/>
        <v>22</v>
      </c>
      <c r="P211" s="13">
        <f t="shared" si="41"/>
        <v>9</v>
      </c>
      <c r="Q211" s="13">
        <f t="shared" si="41"/>
        <v>23</v>
      </c>
      <c r="R211" s="13">
        <f t="shared" si="41"/>
        <v>21</v>
      </c>
      <c r="S211" s="13">
        <f t="shared" si="41"/>
        <v>11</v>
      </c>
      <c r="T211" s="13">
        <f t="shared" si="41"/>
        <v>10</v>
      </c>
      <c r="U211" s="13">
        <f t="shared" si="41"/>
        <v>4</v>
      </c>
      <c r="V211" s="13">
        <f t="shared" si="41"/>
        <v>4</v>
      </c>
      <c r="W211" s="13">
        <f t="shared" si="41"/>
        <v>167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1.0</v>
      </c>
      <c r="I213" s="19">
        <v>0.0</v>
      </c>
      <c r="J213" s="19">
        <v>2.0</v>
      </c>
      <c r="K213" s="19">
        <v>4.0</v>
      </c>
      <c r="L213" s="19">
        <v>0.0</v>
      </c>
      <c r="M213" s="19">
        <v>2.0</v>
      </c>
      <c r="N213" s="19">
        <v>0.0</v>
      </c>
      <c r="O213" s="19">
        <v>1.0</v>
      </c>
      <c r="P213" s="19">
        <v>2.0</v>
      </c>
      <c r="Q213" s="19">
        <v>1.0</v>
      </c>
      <c r="R213" s="19">
        <v>0.0</v>
      </c>
      <c r="S213" s="19">
        <v>1.0</v>
      </c>
      <c r="T213" s="19">
        <v>1.0</v>
      </c>
      <c r="U213" s="19">
        <v>4.0</v>
      </c>
      <c r="V213" s="19">
        <v>0.0</v>
      </c>
      <c r="W213" s="13">
        <f t="shared" ref="W213:W222" si="42">SUM(E213:V213)</f>
        <v>20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0.0</v>
      </c>
      <c r="G214" s="19">
        <v>1.0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1.0</v>
      </c>
      <c r="S214" s="19">
        <v>0.0</v>
      </c>
      <c r="T214" s="19">
        <v>0.0</v>
      </c>
      <c r="U214" s="19">
        <v>1.0</v>
      </c>
      <c r="V214" s="19">
        <v>0.0</v>
      </c>
      <c r="W214" s="13">
        <f t="shared" si="42"/>
        <v>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1.0</v>
      </c>
      <c r="H215" s="19">
        <v>3.0</v>
      </c>
      <c r="I215" s="19">
        <v>4.0</v>
      </c>
      <c r="J215" s="19">
        <v>1.0</v>
      </c>
      <c r="K215" s="19">
        <v>19.0</v>
      </c>
      <c r="L215" s="19">
        <v>1.0</v>
      </c>
      <c r="M215" s="19">
        <v>0.0</v>
      </c>
      <c r="N215" s="19">
        <v>1.0</v>
      </c>
      <c r="O215" s="19">
        <v>1.0</v>
      </c>
      <c r="P215" s="19">
        <v>0.0</v>
      </c>
      <c r="Q215" s="19">
        <v>3.0</v>
      </c>
      <c r="R215" s="19">
        <v>5.0</v>
      </c>
      <c r="S215" s="19">
        <v>1.0</v>
      </c>
      <c r="T215" s="19">
        <v>5.0</v>
      </c>
      <c r="U215" s="19">
        <v>1.0</v>
      </c>
      <c r="V215" s="19">
        <v>2.0</v>
      </c>
      <c r="W215" s="13">
        <f t="shared" si="42"/>
        <v>48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2.0</v>
      </c>
      <c r="H216" s="19">
        <v>0.0</v>
      </c>
      <c r="I216" s="19">
        <v>0.0</v>
      </c>
      <c r="J216" s="19">
        <v>1.0</v>
      </c>
      <c r="K216" s="19">
        <v>2.0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3">
        <f t="shared" si="42"/>
        <v>7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2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1.0</v>
      </c>
      <c r="V220" s="19">
        <v>0.0</v>
      </c>
      <c r="W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SUM(E213:E222)</f>
        <v>1</v>
      </c>
      <c r="F223" s="13">
        <f t="shared" si="43"/>
        <v>0</v>
      </c>
      <c r="G223" s="13">
        <f t="shared" si="43"/>
        <v>5</v>
      </c>
      <c r="H223" s="13">
        <f t="shared" si="43"/>
        <v>4</v>
      </c>
      <c r="I223" s="13">
        <f t="shared" si="43"/>
        <v>4</v>
      </c>
      <c r="J223" s="13">
        <f t="shared" si="43"/>
        <v>6</v>
      </c>
      <c r="K223" s="13">
        <f t="shared" si="43"/>
        <v>26</v>
      </c>
      <c r="L223" s="13">
        <f t="shared" si="43"/>
        <v>1</v>
      </c>
      <c r="M223" s="13">
        <f t="shared" si="43"/>
        <v>2</v>
      </c>
      <c r="N223" s="13">
        <f t="shared" si="43"/>
        <v>1</v>
      </c>
      <c r="O223" s="13">
        <f t="shared" si="43"/>
        <v>3</v>
      </c>
      <c r="P223" s="13">
        <f t="shared" si="43"/>
        <v>3</v>
      </c>
      <c r="Q223" s="13">
        <f t="shared" si="43"/>
        <v>5</v>
      </c>
      <c r="R223" s="13">
        <f t="shared" si="43"/>
        <v>6</v>
      </c>
      <c r="S223" s="13">
        <f t="shared" si="43"/>
        <v>3</v>
      </c>
      <c r="T223" s="13">
        <f t="shared" si="43"/>
        <v>7</v>
      </c>
      <c r="U223" s="13">
        <f t="shared" si="43"/>
        <v>8</v>
      </c>
      <c r="V223" s="13">
        <f t="shared" si="43"/>
        <v>2</v>
      </c>
      <c r="W223" s="13">
        <f t="shared" si="43"/>
        <v>87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3">
        <f t="shared" ref="W225:W234" si="44">SUM(E225:V225)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1.0</v>
      </c>
      <c r="V226" s="19">
        <v>4.0</v>
      </c>
      <c r="W226" s="13">
        <f t="shared" si="44"/>
        <v>5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1.0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4"/>
        <v>1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3">
        <f t="shared" si="44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4</v>
      </c>
      <c r="W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5.0</v>
      </c>
      <c r="F237" s="19">
        <v>3.0</v>
      </c>
      <c r="G237" s="19">
        <v>3.0</v>
      </c>
      <c r="H237" s="19">
        <v>6.0</v>
      </c>
      <c r="I237" s="19">
        <v>5.0</v>
      </c>
      <c r="J237" s="19">
        <v>4.0</v>
      </c>
      <c r="K237" s="19">
        <v>2.0</v>
      </c>
      <c r="L237" s="19">
        <v>3.0</v>
      </c>
      <c r="M237" s="19">
        <v>3.0</v>
      </c>
      <c r="N237" s="19">
        <v>0.0</v>
      </c>
      <c r="O237" s="19">
        <v>2.0</v>
      </c>
      <c r="P237" s="19">
        <v>1.0</v>
      </c>
      <c r="Q237" s="19">
        <v>0.0</v>
      </c>
      <c r="R237" s="19">
        <v>3.0</v>
      </c>
      <c r="S237" s="19">
        <v>1.0</v>
      </c>
      <c r="T237" s="19">
        <v>3.0</v>
      </c>
      <c r="U237" s="19">
        <v>1.0</v>
      </c>
      <c r="V237" s="19">
        <v>0.0</v>
      </c>
      <c r="W237" s="13">
        <f t="shared" ref="W237:W246" si="46">SUM(E237:V237)</f>
        <v>45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2.0</v>
      </c>
      <c r="G238" s="19">
        <v>2.0</v>
      </c>
      <c r="H238" s="19">
        <v>5.0</v>
      </c>
      <c r="I238" s="19">
        <v>2.0</v>
      </c>
      <c r="J238" s="19">
        <v>4.0</v>
      </c>
      <c r="K238" s="19">
        <v>3.0</v>
      </c>
      <c r="L238" s="19">
        <v>3.0</v>
      </c>
      <c r="M238" s="19">
        <v>3.0</v>
      </c>
      <c r="N238" s="19">
        <v>1.0</v>
      </c>
      <c r="O238" s="19">
        <v>1.0</v>
      </c>
      <c r="P238" s="19">
        <v>0.0</v>
      </c>
      <c r="Q238" s="19">
        <v>1.0</v>
      </c>
      <c r="R238" s="19">
        <v>5.0</v>
      </c>
      <c r="S238" s="19">
        <v>0.0</v>
      </c>
      <c r="T238" s="19">
        <v>0.0</v>
      </c>
      <c r="U238" s="19">
        <v>1.0</v>
      </c>
      <c r="V238" s="19">
        <v>2.0</v>
      </c>
      <c r="W238" s="13">
        <f t="shared" si="46"/>
        <v>36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2.0</v>
      </c>
      <c r="F239" s="19">
        <v>4.0</v>
      </c>
      <c r="G239" s="19">
        <v>5.0</v>
      </c>
      <c r="H239" s="19">
        <v>2.0</v>
      </c>
      <c r="I239" s="19">
        <v>2.0</v>
      </c>
      <c r="J239" s="19">
        <v>4.0</v>
      </c>
      <c r="K239" s="19">
        <v>2.0</v>
      </c>
      <c r="L239" s="19">
        <v>2.0</v>
      </c>
      <c r="M239" s="19">
        <v>3.0</v>
      </c>
      <c r="N239" s="19">
        <v>1.0</v>
      </c>
      <c r="O239" s="19">
        <v>0.0</v>
      </c>
      <c r="P239" s="19">
        <v>0.0</v>
      </c>
      <c r="Q239" s="19">
        <v>0.0</v>
      </c>
      <c r="R239" s="19">
        <v>5.0</v>
      </c>
      <c r="S239" s="19">
        <v>0.0</v>
      </c>
      <c r="T239" s="19">
        <v>1.0</v>
      </c>
      <c r="U239" s="19">
        <v>0.0</v>
      </c>
      <c r="V239" s="19">
        <v>2.0</v>
      </c>
      <c r="W239" s="13">
        <f t="shared" si="46"/>
        <v>35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3">
        <f t="shared" si="46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6.0</v>
      </c>
      <c r="F244" s="19">
        <v>7.0</v>
      </c>
      <c r="G244" s="19">
        <v>13.0</v>
      </c>
      <c r="H244" s="19">
        <v>17.0</v>
      </c>
      <c r="I244" s="19">
        <v>11.0</v>
      </c>
      <c r="J244" s="19">
        <v>7.0</v>
      </c>
      <c r="K244" s="19">
        <v>0.0</v>
      </c>
      <c r="L244" s="19">
        <v>0.0</v>
      </c>
      <c r="M244" s="19">
        <v>25.0</v>
      </c>
      <c r="N244" s="19">
        <v>19.0</v>
      </c>
      <c r="O244" s="19">
        <v>0.0</v>
      </c>
      <c r="P244" s="19">
        <v>14.0</v>
      </c>
      <c r="Q244" s="19">
        <v>6.0</v>
      </c>
      <c r="R244" s="19">
        <v>5.0</v>
      </c>
      <c r="S244" s="19">
        <v>0.0</v>
      </c>
      <c r="T244" s="19">
        <v>1.0</v>
      </c>
      <c r="U244" s="19">
        <v>0.0</v>
      </c>
      <c r="V244" s="19">
        <v>10.0</v>
      </c>
      <c r="W244" s="13">
        <f t="shared" si="46"/>
        <v>141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SUM(E237:E246)</f>
        <v>14</v>
      </c>
      <c r="F247" s="13">
        <f t="shared" si="47"/>
        <v>16</v>
      </c>
      <c r="G247" s="13">
        <f t="shared" si="47"/>
        <v>23</v>
      </c>
      <c r="H247" s="13">
        <f t="shared" si="47"/>
        <v>30</v>
      </c>
      <c r="I247" s="13">
        <f t="shared" si="47"/>
        <v>20</v>
      </c>
      <c r="J247" s="13">
        <f t="shared" si="47"/>
        <v>19</v>
      </c>
      <c r="K247" s="13">
        <f t="shared" si="47"/>
        <v>8</v>
      </c>
      <c r="L247" s="13">
        <f t="shared" si="47"/>
        <v>8</v>
      </c>
      <c r="M247" s="13">
        <f t="shared" si="47"/>
        <v>34</v>
      </c>
      <c r="N247" s="13">
        <f t="shared" si="47"/>
        <v>22</v>
      </c>
      <c r="O247" s="13">
        <f t="shared" si="47"/>
        <v>3</v>
      </c>
      <c r="P247" s="13">
        <f t="shared" si="47"/>
        <v>15</v>
      </c>
      <c r="Q247" s="13">
        <f t="shared" si="47"/>
        <v>7</v>
      </c>
      <c r="R247" s="13">
        <f t="shared" si="47"/>
        <v>18</v>
      </c>
      <c r="S247" s="13">
        <f t="shared" si="47"/>
        <v>1</v>
      </c>
      <c r="T247" s="13">
        <f t="shared" si="47"/>
        <v>5</v>
      </c>
      <c r="U247" s="13">
        <f t="shared" si="47"/>
        <v>2</v>
      </c>
      <c r="V247" s="13">
        <f t="shared" si="47"/>
        <v>15</v>
      </c>
      <c r="W247" s="13">
        <f t="shared" si="47"/>
        <v>260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9">
        <v>0.0</v>
      </c>
      <c r="V249" s="19">
        <v>0.0</v>
      </c>
      <c r="W249" s="13">
        <f t="shared" ref="W249:W258" si="48">SUM(E249:V249)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2.0</v>
      </c>
      <c r="T250" s="19">
        <v>0.0</v>
      </c>
      <c r="U250" s="19">
        <v>0.0</v>
      </c>
      <c r="V250" s="19">
        <v>0.0</v>
      </c>
      <c r="W250" s="13">
        <f t="shared" si="48"/>
        <v>2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1.0</v>
      </c>
      <c r="H251" s="19">
        <v>1.0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48"/>
        <v>2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3">
        <f t="shared" si="48"/>
        <v>2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SUM(E249:E258)</f>
        <v>1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V262" si="50">E55+E67+E79+E91+E103+E115+E127+E139+E151+E163+E175+E187+E199+E211+E223+E235+E247+E259</f>
        <v>162</v>
      </c>
      <c r="F262" s="19">
        <f t="shared" si="50"/>
        <v>175</v>
      </c>
      <c r="G262" s="19">
        <f t="shared" si="50"/>
        <v>174</v>
      </c>
      <c r="H262" s="19">
        <f t="shared" si="50"/>
        <v>173</v>
      </c>
      <c r="I262" s="19">
        <f t="shared" si="50"/>
        <v>184</v>
      </c>
      <c r="J262" s="19">
        <f t="shared" si="50"/>
        <v>161</v>
      </c>
      <c r="K262" s="19">
        <f t="shared" si="50"/>
        <v>183</v>
      </c>
      <c r="L262" s="19">
        <f t="shared" si="50"/>
        <v>177</v>
      </c>
      <c r="M262" s="19">
        <f t="shared" si="50"/>
        <v>199</v>
      </c>
      <c r="N262" s="19">
        <f t="shared" si="50"/>
        <v>197</v>
      </c>
      <c r="O262" s="19">
        <f t="shared" si="50"/>
        <v>179</v>
      </c>
      <c r="P262" s="19">
        <f t="shared" si="50"/>
        <v>174</v>
      </c>
      <c r="Q262" s="19">
        <f t="shared" si="50"/>
        <v>176</v>
      </c>
      <c r="R262" s="19">
        <f t="shared" si="50"/>
        <v>148</v>
      </c>
      <c r="S262" s="19">
        <f t="shared" si="50"/>
        <v>133</v>
      </c>
      <c r="T262" s="19">
        <f t="shared" si="50"/>
        <v>179</v>
      </c>
      <c r="U262" s="19">
        <f t="shared" si="50"/>
        <v>185</v>
      </c>
      <c r="V262" s="19">
        <f t="shared" si="50"/>
        <v>187</v>
      </c>
      <c r="W262" s="13">
        <f t="shared" ref="W262:W264" si="51">SUM(E262:V262)</f>
        <v>3146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22.0</v>
      </c>
      <c r="F263" s="19">
        <v>18.0</v>
      </c>
      <c r="G263" s="19">
        <v>17.0</v>
      </c>
      <c r="H263" s="19">
        <v>14.0</v>
      </c>
      <c r="I263" s="19">
        <v>10.0</v>
      </c>
      <c r="J263" s="19">
        <v>17.0</v>
      </c>
      <c r="K263" s="19">
        <v>17.0</v>
      </c>
      <c r="L263" s="19">
        <v>16.0</v>
      </c>
      <c r="M263" s="19">
        <v>12.0</v>
      </c>
      <c r="N263" s="19">
        <v>15.0</v>
      </c>
      <c r="O263" s="19">
        <v>32.0</v>
      </c>
      <c r="P263" s="19">
        <v>12.0</v>
      </c>
      <c r="Q263" s="19">
        <v>29.0</v>
      </c>
      <c r="R263" s="19">
        <v>30.0</v>
      </c>
      <c r="S263" s="19">
        <v>11.0</v>
      </c>
      <c r="T263" s="19">
        <v>14.0</v>
      </c>
      <c r="U263" s="19">
        <v>16.0</v>
      </c>
      <c r="V263" s="19">
        <v>15.0</v>
      </c>
      <c r="W263" s="13">
        <f t="shared" si="51"/>
        <v>317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V264" si="52">SUM(E262:E263)</f>
        <v>184</v>
      </c>
      <c r="F264" s="13">
        <f t="shared" si="52"/>
        <v>193</v>
      </c>
      <c r="G264" s="13">
        <f t="shared" si="52"/>
        <v>191</v>
      </c>
      <c r="H264" s="13">
        <f t="shared" si="52"/>
        <v>187</v>
      </c>
      <c r="I264" s="13">
        <f t="shared" si="52"/>
        <v>194</v>
      </c>
      <c r="J264" s="13">
        <f t="shared" si="52"/>
        <v>178</v>
      </c>
      <c r="K264" s="13">
        <f t="shared" si="52"/>
        <v>200</v>
      </c>
      <c r="L264" s="13">
        <f t="shared" si="52"/>
        <v>193</v>
      </c>
      <c r="M264" s="13">
        <f t="shared" si="52"/>
        <v>211</v>
      </c>
      <c r="N264" s="13">
        <f t="shared" si="52"/>
        <v>212</v>
      </c>
      <c r="O264" s="13">
        <f t="shared" si="52"/>
        <v>211</v>
      </c>
      <c r="P264" s="13">
        <f t="shared" si="52"/>
        <v>186</v>
      </c>
      <c r="Q264" s="13">
        <f t="shared" si="52"/>
        <v>205</v>
      </c>
      <c r="R264" s="13">
        <f t="shared" si="52"/>
        <v>178</v>
      </c>
      <c r="S264" s="13">
        <f t="shared" si="52"/>
        <v>144</v>
      </c>
      <c r="T264" s="13">
        <f t="shared" si="52"/>
        <v>193</v>
      </c>
      <c r="U264" s="13">
        <f t="shared" si="52"/>
        <v>201</v>
      </c>
      <c r="V264" s="13">
        <f t="shared" si="52"/>
        <v>202</v>
      </c>
      <c r="W264" s="13">
        <f t="shared" si="51"/>
        <v>3463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45:V54">
    <cfRule type="containsBlanks" dxfId="1" priority="9">
      <formula>LEN(TRIM(E45))=0</formula>
    </cfRule>
  </conditionalFormatting>
  <conditionalFormatting sqref="E57:V66">
    <cfRule type="containsBlanks" dxfId="1" priority="10">
      <formula>LEN(TRIM(E57))=0</formula>
    </cfRule>
  </conditionalFormatting>
  <conditionalFormatting sqref="E69:V78">
    <cfRule type="containsBlanks" dxfId="1" priority="11">
      <formula>LEN(TRIM(E69))=0</formula>
    </cfRule>
  </conditionalFormatting>
  <conditionalFormatting sqref="E81:V90">
    <cfRule type="containsBlanks" dxfId="1" priority="12">
      <formula>LEN(TRIM(E81))=0</formula>
    </cfRule>
  </conditionalFormatting>
  <conditionalFormatting sqref="E93:V102">
    <cfRule type="containsBlanks" dxfId="1" priority="13">
      <formula>LEN(TRIM(E93))=0</formula>
    </cfRule>
  </conditionalFormatting>
  <conditionalFormatting sqref="E105:V114">
    <cfRule type="containsBlanks" dxfId="1" priority="14">
      <formula>LEN(TRIM(E105))=0</formula>
    </cfRule>
  </conditionalFormatting>
  <conditionalFormatting sqref="E117:V126">
    <cfRule type="containsBlanks" dxfId="1" priority="15">
      <formula>LEN(TRIM(E117))=0</formula>
    </cfRule>
  </conditionalFormatting>
  <conditionalFormatting sqref="E129:V138">
    <cfRule type="containsBlanks" dxfId="1" priority="16">
      <formula>LEN(TRIM(E129))=0</formula>
    </cfRule>
  </conditionalFormatting>
  <conditionalFormatting sqref="E141:V150">
    <cfRule type="containsBlanks" dxfId="1" priority="17">
      <formula>LEN(TRIM(E141))=0</formula>
    </cfRule>
  </conditionalFormatting>
  <conditionalFormatting sqref="E153:V162">
    <cfRule type="containsBlanks" dxfId="1" priority="18">
      <formula>LEN(TRIM(E153))=0</formula>
    </cfRule>
  </conditionalFormatting>
  <conditionalFormatting sqref="E165:V174">
    <cfRule type="containsBlanks" dxfId="1" priority="19">
      <formula>LEN(TRIM(E165))=0</formula>
    </cfRule>
  </conditionalFormatting>
  <conditionalFormatting sqref="E177:V186">
    <cfRule type="containsBlanks" dxfId="1" priority="20">
      <formula>LEN(TRIM(E177))=0</formula>
    </cfRule>
  </conditionalFormatting>
  <conditionalFormatting sqref="E189:V198">
    <cfRule type="containsBlanks" dxfId="1" priority="21">
      <formula>LEN(TRIM(E189))=0</formula>
    </cfRule>
  </conditionalFormatting>
  <conditionalFormatting sqref="E201:V210">
    <cfRule type="containsBlanks" dxfId="1" priority="22">
      <formula>LEN(TRIM(E201))=0</formula>
    </cfRule>
  </conditionalFormatting>
  <conditionalFormatting sqref="E213:V222">
    <cfRule type="containsBlanks" dxfId="1" priority="23">
      <formula>LEN(TRIM(E213))=0</formula>
    </cfRule>
  </conditionalFormatting>
  <conditionalFormatting sqref="E225:V234">
    <cfRule type="containsBlanks" dxfId="1" priority="24">
      <formula>LEN(TRIM(E225))=0</formula>
    </cfRule>
  </conditionalFormatting>
  <conditionalFormatting sqref="E237:V246">
    <cfRule type="containsBlanks" dxfId="1" priority="25">
      <formula>LEN(TRIM(E237))=0</formula>
    </cfRule>
  </conditionalFormatting>
  <conditionalFormatting sqref="E249:V258">
    <cfRule type="containsBlanks" dxfId="1" priority="26">
      <formula>LEN(TRIM(E249))=0</formula>
    </cfRule>
  </conditionalFormatting>
  <conditionalFormatting sqref="E262:V263">
    <cfRule type="containsBlanks" dxfId="1" priority="27">
      <formula>LEN(TRIM(E262))=0</formula>
    </cfRule>
  </conditionalFormatting>
  <conditionalFormatting sqref="U34:V34">
    <cfRule type="expression" dxfId="0" priority="28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120.0</v>
      </c>
      <c r="G14" s="19">
        <v>114.0</v>
      </c>
      <c r="H14" s="19">
        <v>127.0</v>
      </c>
      <c r="I14" s="19">
        <v>126.0</v>
      </c>
      <c r="J14" s="19">
        <v>116.0</v>
      </c>
      <c r="K14" s="19">
        <v>116.0</v>
      </c>
      <c r="L14" s="19">
        <v>149.0</v>
      </c>
      <c r="M14" s="19">
        <v>147.0</v>
      </c>
      <c r="N14" s="19">
        <v>134.0</v>
      </c>
      <c r="O14" s="19">
        <v>133.0</v>
      </c>
      <c r="P14" s="19">
        <v>129.0</v>
      </c>
      <c r="Q14" s="19">
        <v>114.0</v>
      </c>
      <c r="R14" s="19">
        <v>127.0</v>
      </c>
      <c r="S14" s="19">
        <v>136.0</v>
      </c>
      <c r="T14" s="19">
        <v>104.0</v>
      </c>
      <c r="U14" s="19">
        <v>133.0</v>
      </c>
      <c r="V14" s="19">
        <v>107.0</v>
      </c>
      <c r="W14" s="19">
        <v>102.0</v>
      </c>
      <c r="X14" s="19">
        <v>123.0</v>
      </c>
      <c r="Y14" s="19">
        <v>106.0</v>
      </c>
      <c r="Z14" s="19">
        <v>134.0</v>
      </c>
      <c r="AA14" s="13">
        <f t="shared" ref="AA14:AA16" si="1">SUM(E14:Z14)</f>
        <v>2710</v>
      </c>
    </row>
    <row r="15" ht="12.75" customHeight="1">
      <c r="A15" s="18"/>
      <c r="B15" s="26"/>
      <c r="C15" s="27"/>
      <c r="D15" s="19" t="s">
        <v>13</v>
      </c>
      <c r="E15" s="19">
        <v>108.0</v>
      </c>
      <c r="F15" s="19">
        <v>110.0</v>
      </c>
      <c r="G15" s="19">
        <v>111.0</v>
      </c>
      <c r="H15" s="19">
        <v>117.0</v>
      </c>
      <c r="I15" s="19">
        <v>123.0</v>
      </c>
      <c r="J15" s="19">
        <v>125.0</v>
      </c>
      <c r="K15" s="19">
        <v>137.0</v>
      </c>
      <c r="L15" s="19">
        <v>144.0</v>
      </c>
      <c r="M15" s="19">
        <v>143.0</v>
      </c>
      <c r="N15" s="19">
        <v>132.0</v>
      </c>
      <c r="O15" s="19">
        <v>152.0</v>
      </c>
      <c r="P15" s="19">
        <v>121.0</v>
      </c>
      <c r="Q15" s="19">
        <v>127.0</v>
      </c>
      <c r="R15" s="19">
        <v>128.0</v>
      </c>
      <c r="S15" s="19">
        <v>123.0</v>
      </c>
      <c r="T15" s="19">
        <v>110.0</v>
      </c>
      <c r="U15" s="19">
        <v>133.0</v>
      </c>
      <c r="V15" s="19">
        <v>104.0</v>
      </c>
      <c r="W15" s="19">
        <v>106.0</v>
      </c>
      <c r="X15" s="19">
        <v>115.0</v>
      </c>
      <c r="Y15" s="19">
        <v>112.0</v>
      </c>
      <c r="Z15" s="19">
        <v>141.0</v>
      </c>
      <c r="AA15" s="13">
        <f t="shared" si="1"/>
        <v>2722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221</v>
      </c>
      <c r="F16" s="13">
        <f t="shared" si="2"/>
        <v>230</v>
      </c>
      <c r="G16" s="13">
        <f t="shared" si="2"/>
        <v>225</v>
      </c>
      <c r="H16" s="13">
        <f t="shared" si="2"/>
        <v>244</v>
      </c>
      <c r="I16" s="13">
        <f t="shared" si="2"/>
        <v>249</v>
      </c>
      <c r="J16" s="13">
        <f t="shared" si="2"/>
        <v>241</v>
      </c>
      <c r="K16" s="13">
        <f t="shared" si="2"/>
        <v>253</v>
      </c>
      <c r="L16" s="13">
        <f t="shared" si="2"/>
        <v>293</v>
      </c>
      <c r="M16" s="13">
        <f t="shared" si="2"/>
        <v>290</v>
      </c>
      <c r="N16" s="13">
        <f t="shared" si="2"/>
        <v>266</v>
      </c>
      <c r="O16" s="13">
        <f t="shared" si="2"/>
        <v>285</v>
      </c>
      <c r="P16" s="13">
        <f t="shared" si="2"/>
        <v>250</v>
      </c>
      <c r="Q16" s="13">
        <f t="shared" si="2"/>
        <v>241</v>
      </c>
      <c r="R16" s="13">
        <f t="shared" si="2"/>
        <v>255</v>
      </c>
      <c r="S16" s="13">
        <f t="shared" si="2"/>
        <v>259</v>
      </c>
      <c r="T16" s="13">
        <f t="shared" si="2"/>
        <v>214</v>
      </c>
      <c r="U16" s="13">
        <f t="shared" si="2"/>
        <v>266</v>
      </c>
      <c r="V16" s="13">
        <f t="shared" si="2"/>
        <v>211</v>
      </c>
      <c r="W16" s="13">
        <f t="shared" si="2"/>
        <v>208</v>
      </c>
      <c r="X16" s="13">
        <f t="shared" si="2"/>
        <v>238</v>
      </c>
      <c r="Y16" s="13">
        <f t="shared" si="2"/>
        <v>218</v>
      </c>
      <c r="Z16" s="13">
        <f t="shared" si="2"/>
        <v>275</v>
      </c>
      <c r="AA16" s="13">
        <f t="shared" si="1"/>
        <v>5432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83.0</v>
      </c>
      <c r="G19" s="19">
        <v>79.0</v>
      </c>
      <c r="H19" s="19">
        <v>103.0</v>
      </c>
      <c r="I19" s="19">
        <v>90.0</v>
      </c>
      <c r="J19" s="19">
        <v>76.0</v>
      </c>
      <c r="K19" s="19">
        <v>86.0</v>
      </c>
      <c r="L19" s="19">
        <v>115.0</v>
      </c>
      <c r="M19" s="19">
        <v>104.0</v>
      </c>
      <c r="N19" s="19">
        <v>107.0</v>
      </c>
      <c r="O19" s="19">
        <v>89.0</v>
      </c>
      <c r="P19" s="19">
        <v>90.0</v>
      </c>
      <c r="Q19" s="19">
        <v>96.0</v>
      </c>
      <c r="R19" s="19">
        <v>91.0</v>
      </c>
      <c r="S19" s="19">
        <v>103.0</v>
      </c>
      <c r="T19" s="19">
        <v>78.0</v>
      </c>
      <c r="U19" s="19">
        <v>93.0</v>
      </c>
      <c r="V19" s="19">
        <v>73.0</v>
      </c>
      <c r="W19" s="19">
        <v>68.0</v>
      </c>
      <c r="X19" s="19">
        <v>95.0</v>
      </c>
      <c r="Y19" s="19">
        <v>79.0</v>
      </c>
      <c r="Z19" s="19">
        <v>106.0</v>
      </c>
      <c r="AA19" s="13">
        <f t="shared" ref="AA19:AA30" si="3">SUM(E19:Z19)</f>
        <v>1984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99.0</v>
      </c>
      <c r="G20" s="19">
        <v>91.0</v>
      </c>
      <c r="H20" s="19">
        <v>98.0</v>
      </c>
      <c r="I20" s="19">
        <v>91.0</v>
      </c>
      <c r="J20" s="19">
        <v>98.0</v>
      </c>
      <c r="K20" s="19">
        <v>95.0</v>
      </c>
      <c r="L20" s="19">
        <v>117.0</v>
      </c>
      <c r="M20" s="19">
        <v>104.0</v>
      </c>
      <c r="N20" s="19">
        <v>90.0</v>
      </c>
      <c r="O20" s="19">
        <v>115.0</v>
      </c>
      <c r="P20" s="19">
        <v>95.0</v>
      </c>
      <c r="Q20" s="19">
        <v>96.0</v>
      </c>
      <c r="R20" s="19">
        <v>99.0</v>
      </c>
      <c r="S20" s="19">
        <v>99.0</v>
      </c>
      <c r="T20" s="19">
        <v>87.0</v>
      </c>
      <c r="U20" s="19">
        <v>100.0</v>
      </c>
      <c r="V20" s="19">
        <v>87.0</v>
      </c>
      <c r="W20" s="19">
        <v>92.0</v>
      </c>
      <c r="X20" s="19">
        <v>90.0</v>
      </c>
      <c r="Y20" s="19">
        <v>83.0</v>
      </c>
      <c r="Z20" s="19">
        <v>112.0</v>
      </c>
      <c r="AA20" s="13">
        <f t="shared" si="3"/>
        <v>2131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173</v>
      </c>
      <c r="F21" s="13">
        <f t="shared" si="4"/>
        <v>182</v>
      </c>
      <c r="G21" s="13">
        <f t="shared" si="4"/>
        <v>170</v>
      </c>
      <c r="H21" s="13">
        <f t="shared" si="4"/>
        <v>201</v>
      </c>
      <c r="I21" s="13">
        <f t="shared" si="4"/>
        <v>181</v>
      </c>
      <c r="J21" s="13">
        <f t="shared" si="4"/>
        <v>174</v>
      </c>
      <c r="K21" s="13">
        <f t="shared" si="4"/>
        <v>181</v>
      </c>
      <c r="L21" s="13">
        <f t="shared" si="4"/>
        <v>232</v>
      </c>
      <c r="M21" s="13">
        <f t="shared" si="4"/>
        <v>208</v>
      </c>
      <c r="N21" s="13">
        <f t="shared" si="4"/>
        <v>197</v>
      </c>
      <c r="O21" s="13">
        <f t="shared" si="4"/>
        <v>204</v>
      </c>
      <c r="P21" s="13">
        <f t="shared" si="4"/>
        <v>185</v>
      </c>
      <c r="Q21" s="13">
        <f t="shared" si="4"/>
        <v>192</v>
      </c>
      <c r="R21" s="13">
        <f t="shared" si="4"/>
        <v>190</v>
      </c>
      <c r="S21" s="13">
        <f t="shared" si="4"/>
        <v>202</v>
      </c>
      <c r="T21" s="13">
        <f t="shared" si="4"/>
        <v>165</v>
      </c>
      <c r="U21" s="13">
        <f t="shared" si="4"/>
        <v>193</v>
      </c>
      <c r="V21" s="13">
        <f t="shared" si="4"/>
        <v>160</v>
      </c>
      <c r="W21" s="13">
        <f t="shared" si="4"/>
        <v>160</v>
      </c>
      <c r="X21" s="13">
        <f t="shared" si="4"/>
        <v>185</v>
      </c>
      <c r="Y21" s="13">
        <f t="shared" si="4"/>
        <v>162</v>
      </c>
      <c r="Z21" s="13">
        <f t="shared" si="4"/>
        <v>218</v>
      </c>
      <c r="AA21" s="13">
        <f t="shared" si="3"/>
        <v>4115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1.0</v>
      </c>
      <c r="L25" s="19">
        <v>1.0</v>
      </c>
      <c r="M25" s="19">
        <v>1.0</v>
      </c>
      <c r="N25" s="19">
        <v>9.0</v>
      </c>
      <c r="O25" s="19">
        <v>4.0</v>
      </c>
      <c r="P25" s="19">
        <v>0.0</v>
      </c>
      <c r="Q25" s="19">
        <v>0.0</v>
      </c>
      <c r="R25" s="19">
        <v>1.0</v>
      </c>
      <c r="S25" s="19">
        <v>0.0</v>
      </c>
      <c r="T25" s="19">
        <v>1.0</v>
      </c>
      <c r="U25" s="19">
        <v>0.0</v>
      </c>
      <c r="V25" s="19">
        <v>3.0</v>
      </c>
      <c r="W25" s="19">
        <v>2.0</v>
      </c>
      <c r="X25" s="19">
        <v>6.0</v>
      </c>
      <c r="Y25" s="19">
        <v>3.0</v>
      </c>
      <c r="Z25" s="19">
        <v>0.0</v>
      </c>
      <c r="AA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6.0</v>
      </c>
      <c r="O26" s="19">
        <v>2.0</v>
      </c>
      <c r="P26" s="19">
        <v>1.0</v>
      </c>
      <c r="Q26" s="19">
        <v>0.0</v>
      </c>
      <c r="R26" s="19">
        <v>4.0</v>
      </c>
      <c r="S26" s="19">
        <v>1.0</v>
      </c>
      <c r="T26" s="19">
        <v>1.0</v>
      </c>
      <c r="U26" s="19">
        <v>0.0</v>
      </c>
      <c r="V26" s="19">
        <v>4.0</v>
      </c>
      <c r="W26" s="19">
        <v>2.0</v>
      </c>
      <c r="X26" s="19">
        <v>5.0</v>
      </c>
      <c r="Y26" s="19">
        <v>4.0</v>
      </c>
      <c r="Z26" s="19">
        <v>0.0</v>
      </c>
      <c r="AA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6</v>
      </c>
      <c r="K27" s="13">
        <f t="shared" si="6"/>
        <v>3</v>
      </c>
      <c r="L27" s="13">
        <f t="shared" si="6"/>
        <v>1</v>
      </c>
      <c r="M27" s="13">
        <f t="shared" si="6"/>
        <v>2</v>
      </c>
      <c r="N27" s="13">
        <f t="shared" si="6"/>
        <v>15</v>
      </c>
      <c r="O27" s="13">
        <f t="shared" si="6"/>
        <v>6</v>
      </c>
      <c r="P27" s="13">
        <f t="shared" si="6"/>
        <v>1</v>
      </c>
      <c r="Q27" s="13">
        <f t="shared" si="6"/>
        <v>0</v>
      </c>
      <c r="R27" s="13">
        <f t="shared" si="6"/>
        <v>5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7</v>
      </c>
      <c r="W27" s="13">
        <f t="shared" si="6"/>
        <v>4</v>
      </c>
      <c r="X27" s="13">
        <f t="shared" si="6"/>
        <v>11</v>
      </c>
      <c r="Y27" s="13">
        <f t="shared" si="6"/>
        <v>7</v>
      </c>
      <c r="Z27" s="13">
        <f t="shared" si="6"/>
        <v>0</v>
      </c>
      <c r="AA27" s="13">
        <f t="shared" si="3"/>
        <v>75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83</v>
      </c>
      <c r="F28" s="13">
        <f t="shared" si="7"/>
        <v>83</v>
      </c>
      <c r="G28" s="13">
        <f t="shared" si="7"/>
        <v>79</v>
      </c>
      <c r="H28" s="13">
        <f t="shared" si="7"/>
        <v>103</v>
      </c>
      <c r="I28" s="13">
        <f t="shared" si="7"/>
        <v>90</v>
      </c>
      <c r="J28" s="13">
        <f t="shared" si="7"/>
        <v>80</v>
      </c>
      <c r="K28" s="13">
        <f t="shared" si="7"/>
        <v>87</v>
      </c>
      <c r="L28" s="13">
        <f t="shared" si="7"/>
        <v>116</v>
      </c>
      <c r="M28" s="13">
        <f t="shared" si="7"/>
        <v>105</v>
      </c>
      <c r="N28" s="13">
        <f t="shared" si="7"/>
        <v>116</v>
      </c>
      <c r="O28" s="13">
        <f t="shared" si="7"/>
        <v>93</v>
      </c>
      <c r="P28" s="13">
        <f t="shared" si="7"/>
        <v>90</v>
      </c>
      <c r="Q28" s="13">
        <f t="shared" si="7"/>
        <v>96</v>
      </c>
      <c r="R28" s="13">
        <f t="shared" si="7"/>
        <v>92</v>
      </c>
      <c r="S28" s="13">
        <f t="shared" si="7"/>
        <v>104</v>
      </c>
      <c r="T28" s="13">
        <f t="shared" si="7"/>
        <v>79</v>
      </c>
      <c r="U28" s="13">
        <f t="shared" si="7"/>
        <v>93</v>
      </c>
      <c r="V28" s="13">
        <f t="shared" si="7"/>
        <v>76</v>
      </c>
      <c r="W28" s="13">
        <f t="shared" si="7"/>
        <v>70</v>
      </c>
      <c r="X28" s="13">
        <f t="shared" si="7"/>
        <v>101</v>
      </c>
      <c r="Y28" s="13">
        <f t="shared" si="7"/>
        <v>82</v>
      </c>
      <c r="Z28" s="13">
        <f t="shared" si="7"/>
        <v>106</v>
      </c>
      <c r="AA28" s="13">
        <f t="shared" si="3"/>
        <v>2024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94</v>
      </c>
      <c r="F29" s="13">
        <f t="shared" si="8"/>
        <v>99</v>
      </c>
      <c r="G29" s="13">
        <f t="shared" si="8"/>
        <v>91</v>
      </c>
      <c r="H29" s="13">
        <f t="shared" si="8"/>
        <v>98</v>
      </c>
      <c r="I29" s="13">
        <f t="shared" si="8"/>
        <v>91</v>
      </c>
      <c r="J29" s="13">
        <f t="shared" si="8"/>
        <v>101</v>
      </c>
      <c r="K29" s="13">
        <f t="shared" si="8"/>
        <v>97</v>
      </c>
      <c r="L29" s="13">
        <f t="shared" si="8"/>
        <v>117</v>
      </c>
      <c r="M29" s="13">
        <f t="shared" si="8"/>
        <v>105</v>
      </c>
      <c r="N29" s="13">
        <f t="shared" si="8"/>
        <v>96</v>
      </c>
      <c r="O29" s="13">
        <f t="shared" si="8"/>
        <v>117</v>
      </c>
      <c r="P29" s="13">
        <f t="shared" si="8"/>
        <v>96</v>
      </c>
      <c r="Q29" s="13">
        <f t="shared" si="8"/>
        <v>96</v>
      </c>
      <c r="R29" s="13">
        <f t="shared" si="8"/>
        <v>103</v>
      </c>
      <c r="S29" s="13">
        <f t="shared" si="8"/>
        <v>103</v>
      </c>
      <c r="T29" s="13">
        <f t="shared" si="8"/>
        <v>88</v>
      </c>
      <c r="U29" s="13">
        <f t="shared" si="8"/>
        <v>100</v>
      </c>
      <c r="V29" s="13">
        <f t="shared" si="8"/>
        <v>91</v>
      </c>
      <c r="W29" s="13">
        <f t="shared" si="8"/>
        <v>94</v>
      </c>
      <c r="X29" s="13">
        <f t="shared" si="8"/>
        <v>95</v>
      </c>
      <c r="Y29" s="13">
        <f t="shared" si="8"/>
        <v>87</v>
      </c>
      <c r="Z29" s="13">
        <f t="shared" si="8"/>
        <v>112</v>
      </c>
      <c r="AA29" s="13">
        <f t="shared" si="3"/>
        <v>2171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177</v>
      </c>
      <c r="F30" s="13">
        <f t="shared" si="9"/>
        <v>182</v>
      </c>
      <c r="G30" s="13">
        <f t="shared" si="9"/>
        <v>170</v>
      </c>
      <c r="H30" s="13">
        <f t="shared" si="9"/>
        <v>201</v>
      </c>
      <c r="I30" s="13">
        <f t="shared" si="9"/>
        <v>181</v>
      </c>
      <c r="J30" s="13">
        <f t="shared" si="9"/>
        <v>181</v>
      </c>
      <c r="K30" s="13">
        <f t="shared" si="9"/>
        <v>184</v>
      </c>
      <c r="L30" s="13">
        <f t="shared" si="9"/>
        <v>233</v>
      </c>
      <c r="M30" s="13">
        <f t="shared" si="9"/>
        <v>210</v>
      </c>
      <c r="N30" s="13">
        <f t="shared" si="9"/>
        <v>212</v>
      </c>
      <c r="O30" s="13">
        <f t="shared" si="9"/>
        <v>210</v>
      </c>
      <c r="P30" s="13">
        <f t="shared" si="9"/>
        <v>186</v>
      </c>
      <c r="Q30" s="13">
        <f t="shared" si="9"/>
        <v>192</v>
      </c>
      <c r="R30" s="13">
        <f t="shared" si="9"/>
        <v>195</v>
      </c>
      <c r="S30" s="13">
        <f t="shared" si="9"/>
        <v>207</v>
      </c>
      <c r="T30" s="13">
        <f t="shared" si="9"/>
        <v>167</v>
      </c>
      <c r="U30" s="13">
        <f t="shared" si="9"/>
        <v>193</v>
      </c>
      <c r="V30" s="13">
        <f t="shared" si="9"/>
        <v>167</v>
      </c>
      <c r="W30" s="13">
        <f t="shared" si="9"/>
        <v>164</v>
      </c>
      <c r="X30" s="13">
        <f t="shared" si="9"/>
        <v>196</v>
      </c>
      <c r="Y30" s="13">
        <f t="shared" si="9"/>
        <v>169</v>
      </c>
      <c r="Z30" s="13">
        <f t="shared" si="9"/>
        <v>218</v>
      </c>
      <c r="AA30" s="13">
        <f t="shared" si="3"/>
        <v>4195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7"/>
    </row>
    <row r="33" ht="12.75" customHeight="1">
      <c r="A33" s="19">
        <v>1.0</v>
      </c>
      <c r="B33" s="20" t="s">
        <v>27</v>
      </c>
      <c r="C33" s="15"/>
      <c r="D33" s="16"/>
      <c r="E33" s="19">
        <v>226.0</v>
      </c>
      <c r="F33" s="19">
        <v>235.0</v>
      </c>
      <c r="G33" s="19">
        <v>230.0</v>
      </c>
      <c r="H33" s="19">
        <v>249.0</v>
      </c>
      <c r="I33" s="19">
        <v>254.0</v>
      </c>
      <c r="J33" s="19">
        <v>246.0</v>
      </c>
      <c r="K33" s="19">
        <v>259.0</v>
      </c>
      <c r="L33" s="19">
        <v>300.0</v>
      </c>
      <c r="M33" s="19">
        <v>296.0</v>
      </c>
      <c r="N33" s="19">
        <v>272.0</v>
      </c>
      <c r="O33" s="19">
        <v>291.0</v>
      </c>
      <c r="P33" s="19">
        <v>255.0</v>
      </c>
      <c r="Q33" s="19">
        <v>246.0</v>
      </c>
      <c r="R33" s="19">
        <v>261.0</v>
      </c>
      <c r="S33" s="19">
        <v>265.0</v>
      </c>
      <c r="T33" s="19">
        <v>219.0</v>
      </c>
      <c r="U33" s="19">
        <v>272.0</v>
      </c>
      <c r="V33" s="19">
        <v>216.0</v>
      </c>
      <c r="W33" s="19">
        <v>213.0</v>
      </c>
      <c r="X33" s="19">
        <v>243.0</v>
      </c>
      <c r="Y33" s="19">
        <v>223.0</v>
      </c>
      <c r="Z33" s="19">
        <v>281.0</v>
      </c>
      <c r="AA33" s="13">
        <f t="shared" ref="AA33:AA36" si="10">SUM(E33:Z33)</f>
        <v>5552</v>
      </c>
    </row>
    <row r="34" ht="12.75" customHeight="1">
      <c r="A34" s="19">
        <v>2.0</v>
      </c>
      <c r="B34" s="20" t="s">
        <v>28</v>
      </c>
      <c r="C34" s="15"/>
      <c r="D34" s="16"/>
      <c r="E34" s="13">
        <v>177.0</v>
      </c>
      <c r="F34" s="13">
        <v>182.0</v>
      </c>
      <c r="G34" s="13">
        <v>170.0</v>
      </c>
      <c r="H34" s="13">
        <v>201.0</v>
      </c>
      <c r="I34" s="13">
        <v>181.0</v>
      </c>
      <c r="J34" s="13">
        <v>181.0</v>
      </c>
      <c r="K34" s="13">
        <v>184.0</v>
      </c>
      <c r="L34" s="13">
        <v>233.0</v>
      </c>
      <c r="M34" s="13">
        <v>210.0</v>
      </c>
      <c r="N34" s="13">
        <v>212.0</v>
      </c>
      <c r="O34" s="13">
        <v>210.0</v>
      </c>
      <c r="P34" s="13">
        <v>186.0</v>
      </c>
      <c r="Q34" s="13">
        <v>192.0</v>
      </c>
      <c r="R34" s="13">
        <v>195.0</v>
      </c>
      <c r="S34" s="13">
        <v>207.0</v>
      </c>
      <c r="T34" s="13">
        <v>167.0</v>
      </c>
      <c r="U34" s="13">
        <v>193.0</v>
      </c>
      <c r="V34" s="13">
        <v>167.0</v>
      </c>
      <c r="W34" s="13">
        <v>164.0</v>
      </c>
      <c r="X34" s="13">
        <v>196.0</v>
      </c>
      <c r="Y34" s="13">
        <v>169.0</v>
      </c>
      <c r="Z34" s="13">
        <v>218.0</v>
      </c>
      <c r="AA34" s="13">
        <f t="shared" si="10"/>
        <v>4195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2.0</v>
      </c>
      <c r="Q35" s="19">
        <v>0.0</v>
      </c>
      <c r="R35" s="19">
        <v>3.0</v>
      </c>
      <c r="S35" s="19">
        <v>1.0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1.0</v>
      </c>
      <c r="Z35" s="19">
        <v>0.0</v>
      </c>
      <c r="AA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53</v>
      </c>
      <c r="G36" s="13">
        <f t="shared" si="11"/>
        <v>60</v>
      </c>
      <c r="H36" s="13">
        <f t="shared" si="11"/>
        <v>48</v>
      </c>
      <c r="I36" s="13">
        <f t="shared" si="11"/>
        <v>73</v>
      </c>
      <c r="J36" s="13">
        <f t="shared" si="11"/>
        <v>65</v>
      </c>
      <c r="K36" s="13">
        <f t="shared" si="11"/>
        <v>75</v>
      </c>
      <c r="L36" s="13">
        <f t="shared" si="11"/>
        <v>67</v>
      </c>
      <c r="M36" s="13">
        <f t="shared" si="11"/>
        <v>85</v>
      </c>
      <c r="N36" s="13">
        <f t="shared" si="11"/>
        <v>60</v>
      </c>
      <c r="O36" s="13">
        <f t="shared" si="11"/>
        <v>81</v>
      </c>
      <c r="P36" s="13">
        <f t="shared" si="11"/>
        <v>67</v>
      </c>
      <c r="Q36" s="13">
        <f t="shared" si="11"/>
        <v>54</v>
      </c>
      <c r="R36" s="13">
        <f t="shared" si="11"/>
        <v>63</v>
      </c>
      <c r="S36" s="13">
        <f t="shared" si="11"/>
        <v>57</v>
      </c>
      <c r="T36" s="13">
        <f t="shared" si="11"/>
        <v>52</v>
      </c>
      <c r="U36" s="13">
        <f t="shared" si="11"/>
        <v>79</v>
      </c>
      <c r="V36" s="13">
        <f t="shared" si="11"/>
        <v>49</v>
      </c>
      <c r="W36" s="13">
        <f t="shared" si="11"/>
        <v>48</v>
      </c>
      <c r="X36" s="13">
        <f t="shared" si="11"/>
        <v>47</v>
      </c>
      <c r="Y36" s="13">
        <f t="shared" si="11"/>
        <v>53</v>
      </c>
      <c r="Z36" s="13">
        <f t="shared" si="11"/>
        <v>63</v>
      </c>
      <c r="AA36" s="13">
        <f t="shared" si="10"/>
        <v>1348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19"/>
      <c r="Z42" s="76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78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19"/>
      <c r="Z44" s="76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13.0</v>
      </c>
      <c r="G45" s="19">
        <v>3.0</v>
      </c>
      <c r="H45" s="19">
        <v>10.0</v>
      </c>
      <c r="I45" s="19">
        <v>10.0</v>
      </c>
      <c r="J45" s="19">
        <v>6.0</v>
      </c>
      <c r="K45" s="19">
        <v>3.0</v>
      </c>
      <c r="L45" s="19">
        <v>6.0</v>
      </c>
      <c r="M45" s="19">
        <v>4.0</v>
      </c>
      <c r="N45" s="19">
        <v>3.0</v>
      </c>
      <c r="O45" s="19">
        <v>7.0</v>
      </c>
      <c r="P45" s="19">
        <v>4.0</v>
      </c>
      <c r="Q45" s="19">
        <v>2.0</v>
      </c>
      <c r="R45" s="19">
        <v>2.0</v>
      </c>
      <c r="S45" s="19">
        <v>1.0</v>
      </c>
      <c r="T45" s="19">
        <v>5.0</v>
      </c>
      <c r="U45" s="19">
        <v>2.0</v>
      </c>
      <c r="V45" s="19">
        <v>2.0</v>
      </c>
      <c r="W45" s="19">
        <v>6.0</v>
      </c>
      <c r="X45" s="19">
        <v>6.0</v>
      </c>
      <c r="Y45" s="19">
        <v>19.0</v>
      </c>
      <c r="Z45" s="19">
        <v>11.0</v>
      </c>
      <c r="AA45" s="13">
        <f t="shared" ref="AA45:AA54" si="14">SUM(E45:Z45)</f>
        <v>126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11.0</v>
      </c>
      <c r="G46" s="19">
        <v>10.0</v>
      </c>
      <c r="H46" s="19">
        <v>66.0</v>
      </c>
      <c r="I46" s="19">
        <v>31.0</v>
      </c>
      <c r="J46" s="19">
        <v>12.0</v>
      </c>
      <c r="K46" s="19">
        <v>18.0</v>
      </c>
      <c r="L46" s="19">
        <v>20.0</v>
      </c>
      <c r="M46" s="19">
        <v>14.0</v>
      </c>
      <c r="N46" s="19">
        <v>8.0</v>
      </c>
      <c r="O46" s="19">
        <v>13.0</v>
      </c>
      <c r="P46" s="19">
        <v>9.0</v>
      </c>
      <c r="Q46" s="19">
        <v>12.0</v>
      </c>
      <c r="R46" s="19">
        <v>6.0</v>
      </c>
      <c r="S46" s="19">
        <v>10.0</v>
      </c>
      <c r="T46" s="19">
        <v>14.0</v>
      </c>
      <c r="U46" s="19">
        <v>7.0</v>
      </c>
      <c r="V46" s="19">
        <v>25.0</v>
      </c>
      <c r="W46" s="19">
        <v>36.0</v>
      </c>
      <c r="X46" s="19">
        <v>40.0</v>
      </c>
      <c r="Y46" s="19">
        <v>54.0</v>
      </c>
      <c r="Z46" s="19">
        <v>24.0</v>
      </c>
      <c r="AA46" s="13">
        <f t="shared" si="14"/>
        <v>450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0.0</v>
      </c>
      <c r="H47" s="19">
        <v>1.0</v>
      </c>
      <c r="I47" s="19">
        <v>0.0</v>
      </c>
      <c r="J47" s="19">
        <v>1.0</v>
      </c>
      <c r="K47" s="19">
        <v>1.0</v>
      </c>
      <c r="L47" s="19">
        <v>2.0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19">
        <v>0.0</v>
      </c>
      <c r="S47" s="19">
        <v>4.0</v>
      </c>
      <c r="T47" s="19">
        <v>0.0</v>
      </c>
      <c r="U47" s="19">
        <v>1.0</v>
      </c>
      <c r="V47" s="19">
        <v>2.0</v>
      </c>
      <c r="W47" s="19">
        <v>1.0</v>
      </c>
      <c r="X47" s="19">
        <v>0.0</v>
      </c>
      <c r="Y47" s="19">
        <v>0.0</v>
      </c>
      <c r="Z47" s="19">
        <v>1.0</v>
      </c>
      <c r="AA47" s="13">
        <f t="shared" si="14"/>
        <v>14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1.0</v>
      </c>
      <c r="X48" s="19">
        <v>0.0</v>
      </c>
      <c r="Y48" s="19">
        <v>1.0</v>
      </c>
      <c r="Z48" s="19">
        <v>0.0</v>
      </c>
      <c r="AA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2.0</v>
      </c>
      <c r="I49" s="19">
        <v>1.0</v>
      </c>
      <c r="J49" s="19">
        <v>0.0</v>
      </c>
      <c r="K49" s="19">
        <v>0.0</v>
      </c>
      <c r="L49" s="19">
        <v>2.0</v>
      </c>
      <c r="M49" s="19">
        <v>0.0</v>
      </c>
      <c r="N49" s="19">
        <v>0.0</v>
      </c>
      <c r="O49" s="19">
        <v>0.0</v>
      </c>
      <c r="P49" s="19">
        <v>1.0</v>
      </c>
      <c r="Q49" s="19">
        <v>1.0</v>
      </c>
      <c r="R49" s="19">
        <v>0.0</v>
      </c>
      <c r="S49" s="19">
        <v>0.0</v>
      </c>
      <c r="T49" s="19">
        <v>0.0</v>
      </c>
      <c r="U49" s="19">
        <v>1.0</v>
      </c>
      <c r="V49" s="19">
        <v>1.0</v>
      </c>
      <c r="W49" s="19">
        <v>1.0</v>
      </c>
      <c r="X49" s="19">
        <v>1.0</v>
      </c>
      <c r="Y49" s="19">
        <v>1.0</v>
      </c>
      <c r="Z49" s="19">
        <v>3.0</v>
      </c>
      <c r="AA49" s="13">
        <f t="shared" si="14"/>
        <v>15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2.0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1.0</v>
      </c>
      <c r="AA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3.0</v>
      </c>
      <c r="O51" s="19">
        <v>0.0</v>
      </c>
      <c r="P51" s="19">
        <v>0.0</v>
      </c>
      <c r="Q51" s="19">
        <v>0.0</v>
      </c>
      <c r="R51" s="19">
        <v>1.0</v>
      </c>
      <c r="S51" s="19">
        <v>1.0</v>
      </c>
      <c r="T51" s="19">
        <v>1.0</v>
      </c>
      <c r="U51" s="19">
        <v>0.0</v>
      </c>
      <c r="V51" s="19">
        <v>2.0</v>
      </c>
      <c r="W51" s="19">
        <v>3.0</v>
      </c>
      <c r="X51" s="19">
        <v>3.0</v>
      </c>
      <c r="Y51" s="19">
        <v>7.0</v>
      </c>
      <c r="Z51" s="19">
        <v>2.0</v>
      </c>
      <c r="AA51" s="13">
        <f t="shared" si="14"/>
        <v>26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1.0</v>
      </c>
      <c r="J52" s="19">
        <v>3.0</v>
      </c>
      <c r="K52" s="19">
        <v>0.0</v>
      </c>
      <c r="L52" s="19">
        <v>2.0</v>
      </c>
      <c r="M52" s="19">
        <v>2.0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2.0</v>
      </c>
      <c r="Y52" s="19">
        <v>0.0</v>
      </c>
      <c r="Z52" s="19">
        <v>0.0</v>
      </c>
      <c r="AA52" s="13">
        <f t="shared" si="14"/>
        <v>12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SUM(E45:E54)</f>
        <v>11</v>
      </c>
      <c r="F55" s="13">
        <f t="shared" si="15"/>
        <v>26</v>
      </c>
      <c r="G55" s="13">
        <f t="shared" si="15"/>
        <v>13</v>
      </c>
      <c r="H55" s="13">
        <f t="shared" si="15"/>
        <v>83</v>
      </c>
      <c r="I55" s="13">
        <f t="shared" si="15"/>
        <v>44</v>
      </c>
      <c r="J55" s="13">
        <f t="shared" si="15"/>
        <v>24</v>
      </c>
      <c r="K55" s="13">
        <f t="shared" si="15"/>
        <v>22</v>
      </c>
      <c r="L55" s="13">
        <f t="shared" si="15"/>
        <v>32</v>
      </c>
      <c r="M55" s="13">
        <f t="shared" si="15"/>
        <v>20</v>
      </c>
      <c r="N55" s="13">
        <f t="shared" si="15"/>
        <v>16</v>
      </c>
      <c r="O55" s="13">
        <f t="shared" si="15"/>
        <v>20</v>
      </c>
      <c r="P55" s="13">
        <f t="shared" si="15"/>
        <v>14</v>
      </c>
      <c r="Q55" s="13">
        <f t="shared" si="15"/>
        <v>16</v>
      </c>
      <c r="R55" s="13">
        <f t="shared" si="15"/>
        <v>9</v>
      </c>
      <c r="S55" s="13">
        <f t="shared" si="15"/>
        <v>16</v>
      </c>
      <c r="T55" s="13">
        <f t="shared" si="15"/>
        <v>21</v>
      </c>
      <c r="U55" s="13">
        <f t="shared" si="15"/>
        <v>11</v>
      </c>
      <c r="V55" s="13">
        <f t="shared" si="15"/>
        <v>33</v>
      </c>
      <c r="W55" s="13">
        <f t="shared" si="15"/>
        <v>48</v>
      </c>
      <c r="X55" s="13">
        <f t="shared" si="15"/>
        <v>52</v>
      </c>
      <c r="Y55" s="13">
        <f t="shared" si="15"/>
        <v>82</v>
      </c>
      <c r="Z55" s="13">
        <f t="shared" si="15"/>
        <v>42</v>
      </c>
      <c r="AA55" s="13">
        <f t="shared" si="15"/>
        <v>655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0.0</v>
      </c>
      <c r="F57" s="19">
        <v>5.0</v>
      </c>
      <c r="G57" s="19">
        <v>4.0</v>
      </c>
      <c r="H57" s="19">
        <v>5.0</v>
      </c>
      <c r="I57" s="19">
        <v>2.0</v>
      </c>
      <c r="J57" s="19">
        <v>6.0</v>
      </c>
      <c r="K57" s="19">
        <v>9.0</v>
      </c>
      <c r="L57" s="19">
        <v>7.0</v>
      </c>
      <c r="M57" s="19">
        <v>7.0</v>
      </c>
      <c r="N57" s="19">
        <v>7.0</v>
      </c>
      <c r="O57" s="19">
        <v>4.0</v>
      </c>
      <c r="P57" s="19">
        <v>8.0</v>
      </c>
      <c r="Q57" s="19">
        <v>3.0</v>
      </c>
      <c r="R57" s="19">
        <v>5.0</v>
      </c>
      <c r="S57" s="19">
        <v>5.0</v>
      </c>
      <c r="T57" s="19">
        <v>6.0</v>
      </c>
      <c r="U57" s="19">
        <v>2.0</v>
      </c>
      <c r="V57" s="19">
        <v>5.0</v>
      </c>
      <c r="W57" s="19">
        <v>3.0</v>
      </c>
      <c r="X57" s="19">
        <v>4.0</v>
      </c>
      <c r="Y57" s="19">
        <v>0.0</v>
      </c>
      <c r="Z57" s="19">
        <v>5.0</v>
      </c>
      <c r="AA57" s="13">
        <f t="shared" ref="AA57:AA66" si="16">SUM(E57:Z57)</f>
        <v>102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15.0</v>
      </c>
      <c r="F58" s="19">
        <v>11.0</v>
      </c>
      <c r="G58" s="19">
        <v>35.0</v>
      </c>
      <c r="H58" s="19">
        <v>9.0</v>
      </c>
      <c r="I58" s="19">
        <v>15.0</v>
      </c>
      <c r="J58" s="19">
        <v>54.0</v>
      </c>
      <c r="K58" s="19">
        <v>56.0</v>
      </c>
      <c r="L58" s="19">
        <v>28.0</v>
      </c>
      <c r="M58" s="19">
        <v>14.0</v>
      </c>
      <c r="N58" s="19">
        <v>9.0</v>
      </c>
      <c r="O58" s="19">
        <v>23.0</v>
      </c>
      <c r="P58" s="19">
        <v>7.0</v>
      </c>
      <c r="Q58" s="19">
        <v>11.0</v>
      </c>
      <c r="R58" s="19">
        <v>29.0</v>
      </c>
      <c r="S58" s="19">
        <v>6.0</v>
      </c>
      <c r="T58" s="19">
        <v>5.0</v>
      </c>
      <c r="U58" s="19">
        <v>6.0</v>
      </c>
      <c r="V58" s="19">
        <v>2.0</v>
      </c>
      <c r="W58" s="19">
        <v>8.0</v>
      </c>
      <c r="X58" s="19">
        <v>25.0</v>
      </c>
      <c r="Y58" s="19">
        <v>6.0</v>
      </c>
      <c r="Z58" s="19">
        <v>2.0</v>
      </c>
      <c r="AA58" s="13">
        <f t="shared" si="16"/>
        <v>376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4.0</v>
      </c>
      <c r="G59" s="19">
        <v>2.0</v>
      </c>
      <c r="H59" s="19">
        <v>0.0</v>
      </c>
      <c r="I59" s="19">
        <v>1.0</v>
      </c>
      <c r="J59" s="19">
        <v>5.0</v>
      </c>
      <c r="K59" s="19">
        <v>2.0</v>
      </c>
      <c r="L59" s="19">
        <v>5.0</v>
      </c>
      <c r="M59" s="19">
        <v>5.0</v>
      </c>
      <c r="N59" s="19">
        <v>1.0</v>
      </c>
      <c r="O59" s="19">
        <v>3.0</v>
      </c>
      <c r="P59" s="19">
        <v>0.0</v>
      </c>
      <c r="Q59" s="19">
        <v>1.0</v>
      </c>
      <c r="R59" s="19">
        <v>1.0</v>
      </c>
      <c r="S59" s="19">
        <v>2.0</v>
      </c>
      <c r="T59" s="19">
        <v>0.0</v>
      </c>
      <c r="U59" s="19">
        <v>2.0</v>
      </c>
      <c r="V59" s="19">
        <v>1.0</v>
      </c>
      <c r="W59" s="19">
        <v>2.0</v>
      </c>
      <c r="X59" s="19">
        <v>5.0</v>
      </c>
      <c r="Y59" s="19">
        <v>1.0</v>
      </c>
      <c r="Z59" s="19">
        <v>1.0</v>
      </c>
      <c r="AA59" s="13">
        <f t="shared" si="16"/>
        <v>46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2.0</v>
      </c>
      <c r="M60" s="19">
        <v>0.0</v>
      </c>
      <c r="N60" s="19">
        <v>0.0</v>
      </c>
      <c r="O60" s="19">
        <v>1.0</v>
      </c>
      <c r="P60" s="19">
        <v>0.0</v>
      </c>
      <c r="Q60" s="19">
        <v>1.0</v>
      </c>
      <c r="R60" s="19">
        <v>2.0</v>
      </c>
      <c r="S60" s="19">
        <v>0.0</v>
      </c>
      <c r="T60" s="19">
        <v>0.0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1.0</v>
      </c>
      <c r="AA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3.0</v>
      </c>
      <c r="G61" s="19">
        <v>0.0</v>
      </c>
      <c r="H61" s="19">
        <v>3.0</v>
      </c>
      <c r="I61" s="19">
        <v>2.0</v>
      </c>
      <c r="J61" s="19">
        <v>1.0</v>
      </c>
      <c r="K61" s="19">
        <v>4.0</v>
      </c>
      <c r="L61" s="19">
        <v>2.0</v>
      </c>
      <c r="M61" s="19">
        <v>1.0</v>
      </c>
      <c r="N61" s="19">
        <v>2.0</v>
      </c>
      <c r="O61" s="19">
        <v>0.0</v>
      </c>
      <c r="P61" s="19">
        <v>2.0</v>
      </c>
      <c r="Q61" s="19">
        <v>7.0</v>
      </c>
      <c r="R61" s="19">
        <v>9.0</v>
      </c>
      <c r="S61" s="19">
        <v>4.0</v>
      </c>
      <c r="T61" s="19">
        <v>0.0</v>
      </c>
      <c r="U61" s="19">
        <v>2.0</v>
      </c>
      <c r="V61" s="19">
        <v>0.0</v>
      </c>
      <c r="W61" s="19">
        <v>1.0</v>
      </c>
      <c r="X61" s="19">
        <v>0.0</v>
      </c>
      <c r="Y61" s="19">
        <v>0.0</v>
      </c>
      <c r="Z61" s="19">
        <v>2.0</v>
      </c>
      <c r="AA61" s="13">
        <f t="shared" si="16"/>
        <v>45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2.0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2.0</v>
      </c>
      <c r="P63" s="19">
        <v>0.0</v>
      </c>
      <c r="Q63" s="19">
        <v>0.0</v>
      </c>
      <c r="R63" s="19">
        <v>1.0</v>
      </c>
      <c r="S63" s="19">
        <v>0.0</v>
      </c>
      <c r="T63" s="19">
        <v>2.0</v>
      </c>
      <c r="U63" s="19">
        <v>0.0</v>
      </c>
      <c r="V63" s="19">
        <v>0.0</v>
      </c>
      <c r="W63" s="19">
        <v>1.0</v>
      </c>
      <c r="X63" s="19">
        <v>1.0</v>
      </c>
      <c r="Y63" s="19">
        <v>0.0</v>
      </c>
      <c r="Z63" s="19">
        <v>0.0</v>
      </c>
      <c r="AA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1.0</v>
      </c>
      <c r="K64" s="19">
        <v>1.0</v>
      </c>
      <c r="L64" s="19">
        <v>0.0</v>
      </c>
      <c r="M64" s="19">
        <v>0.0</v>
      </c>
      <c r="N64" s="19">
        <v>1.0</v>
      </c>
      <c r="O64" s="19">
        <v>0.0</v>
      </c>
      <c r="P64" s="19">
        <v>1.0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3">
        <f t="shared" si="16"/>
        <v>7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SUM(E57:E66)</f>
        <v>18</v>
      </c>
      <c r="F67" s="13">
        <f t="shared" si="17"/>
        <v>25</v>
      </c>
      <c r="G67" s="13">
        <f t="shared" si="17"/>
        <v>43</v>
      </c>
      <c r="H67" s="13">
        <f t="shared" si="17"/>
        <v>18</v>
      </c>
      <c r="I67" s="13">
        <f t="shared" si="17"/>
        <v>21</v>
      </c>
      <c r="J67" s="13">
        <f t="shared" si="17"/>
        <v>67</v>
      </c>
      <c r="K67" s="13">
        <f t="shared" si="17"/>
        <v>72</v>
      </c>
      <c r="L67" s="13">
        <f t="shared" si="17"/>
        <v>44</v>
      </c>
      <c r="M67" s="13">
        <f t="shared" si="17"/>
        <v>28</v>
      </c>
      <c r="N67" s="13">
        <f t="shared" si="17"/>
        <v>21</v>
      </c>
      <c r="O67" s="13">
        <f t="shared" si="17"/>
        <v>33</v>
      </c>
      <c r="P67" s="13">
        <f t="shared" si="17"/>
        <v>18</v>
      </c>
      <c r="Q67" s="13">
        <f t="shared" si="17"/>
        <v>25</v>
      </c>
      <c r="R67" s="13">
        <f t="shared" si="17"/>
        <v>47</v>
      </c>
      <c r="S67" s="13">
        <f t="shared" si="17"/>
        <v>17</v>
      </c>
      <c r="T67" s="13">
        <f t="shared" si="17"/>
        <v>13</v>
      </c>
      <c r="U67" s="13">
        <f t="shared" si="17"/>
        <v>12</v>
      </c>
      <c r="V67" s="13">
        <f t="shared" si="17"/>
        <v>8</v>
      </c>
      <c r="W67" s="13">
        <f t="shared" si="17"/>
        <v>16</v>
      </c>
      <c r="X67" s="13">
        <f t="shared" si="17"/>
        <v>36</v>
      </c>
      <c r="Y67" s="13">
        <f t="shared" si="17"/>
        <v>7</v>
      </c>
      <c r="Z67" s="13">
        <f t="shared" si="17"/>
        <v>11</v>
      </c>
      <c r="AA67" s="13">
        <f t="shared" si="17"/>
        <v>600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1.0</v>
      </c>
      <c r="F69" s="19">
        <v>1.0</v>
      </c>
      <c r="G69" s="19">
        <v>3.0</v>
      </c>
      <c r="H69" s="19">
        <v>3.0</v>
      </c>
      <c r="I69" s="19">
        <v>2.0</v>
      </c>
      <c r="J69" s="19">
        <v>2.0</v>
      </c>
      <c r="K69" s="19">
        <v>11.0</v>
      </c>
      <c r="L69" s="19">
        <v>22.0</v>
      </c>
      <c r="M69" s="19">
        <v>25.0</v>
      </c>
      <c r="N69" s="19">
        <v>24.0</v>
      </c>
      <c r="O69" s="19">
        <v>8.0</v>
      </c>
      <c r="P69" s="19">
        <v>14.0</v>
      </c>
      <c r="Q69" s="19">
        <v>11.0</v>
      </c>
      <c r="R69" s="19">
        <v>21.0</v>
      </c>
      <c r="S69" s="19">
        <v>29.0</v>
      </c>
      <c r="T69" s="19">
        <v>15.0</v>
      </c>
      <c r="U69" s="19">
        <v>4.0</v>
      </c>
      <c r="V69" s="19">
        <v>5.0</v>
      </c>
      <c r="W69" s="19">
        <v>4.0</v>
      </c>
      <c r="X69" s="19">
        <v>7.0</v>
      </c>
      <c r="Y69" s="19">
        <v>4.0</v>
      </c>
      <c r="Z69" s="19">
        <v>10.0</v>
      </c>
      <c r="AA69" s="13">
        <f t="shared" ref="AA69:AA78" si="18">SUM(E69:Z69)</f>
        <v>226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1.0</v>
      </c>
      <c r="G70" s="19">
        <v>5.0</v>
      </c>
      <c r="H70" s="19">
        <v>5.0</v>
      </c>
      <c r="I70" s="19">
        <v>9.0</v>
      </c>
      <c r="J70" s="19">
        <v>5.0</v>
      </c>
      <c r="K70" s="19">
        <v>5.0</v>
      </c>
      <c r="L70" s="19">
        <v>26.0</v>
      </c>
      <c r="M70" s="19">
        <v>20.0</v>
      </c>
      <c r="N70" s="19">
        <v>42.0</v>
      </c>
      <c r="O70" s="19">
        <v>6.0</v>
      </c>
      <c r="P70" s="19">
        <v>24.0</v>
      </c>
      <c r="Q70" s="19">
        <v>32.0</v>
      </c>
      <c r="R70" s="19">
        <v>15.0</v>
      </c>
      <c r="S70" s="19">
        <v>22.0</v>
      </c>
      <c r="T70" s="19">
        <v>14.0</v>
      </c>
      <c r="U70" s="19">
        <v>11.0</v>
      </c>
      <c r="V70" s="19">
        <v>41.0</v>
      </c>
      <c r="W70" s="19">
        <v>5.0</v>
      </c>
      <c r="X70" s="19">
        <v>8.0</v>
      </c>
      <c r="Y70" s="19">
        <v>8.0</v>
      </c>
      <c r="Z70" s="19">
        <v>4.0</v>
      </c>
      <c r="AA70" s="13">
        <f t="shared" si="18"/>
        <v>309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0.0</v>
      </c>
      <c r="G71" s="19">
        <v>0.0</v>
      </c>
      <c r="H71" s="19">
        <v>2.0</v>
      </c>
      <c r="I71" s="19">
        <v>2.0</v>
      </c>
      <c r="J71" s="19">
        <v>0.0</v>
      </c>
      <c r="K71" s="19">
        <v>2.0</v>
      </c>
      <c r="L71" s="19">
        <v>5.0</v>
      </c>
      <c r="M71" s="19">
        <v>1.0</v>
      </c>
      <c r="N71" s="19">
        <v>0.0</v>
      </c>
      <c r="O71" s="19">
        <v>0.0</v>
      </c>
      <c r="P71" s="19">
        <v>5.0</v>
      </c>
      <c r="Q71" s="19">
        <v>2.0</v>
      </c>
      <c r="R71" s="19">
        <v>1.0</v>
      </c>
      <c r="S71" s="19">
        <v>2.0</v>
      </c>
      <c r="T71" s="19">
        <v>7.0</v>
      </c>
      <c r="U71" s="19">
        <v>2.0</v>
      </c>
      <c r="V71" s="19">
        <v>2.0</v>
      </c>
      <c r="W71" s="19">
        <v>3.0</v>
      </c>
      <c r="X71" s="19">
        <v>1.0</v>
      </c>
      <c r="Y71" s="19">
        <v>0.0</v>
      </c>
      <c r="Z71" s="19">
        <v>3.0</v>
      </c>
      <c r="AA71" s="13">
        <f t="shared" si="18"/>
        <v>41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0.0</v>
      </c>
      <c r="G72" s="19">
        <v>2.0</v>
      </c>
      <c r="H72" s="19">
        <v>1.0</v>
      </c>
      <c r="I72" s="19">
        <v>0.0</v>
      </c>
      <c r="J72" s="19">
        <v>0.0</v>
      </c>
      <c r="K72" s="19">
        <v>1.0</v>
      </c>
      <c r="L72" s="19">
        <v>3.0</v>
      </c>
      <c r="M72" s="19">
        <v>8.0</v>
      </c>
      <c r="N72" s="19">
        <v>2.0</v>
      </c>
      <c r="O72" s="19">
        <v>3.0</v>
      </c>
      <c r="P72" s="19">
        <v>15.0</v>
      </c>
      <c r="Q72" s="19">
        <v>31.0</v>
      </c>
      <c r="R72" s="19">
        <v>5.0</v>
      </c>
      <c r="S72" s="19">
        <v>21.0</v>
      </c>
      <c r="T72" s="19">
        <v>9.0</v>
      </c>
      <c r="U72" s="19">
        <v>2.0</v>
      </c>
      <c r="V72" s="19">
        <v>5.0</v>
      </c>
      <c r="W72" s="19">
        <v>3.0</v>
      </c>
      <c r="X72" s="19">
        <v>2.0</v>
      </c>
      <c r="Y72" s="19">
        <v>1.0</v>
      </c>
      <c r="Z72" s="19">
        <v>1.0</v>
      </c>
      <c r="AA72" s="13">
        <f t="shared" si="18"/>
        <v>115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2.0</v>
      </c>
      <c r="G73" s="19">
        <v>0.0</v>
      </c>
      <c r="H73" s="19">
        <v>2.0</v>
      </c>
      <c r="I73" s="19">
        <v>1.0</v>
      </c>
      <c r="J73" s="19">
        <v>0.0</v>
      </c>
      <c r="K73" s="19">
        <v>1.0</v>
      </c>
      <c r="L73" s="19">
        <v>6.0</v>
      </c>
      <c r="M73" s="19">
        <v>2.0</v>
      </c>
      <c r="N73" s="19">
        <v>5.0</v>
      </c>
      <c r="O73" s="19">
        <v>0.0</v>
      </c>
      <c r="P73" s="19">
        <v>3.0</v>
      </c>
      <c r="Q73" s="19">
        <v>1.0</v>
      </c>
      <c r="R73" s="19">
        <v>8.0</v>
      </c>
      <c r="S73" s="19">
        <v>4.0</v>
      </c>
      <c r="T73" s="19">
        <v>3.0</v>
      </c>
      <c r="U73" s="19">
        <v>1.0</v>
      </c>
      <c r="V73" s="19">
        <v>4.0</v>
      </c>
      <c r="W73" s="19">
        <v>1.0</v>
      </c>
      <c r="X73" s="19">
        <v>2.0</v>
      </c>
      <c r="Y73" s="19">
        <v>2.0</v>
      </c>
      <c r="Z73" s="19">
        <v>5.0</v>
      </c>
      <c r="AA73" s="13">
        <f t="shared" si="18"/>
        <v>54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4.0</v>
      </c>
      <c r="H74" s="19">
        <v>0.0</v>
      </c>
      <c r="I74" s="19">
        <v>4.0</v>
      </c>
      <c r="J74" s="19">
        <v>0.0</v>
      </c>
      <c r="K74" s="19">
        <v>0.0</v>
      </c>
      <c r="L74" s="19">
        <v>2.0</v>
      </c>
      <c r="M74" s="19">
        <v>6.0</v>
      </c>
      <c r="N74" s="19">
        <v>3.0</v>
      </c>
      <c r="O74" s="19">
        <v>1.0</v>
      </c>
      <c r="P74" s="19">
        <v>2.0</v>
      </c>
      <c r="Q74" s="19">
        <v>1.0</v>
      </c>
      <c r="R74" s="19">
        <v>2.0</v>
      </c>
      <c r="S74" s="19">
        <v>7.0</v>
      </c>
      <c r="T74" s="19">
        <v>1.0</v>
      </c>
      <c r="U74" s="19">
        <v>0.0</v>
      </c>
      <c r="V74" s="19">
        <v>4.0</v>
      </c>
      <c r="W74" s="19">
        <v>0.0</v>
      </c>
      <c r="X74" s="19">
        <v>0.0</v>
      </c>
      <c r="Y74" s="19">
        <v>0.0</v>
      </c>
      <c r="Z74" s="19">
        <v>6.0</v>
      </c>
      <c r="AA74" s="13">
        <f t="shared" si="18"/>
        <v>44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2.0</v>
      </c>
      <c r="I75" s="19">
        <v>0.0</v>
      </c>
      <c r="J75" s="19">
        <v>0.0</v>
      </c>
      <c r="K75" s="19">
        <v>1.0</v>
      </c>
      <c r="L75" s="19">
        <v>2.0</v>
      </c>
      <c r="M75" s="19">
        <v>2.0</v>
      </c>
      <c r="N75" s="19">
        <v>2.0</v>
      </c>
      <c r="O75" s="19">
        <v>0.0</v>
      </c>
      <c r="P75" s="19">
        <v>1.0</v>
      </c>
      <c r="Q75" s="19">
        <v>2.0</v>
      </c>
      <c r="R75" s="19">
        <v>0.0</v>
      </c>
      <c r="S75" s="19">
        <v>0.0</v>
      </c>
      <c r="T75" s="19">
        <v>0.0</v>
      </c>
      <c r="U75" s="19">
        <v>2.0</v>
      </c>
      <c r="V75" s="19">
        <v>0.0</v>
      </c>
      <c r="W75" s="19">
        <v>1.0</v>
      </c>
      <c r="X75" s="19">
        <v>1.0</v>
      </c>
      <c r="Y75" s="19">
        <v>0.0</v>
      </c>
      <c r="Z75" s="19">
        <v>1.0</v>
      </c>
      <c r="AA75" s="13">
        <f t="shared" si="18"/>
        <v>19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1.0</v>
      </c>
      <c r="K76" s="19">
        <v>2.0</v>
      </c>
      <c r="L76" s="19">
        <v>0.0</v>
      </c>
      <c r="M76" s="19">
        <v>19.0</v>
      </c>
      <c r="N76" s="19">
        <v>21.0</v>
      </c>
      <c r="O76" s="19">
        <v>0.0</v>
      </c>
      <c r="P76" s="19">
        <v>3.0</v>
      </c>
      <c r="Q76" s="19">
        <v>7.0</v>
      </c>
      <c r="R76" s="19">
        <v>6.0</v>
      </c>
      <c r="S76" s="19">
        <v>12.0</v>
      </c>
      <c r="T76" s="19">
        <v>0.0</v>
      </c>
      <c r="U76" s="19">
        <v>1.0</v>
      </c>
      <c r="V76" s="19">
        <v>2.0</v>
      </c>
      <c r="W76" s="19">
        <v>0.0</v>
      </c>
      <c r="X76" s="19">
        <v>1.0</v>
      </c>
      <c r="Y76" s="19">
        <v>0.0</v>
      </c>
      <c r="Z76" s="19">
        <v>1.0</v>
      </c>
      <c r="AA76" s="13">
        <f t="shared" si="18"/>
        <v>77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SUM(E69:E78)</f>
        <v>4</v>
      </c>
      <c r="F79" s="13">
        <f t="shared" si="19"/>
        <v>6</v>
      </c>
      <c r="G79" s="13">
        <f t="shared" si="19"/>
        <v>15</v>
      </c>
      <c r="H79" s="13">
        <f t="shared" si="19"/>
        <v>15</v>
      </c>
      <c r="I79" s="13">
        <f t="shared" si="19"/>
        <v>19</v>
      </c>
      <c r="J79" s="13">
        <f t="shared" si="19"/>
        <v>8</v>
      </c>
      <c r="K79" s="13">
        <f t="shared" si="19"/>
        <v>23</v>
      </c>
      <c r="L79" s="13">
        <f t="shared" si="19"/>
        <v>66</v>
      </c>
      <c r="M79" s="13">
        <f t="shared" si="19"/>
        <v>83</v>
      </c>
      <c r="N79" s="13">
        <f t="shared" si="19"/>
        <v>99</v>
      </c>
      <c r="O79" s="13">
        <f t="shared" si="19"/>
        <v>18</v>
      </c>
      <c r="P79" s="13">
        <f t="shared" si="19"/>
        <v>67</v>
      </c>
      <c r="Q79" s="13">
        <f t="shared" si="19"/>
        <v>87</v>
      </c>
      <c r="R79" s="13">
        <f t="shared" si="19"/>
        <v>58</v>
      </c>
      <c r="S79" s="13">
        <f t="shared" si="19"/>
        <v>97</v>
      </c>
      <c r="T79" s="13">
        <f t="shared" si="19"/>
        <v>49</v>
      </c>
      <c r="U79" s="13">
        <f t="shared" si="19"/>
        <v>23</v>
      </c>
      <c r="V79" s="13">
        <f t="shared" si="19"/>
        <v>63</v>
      </c>
      <c r="W79" s="13">
        <f t="shared" si="19"/>
        <v>17</v>
      </c>
      <c r="X79" s="13">
        <f t="shared" si="19"/>
        <v>22</v>
      </c>
      <c r="Y79" s="13">
        <f t="shared" si="19"/>
        <v>15</v>
      </c>
      <c r="Z79" s="13">
        <f t="shared" si="19"/>
        <v>31</v>
      </c>
      <c r="AA79" s="13">
        <f t="shared" si="19"/>
        <v>885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8.0</v>
      </c>
      <c r="G81" s="19">
        <v>9.0</v>
      </c>
      <c r="H81" s="19">
        <v>2.0</v>
      </c>
      <c r="I81" s="19">
        <v>4.0</v>
      </c>
      <c r="J81" s="19">
        <v>3.0</v>
      </c>
      <c r="K81" s="19">
        <v>8.0</v>
      </c>
      <c r="L81" s="19">
        <v>5.0</v>
      </c>
      <c r="M81" s="19">
        <v>9.0</v>
      </c>
      <c r="N81" s="19">
        <v>1.0</v>
      </c>
      <c r="O81" s="19">
        <v>11.0</v>
      </c>
      <c r="P81" s="19">
        <v>5.0</v>
      </c>
      <c r="Q81" s="19">
        <v>7.0</v>
      </c>
      <c r="R81" s="19">
        <v>5.0</v>
      </c>
      <c r="S81" s="19">
        <v>1.0</v>
      </c>
      <c r="T81" s="19">
        <v>3.0</v>
      </c>
      <c r="U81" s="19">
        <v>2.0</v>
      </c>
      <c r="V81" s="19">
        <v>2.0</v>
      </c>
      <c r="W81" s="19">
        <v>3.0</v>
      </c>
      <c r="X81" s="19">
        <v>3.0</v>
      </c>
      <c r="Y81" s="19">
        <v>1.0</v>
      </c>
      <c r="Z81" s="19">
        <v>5.0</v>
      </c>
      <c r="AA81" s="13">
        <f t="shared" ref="AA81:AA90" si="20">SUM(E81:Z81)</f>
        <v>102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123.0</v>
      </c>
      <c r="F82" s="19">
        <v>85.0</v>
      </c>
      <c r="G82" s="19">
        <v>56.0</v>
      </c>
      <c r="H82" s="19">
        <v>27.0</v>
      </c>
      <c r="I82" s="19">
        <v>7.0</v>
      </c>
      <c r="J82" s="19">
        <v>14.0</v>
      </c>
      <c r="K82" s="19">
        <v>7.0</v>
      </c>
      <c r="L82" s="19">
        <v>3.0</v>
      </c>
      <c r="M82" s="19">
        <v>1.0</v>
      </c>
      <c r="N82" s="19">
        <v>1.0</v>
      </c>
      <c r="O82" s="19">
        <v>12.0</v>
      </c>
      <c r="P82" s="19">
        <v>3.0</v>
      </c>
      <c r="Q82" s="19">
        <v>2.0</v>
      </c>
      <c r="R82" s="19">
        <v>10.0</v>
      </c>
      <c r="S82" s="19">
        <v>1.0</v>
      </c>
      <c r="T82" s="19">
        <v>3.0</v>
      </c>
      <c r="U82" s="19">
        <v>9.0</v>
      </c>
      <c r="V82" s="19">
        <v>5.0</v>
      </c>
      <c r="W82" s="19">
        <v>2.0</v>
      </c>
      <c r="X82" s="19">
        <v>4.0</v>
      </c>
      <c r="Y82" s="19">
        <v>4.0</v>
      </c>
      <c r="Z82" s="19">
        <v>6.0</v>
      </c>
      <c r="AA82" s="13">
        <f t="shared" si="20"/>
        <v>385</v>
      </c>
    </row>
    <row r="83" ht="12.75" customHeight="1">
      <c r="A83" s="18"/>
      <c r="B83" s="55">
        <v>2.0</v>
      </c>
      <c r="C83" s="50" t="s">
        <v>66</v>
      </c>
      <c r="D83" s="60"/>
      <c r="E83" s="19">
        <v>3.0</v>
      </c>
      <c r="F83" s="19">
        <v>3.0</v>
      </c>
      <c r="G83" s="19">
        <v>4.0</v>
      </c>
      <c r="H83" s="19">
        <v>2.0</v>
      </c>
      <c r="I83" s="19">
        <v>3.0</v>
      </c>
      <c r="J83" s="19">
        <v>13.0</v>
      </c>
      <c r="K83" s="19">
        <v>15.0</v>
      </c>
      <c r="L83" s="19">
        <v>8.0</v>
      </c>
      <c r="M83" s="19">
        <v>9.0</v>
      </c>
      <c r="N83" s="19">
        <v>4.0</v>
      </c>
      <c r="O83" s="19">
        <v>12.0</v>
      </c>
      <c r="P83" s="19">
        <v>2.0</v>
      </c>
      <c r="Q83" s="19">
        <v>9.0</v>
      </c>
      <c r="R83" s="19">
        <v>12.0</v>
      </c>
      <c r="S83" s="19">
        <v>4.0</v>
      </c>
      <c r="T83" s="19">
        <v>4.0</v>
      </c>
      <c r="U83" s="19">
        <v>6.0</v>
      </c>
      <c r="V83" s="19">
        <v>4.0</v>
      </c>
      <c r="W83" s="19">
        <v>2.0</v>
      </c>
      <c r="X83" s="19">
        <v>2.0</v>
      </c>
      <c r="Y83" s="19">
        <v>2.0</v>
      </c>
      <c r="Z83" s="19">
        <v>3.0</v>
      </c>
      <c r="AA83" s="13">
        <f t="shared" si="20"/>
        <v>126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2.0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3.0</v>
      </c>
      <c r="S84" s="19">
        <v>0.0</v>
      </c>
      <c r="T84" s="19">
        <v>1.0</v>
      </c>
      <c r="U84" s="19">
        <v>0.0</v>
      </c>
      <c r="V84" s="19">
        <v>1.0</v>
      </c>
      <c r="W84" s="19">
        <v>1.0</v>
      </c>
      <c r="X84" s="19">
        <v>0.0</v>
      </c>
      <c r="Y84" s="19">
        <v>1.0</v>
      </c>
      <c r="Z84" s="19">
        <v>2.0</v>
      </c>
      <c r="AA84" s="13">
        <f t="shared" si="20"/>
        <v>14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2.0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3">
        <f t="shared" si="20"/>
        <v>7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1.0</v>
      </c>
      <c r="M86" s="19">
        <v>0.0</v>
      </c>
      <c r="N86" s="19">
        <v>0.0</v>
      </c>
      <c r="O86" s="19">
        <v>1.0</v>
      </c>
      <c r="P86" s="19">
        <v>0.0</v>
      </c>
      <c r="Q86" s="19">
        <v>2.0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3">
        <f t="shared" si="20"/>
        <v>7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2.0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 t="s">
        <v>222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SUM(E81:E90)</f>
        <v>132</v>
      </c>
      <c r="F91" s="13">
        <f t="shared" si="21"/>
        <v>98</v>
      </c>
      <c r="G91" s="13">
        <f t="shared" si="21"/>
        <v>72</v>
      </c>
      <c r="H91" s="13">
        <f t="shared" si="21"/>
        <v>33</v>
      </c>
      <c r="I91" s="13">
        <f t="shared" si="21"/>
        <v>15</v>
      </c>
      <c r="J91" s="13">
        <f t="shared" si="21"/>
        <v>30</v>
      </c>
      <c r="K91" s="13">
        <f t="shared" si="21"/>
        <v>34</v>
      </c>
      <c r="L91" s="13">
        <f t="shared" si="21"/>
        <v>17</v>
      </c>
      <c r="M91" s="13">
        <f t="shared" si="21"/>
        <v>20</v>
      </c>
      <c r="N91" s="13">
        <f t="shared" si="21"/>
        <v>7</v>
      </c>
      <c r="O91" s="13">
        <f t="shared" si="21"/>
        <v>37</v>
      </c>
      <c r="P91" s="13">
        <f t="shared" si="21"/>
        <v>11</v>
      </c>
      <c r="Q91" s="13">
        <f t="shared" si="21"/>
        <v>21</v>
      </c>
      <c r="R91" s="13">
        <f t="shared" si="21"/>
        <v>30</v>
      </c>
      <c r="S91" s="13">
        <f t="shared" si="21"/>
        <v>6</v>
      </c>
      <c r="T91" s="13">
        <f t="shared" si="21"/>
        <v>11</v>
      </c>
      <c r="U91" s="13">
        <f t="shared" si="21"/>
        <v>18</v>
      </c>
      <c r="V91" s="13">
        <f t="shared" si="21"/>
        <v>12</v>
      </c>
      <c r="W91" s="13">
        <f t="shared" si="21"/>
        <v>9</v>
      </c>
      <c r="X91" s="13">
        <f t="shared" si="21"/>
        <v>9</v>
      </c>
      <c r="Y91" s="13">
        <f t="shared" si="21"/>
        <v>9</v>
      </c>
      <c r="Z91" s="13">
        <f t="shared" si="21"/>
        <v>16</v>
      </c>
      <c r="AA91" s="13">
        <f t="shared" si="21"/>
        <v>647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1.0</v>
      </c>
      <c r="H93" s="19">
        <v>2.0</v>
      </c>
      <c r="I93" s="19">
        <v>2.0</v>
      </c>
      <c r="J93" s="19">
        <v>1.0</v>
      </c>
      <c r="K93" s="19">
        <v>1.0</v>
      </c>
      <c r="L93" s="19">
        <v>0.0</v>
      </c>
      <c r="M93" s="19">
        <v>1.0</v>
      </c>
      <c r="N93" s="19">
        <v>1.0</v>
      </c>
      <c r="O93" s="19">
        <v>0.0</v>
      </c>
      <c r="P93" s="19">
        <v>2.0</v>
      </c>
      <c r="Q93" s="19">
        <v>0.0</v>
      </c>
      <c r="R93" s="19">
        <v>0.0</v>
      </c>
      <c r="S93" s="19">
        <v>2.0</v>
      </c>
      <c r="T93" s="19">
        <v>0.0</v>
      </c>
      <c r="U93" s="19">
        <v>2.0</v>
      </c>
      <c r="V93" s="19">
        <v>0.0</v>
      </c>
      <c r="W93" s="19">
        <v>0.0</v>
      </c>
      <c r="X93" s="19">
        <v>6.0</v>
      </c>
      <c r="Y93" s="19">
        <v>1.0</v>
      </c>
      <c r="Z93" s="19">
        <v>6.0</v>
      </c>
      <c r="AA93" s="13">
        <f t="shared" ref="AA93:AA102" si="22">SUM(E93:Z93)</f>
        <v>31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4.0</v>
      </c>
      <c r="I94" s="19">
        <v>3.0</v>
      </c>
      <c r="J94" s="19">
        <v>0.0</v>
      </c>
      <c r="K94" s="19">
        <v>0.0</v>
      </c>
      <c r="L94" s="19">
        <v>2.0</v>
      </c>
      <c r="M94" s="19">
        <v>0.0</v>
      </c>
      <c r="N94" s="19">
        <v>1.0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9">
        <v>3.0</v>
      </c>
      <c r="U94" s="19">
        <v>0.0</v>
      </c>
      <c r="V94" s="19">
        <v>1.0</v>
      </c>
      <c r="W94" s="19">
        <v>0.0</v>
      </c>
      <c r="X94" s="19">
        <v>5.0</v>
      </c>
      <c r="Y94" s="19">
        <v>0.0</v>
      </c>
      <c r="Z94" s="19">
        <v>3.0</v>
      </c>
      <c r="AA94" s="13">
        <f t="shared" si="22"/>
        <v>24</v>
      </c>
    </row>
    <row r="95" ht="12.75" customHeight="1">
      <c r="A95" s="18"/>
      <c r="B95" s="55">
        <v>2.0</v>
      </c>
      <c r="C95" s="50" t="s">
        <v>75</v>
      </c>
      <c r="D95" s="60"/>
      <c r="E95" s="19">
        <v>5.0</v>
      </c>
      <c r="F95" s="19">
        <v>0.0</v>
      </c>
      <c r="G95" s="19">
        <v>5.0</v>
      </c>
      <c r="H95" s="19">
        <v>10.0</v>
      </c>
      <c r="I95" s="19">
        <v>30.0</v>
      </c>
      <c r="J95" s="19">
        <v>19.0</v>
      </c>
      <c r="K95" s="19">
        <v>2.0</v>
      </c>
      <c r="L95" s="19">
        <v>4.0</v>
      </c>
      <c r="M95" s="19">
        <v>0.0</v>
      </c>
      <c r="N95" s="19">
        <v>1.0</v>
      </c>
      <c r="O95" s="19">
        <v>12.0</v>
      </c>
      <c r="P95" s="19">
        <v>3.0</v>
      </c>
      <c r="Q95" s="19">
        <v>1.0</v>
      </c>
      <c r="R95" s="19">
        <v>0.0</v>
      </c>
      <c r="S95" s="19">
        <v>0.0</v>
      </c>
      <c r="T95" s="19">
        <v>8.0</v>
      </c>
      <c r="U95" s="19">
        <v>7.0</v>
      </c>
      <c r="V95" s="19">
        <v>0.0</v>
      </c>
      <c r="W95" s="19">
        <v>17.0</v>
      </c>
      <c r="X95" s="19">
        <v>7.0</v>
      </c>
      <c r="Y95" s="19">
        <v>20.0</v>
      </c>
      <c r="Z95" s="19">
        <v>37.0</v>
      </c>
      <c r="AA95" s="13">
        <f t="shared" si="22"/>
        <v>188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3.0</v>
      </c>
      <c r="T97" s="19">
        <v>0.0</v>
      </c>
      <c r="U97" s="19">
        <v>0.0</v>
      </c>
      <c r="V97" s="19">
        <v>1.0</v>
      </c>
      <c r="W97" s="19">
        <v>1.0</v>
      </c>
      <c r="X97" s="19">
        <v>0.0</v>
      </c>
      <c r="Y97" s="19">
        <v>0.0</v>
      </c>
      <c r="Z97" s="19">
        <v>0.0</v>
      </c>
      <c r="AA97" s="13">
        <f t="shared" si="22"/>
        <v>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SUM(E93:E102)</f>
        <v>7</v>
      </c>
      <c r="F103" s="13">
        <f t="shared" si="23"/>
        <v>2</v>
      </c>
      <c r="G103" s="13">
        <f t="shared" si="23"/>
        <v>7</v>
      </c>
      <c r="H103" s="13">
        <f t="shared" si="23"/>
        <v>16</v>
      </c>
      <c r="I103" s="13">
        <f t="shared" si="23"/>
        <v>35</v>
      </c>
      <c r="J103" s="13">
        <f t="shared" si="23"/>
        <v>20</v>
      </c>
      <c r="K103" s="13">
        <f t="shared" si="23"/>
        <v>3</v>
      </c>
      <c r="L103" s="13">
        <f t="shared" si="23"/>
        <v>6</v>
      </c>
      <c r="M103" s="13">
        <f t="shared" si="23"/>
        <v>1</v>
      </c>
      <c r="N103" s="13">
        <f t="shared" si="23"/>
        <v>3</v>
      </c>
      <c r="O103" s="13">
        <f t="shared" si="23"/>
        <v>13</v>
      </c>
      <c r="P103" s="13">
        <f t="shared" si="23"/>
        <v>5</v>
      </c>
      <c r="Q103" s="13">
        <f t="shared" si="23"/>
        <v>3</v>
      </c>
      <c r="R103" s="13">
        <f t="shared" si="23"/>
        <v>0</v>
      </c>
      <c r="S103" s="13">
        <f t="shared" si="23"/>
        <v>6</v>
      </c>
      <c r="T103" s="13">
        <f t="shared" si="23"/>
        <v>12</v>
      </c>
      <c r="U103" s="13">
        <f t="shared" si="23"/>
        <v>9</v>
      </c>
      <c r="V103" s="13">
        <f t="shared" si="23"/>
        <v>2</v>
      </c>
      <c r="W103" s="13">
        <f t="shared" si="23"/>
        <v>18</v>
      </c>
      <c r="X103" s="13">
        <f t="shared" si="23"/>
        <v>18</v>
      </c>
      <c r="Y103" s="13">
        <f t="shared" si="23"/>
        <v>21</v>
      </c>
      <c r="Z103" s="13">
        <f t="shared" si="23"/>
        <v>46</v>
      </c>
      <c r="AA103" s="13">
        <f t="shared" si="23"/>
        <v>253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2.0</v>
      </c>
      <c r="H105" s="19">
        <v>0.0</v>
      </c>
      <c r="I105" s="19">
        <v>0.0</v>
      </c>
      <c r="J105" s="19">
        <v>1.0</v>
      </c>
      <c r="K105" s="19">
        <v>0.0</v>
      </c>
      <c r="L105" s="19">
        <v>4.0</v>
      </c>
      <c r="M105" s="19">
        <v>1.0</v>
      </c>
      <c r="N105" s="19">
        <v>0.0</v>
      </c>
      <c r="O105" s="19">
        <v>0.0</v>
      </c>
      <c r="P105" s="19">
        <v>2.0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1.0</v>
      </c>
      <c r="Z105" s="19">
        <v>0.0</v>
      </c>
      <c r="AA105" s="13">
        <f t="shared" ref="AA105:AA114" si="24">SUM(E105:Z105)</f>
        <v>12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2.0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0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SUM(E105:E114)</f>
        <v>0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2</v>
      </c>
      <c r="L115" s="13">
        <f t="shared" si="25"/>
        <v>6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1.0</v>
      </c>
      <c r="O117" s="19">
        <v>0.0</v>
      </c>
      <c r="P117" s="19">
        <v>0.0</v>
      </c>
      <c r="Q117" s="19">
        <v>0.0</v>
      </c>
      <c r="R117" s="19">
        <v>0.0</v>
      </c>
      <c r="S117" s="19">
        <v>2.0</v>
      </c>
      <c r="T117" s="19">
        <v>0.0</v>
      </c>
      <c r="U117" s="19">
        <v>0.0</v>
      </c>
      <c r="V117" s="19">
        <v>1.0</v>
      </c>
      <c r="W117" s="19">
        <v>0.0</v>
      </c>
      <c r="X117" s="19">
        <v>1.0</v>
      </c>
      <c r="Y117" s="19">
        <v>3.0</v>
      </c>
      <c r="Z117" s="19">
        <v>1.0</v>
      </c>
      <c r="AA117" s="13">
        <f t="shared" ref="AA117:AA126" si="26">SUM(E117:Z117)</f>
        <v>11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1.0</v>
      </c>
      <c r="AA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0.0</v>
      </c>
      <c r="AA120" s="13">
        <f t="shared" si="26"/>
        <v>4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A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2</v>
      </c>
      <c r="N127" s="13">
        <f t="shared" si="27"/>
        <v>2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1</v>
      </c>
      <c r="S127" s="13">
        <f t="shared" si="27"/>
        <v>2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2</v>
      </c>
      <c r="X127" s="13">
        <f t="shared" si="27"/>
        <v>2</v>
      </c>
      <c r="Y127" s="13">
        <f t="shared" si="27"/>
        <v>3</v>
      </c>
      <c r="Z127" s="13">
        <f t="shared" si="27"/>
        <v>2</v>
      </c>
      <c r="AA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2.0</v>
      </c>
      <c r="P129" s="19">
        <v>0.0</v>
      </c>
      <c r="Q129" s="19">
        <v>0.0</v>
      </c>
      <c r="R129" s="19">
        <v>0.0</v>
      </c>
      <c r="S129" s="19">
        <v>0.0</v>
      </c>
      <c r="T129" s="19">
        <v>2.0</v>
      </c>
      <c r="U129" s="19">
        <v>0.0</v>
      </c>
      <c r="V129" s="19">
        <v>0.0</v>
      </c>
      <c r="W129" s="19">
        <v>0.0</v>
      </c>
      <c r="X129" s="19">
        <v>1.0</v>
      </c>
      <c r="Y129" s="19">
        <v>0.0</v>
      </c>
      <c r="Z129" s="19">
        <v>1.0</v>
      </c>
      <c r="AA129" s="13">
        <f t="shared" ref="AA129:AA138" si="28">SUM(E129:Z129)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1.0</v>
      </c>
      <c r="I130" s="19">
        <v>1.0</v>
      </c>
      <c r="J130" s="19">
        <v>0.0</v>
      </c>
      <c r="K130" s="19">
        <v>1.0</v>
      </c>
      <c r="L130" s="19">
        <v>0.0</v>
      </c>
      <c r="M130" s="19">
        <v>2.0</v>
      </c>
      <c r="N130" s="19">
        <v>1.0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3.0</v>
      </c>
      <c r="U130" s="19">
        <v>0.0</v>
      </c>
      <c r="V130" s="19">
        <v>0.0</v>
      </c>
      <c r="W130" s="19">
        <v>1.0</v>
      </c>
      <c r="X130" s="19">
        <v>3.0</v>
      </c>
      <c r="Y130" s="19">
        <v>1.0</v>
      </c>
      <c r="Z130" s="19">
        <v>4.0</v>
      </c>
      <c r="AA130" s="13">
        <f t="shared" si="28"/>
        <v>19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1.0</v>
      </c>
      <c r="M131" s="19">
        <v>1.0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3">
        <f t="shared" si="28"/>
        <v>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SUM(E129:E138)</f>
        <v>0</v>
      </c>
      <c r="F139" s="13">
        <f t="shared" si="29"/>
        <v>0</v>
      </c>
      <c r="G139" s="13">
        <f t="shared" si="29"/>
        <v>2</v>
      </c>
      <c r="H139" s="13">
        <f t="shared" si="29"/>
        <v>1</v>
      </c>
      <c r="I139" s="13">
        <f t="shared" si="29"/>
        <v>2</v>
      </c>
      <c r="J139" s="13">
        <f t="shared" si="29"/>
        <v>0</v>
      </c>
      <c r="K139" s="13">
        <f t="shared" si="29"/>
        <v>1</v>
      </c>
      <c r="L139" s="13">
        <f t="shared" si="29"/>
        <v>1</v>
      </c>
      <c r="M139" s="13">
        <f t="shared" si="29"/>
        <v>3</v>
      </c>
      <c r="N139" s="13">
        <f t="shared" si="29"/>
        <v>1</v>
      </c>
      <c r="O139" s="13">
        <f t="shared" si="29"/>
        <v>2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5</v>
      </c>
      <c r="U139" s="13">
        <f t="shared" si="29"/>
        <v>0</v>
      </c>
      <c r="V139" s="13">
        <f t="shared" si="29"/>
        <v>0</v>
      </c>
      <c r="W139" s="13">
        <f t="shared" si="29"/>
        <v>2</v>
      </c>
      <c r="X139" s="13">
        <f t="shared" si="29"/>
        <v>5</v>
      </c>
      <c r="Y139" s="13">
        <f t="shared" si="29"/>
        <v>1</v>
      </c>
      <c r="Z139" s="13">
        <f t="shared" si="29"/>
        <v>5</v>
      </c>
      <c r="AA139" s="13">
        <f t="shared" si="29"/>
        <v>32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1.0</v>
      </c>
      <c r="Z141" s="19">
        <v>0.0</v>
      </c>
      <c r="AA141" s="13">
        <f t="shared" ref="AA141:AA150" si="30">SUM(E141:Z141)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1.0</v>
      </c>
      <c r="Y144" s="19">
        <v>0.0</v>
      </c>
      <c r="Z144" s="19">
        <v>0.0</v>
      </c>
      <c r="AA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1</v>
      </c>
      <c r="Z151" s="13">
        <f t="shared" si="31"/>
        <v>0</v>
      </c>
      <c r="AA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3">
        <f t="shared" ref="AA153:AA162" si="32">SUM(E153:Z153)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3">
        <f t="shared" si="32"/>
        <v>3</v>
      </c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32"/>
        <v>1</v>
      </c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0</v>
      </c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1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8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1.0</v>
      </c>
      <c r="O165" s="19">
        <v>1.0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4" si="34">SUM(E165:Z165)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1.0</v>
      </c>
      <c r="Z172" s="19">
        <v>0.0</v>
      </c>
      <c r="AA172" s="13">
        <f t="shared" si="34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1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9">
        <v>1.0</v>
      </c>
      <c r="Y177" s="19">
        <v>0.0</v>
      </c>
      <c r="Z177" s="19">
        <v>1.0</v>
      </c>
      <c r="AA177" s="13">
        <f t="shared" ref="AA177:AA186" si="36">SUM(E177:Z177)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2.0</v>
      </c>
      <c r="M178" s="19">
        <v>0.0</v>
      </c>
      <c r="N178" s="19">
        <v>0.0</v>
      </c>
      <c r="O178" s="19">
        <v>0.0</v>
      </c>
      <c r="P178" s="19">
        <v>1.0</v>
      </c>
      <c r="Q178" s="19">
        <v>1.0</v>
      </c>
      <c r="R178" s="19">
        <v>0.0</v>
      </c>
      <c r="S178" s="19">
        <v>0.0</v>
      </c>
      <c r="T178" s="19">
        <v>0.0</v>
      </c>
      <c r="U178" s="19">
        <v>1.0</v>
      </c>
      <c r="V178" s="19">
        <v>1.0</v>
      </c>
      <c r="W178" s="19">
        <v>0.0</v>
      </c>
      <c r="X178" s="19">
        <v>0.0</v>
      </c>
      <c r="Y178" s="19">
        <v>0.0</v>
      </c>
      <c r="Z178" s="19">
        <v>0.0</v>
      </c>
      <c r="AA178" s="13">
        <f t="shared" si="36"/>
        <v>7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2.0</v>
      </c>
      <c r="J179" s="19">
        <v>0.0</v>
      </c>
      <c r="K179" s="19">
        <v>1.0</v>
      </c>
      <c r="L179" s="19">
        <v>1.0</v>
      </c>
      <c r="M179" s="19">
        <v>1.0</v>
      </c>
      <c r="N179" s="19">
        <v>0.0</v>
      </c>
      <c r="O179" s="19">
        <v>1.0</v>
      </c>
      <c r="P179" s="19">
        <v>0.0</v>
      </c>
      <c r="Q179" s="19">
        <v>1.0</v>
      </c>
      <c r="R179" s="19">
        <v>1.0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3">
        <f t="shared" si="36"/>
        <v>9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3">
        <f t="shared" si="36"/>
        <v>4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9">
        <v>0.0</v>
      </c>
      <c r="Z182" s="19">
        <v>0.0</v>
      </c>
      <c r="AA182" s="13">
        <f t="shared" si="36"/>
        <v>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4</v>
      </c>
      <c r="J187" s="13">
        <f t="shared" si="37"/>
        <v>1</v>
      </c>
      <c r="K187" s="13">
        <f t="shared" si="37"/>
        <v>2</v>
      </c>
      <c r="L187" s="13">
        <f t="shared" si="37"/>
        <v>4</v>
      </c>
      <c r="M187" s="13">
        <f t="shared" si="37"/>
        <v>2</v>
      </c>
      <c r="N187" s="13">
        <f t="shared" si="37"/>
        <v>1</v>
      </c>
      <c r="O187" s="13">
        <f t="shared" si="37"/>
        <v>2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1</v>
      </c>
      <c r="T187" s="13">
        <f t="shared" si="37"/>
        <v>0</v>
      </c>
      <c r="U187" s="13">
        <f t="shared" si="37"/>
        <v>3</v>
      </c>
      <c r="V187" s="13">
        <f t="shared" si="37"/>
        <v>1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1</v>
      </c>
      <c r="AA187" s="13">
        <f t="shared" si="37"/>
        <v>28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3">
        <f t="shared" ref="AA189:AA198" si="38">SUM(E189:Z189)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1.0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8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1.0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1.0</v>
      </c>
      <c r="O193" s="19">
        <v>0.0</v>
      </c>
      <c r="P193" s="19">
        <v>0.0</v>
      </c>
      <c r="Q193" s="19">
        <v>1.0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2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2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1.0</v>
      </c>
      <c r="H201" s="19">
        <v>4.0</v>
      </c>
      <c r="I201" s="19">
        <v>6.0</v>
      </c>
      <c r="J201" s="19">
        <v>0.0</v>
      </c>
      <c r="K201" s="19">
        <v>0.0</v>
      </c>
      <c r="L201" s="19">
        <v>1.0</v>
      </c>
      <c r="M201" s="19">
        <v>8.0</v>
      </c>
      <c r="N201" s="19">
        <v>4.0</v>
      </c>
      <c r="O201" s="19">
        <v>15.0</v>
      </c>
      <c r="P201" s="19">
        <v>2.0</v>
      </c>
      <c r="Q201" s="19">
        <v>1.0</v>
      </c>
      <c r="R201" s="19">
        <v>3.0</v>
      </c>
      <c r="S201" s="19">
        <v>18.0</v>
      </c>
      <c r="T201" s="19">
        <v>9.0</v>
      </c>
      <c r="U201" s="19">
        <v>2.0</v>
      </c>
      <c r="V201" s="19">
        <v>9.0</v>
      </c>
      <c r="W201" s="19">
        <v>7.0</v>
      </c>
      <c r="X201" s="19">
        <v>1.0</v>
      </c>
      <c r="Y201" s="19">
        <v>3.0</v>
      </c>
      <c r="Z201" s="19">
        <v>2.0</v>
      </c>
      <c r="AA201" s="13">
        <f t="shared" ref="AA201:AA210" si="40">SUM(E201:Z201)</f>
        <v>97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0.0</v>
      </c>
      <c r="G202" s="19">
        <v>1.0</v>
      </c>
      <c r="H202" s="19">
        <v>5.0</v>
      </c>
      <c r="I202" s="19">
        <v>9.0</v>
      </c>
      <c r="J202" s="19">
        <v>5.0</v>
      </c>
      <c r="K202" s="19">
        <v>6.0</v>
      </c>
      <c r="L202" s="19">
        <v>6.0</v>
      </c>
      <c r="M202" s="19">
        <v>8.0</v>
      </c>
      <c r="N202" s="19">
        <v>8.0</v>
      </c>
      <c r="O202" s="19">
        <v>14.0</v>
      </c>
      <c r="P202" s="19">
        <v>2.0</v>
      </c>
      <c r="Q202" s="19">
        <v>3.0</v>
      </c>
      <c r="R202" s="19">
        <v>12.0</v>
      </c>
      <c r="S202" s="19">
        <v>11.0</v>
      </c>
      <c r="T202" s="19">
        <v>4.0</v>
      </c>
      <c r="U202" s="19">
        <v>6.0</v>
      </c>
      <c r="V202" s="19">
        <v>6.0</v>
      </c>
      <c r="W202" s="19">
        <v>7.0</v>
      </c>
      <c r="X202" s="19">
        <v>2.0</v>
      </c>
      <c r="Y202" s="19">
        <v>2.0</v>
      </c>
      <c r="Z202" s="19">
        <v>1.0</v>
      </c>
      <c r="AA202" s="13">
        <f t="shared" si="40"/>
        <v>118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2.0</v>
      </c>
      <c r="I203" s="19">
        <v>0.0</v>
      </c>
      <c r="J203" s="19">
        <v>0.0</v>
      </c>
      <c r="K203" s="19">
        <v>0.0</v>
      </c>
      <c r="L203" s="19">
        <v>2.0</v>
      </c>
      <c r="M203" s="19">
        <v>2.0</v>
      </c>
      <c r="N203" s="19">
        <v>6.0</v>
      </c>
      <c r="O203" s="19">
        <v>1.0</v>
      </c>
      <c r="P203" s="19">
        <v>3.0</v>
      </c>
      <c r="Q203" s="19">
        <v>0.0</v>
      </c>
      <c r="R203" s="19">
        <v>0.0</v>
      </c>
      <c r="S203" s="19">
        <v>4.0</v>
      </c>
      <c r="T203" s="19">
        <v>1.0</v>
      </c>
      <c r="U203" s="19">
        <v>2.0</v>
      </c>
      <c r="V203" s="19">
        <v>2.0</v>
      </c>
      <c r="W203" s="19">
        <v>3.0</v>
      </c>
      <c r="X203" s="19">
        <v>1.0</v>
      </c>
      <c r="Y203" s="19">
        <v>0.0</v>
      </c>
      <c r="Z203" s="19">
        <v>1.0</v>
      </c>
      <c r="AA203" s="13">
        <f t="shared" si="40"/>
        <v>30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2.0</v>
      </c>
      <c r="P204" s="19">
        <v>1.0</v>
      </c>
      <c r="Q204" s="19">
        <v>0.0</v>
      </c>
      <c r="R204" s="19">
        <v>0.0</v>
      </c>
      <c r="S204" s="19">
        <v>0.0</v>
      </c>
      <c r="T204" s="19">
        <v>1.0</v>
      </c>
      <c r="U204" s="19">
        <v>0.0</v>
      </c>
      <c r="V204" s="19">
        <v>0.0</v>
      </c>
      <c r="W204" s="19">
        <v>2.0</v>
      </c>
      <c r="X204" s="19">
        <v>1.0</v>
      </c>
      <c r="Y204" s="19">
        <v>0.0</v>
      </c>
      <c r="Z204" s="19">
        <v>7.0</v>
      </c>
      <c r="AA204" s="13">
        <f t="shared" si="40"/>
        <v>14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2.0</v>
      </c>
      <c r="V205" s="19">
        <v>0.0</v>
      </c>
      <c r="W205" s="19">
        <v>14.0</v>
      </c>
      <c r="X205" s="19">
        <v>7.0</v>
      </c>
      <c r="Y205" s="19">
        <v>0.0</v>
      </c>
      <c r="Z205" s="19">
        <v>4.0</v>
      </c>
      <c r="AA205" s="13">
        <f t="shared" si="40"/>
        <v>30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2.0</v>
      </c>
      <c r="W206" s="19">
        <v>0.0</v>
      </c>
      <c r="X206" s="19">
        <v>0.0</v>
      </c>
      <c r="Y206" s="19">
        <v>0.0</v>
      </c>
      <c r="Z206" s="19">
        <v>0.0</v>
      </c>
      <c r="AA206" s="13">
        <f t="shared" si="40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3.0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3">
        <f t="shared" si="40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SUM(E201:E210)</f>
        <v>0</v>
      </c>
      <c r="F211" s="13">
        <f t="shared" si="41"/>
        <v>2</v>
      </c>
      <c r="G211" s="13">
        <f t="shared" si="41"/>
        <v>3</v>
      </c>
      <c r="H211" s="13">
        <f t="shared" si="41"/>
        <v>11</v>
      </c>
      <c r="I211" s="13">
        <f t="shared" si="41"/>
        <v>15</v>
      </c>
      <c r="J211" s="13">
        <f t="shared" si="41"/>
        <v>5</v>
      </c>
      <c r="K211" s="13">
        <f t="shared" si="41"/>
        <v>6</v>
      </c>
      <c r="L211" s="13">
        <f t="shared" si="41"/>
        <v>11</v>
      </c>
      <c r="M211" s="13">
        <f t="shared" si="41"/>
        <v>18</v>
      </c>
      <c r="N211" s="13">
        <f t="shared" si="41"/>
        <v>22</v>
      </c>
      <c r="O211" s="13">
        <f t="shared" si="41"/>
        <v>32</v>
      </c>
      <c r="P211" s="13">
        <f t="shared" si="41"/>
        <v>8</v>
      </c>
      <c r="Q211" s="13">
        <f t="shared" si="41"/>
        <v>4</v>
      </c>
      <c r="R211" s="13">
        <f t="shared" si="41"/>
        <v>15</v>
      </c>
      <c r="S211" s="13">
        <f t="shared" si="41"/>
        <v>33</v>
      </c>
      <c r="T211" s="13">
        <f t="shared" si="41"/>
        <v>15</v>
      </c>
      <c r="U211" s="13">
        <f t="shared" si="41"/>
        <v>12</v>
      </c>
      <c r="V211" s="13">
        <f t="shared" si="41"/>
        <v>19</v>
      </c>
      <c r="W211" s="13">
        <f t="shared" si="41"/>
        <v>33</v>
      </c>
      <c r="X211" s="13">
        <f t="shared" si="41"/>
        <v>12</v>
      </c>
      <c r="Y211" s="13">
        <f t="shared" si="41"/>
        <v>5</v>
      </c>
      <c r="Z211" s="13">
        <f t="shared" si="41"/>
        <v>15</v>
      </c>
      <c r="AA211" s="13">
        <f t="shared" si="41"/>
        <v>296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2.0</v>
      </c>
      <c r="H213" s="19">
        <v>3.0</v>
      </c>
      <c r="I213" s="19">
        <v>0.0</v>
      </c>
      <c r="J213" s="19">
        <v>0.0</v>
      </c>
      <c r="K213" s="19">
        <v>2.0</v>
      </c>
      <c r="L213" s="19">
        <v>3.0</v>
      </c>
      <c r="M213" s="19">
        <v>2.0</v>
      </c>
      <c r="N213" s="19">
        <v>1.0</v>
      </c>
      <c r="O213" s="19">
        <v>0.0</v>
      </c>
      <c r="P213" s="19">
        <v>2.0</v>
      </c>
      <c r="Q213" s="19">
        <v>2.0</v>
      </c>
      <c r="R213" s="19">
        <v>0.0</v>
      </c>
      <c r="S213" s="19">
        <v>2.0</v>
      </c>
      <c r="T213" s="19">
        <v>0.0</v>
      </c>
      <c r="U213" s="19">
        <v>1.0</v>
      </c>
      <c r="V213" s="19">
        <v>2.0</v>
      </c>
      <c r="W213" s="19">
        <v>1.0</v>
      </c>
      <c r="X213" s="19">
        <v>1.0</v>
      </c>
      <c r="Y213" s="19">
        <v>1.0</v>
      </c>
      <c r="Z213" s="19">
        <v>2.0</v>
      </c>
      <c r="AA213" s="13">
        <f t="shared" ref="AA213:AA222" si="42">SUM(E213:Z213)</f>
        <v>29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2.0</v>
      </c>
      <c r="M214" s="19">
        <v>2.0</v>
      </c>
      <c r="N214" s="19">
        <v>2.0</v>
      </c>
      <c r="O214" s="19">
        <v>0.0</v>
      </c>
      <c r="P214" s="19">
        <v>2.0</v>
      </c>
      <c r="Q214" s="19">
        <v>1.0</v>
      </c>
      <c r="R214" s="19">
        <v>0.0</v>
      </c>
      <c r="S214" s="19">
        <v>0.0</v>
      </c>
      <c r="T214" s="19">
        <v>0.0</v>
      </c>
      <c r="U214" s="19">
        <v>5.0</v>
      </c>
      <c r="V214" s="19">
        <v>0.0</v>
      </c>
      <c r="W214" s="19">
        <v>0.0</v>
      </c>
      <c r="X214" s="19">
        <v>1.0</v>
      </c>
      <c r="Y214" s="19">
        <v>3.0</v>
      </c>
      <c r="Z214" s="19">
        <v>2.0</v>
      </c>
      <c r="AA214" s="13">
        <f t="shared" si="42"/>
        <v>20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1.0</v>
      </c>
      <c r="G215" s="19">
        <v>0.0</v>
      </c>
      <c r="H215" s="19">
        <v>1.0</v>
      </c>
      <c r="I215" s="19">
        <v>3.0</v>
      </c>
      <c r="J215" s="19">
        <v>11.0</v>
      </c>
      <c r="K215" s="19">
        <v>4.0</v>
      </c>
      <c r="L215" s="19">
        <v>5.0</v>
      </c>
      <c r="M215" s="19">
        <v>0.0</v>
      </c>
      <c r="N215" s="19">
        <v>4.0</v>
      </c>
      <c r="O215" s="19">
        <v>1.0</v>
      </c>
      <c r="P215" s="19">
        <v>2.0</v>
      </c>
      <c r="Q215" s="19">
        <v>2.0</v>
      </c>
      <c r="R215" s="19">
        <v>4.0</v>
      </c>
      <c r="S215" s="19">
        <v>4.0</v>
      </c>
      <c r="T215" s="19">
        <v>11.0</v>
      </c>
      <c r="U215" s="19">
        <v>86.0</v>
      </c>
      <c r="V215" s="19">
        <v>9.0</v>
      </c>
      <c r="W215" s="19">
        <v>3.0</v>
      </c>
      <c r="X215" s="19">
        <v>4.0</v>
      </c>
      <c r="Y215" s="19">
        <v>2.0</v>
      </c>
      <c r="Z215" s="19">
        <v>3.0</v>
      </c>
      <c r="AA215" s="13">
        <f t="shared" si="42"/>
        <v>160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1.0</v>
      </c>
      <c r="Z216" s="19">
        <v>0.0</v>
      </c>
      <c r="AA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0.0</v>
      </c>
      <c r="V218" s="19">
        <v>0.0</v>
      </c>
      <c r="W218" s="19" t="s">
        <v>249</v>
      </c>
      <c r="X218" s="19">
        <v>0.0</v>
      </c>
      <c r="Y218" s="19">
        <v>0.0</v>
      </c>
      <c r="Z218" s="19">
        <v>0.0</v>
      </c>
      <c r="AA218" s="13">
        <f t="shared" si="42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 t="s">
        <v>250</v>
      </c>
      <c r="X219" s="19">
        <v>0.0</v>
      </c>
      <c r="Y219" s="19">
        <v>1.0</v>
      </c>
      <c r="Z219" s="19">
        <v>0.0</v>
      </c>
      <c r="AA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1.0</v>
      </c>
      <c r="R220" s="19">
        <v>1.0</v>
      </c>
      <c r="S220" s="19">
        <v>0.0</v>
      </c>
      <c r="T220" s="19">
        <v>0.0</v>
      </c>
      <c r="U220" s="19">
        <v>0.0</v>
      </c>
      <c r="V220" s="19">
        <v>1.0</v>
      </c>
      <c r="W220" s="19" t="s">
        <v>251</v>
      </c>
      <c r="X220" s="19">
        <v>0.0</v>
      </c>
      <c r="Y220" s="19">
        <v>0.0</v>
      </c>
      <c r="Z220" s="19">
        <v>0.0</v>
      </c>
      <c r="AA220" s="13">
        <f t="shared" si="42"/>
        <v>4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SUM(E213:E222)</f>
        <v>1</v>
      </c>
      <c r="F223" s="13">
        <f t="shared" si="43"/>
        <v>2</v>
      </c>
      <c r="G223" s="13">
        <f t="shared" si="43"/>
        <v>2</v>
      </c>
      <c r="H223" s="13">
        <f t="shared" si="43"/>
        <v>5</v>
      </c>
      <c r="I223" s="13">
        <f t="shared" si="43"/>
        <v>3</v>
      </c>
      <c r="J223" s="13">
        <f t="shared" si="43"/>
        <v>11</v>
      </c>
      <c r="K223" s="13">
        <f t="shared" si="43"/>
        <v>6</v>
      </c>
      <c r="L223" s="13">
        <f t="shared" si="43"/>
        <v>12</v>
      </c>
      <c r="M223" s="13">
        <f t="shared" si="43"/>
        <v>5</v>
      </c>
      <c r="N223" s="13">
        <f t="shared" si="43"/>
        <v>7</v>
      </c>
      <c r="O223" s="13">
        <f t="shared" si="43"/>
        <v>2</v>
      </c>
      <c r="P223" s="13">
        <f t="shared" si="43"/>
        <v>6</v>
      </c>
      <c r="Q223" s="13">
        <f t="shared" si="43"/>
        <v>6</v>
      </c>
      <c r="R223" s="13">
        <f t="shared" si="43"/>
        <v>5</v>
      </c>
      <c r="S223" s="13">
        <f t="shared" si="43"/>
        <v>6</v>
      </c>
      <c r="T223" s="13">
        <f t="shared" si="43"/>
        <v>12</v>
      </c>
      <c r="U223" s="13">
        <f t="shared" si="43"/>
        <v>92</v>
      </c>
      <c r="V223" s="13">
        <f t="shared" si="43"/>
        <v>13</v>
      </c>
      <c r="W223" s="13">
        <f t="shared" si="43"/>
        <v>4</v>
      </c>
      <c r="X223" s="13">
        <f t="shared" si="43"/>
        <v>6</v>
      </c>
      <c r="Y223" s="13">
        <f t="shared" si="43"/>
        <v>8</v>
      </c>
      <c r="Z223" s="13">
        <f t="shared" si="43"/>
        <v>7</v>
      </c>
      <c r="AA223" s="13">
        <f t="shared" si="43"/>
        <v>221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3">
        <f t="shared" ref="AA225:AA234" si="44">SUM(E225:Z225)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1.0</v>
      </c>
      <c r="H226" s="19">
        <v>1.0</v>
      </c>
      <c r="I226" s="19">
        <v>1.0</v>
      </c>
      <c r="J226" s="19">
        <v>1.0</v>
      </c>
      <c r="K226" s="19">
        <v>0.0</v>
      </c>
      <c r="L226" s="19">
        <v>0.0</v>
      </c>
      <c r="M226" s="19">
        <v>3.0</v>
      </c>
      <c r="N226" s="19">
        <v>2.0</v>
      </c>
      <c r="O226" s="19">
        <v>0.0</v>
      </c>
      <c r="P226" s="19">
        <v>1.0</v>
      </c>
      <c r="Q226" s="19">
        <v>0.0</v>
      </c>
      <c r="R226" s="19">
        <v>1.0</v>
      </c>
      <c r="S226" s="19">
        <v>2.0</v>
      </c>
      <c r="T226" s="19">
        <v>0.0</v>
      </c>
      <c r="U226" s="19">
        <v>0.0</v>
      </c>
      <c r="V226" s="19">
        <v>0.0</v>
      </c>
      <c r="W226" s="19">
        <v>0.0</v>
      </c>
      <c r="X226" s="19">
        <v>10.0</v>
      </c>
      <c r="Y226" s="19">
        <v>0.0</v>
      </c>
      <c r="Z226" s="19">
        <v>0.0</v>
      </c>
      <c r="AA226" s="13">
        <f t="shared" si="44"/>
        <v>23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1.0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3">
        <f t="shared" si="44"/>
        <v>1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SUM(E225:E234)</f>
        <v>0</v>
      </c>
      <c r="F235" s="13">
        <f t="shared" si="45"/>
        <v>1</v>
      </c>
      <c r="G235" s="13">
        <f t="shared" si="45"/>
        <v>2</v>
      </c>
      <c r="H235" s="13">
        <f t="shared" si="45"/>
        <v>1</v>
      </c>
      <c r="I235" s="13">
        <f t="shared" si="45"/>
        <v>2</v>
      </c>
      <c r="J235" s="13">
        <f t="shared" si="45"/>
        <v>2</v>
      </c>
      <c r="K235" s="13">
        <f t="shared" si="45"/>
        <v>1</v>
      </c>
      <c r="L235" s="13">
        <f t="shared" si="45"/>
        <v>0</v>
      </c>
      <c r="M235" s="13">
        <f t="shared" si="45"/>
        <v>3</v>
      </c>
      <c r="N235" s="13">
        <f t="shared" si="45"/>
        <v>3</v>
      </c>
      <c r="O235" s="13">
        <f t="shared" si="45"/>
        <v>0</v>
      </c>
      <c r="P235" s="13">
        <f t="shared" si="45"/>
        <v>1</v>
      </c>
      <c r="Q235" s="13">
        <f t="shared" si="45"/>
        <v>1</v>
      </c>
      <c r="R235" s="13">
        <f t="shared" si="45"/>
        <v>1</v>
      </c>
      <c r="S235" s="13">
        <f t="shared" si="45"/>
        <v>3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10</v>
      </c>
      <c r="Y235" s="13">
        <f t="shared" si="45"/>
        <v>0</v>
      </c>
      <c r="Z235" s="13">
        <f t="shared" si="45"/>
        <v>0</v>
      </c>
      <c r="AA235" s="13">
        <f t="shared" si="45"/>
        <v>31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1.0</v>
      </c>
      <c r="I237" s="19">
        <v>0.0</v>
      </c>
      <c r="J237" s="19">
        <v>1.0</v>
      </c>
      <c r="K237" s="19">
        <v>1.0</v>
      </c>
      <c r="L237" s="19">
        <v>3.0</v>
      </c>
      <c r="M237" s="19">
        <v>2.0</v>
      </c>
      <c r="N237" s="19">
        <v>3.0</v>
      </c>
      <c r="O237" s="19">
        <v>14.0</v>
      </c>
      <c r="P237" s="19">
        <v>15.0</v>
      </c>
      <c r="Q237" s="19">
        <v>0.0</v>
      </c>
      <c r="R237" s="19">
        <v>0.0</v>
      </c>
      <c r="S237" s="19">
        <v>2.0</v>
      </c>
      <c r="T237" s="19">
        <v>0.0</v>
      </c>
      <c r="U237" s="19">
        <v>0.0</v>
      </c>
      <c r="V237" s="19">
        <v>0.0</v>
      </c>
      <c r="W237" s="19">
        <v>2.0</v>
      </c>
      <c r="X237" s="19">
        <v>3.0</v>
      </c>
      <c r="Y237" s="19">
        <v>2.0</v>
      </c>
      <c r="Z237" s="19">
        <v>0.0</v>
      </c>
      <c r="AA237" s="13">
        <f t="shared" ref="AA237:AA246" si="46">SUM(E237:Z237)</f>
        <v>50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2.0</v>
      </c>
      <c r="G238" s="19">
        <v>0.0</v>
      </c>
      <c r="H238" s="19">
        <v>2.0</v>
      </c>
      <c r="I238" s="19">
        <v>0.0</v>
      </c>
      <c r="J238" s="19">
        <v>0.0</v>
      </c>
      <c r="K238" s="19">
        <v>1.0</v>
      </c>
      <c r="L238" s="19">
        <v>0.0</v>
      </c>
      <c r="M238" s="19">
        <v>1.0</v>
      </c>
      <c r="N238" s="19">
        <v>1.0</v>
      </c>
      <c r="O238" s="19">
        <v>9.0</v>
      </c>
      <c r="P238" s="19">
        <v>7.0</v>
      </c>
      <c r="Q238" s="19">
        <v>4.0</v>
      </c>
      <c r="R238" s="19">
        <v>1.0</v>
      </c>
      <c r="S238" s="19">
        <v>1.0</v>
      </c>
      <c r="T238" s="19">
        <v>2.0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1.0</v>
      </c>
      <c r="AA238" s="13">
        <f t="shared" si="46"/>
        <v>34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1.0</v>
      </c>
      <c r="K239" s="19">
        <v>0.0</v>
      </c>
      <c r="L239" s="19">
        <v>1.0</v>
      </c>
      <c r="M239" s="19">
        <v>1.0</v>
      </c>
      <c r="N239" s="19">
        <v>1.0</v>
      </c>
      <c r="O239" s="19">
        <v>3.0</v>
      </c>
      <c r="P239" s="19">
        <v>5.0</v>
      </c>
      <c r="Q239" s="19">
        <v>1.0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5.0</v>
      </c>
      <c r="Y239" s="19">
        <v>0.0</v>
      </c>
      <c r="Z239" s="19">
        <v>1.0</v>
      </c>
      <c r="AA239" s="13">
        <f t="shared" si="46"/>
        <v>20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1.0</v>
      </c>
      <c r="U241" s="19">
        <v>0.0</v>
      </c>
      <c r="V241" s="19">
        <v>0.0</v>
      </c>
      <c r="W241" s="19">
        <v>1.0</v>
      </c>
      <c r="X241" s="19">
        <v>0.0</v>
      </c>
      <c r="Y241" s="19">
        <v>0.0</v>
      </c>
      <c r="Z241" s="19">
        <v>1.0</v>
      </c>
      <c r="AA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1.0</v>
      </c>
      <c r="I244" s="19">
        <v>1.0</v>
      </c>
      <c r="J244" s="19">
        <v>0.0</v>
      </c>
      <c r="K244" s="19">
        <v>0.0</v>
      </c>
      <c r="L244" s="19">
        <v>1.0</v>
      </c>
      <c r="M244" s="19">
        <v>0.0</v>
      </c>
      <c r="N244" s="19">
        <v>0.0</v>
      </c>
      <c r="O244" s="19">
        <v>1.0</v>
      </c>
      <c r="P244" s="19">
        <v>2.0</v>
      </c>
      <c r="Q244" s="19">
        <v>2.0</v>
      </c>
      <c r="R244" s="19">
        <v>1.0</v>
      </c>
      <c r="S244" s="19">
        <v>2.0</v>
      </c>
      <c r="T244" s="19">
        <v>11.0</v>
      </c>
      <c r="U244" s="19">
        <v>3.0</v>
      </c>
      <c r="V244" s="19">
        <v>0.0</v>
      </c>
      <c r="W244" s="19">
        <v>0.0</v>
      </c>
      <c r="X244" s="19">
        <v>1.0</v>
      </c>
      <c r="Y244" s="19">
        <v>0.0</v>
      </c>
      <c r="Z244" s="19">
        <v>1.0</v>
      </c>
      <c r="AA244" s="13">
        <f t="shared" si="46"/>
        <v>27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SUM(E237:E246)</f>
        <v>1</v>
      </c>
      <c r="F247" s="13">
        <f t="shared" si="47"/>
        <v>2</v>
      </c>
      <c r="G247" s="13">
        <f t="shared" si="47"/>
        <v>1</v>
      </c>
      <c r="H247" s="13">
        <f t="shared" si="47"/>
        <v>4</v>
      </c>
      <c r="I247" s="13">
        <f t="shared" si="47"/>
        <v>2</v>
      </c>
      <c r="J247" s="13">
        <f t="shared" si="47"/>
        <v>2</v>
      </c>
      <c r="K247" s="13">
        <f t="shared" si="47"/>
        <v>2</v>
      </c>
      <c r="L247" s="13">
        <f t="shared" si="47"/>
        <v>6</v>
      </c>
      <c r="M247" s="13">
        <f t="shared" si="47"/>
        <v>4</v>
      </c>
      <c r="N247" s="13">
        <f t="shared" si="47"/>
        <v>5</v>
      </c>
      <c r="O247" s="13">
        <f t="shared" si="47"/>
        <v>27</v>
      </c>
      <c r="P247" s="13">
        <f t="shared" si="47"/>
        <v>30</v>
      </c>
      <c r="Q247" s="13">
        <f t="shared" si="47"/>
        <v>8</v>
      </c>
      <c r="R247" s="13">
        <f t="shared" si="47"/>
        <v>3</v>
      </c>
      <c r="S247" s="13">
        <f t="shared" si="47"/>
        <v>5</v>
      </c>
      <c r="T247" s="13">
        <f t="shared" si="47"/>
        <v>14</v>
      </c>
      <c r="U247" s="13">
        <f t="shared" si="47"/>
        <v>3</v>
      </c>
      <c r="V247" s="13">
        <f t="shared" si="47"/>
        <v>0</v>
      </c>
      <c r="W247" s="13">
        <f t="shared" si="47"/>
        <v>3</v>
      </c>
      <c r="X247" s="13">
        <f t="shared" si="47"/>
        <v>9</v>
      </c>
      <c r="Y247" s="13">
        <f t="shared" si="47"/>
        <v>4</v>
      </c>
      <c r="Z247" s="13">
        <f t="shared" si="47"/>
        <v>4</v>
      </c>
      <c r="AA247" s="13">
        <f t="shared" si="47"/>
        <v>139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3">
        <f t="shared" ref="AA249:AA258" si="48">SUM(E249:Z249)</f>
        <v>4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8"/>
        <v>2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1.0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1.0</v>
      </c>
      <c r="Y255" s="19">
        <v>0.0</v>
      </c>
      <c r="Z255" s="19">
        <v>0.0</v>
      </c>
      <c r="AA255" s="13">
        <f t="shared" si="48"/>
        <v>2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2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Z262" si="50">E55+E67+E79+E91+E103+E115+E127+E139+E151+E163+E175+E187+E199+E211+E223+E235+E247+E259</f>
        <v>175</v>
      </c>
      <c r="F262" s="19">
        <f t="shared" si="50"/>
        <v>166</v>
      </c>
      <c r="G262" s="19">
        <f t="shared" si="50"/>
        <v>162</v>
      </c>
      <c r="H262" s="19">
        <f t="shared" si="50"/>
        <v>190</v>
      </c>
      <c r="I262" s="19">
        <f t="shared" si="50"/>
        <v>164</v>
      </c>
      <c r="J262" s="19">
        <f t="shared" si="50"/>
        <v>172</v>
      </c>
      <c r="K262" s="19">
        <f t="shared" si="50"/>
        <v>175</v>
      </c>
      <c r="L262" s="19">
        <f t="shared" si="50"/>
        <v>208</v>
      </c>
      <c r="M262" s="19">
        <f t="shared" si="50"/>
        <v>192</v>
      </c>
      <c r="N262" s="19">
        <f t="shared" si="50"/>
        <v>190</v>
      </c>
      <c r="O262" s="19">
        <f t="shared" si="50"/>
        <v>190</v>
      </c>
      <c r="P262" s="19">
        <f t="shared" si="50"/>
        <v>167</v>
      </c>
      <c r="Q262" s="19">
        <f t="shared" si="50"/>
        <v>176</v>
      </c>
      <c r="R262" s="19">
        <f t="shared" si="50"/>
        <v>173</v>
      </c>
      <c r="S262" s="19">
        <f t="shared" si="50"/>
        <v>194</v>
      </c>
      <c r="T262" s="19">
        <f t="shared" si="50"/>
        <v>154</v>
      </c>
      <c r="U262" s="19">
        <f t="shared" si="50"/>
        <v>184</v>
      </c>
      <c r="V262" s="19">
        <f t="shared" si="50"/>
        <v>153</v>
      </c>
      <c r="W262" s="19">
        <f t="shared" si="50"/>
        <v>154</v>
      </c>
      <c r="X262" s="19">
        <f t="shared" si="50"/>
        <v>184</v>
      </c>
      <c r="Y262" s="19">
        <f t="shared" si="50"/>
        <v>159</v>
      </c>
      <c r="Z262" s="19">
        <f t="shared" si="50"/>
        <v>180</v>
      </c>
      <c r="AA262" s="13">
        <f t="shared" ref="AA262:AA264" si="51">SUM(E262:Z262)</f>
        <v>3862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2.0</v>
      </c>
      <c r="F263" s="19">
        <v>16.0</v>
      </c>
      <c r="G263" s="19">
        <v>8.0</v>
      </c>
      <c r="H263" s="19">
        <v>11.0</v>
      </c>
      <c r="I263" s="19">
        <v>17.0</v>
      </c>
      <c r="J263" s="19">
        <v>9.0</v>
      </c>
      <c r="K263" s="19">
        <v>9.0</v>
      </c>
      <c r="L263" s="19">
        <v>25.0</v>
      </c>
      <c r="M263" s="19">
        <v>18.0</v>
      </c>
      <c r="N263" s="19">
        <v>22.0</v>
      </c>
      <c r="O263" s="19">
        <v>20.0</v>
      </c>
      <c r="P263" s="19">
        <v>19.0</v>
      </c>
      <c r="Q263" s="19">
        <v>16.0</v>
      </c>
      <c r="R263" s="19">
        <v>22.0</v>
      </c>
      <c r="S263" s="19">
        <v>13.0</v>
      </c>
      <c r="T263" s="19">
        <v>13.0</v>
      </c>
      <c r="U263" s="19">
        <v>9.0</v>
      </c>
      <c r="V263" s="19">
        <v>14.0</v>
      </c>
      <c r="W263" s="19">
        <v>10.0</v>
      </c>
      <c r="X263" s="19">
        <v>12.0</v>
      </c>
      <c r="Y263" s="19">
        <v>10.0</v>
      </c>
      <c r="Z263" s="19">
        <v>38.0</v>
      </c>
      <c r="AA263" s="13">
        <f t="shared" si="51"/>
        <v>333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Z264" si="52">SUM(E262:E263)</f>
        <v>177</v>
      </c>
      <c r="F264" s="13">
        <f t="shared" si="52"/>
        <v>182</v>
      </c>
      <c r="G264" s="13">
        <f t="shared" si="52"/>
        <v>170</v>
      </c>
      <c r="H264" s="13">
        <f t="shared" si="52"/>
        <v>201</v>
      </c>
      <c r="I264" s="13">
        <f t="shared" si="52"/>
        <v>181</v>
      </c>
      <c r="J264" s="13">
        <f t="shared" si="52"/>
        <v>181</v>
      </c>
      <c r="K264" s="13">
        <f t="shared" si="52"/>
        <v>184</v>
      </c>
      <c r="L264" s="13">
        <f t="shared" si="52"/>
        <v>233</v>
      </c>
      <c r="M264" s="13">
        <f t="shared" si="52"/>
        <v>210</v>
      </c>
      <c r="N264" s="13">
        <f t="shared" si="52"/>
        <v>212</v>
      </c>
      <c r="O264" s="13">
        <f t="shared" si="52"/>
        <v>210</v>
      </c>
      <c r="P264" s="13">
        <f t="shared" si="52"/>
        <v>186</v>
      </c>
      <c r="Q264" s="13">
        <f t="shared" si="52"/>
        <v>192</v>
      </c>
      <c r="R264" s="13">
        <f t="shared" si="52"/>
        <v>195</v>
      </c>
      <c r="S264" s="13">
        <f t="shared" si="52"/>
        <v>207</v>
      </c>
      <c r="T264" s="13">
        <f t="shared" si="52"/>
        <v>167</v>
      </c>
      <c r="U264" s="13">
        <f t="shared" si="52"/>
        <v>193</v>
      </c>
      <c r="V264" s="13">
        <f t="shared" si="52"/>
        <v>167</v>
      </c>
      <c r="W264" s="13">
        <f t="shared" si="52"/>
        <v>164</v>
      </c>
      <c r="X264" s="13">
        <f t="shared" si="52"/>
        <v>196</v>
      </c>
      <c r="Y264" s="13">
        <f t="shared" si="52"/>
        <v>169</v>
      </c>
      <c r="Z264" s="13">
        <f t="shared" si="52"/>
        <v>218</v>
      </c>
      <c r="AA264" s="13">
        <f t="shared" si="51"/>
        <v>4195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45:Z54">
    <cfRule type="containsBlanks" dxfId="1" priority="9">
      <formula>LEN(TRIM(E45))=0</formula>
    </cfRule>
  </conditionalFormatting>
  <conditionalFormatting sqref="E57:Z66">
    <cfRule type="containsBlanks" dxfId="1" priority="10">
      <formula>LEN(TRIM(E57))=0</formula>
    </cfRule>
  </conditionalFormatting>
  <conditionalFormatting sqref="E69:Z78">
    <cfRule type="containsBlanks" dxfId="1" priority="11">
      <formula>LEN(TRIM(E69))=0</formula>
    </cfRule>
  </conditionalFormatting>
  <conditionalFormatting sqref="E81:Z90">
    <cfRule type="containsBlanks" dxfId="1" priority="12">
      <formula>LEN(TRIM(E81))=0</formula>
    </cfRule>
  </conditionalFormatting>
  <conditionalFormatting sqref="E93:Z102">
    <cfRule type="containsBlanks" dxfId="1" priority="13">
      <formula>LEN(TRIM(E93))=0</formula>
    </cfRule>
  </conditionalFormatting>
  <conditionalFormatting sqref="E105:Z114">
    <cfRule type="containsBlanks" dxfId="1" priority="14">
      <formula>LEN(TRIM(E105))=0</formula>
    </cfRule>
  </conditionalFormatting>
  <conditionalFormatting sqref="E117:Z126">
    <cfRule type="containsBlanks" dxfId="1" priority="15">
      <formula>LEN(TRIM(E117))=0</formula>
    </cfRule>
  </conditionalFormatting>
  <conditionalFormatting sqref="E129:Z138">
    <cfRule type="containsBlanks" dxfId="1" priority="16">
      <formula>LEN(TRIM(E129))=0</formula>
    </cfRule>
  </conditionalFormatting>
  <conditionalFormatting sqref="E141:Z150">
    <cfRule type="containsBlanks" dxfId="1" priority="17">
      <formula>LEN(TRIM(E141))=0</formula>
    </cfRule>
  </conditionalFormatting>
  <conditionalFormatting sqref="E153:Z162">
    <cfRule type="containsBlanks" dxfId="1" priority="18">
      <formula>LEN(TRIM(E153))=0</formula>
    </cfRule>
  </conditionalFormatting>
  <conditionalFormatting sqref="E165:Z174">
    <cfRule type="containsBlanks" dxfId="1" priority="19">
      <formula>LEN(TRIM(E165))=0</formula>
    </cfRule>
  </conditionalFormatting>
  <conditionalFormatting sqref="E177:Z186">
    <cfRule type="containsBlanks" dxfId="1" priority="20">
      <formula>LEN(TRIM(E177))=0</formula>
    </cfRule>
  </conditionalFormatting>
  <conditionalFormatting sqref="E189:Z198">
    <cfRule type="containsBlanks" dxfId="1" priority="21">
      <formula>LEN(TRIM(E189))=0</formula>
    </cfRule>
  </conditionalFormatting>
  <conditionalFormatting sqref="E201:Z210">
    <cfRule type="containsBlanks" dxfId="1" priority="22">
      <formula>LEN(TRIM(E201))=0</formula>
    </cfRule>
  </conditionalFormatting>
  <conditionalFormatting sqref="E213:Z222">
    <cfRule type="containsBlanks" dxfId="1" priority="23">
      <formula>LEN(TRIM(E213))=0</formula>
    </cfRule>
  </conditionalFormatting>
  <conditionalFormatting sqref="E225:Z234">
    <cfRule type="containsBlanks" dxfId="1" priority="24">
      <formula>LEN(TRIM(E225))=0</formula>
    </cfRule>
  </conditionalFormatting>
  <conditionalFormatting sqref="E237:Z246">
    <cfRule type="containsBlanks" dxfId="1" priority="25">
      <formula>LEN(TRIM(E237))=0</formula>
    </cfRule>
  </conditionalFormatting>
  <conditionalFormatting sqref="E249:Z258">
    <cfRule type="containsBlanks" dxfId="1" priority="26">
      <formula>LEN(TRIM(E249))=0</formula>
    </cfRule>
  </conditionalFormatting>
  <conditionalFormatting sqref="E262:Z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Y34:Z34">
    <cfRule type="expression" dxfId="0" priority="29">
      <formula>Y34&lt;&gt;Y47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224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99.0</v>
      </c>
      <c r="G14" s="19">
        <v>143.0</v>
      </c>
      <c r="H14" s="19">
        <v>144.0</v>
      </c>
      <c r="I14" s="19">
        <v>134.0</v>
      </c>
      <c r="J14" s="19">
        <v>127.0</v>
      </c>
      <c r="K14" s="19">
        <v>136.0</v>
      </c>
      <c r="L14" s="19">
        <v>92.0</v>
      </c>
      <c r="M14" s="19">
        <v>117.0</v>
      </c>
      <c r="N14" s="19">
        <v>105.0</v>
      </c>
      <c r="O14" s="19">
        <v>104.0</v>
      </c>
      <c r="P14" s="19">
        <v>133.0</v>
      </c>
      <c r="Q14" s="19">
        <v>136.0</v>
      </c>
      <c r="R14" s="19">
        <v>137.0</v>
      </c>
      <c r="S14" s="19">
        <v>107.0</v>
      </c>
      <c r="T14" s="19">
        <v>121.0</v>
      </c>
      <c r="U14" s="19">
        <v>104.0</v>
      </c>
      <c r="V14" s="19">
        <v>112.0</v>
      </c>
      <c r="W14" s="19">
        <v>124.0</v>
      </c>
      <c r="X14" s="19">
        <v>111.0</v>
      </c>
      <c r="Y14" s="19">
        <v>148.0</v>
      </c>
      <c r="Z14" s="19">
        <v>124.0</v>
      </c>
      <c r="AA14" s="19">
        <v>113.0</v>
      </c>
      <c r="AB14" s="13">
        <f t="shared" ref="AB14:AB16" si="1">SUM(E14:AA14)</f>
        <v>2819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95.0</v>
      </c>
      <c r="G15" s="19">
        <v>151.0</v>
      </c>
      <c r="H15" s="19">
        <v>148.0</v>
      </c>
      <c r="I15" s="19">
        <v>137.0</v>
      </c>
      <c r="J15" s="19">
        <v>125.0</v>
      </c>
      <c r="K15" s="19">
        <v>141.0</v>
      </c>
      <c r="L15" s="19">
        <v>101.0</v>
      </c>
      <c r="M15" s="19">
        <v>105.0</v>
      </c>
      <c r="N15" s="19">
        <v>108.0</v>
      </c>
      <c r="O15" s="19">
        <v>102.0</v>
      </c>
      <c r="P15" s="19">
        <v>115.0</v>
      </c>
      <c r="Q15" s="19">
        <v>145.0</v>
      </c>
      <c r="R15" s="19">
        <v>146.0</v>
      </c>
      <c r="S15" s="19">
        <v>105.0</v>
      </c>
      <c r="T15" s="19">
        <v>134.0</v>
      </c>
      <c r="U15" s="19">
        <v>93.0</v>
      </c>
      <c r="V15" s="19">
        <v>117.0</v>
      </c>
      <c r="W15" s="19">
        <v>131.0</v>
      </c>
      <c r="X15" s="19">
        <v>106.0</v>
      </c>
      <c r="Y15" s="19">
        <v>138.0</v>
      </c>
      <c r="Z15" s="19">
        <v>114.0</v>
      </c>
      <c r="AA15" s="19">
        <v>92.0</v>
      </c>
      <c r="AB15" s="13">
        <f t="shared" si="1"/>
        <v>2797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296</v>
      </c>
      <c r="F16" s="13">
        <f t="shared" si="2"/>
        <v>194</v>
      </c>
      <c r="G16" s="13">
        <f t="shared" si="2"/>
        <v>294</v>
      </c>
      <c r="H16" s="13">
        <f t="shared" si="2"/>
        <v>292</v>
      </c>
      <c r="I16" s="13">
        <f t="shared" si="2"/>
        <v>271</v>
      </c>
      <c r="J16" s="13">
        <f t="shared" si="2"/>
        <v>252</v>
      </c>
      <c r="K16" s="13">
        <f t="shared" si="2"/>
        <v>277</v>
      </c>
      <c r="L16" s="13">
        <f t="shared" si="2"/>
        <v>193</v>
      </c>
      <c r="M16" s="13">
        <f t="shared" si="2"/>
        <v>222</v>
      </c>
      <c r="N16" s="13">
        <f t="shared" si="2"/>
        <v>213</v>
      </c>
      <c r="O16" s="13">
        <f t="shared" si="2"/>
        <v>206</v>
      </c>
      <c r="P16" s="13">
        <f t="shared" si="2"/>
        <v>248</v>
      </c>
      <c r="Q16" s="13">
        <f t="shared" si="2"/>
        <v>281</v>
      </c>
      <c r="R16" s="13">
        <f t="shared" si="2"/>
        <v>283</v>
      </c>
      <c r="S16" s="13">
        <f t="shared" si="2"/>
        <v>212</v>
      </c>
      <c r="T16" s="13">
        <f t="shared" si="2"/>
        <v>255</v>
      </c>
      <c r="U16" s="13">
        <f t="shared" si="2"/>
        <v>197</v>
      </c>
      <c r="V16" s="13">
        <f t="shared" si="2"/>
        <v>229</v>
      </c>
      <c r="W16" s="13">
        <f t="shared" si="2"/>
        <v>255</v>
      </c>
      <c r="X16" s="13">
        <f t="shared" si="2"/>
        <v>217</v>
      </c>
      <c r="Y16" s="13">
        <f t="shared" si="2"/>
        <v>286</v>
      </c>
      <c r="Z16" s="13">
        <f t="shared" si="2"/>
        <v>238</v>
      </c>
      <c r="AA16" s="13">
        <f t="shared" si="2"/>
        <v>205</v>
      </c>
      <c r="AB16" s="13">
        <f t="shared" si="1"/>
        <v>5616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19"/>
      <c r="S17" s="19"/>
      <c r="T17" s="76"/>
      <c r="U17" s="76"/>
      <c r="V17" s="76"/>
      <c r="W17" s="76"/>
      <c r="X17" s="76"/>
      <c r="Y17" s="76"/>
      <c r="Z17" s="76"/>
      <c r="AA17" s="76"/>
      <c r="AB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19"/>
      <c r="S18" s="19"/>
      <c r="T18" s="76"/>
      <c r="U18" s="76"/>
      <c r="V18" s="76"/>
      <c r="W18" s="76"/>
      <c r="X18" s="76"/>
      <c r="Y18" s="76"/>
      <c r="Z18" s="76"/>
      <c r="AA18" s="76"/>
      <c r="AB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81.0</v>
      </c>
      <c r="G19" s="19">
        <v>113.0</v>
      </c>
      <c r="H19" s="19">
        <v>92.0</v>
      </c>
      <c r="I19" s="19">
        <v>105.0</v>
      </c>
      <c r="J19" s="19">
        <v>93.0</v>
      </c>
      <c r="K19" s="19">
        <v>96.0</v>
      </c>
      <c r="L19" s="19">
        <v>58.0</v>
      </c>
      <c r="M19" s="19">
        <v>83.0</v>
      </c>
      <c r="N19" s="19">
        <v>75.0</v>
      </c>
      <c r="O19" s="19">
        <v>76.0</v>
      </c>
      <c r="P19" s="19">
        <v>97.0</v>
      </c>
      <c r="Q19" s="19">
        <v>109.0</v>
      </c>
      <c r="R19" s="19">
        <v>99.0</v>
      </c>
      <c r="S19" s="19">
        <v>76.0</v>
      </c>
      <c r="T19" s="19">
        <v>89.0</v>
      </c>
      <c r="U19" s="19">
        <v>70.0</v>
      </c>
      <c r="V19" s="19">
        <v>78.0</v>
      </c>
      <c r="W19" s="19">
        <v>90.0</v>
      </c>
      <c r="X19" s="19">
        <v>78.0</v>
      </c>
      <c r="Y19" s="19">
        <v>108.0</v>
      </c>
      <c r="Z19" s="19">
        <v>93.0</v>
      </c>
      <c r="AA19" s="19">
        <v>79.0</v>
      </c>
      <c r="AB19" s="13">
        <f t="shared" ref="AB19:AB30" si="3">SUM(E19:AA19)</f>
        <v>2047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80.0</v>
      </c>
      <c r="G20" s="19">
        <v>129.0</v>
      </c>
      <c r="H20" s="19">
        <v>117.0</v>
      </c>
      <c r="I20" s="19">
        <v>94.0</v>
      </c>
      <c r="J20" s="19">
        <v>97.0</v>
      </c>
      <c r="K20" s="19">
        <v>98.0</v>
      </c>
      <c r="L20" s="19">
        <v>80.0</v>
      </c>
      <c r="M20" s="19">
        <v>82.0</v>
      </c>
      <c r="N20" s="19">
        <v>83.0</v>
      </c>
      <c r="O20" s="19">
        <v>85.0</v>
      </c>
      <c r="P20" s="19">
        <v>93.0</v>
      </c>
      <c r="Q20" s="19">
        <v>114.0</v>
      </c>
      <c r="R20" s="19">
        <v>121.0</v>
      </c>
      <c r="S20" s="19">
        <v>85.0</v>
      </c>
      <c r="T20" s="19">
        <v>93.0</v>
      </c>
      <c r="U20" s="19">
        <v>74.0</v>
      </c>
      <c r="V20" s="19">
        <v>87.0</v>
      </c>
      <c r="W20" s="19">
        <v>83.0</v>
      </c>
      <c r="X20" s="19">
        <v>80.0</v>
      </c>
      <c r="Y20" s="19">
        <v>108.0</v>
      </c>
      <c r="Z20" s="19">
        <v>81.0</v>
      </c>
      <c r="AA20" s="19">
        <v>69.0</v>
      </c>
      <c r="AB20" s="13">
        <f t="shared" si="3"/>
        <v>2144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220</v>
      </c>
      <c r="F21" s="13">
        <f t="shared" si="4"/>
        <v>161</v>
      </c>
      <c r="G21" s="13">
        <f t="shared" si="4"/>
        <v>242</v>
      </c>
      <c r="H21" s="13">
        <f t="shared" si="4"/>
        <v>209</v>
      </c>
      <c r="I21" s="13">
        <f t="shared" si="4"/>
        <v>199</v>
      </c>
      <c r="J21" s="13">
        <f t="shared" si="4"/>
        <v>190</v>
      </c>
      <c r="K21" s="13">
        <f t="shared" si="4"/>
        <v>194</v>
      </c>
      <c r="L21" s="13">
        <f t="shared" si="4"/>
        <v>138</v>
      </c>
      <c r="M21" s="13">
        <f t="shared" si="4"/>
        <v>165</v>
      </c>
      <c r="N21" s="13">
        <f t="shared" si="4"/>
        <v>158</v>
      </c>
      <c r="O21" s="13">
        <f t="shared" si="4"/>
        <v>161</v>
      </c>
      <c r="P21" s="13">
        <f t="shared" si="4"/>
        <v>190</v>
      </c>
      <c r="Q21" s="13">
        <f t="shared" si="4"/>
        <v>223</v>
      </c>
      <c r="R21" s="13">
        <f t="shared" si="4"/>
        <v>220</v>
      </c>
      <c r="S21" s="13">
        <f t="shared" si="4"/>
        <v>161</v>
      </c>
      <c r="T21" s="13">
        <f t="shared" si="4"/>
        <v>182</v>
      </c>
      <c r="U21" s="13">
        <f t="shared" si="4"/>
        <v>144</v>
      </c>
      <c r="V21" s="13">
        <f t="shared" si="4"/>
        <v>165</v>
      </c>
      <c r="W21" s="13">
        <f t="shared" si="4"/>
        <v>173</v>
      </c>
      <c r="X21" s="13">
        <f t="shared" si="4"/>
        <v>158</v>
      </c>
      <c r="Y21" s="13">
        <f t="shared" si="4"/>
        <v>216</v>
      </c>
      <c r="Z21" s="13">
        <f t="shared" si="4"/>
        <v>174</v>
      </c>
      <c r="AA21" s="13">
        <f t="shared" si="4"/>
        <v>148</v>
      </c>
      <c r="AB21" s="13">
        <f t="shared" si="3"/>
        <v>4191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3.0</v>
      </c>
      <c r="H25" s="19">
        <v>2.0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9">
        <v>1.0</v>
      </c>
      <c r="Y25" s="19">
        <v>1.0</v>
      </c>
      <c r="Z25" s="19">
        <v>2.0</v>
      </c>
      <c r="AA25" s="19">
        <v>2.0</v>
      </c>
      <c r="AB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1.0</v>
      </c>
      <c r="L26" s="19">
        <v>1.0</v>
      </c>
      <c r="M26" s="19">
        <v>7.0</v>
      </c>
      <c r="N26" s="19">
        <v>0.0</v>
      </c>
      <c r="O26" s="19">
        <v>1.0</v>
      </c>
      <c r="P26" s="19">
        <v>3.0</v>
      </c>
      <c r="Q26" s="19">
        <v>2.0</v>
      </c>
      <c r="R26" s="19">
        <v>2.0</v>
      </c>
      <c r="S26" s="19">
        <v>1.0</v>
      </c>
      <c r="T26" s="19">
        <v>2.0</v>
      </c>
      <c r="U26" s="19">
        <v>1.0</v>
      </c>
      <c r="V26" s="19">
        <v>1.0</v>
      </c>
      <c r="W26" s="19">
        <v>1.0</v>
      </c>
      <c r="X26" s="19">
        <v>0.0</v>
      </c>
      <c r="Y26" s="19">
        <v>5.0</v>
      </c>
      <c r="Z26" s="19">
        <v>2.0</v>
      </c>
      <c r="AA26" s="19">
        <v>5.0</v>
      </c>
      <c r="AB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8</v>
      </c>
      <c r="N27" s="13">
        <f t="shared" si="6"/>
        <v>0</v>
      </c>
      <c r="O27" s="13">
        <f t="shared" si="6"/>
        <v>2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6</v>
      </c>
      <c r="Z27" s="13">
        <f t="shared" si="6"/>
        <v>4</v>
      </c>
      <c r="AA27" s="13">
        <f t="shared" si="6"/>
        <v>7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109</v>
      </c>
      <c r="F28" s="13">
        <f t="shared" si="7"/>
        <v>83</v>
      </c>
      <c r="G28" s="13">
        <f t="shared" si="7"/>
        <v>117</v>
      </c>
      <c r="H28" s="13">
        <f t="shared" si="7"/>
        <v>94</v>
      </c>
      <c r="I28" s="13">
        <f t="shared" si="7"/>
        <v>106</v>
      </c>
      <c r="J28" s="13">
        <f t="shared" si="7"/>
        <v>93</v>
      </c>
      <c r="K28" s="13">
        <f t="shared" si="7"/>
        <v>96</v>
      </c>
      <c r="L28" s="13">
        <f t="shared" si="7"/>
        <v>58</v>
      </c>
      <c r="M28" s="13">
        <f t="shared" si="7"/>
        <v>84</v>
      </c>
      <c r="N28" s="13">
        <f t="shared" si="7"/>
        <v>75</v>
      </c>
      <c r="O28" s="13">
        <f t="shared" si="7"/>
        <v>77</v>
      </c>
      <c r="P28" s="13">
        <f t="shared" si="7"/>
        <v>98</v>
      </c>
      <c r="Q28" s="13">
        <f t="shared" si="7"/>
        <v>110</v>
      </c>
      <c r="R28" s="13">
        <f t="shared" si="7"/>
        <v>99</v>
      </c>
      <c r="S28" s="13">
        <f t="shared" si="7"/>
        <v>76</v>
      </c>
      <c r="T28" s="13">
        <f t="shared" si="7"/>
        <v>89</v>
      </c>
      <c r="U28" s="13">
        <f t="shared" si="7"/>
        <v>70</v>
      </c>
      <c r="V28" s="13">
        <f t="shared" si="7"/>
        <v>80</v>
      </c>
      <c r="W28" s="13">
        <f t="shared" si="7"/>
        <v>90</v>
      </c>
      <c r="X28" s="13">
        <f t="shared" si="7"/>
        <v>79</v>
      </c>
      <c r="Y28" s="13">
        <f t="shared" si="7"/>
        <v>109</v>
      </c>
      <c r="Z28" s="13">
        <f t="shared" si="7"/>
        <v>95</v>
      </c>
      <c r="AA28" s="13">
        <f t="shared" si="7"/>
        <v>82</v>
      </c>
      <c r="AB28" s="13">
        <f t="shared" si="3"/>
        <v>2069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115</v>
      </c>
      <c r="F29" s="13">
        <f t="shared" si="8"/>
        <v>81</v>
      </c>
      <c r="G29" s="13">
        <f t="shared" si="8"/>
        <v>130</v>
      </c>
      <c r="H29" s="13">
        <f t="shared" si="8"/>
        <v>118</v>
      </c>
      <c r="I29" s="13">
        <f t="shared" si="8"/>
        <v>95</v>
      </c>
      <c r="J29" s="13">
        <f t="shared" si="8"/>
        <v>97</v>
      </c>
      <c r="K29" s="13">
        <f t="shared" si="8"/>
        <v>100</v>
      </c>
      <c r="L29" s="13">
        <f t="shared" si="8"/>
        <v>81</v>
      </c>
      <c r="M29" s="13">
        <f t="shared" si="8"/>
        <v>89</v>
      </c>
      <c r="N29" s="13">
        <f t="shared" si="8"/>
        <v>83</v>
      </c>
      <c r="O29" s="13">
        <f t="shared" si="8"/>
        <v>86</v>
      </c>
      <c r="P29" s="13">
        <f t="shared" si="8"/>
        <v>96</v>
      </c>
      <c r="Q29" s="13">
        <f t="shared" si="8"/>
        <v>116</v>
      </c>
      <c r="R29" s="13">
        <f t="shared" si="8"/>
        <v>123</v>
      </c>
      <c r="S29" s="13">
        <f t="shared" si="8"/>
        <v>86</v>
      </c>
      <c r="T29" s="13">
        <f t="shared" si="8"/>
        <v>95</v>
      </c>
      <c r="U29" s="13">
        <f t="shared" si="8"/>
        <v>75</v>
      </c>
      <c r="V29" s="13">
        <f t="shared" si="8"/>
        <v>88</v>
      </c>
      <c r="W29" s="13">
        <f t="shared" si="8"/>
        <v>84</v>
      </c>
      <c r="X29" s="13">
        <f t="shared" si="8"/>
        <v>80</v>
      </c>
      <c r="Y29" s="13">
        <f t="shared" si="8"/>
        <v>113</v>
      </c>
      <c r="Z29" s="13">
        <f t="shared" si="8"/>
        <v>83</v>
      </c>
      <c r="AA29" s="13">
        <f t="shared" si="8"/>
        <v>75</v>
      </c>
      <c r="AB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224</v>
      </c>
      <c r="F30" s="13">
        <f t="shared" si="9"/>
        <v>164</v>
      </c>
      <c r="G30" s="13">
        <f t="shared" si="9"/>
        <v>247</v>
      </c>
      <c r="H30" s="13">
        <f t="shared" si="9"/>
        <v>212</v>
      </c>
      <c r="I30" s="13">
        <f t="shared" si="9"/>
        <v>201</v>
      </c>
      <c r="J30" s="13">
        <f t="shared" si="9"/>
        <v>190</v>
      </c>
      <c r="K30" s="13">
        <f t="shared" si="9"/>
        <v>196</v>
      </c>
      <c r="L30" s="13">
        <f t="shared" si="9"/>
        <v>139</v>
      </c>
      <c r="M30" s="13">
        <f t="shared" si="9"/>
        <v>173</v>
      </c>
      <c r="N30" s="13">
        <f t="shared" si="9"/>
        <v>158</v>
      </c>
      <c r="O30" s="13">
        <f t="shared" si="9"/>
        <v>163</v>
      </c>
      <c r="P30" s="13">
        <f t="shared" si="9"/>
        <v>194</v>
      </c>
      <c r="Q30" s="13">
        <f t="shared" si="9"/>
        <v>226</v>
      </c>
      <c r="R30" s="13">
        <f t="shared" si="9"/>
        <v>222</v>
      </c>
      <c r="S30" s="13">
        <f t="shared" si="9"/>
        <v>162</v>
      </c>
      <c r="T30" s="13">
        <f t="shared" si="9"/>
        <v>184</v>
      </c>
      <c r="U30" s="13">
        <f t="shared" si="9"/>
        <v>145</v>
      </c>
      <c r="V30" s="13">
        <f t="shared" si="9"/>
        <v>168</v>
      </c>
      <c r="W30" s="13">
        <f t="shared" si="9"/>
        <v>174</v>
      </c>
      <c r="X30" s="13">
        <f t="shared" si="9"/>
        <v>159</v>
      </c>
      <c r="Y30" s="13">
        <f t="shared" si="9"/>
        <v>222</v>
      </c>
      <c r="Z30" s="13">
        <f t="shared" si="9"/>
        <v>178</v>
      </c>
      <c r="AA30" s="13">
        <f t="shared" si="9"/>
        <v>157</v>
      </c>
      <c r="AB30" s="13">
        <f t="shared" si="3"/>
        <v>4258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19"/>
      <c r="S31" s="19"/>
      <c r="T31" s="76"/>
      <c r="U31" s="76"/>
      <c r="V31" s="76"/>
      <c r="W31" s="76"/>
      <c r="X31" s="76"/>
      <c r="Y31" s="76"/>
      <c r="Z31" s="76"/>
      <c r="AA31" s="76"/>
      <c r="AB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13"/>
      <c r="S32" s="13"/>
      <c r="T32" s="78"/>
      <c r="U32" s="78"/>
      <c r="V32" s="78"/>
      <c r="W32" s="78"/>
      <c r="X32" s="78"/>
      <c r="Y32" s="78"/>
      <c r="Z32" s="78"/>
      <c r="AA32" s="78"/>
      <c r="AB32" s="77"/>
    </row>
    <row r="33" ht="12.75" customHeight="1">
      <c r="A33" s="19">
        <v>1.0</v>
      </c>
      <c r="B33" s="20" t="s">
        <v>27</v>
      </c>
      <c r="C33" s="15"/>
      <c r="D33" s="16"/>
      <c r="E33" s="19">
        <v>302.0</v>
      </c>
      <c r="F33" s="19">
        <v>198.0</v>
      </c>
      <c r="G33" s="19">
        <v>300.0</v>
      </c>
      <c r="H33" s="19">
        <v>299.0</v>
      </c>
      <c r="I33" s="19">
        <v>277.0</v>
      </c>
      <c r="J33" s="19">
        <v>258.0</v>
      </c>
      <c r="K33" s="19">
        <v>283.0</v>
      </c>
      <c r="L33" s="19">
        <v>197.0</v>
      </c>
      <c r="M33" s="19">
        <v>227.0</v>
      </c>
      <c r="N33" s="19">
        <v>219.0</v>
      </c>
      <c r="O33" s="19">
        <v>211.0</v>
      </c>
      <c r="P33" s="19">
        <v>254.0</v>
      </c>
      <c r="Q33" s="19">
        <v>287.0</v>
      </c>
      <c r="R33" s="19">
        <v>289.0</v>
      </c>
      <c r="S33" s="19">
        <v>227.0</v>
      </c>
      <c r="T33" s="19">
        <v>261.0</v>
      </c>
      <c r="U33" s="19">
        <v>201.0</v>
      </c>
      <c r="V33" s="19">
        <v>234.0</v>
      </c>
      <c r="W33" s="19">
        <v>261.0</v>
      </c>
      <c r="X33" s="19">
        <v>222.0</v>
      </c>
      <c r="Y33" s="19">
        <v>292.0</v>
      </c>
      <c r="Z33" s="19">
        <v>242.0</v>
      </c>
      <c r="AA33" s="19">
        <v>210.0</v>
      </c>
      <c r="AB33" s="13">
        <f t="shared" ref="AB33:AB36" si="10">SUM(E33:AA33)</f>
        <v>5751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164.0</v>
      </c>
      <c r="G34" s="13">
        <v>247.0</v>
      </c>
      <c r="H34" s="13">
        <v>212.0</v>
      </c>
      <c r="I34" s="13">
        <v>201.0</v>
      </c>
      <c r="J34" s="13">
        <v>190.0</v>
      </c>
      <c r="K34" s="13">
        <v>196.0</v>
      </c>
      <c r="L34" s="13">
        <v>139.0</v>
      </c>
      <c r="M34" s="13">
        <v>173.0</v>
      </c>
      <c r="N34" s="13">
        <v>158.0</v>
      </c>
      <c r="O34" s="13">
        <v>163.0</v>
      </c>
      <c r="P34" s="13">
        <v>194.0</v>
      </c>
      <c r="Q34" s="13">
        <v>226.0</v>
      </c>
      <c r="R34" s="13">
        <v>222.0</v>
      </c>
      <c r="S34" s="13">
        <v>162.0</v>
      </c>
      <c r="T34" s="13">
        <v>184.0</v>
      </c>
      <c r="U34" s="13">
        <v>145.0</v>
      </c>
      <c r="V34" s="13">
        <v>168.0</v>
      </c>
      <c r="W34" s="13">
        <v>174.0</v>
      </c>
      <c r="X34" s="13">
        <v>159.0</v>
      </c>
      <c r="Y34" s="13">
        <v>222.0</v>
      </c>
      <c r="Z34" s="13">
        <v>178.0</v>
      </c>
      <c r="AA34" s="13">
        <v>157.0</v>
      </c>
      <c r="AB34" s="13">
        <f t="shared" si="10"/>
        <v>4258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2.0</v>
      </c>
      <c r="AA35" s="19">
        <v>0.0</v>
      </c>
      <c r="AB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78</v>
      </c>
      <c r="F36" s="13">
        <f t="shared" si="11"/>
        <v>34</v>
      </c>
      <c r="G36" s="13">
        <f t="shared" si="11"/>
        <v>53</v>
      </c>
      <c r="H36" s="13">
        <f t="shared" si="11"/>
        <v>87</v>
      </c>
      <c r="I36" s="13">
        <f t="shared" si="11"/>
        <v>76</v>
      </c>
      <c r="J36" s="13">
        <f t="shared" si="11"/>
        <v>68</v>
      </c>
      <c r="K36" s="13">
        <f t="shared" si="11"/>
        <v>87</v>
      </c>
      <c r="L36" s="13">
        <f t="shared" si="11"/>
        <v>58</v>
      </c>
      <c r="M36" s="13">
        <f t="shared" si="11"/>
        <v>54</v>
      </c>
      <c r="N36" s="13">
        <f t="shared" si="11"/>
        <v>61</v>
      </c>
      <c r="O36" s="13">
        <f t="shared" si="11"/>
        <v>48</v>
      </c>
      <c r="P36" s="13">
        <f t="shared" si="11"/>
        <v>59</v>
      </c>
      <c r="Q36" s="13">
        <f t="shared" si="11"/>
        <v>61</v>
      </c>
      <c r="R36" s="13">
        <f t="shared" si="11"/>
        <v>67</v>
      </c>
      <c r="S36" s="13">
        <f t="shared" si="11"/>
        <v>63</v>
      </c>
      <c r="T36" s="13">
        <f t="shared" si="11"/>
        <v>77</v>
      </c>
      <c r="U36" s="13">
        <f t="shared" si="11"/>
        <v>56</v>
      </c>
      <c r="V36" s="13">
        <f t="shared" si="11"/>
        <v>66</v>
      </c>
      <c r="W36" s="13">
        <f t="shared" si="11"/>
        <v>86</v>
      </c>
      <c r="X36" s="13">
        <f t="shared" si="11"/>
        <v>63</v>
      </c>
      <c r="Y36" s="13">
        <f t="shared" si="11"/>
        <v>70</v>
      </c>
      <c r="Z36" s="13">
        <f t="shared" si="11"/>
        <v>62</v>
      </c>
      <c r="AA36" s="13">
        <f t="shared" si="11"/>
        <v>53</v>
      </c>
      <c r="AB36" s="13">
        <f t="shared" si="10"/>
        <v>1487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83"/>
      <c r="P37" s="83"/>
      <c r="Q37" s="83"/>
      <c r="R37" s="19"/>
      <c r="S37" s="19"/>
      <c r="T37" s="76"/>
      <c r="U37" s="83"/>
      <c r="V37" s="83"/>
      <c r="W37" s="83"/>
      <c r="X37" s="83"/>
      <c r="Y37" s="83"/>
      <c r="Z37" s="83"/>
      <c r="AA37" s="83"/>
      <c r="AB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13"/>
      <c r="S38" s="13"/>
      <c r="T38" s="78"/>
      <c r="U38" s="78"/>
      <c r="V38" s="78"/>
      <c r="W38" s="78"/>
      <c r="X38" s="78"/>
      <c r="Y38" s="78"/>
      <c r="Z38" s="78"/>
      <c r="AA38" s="78"/>
      <c r="AB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1.0</v>
      </c>
      <c r="Z39" s="19">
        <v>0.0</v>
      </c>
      <c r="AA39" s="1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1.0</v>
      </c>
      <c r="Z40" s="19">
        <v>0.0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19"/>
      <c r="S42" s="19"/>
      <c r="T42" s="76"/>
      <c r="U42" s="19"/>
      <c r="V42" s="76"/>
      <c r="W42" s="19"/>
      <c r="X42" s="19"/>
      <c r="Y42" s="76"/>
      <c r="Z42" s="19"/>
      <c r="AA42" s="76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  <c r="S43" s="13"/>
      <c r="T43" s="78"/>
      <c r="U43" s="13"/>
      <c r="V43" s="78"/>
      <c r="W43" s="13"/>
      <c r="X43" s="13"/>
      <c r="Y43" s="78"/>
      <c r="Z43" s="13"/>
      <c r="AA43" s="78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9"/>
      <c r="S44" s="19"/>
      <c r="T44" s="76"/>
      <c r="U44" s="19"/>
      <c r="V44" s="76"/>
      <c r="W44" s="19"/>
      <c r="X44" s="19"/>
      <c r="Y44" s="76"/>
      <c r="Z44" s="19"/>
      <c r="AA44" s="76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15.0</v>
      </c>
      <c r="F45" s="19">
        <v>5.0</v>
      </c>
      <c r="G45" s="19">
        <v>16.0</v>
      </c>
      <c r="H45" s="19">
        <v>10.0</v>
      </c>
      <c r="I45" s="19">
        <v>7.0</v>
      </c>
      <c r="J45" s="19">
        <v>6.0</v>
      </c>
      <c r="K45" s="19">
        <v>5.0</v>
      </c>
      <c r="L45" s="19">
        <v>6.0</v>
      </c>
      <c r="M45" s="19">
        <v>3.0</v>
      </c>
      <c r="N45" s="19">
        <v>6.0</v>
      </c>
      <c r="O45" s="19">
        <v>3.0</v>
      </c>
      <c r="P45" s="19">
        <v>6.0</v>
      </c>
      <c r="Q45" s="19">
        <v>10.0</v>
      </c>
      <c r="R45" s="19">
        <v>6.0</v>
      </c>
      <c r="S45" s="19">
        <v>0.0</v>
      </c>
      <c r="T45" s="19">
        <v>3.0</v>
      </c>
      <c r="U45" s="19">
        <v>2.0</v>
      </c>
      <c r="V45" s="19">
        <v>4.0</v>
      </c>
      <c r="W45" s="19">
        <v>2.0</v>
      </c>
      <c r="X45" s="19">
        <v>3.0</v>
      </c>
      <c r="Y45" s="19">
        <v>5.0</v>
      </c>
      <c r="Z45" s="19">
        <v>4.0</v>
      </c>
      <c r="AA45" s="19">
        <v>4.0</v>
      </c>
      <c r="AB45" s="13">
        <f t="shared" ref="AB45:AB54" si="14">SUM(E45:AA45)</f>
        <v>131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46.0</v>
      </c>
      <c r="F46" s="19">
        <v>50.0</v>
      </c>
      <c r="G46" s="19">
        <v>51.0</v>
      </c>
      <c r="H46" s="19">
        <v>11.0</v>
      </c>
      <c r="I46" s="19">
        <v>36.0</v>
      </c>
      <c r="J46" s="19">
        <v>13.0</v>
      </c>
      <c r="K46" s="19">
        <v>19.0</v>
      </c>
      <c r="L46" s="19">
        <v>7.0</v>
      </c>
      <c r="M46" s="19">
        <v>23.0</v>
      </c>
      <c r="N46" s="19">
        <v>16.0</v>
      </c>
      <c r="O46" s="19">
        <v>22.0</v>
      </c>
      <c r="P46" s="19">
        <v>16.0</v>
      </c>
      <c r="Q46" s="19">
        <v>23.0</v>
      </c>
      <c r="R46" s="19">
        <v>14.0</v>
      </c>
      <c r="S46" s="19">
        <v>6.0</v>
      </c>
      <c r="T46" s="19">
        <v>14.0</v>
      </c>
      <c r="U46" s="19">
        <v>6.0</v>
      </c>
      <c r="V46" s="19">
        <v>16.0</v>
      </c>
      <c r="W46" s="19">
        <v>9.0</v>
      </c>
      <c r="X46" s="19">
        <v>8.0</v>
      </c>
      <c r="Y46" s="19">
        <v>8.0</v>
      </c>
      <c r="Z46" s="19">
        <v>8.0</v>
      </c>
      <c r="AA46" s="19">
        <v>9.0</v>
      </c>
      <c r="AB46" s="13">
        <f t="shared" si="14"/>
        <v>431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3.0</v>
      </c>
      <c r="H47" s="19">
        <v>8.0</v>
      </c>
      <c r="I47" s="19">
        <v>1.0</v>
      </c>
      <c r="J47" s="19">
        <v>2.0</v>
      </c>
      <c r="K47" s="19">
        <v>2.0</v>
      </c>
      <c r="L47" s="19">
        <v>0.0</v>
      </c>
      <c r="M47" s="19">
        <v>1.0</v>
      </c>
      <c r="N47" s="19">
        <v>2.0</v>
      </c>
      <c r="O47" s="19">
        <v>4.0</v>
      </c>
      <c r="P47" s="19">
        <v>3.0</v>
      </c>
      <c r="Q47" s="19">
        <v>1.0</v>
      </c>
      <c r="R47" s="19">
        <v>1.0</v>
      </c>
      <c r="S47" s="19">
        <v>0.0</v>
      </c>
      <c r="T47" s="19">
        <v>2.0</v>
      </c>
      <c r="U47" s="19">
        <v>1.0</v>
      </c>
      <c r="V47" s="19">
        <v>2.0</v>
      </c>
      <c r="W47" s="19">
        <v>0.0</v>
      </c>
      <c r="X47" s="19">
        <v>0.0</v>
      </c>
      <c r="Y47" s="19">
        <v>0.0</v>
      </c>
      <c r="Z47" s="19">
        <v>2.0</v>
      </c>
      <c r="AA47" s="19">
        <v>1.0</v>
      </c>
      <c r="AB47" s="13">
        <f t="shared" si="14"/>
        <v>38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1.0</v>
      </c>
      <c r="G48" s="19">
        <v>2.0</v>
      </c>
      <c r="H48" s="19">
        <v>3.0</v>
      </c>
      <c r="I48" s="19">
        <v>0.0</v>
      </c>
      <c r="J48" s="19">
        <v>3.0</v>
      </c>
      <c r="K48" s="19">
        <v>2.0</v>
      </c>
      <c r="L48" s="19">
        <v>1.0</v>
      </c>
      <c r="M48" s="19">
        <v>0.0</v>
      </c>
      <c r="N48" s="19">
        <v>5.0</v>
      </c>
      <c r="O48" s="19">
        <v>1.0</v>
      </c>
      <c r="P48" s="19">
        <v>0.0</v>
      </c>
      <c r="Q48" s="19">
        <v>3.0</v>
      </c>
      <c r="R48" s="19">
        <v>0.0</v>
      </c>
      <c r="S48" s="19">
        <v>0.0</v>
      </c>
      <c r="T48" s="19">
        <v>0.0</v>
      </c>
      <c r="U48" s="19">
        <v>0.0</v>
      </c>
      <c r="V48" s="19">
        <v>2.0</v>
      </c>
      <c r="W48" s="19">
        <v>1.0</v>
      </c>
      <c r="X48" s="19">
        <v>0.0</v>
      </c>
      <c r="Y48" s="19">
        <v>0.0</v>
      </c>
      <c r="Z48" s="19">
        <v>0.0</v>
      </c>
      <c r="AA48" s="19">
        <v>2.0</v>
      </c>
      <c r="AB48" s="13">
        <f t="shared" si="14"/>
        <v>28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3.0</v>
      </c>
      <c r="H49" s="19">
        <v>0.0</v>
      </c>
      <c r="I49" s="19">
        <v>1.0</v>
      </c>
      <c r="J49" s="19">
        <v>1.0</v>
      </c>
      <c r="K49" s="19">
        <v>1.0</v>
      </c>
      <c r="L49" s="19">
        <v>0.0</v>
      </c>
      <c r="M49" s="19">
        <v>1.0</v>
      </c>
      <c r="N49" s="19">
        <v>0.0</v>
      </c>
      <c r="O49" s="19">
        <v>1.0</v>
      </c>
      <c r="P49" s="19">
        <v>5.0</v>
      </c>
      <c r="Q49" s="19">
        <v>1.0</v>
      </c>
      <c r="R49" s="19">
        <v>1.0</v>
      </c>
      <c r="S49" s="19">
        <v>0.0</v>
      </c>
      <c r="T49" s="19">
        <v>2.0</v>
      </c>
      <c r="U49" s="19">
        <v>1.0</v>
      </c>
      <c r="V49" s="19">
        <v>2.0</v>
      </c>
      <c r="W49" s="19">
        <v>0.0</v>
      </c>
      <c r="X49" s="19">
        <v>1.0</v>
      </c>
      <c r="Y49" s="19">
        <v>1.0</v>
      </c>
      <c r="Z49" s="19">
        <v>0.0</v>
      </c>
      <c r="AA49" s="19">
        <v>0.0</v>
      </c>
      <c r="AB49" s="13">
        <f t="shared" si="14"/>
        <v>23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3.0</v>
      </c>
      <c r="G50" s="19">
        <v>2.0</v>
      </c>
      <c r="H50" s="19">
        <v>2.0</v>
      </c>
      <c r="I50" s="19">
        <v>0.0</v>
      </c>
      <c r="J50" s="19">
        <v>2.0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2.0</v>
      </c>
      <c r="S50" s="19">
        <v>2.0</v>
      </c>
      <c r="T50" s="19">
        <v>0.0</v>
      </c>
      <c r="U50" s="19">
        <v>2.0</v>
      </c>
      <c r="V50" s="19">
        <v>1.0</v>
      </c>
      <c r="W50" s="19">
        <v>2.0</v>
      </c>
      <c r="X50" s="19">
        <v>0.0</v>
      </c>
      <c r="Y50" s="19">
        <v>1.0</v>
      </c>
      <c r="Z50" s="19">
        <v>0.0</v>
      </c>
      <c r="AA50" s="19">
        <v>1.0</v>
      </c>
      <c r="AB50" s="13">
        <f t="shared" si="14"/>
        <v>23</v>
      </c>
    </row>
    <row r="51" ht="12.75" customHeight="1">
      <c r="A51" s="18"/>
      <c r="B51" s="55">
        <v>6.0</v>
      </c>
      <c r="C51" s="50" t="s">
        <v>45</v>
      </c>
      <c r="D51" s="16"/>
      <c r="E51" s="19">
        <v>3.0</v>
      </c>
      <c r="F51" s="19">
        <v>3.0</v>
      </c>
      <c r="G51" s="19">
        <v>5.0</v>
      </c>
      <c r="H51" s="19">
        <v>3.0</v>
      </c>
      <c r="I51" s="19">
        <v>2.0</v>
      </c>
      <c r="J51" s="19">
        <v>1.0</v>
      </c>
      <c r="K51" s="19">
        <v>1.0</v>
      </c>
      <c r="L51" s="19">
        <v>0.0</v>
      </c>
      <c r="M51" s="19">
        <v>2.0</v>
      </c>
      <c r="N51" s="19">
        <v>0.0</v>
      </c>
      <c r="O51" s="19">
        <v>2.0</v>
      </c>
      <c r="P51" s="19">
        <v>5.0</v>
      </c>
      <c r="Q51" s="19">
        <v>7.0</v>
      </c>
      <c r="R51" s="19">
        <v>2.0</v>
      </c>
      <c r="S51" s="19">
        <v>3.0</v>
      </c>
      <c r="T51" s="19">
        <v>5.0</v>
      </c>
      <c r="U51" s="19">
        <v>1.0</v>
      </c>
      <c r="V51" s="19">
        <v>2.0</v>
      </c>
      <c r="W51" s="19">
        <v>3.0</v>
      </c>
      <c r="X51" s="19">
        <v>0.0</v>
      </c>
      <c r="Y51" s="19">
        <v>2.0</v>
      </c>
      <c r="Z51" s="19">
        <v>0.0</v>
      </c>
      <c r="AA51" s="19">
        <v>0.0</v>
      </c>
      <c r="AB51" s="13">
        <f t="shared" si="14"/>
        <v>52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3.0</v>
      </c>
      <c r="H52" s="19">
        <v>0.0</v>
      </c>
      <c r="I52" s="19">
        <v>1.0</v>
      </c>
      <c r="J52" s="19">
        <v>1.0</v>
      </c>
      <c r="K52" s="19">
        <v>0.0</v>
      </c>
      <c r="L52" s="19">
        <v>2.0</v>
      </c>
      <c r="M52" s="19">
        <v>2.0</v>
      </c>
      <c r="N52" s="19">
        <v>1.0</v>
      </c>
      <c r="O52" s="19">
        <v>0.0</v>
      </c>
      <c r="P52" s="19">
        <v>0.0</v>
      </c>
      <c r="Q52" s="19">
        <v>1.0</v>
      </c>
      <c r="R52" s="19">
        <v>1.0</v>
      </c>
      <c r="S52" s="19">
        <v>0.0</v>
      </c>
      <c r="T52" s="19">
        <v>1.0</v>
      </c>
      <c r="U52" s="19">
        <v>0.0</v>
      </c>
      <c r="V52" s="19">
        <v>2.0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3">
        <f t="shared" si="14"/>
        <v>15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5">SUM(E45:E54)</f>
        <v>69</v>
      </c>
      <c r="F55" s="13">
        <f t="shared" si="15"/>
        <v>64</v>
      </c>
      <c r="G55" s="13">
        <f t="shared" si="15"/>
        <v>85</v>
      </c>
      <c r="H55" s="13">
        <f t="shared" si="15"/>
        <v>37</v>
      </c>
      <c r="I55" s="13">
        <f t="shared" si="15"/>
        <v>48</v>
      </c>
      <c r="J55" s="13">
        <f t="shared" si="15"/>
        <v>29</v>
      </c>
      <c r="K55" s="13">
        <f t="shared" si="15"/>
        <v>30</v>
      </c>
      <c r="L55" s="13">
        <f t="shared" si="15"/>
        <v>16</v>
      </c>
      <c r="M55" s="13">
        <f t="shared" si="15"/>
        <v>32</v>
      </c>
      <c r="N55" s="13">
        <f t="shared" si="15"/>
        <v>30</v>
      </c>
      <c r="O55" s="13">
        <f t="shared" si="15"/>
        <v>33</v>
      </c>
      <c r="P55" s="13">
        <f t="shared" si="15"/>
        <v>35</v>
      </c>
      <c r="Q55" s="13">
        <f t="shared" si="15"/>
        <v>47</v>
      </c>
      <c r="R55" s="13">
        <f t="shared" si="15"/>
        <v>27</v>
      </c>
      <c r="S55" s="13">
        <f t="shared" si="15"/>
        <v>11</v>
      </c>
      <c r="T55" s="13">
        <f t="shared" si="15"/>
        <v>27</v>
      </c>
      <c r="U55" s="13">
        <f t="shared" si="15"/>
        <v>13</v>
      </c>
      <c r="V55" s="13">
        <f t="shared" si="15"/>
        <v>31</v>
      </c>
      <c r="W55" s="13">
        <f t="shared" si="15"/>
        <v>17</v>
      </c>
      <c r="X55" s="13">
        <f t="shared" si="15"/>
        <v>12</v>
      </c>
      <c r="Y55" s="13">
        <f t="shared" si="15"/>
        <v>17</v>
      </c>
      <c r="Z55" s="13">
        <f t="shared" si="15"/>
        <v>14</v>
      </c>
      <c r="AA55" s="13">
        <f t="shared" si="15"/>
        <v>17</v>
      </c>
      <c r="AB55" s="13">
        <f t="shared" si="15"/>
        <v>741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4.0</v>
      </c>
      <c r="G57" s="19">
        <v>7.0</v>
      </c>
      <c r="H57" s="19">
        <v>6.0</v>
      </c>
      <c r="I57" s="19">
        <v>4.0</v>
      </c>
      <c r="J57" s="19">
        <v>6.0</v>
      </c>
      <c r="K57" s="19">
        <v>4.0</v>
      </c>
      <c r="L57" s="19">
        <v>7.0</v>
      </c>
      <c r="M57" s="19">
        <v>2.0</v>
      </c>
      <c r="N57" s="19">
        <v>6.0</v>
      </c>
      <c r="O57" s="19">
        <v>7.0</v>
      </c>
      <c r="P57" s="19">
        <v>5.0</v>
      </c>
      <c r="Q57" s="19">
        <v>9.0</v>
      </c>
      <c r="R57" s="19">
        <v>12.0</v>
      </c>
      <c r="S57" s="19">
        <v>7.0</v>
      </c>
      <c r="T57" s="19">
        <v>6.0</v>
      </c>
      <c r="U57" s="19">
        <v>1.0</v>
      </c>
      <c r="V57" s="19">
        <v>6.0</v>
      </c>
      <c r="W57" s="19">
        <v>5.0</v>
      </c>
      <c r="X57" s="19">
        <v>5.0</v>
      </c>
      <c r="Y57" s="19">
        <v>4.0</v>
      </c>
      <c r="Z57" s="19">
        <v>7.0</v>
      </c>
      <c r="AA57" s="19">
        <v>7.0</v>
      </c>
      <c r="AB57" s="13">
        <f t="shared" ref="AB57:AB66" si="16">SUM(E57:AA57)</f>
        <v>140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14.0</v>
      </c>
      <c r="F58" s="19">
        <v>6.0</v>
      </c>
      <c r="G58" s="19">
        <v>37.0</v>
      </c>
      <c r="H58" s="19">
        <v>18.0</v>
      </c>
      <c r="I58" s="19">
        <v>10.0</v>
      </c>
      <c r="J58" s="19">
        <v>6.0</v>
      </c>
      <c r="K58" s="19">
        <v>10.0</v>
      </c>
      <c r="L58" s="19">
        <v>18.0</v>
      </c>
      <c r="M58" s="19">
        <v>5.0</v>
      </c>
      <c r="N58" s="19">
        <v>5.0</v>
      </c>
      <c r="O58" s="19">
        <v>33.0</v>
      </c>
      <c r="P58" s="19">
        <v>71.0</v>
      </c>
      <c r="Q58" s="19">
        <v>8.0</v>
      </c>
      <c r="R58" s="19">
        <v>7.0</v>
      </c>
      <c r="S58" s="19">
        <v>4.0</v>
      </c>
      <c r="T58" s="19">
        <v>7.0</v>
      </c>
      <c r="U58" s="19">
        <v>4.0</v>
      </c>
      <c r="V58" s="19">
        <v>13.0</v>
      </c>
      <c r="W58" s="19">
        <v>13.0</v>
      </c>
      <c r="X58" s="19">
        <v>15.0</v>
      </c>
      <c r="Y58" s="19">
        <v>15.0</v>
      </c>
      <c r="Z58" s="19">
        <v>23.0</v>
      </c>
      <c r="AA58" s="19">
        <v>23.0</v>
      </c>
      <c r="AB58" s="13">
        <f t="shared" si="16"/>
        <v>365</v>
      </c>
    </row>
    <row r="59" ht="12.75" customHeight="1">
      <c r="A59" s="18"/>
      <c r="B59" s="55">
        <v>2.0</v>
      </c>
      <c r="C59" s="50" t="s">
        <v>50</v>
      </c>
      <c r="D59" s="59"/>
      <c r="E59" s="19">
        <v>5.0</v>
      </c>
      <c r="F59" s="19">
        <v>7.0</v>
      </c>
      <c r="G59" s="19">
        <v>3.0</v>
      </c>
      <c r="H59" s="19">
        <v>25.0</v>
      </c>
      <c r="I59" s="19">
        <v>1.0</v>
      </c>
      <c r="J59" s="19">
        <v>21.0</v>
      </c>
      <c r="K59" s="19">
        <v>17.0</v>
      </c>
      <c r="L59" s="19">
        <v>27.0</v>
      </c>
      <c r="M59" s="19">
        <v>28.0</v>
      </c>
      <c r="N59" s="19">
        <v>27.0</v>
      </c>
      <c r="O59" s="19">
        <v>18.0</v>
      </c>
      <c r="P59" s="19">
        <v>1.0</v>
      </c>
      <c r="Q59" s="19">
        <v>21.0</v>
      </c>
      <c r="R59" s="19">
        <v>44.0</v>
      </c>
      <c r="S59" s="19">
        <v>72.0</v>
      </c>
      <c r="T59" s="19">
        <v>19.0</v>
      </c>
      <c r="U59" s="19">
        <v>5.0</v>
      </c>
      <c r="V59" s="19">
        <v>39.0</v>
      </c>
      <c r="W59" s="19">
        <v>11.0</v>
      </c>
      <c r="X59" s="19">
        <v>1.0</v>
      </c>
      <c r="Y59" s="19">
        <v>12.0</v>
      </c>
      <c r="Z59" s="19">
        <v>7.0</v>
      </c>
      <c r="AA59" s="19">
        <v>10.0</v>
      </c>
      <c r="AB59" s="13">
        <f t="shared" si="16"/>
        <v>421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2.0</v>
      </c>
      <c r="G60" s="19">
        <v>4.0</v>
      </c>
      <c r="H60" s="19">
        <v>0.0</v>
      </c>
      <c r="I60" s="19">
        <v>2.0</v>
      </c>
      <c r="J60" s="19">
        <v>0.0</v>
      </c>
      <c r="K60" s="19">
        <v>2.0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2.0</v>
      </c>
      <c r="R60" s="19">
        <v>0.0</v>
      </c>
      <c r="S60" s="19">
        <v>0.0</v>
      </c>
      <c r="T60" s="19">
        <v>0.0</v>
      </c>
      <c r="U60" s="19">
        <v>0.0</v>
      </c>
      <c r="V60" s="19">
        <v>1.0</v>
      </c>
      <c r="W60" s="19">
        <v>2.0</v>
      </c>
      <c r="X60" s="19">
        <v>0.0</v>
      </c>
      <c r="Y60" s="19">
        <v>0.0</v>
      </c>
      <c r="Z60" s="19">
        <v>1.0</v>
      </c>
      <c r="AA60" s="19">
        <v>1.0</v>
      </c>
      <c r="AB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3.0</v>
      </c>
      <c r="G61" s="19">
        <v>8.0</v>
      </c>
      <c r="H61" s="19">
        <v>2.0</v>
      </c>
      <c r="I61" s="19">
        <v>4.0</v>
      </c>
      <c r="J61" s="19">
        <v>1.0</v>
      </c>
      <c r="K61" s="19">
        <v>1.0</v>
      </c>
      <c r="L61" s="19">
        <v>2.0</v>
      </c>
      <c r="M61" s="19">
        <v>0.0</v>
      </c>
      <c r="N61" s="19">
        <v>2.0</v>
      </c>
      <c r="O61" s="19">
        <v>2.0</v>
      </c>
      <c r="P61" s="19">
        <v>2.0</v>
      </c>
      <c r="Q61" s="19">
        <v>2.0</v>
      </c>
      <c r="R61" s="19">
        <v>0.0</v>
      </c>
      <c r="S61" s="19">
        <v>0.0</v>
      </c>
      <c r="T61" s="19">
        <v>2.0</v>
      </c>
      <c r="U61" s="19">
        <v>1.0</v>
      </c>
      <c r="V61" s="19">
        <v>3.0</v>
      </c>
      <c r="W61" s="19">
        <v>2.0</v>
      </c>
      <c r="X61" s="19">
        <v>0.0</v>
      </c>
      <c r="Y61" s="19">
        <v>1.0</v>
      </c>
      <c r="Z61" s="19">
        <v>0.0</v>
      </c>
      <c r="AA61" s="19">
        <v>0.0</v>
      </c>
      <c r="AB61" s="13">
        <f t="shared" si="16"/>
        <v>40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2.0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1.0</v>
      </c>
      <c r="H63" s="19">
        <v>2.0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2.0</v>
      </c>
      <c r="R63" s="19">
        <v>1.0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3">
        <f t="shared" si="16"/>
        <v>10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7">SUM(E57:E66)</f>
        <v>35</v>
      </c>
      <c r="F67" s="13">
        <f t="shared" si="17"/>
        <v>23</v>
      </c>
      <c r="G67" s="13">
        <f t="shared" si="17"/>
        <v>60</v>
      </c>
      <c r="H67" s="13">
        <f t="shared" si="17"/>
        <v>54</v>
      </c>
      <c r="I67" s="13">
        <f t="shared" si="17"/>
        <v>21</v>
      </c>
      <c r="J67" s="13">
        <f t="shared" si="17"/>
        <v>35</v>
      </c>
      <c r="K67" s="13">
        <f t="shared" si="17"/>
        <v>34</v>
      </c>
      <c r="L67" s="13">
        <f t="shared" si="17"/>
        <v>54</v>
      </c>
      <c r="M67" s="13">
        <f t="shared" si="17"/>
        <v>36</v>
      </c>
      <c r="N67" s="13">
        <f t="shared" si="17"/>
        <v>40</v>
      </c>
      <c r="O67" s="13">
        <f t="shared" si="17"/>
        <v>61</v>
      </c>
      <c r="P67" s="13">
        <f t="shared" si="17"/>
        <v>79</v>
      </c>
      <c r="Q67" s="13">
        <f t="shared" si="17"/>
        <v>46</v>
      </c>
      <c r="R67" s="13">
        <f t="shared" si="17"/>
        <v>64</v>
      </c>
      <c r="S67" s="13">
        <f t="shared" si="17"/>
        <v>83</v>
      </c>
      <c r="T67" s="13">
        <f t="shared" si="17"/>
        <v>35</v>
      </c>
      <c r="U67" s="13">
        <f t="shared" si="17"/>
        <v>11</v>
      </c>
      <c r="V67" s="13">
        <f t="shared" si="17"/>
        <v>62</v>
      </c>
      <c r="W67" s="13">
        <f t="shared" si="17"/>
        <v>33</v>
      </c>
      <c r="X67" s="13">
        <f t="shared" si="17"/>
        <v>21</v>
      </c>
      <c r="Y67" s="13">
        <f t="shared" si="17"/>
        <v>32</v>
      </c>
      <c r="Z67" s="13">
        <f t="shared" si="17"/>
        <v>38</v>
      </c>
      <c r="AA67" s="13">
        <f t="shared" si="17"/>
        <v>41</v>
      </c>
      <c r="AB67" s="13">
        <f t="shared" si="17"/>
        <v>998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3.0</v>
      </c>
      <c r="G69" s="19">
        <v>4.0</v>
      </c>
      <c r="H69" s="19">
        <v>2.0</v>
      </c>
      <c r="I69" s="19">
        <v>1.0</v>
      </c>
      <c r="J69" s="19">
        <v>11.0</v>
      </c>
      <c r="K69" s="19">
        <v>3.0</v>
      </c>
      <c r="L69" s="19">
        <v>2.0</v>
      </c>
      <c r="M69" s="19">
        <v>4.0</v>
      </c>
      <c r="N69" s="19">
        <v>8.0</v>
      </c>
      <c r="O69" s="19">
        <v>6.0</v>
      </c>
      <c r="P69" s="19">
        <v>3.0</v>
      </c>
      <c r="Q69" s="19">
        <v>10.0</v>
      </c>
      <c r="R69" s="19">
        <v>3.0</v>
      </c>
      <c r="S69" s="19">
        <v>3.0</v>
      </c>
      <c r="T69" s="19">
        <v>6.0</v>
      </c>
      <c r="U69" s="19">
        <v>6.0</v>
      </c>
      <c r="V69" s="19">
        <v>9.0</v>
      </c>
      <c r="W69" s="19">
        <v>9.0</v>
      </c>
      <c r="X69" s="19">
        <v>5.0</v>
      </c>
      <c r="Y69" s="19">
        <v>4.0</v>
      </c>
      <c r="Z69" s="19">
        <v>6.0</v>
      </c>
      <c r="AA69" s="19">
        <v>6.0</v>
      </c>
      <c r="AB69" s="13">
        <f t="shared" ref="AB69:AB78" si="18">SUM(E69:AA69)</f>
        <v>122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16.0</v>
      </c>
      <c r="F70" s="19">
        <v>6.0</v>
      </c>
      <c r="G70" s="19">
        <v>7.0</v>
      </c>
      <c r="H70" s="19">
        <v>21.0</v>
      </c>
      <c r="I70" s="19">
        <v>6.0</v>
      </c>
      <c r="J70" s="19">
        <v>10.0</v>
      </c>
      <c r="K70" s="19">
        <v>6.0</v>
      </c>
      <c r="L70" s="19">
        <v>2.0</v>
      </c>
      <c r="M70" s="19">
        <v>7.0</v>
      </c>
      <c r="N70" s="19">
        <v>7.0</v>
      </c>
      <c r="O70" s="19">
        <v>8.0</v>
      </c>
      <c r="P70" s="19">
        <v>6.0</v>
      </c>
      <c r="Q70" s="19">
        <v>12.0</v>
      </c>
      <c r="R70" s="19">
        <v>8.0</v>
      </c>
      <c r="S70" s="19">
        <v>12.0</v>
      </c>
      <c r="T70" s="19">
        <v>7.0</v>
      </c>
      <c r="U70" s="19">
        <v>10.0</v>
      </c>
      <c r="V70" s="19">
        <v>5.0</v>
      </c>
      <c r="W70" s="19">
        <v>6.0</v>
      </c>
      <c r="X70" s="19">
        <v>5.0</v>
      </c>
      <c r="Y70" s="19">
        <v>3.0</v>
      </c>
      <c r="Z70" s="19">
        <v>1.0</v>
      </c>
      <c r="AA70" s="19">
        <v>11.0</v>
      </c>
      <c r="AB70" s="13">
        <f t="shared" si="18"/>
        <v>182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0.0</v>
      </c>
      <c r="G71" s="19">
        <v>4.0</v>
      </c>
      <c r="H71" s="19">
        <v>0.0</v>
      </c>
      <c r="I71" s="19">
        <v>0.0</v>
      </c>
      <c r="J71" s="19">
        <v>3.0</v>
      </c>
      <c r="K71" s="19">
        <v>1.0</v>
      </c>
      <c r="L71" s="19">
        <v>1.0</v>
      </c>
      <c r="M71" s="19">
        <v>1.0</v>
      </c>
      <c r="N71" s="19">
        <v>1.0</v>
      </c>
      <c r="O71" s="19">
        <v>0.0</v>
      </c>
      <c r="P71" s="19">
        <v>0.0</v>
      </c>
      <c r="Q71" s="19">
        <v>1.0</v>
      </c>
      <c r="R71" s="19">
        <v>2.0</v>
      </c>
      <c r="S71" s="19">
        <v>2.0</v>
      </c>
      <c r="T71" s="19">
        <v>3.0</v>
      </c>
      <c r="U71" s="19">
        <v>1.0</v>
      </c>
      <c r="V71" s="19">
        <v>0.0</v>
      </c>
      <c r="W71" s="19">
        <v>2.0</v>
      </c>
      <c r="X71" s="19">
        <v>2.0</v>
      </c>
      <c r="Y71" s="19">
        <v>3.0</v>
      </c>
      <c r="Z71" s="19">
        <v>0.0</v>
      </c>
      <c r="AA71" s="19">
        <v>0.0</v>
      </c>
      <c r="AB71" s="13">
        <f t="shared" si="18"/>
        <v>27</v>
      </c>
    </row>
    <row r="72" ht="12.75" customHeight="1">
      <c r="A72" s="18"/>
      <c r="B72" s="55">
        <v>3.0</v>
      </c>
      <c r="C72" s="50" t="s">
        <v>59</v>
      </c>
      <c r="D72" s="60"/>
      <c r="E72" s="19">
        <v>4.0</v>
      </c>
      <c r="F72" s="19">
        <v>0.0</v>
      </c>
      <c r="G72" s="19">
        <v>1.0</v>
      </c>
      <c r="H72" s="19">
        <v>1.0</v>
      </c>
      <c r="I72" s="19">
        <v>0.0</v>
      </c>
      <c r="J72" s="19">
        <v>3.0</v>
      </c>
      <c r="K72" s="19">
        <v>0.0</v>
      </c>
      <c r="L72" s="19">
        <v>0.0</v>
      </c>
      <c r="M72" s="19">
        <v>0.0</v>
      </c>
      <c r="N72" s="19">
        <v>2.0</v>
      </c>
      <c r="O72" s="19">
        <v>0.0</v>
      </c>
      <c r="P72" s="19">
        <v>4.0</v>
      </c>
      <c r="Q72" s="19">
        <v>4.0</v>
      </c>
      <c r="R72" s="19">
        <v>0.0</v>
      </c>
      <c r="S72" s="19">
        <v>12.0</v>
      </c>
      <c r="T72" s="19">
        <v>15.0</v>
      </c>
      <c r="U72" s="19">
        <v>42.0</v>
      </c>
      <c r="V72" s="19">
        <v>13.0</v>
      </c>
      <c r="W72" s="19">
        <v>18.0</v>
      </c>
      <c r="X72" s="19">
        <v>52.0</v>
      </c>
      <c r="Y72" s="19">
        <v>12.0</v>
      </c>
      <c r="Z72" s="19">
        <v>12.0</v>
      </c>
      <c r="AA72" s="19">
        <v>10.0</v>
      </c>
      <c r="AB72" s="13">
        <f t="shared" si="18"/>
        <v>205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1.0</v>
      </c>
      <c r="J73" s="19">
        <v>6.0</v>
      </c>
      <c r="K73" s="19">
        <v>1.0</v>
      </c>
      <c r="L73" s="19">
        <v>1.0</v>
      </c>
      <c r="M73" s="19">
        <v>0.0</v>
      </c>
      <c r="N73" s="19">
        <v>2.0</v>
      </c>
      <c r="O73" s="19">
        <v>2.0</v>
      </c>
      <c r="P73" s="19">
        <v>2.0</v>
      </c>
      <c r="Q73" s="19">
        <v>1.0</v>
      </c>
      <c r="R73" s="19">
        <v>2.0</v>
      </c>
      <c r="S73" s="19">
        <v>0.0</v>
      </c>
      <c r="T73" s="19">
        <v>5.0</v>
      </c>
      <c r="U73" s="19">
        <v>4.0</v>
      </c>
      <c r="V73" s="19">
        <v>3.0</v>
      </c>
      <c r="W73" s="19">
        <v>2.0</v>
      </c>
      <c r="X73" s="19">
        <v>0.0</v>
      </c>
      <c r="Y73" s="19">
        <v>0.0</v>
      </c>
      <c r="Z73" s="19">
        <v>0.0</v>
      </c>
      <c r="AA73" s="19">
        <v>0.0</v>
      </c>
      <c r="AB73" s="13">
        <f t="shared" si="18"/>
        <v>33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1.0</v>
      </c>
      <c r="G74" s="19">
        <v>1.0</v>
      </c>
      <c r="H74" s="19">
        <v>0.0</v>
      </c>
      <c r="I74" s="19">
        <v>5.0</v>
      </c>
      <c r="J74" s="19">
        <v>2.0</v>
      </c>
      <c r="K74" s="19">
        <v>2.0</v>
      </c>
      <c r="L74" s="19">
        <v>2.0</v>
      </c>
      <c r="M74" s="19">
        <v>3.0</v>
      </c>
      <c r="N74" s="19">
        <v>1.0</v>
      </c>
      <c r="O74" s="19">
        <v>1.0</v>
      </c>
      <c r="P74" s="19">
        <v>2.0</v>
      </c>
      <c r="Q74" s="19">
        <v>4.0</v>
      </c>
      <c r="R74" s="19">
        <v>4.0</v>
      </c>
      <c r="S74" s="19">
        <v>3.0</v>
      </c>
      <c r="T74" s="19">
        <v>2.0</v>
      </c>
      <c r="U74" s="19">
        <v>8.0</v>
      </c>
      <c r="V74" s="19">
        <v>1.0</v>
      </c>
      <c r="W74" s="19">
        <v>4.0</v>
      </c>
      <c r="X74" s="19">
        <v>0.0</v>
      </c>
      <c r="Y74" s="19">
        <v>0.0</v>
      </c>
      <c r="Z74" s="19">
        <v>0.0</v>
      </c>
      <c r="AA74" s="19">
        <v>2.0</v>
      </c>
      <c r="AB74" s="13">
        <f t="shared" si="18"/>
        <v>49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1.0</v>
      </c>
      <c r="K75" s="19">
        <v>2.0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9">
        <v>2.0</v>
      </c>
      <c r="R75" s="19">
        <v>1.0</v>
      </c>
      <c r="S75" s="19">
        <v>0.0</v>
      </c>
      <c r="T75" s="19">
        <v>3.0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1.0</v>
      </c>
      <c r="AB75" s="13">
        <f t="shared" si="18"/>
        <v>11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1.0</v>
      </c>
      <c r="H76" s="19">
        <v>2.0</v>
      </c>
      <c r="I76" s="19">
        <v>0.0</v>
      </c>
      <c r="J76" s="19">
        <v>0.0</v>
      </c>
      <c r="K76" s="19">
        <v>3.0</v>
      </c>
      <c r="L76" s="19">
        <v>3.0</v>
      </c>
      <c r="M76" s="19">
        <v>1.0</v>
      </c>
      <c r="N76" s="19">
        <v>0.0</v>
      </c>
      <c r="O76" s="19">
        <v>2.0</v>
      </c>
      <c r="P76" s="19">
        <v>2.0</v>
      </c>
      <c r="Q76" s="19">
        <v>3.0</v>
      </c>
      <c r="R76" s="19">
        <v>2.0</v>
      </c>
      <c r="S76" s="19">
        <v>0.0</v>
      </c>
      <c r="T76" s="19">
        <v>4.0</v>
      </c>
      <c r="U76" s="19">
        <v>2.0</v>
      </c>
      <c r="V76" s="19">
        <v>1.0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3">
        <f t="shared" si="18"/>
        <v>27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19">SUM(E69:E78)</f>
        <v>29</v>
      </c>
      <c r="F79" s="13">
        <f t="shared" si="19"/>
        <v>11</v>
      </c>
      <c r="G79" s="13">
        <f t="shared" si="19"/>
        <v>19</v>
      </c>
      <c r="H79" s="13">
        <f t="shared" si="19"/>
        <v>26</v>
      </c>
      <c r="I79" s="13">
        <f t="shared" si="19"/>
        <v>13</v>
      </c>
      <c r="J79" s="13">
        <f t="shared" si="19"/>
        <v>36</v>
      </c>
      <c r="K79" s="13">
        <f t="shared" si="19"/>
        <v>18</v>
      </c>
      <c r="L79" s="13">
        <f t="shared" si="19"/>
        <v>12</v>
      </c>
      <c r="M79" s="13">
        <f t="shared" si="19"/>
        <v>16</v>
      </c>
      <c r="N79" s="13">
        <f t="shared" si="19"/>
        <v>21</v>
      </c>
      <c r="O79" s="13">
        <f t="shared" si="19"/>
        <v>19</v>
      </c>
      <c r="P79" s="13">
        <f t="shared" si="19"/>
        <v>19</v>
      </c>
      <c r="Q79" s="13">
        <f t="shared" si="19"/>
        <v>37</v>
      </c>
      <c r="R79" s="13">
        <f t="shared" si="19"/>
        <v>22</v>
      </c>
      <c r="S79" s="13">
        <f t="shared" si="19"/>
        <v>32</v>
      </c>
      <c r="T79" s="13">
        <f t="shared" si="19"/>
        <v>45</v>
      </c>
      <c r="U79" s="13">
        <f t="shared" si="19"/>
        <v>73</v>
      </c>
      <c r="V79" s="13">
        <f t="shared" si="19"/>
        <v>32</v>
      </c>
      <c r="W79" s="13">
        <f t="shared" si="19"/>
        <v>41</v>
      </c>
      <c r="X79" s="13">
        <f t="shared" si="19"/>
        <v>64</v>
      </c>
      <c r="Y79" s="13">
        <f t="shared" si="19"/>
        <v>22</v>
      </c>
      <c r="Z79" s="13">
        <f t="shared" si="19"/>
        <v>19</v>
      </c>
      <c r="AA79" s="13">
        <f t="shared" si="19"/>
        <v>30</v>
      </c>
      <c r="AB79" s="13">
        <f t="shared" si="19"/>
        <v>656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0.0</v>
      </c>
      <c r="G81" s="19">
        <v>1.0</v>
      </c>
      <c r="H81" s="19">
        <v>1.0</v>
      </c>
      <c r="I81" s="19">
        <v>1.0</v>
      </c>
      <c r="J81" s="19">
        <v>4.0</v>
      </c>
      <c r="K81" s="19">
        <v>3.0</v>
      </c>
      <c r="L81" s="19">
        <v>3.0</v>
      </c>
      <c r="M81" s="19">
        <v>7.0</v>
      </c>
      <c r="N81" s="19">
        <v>2.0</v>
      </c>
      <c r="O81" s="19">
        <v>1.0</v>
      </c>
      <c r="P81" s="19">
        <v>1.0</v>
      </c>
      <c r="Q81" s="19">
        <v>3.0</v>
      </c>
      <c r="R81" s="19">
        <v>4.0</v>
      </c>
      <c r="S81" s="19">
        <v>2.0</v>
      </c>
      <c r="T81" s="19">
        <v>1.0</v>
      </c>
      <c r="U81" s="19">
        <v>1.0</v>
      </c>
      <c r="V81" s="19">
        <v>0.0</v>
      </c>
      <c r="W81" s="19">
        <v>5.0</v>
      </c>
      <c r="X81" s="19">
        <v>0.0</v>
      </c>
      <c r="Y81" s="19">
        <v>3.0</v>
      </c>
      <c r="Z81" s="19">
        <v>5.0</v>
      </c>
      <c r="AA81" s="19">
        <v>3.0</v>
      </c>
      <c r="AB81" s="13">
        <f t="shared" ref="AB81:AB90" si="20">SUM(E81:AA81)</f>
        <v>52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0.0</v>
      </c>
      <c r="G82" s="19">
        <v>3.0</v>
      </c>
      <c r="H82" s="19">
        <v>0.0</v>
      </c>
      <c r="I82" s="19">
        <v>1.0</v>
      </c>
      <c r="J82" s="19">
        <v>2.0</v>
      </c>
      <c r="K82" s="19">
        <v>11.0</v>
      </c>
      <c r="L82" s="19">
        <v>2.0</v>
      </c>
      <c r="M82" s="19">
        <v>3.0</v>
      </c>
      <c r="N82" s="19">
        <v>6.0</v>
      </c>
      <c r="O82" s="19">
        <v>6.0</v>
      </c>
      <c r="P82" s="19">
        <v>25.0</v>
      </c>
      <c r="Q82" s="19">
        <v>11.0</v>
      </c>
      <c r="R82" s="19">
        <v>17.0</v>
      </c>
      <c r="S82" s="19">
        <v>7.0</v>
      </c>
      <c r="T82" s="19">
        <v>22.0</v>
      </c>
      <c r="U82" s="19">
        <v>6.0</v>
      </c>
      <c r="V82" s="19">
        <v>4.0</v>
      </c>
      <c r="W82" s="19">
        <v>15.0</v>
      </c>
      <c r="X82" s="19">
        <v>17.0</v>
      </c>
      <c r="Y82" s="19">
        <v>35.0</v>
      </c>
      <c r="Z82" s="19">
        <v>21.0</v>
      </c>
      <c r="AA82" s="19">
        <v>3.0</v>
      </c>
      <c r="AB82" s="13">
        <f t="shared" si="20"/>
        <v>218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0.0</v>
      </c>
      <c r="G83" s="19">
        <v>0.0</v>
      </c>
      <c r="H83" s="19">
        <v>4.0</v>
      </c>
      <c r="I83" s="19">
        <v>2.0</v>
      </c>
      <c r="J83" s="19">
        <v>2.0</v>
      </c>
      <c r="K83" s="19">
        <v>11.0</v>
      </c>
      <c r="L83" s="19">
        <v>1.0</v>
      </c>
      <c r="M83" s="19">
        <v>5.0</v>
      </c>
      <c r="N83" s="19">
        <v>6.0</v>
      </c>
      <c r="O83" s="19">
        <v>0.0</v>
      </c>
      <c r="P83" s="19">
        <v>2.0</v>
      </c>
      <c r="Q83" s="19">
        <v>4.0</v>
      </c>
      <c r="R83" s="19">
        <v>0.0</v>
      </c>
      <c r="S83" s="19">
        <v>1.0</v>
      </c>
      <c r="T83" s="19">
        <v>3.0</v>
      </c>
      <c r="U83" s="19">
        <v>2.0</v>
      </c>
      <c r="V83" s="19">
        <v>3.0</v>
      </c>
      <c r="W83" s="19">
        <v>4.0</v>
      </c>
      <c r="X83" s="19">
        <v>1.0</v>
      </c>
      <c r="Y83" s="19">
        <v>2.0</v>
      </c>
      <c r="Z83" s="19">
        <v>2.0</v>
      </c>
      <c r="AA83" s="19">
        <v>1.0</v>
      </c>
      <c r="AB83" s="13">
        <f t="shared" si="20"/>
        <v>56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2.0</v>
      </c>
      <c r="K84" s="19">
        <v>1.0</v>
      </c>
      <c r="L84" s="19">
        <v>3.0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9">
        <v>1.0</v>
      </c>
      <c r="AA84" s="19">
        <v>0.0</v>
      </c>
      <c r="AB84" s="13">
        <f t="shared" si="20"/>
        <v>11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2.0</v>
      </c>
      <c r="V85" s="19">
        <v>0.0</v>
      </c>
      <c r="W85" s="19">
        <v>0.0</v>
      </c>
      <c r="X85" s="19">
        <v>0.0</v>
      </c>
      <c r="Y85" s="19">
        <v>0.0</v>
      </c>
      <c r="Z85" s="19">
        <v>1.0</v>
      </c>
      <c r="AA85" s="19">
        <v>0.0</v>
      </c>
      <c r="AB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60"/>
      <c r="E86" s="19">
        <v>3.0</v>
      </c>
      <c r="F86" s="19">
        <v>3.0</v>
      </c>
      <c r="G86" s="19">
        <v>0.0</v>
      </c>
      <c r="H86" s="19">
        <v>1.0</v>
      </c>
      <c r="I86" s="19">
        <v>2.0</v>
      </c>
      <c r="J86" s="19">
        <v>1.0</v>
      </c>
      <c r="K86" s="19">
        <v>4.0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1.0</v>
      </c>
      <c r="R86" s="19">
        <v>0.0</v>
      </c>
      <c r="S86" s="19">
        <v>0.0</v>
      </c>
      <c r="T86" s="19">
        <v>3.0</v>
      </c>
      <c r="U86" s="19">
        <v>1.0</v>
      </c>
      <c r="V86" s="19">
        <v>1.0</v>
      </c>
      <c r="W86" s="19">
        <v>0.0</v>
      </c>
      <c r="X86" s="19">
        <v>1.0</v>
      </c>
      <c r="Y86" s="19">
        <v>6.0</v>
      </c>
      <c r="Z86" s="19">
        <v>1.0</v>
      </c>
      <c r="AA86" s="19">
        <v>3.0</v>
      </c>
      <c r="AB86" s="13">
        <f t="shared" si="20"/>
        <v>32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1.0</v>
      </c>
      <c r="L87" s="19">
        <v>1.0</v>
      </c>
      <c r="M87" s="19">
        <v>1.0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1.0</v>
      </c>
      <c r="AB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1">SUM(E81:E90)</f>
        <v>6</v>
      </c>
      <c r="F91" s="13">
        <f t="shared" si="21"/>
        <v>3</v>
      </c>
      <c r="G91" s="13">
        <f t="shared" si="21"/>
        <v>5</v>
      </c>
      <c r="H91" s="13">
        <f t="shared" si="21"/>
        <v>8</v>
      </c>
      <c r="I91" s="13">
        <f t="shared" si="21"/>
        <v>6</v>
      </c>
      <c r="J91" s="13">
        <f t="shared" si="21"/>
        <v>11</v>
      </c>
      <c r="K91" s="13">
        <f t="shared" si="21"/>
        <v>32</v>
      </c>
      <c r="L91" s="13">
        <f t="shared" si="21"/>
        <v>10</v>
      </c>
      <c r="M91" s="13">
        <f t="shared" si="21"/>
        <v>18</v>
      </c>
      <c r="N91" s="13">
        <f t="shared" si="21"/>
        <v>14</v>
      </c>
      <c r="O91" s="13">
        <f t="shared" si="21"/>
        <v>7</v>
      </c>
      <c r="P91" s="13">
        <f t="shared" si="21"/>
        <v>30</v>
      </c>
      <c r="Q91" s="13">
        <f t="shared" si="21"/>
        <v>20</v>
      </c>
      <c r="R91" s="13">
        <f t="shared" si="21"/>
        <v>22</v>
      </c>
      <c r="S91" s="13">
        <f t="shared" si="21"/>
        <v>10</v>
      </c>
      <c r="T91" s="13">
        <f t="shared" si="21"/>
        <v>29</v>
      </c>
      <c r="U91" s="13">
        <f t="shared" si="21"/>
        <v>12</v>
      </c>
      <c r="V91" s="13">
        <f t="shared" si="21"/>
        <v>8</v>
      </c>
      <c r="W91" s="13">
        <f t="shared" si="21"/>
        <v>25</v>
      </c>
      <c r="X91" s="13">
        <f t="shared" si="21"/>
        <v>20</v>
      </c>
      <c r="Y91" s="13">
        <f t="shared" si="21"/>
        <v>46</v>
      </c>
      <c r="Z91" s="13">
        <f t="shared" si="21"/>
        <v>31</v>
      </c>
      <c r="AA91" s="13">
        <f t="shared" si="21"/>
        <v>11</v>
      </c>
      <c r="AB91" s="13">
        <f t="shared" si="21"/>
        <v>384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14.0</v>
      </c>
      <c r="F93" s="19">
        <v>4.0</v>
      </c>
      <c r="G93" s="19">
        <v>3.0</v>
      </c>
      <c r="H93" s="19">
        <v>2.0</v>
      </c>
      <c r="I93" s="19">
        <v>3.0</v>
      </c>
      <c r="J93" s="19">
        <v>4.0</v>
      </c>
      <c r="K93" s="19">
        <v>3.0</v>
      </c>
      <c r="L93" s="19">
        <v>0.0</v>
      </c>
      <c r="M93" s="19">
        <v>1.0</v>
      </c>
      <c r="N93" s="19">
        <v>3.0</v>
      </c>
      <c r="O93" s="19">
        <v>4.0</v>
      </c>
      <c r="P93" s="19">
        <v>0.0</v>
      </c>
      <c r="Q93" s="19">
        <v>3.0</v>
      </c>
      <c r="R93" s="19">
        <v>3.0</v>
      </c>
      <c r="S93" s="19">
        <v>0.0</v>
      </c>
      <c r="T93" s="19">
        <v>1.0</v>
      </c>
      <c r="U93" s="19">
        <v>1.0</v>
      </c>
      <c r="V93" s="19">
        <v>1.0</v>
      </c>
      <c r="W93" s="19">
        <v>6.0</v>
      </c>
      <c r="X93" s="19">
        <v>3.0</v>
      </c>
      <c r="Y93" s="19">
        <v>1.0</v>
      </c>
      <c r="Z93" s="19">
        <v>4.0</v>
      </c>
      <c r="AA93" s="19">
        <v>2.0</v>
      </c>
      <c r="AB93" s="13">
        <f t="shared" ref="AB93:AB102" si="22">SUM(E93:AA93)</f>
        <v>66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7.0</v>
      </c>
      <c r="F94" s="19">
        <v>5.0</v>
      </c>
      <c r="G94" s="19">
        <v>4.0</v>
      </c>
      <c r="H94" s="19">
        <v>6.0</v>
      </c>
      <c r="I94" s="19">
        <v>1.0</v>
      </c>
      <c r="J94" s="19">
        <v>4.0</v>
      </c>
      <c r="K94" s="19">
        <v>5.0</v>
      </c>
      <c r="L94" s="19">
        <v>0.0</v>
      </c>
      <c r="M94" s="19">
        <v>1.0</v>
      </c>
      <c r="N94" s="19">
        <v>1.0</v>
      </c>
      <c r="O94" s="19">
        <v>4.0</v>
      </c>
      <c r="P94" s="19">
        <v>2.0</v>
      </c>
      <c r="Q94" s="19">
        <v>12.0</v>
      </c>
      <c r="R94" s="19">
        <v>7.0</v>
      </c>
      <c r="S94" s="19">
        <v>3.0</v>
      </c>
      <c r="T94" s="19">
        <v>4.0</v>
      </c>
      <c r="U94" s="19">
        <v>1.0</v>
      </c>
      <c r="V94" s="19">
        <v>0.0</v>
      </c>
      <c r="W94" s="19">
        <v>2.0</v>
      </c>
      <c r="X94" s="19">
        <v>1.0</v>
      </c>
      <c r="Y94" s="19">
        <v>1.0</v>
      </c>
      <c r="Z94" s="19">
        <v>0.0</v>
      </c>
      <c r="AA94" s="19">
        <v>2.0</v>
      </c>
      <c r="AB94" s="13">
        <f t="shared" si="22"/>
        <v>73</v>
      </c>
    </row>
    <row r="95" ht="12.75" customHeight="1">
      <c r="A95" s="18"/>
      <c r="B95" s="55">
        <v>2.0</v>
      </c>
      <c r="C95" s="50" t="s">
        <v>75</v>
      </c>
      <c r="D95" s="60"/>
      <c r="E95" s="19">
        <v>1.0</v>
      </c>
      <c r="F95" s="19">
        <v>0.0</v>
      </c>
      <c r="G95" s="19">
        <v>5.0</v>
      </c>
      <c r="H95" s="19">
        <v>20.0</v>
      </c>
      <c r="I95" s="19">
        <v>0.0</v>
      </c>
      <c r="J95" s="19">
        <v>0.0</v>
      </c>
      <c r="K95" s="19">
        <v>3.0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9">
        <v>2.0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3">
        <f t="shared" si="22"/>
        <v>32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2.0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0.0</v>
      </c>
      <c r="AA96" s="19">
        <v>0.0</v>
      </c>
      <c r="AB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0.0</v>
      </c>
      <c r="R99" s="19">
        <v>2.0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2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3">SUM(E93:E102)</f>
        <v>22</v>
      </c>
      <c r="F103" s="13">
        <f t="shared" si="23"/>
        <v>9</v>
      </c>
      <c r="G103" s="13">
        <f t="shared" si="23"/>
        <v>13</v>
      </c>
      <c r="H103" s="13">
        <f t="shared" si="23"/>
        <v>30</v>
      </c>
      <c r="I103" s="13">
        <f t="shared" si="23"/>
        <v>6</v>
      </c>
      <c r="J103" s="13">
        <f t="shared" si="23"/>
        <v>9</v>
      </c>
      <c r="K103" s="13">
        <f t="shared" si="23"/>
        <v>12</v>
      </c>
      <c r="L103" s="13">
        <f t="shared" si="23"/>
        <v>0</v>
      </c>
      <c r="M103" s="13">
        <f t="shared" si="23"/>
        <v>2</v>
      </c>
      <c r="N103" s="13">
        <f t="shared" si="23"/>
        <v>4</v>
      </c>
      <c r="O103" s="13">
        <f t="shared" si="23"/>
        <v>9</v>
      </c>
      <c r="P103" s="13">
        <f t="shared" si="23"/>
        <v>2</v>
      </c>
      <c r="Q103" s="13">
        <f t="shared" si="23"/>
        <v>18</v>
      </c>
      <c r="R103" s="13">
        <f t="shared" si="23"/>
        <v>12</v>
      </c>
      <c r="S103" s="13">
        <f t="shared" si="23"/>
        <v>3</v>
      </c>
      <c r="T103" s="13">
        <f t="shared" si="23"/>
        <v>7</v>
      </c>
      <c r="U103" s="13">
        <f t="shared" si="23"/>
        <v>2</v>
      </c>
      <c r="V103" s="13">
        <f t="shared" si="23"/>
        <v>3</v>
      </c>
      <c r="W103" s="13">
        <f t="shared" si="23"/>
        <v>8</v>
      </c>
      <c r="X103" s="13">
        <f t="shared" si="23"/>
        <v>4</v>
      </c>
      <c r="Y103" s="13">
        <f t="shared" si="23"/>
        <v>3</v>
      </c>
      <c r="Z103" s="13">
        <f t="shared" si="23"/>
        <v>4</v>
      </c>
      <c r="AA103" s="13">
        <f t="shared" si="23"/>
        <v>5</v>
      </c>
      <c r="AB103" s="13">
        <f t="shared" si="23"/>
        <v>187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2.0</v>
      </c>
      <c r="G105" s="19">
        <v>1.0</v>
      </c>
      <c r="H105" s="19">
        <v>1.0</v>
      </c>
      <c r="I105" s="19">
        <v>2.0</v>
      </c>
      <c r="J105" s="19">
        <v>0.0</v>
      </c>
      <c r="K105" s="19">
        <v>2.0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3.0</v>
      </c>
      <c r="R105" s="19">
        <v>3.0</v>
      </c>
      <c r="S105" s="19">
        <v>0.0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1.0</v>
      </c>
      <c r="AB105" s="13">
        <f t="shared" ref="AB105:AB114" si="24">SUM(E105:AA105)</f>
        <v>19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3.0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1.0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1.0</v>
      </c>
      <c r="Z106" s="19">
        <v>0.0</v>
      </c>
      <c r="AA106" s="19">
        <v>0.0</v>
      </c>
      <c r="AB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1.0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1.0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1.0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1.0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1.0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1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5">SUM(E105:E114)</f>
        <v>4</v>
      </c>
      <c r="F115" s="13">
        <f t="shared" si="25"/>
        <v>2</v>
      </c>
      <c r="G115" s="13">
        <f t="shared" si="25"/>
        <v>1</v>
      </c>
      <c r="H115" s="13">
        <f t="shared" si="25"/>
        <v>4</v>
      </c>
      <c r="I115" s="13">
        <f t="shared" si="25"/>
        <v>3</v>
      </c>
      <c r="J115" s="13">
        <f t="shared" si="25"/>
        <v>0</v>
      </c>
      <c r="K115" s="13">
        <f t="shared" si="25"/>
        <v>3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4</v>
      </c>
      <c r="R115" s="13">
        <f t="shared" si="25"/>
        <v>5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4</v>
      </c>
      <c r="Z115" s="13">
        <f t="shared" si="25"/>
        <v>0</v>
      </c>
      <c r="AA115" s="13">
        <f t="shared" si="25"/>
        <v>1</v>
      </c>
      <c r="AB115" s="13">
        <f t="shared" si="25"/>
        <v>38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1.0</v>
      </c>
      <c r="H117" s="19">
        <v>0.0</v>
      </c>
      <c r="I117" s="19">
        <v>1.0</v>
      </c>
      <c r="J117" s="19">
        <v>2.0</v>
      </c>
      <c r="K117" s="19">
        <v>0.0</v>
      </c>
      <c r="L117" s="19">
        <v>0.0</v>
      </c>
      <c r="M117" s="19">
        <v>0.0</v>
      </c>
      <c r="N117" s="19">
        <v>2.0</v>
      </c>
      <c r="O117" s="19">
        <v>0.0</v>
      </c>
      <c r="P117" s="19">
        <v>0.0</v>
      </c>
      <c r="Q117" s="19">
        <v>1.0</v>
      </c>
      <c r="R117" s="19">
        <v>3.0</v>
      </c>
      <c r="S117" s="19">
        <v>1.0</v>
      </c>
      <c r="T117" s="19">
        <v>2.0</v>
      </c>
      <c r="U117" s="19">
        <v>0.0</v>
      </c>
      <c r="V117" s="19">
        <v>0.0</v>
      </c>
      <c r="W117" s="19">
        <v>1.0</v>
      </c>
      <c r="X117" s="19">
        <v>0.0</v>
      </c>
      <c r="Y117" s="19">
        <v>2.0</v>
      </c>
      <c r="Z117" s="19">
        <v>0.0</v>
      </c>
      <c r="AA117" s="19">
        <v>1.0</v>
      </c>
      <c r="AB117" s="13">
        <f t="shared" ref="AB117:AB126" si="26">SUM(E117:AA117)</f>
        <v>19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2.0</v>
      </c>
      <c r="F118" s="19">
        <v>1.0</v>
      </c>
      <c r="G118" s="19">
        <v>0.0</v>
      </c>
      <c r="H118" s="19">
        <v>0.0</v>
      </c>
      <c r="I118" s="19">
        <v>0.0</v>
      </c>
      <c r="J118" s="19">
        <v>1.0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1.0</v>
      </c>
      <c r="X118" s="19">
        <v>0.0</v>
      </c>
      <c r="Y118" s="19">
        <v>0.0</v>
      </c>
      <c r="Z118" s="19">
        <v>2.0</v>
      </c>
      <c r="AA118" s="19">
        <v>0.0</v>
      </c>
      <c r="AB118" s="13">
        <f t="shared" si="26"/>
        <v>9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3">
        <f t="shared" si="26"/>
        <v>4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1.0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B127" si="27">SUM(E117:E126)</f>
        <v>2</v>
      </c>
      <c r="F127" s="13">
        <f t="shared" si="27"/>
        <v>3</v>
      </c>
      <c r="G127" s="13">
        <f t="shared" si="27"/>
        <v>1</v>
      </c>
      <c r="H127" s="13">
        <f t="shared" si="27"/>
        <v>0</v>
      </c>
      <c r="I127" s="13">
        <f t="shared" si="27"/>
        <v>2</v>
      </c>
      <c r="J127" s="13">
        <f t="shared" si="27"/>
        <v>3</v>
      </c>
      <c r="K127" s="13">
        <f t="shared" si="27"/>
        <v>1</v>
      </c>
      <c r="L127" s="13">
        <f t="shared" si="27"/>
        <v>0</v>
      </c>
      <c r="M127" s="13">
        <f t="shared" si="27"/>
        <v>0</v>
      </c>
      <c r="N127" s="13">
        <f t="shared" si="27"/>
        <v>2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3</v>
      </c>
      <c r="S127" s="13">
        <f t="shared" si="27"/>
        <v>1</v>
      </c>
      <c r="T127" s="13">
        <f t="shared" si="27"/>
        <v>3</v>
      </c>
      <c r="U127" s="13">
        <f t="shared" si="27"/>
        <v>1</v>
      </c>
      <c r="V127" s="13">
        <f t="shared" si="27"/>
        <v>0</v>
      </c>
      <c r="W127" s="13">
        <f t="shared" si="27"/>
        <v>3</v>
      </c>
      <c r="X127" s="13">
        <f t="shared" si="27"/>
        <v>0</v>
      </c>
      <c r="Y127" s="13">
        <f t="shared" si="27"/>
        <v>2</v>
      </c>
      <c r="Z127" s="13">
        <f t="shared" si="27"/>
        <v>3</v>
      </c>
      <c r="AA127" s="13">
        <f t="shared" si="27"/>
        <v>1</v>
      </c>
      <c r="AB127" s="13">
        <f t="shared" si="27"/>
        <v>33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0.0</v>
      </c>
      <c r="O129" s="19">
        <v>1.0</v>
      </c>
      <c r="P129" s="19">
        <v>0.0</v>
      </c>
      <c r="Q129" s="19">
        <v>2.0</v>
      </c>
      <c r="R129" s="19">
        <v>1.0</v>
      </c>
      <c r="S129" s="19">
        <v>0.0</v>
      </c>
      <c r="T129" s="19">
        <v>1.0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3">
        <f t="shared" ref="AB129:AB138" si="28">SUM(E129:AA129)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4.0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6.0</v>
      </c>
      <c r="O130" s="19">
        <v>1.0</v>
      </c>
      <c r="P130" s="19">
        <v>1.0</v>
      </c>
      <c r="Q130" s="19">
        <v>6.0</v>
      </c>
      <c r="R130" s="19">
        <v>3.0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3">
        <f t="shared" si="28"/>
        <v>23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1.0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29">SUM(E129:E138)</f>
        <v>5</v>
      </c>
      <c r="F139" s="13">
        <f t="shared" si="29"/>
        <v>2</v>
      </c>
      <c r="G139" s="13">
        <f t="shared" si="29"/>
        <v>3</v>
      </c>
      <c r="H139" s="13">
        <f t="shared" si="29"/>
        <v>0</v>
      </c>
      <c r="I139" s="13">
        <f t="shared" si="29"/>
        <v>0</v>
      </c>
      <c r="J139" s="13">
        <f t="shared" si="29"/>
        <v>2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6</v>
      </c>
      <c r="O139" s="13">
        <f t="shared" si="29"/>
        <v>3</v>
      </c>
      <c r="P139" s="13">
        <f t="shared" si="29"/>
        <v>1</v>
      </c>
      <c r="Q139" s="13">
        <f t="shared" si="29"/>
        <v>8</v>
      </c>
      <c r="R139" s="13">
        <f t="shared" si="29"/>
        <v>4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35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2.0</v>
      </c>
      <c r="G141" s="19">
        <v>0.0</v>
      </c>
      <c r="H141" s="19">
        <v>1.0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50" si="30">SUM(E141:AA141)</f>
        <v>4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1.0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1.0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1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B151" si="31">SUM(E141:E150)</f>
        <v>0</v>
      </c>
      <c r="F151" s="13">
        <f t="shared" si="31"/>
        <v>2</v>
      </c>
      <c r="G151" s="13">
        <f t="shared" si="31"/>
        <v>0</v>
      </c>
      <c r="H151" s="13">
        <f t="shared" si="31"/>
        <v>1</v>
      </c>
      <c r="I151" s="13">
        <f t="shared" si="31"/>
        <v>1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6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ref="AB153:AB162" si="32">SUM(E153:AA153)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1.0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32"/>
        <v>3</v>
      </c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2.0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3">
        <f t="shared" si="32"/>
        <v>3</v>
      </c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1.0</v>
      </c>
      <c r="J157" s="19">
        <v>0.0</v>
      </c>
      <c r="K157" s="19">
        <v>0.0</v>
      </c>
      <c r="L157" s="19">
        <v>1.0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32"/>
        <v>2</v>
      </c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3">
        <f t="shared" si="32"/>
        <v>0</v>
      </c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3">
        <f t="shared" si="32"/>
        <v>0</v>
      </c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32"/>
        <v>0</v>
      </c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2"/>
        <v>0</v>
      </c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B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2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10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1.0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4" si="34">SUM(E165:AA165)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1.0</v>
      </c>
      <c r="Z166" s="19">
        <v>0.0</v>
      </c>
      <c r="AA166" s="19">
        <v>0.0</v>
      </c>
      <c r="AB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1.0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3">
        <f t="shared" ref="AB177:AB186" si="36">SUM(E177:AA177)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2.0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36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3">
        <f t="shared" si="36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7">SUM(E177:E186)</f>
        <v>2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0</v>
      </c>
      <c r="Q187" s="13">
        <f t="shared" si="37"/>
        <v>2</v>
      </c>
      <c r="R187" s="13">
        <f t="shared" si="37"/>
        <v>0</v>
      </c>
      <c r="S187" s="13">
        <f t="shared" si="37"/>
        <v>2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2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14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R188" s="79"/>
      <c r="S188" s="79"/>
      <c r="T188" s="79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3">
        <f t="shared" ref="AB189:AB198" si="38">SUM(E189:AA189)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1.0</v>
      </c>
      <c r="Z194" s="19">
        <v>0.0</v>
      </c>
      <c r="AA194" s="19">
        <v>0.0</v>
      </c>
      <c r="AB194" s="13">
        <f t="shared" si="38"/>
        <v>2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1.0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1.0</v>
      </c>
      <c r="Z196" s="19">
        <v>0.0</v>
      </c>
      <c r="AA196" s="19">
        <v>0.0</v>
      </c>
      <c r="AB196" s="13">
        <f t="shared" si="38"/>
        <v>2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1</v>
      </c>
      <c r="AB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2.0</v>
      </c>
      <c r="G201" s="19">
        <v>3.0</v>
      </c>
      <c r="H201" s="19">
        <v>1.0</v>
      </c>
      <c r="I201" s="19">
        <v>4.0</v>
      </c>
      <c r="J201" s="19">
        <v>6.0</v>
      </c>
      <c r="K201" s="19">
        <v>3.0</v>
      </c>
      <c r="L201" s="19">
        <v>5.0</v>
      </c>
      <c r="M201" s="19">
        <v>1.0</v>
      </c>
      <c r="N201" s="19">
        <v>4.0</v>
      </c>
      <c r="O201" s="19">
        <v>0.0</v>
      </c>
      <c r="P201" s="19">
        <v>0.0</v>
      </c>
      <c r="Q201" s="19">
        <v>6.0</v>
      </c>
      <c r="R201" s="19">
        <v>7.0</v>
      </c>
      <c r="S201" s="19">
        <v>0.0</v>
      </c>
      <c r="T201" s="19">
        <v>0.0</v>
      </c>
      <c r="U201" s="19">
        <v>0.0</v>
      </c>
      <c r="V201" s="19">
        <v>1.0</v>
      </c>
      <c r="W201" s="19">
        <v>0.0</v>
      </c>
      <c r="X201" s="19">
        <v>0.0</v>
      </c>
      <c r="Y201" s="19">
        <v>5.0</v>
      </c>
      <c r="Z201" s="19">
        <v>6.0</v>
      </c>
      <c r="AA201" s="19">
        <v>2.0</v>
      </c>
      <c r="AB201" s="13">
        <f t="shared" ref="AB201:AB207" si="40">SUM(E201:AA201)</f>
        <v>61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2.0</v>
      </c>
      <c r="G202" s="19">
        <v>3.0</v>
      </c>
      <c r="H202" s="19">
        <v>0.0</v>
      </c>
      <c r="I202" s="19">
        <v>3.0</v>
      </c>
      <c r="J202" s="19">
        <v>6.0</v>
      </c>
      <c r="K202" s="19">
        <v>3.0</v>
      </c>
      <c r="L202" s="19">
        <v>1.0</v>
      </c>
      <c r="M202" s="19">
        <v>0.0</v>
      </c>
      <c r="N202" s="19">
        <v>5.0</v>
      </c>
      <c r="O202" s="19">
        <v>1.0</v>
      </c>
      <c r="P202" s="19">
        <v>3.0</v>
      </c>
      <c r="Q202" s="19">
        <v>7.0</v>
      </c>
      <c r="R202" s="19">
        <v>14.0</v>
      </c>
      <c r="S202" s="19">
        <v>1.0</v>
      </c>
      <c r="T202" s="19">
        <v>0.0</v>
      </c>
      <c r="U202" s="19">
        <v>2.0</v>
      </c>
      <c r="V202" s="19">
        <v>1.0</v>
      </c>
      <c r="W202" s="19">
        <v>2.0</v>
      </c>
      <c r="X202" s="19">
        <v>4.0</v>
      </c>
      <c r="Y202" s="19">
        <v>49.0</v>
      </c>
      <c r="Z202" s="19">
        <v>4.0</v>
      </c>
      <c r="AA202" s="19">
        <v>13.0</v>
      </c>
      <c r="AB202" s="13">
        <f t="shared" si="40"/>
        <v>126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1.0</v>
      </c>
      <c r="G203" s="19">
        <v>2.0</v>
      </c>
      <c r="H203" s="19">
        <v>0.0</v>
      </c>
      <c r="I203" s="19">
        <v>1.0</v>
      </c>
      <c r="J203" s="19">
        <v>1.0</v>
      </c>
      <c r="K203" s="19">
        <v>0.0</v>
      </c>
      <c r="L203" s="19">
        <v>0.0</v>
      </c>
      <c r="M203" s="19">
        <v>0.0</v>
      </c>
      <c r="N203" s="19">
        <v>0.0</v>
      </c>
      <c r="O203" s="19">
        <v>1.0</v>
      </c>
      <c r="P203" s="19">
        <v>1.0</v>
      </c>
      <c r="Q203" s="19">
        <v>2.0</v>
      </c>
      <c r="R203" s="19">
        <v>1.0</v>
      </c>
      <c r="S203" s="19">
        <v>0.0</v>
      </c>
      <c r="T203" s="19">
        <v>0.0</v>
      </c>
      <c r="U203" s="19">
        <v>0.0</v>
      </c>
      <c r="V203" s="19">
        <v>1.0</v>
      </c>
      <c r="W203" s="19">
        <v>0.0</v>
      </c>
      <c r="X203" s="19">
        <v>1.0</v>
      </c>
      <c r="Y203" s="19">
        <v>2.0</v>
      </c>
      <c r="Z203" s="19">
        <v>0.0</v>
      </c>
      <c r="AA203" s="19">
        <v>1.0</v>
      </c>
      <c r="AB203" s="13">
        <f t="shared" si="40"/>
        <v>15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1.0</v>
      </c>
      <c r="H204" s="19">
        <v>0.0</v>
      </c>
      <c r="I204" s="19">
        <v>1.0</v>
      </c>
      <c r="J204" s="19">
        <v>1.0</v>
      </c>
      <c r="K204" s="19">
        <v>1.0</v>
      </c>
      <c r="L204" s="19">
        <v>0.0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3">
        <f t="shared" si="40"/>
        <v>7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1.0</v>
      </c>
      <c r="L205" s="19">
        <v>2.0</v>
      </c>
      <c r="M205" s="19">
        <v>0.0</v>
      </c>
      <c r="N205" s="19">
        <v>1.0</v>
      </c>
      <c r="O205" s="19">
        <v>4.0</v>
      </c>
      <c r="P205" s="19">
        <v>1.0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7.0</v>
      </c>
      <c r="Z205" s="19">
        <v>16.0</v>
      </c>
      <c r="AA205" s="19">
        <v>2.0</v>
      </c>
      <c r="AB205" s="13">
        <f t="shared" si="40"/>
        <v>36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2.0</v>
      </c>
      <c r="AA206" s="19">
        <v>0.0</v>
      </c>
      <c r="AB206" s="13">
        <f t="shared" si="40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3" t="s">
        <v>253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ref="AB209:AB210" si="41">SUM(E209:AA209)</f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2">SUM(E201:E210)</f>
        <v>8</v>
      </c>
      <c r="F211" s="13">
        <f t="shared" si="42"/>
        <v>5</v>
      </c>
      <c r="G211" s="13">
        <f t="shared" si="42"/>
        <v>9</v>
      </c>
      <c r="H211" s="13">
        <f t="shared" si="42"/>
        <v>1</v>
      </c>
      <c r="I211" s="13">
        <f t="shared" si="42"/>
        <v>9</v>
      </c>
      <c r="J211" s="13">
        <f t="shared" si="42"/>
        <v>15</v>
      </c>
      <c r="K211" s="13">
        <f t="shared" si="42"/>
        <v>8</v>
      </c>
      <c r="L211" s="13">
        <f t="shared" si="42"/>
        <v>8</v>
      </c>
      <c r="M211" s="13">
        <f t="shared" si="42"/>
        <v>3</v>
      </c>
      <c r="N211" s="13">
        <f t="shared" si="42"/>
        <v>11</v>
      </c>
      <c r="O211" s="13">
        <f t="shared" si="42"/>
        <v>7</v>
      </c>
      <c r="P211" s="13">
        <f t="shared" si="42"/>
        <v>5</v>
      </c>
      <c r="Q211" s="13">
        <f t="shared" si="42"/>
        <v>16</v>
      </c>
      <c r="R211" s="13">
        <f t="shared" si="42"/>
        <v>23</v>
      </c>
      <c r="S211" s="13">
        <f t="shared" si="42"/>
        <v>2</v>
      </c>
      <c r="T211" s="13">
        <f t="shared" si="42"/>
        <v>0</v>
      </c>
      <c r="U211" s="13">
        <f t="shared" si="42"/>
        <v>2</v>
      </c>
      <c r="V211" s="13">
        <f t="shared" si="42"/>
        <v>3</v>
      </c>
      <c r="W211" s="13">
        <f t="shared" si="42"/>
        <v>2</v>
      </c>
      <c r="X211" s="13">
        <f t="shared" si="42"/>
        <v>5</v>
      </c>
      <c r="Y211" s="13">
        <f t="shared" si="42"/>
        <v>63</v>
      </c>
      <c r="Z211" s="13">
        <f t="shared" si="42"/>
        <v>28</v>
      </c>
      <c r="AA211" s="13">
        <f t="shared" si="42"/>
        <v>18</v>
      </c>
      <c r="AB211" s="13">
        <f t="shared" si="42"/>
        <v>248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1.0</v>
      </c>
      <c r="H213" s="19">
        <v>1.0</v>
      </c>
      <c r="I213" s="19">
        <v>0.0</v>
      </c>
      <c r="J213" s="19">
        <v>1.0</v>
      </c>
      <c r="K213" s="19">
        <v>2.0</v>
      </c>
      <c r="L213" s="19">
        <v>0.0</v>
      </c>
      <c r="M213" s="19">
        <v>2.0</v>
      </c>
      <c r="N213" s="19">
        <v>1.0</v>
      </c>
      <c r="O213" s="19">
        <v>0.0</v>
      </c>
      <c r="P213" s="19">
        <v>1.0</v>
      </c>
      <c r="Q213" s="19">
        <v>0.0</v>
      </c>
      <c r="R213" s="19">
        <v>1.0</v>
      </c>
      <c r="S213" s="19">
        <v>0.0</v>
      </c>
      <c r="T213" s="19">
        <v>1.0</v>
      </c>
      <c r="U213" s="19">
        <v>0.0</v>
      </c>
      <c r="V213" s="19">
        <v>3.0</v>
      </c>
      <c r="W213" s="19">
        <v>0.0</v>
      </c>
      <c r="X213" s="19">
        <v>1.0</v>
      </c>
      <c r="Y213" s="19">
        <v>1.0</v>
      </c>
      <c r="Z213" s="19">
        <v>2.0</v>
      </c>
      <c r="AA213" s="19">
        <v>0.0</v>
      </c>
      <c r="AB213" s="13">
        <f t="shared" ref="AB213:AB222" si="43">SUM(E213:AA213)</f>
        <v>19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2.0</v>
      </c>
      <c r="G214" s="19">
        <v>2.0</v>
      </c>
      <c r="H214" s="19">
        <v>0.0</v>
      </c>
      <c r="I214" s="19">
        <v>1.0</v>
      </c>
      <c r="J214" s="19">
        <v>3.0</v>
      </c>
      <c r="K214" s="19">
        <v>3.0</v>
      </c>
      <c r="L214" s="19">
        <v>1.0</v>
      </c>
      <c r="M214" s="19">
        <v>0.0</v>
      </c>
      <c r="N214" s="19">
        <v>0.0</v>
      </c>
      <c r="O214" s="19">
        <v>1.0</v>
      </c>
      <c r="P214" s="19">
        <v>1.0</v>
      </c>
      <c r="Q214" s="19">
        <v>1.0</v>
      </c>
      <c r="R214" s="19">
        <v>1.0</v>
      </c>
      <c r="S214" s="19">
        <v>0.0</v>
      </c>
      <c r="T214" s="19">
        <v>0.0</v>
      </c>
      <c r="U214" s="19">
        <v>0.0</v>
      </c>
      <c r="V214" s="19">
        <v>1.0</v>
      </c>
      <c r="W214" s="19">
        <v>1.0</v>
      </c>
      <c r="X214" s="19">
        <v>0.0</v>
      </c>
      <c r="Y214" s="19">
        <v>1.0</v>
      </c>
      <c r="Z214" s="19">
        <v>0.0</v>
      </c>
      <c r="AA214" s="19">
        <v>1.0</v>
      </c>
      <c r="AB214" s="13">
        <f t="shared" si="43"/>
        <v>21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9.0</v>
      </c>
      <c r="F215" s="19">
        <v>5.0</v>
      </c>
      <c r="G215" s="19">
        <v>3.0</v>
      </c>
      <c r="H215" s="19">
        <v>2.0</v>
      </c>
      <c r="I215" s="19">
        <v>0.0</v>
      </c>
      <c r="J215" s="19">
        <v>1.0</v>
      </c>
      <c r="K215" s="19">
        <v>0.0</v>
      </c>
      <c r="L215" s="19">
        <v>0.0</v>
      </c>
      <c r="M215" s="19">
        <v>0.0</v>
      </c>
      <c r="N215" s="19">
        <v>1.0</v>
      </c>
      <c r="O215" s="19">
        <v>0.0</v>
      </c>
      <c r="P215" s="19">
        <v>7.0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1.0</v>
      </c>
      <c r="Y215" s="19">
        <v>0.0</v>
      </c>
      <c r="Z215" s="19">
        <v>0.0</v>
      </c>
      <c r="AA215" s="19">
        <v>0.0</v>
      </c>
      <c r="AB215" s="13">
        <f t="shared" si="43"/>
        <v>29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43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3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2.0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3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4">SUM(E213:E222)</f>
        <v>11</v>
      </c>
      <c r="F223" s="13">
        <f t="shared" si="44"/>
        <v>7</v>
      </c>
      <c r="G223" s="13">
        <f t="shared" si="44"/>
        <v>6</v>
      </c>
      <c r="H223" s="13">
        <f t="shared" si="44"/>
        <v>5</v>
      </c>
      <c r="I223" s="13">
        <f t="shared" si="44"/>
        <v>1</v>
      </c>
      <c r="J223" s="13">
        <f t="shared" si="44"/>
        <v>5</v>
      </c>
      <c r="K223" s="13">
        <f t="shared" si="44"/>
        <v>5</v>
      </c>
      <c r="L223" s="13">
        <f t="shared" si="44"/>
        <v>2</v>
      </c>
      <c r="M223" s="13">
        <f t="shared" si="44"/>
        <v>2</v>
      </c>
      <c r="N223" s="13">
        <f t="shared" si="44"/>
        <v>3</v>
      </c>
      <c r="O223" s="13">
        <f t="shared" si="44"/>
        <v>2</v>
      </c>
      <c r="P223" s="13">
        <f t="shared" si="44"/>
        <v>9</v>
      </c>
      <c r="Q223" s="13">
        <f t="shared" si="44"/>
        <v>2</v>
      </c>
      <c r="R223" s="13">
        <f t="shared" si="44"/>
        <v>2</v>
      </c>
      <c r="S223" s="13">
        <f t="shared" si="44"/>
        <v>0</v>
      </c>
      <c r="T223" s="13">
        <f t="shared" si="44"/>
        <v>1</v>
      </c>
      <c r="U223" s="13">
        <f t="shared" si="44"/>
        <v>0</v>
      </c>
      <c r="V223" s="13">
        <f t="shared" si="44"/>
        <v>4</v>
      </c>
      <c r="W223" s="13">
        <f t="shared" si="44"/>
        <v>1</v>
      </c>
      <c r="X223" s="13">
        <f t="shared" si="44"/>
        <v>2</v>
      </c>
      <c r="Y223" s="13">
        <f t="shared" si="44"/>
        <v>2</v>
      </c>
      <c r="Z223" s="13">
        <f t="shared" si="44"/>
        <v>2</v>
      </c>
      <c r="AA223" s="13">
        <f t="shared" si="44"/>
        <v>1</v>
      </c>
      <c r="AB223" s="13">
        <f t="shared" si="44"/>
        <v>75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1.0</v>
      </c>
      <c r="S225" s="19">
        <v>0.0</v>
      </c>
      <c r="T225" s="19">
        <v>0.0</v>
      </c>
      <c r="U225" s="19">
        <v>0.0</v>
      </c>
      <c r="V225" s="19">
        <v>0.0</v>
      </c>
      <c r="W225" s="19">
        <v>1.0</v>
      </c>
      <c r="X225" s="19"/>
      <c r="Y225" s="19">
        <v>0.0</v>
      </c>
      <c r="Z225" s="19">
        <v>0.0</v>
      </c>
      <c r="AA225" s="19">
        <v>0.0</v>
      </c>
      <c r="AB225" s="13">
        <f t="shared" ref="AB225:AB234" si="45">SUM(E225:AA225)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2.0</v>
      </c>
      <c r="J226" s="19">
        <v>0.0</v>
      </c>
      <c r="K226" s="19">
        <v>2.0</v>
      </c>
      <c r="L226" s="19">
        <v>0.0</v>
      </c>
      <c r="M226" s="19">
        <v>0.0</v>
      </c>
      <c r="N226" s="19">
        <v>1.0</v>
      </c>
      <c r="O226" s="19">
        <v>0.0</v>
      </c>
      <c r="P226" s="19">
        <v>0.0</v>
      </c>
      <c r="Q226" s="19">
        <v>0.0</v>
      </c>
      <c r="R226" s="19">
        <v>2.0</v>
      </c>
      <c r="S226" s="19">
        <v>0.0</v>
      </c>
      <c r="T226" s="19">
        <v>9.0</v>
      </c>
      <c r="U226" s="19">
        <v>19.0</v>
      </c>
      <c r="V226" s="19">
        <v>1.0</v>
      </c>
      <c r="W226" s="19">
        <v>2.0</v>
      </c>
      <c r="X226" s="19"/>
      <c r="Y226" s="19">
        <v>0.0</v>
      </c>
      <c r="Z226" s="19">
        <v>0.0</v>
      </c>
      <c r="AA226" s="19">
        <v>0.0</v>
      </c>
      <c r="AB226" s="13">
        <f t="shared" si="45"/>
        <v>38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/>
      <c r="Y227" s="19">
        <v>0.0</v>
      </c>
      <c r="Z227" s="19">
        <v>0.0</v>
      </c>
      <c r="AA227" s="19">
        <v>0.0</v>
      </c>
      <c r="AB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1.0</v>
      </c>
      <c r="V228" s="19">
        <v>0.0</v>
      </c>
      <c r="W228" s="19">
        <v>0.0</v>
      </c>
      <c r="X228" s="19"/>
      <c r="Y228" s="19">
        <v>0.0</v>
      </c>
      <c r="Z228" s="19">
        <v>0.0</v>
      </c>
      <c r="AA228" s="19">
        <v>0.0</v>
      </c>
      <c r="AB228" s="13">
        <f t="shared" si="45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/>
      <c r="Y229" s="19">
        <v>0.0</v>
      </c>
      <c r="Z229" s="19">
        <v>0.0</v>
      </c>
      <c r="AA229" s="19">
        <v>0.0</v>
      </c>
      <c r="AB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/>
      <c r="Y230" s="19">
        <v>0.0</v>
      </c>
      <c r="Z230" s="19">
        <v>0.0</v>
      </c>
      <c r="AA230" s="19">
        <v>0.0</v>
      </c>
      <c r="AB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1.0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/>
      <c r="Y231" s="19">
        <v>0.0</v>
      </c>
      <c r="Z231" s="19">
        <v>0.0</v>
      </c>
      <c r="AA231" s="19">
        <v>0.0</v>
      </c>
      <c r="AB231" s="13">
        <f t="shared" si="45"/>
        <v>1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/>
      <c r="Y232" s="19">
        <v>0.0</v>
      </c>
      <c r="Z232" s="19">
        <v>0.0</v>
      </c>
      <c r="AA232" s="19">
        <v>0.0</v>
      </c>
      <c r="AB232" s="13">
        <f t="shared" si="45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6">SUM(E225:E234)</f>
        <v>0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2</v>
      </c>
      <c r="J235" s="13">
        <f t="shared" si="46"/>
        <v>0</v>
      </c>
      <c r="K235" s="13">
        <f t="shared" si="46"/>
        <v>2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1</v>
      </c>
      <c r="R235" s="13">
        <f t="shared" si="46"/>
        <v>4</v>
      </c>
      <c r="S235" s="13">
        <f t="shared" si="46"/>
        <v>1</v>
      </c>
      <c r="T235" s="13">
        <f t="shared" si="46"/>
        <v>9</v>
      </c>
      <c r="U235" s="13">
        <f t="shared" si="46"/>
        <v>20</v>
      </c>
      <c r="V235" s="13">
        <f t="shared" si="46"/>
        <v>1</v>
      </c>
      <c r="W235" s="13">
        <f t="shared" si="46"/>
        <v>3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45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3.0</v>
      </c>
      <c r="F237" s="19">
        <v>0.0</v>
      </c>
      <c r="G237" s="19">
        <v>2.0</v>
      </c>
      <c r="H237" s="19">
        <v>1.0</v>
      </c>
      <c r="I237" s="19">
        <v>3.0</v>
      </c>
      <c r="J237" s="19">
        <v>2.0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1.0</v>
      </c>
      <c r="Q237" s="19">
        <v>0.0</v>
      </c>
      <c r="R237" s="19">
        <v>0.0</v>
      </c>
      <c r="S237" s="19">
        <v>0.0</v>
      </c>
      <c r="T237" s="19">
        <v>0.0</v>
      </c>
      <c r="U237" s="19">
        <v>1.0</v>
      </c>
      <c r="V237" s="19">
        <v>1.0</v>
      </c>
      <c r="W237" s="19">
        <v>1.0</v>
      </c>
      <c r="X237" s="19">
        <v>0.0</v>
      </c>
      <c r="Y237" s="19">
        <v>1.0</v>
      </c>
      <c r="Z237" s="19">
        <v>0.0</v>
      </c>
      <c r="AA237" s="19">
        <v>0.0</v>
      </c>
      <c r="AB237" s="13">
        <f t="shared" ref="AB237:AB246" si="47">SUM(E237:AA237)</f>
        <v>18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0.0</v>
      </c>
      <c r="G238" s="19">
        <v>1.0</v>
      </c>
      <c r="H238" s="19">
        <v>0.0</v>
      </c>
      <c r="I238" s="19">
        <v>2.0</v>
      </c>
      <c r="J238" s="19">
        <v>1.0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1.0</v>
      </c>
      <c r="U238" s="19">
        <v>0.0</v>
      </c>
      <c r="V238" s="19">
        <v>0.0</v>
      </c>
      <c r="W238" s="19">
        <v>0.0</v>
      </c>
      <c r="X238" s="19">
        <v>0.0</v>
      </c>
      <c r="Y238" s="19">
        <v>2.0</v>
      </c>
      <c r="Z238" s="19">
        <v>0.0</v>
      </c>
      <c r="AA238" s="19">
        <v>3.0</v>
      </c>
      <c r="AB238" s="13">
        <f t="shared" si="47"/>
        <v>14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2.0</v>
      </c>
      <c r="F239" s="19">
        <v>0.0</v>
      </c>
      <c r="G239" s="19">
        <v>1.0</v>
      </c>
      <c r="H239" s="19">
        <v>0.0</v>
      </c>
      <c r="I239" s="19">
        <v>0.0</v>
      </c>
      <c r="J239" s="19">
        <v>1.0</v>
      </c>
      <c r="K239" s="19">
        <v>1.0</v>
      </c>
      <c r="L239" s="19">
        <v>0.0</v>
      </c>
      <c r="M239" s="19">
        <v>1.0</v>
      </c>
      <c r="N239" s="19">
        <v>0.0</v>
      </c>
      <c r="O239" s="19">
        <v>1.0</v>
      </c>
      <c r="P239" s="19">
        <v>0.0</v>
      </c>
      <c r="Q239" s="19">
        <v>2.0</v>
      </c>
      <c r="R239" s="19">
        <v>0.0</v>
      </c>
      <c r="S239" s="19">
        <v>0.0</v>
      </c>
      <c r="T239" s="19">
        <v>2.0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1.0</v>
      </c>
      <c r="AA239" s="19">
        <v>1.0</v>
      </c>
      <c r="AB239" s="13">
        <f t="shared" si="47"/>
        <v>13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2.0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47"/>
        <v>3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3">
        <f t="shared" si="47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7"/>
        <v>4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1.0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7"/>
        <v>4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2.0</v>
      </c>
      <c r="F244" s="19">
        <v>15.0</v>
      </c>
      <c r="G244" s="19">
        <v>29.0</v>
      </c>
      <c r="H244" s="19">
        <v>34.0</v>
      </c>
      <c r="I244" s="19">
        <v>64.0</v>
      </c>
      <c r="J244" s="19">
        <v>14.0</v>
      </c>
      <c r="K244" s="19">
        <v>11.0</v>
      </c>
      <c r="L244" s="19">
        <v>20.0</v>
      </c>
      <c r="M244" s="19">
        <v>46.0</v>
      </c>
      <c r="N244" s="19">
        <v>2.0</v>
      </c>
      <c r="O244" s="19">
        <v>4.0</v>
      </c>
      <c r="P244" s="19">
        <v>1.0</v>
      </c>
      <c r="Q244" s="19">
        <v>4.0</v>
      </c>
      <c r="R244" s="19">
        <v>16.0</v>
      </c>
      <c r="S244" s="19">
        <v>6.0</v>
      </c>
      <c r="T244" s="19">
        <v>6.0</v>
      </c>
      <c r="U244" s="19">
        <v>1.0</v>
      </c>
      <c r="V244" s="19">
        <v>4.0</v>
      </c>
      <c r="W244" s="19">
        <v>8.0</v>
      </c>
      <c r="X244" s="19">
        <v>2.0</v>
      </c>
      <c r="Y244" s="19">
        <v>10.0</v>
      </c>
      <c r="Z244" s="19">
        <v>14.0</v>
      </c>
      <c r="AA244" s="19">
        <v>2.0</v>
      </c>
      <c r="AB244" s="13">
        <f t="shared" si="47"/>
        <v>315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8">SUM(E237:E246)</f>
        <v>10</v>
      </c>
      <c r="F247" s="13">
        <f t="shared" si="48"/>
        <v>15</v>
      </c>
      <c r="G247" s="13">
        <f t="shared" si="48"/>
        <v>35</v>
      </c>
      <c r="H247" s="13">
        <f t="shared" si="48"/>
        <v>35</v>
      </c>
      <c r="I247" s="13">
        <f t="shared" si="48"/>
        <v>69</v>
      </c>
      <c r="J247" s="13">
        <f t="shared" si="48"/>
        <v>22</v>
      </c>
      <c r="K247" s="13">
        <f t="shared" si="48"/>
        <v>13</v>
      </c>
      <c r="L247" s="13">
        <f t="shared" si="48"/>
        <v>21</v>
      </c>
      <c r="M247" s="13">
        <f t="shared" si="48"/>
        <v>48</v>
      </c>
      <c r="N247" s="13">
        <f t="shared" si="48"/>
        <v>4</v>
      </c>
      <c r="O247" s="13">
        <f t="shared" si="48"/>
        <v>5</v>
      </c>
      <c r="P247" s="13">
        <f t="shared" si="48"/>
        <v>2</v>
      </c>
      <c r="Q247" s="13">
        <f t="shared" si="48"/>
        <v>6</v>
      </c>
      <c r="R247" s="13">
        <f t="shared" si="48"/>
        <v>17</v>
      </c>
      <c r="S247" s="13">
        <f t="shared" si="48"/>
        <v>7</v>
      </c>
      <c r="T247" s="13">
        <f t="shared" si="48"/>
        <v>10</v>
      </c>
      <c r="U247" s="13">
        <f t="shared" si="48"/>
        <v>2</v>
      </c>
      <c r="V247" s="13">
        <f t="shared" si="48"/>
        <v>6</v>
      </c>
      <c r="W247" s="13">
        <f t="shared" si="48"/>
        <v>9</v>
      </c>
      <c r="X247" s="13">
        <f t="shared" si="48"/>
        <v>2</v>
      </c>
      <c r="Y247" s="13">
        <f t="shared" si="48"/>
        <v>14</v>
      </c>
      <c r="Z247" s="13">
        <f t="shared" si="48"/>
        <v>15</v>
      </c>
      <c r="AA247" s="13">
        <f t="shared" si="48"/>
        <v>6</v>
      </c>
      <c r="AB247" s="13">
        <f t="shared" si="48"/>
        <v>373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3">
        <f t="shared" ref="AB249:AB258" si="49">SUM(E249:AA249)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1.0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9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1.0</v>
      </c>
      <c r="Z251" s="19">
        <v>0.0</v>
      </c>
      <c r="AA251" s="19">
        <v>0.0</v>
      </c>
      <c r="AB251" s="13">
        <f t="shared" si="49"/>
        <v>2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9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9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1.0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1.0</v>
      </c>
      <c r="W254" s="19">
        <v>0.0</v>
      </c>
      <c r="X254" s="19">
        <v>1.0</v>
      </c>
      <c r="Y254" s="19">
        <v>0.0</v>
      </c>
      <c r="Z254" s="19">
        <v>0.0</v>
      </c>
      <c r="AA254" s="19">
        <v>0.0</v>
      </c>
      <c r="AB254" s="13">
        <f t="shared" si="49"/>
        <v>3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1.0</v>
      </c>
      <c r="K255" s="19">
        <v>1.0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9"/>
        <v>3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9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9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50">SUM(E249:E258)</f>
        <v>0</v>
      </c>
      <c r="F259" s="13">
        <f t="shared" si="50"/>
        <v>0</v>
      </c>
      <c r="G259" s="13">
        <f t="shared" si="50"/>
        <v>1</v>
      </c>
      <c r="H259" s="13">
        <f t="shared" si="50"/>
        <v>1</v>
      </c>
      <c r="I259" s="13">
        <f t="shared" si="50"/>
        <v>0</v>
      </c>
      <c r="J259" s="13">
        <f t="shared" si="50"/>
        <v>1</v>
      </c>
      <c r="K259" s="13">
        <f t="shared" si="50"/>
        <v>1</v>
      </c>
      <c r="L259" s="13">
        <f t="shared" si="50"/>
        <v>1</v>
      </c>
      <c r="M259" s="13">
        <f t="shared" si="50"/>
        <v>0</v>
      </c>
      <c r="N259" s="13">
        <f t="shared" si="50"/>
        <v>2</v>
      </c>
      <c r="O259" s="13">
        <f t="shared" si="50"/>
        <v>1</v>
      </c>
      <c r="P259" s="13">
        <f t="shared" si="50"/>
        <v>1</v>
      </c>
      <c r="Q259" s="13">
        <f t="shared" si="50"/>
        <v>1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1</v>
      </c>
      <c r="W259" s="13">
        <f t="shared" si="50"/>
        <v>0</v>
      </c>
      <c r="X259" s="13">
        <f t="shared" si="50"/>
        <v>1</v>
      </c>
      <c r="Y259" s="13">
        <f t="shared" si="50"/>
        <v>1</v>
      </c>
      <c r="Z259" s="13">
        <f t="shared" si="50"/>
        <v>0</v>
      </c>
      <c r="AA259" s="13">
        <f t="shared" si="50"/>
        <v>1</v>
      </c>
      <c r="AB259" s="13">
        <f t="shared" si="50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  <c r="S261" s="13"/>
      <c r="T261" s="78"/>
      <c r="U261" s="78"/>
      <c r="V261" s="78"/>
      <c r="W261" s="78"/>
      <c r="X261" s="78"/>
      <c r="Y261" s="78"/>
      <c r="Z261" s="78"/>
      <c r="AA261" s="78"/>
      <c r="AB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A262" si="51">E55+E67+E79+E91+E103+E115+E127+E139+E151+E163+E175+E187+E199+E211+E223+E235+E247+E259</f>
        <v>205</v>
      </c>
      <c r="F262" s="19">
        <f t="shared" si="51"/>
        <v>147</v>
      </c>
      <c r="G262" s="19">
        <f t="shared" si="51"/>
        <v>239</v>
      </c>
      <c r="H262" s="19">
        <f t="shared" si="51"/>
        <v>204</v>
      </c>
      <c r="I262" s="19">
        <f t="shared" si="51"/>
        <v>183</v>
      </c>
      <c r="J262" s="19">
        <f t="shared" si="51"/>
        <v>172</v>
      </c>
      <c r="K262" s="19">
        <f t="shared" si="51"/>
        <v>162</v>
      </c>
      <c r="L262" s="19">
        <f t="shared" si="51"/>
        <v>126</v>
      </c>
      <c r="M262" s="19">
        <f t="shared" si="51"/>
        <v>158</v>
      </c>
      <c r="N262" s="19">
        <f t="shared" si="51"/>
        <v>141</v>
      </c>
      <c r="O262" s="19">
        <f t="shared" si="51"/>
        <v>151</v>
      </c>
      <c r="P262" s="19">
        <f t="shared" si="51"/>
        <v>184</v>
      </c>
      <c r="Q262" s="19">
        <f t="shared" si="51"/>
        <v>211</v>
      </c>
      <c r="R262" s="19">
        <f t="shared" si="51"/>
        <v>207</v>
      </c>
      <c r="S262" s="19">
        <f t="shared" si="51"/>
        <v>152</v>
      </c>
      <c r="T262" s="19">
        <f t="shared" si="51"/>
        <v>170</v>
      </c>
      <c r="U262" s="19">
        <f t="shared" si="51"/>
        <v>138</v>
      </c>
      <c r="V262" s="19">
        <f t="shared" si="51"/>
        <v>151</v>
      </c>
      <c r="W262" s="19">
        <f t="shared" si="51"/>
        <v>146</v>
      </c>
      <c r="X262" s="19">
        <f t="shared" si="51"/>
        <v>131</v>
      </c>
      <c r="Y262" s="19">
        <f t="shared" si="51"/>
        <v>209</v>
      </c>
      <c r="Z262" s="19">
        <f t="shared" si="51"/>
        <v>154</v>
      </c>
      <c r="AA262" s="19">
        <f t="shared" si="51"/>
        <v>134</v>
      </c>
      <c r="AB262" s="13">
        <f t="shared" ref="AB262:AB264" si="52">SUM(E262:AA262)</f>
        <v>3875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19.0</v>
      </c>
      <c r="F263" s="19">
        <v>17.0</v>
      </c>
      <c r="G263" s="19">
        <v>8.0</v>
      </c>
      <c r="H263" s="19">
        <v>8.0</v>
      </c>
      <c r="I263" s="19">
        <v>18.0</v>
      </c>
      <c r="J263" s="19">
        <v>18.0</v>
      </c>
      <c r="K263" s="19">
        <v>34.0</v>
      </c>
      <c r="L263" s="19">
        <v>13.0</v>
      </c>
      <c r="M263" s="19">
        <v>15.0</v>
      </c>
      <c r="N263" s="19">
        <v>17.0</v>
      </c>
      <c r="O263" s="19">
        <v>12.0</v>
      </c>
      <c r="P263" s="19">
        <v>10.0</v>
      </c>
      <c r="Q263" s="19">
        <v>15.0</v>
      </c>
      <c r="R263" s="19">
        <v>15.0</v>
      </c>
      <c r="S263" s="19">
        <v>10.0</v>
      </c>
      <c r="T263" s="19">
        <v>14.0</v>
      </c>
      <c r="U263" s="19">
        <v>7.0</v>
      </c>
      <c r="V263" s="19">
        <v>17.0</v>
      </c>
      <c r="W263" s="19">
        <v>28.0</v>
      </c>
      <c r="X263" s="19">
        <v>28.0</v>
      </c>
      <c r="Y263" s="19">
        <v>13.0</v>
      </c>
      <c r="Z263" s="19">
        <v>24.0</v>
      </c>
      <c r="AA263" s="19">
        <v>23.0</v>
      </c>
      <c r="AB263" s="13">
        <f t="shared" si="52"/>
        <v>383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A264" si="53">SUM(E262:E263)</f>
        <v>224</v>
      </c>
      <c r="F264" s="13">
        <f t="shared" si="53"/>
        <v>164</v>
      </c>
      <c r="G264" s="13">
        <f t="shared" si="53"/>
        <v>247</v>
      </c>
      <c r="H264" s="13">
        <f t="shared" si="53"/>
        <v>212</v>
      </c>
      <c r="I264" s="13">
        <f t="shared" si="53"/>
        <v>201</v>
      </c>
      <c r="J264" s="13">
        <f t="shared" si="53"/>
        <v>190</v>
      </c>
      <c r="K264" s="13">
        <f t="shared" si="53"/>
        <v>196</v>
      </c>
      <c r="L264" s="13">
        <f t="shared" si="53"/>
        <v>139</v>
      </c>
      <c r="M264" s="13">
        <f t="shared" si="53"/>
        <v>173</v>
      </c>
      <c r="N264" s="13">
        <f t="shared" si="53"/>
        <v>158</v>
      </c>
      <c r="O264" s="13">
        <f t="shared" si="53"/>
        <v>163</v>
      </c>
      <c r="P264" s="13">
        <f t="shared" si="53"/>
        <v>194</v>
      </c>
      <c r="Q264" s="13">
        <f t="shared" si="53"/>
        <v>226</v>
      </c>
      <c r="R264" s="13">
        <f t="shared" si="53"/>
        <v>222</v>
      </c>
      <c r="S264" s="13">
        <f t="shared" si="53"/>
        <v>162</v>
      </c>
      <c r="T264" s="13">
        <f t="shared" si="53"/>
        <v>184</v>
      </c>
      <c r="U264" s="13">
        <f t="shared" si="53"/>
        <v>145</v>
      </c>
      <c r="V264" s="13">
        <f t="shared" si="53"/>
        <v>168</v>
      </c>
      <c r="W264" s="13">
        <f t="shared" si="53"/>
        <v>174</v>
      </c>
      <c r="X264" s="13">
        <f t="shared" si="53"/>
        <v>159</v>
      </c>
      <c r="Y264" s="13">
        <f t="shared" si="53"/>
        <v>222</v>
      </c>
      <c r="Z264" s="13">
        <f t="shared" si="53"/>
        <v>178</v>
      </c>
      <c r="AA264" s="13">
        <f t="shared" si="53"/>
        <v>157</v>
      </c>
      <c r="AB264" s="13">
        <f t="shared" si="52"/>
        <v>4258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15" width="8.71"/>
    <col customWidth="1" min="16" max="16" width="9.14"/>
    <col customWidth="1" min="17" max="27" width="8.71"/>
    <col customWidth="1" min="28" max="28" width="9.14"/>
    <col customWidth="1" min="29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C11" s="1"/>
      <c r="AD11" s="1"/>
      <c r="AE11" s="1"/>
      <c r="AF11" s="1"/>
      <c r="AG11" s="1"/>
      <c r="AH11" s="1"/>
      <c r="AI11" s="1"/>
      <c r="AJ11" s="1"/>
      <c r="AK11" s="2"/>
      <c r="AN11" s="1"/>
      <c r="AO11" s="1"/>
      <c r="AP11" s="1"/>
      <c r="A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224</v>
      </c>
      <c r="AB13" s="13" t="s">
        <v>225</v>
      </c>
      <c r="AC13" s="13" t="s">
        <v>226</v>
      </c>
      <c r="AD13" s="13" t="s">
        <v>227</v>
      </c>
      <c r="AE13" s="13" t="s">
        <v>228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13" t="s">
        <v>236</v>
      </c>
      <c r="AN13" s="13" t="s">
        <v>254</v>
      </c>
      <c r="AO13" s="13" t="s">
        <v>255</v>
      </c>
      <c r="AP13" s="13" t="s">
        <v>256</v>
      </c>
      <c r="AQ13" s="13" t="s">
        <v>257</v>
      </c>
      <c r="AR13" s="13" t="s">
        <v>258</v>
      </c>
      <c r="AS13" s="13" t="s">
        <v>259</v>
      </c>
      <c r="AT13" s="13" t="s">
        <v>260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123.0</v>
      </c>
      <c r="G14" s="19">
        <v>122.0</v>
      </c>
      <c r="H14" s="19">
        <v>122.0</v>
      </c>
      <c r="I14" s="19">
        <v>126.0</v>
      </c>
      <c r="J14" s="19">
        <v>124.0</v>
      </c>
      <c r="K14" s="19">
        <v>92.0</v>
      </c>
      <c r="L14" s="19">
        <v>89.0</v>
      </c>
      <c r="M14" s="19">
        <v>131.0</v>
      </c>
      <c r="N14" s="19">
        <v>135.0</v>
      </c>
      <c r="O14" s="19">
        <v>144.0</v>
      </c>
      <c r="P14" s="19">
        <v>99.0</v>
      </c>
      <c r="Q14" s="19">
        <v>110.0</v>
      </c>
      <c r="R14" s="19">
        <v>102.0</v>
      </c>
      <c r="S14" s="19">
        <v>125.0</v>
      </c>
      <c r="T14" s="19">
        <v>143.0</v>
      </c>
      <c r="U14" s="19">
        <v>102.0</v>
      </c>
      <c r="V14" s="19">
        <v>122.0</v>
      </c>
      <c r="W14" s="19">
        <v>140.0</v>
      </c>
      <c r="X14" s="19">
        <v>127.0</v>
      </c>
      <c r="Y14" s="19">
        <v>120.0</v>
      </c>
      <c r="Z14" s="19">
        <v>108.0</v>
      </c>
      <c r="AA14" s="19">
        <v>145.0</v>
      </c>
      <c r="AB14" s="19">
        <v>126.0</v>
      </c>
      <c r="AC14" s="19">
        <v>126.0</v>
      </c>
      <c r="AD14" s="19">
        <v>142.0</v>
      </c>
      <c r="AE14" s="19">
        <v>128.0</v>
      </c>
      <c r="AF14" s="19">
        <v>128.0</v>
      </c>
      <c r="AG14" s="19">
        <v>139.0</v>
      </c>
      <c r="AH14" s="19">
        <v>107.0</v>
      </c>
      <c r="AI14" s="19">
        <v>113.0</v>
      </c>
      <c r="AJ14" s="19">
        <v>110.0</v>
      </c>
      <c r="AK14" s="19">
        <v>123.0</v>
      </c>
      <c r="AL14" s="19">
        <v>121.0</v>
      </c>
      <c r="AM14" s="19">
        <v>123.0</v>
      </c>
      <c r="AN14" s="19">
        <v>123.0</v>
      </c>
      <c r="AO14" s="19">
        <v>121.0</v>
      </c>
      <c r="AP14" s="19">
        <v>134.0</v>
      </c>
      <c r="AQ14" s="19">
        <v>132.0</v>
      </c>
      <c r="AR14" s="19">
        <v>137.0</v>
      </c>
      <c r="AS14" s="19">
        <v>151.0</v>
      </c>
      <c r="AT14" s="19">
        <v>92.0</v>
      </c>
      <c r="AU14" s="13">
        <f t="shared" ref="AU14:AU16" si="1">SUM(E14:AT14)</f>
        <v>5159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137.0</v>
      </c>
      <c r="G15" s="19">
        <v>99.0</v>
      </c>
      <c r="H15" s="19">
        <v>127.0</v>
      </c>
      <c r="I15" s="19">
        <v>118.0</v>
      </c>
      <c r="J15" s="19">
        <v>128.0</v>
      </c>
      <c r="K15" s="19">
        <v>89.0</v>
      </c>
      <c r="L15" s="19">
        <v>85.0</v>
      </c>
      <c r="M15" s="19">
        <v>131.0</v>
      </c>
      <c r="N15" s="19">
        <v>127.0</v>
      </c>
      <c r="O15" s="19">
        <v>144.0</v>
      </c>
      <c r="P15" s="19">
        <v>96.0</v>
      </c>
      <c r="Q15" s="19">
        <v>117.0</v>
      </c>
      <c r="R15" s="19">
        <v>112.0</v>
      </c>
      <c r="S15" s="19">
        <v>126.0</v>
      </c>
      <c r="T15" s="19">
        <v>130.0</v>
      </c>
      <c r="U15" s="19">
        <v>104.0</v>
      </c>
      <c r="V15" s="19">
        <v>127.0</v>
      </c>
      <c r="W15" s="19">
        <v>146.0</v>
      </c>
      <c r="X15" s="19">
        <v>134.0</v>
      </c>
      <c r="Y15" s="19">
        <v>130.0</v>
      </c>
      <c r="Z15" s="19">
        <v>112.0</v>
      </c>
      <c r="AA15" s="19">
        <v>143.0</v>
      </c>
      <c r="AB15" s="19">
        <v>131.0</v>
      </c>
      <c r="AC15" s="19">
        <v>134.0</v>
      </c>
      <c r="AD15" s="19">
        <v>140.0</v>
      </c>
      <c r="AE15" s="19">
        <v>112.0</v>
      </c>
      <c r="AF15" s="19">
        <v>134.0</v>
      </c>
      <c r="AG15" s="19">
        <v>136.0</v>
      </c>
      <c r="AH15" s="19">
        <v>94.0</v>
      </c>
      <c r="AI15" s="19">
        <v>116.0</v>
      </c>
      <c r="AJ15" s="19">
        <v>104.0</v>
      </c>
      <c r="AK15" s="19">
        <v>138.0</v>
      </c>
      <c r="AL15" s="19">
        <v>117.0</v>
      </c>
      <c r="AM15" s="19">
        <v>115.0</v>
      </c>
      <c r="AN15" s="19">
        <v>109.0</v>
      </c>
      <c r="AO15" s="19">
        <v>123.0</v>
      </c>
      <c r="AP15" s="19">
        <v>129.0</v>
      </c>
      <c r="AQ15" s="19">
        <v>134.0</v>
      </c>
      <c r="AR15" s="19">
        <v>131.0</v>
      </c>
      <c r="AS15" s="19">
        <v>134.0</v>
      </c>
      <c r="AT15" s="19">
        <v>96.0</v>
      </c>
      <c r="AU15" s="13">
        <f t="shared" si="1"/>
        <v>5112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255</v>
      </c>
      <c r="F16" s="13">
        <f t="shared" si="2"/>
        <v>260</v>
      </c>
      <c r="G16" s="13">
        <f t="shared" si="2"/>
        <v>221</v>
      </c>
      <c r="H16" s="13">
        <f t="shared" si="2"/>
        <v>249</v>
      </c>
      <c r="I16" s="13">
        <f t="shared" si="2"/>
        <v>244</v>
      </c>
      <c r="J16" s="13">
        <f t="shared" si="2"/>
        <v>252</v>
      </c>
      <c r="K16" s="13">
        <f t="shared" si="2"/>
        <v>181</v>
      </c>
      <c r="L16" s="13">
        <f t="shared" si="2"/>
        <v>174</v>
      </c>
      <c r="M16" s="13">
        <f t="shared" si="2"/>
        <v>262</v>
      </c>
      <c r="N16" s="13">
        <f t="shared" si="2"/>
        <v>262</v>
      </c>
      <c r="O16" s="13">
        <f t="shared" si="2"/>
        <v>288</v>
      </c>
      <c r="P16" s="13">
        <f t="shared" si="2"/>
        <v>195</v>
      </c>
      <c r="Q16" s="13">
        <f t="shared" si="2"/>
        <v>227</v>
      </c>
      <c r="R16" s="13">
        <f t="shared" si="2"/>
        <v>214</v>
      </c>
      <c r="S16" s="13">
        <f t="shared" si="2"/>
        <v>251</v>
      </c>
      <c r="T16" s="13">
        <f t="shared" si="2"/>
        <v>273</v>
      </c>
      <c r="U16" s="13">
        <f t="shared" si="2"/>
        <v>206</v>
      </c>
      <c r="V16" s="13">
        <f t="shared" si="2"/>
        <v>249</v>
      </c>
      <c r="W16" s="13">
        <f t="shared" si="2"/>
        <v>286</v>
      </c>
      <c r="X16" s="13">
        <f t="shared" si="2"/>
        <v>261</v>
      </c>
      <c r="Y16" s="13">
        <f t="shared" si="2"/>
        <v>250</v>
      </c>
      <c r="Z16" s="13">
        <f t="shared" si="2"/>
        <v>220</v>
      </c>
      <c r="AA16" s="13">
        <f t="shared" si="2"/>
        <v>288</v>
      </c>
      <c r="AB16" s="13">
        <f t="shared" si="2"/>
        <v>257</v>
      </c>
      <c r="AC16" s="13">
        <f t="shared" si="2"/>
        <v>260</v>
      </c>
      <c r="AD16" s="13">
        <f t="shared" si="2"/>
        <v>282</v>
      </c>
      <c r="AE16" s="13">
        <f t="shared" si="2"/>
        <v>240</v>
      </c>
      <c r="AF16" s="13">
        <f t="shared" si="2"/>
        <v>262</v>
      </c>
      <c r="AG16" s="13">
        <f t="shared" si="2"/>
        <v>275</v>
      </c>
      <c r="AH16" s="13">
        <f t="shared" si="2"/>
        <v>201</v>
      </c>
      <c r="AI16" s="13">
        <f t="shared" si="2"/>
        <v>229</v>
      </c>
      <c r="AJ16" s="13">
        <f t="shared" si="2"/>
        <v>214</v>
      </c>
      <c r="AK16" s="13">
        <f t="shared" si="2"/>
        <v>261</v>
      </c>
      <c r="AL16" s="13">
        <f t="shared" si="2"/>
        <v>238</v>
      </c>
      <c r="AM16" s="13">
        <f t="shared" si="2"/>
        <v>238</v>
      </c>
      <c r="AN16" s="13">
        <f t="shared" si="2"/>
        <v>232</v>
      </c>
      <c r="AO16" s="13">
        <f t="shared" si="2"/>
        <v>244</v>
      </c>
      <c r="AP16" s="13">
        <f t="shared" si="2"/>
        <v>263</v>
      </c>
      <c r="AQ16" s="13">
        <f t="shared" si="2"/>
        <v>266</v>
      </c>
      <c r="AR16" s="13">
        <f t="shared" si="2"/>
        <v>268</v>
      </c>
      <c r="AS16" s="13">
        <f t="shared" si="2"/>
        <v>285</v>
      </c>
      <c r="AT16" s="13">
        <f t="shared" si="2"/>
        <v>188</v>
      </c>
      <c r="AU16" s="13">
        <f t="shared" si="1"/>
        <v>10271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19"/>
      <c r="R17" s="19"/>
      <c r="S17" s="19"/>
      <c r="T17" s="19"/>
      <c r="U17" s="19"/>
      <c r="V17" s="19"/>
      <c r="W17" s="19"/>
      <c r="X17" s="19"/>
      <c r="Y17" s="19"/>
      <c r="Z17" s="76"/>
      <c r="AA17" s="76"/>
      <c r="AB17" s="76"/>
      <c r="AC17" s="19"/>
      <c r="AD17" s="19"/>
      <c r="AE17" s="19"/>
      <c r="AF17" s="19"/>
      <c r="AG17" s="19"/>
      <c r="AH17" s="19"/>
      <c r="AI17" s="19"/>
      <c r="AJ17" s="19"/>
      <c r="AK17" s="76"/>
      <c r="AL17" s="76"/>
      <c r="AM17" s="76"/>
      <c r="AN17" s="19"/>
      <c r="AO17" s="19"/>
      <c r="AP17" s="19"/>
      <c r="AQ17" s="76"/>
      <c r="AR17" s="76"/>
      <c r="AS17" s="76"/>
      <c r="AT17" s="76"/>
      <c r="AU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19"/>
      <c r="R18" s="19"/>
      <c r="S18" s="19"/>
      <c r="T18" s="19"/>
      <c r="U18" s="19"/>
      <c r="V18" s="19"/>
      <c r="W18" s="19"/>
      <c r="X18" s="19"/>
      <c r="Y18" s="19"/>
      <c r="Z18" s="76"/>
      <c r="AA18" s="76"/>
      <c r="AB18" s="76"/>
      <c r="AC18" s="19"/>
      <c r="AD18" s="19"/>
      <c r="AE18" s="19"/>
      <c r="AF18" s="19"/>
      <c r="AG18" s="19"/>
      <c r="AH18" s="19"/>
      <c r="AI18" s="19"/>
      <c r="AJ18" s="19"/>
      <c r="AK18" s="76"/>
      <c r="AL18" s="76"/>
      <c r="AM18" s="76"/>
      <c r="AN18" s="19"/>
      <c r="AO18" s="19"/>
      <c r="AP18" s="19"/>
      <c r="AQ18" s="76"/>
      <c r="AR18" s="76"/>
      <c r="AS18" s="76"/>
      <c r="AT18" s="76"/>
      <c r="AU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91.0</v>
      </c>
      <c r="G19" s="19">
        <v>85.0</v>
      </c>
      <c r="H19" s="19">
        <v>103.0</v>
      </c>
      <c r="I19" s="19">
        <v>107.0</v>
      </c>
      <c r="J19" s="19">
        <v>102.0</v>
      </c>
      <c r="K19" s="19">
        <v>61.0</v>
      </c>
      <c r="L19" s="19">
        <v>67.0</v>
      </c>
      <c r="M19" s="19">
        <v>103.0</v>
      </c>
      <c r="N19" s="19">
        <v>113.0</v>
      </c>
      <c r="O19" s="19">
        <v>110.0</v>
      </c>
      <c r="P19" s="19">
        <v>83.0</v>
      </c>
      <c r="Q19" s="19">
        <v>79.0</v>
      </c>
      <c r="R19" s="19">
        <v>72.0</v>
      </c>
      <c r="S19" s="19">
        <v>76.0</v>
      </c>
      <c r="T19" s="19">
        <v>99.0</v>
      </c>
      <c r="U19" s="19">
        <v>74.0</v>
      </c>
      <c r="V19" s="19">
        <v>83.0</v>
      </c>
      <c r="W19" s="19">
        <v>105.0</v>
      </c>
      <c r="X19" s="19">
        <v>84.0</v>
      </c>
      <c r="Y19" s="19">
        <v>83.0</v>
      </c>
      <c r="Z19" s="19">
        <v>72.0</v>
      </c>
      <c r="AA19" s="19">
        <v>108.0</v>
      </c>
      <c r="AB19" s="19">
        <v>100.0</v>
      </c>
      <c r="AC19" s="19">
        <v>95.0</v>
      </c>
      <c r="AD19" s="19">
        <v>87.0</v>
      </c>
      <c r="AE19" s="19">
        <v>95.0</v>
      </c>
      <c r="AF19" s="19">
        <v>99.0</v>
      </c>
      <c r="AG19" s="19">
        <v>97.0</v>
      </c>
      <c r="AH19" s="19">
        <v>83.0</v>
      </c>
      <c r="AI19" s="19">
        <v>91.0</v>
      </c>
      <c r="AJ19" s="19">
        <v>81.0</v>
      </c>
      <c r="AK19" s="19">
        <v>99.0</v>
      </c>
      <c r="AL19" s="19">
        <v>90.0</v>
      </c>
      <c r="AM19" s="19">
        <v>88.0</v>
      </c>
      <c r="AN19" s="19">
        <v>96.0</v>
      </c>
      <c r="AO19" s="19">
        <v>86.0</v>
      </c>
      <c r="AP19" s="19">
        <v>91.0</v>
      </c>
      <c r="AQ19" s="19">
        <v>110.0</v>
      </c>
      <c r="AR19" s="19">
        <v>99.0</v>
      </c>
      <c r="AS19" s="19">
        <v>102.0</v>
      </c>
      <c r="AT19" s="19">
        <v>59.0</v>
      </c>
      <c r="AU19" s="13">
        <f t="shared" ref="AU19:AU30" si="3">SUM(E19:AT19)</f>
        <v>3813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113.0</v>
      </c>
      <c r="G20" s="19">
        <v>76.0</v>
      </c>
      <c r="H20" s="19">
        <v>115.0</v>
      </c>
      <c r="I20" s="19">
        <v>100.0</v>
      </c>
      <c r="J20" s="19">
        <v>106.0</v>
      </c>
      <c r="K20" s="19">
        <v>74.0</v>
      </c>
      <c r="L20" s="19">
        <v>72.0</v>
      </c>
      <c r="M20" s="19">
        <v>108.0</v>
      </c>
      <c r="N20" s="19">
        <v>112.0</v>
      </c>
      <c r="O20" s="19">
        <v>107.0</v>
      </c>
      <c r="P20" s="19">
        <v>84.0</v>
      </c>
      <c r="Q20" s="19">
        <v>97.0</v>
      </c>
      <c r="R20" s="19">
        <v>110.0</v>
      </c>
      <c r="S20" s="19">
        <v>103.0</v>
      </c>
      <c r="T20" s="19">
        <v>103.0</v>
      </c>
      <c r="U20" s="19">
        <v>79.0</v>
      </c>
      <c r="V20" s="19">
        <v>86.0</v>
      </c>
      <c r="W20" s="19">
        <v>107.0</v>
      </c>
      <c r="X20" s="19">
        <v>99.0</v>
      </c>
      <c r="Y20" s="19">
        <v>97.0</v>
      </c>
      <c r="Z20" s="19">
        <v>81.0</v>
      </c>
      <c r="AA20" s="19">
        <v>114.0</v>
      </c>
      <c r="AB20" s="19">
        <v>112.0</v>
      </c>
      <c r="AC20" s="19">
        <v>116.0</v>
      </c>
      <c r="AD20" s="19">
        <v>111.0</v>
      </c>
      <c r="AE20" s="19">
        <v>95.0</v>
      </c>
      <c r="AF20" s="19">
        <v>109.0</v>
      </c>
      <c r="AG20" s="19">
        <v>109.0</v>
      </c>
      <c r="AH20" s="19">
        <v>78.0</v>
      </c>
      <c r="AI20" s="19">
        <v>99.0</v>
      </c>
      <c r="AJ20" s="19">
        <v>87.0</v>
      </c>
      <c r="AK20" s="19">
        <v>101.0</v>
      </c>
      <c r="AL20" s="19">
        <v>100.0</v>
      </c>
      <c r="AM20" s="19">
        <v>95.0</v>
      </c>
      <c r="AN20" s="19">
        <v>88.0</v>
      </c>
      <c r="AO20" s="19">
        <v>98.0</v>
      </c>
      <c r="AP20" s="19">
        <v>105.0</v>
      </c>
      <c r="AQ20" s="19">
        <v>123.0</v>
      </c>
      <c r="AR20" s="19">
        <v>105.0</v>
      </c>
      <c r="AS20" s="19">
        <v>107.0</v>
      </c>
      <c r="AT20" s="19">
        <v>69.0</v>
      </c>
      <c r="AU20" s="13">
        <f t="shared" si="3"/>
        <v>4148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203</v>
      </c>
      <c r="F21" s="13">
        <f t="shared" si="4"/>
        <v>204</v>
      </c>
      <c r="G21" s="13">
        <f t="shared" si="4"/>
        <v>161</v>
      </c>
      <c r="H21" s="13">
        <f t="shared" si="4"/>
        <v>218</v>
      </c>
      <c r="I21" s="13">
        <f t="shared" si="4"/>
        <v>207</v>
      </c>
      <c r="J21" s="13">
        <f t="shared" si="4"/>
        <v>208</v>
      </c>
      <c r="K21" s="13">
        <f t="shared" si="4"/>
        <v>135</v>
      </c>
      <c r="L21" s="13">
        <f t="shared" si="4"/>
        <v>139</v>
      </c>
      <c r="M21" s="13">
        <f t="shared" si="4"/>
        <v>211</v>
      </c>
      <c r="N21" s="13">
        <f t="shared" si="4"/>
        <v>225</v>
      </c>
      <c r="O21" s="13">
        <f t="shared" si="4"/>
        <v>217</v>
      </c>
      <c r="P21" s="13">
        <f t="shared" si="4"/>
        <v>167</v>
      </c>
      <c r="Q21" s="13">
        <f t="shared" si="4"/>
        <v>176</v>
      </c>
      <c r="R21" s="13">
        <f t="shared" si="4"/>
        <v>182</v>
      </c>
      <c r="S21" s="13">
        <f t="shared" si="4"/>
        <v>179</v>
      </c>
      <c r="T21" s="13">
        <f t="shared" si="4"/>
        <v>202</v>
      </c>
      <c r="U21" s="13">
        <f t="shared" si="4"/>
        <v>153</v>
      </c>
      <c r="V21" s="13">
        <f t="shared" si="4"/>
        <v>169</v>
      </c>
      <c r="W21" s="13">
        <f t="shared" si="4"/>
        <v>212</v>
      </c>
      <c r="X21" s="13">
        <f t="shared" si="4"/>
        <v>183</v>
      </c>
      <c r="Y21" s="13">
        <f t="shared" si="4"/>
        <v>180</v>
      </c>
      <c r="Z21" s="13">
        <f t="shared" si="4"/>
        <v>153</v>
      </c>
      <c r="AA21" s="13">
        <f t="shared" si="4"/>
        <v>222</v>
      </c>
      <c r="AB21" s="13">
        <f t="shared" si="4"/>
        <v>212</v>
      </c>
      <c r="AC21" s="13">
        <f t="shared" si="4"/>
        <v>211</v>
      </c>
      <c r="AD21" s="13">
        <f t="shared" si="4"/>
        <v>198</v>
      </c>
      <c r="AE21" s="13">
        <f t="shared" si="4"/>
        <v>190</v>
      </c>
      <c r="AF21" s="13">
        <f t="shared" si="4"/>
        <v>208</v>
      </c>
      <c r="AG21" s="13">
        <f t="shared" si="4"/>
        <v>206</v>
      </c>
      <c r="AH21" s="13">
        <f t="shared" si="4"/>
        <v>161</v>
      </c>
      <c r="AI21" s="13">
        <f t="shared" si="4"/>
        <v>190</v>
      </c>
      <c r="AJ21" s="13">
        <f t="shared" si="4"/>
        <v>168</v>
      </c>
      <c r="AK21" s="13">
        <f t="shared" si="4"/>
        <v>200</v>
      </c>
      <c r="AL21" s="13">
        <f t="shared" si="4"/>
        <v>190</v>
      </c>
      <c r="AM21" s="13">
        <f t="shared" si="4"/>
        <v>183</v>
      </c>
      <c r="AN21" s="13">
        <f t="shared" si="4"/>
        <v>184</v>
      </c>
      <c r="AO21" s="13">
        <f t="shared" si="4"/>
        <v>184</v>
      </c>
      <c r="AP21" s="13">
        <f t="shared" si="4"/>
        <v>196</v>
      </c>
      <c r="AQ21" s="13">
        <f t="shared" si="4"/>
        <v>233</v>
      </c>
      <c r="AR21" s="13">
        <f t="shared" si="4"/>
        <v>204</v>
      </c>
      <c r="AS21" s="13">
        <f t="shared" si="4"/>
        <v>209</v>
      </c>
      <c r="AT21" s="13">
        <f t="shared" si="4"/>
        <v>128</v>
      </c>
      <c r="AU21" s="13">
        <f t="shared" si="3"/>
        <v>7961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6.0</v>
      </c>
      <c r="Q25" s="19">
        <v>1.0</v>
      </c>
      <c r="R25" s="19">
        <v>3.0</v>
      </c>
      <c r="S25" s="19">
        <v>3.0</v>
      </c>
      <c r="T25" s="19">
        <v>0.0</v>
      </c>
      <c r="U25" s="19">
        <v>3.0</v>
      </c>
      <c r="V25" s="19">
        <v>0.0</v>
      </c>
      <c r="W25" s="19">
        <v>1.0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2.0</v>
      </c>
      <c r="AD25" s="19">
        <v>0.0</v>
      </c>
      <c r="AE25" s="19">
        <v>1.0</v>
      </c>
      <c r="AF25" s="19">
        <v>0.0</v>
      </c>
      <c r="AG25" s="19">
        <v>0.0</v>
      </c>
      <c r="AH25" s="19">
        <v>5.0</v>
      </c>
      <c r="AI25" s="19">
        <v>0.0</v>
      </c>
      <c r="AJ25" s="19">
        <v>0.0</v>
      </c>
      <c r="AK25" s="19">
        <v>1.0</v>
      </c>
      <c r="AL25" s="19">
        <v>1.0</v>
      </c>
      <c r="AM25" s="19">
        <v>1.0</v>
      </c>
      <c r="AN25" s="19">
        <v>0.0</v>
      </c>
      <c r="AO25" s="19">
        <v>2.0</v>
      </c>
      <c r="AP25" s="19">
        <v>0.0</v>
      </c>
      <c r="AQ25" s="19">
        <v>1.0</v>
      </c>
      <c r="AR25" s="19">
        <v>0.0</v>
      </c>
      <c r="AS25" s="19">
        <v>1.0</v>
      </c>
      <c r="AT25" s="19">
        <v>1.0</v>
      </c>
      <c r="AU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3.0</v>
      </c>
      <c r="Q26" s="19">
        <v>2.0</v>
      </c>
      <c r="R26" s="19">
        <v>1.0</v>
      </c>
      <c r="S26" s="19">
        <v>2.0</v>
      </c>
      <c r="T26" s="19">
        <v>1.0</v>
      </c>
      <c r="U26" s="19">
        <v>1.0</v>
      </c>
      <c r="V26" s="19">
        <v>3.0</v>
      </c>
      <c r="W26" s="19">
        <v>1.0</v>
      </c>
      <c r="X26" s="19">
        <v>0.0</v>
      </c>
      <c r="Y26" s="19">
        <v>2.0</v>
      </c>
      <c r="Z26" s="19">
        <v>0.0</v>
      </c>
      <c r="AA26" s="19">
        <v>0.0</v>
      </c>
      <c r="AB26" s="19">
        <v>0.0</v>
      </c>
      <c r="AC26" s="19">
        <v>4.0</v>
      </c>
      <c r="AD26" s="19">
        <v>1.0</v>
      </c>
      <c r="AE26" s="19">
        <v>2.0</v>
      </c>
      <c r="AF26" s="19">
        <v>1.0</v>
      </c>
      <c r="AG26" s="19">
        <v>1.0</v>
      </c>
      <c r="AH26" s="19">
        <v>2.0</v>
      </c>
      <c r="AI26" s="19">
        <v>0.0</v>
      </c>
      <c r="AJ26" s="19">
        <v>3.0</v>
      </c>
      <c r="AK26" s="19">
        <v>4.0</v>
      </c>
      <c r="AL26" s="19">
        <v>0.0</v>
      </c>
      <c r="AM26" s="19">
        <v>2.0</v>
      </c>
      <c r="AN26" s="19">
        <v>2.0</v>
      </c>
      <c r="AO26" s="19">
        <v>3.0</v>
      </c>
      <c r="AP26" s="19">
        <v>2.0</v>
      </c>
      <c r="AQ26" s="19">
        <v>3.0</v>
      </c>
      <c r="AR26" s="19">
        <v>1.0</v>
      </c>
      <c r="AS26" s="19">
        <v>0.0</v>
      </c>
      <c r="AT26" s="19">
        <v>1.0</v>
      </c>
      <c r="AU26" s="13">
        <f t="shared" si="3"/>
        <v>54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9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1</v>
      </c>
      <c r="U27" s="13">
        <f t="shared" si="6"/>
        <v>4</v>
      </c>
      <c r="V27" s="13">
        <f t="shared" si="6"/>
        <v>3</v>
      </c>
      <c r="W27" s="13">
        <f t="shared" si="6"/>
        <v>2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6</v>
      </c>
      <c r="AD27" s="13">
        <f t="shared" si="6"/>
        <v>1</v>
      </c>
      <c r="AE27" s="13">
        <f t="shared" si="6"/>
        <v>3</v>
      </c>
      <c r="AF27" s="13">
        <f t="shared" si="6"/>
        <v>1</v>
      </c>
      <c r="AG27" s="13">
        <f t="shared" si="6"/>
        <v>1</v>
      </c>
      <c r="AH27" s="13">
        <f t="shared" si="6"/>
        <v>7</v>
      </c>
      <c r="AI27" s="13">
        <f t="shared" si="6"/>
        <v>0</v>
      </c>
      <c r="AJ27" s="13">
        <f t="shared" si="6"/>
        <v>3</v>
      </c>
      <c r="AK27" s="13">
        <f t="shared" si="6"/>
        <v>5</v>
      </c>
      <c r="AL27" s="13">
        <f t="shared" si="6"/>
        <v>1</v>
      </c>
      <c r="AM27" s="13">
        <f t="shared" si="6"/>
        <v>3</v>
      </c>
      <c r="AN27" s="13">
        <f t="shared" si="6"/>
        <v>2</v>
      </c>
      <c r="AO27" s="13">
        <f t="shared" si="6"/>
        <v>5</v>
      </c>
      <c r="AP27" s="13">
        <f t="shared" si="6"/>
        <v>2</v>
      </c>
      <c r="AQ27" s="13">
        <f t="shared" si="6"/>
        <v>4</v>
      </c>
      <c r="AR27" s="13">
        <f t="shared" si="6"/>
        <v>1</v>
      </c>
      <c r="AS27" s="13">
        <f t="shared" si="6"/>
        <v>1</v>
      </c>
      <c r="AT27" s="13">
        <f t="shared" si="6"/>
        <v>2</v>
      </c>
      <c r="AU27" s="13">
        <f t="shared" si="3"/>
        <v>93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106</v>
      </c>
      <c r="F28" s="13">
        <f t="shared" si="7"/>
        <v>91</v>
      </c>
      <c r="G28" s="13">
        <f t="shared" si="7"/>
        <v>85</v>
      </c>
      <c r="H28" s="13">
        <f t="shared" si="7"/>
        <v>103</v>
      </c>
      <c r="I28" s="13">
        <f t="shared" si="7"/>
        <v>107</v>
      </c>
      <c r="J28" s="13">
        <f t="shared" si="7"/>
        <v>104</v>
      </c>
      <c r="K28" s="13">
        <f t="shared" si="7"/>
        <v>61</v>
      </c>
      <c r="L28" s="13">
        <f t="shared" si="7"/>
        <v>67</v>
      </c>
      <c r="M28" s="13">
        <f t="shared" si="7"/>
        <v>103</v>
      </c>
      <c r="N28" s="13">
        <f t="shared" si="7"/>
        <v>116</v>
      </c>
      <c r="O28" s="13">
        <f t="shared" si="7"/>
        <v>110</v>
      </c>
      <c r="P28" s="13">
        <f t="shared" si="7"/>
        <v>89</v>
      </c>
      <c r="Q28" s="13">
        <f t="shared" si="7"/>
        <v>80</v>
      </c>
      <c r="R28" s="13">
        <f t="shared" si="7"/>
        <v>75</v>
      </c>
      <c r="S28" s="13">
        <f t="shared" si="7"/>
        <v>79</v>
      </c>
      <c r="T28" s="13">
        <f t="shared" si="7"/>
        <v>99</v>
      </c>
      <c r="U28" s="13">
        <f t="shared" si="7"/>
        <v>77</v>
      </c>
      <c r="V28" s="13">
        <f t="shared" si="7"/>
        <v>83</v>
      </c>
      <c r="W28" s="13">
        <f t="shared" si="7"/>
        <v>106</v>
      </c>
      <c r="X28" s="13">
        <f t="shared" si="7"/>
        <v>84</v>
      </c>
      <c r="Y28" s="13">
        <f t="shared" si="7"/>
        <v>84</v>
      </c>
      <c r="Z28" s="13">
        <f t="shared" si="7"/>
        <v>72</v>
      </c>
      <c r="AA28" s="13">
        <f t="shared" si="7"/>
        <v>109</v>
      </c>
      <c r="AB28" s="13">
        <f t="shared" si="7"/>
        <v>100</v>
      </c>
      <c r="AC28" s="13">
        <f t="shared" si="7"/>
        <v>97</v>
      </c>
      <c r="AD28" s="13">
        <f t="shared" si="7"/>
        <v>87</v>
      </c>
      <c r="AE28" s="13">
        <f t="shared" si="7"/>
        <v>96</v>
      </c>
      <c r="AF28" s="13">
        <f t="shared" si="7"/>
        <v>99</v>
      </c>
      <c r="AG28" s="13">
        <f t="shared" si="7"/>
        <v>98</v>
      </c>
      <c r="AH28" s="13">
        <f t="shared" si="7"/>
        <v>88</v>
      </c>
      <c r="AI28" s="13">
        <f t="shared" si="7"/>
        <v>91</v>
      </c>
      <c r="AJ28" s="13">
        <f t="shared" si="7"/>
        <v>81</v>
      </c>
      <c r="AK28" s="13">
        <f t="shared" si="7"/>
        <v>100</v>
      </c>
      <c r="AL28" s="13">
        <f t="shared" si="7"/>
        <v>91</v>
      </c>
      <c r="AM28" s="13">
        <f t="shared" si="7"/>
        <v>89</v>
      </c>
      <c r="AN28" s="13">
        <f t="shared" si="7"/>
        <v>96</v>
      </c>
      <c r="AO28" s="13">
        <f t="shared" si="7"/>
        <v>88</v>
      </c>
      <c r="AP28" s="13">
        <f t="shared" si="7"/>
        <v>91</v>
      </c>
      <c r="AQ28" s="13">
        <f t="shared" si="7"/>
        <v>111</v>
      </c>
      <c r="AR28" s="13">
        <f t="shared" si="7"/>
        <v>100</v>
      </c>
      <c r="AS28" s="13">
        <f t="shared" si="7"/>
        <v>103</v>
      </c>
      <c r="AT28" s="13">
        <f t="shared" si="7"/>
        <v>60</v>
      </c>
      <c r="AU28" s="13">
        <f t="shared" si="3"/>
        <v>3856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100</v>
      </c>
      <c r="F29" s="13">
        <f t="shared" si="8"/>
        <v>113</v>
      </c>
      <c r="G29" s="13">
        <f t="shared" si="8"/>
        <v>77</v>
      </c>
      <c r="H29" s="13">
        <f t="shared" si="8"/>
        <v>116</v>
      </c>
      <c r="I29" s="13">
        <f t="shared" si="8"/>
        <v>100</v>
      </c>
      <c r="J29" s="13">
        <f t="shared" si="8"/>
        <v>108</v>
      </c>
      <c r="K29" s="13">
        <f t="shared" si="8"/>
        <v>74</v>
      </c>
      <c r="L29" s="13">
        <f t="shared" si="8"/>
        <v>72</v>
      </c>
      <c r="M29" s="13">
        <f t="shared" si="8"/>
        <v>108</v>
      </c>
      <c r="N29" s="13">
        <f t="shared" si="8"/>
        <v>113</v>
      </c>
      <c r="O29" s="13">
        <f t="shared" si="8"/>
        <v>108</v>
      </c>
      <c r="P29" s="13">
        <f t="shared" si="8"/>
        <v>87</v>
      </c>
      <c r="Q29" s="13">
        <f t="shared" si="8"/>
        <v>99</v>
      </c>
      <c r="R29" s="13">
        <f t="shared" si="8"/>
        <v>111</v>
      </c>
      <c r="S29" s="13">
        <f t="shared" si="8"/>
        <v>105</v>
      </c>
      <c r="T29" s="13">
        <f t="shared" si="8"/>
        <v>104</v>
      </c>
      <c r="U29" s="13">
        <f t="shared" si="8"/>
        <v>80</v>
      </c>
      <c r="V29" s="13">
        <f t="shared" si="8"/>
        <v>90</v>
      </c>
      <c r="W29" s="13">
        <f t="shared" si="8"/>
        <v>108</v>
      </c>
      <c r="X29" s="13">
        <f t="shared" si="8"/>
        <v>99</v>
      </c>
      <c r="Y29" s="13">
        <f t="shared" si="8"/>
        <v>99</v>
      </c>
      <c r="Z29" s="13">
        <f t="shared" si="8"/>
        <v>82</v>
      </c>
      <c r="AA29" s="13">
        <f t="shared" si="8"/>
        <v>114</v>
      </c>
      <c r="AB29" s="13">
        <f t="shared" si="8"/>
        <v>112</v>
      </c>
      <c r="AC29" s="13">
        <f t="shared" si="8"/>
        <v>120</v>
      </c>
      <c r="AD29" s="13">
        <f t="shared" si="8"/>
        <v>112</v>
      </c>
      <c r="AE29" s="13">
        <f t="shared" si="8"/>
        <v>97</v>
      </c>
      <c r="AF29" s="13">
        <f t="shared" si="8"/>
        <v>110</v>
      </c>
      <c r="AG29" s="13">
        <f t="shared" si="8"/>
        <v>110</v>
      </c>
      <c r="AH29" s="13">
        <f t="shared" si="8"/>
        <v>80</v>
      </c>
      <c r="AI29" s="13">
        <f t="shared" si="8"/>
        <v>99</v>
      </c>
      <c r="AJ29" s="13">
        <f t="shared" si="8"/>
        <v>90</v>
      </c>
      <c r="AK29" s="13">
        <f t="shared" si="8"/>
        <v>105</v>
      </c>
      <c r="AL29" s="13">
        <f t="shared" si="8"/>
        <v>100</v>
      </c>
      <c r="AM29" s="13">
        <f t="shared" si="8"/>
        <v>98</v>
      </c>
      <c r="AN29" s="13">
        <f t="shared" si="8"/>
        <v>90</v>
      </c>
      <c r="AO29" s="13">
        <f t="shared" si="8"/>
        <v>101</v>
      </c>
      <c r="AP29" s="13">
        <f t="shared" si="8"/>
        <v>107</v>
      </c>
      <c r="AQ29" s="13">
        <f t="shared" si="8"/>
        <v>126</v>
      </c>
      <c r="AR29" s="13">
        <f t="shared" si="8"/>
        <v>106</v>
      </c>
      <c r="AS29" s="13">
        <f t="shared" si="8"/>
        <v>107</v>
      </c>
      <c r="AT29" s="13">
        <f t="shared" si="8"/>
        <v>70</v>
      </c>
      <c r="AU29" s="13">
        <f t="shared" si="3"/>
        <v>4207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206</v>
      </c>
      <c r="F30" s="13">
        <f t="shared" si="9"/>
        <v>204</v>
      </c>
      <c r="G30" s="13">
        <f t="shared" si="9"/>
        <v>162</v>
      </c>
      <c r="H30" s="13">
        <f t="shared" si="9"/>
        <v>219</v>
      </c>
      <c r="I30" s="13">
        <f t="shared" si="9"/>
        <v>207</v>
      </c>
      <c r="J30" s="13">
        <f t="shared" si="9"/>
        <v>212</v>
      </c>
      <c r="K30" s="13">
        <f t="shared" si="9"/>
        <v>135</v>
      </c>
      <c r="L30" s="13">
        <f t="shared" si="9"/>
        <v>139</v>
      </c>
      <c r="M30" s="13">
        <f t="shared" si="9"/>
        <v>211</v>
      </c>
      <c r="N30" s="13">
        <f t="shared" si="9"/>
        <v>229</v>
      </c>
      <c r="O30" s="13">
        <f t="shared" si="9"/>
        <v>218</v>
      </c>
      <c r="P30" s="13">
        <f t="shared" si="9"/>
        <v>176</v>
      </c>
      <c r="Q30" s="13">
        <f t="shared" si="9"/>
        <v>179</v>
      </c>
      <c r="R30" s="13">
        <f t="shared" si="9"/>
        <v>186</v>
      </c>
      <c r="S30" s="13">
        <f t="shared" si="9"/>
        <v>184</v>
      </c>
      <c r="T30" s="13">
        <f t="shared" si="9"/>
        <v>203</v>
      </c>
      <c r="U30" s="13">
        <f t="shared" si="9"/>
        <v>157</v>
      </c>
      <c r="V30" s="13">
        <f t="shared" si="9"/>
        <v>173</v>
      </c>
      <c r="W30" s="13">
        <f t="shared" si="9"/>
        <v>214</v>
      </c>
      <c r="X30" s="13">
        <f t="shared" si="9"/>
        <v>183</v>
      </c>
      <c r="Y30" s="13">
        <f t="shared" si="9"/>
        <v>183</v>
      </c>
      <c r="Z30" s="13">
        <f t="shared" si="9"/>
        <v>154</v>
      </c>
      <c r="AA30" s="13">
        <f t="shared" si="9"/>
        <v>223</v>
      </c>
      <c r="AB30" s="13">
        <f t="shared" si="9"/>
        <v>212</v>
      </c>
      <c r="AC30" s="13">
        <f t="shared" si="9"/>
        <v>217</v>
      </c>
      <c r="AD30" s="13">
        <f t="shared" si="9"/>
        <v>199</v>
      </c>
      <c r="AE30" s="13">
        <f t="shared" si="9"/>
        <v>193</v>
      </c>
      <c r="AF30" s="13">
        <f t="shared" si="9"/>
        <v>209</v>
      </c>
      <c r="AG30" s="13">
        <f t="shared" si="9"/>
        <v>208</v>
      </c>
      <c r="AH30" s="13">
        <f t="shared" si="9"/>
        <v>168</v>
      </c>
      <c r="AI30" s="13">
        <f t="shared" si="9"/>
        <v>190</v>
      </c>
      <c r="AJ30" s="13">
        <f t="shared" si="9"/>
        <v>171</v>
      </c>
      <c r="AK30" s="13">
        <f t="shared" si="9"/>
        <v>205</v>
      </c>
      <c r="AL30" s="13">
        <f t="shared" si="9"/>
        <v>191</v>
      </c>
      <c r="AM30" s="13">
        <f t="shared" si="9"/>
        <v>187</v>
      </c>
      <c r="AN30" s="13">
        <f t="shared" si="9"/>
        <v>186</v>
      </c>
      <c r="AO30" s="13">
        <f t="shared" si="9"/>
        <v>189</v>
      </c>
      <c r="AP30" s="13">
        <f t="shared" si="9"/>
        <v>198</v>
      </c>
      <c r="AQ30" s="13">
        <f t="shared" si="9"/>
        <v>237</v>
      </c>
      <c r="AR30" s="13">
        <f t="shared" si="9"/>
        <v>206</v>
      </c>
      <c r="AS30" s="13">
        <f t="shared" si="9"/>
        <v>210</v>
      </c>
      <c r="AT30" s="13">
        <f t="shared" si="9"/>
        <v>130</v>
      </c>
      <c r="AU30" s="13">
        <f t="shared" si="3"/>
        <v>8063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19"/>
      <c r="R31" s="19"/>
      <c r="S31" s="19"/>
      <c r="T31" s="19"/>
      <c r="U31" s="19"/>
      <c r="V31" s="19"/>
      <c r="W31" s="19"/>
      <c r="X31" s="19"/>
      <c r="Y31" s="19"/>
      <c r="Z31" s="76"/>
      <c r="AA31" s="76"/>
      <c r="AB31" s="76"/>
      <c r="AC31" s="19"/>
      <c r="AD31" s="19"/>
      <c r="AE31" s="19"/>
      <c r="AF31" s="19"/>
      <c r="AG31" s="19"/>
      <c r="AH31" s="19"/>
      <c r="AI31" s="19"/>
      <c r="AJ31" s="19"/>
      <c r="AK31" s="76"/>
      <c r="AL31" s="76"/>
      <c r="AM31" s="76"/>
      <c r="AN31" s="19"/>
      <c r="AO31" s="19"/>
      <c r="AP31" s="19"/>
      <c r="AQ31" s="76"/>
      <c r="AR31" s="76"/>
      <c r="AS31" s="76"/>
      <c r="AT31" s="76"/>
      <c r="AU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13"/>
      <c r="R32" s="13"/>
      <c r="S32" s="13"/>
      <c r="T32" s="13"/>
      <c r="U32" s="13"/>
      <c r="V32" s="13"/>
      <c r="W32" s="13"/>
      <c r="X32" s="13"/>
      <c r="Y32" s="13"/>
      <c r="Z32" s="78"/>
      <c r="AA32" s="78"/>
      <c r="AB32" s="78"/>
      <c r="AC32" s="13"/>
      <c r="AD32" s="13"/>
      <c r="AE32" s="13"/>
      <c r="AF32" s="13"/>
      <c r="AG32" s="13"/>
      <c r="AH32" s="13"/>
      <c r="AI32" s="13"/>
      <c r="AJ32" s="13"/>
      <c r="AK32" s="78"/>
      <c r="AL32" s="78"/>
      <c r="AM32" s="78"/>
      <c r="AN32" s="13"/>
      <c r="AO32" s="13"/>
      <c r="AP32" s="13"/>
      <c r="AQ32" s="78"/>
      <c r="AR32" s="78"/>
      <c r="AS32" s="78"/>
      <c r="AT32" s="78"/>
      <c r="AU32" s="77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266.0</v>
      </c>
      <c r="G33" s="19">
        <v>227.0</v>
      </c>
      <c r="H33" s="19">
        <v>254.0</v>
      </c>
      <c r="I33" s="19">
        <v>249.0</v>
      </c>
      <c r="J33" s="19">
        <v>257.0</v>
      </c>
      <c r="K33" s="19">
        <v>185.0</v>
      </c>
      <c r="L33" s="19">
        <v>178.0</v>
      </c>
      <c r="M33" s="19">
        <v>268.0</v>
      </c>
      <c r="N33" s="19">
        <v>267.0</v>
      </c>
      <c r="O33" s="19">
        <v>294.0</v>
      </c>
      <c r="P33" s="19">
        <v>197.0</v>
      </c>
      <c r="Q33" s="19">
        <v>231.0</v>
      </c>
      <c r="R33" s="19">
        <v>219.0</v>
      </c>
      <c r="S33" s="19">
        <v>258.0</v>
      </c>
      <c r="T33" s="19">
        <v>279.0</v>
      </c>
      <c r="U33" s="19">
        <v>211.0</v>
      </c>
      <c r="V33" s="19">
        <v>252.0</v>
      </c>
      <c r="W33" s="19">
        <v>292.0</v>
      </c>
      <c r="X33" s="19">
        <v>264.0</v>
      </c>
      <c r="Y33" s="19">
        <v>250.0</v>
      </c>
      <c r="Z33" s="19">
        <v>225.0</v>
      </c>
      <c r="AA33" s="19">
        <v>294.0</v>
      </c>
      <c r="AB33" s="19">
        <v>274.0</v>
      </c>
      <c r="AC33" s="19">
        <v>266.0</v>
      </c>
      <c r="AD33" s="19">
        <v>288.0</v>
      </c>
      <c r="AE33" s="19">
        <v>245.0</v>
      </c>
      <c r="AF33" s="19">
        <v>268.0</v>
      </c>
      <c r="AG33" s="19">
        <v>281.0</v>
      </c>
      <c r="AH33" s="19">
        <v>206.0</v>
      </c>
      <c r="AI33" s="19">
        <v>234.0</v>
      </c>
      <c r="AJ33" s="19">
        <v>218.0</v>
      </c>
      <c r="AK33" s="19">
        <v>268.0</v>
      </c>
      <c r="AL33" s="19">
        <v>243.0</v>
      </c>
      <c r="AM33" s="19">
        <v>243.0</v>
      </c>
      <c r="AN33" s="19">
        <v>237.0</v>
      </c>
      <c r="AO33" s="19">
        <v>249.0</v>
      </c>
      <c r="AP33" s="19">
        <v>269.0</v>
      </c>
      <c r="AQ33" s="19">
        <v>272.0</v>
      </c>
      <c r="AR33" s="19">
        <v>275.0</v>
      </c>
      <c r="AS33" s="19">
        <v>291.0</v>
      </c>
      <c r="AT33" s="19">
        <v>191.0</v>
      </c>
      <c r="AU33" s="13">
        <f t="shared" ref="AU33:AU36" si="10">SUM(E33:AT33)</f>
        <v>10496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204.0</v>
      </c>
      <c r="G34" s="13">
        <v>162.0</v>
      </c>
      <c r="H34" s="13">
        <v>219.0</v>
      </c>
      <c r="I34" s="13">
        <v>207.0</v>
      </c>
      <c r="J34" s="13">
        <v>212.0</v>
      </c>
      <c r="K34" s="13">
        <v>135.0</v>
      </c>
      <c r="L34" s="13">
        <v>139.0</v>
      </c>
      <c r="M34" s="13">
        <v>211.0</v>
      </c>
      <c r="N34" s="13">
        <v>229.0</v>
      </c>
      <c r="O34" s="13">
        <v>218.0</v>
      </c>
      <c r="P34" s="13">
        <v>176.0</v>
      </c>
      <c r="Q34" s="13">
        <v>179.0</v>
      </c>
      <c r="R34" s="13">
        <v>186.0</v>
      </c>
      <c r="S34" s="13">
        <v>184.0</v>
      </c>
      <c r="T34" s="13">
        <v>203.0</v>
      </c>
      <c r="U34" s="13">
        <v>157.0</v>
      </c>
      <c r="V34" s="13">
        <v>173.0</v>
      </c>
      <c r="W34" s="13">
        <v>214.0</v>
      </c>
      <c r="X34" s="13">
        <v>183.0</v>
      </c>
      <c r="Y34" s="13">
        <v>183.0</v>
      </c>
      <c r="Z34" s="13">
        <v>154.0</v>
      </c>
      <c r="AA34" s="13">
        <v>223.0</v>
      </c>
      <c r="AB34" s="13">
        <v>212.0</v>
      </c>
      <c r="AC34" s="13">
        <v>217.0</v>
      </c>
      <c r="AD34" s="13">
        <v>199.0</v>
      </c>
      <c r="AE34" s="13">
        <v>193.0</v>
      </c>
      <c r="AF34" s="13">
        <v>209.0</v>
      </c>
      <c r="AG34" s="13">
        <v>208.0</v>
      </c>
      <c r="AH34" s="13">
        <v>168.0</v>
      </c>
      <c r="AI34" s="13">
        <v>190.0</v>
      </c>
      <c r="AJ34" s="13">
        <v>171.0</v>
      </c>
      <c r="AK34" s="13">
        <v>205.0</v>
      </c>
      <c r="AL34" s="13">
        <v>191.0</v>
      </c>
      <c r="AM34" s="13">
        <v>187.0</v>
      </c>
      <c r="AN34" s="13">
        <v>186.0</v>
      </c>
      <c r="AO34" s="13">
        <v>189.0</v>
      </c>
      <c r="AP34" s="13">
        <v>198.0</v>
      </c>
      <c r="AQ34" s="13">
        <v>237.0</v>
      </c>
      <c r="AR34" s="13">
        <v>206.0</v>
      </c>
      <c r="AS34" s="13">
        <v>210.0</v>
      </c>
      <c r="AT34" s="13">
        <v>130.0</v>
      </c>
      <c r="AU34" s="13">
        <f t="shared" si="10"/>
        <v>8063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1.0</v>
      </c>
      <c r="P35" s="19">
        <v>0.0</v>
      </c>
      <c r="Q35" s="19">
        <v>0.0</v>
      </c>
      <c r="R35" s="19">
        <v>3.0</v>
      </c>
      <c r="S35" s="19">
        <v>23.0</v>
      </c>
      <c r="T35" s="19">
        <v>1.0</v>
      </c>
      <c r="U35" s="19">
        <v>1.0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1.0</v>
      </c>
      <c r="AJ35" s="19">
        <v>0.0</v>
      </c>
      <c r="AK35" s="19">
        <v>0.0</v>
      </c>
      <c r="AL35" s="19">
        <v>0.0</v>
      </c>
      <c r="AM35" s="19">
        <v>0.0</v>
      </c>
      <c r="AN35" s="19">
        <v>2.0</v>
      </c>
      <c r="AO35" s="19">
        <v>0.0</v>
      </c>
      <c r="AP35" s="19">
        <v>1.0</v>
      </c>
      <c r="AQ35" s="19">
        <v>0.0</v>
      </c>
      <c r="AR35" s="19">
        <v>2.0</v>
      </c>
      <c r="AS35" s="19">
        <v>0.0</v>
      </c>
      <c r="AT35" s="19">
        <v>0.0</v>
      </c>
      <c r="AU35" s="13">
        <f t="shared" si="10"/>
        <v>40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55</v>
      </c>
      <c r="F36" s="13">
        <f t="shared" si="11"/>
        <v>62</v>
      </c>
      <c r="G36" s="13">
        <f t="shared" si="11"/>
        <v>64</v>
      </c>
      <c r="H36" s="13">
        <f t="shared" si="11"/>
        <v>35</v>
      </c>
      <c r="I36" s="13">
        <f t="shared" si="11"/>
        <v>41</v>
      </c>
      <c r="J36" s="13">
        <f t="shared" si="11"/>
        <v>45</v>
      </c>
      <c r="K36" s="13">
        <f t="shared" si="11"/>
        <v>50</v>
      </c>
      <c r="L36" s="13">
        <f t="shared" si="11"/>
        <v>39</v>
      </c>
      <c r="M36" s="13">
        <f t="shared" si="11"/>
        <v>57</v>
      </c>
      <c r="N36" s="13">
        <f t="shared" si="11"/>
        <v>37</v>
      </c>
      <c r="O36" s="13">
        <f t="shared" si="11"/>
        <v>75</v>
      </c>
      <c r="P36" s="13">
        <f t="shared" si="11"/>
        <v>21</v>
      </c>
      <c r="Q36" s="13">
        <f t="shared" si="11"/>
        <v>52</v>
      </c>
      <c r="R36" s="13">
        <f t="shared" si="11"/>
        <v>30</v>
      </c>
      <c r="S36" s="13">
        <f t="shared" si="11"/>
        <v>51</v>
      </c>
      <c r="T36" s="13">
        <f t="shared" si="11"/>
        <v>75</v>
      </c>
      <c r="U36" s="13">
        <f t="shared" si="11"/>
        <v>53</v>
      </c>
      <c r="V36" s="13">
        <f t="shared" si="11"/>
        <v>79</v>
      </c>
      <c r="W36" s="13">
        <f t="shared" si="11"/>
        <v>78</v>
      </c>
      <c r="X36" s="13">
        <f t="shared" si="11"/>
        <v>80</v>
      </c>
      <c r="Y36" s="13">
        <f t="shared" si="11"/>
        <v>67</v>
      </c>
      <c r="Z36" s="13">
        <f t="shared" si="11"/>
        <v>71</v>
      </c>
      <c r="AA36" s="13">
        <f t="shared" si="11"/>
        <v>71</v>
      </c>
      <c r="AB36" s="13">
        <f t="shared" si="11"/>
        <v>62</v>
      </c>
      <c r="AC36" s="13">
        <f t="shared" si="11"/>
        <v>48</v>
      </c>
      <c r="AD36" s="13">
        <f t="shared" si="11"/>
        <v>89</v>
      </c>
      <c r="AE36" s="13">
        <f t="shared" si="11"/>
        <v>52</v>
      </c>
      <c r="AF36" s="13">
        <f t="shared" si="11"/>
        <v>59</v>
      </c>
      <c r="AG36" s="13">
        <f t="shared" si="11"/>
        <v>73</v>
      </c>
      <c r="AH36" s="13">
        <f t="shared" si="11"/>
        <v>38</v>
      </c>
      <c r="AI36" s="13">
        <f t="shared" si="11"/>
        <v>43</v>
      </c>
      <c r="AJ36" s="13">
        <f t="shared" si="11"/>
        <v>47</v>
      </c>
      <c r="AK36" s="13">
        <f t="shared" si="11"/>
        <v>63</v>
      </c>
      <c r="AL36" s="13">
        <f t="shared" si="11"/>
        <v>52</v>
      </c>
      <c r="AM36" s="13">
        <f t="shared" si="11"/>
        <v>56</v>
      </c>
      <c r="AN36" s="13">
        <f t="shared" si="11"/>
        <v>49</v>
      </c>
      <c r="AO36" s="13">
        <f t="shared" si="11"/>
        <v>60</v>
      </c>
      <c r="AP36" s="13">
        <f t="shared" si="11"/>
        <v>70</v>
      </c>
      <c r="AQ36" s="13">
        <f t="shared" si="11"/>
        <v>35</v>
      </c>
      <c r="AR36" s="13">
        <f t="shared" si="11"/>
        <v>67</v>
      </c>
      <c r="AS36" s="13">
        <f t="shared" si="11"/>
        <v>81</v>
      </c>
      <c r="AT36" s="13">
        <f t="shared" si="11"/>
        <v>61</v>
      </c>
      <c r="AU36" s="13">
        <f t="shared" si="10"/>
        <v>2393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  <c r="AG37" s="19"/>
      <c r="AH37" s="19"/>
      <c r="AI37" s="19"/>
      <c r="AJ37" s="19"/>
      <c r="AK37" s="76"/>
      <c r="AL37" s="83"/>
      <c r="AM37" s="83"/>
      <c r="AN37" s="19"/>
      <c r="AO37" s="19"/>
      <c r="AP37" s="19"/>
      <c r="AQ37" s="76"/>
      <c r="AR37" s="83"/>
      <c r="AS37" s="83"/>
      <c r="AT37" s="83"/>
      <c r="AU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13"/>
      <c r="R38" s="13"/>
      <c r="S38" s="13"/>
      <c r="T38" s="13"/>
      <c r="U38" s="13"/>
      <c r="V38" s="13"/>
      <c r="W38" s="13"/>
      <c r="X38" s="13"/>
      <c r="Y38" s="13"/>
      <c r="Z38" s="78"/>
      <c r="AA38" s="78"/>
      <c r="AB38" s="78"/>
      <c r="AC38" s="13"/>
      <c r="AD38" s="13"/>
      <c r="AE38" s="13"/>
      <c r="AF38" s="13"/>
      <c r="AG38" s="13"/>
      <c r="AH38" s="13"/>
      <c r="AI38" s="13"/>
      <c r="AJ38" s="13"/>
      <c r="AK38" s="78"/>
      <c r="AL38" s="78"/>
      <c r="AM38" s="78"/>
      <c r="AN38" s="13"/>
      <c r="AO38" s="13"/>
      <c r="AP38" s="13"/>
      <c r="AQ38" s="78"/>
      <c r="AR38" s="78"/>
      <c r="AS38" s="78"/>
      <c r="AT38" s="78"/>
      <c r="AU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1.0</v>
      </c>
      <c r="AU39" s="13">
        <f t="shared" ref="AU39:AU41" si="12">SUM(E39:AT39)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1.0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  <c r="AG42" s="19"/>
      <c r="AH42" s="19"/>
      <c r="AI42" s="19"/>
      <c r="AJ42" s="19"/>
      <c r="AK42" s="76"/>
      <c r="AL42" s="19"/>
      <c r="AM42" s="76"/>
      <c r="AN42" s="19"/>
      <c r="AO42" s="19"/>
      <c r="AP42" s="19"/>
      <c r="AQ42" s="76"/>
      <c r="AR42" s="19"/>
      <c r="AS42" s="76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  <c r="S43" s="13"/>
      <c r="T43" s="13"/>
      <c r="U43" s="13"/>
      <c r="V43" s="13"/>
      <c r="W43" s="13"/>
      <c r="X43" s="13"/>
      <c r="Y43" s="13"/>
      <c r="Z43" s="78"/>
      <c r="AA43" s="13"/>
      <c r="AB43" s="78"/>
      <c r="AC43" s="13"/>
      <c r="AD43" s="13"/>
      <c r="AE43" s="13"/>
      <c r="AF43" s="13"/>
      <c r="AG43" s="13"/>
      <c r="AH43" s="13"/>
      <c r="AI43" s="13"/>
      <c r="AJ43" s="13"/>
      <c r="AK43" s="78"/>
      <c r="AL43" s="13"/>
      <c r="AM43" s="78"/>
      <c r="AN43" s="13"/>
      <c r="AO43" s="13"/>
      <c r="AP43" s="13"/>
      <c r="AQ43" s="78"/>
      <c r="AR43" s="13"/>
      <c r="AS43" s="78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9"/>
      <c r="S44" s="19"/>
      <c r="T44" s="19"/>
      <c r="U44" s="19"/>
      <c r="V44" s="19"/>
      <c r="W44" s="19"/>
      <c r="X44" s="19"/>
      <c r="Y44" s="19"/>
      <c r="Z44" s="76"/>
      <c r="AA44" s="19"/>
      <c r="AB44" s="76"/>
      <c r="AC44" s="19"/>
      <c r="AD44" s="19"/>
      <c r="AE44" s="19"/>
      <c r="AF44" s="19"/>
      <c r="AG44" s="19"/>
      <c r="AH44" s="19"/>
      <c r="AI44" s="19"/>
      <c r="AJ44" s="19"/>
      <c r="AK44" s="76"/>
      <c r="AL44" s="19"/>
      <c r="AM44" s="76"/>
      <c r="AN44" s="19"/>
      <c r="AO44" s="19"/>
      <c r="AP44" s="19"/>
      <c r="AQ44" s="76"/>
      <c r="AR44" s="19"/>
      <c r="AS44" s="76"/>
      <c r="AT44" s="1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0.0</v>
      </c>
      <c r="G45" s="19">
        <v>0.0</v>
      </c>
      <c r="H45" s="19">
        <v>0.0</v>
      </c>
      <c r="I45" s="19">
        <v>2.0</v>
      </c>
      <c r="J45" s="19">
        <v>1.0</v>
      </c>
      <c r="K45" s="19">
        <v>1.0</v>
      </c>
      <c r="L45" s="19">
        <v>3.0</v>
      </c>
      <c r="M45" s="19">
        <v>1.0</v>
      </c>
      <c r="N45" s="19">
        <v>6.0</v>
      </c>
      <c r="O45" s="19">
        <v>2.0</v>
      </c>
      <c r="P45" s="19">
        <v>2.0</v>
      </c>
      <c r="Q45" s="19">
        <v>8.0</v>
      </c>
      <c r="R45" s="19">
        <v>6.0</v>
      </c>
      <c r="S45" s="19">
        <v>4.0</v>
      </c>
      <c r="T45" s="19">
        <v>9.0</v>
      </c>
      <c r="U45" s="19">
        <v>5.0</v>
      </c>
      <c r="V45" s="19">
        <v>1.0</v>
      </c>
      <c r="W45" s="19">
        <v>3.0</v>
      </c>
      <c r="X45" s="19">
        <v>9.0</v>
      </c>
      <c r="Y45" s="19">
        <v>6.0</v>
      </c>
      <c r="Z45" s="19">
        <v>8.0</v>
      </c>
      <c r="AA45" s="19">
        <v>8.0</v>
      </c>
      <c r="AB45" s="19">
        <v>7.0</v>
      </c>
      <c r="AC45" s="19">
        <v>3.0</v>
      </c>
      <c r="AD45" s="19">
        <v>7.0</v>
      </c>
      <c r="AE45" s="19">
        <v>3.0</v>
      </c>
      <c r="AF45" s="19">
        <v>6.0</v>
      </c>
      <c r="AG45" s="19">
        <v>6.0</v>
      </c>
      <c r="AH45" s="19">
        <v>14.0</v>
      </c>
      <c r="AI45" s="19">
        <v>6.0</v>
      </c>
      <c r="AJ45" s="19">
        <v>4.0</v>
      </c>
      <c r="AK45" s="19">
        <v>8.0</v>
      </c>
      <c r="AL45" s="19">
        <v>6.0</v>
      </c>
      <c r="AM45" s="19">
        <v>7.0</v>
      </c>
      <c r="AN45" s="19">
        <v>7.0</v>
      </c>
      <c r="AO45" s="19">
        <v>9.0</v>
      </c>
      <c r="AP45" s="19">
        <v>3.0</v>
      </c>
      <c r="AQ45" s="19">
        <v>8.0</v>
      </c>
      <c r="AR45" s="19">
        <v>10.0</v>
      </c>
      <c r="AS45" s="19">
        <v>10.0</v>
      </c>
      <c r="AT45" s="19">
        <v>0.0</v>
      </c>
      <c r="AU45" s="13">
        <f t="shared" ref="AU45:AU54" si="14">SUM(E45:AT45)</f>
        <v>212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1.0</v>
      </c>
      <c r="F46" s="19">
        <v>3.0</v>
      </c>
      <c r="G46" s="19">
        <v>5.0</v>
      </c>
      <c r="H46" s="19">
        <v>14.0</v>
      </c>
      <c r="I46" s="19">
        <v>11.0</v>
      </c>
      <c r="J46" s="19">
        <v>10.0</v>
      </c>
      <c r="K46" s="19">
        <v>7.0</v>
      </c>
      <c r="L46" s="19">
        <v>2.0</v>
      </c>
      <c r="M46" s="19">
        <v>1.0</v>
      </c>
      <c r="N46" s="19">
        <v>9.0</v>
      </c>
      <c r="O46" s="19">
        <v>14.0</v>
      </c>
      <c r="P46" s="19">
        <v>5.0</v>
      </c>
      <c r="Q46" s="19">
        <v>21.0</v>
      </c>
      <c r="R46" s="19">
        <v>19.0</v>
      </c>
      <c r="S46" s="19">
        <v>13.0</v>
      </c>
      <c r="T46" s="19">
        <v>20.0</v>
      </c>
      <c r="U46" s="19">
        <v>20.0</v>
      </c>
      <c r="V46" s="19">
        <v>6.0</v>
      </c>
      <c r="W46" s="19">
        <v>19.0</v>
      </c>
      <c r="X46" s="19">
        <v>11.0</v>
      </c>
      <c r="Y46" s="19">
        <v>12.0</v>
      </c>
      <c r="Z46" s="19">
        <v>23.0</v>
      </c>
      <c r="AA46" s="19">
        <v>30.0</v>
      </c>
      <c r="AB46" s="19">
        <v>28.0</v>
      </c>
      <c r="AC46" s="19">
        <v>29.0</v>
      </c>
      <c r="AD46" s="19">
        <v>24.0</v>
      </c>
      <c r="AE46" s="19">
        <v>29.0</v>
      </c>
      <c r="AF46" s="19">
        <v>31.0</v>
      </c>
      <c r="AG46" s="19">
        <v>16.0</v>
      </c>
      <c r="AH46" s="19">
        <v>28.0</v>
      </c>
      <c r="AI46" s="19">
        <v>35.0</v>
      </c>
      <c r="AJ46" s="19">
        <v>33.0</v>
      </c>
      <c r="AK46" s="19">
        <v>32.0</v>
      </c>
      <c r="AL46" s="19">
        <v>27.0</v>
      </c>
      <c r="AM46" s="19">
        <v>35.0</v>
      </c>
      <c r="AN46" s="19">
        <v>17.0</v>
      </c>
      <c r="AO46" s="19">
        <v>27.0</v>
      </c>
      <c r="AP46" s="19">
        <v>26.0</v>
      </c>
      <c r="AQ46" s="19">
        <v>31.0</v>
      </c>
      <c r="AR46" s="19">
        <v>24.0</v>
      </c>
      <c r="AS46" s="19">
        <v>25.0</v>
      </c>
      <c r="AT46" s="19">
        <v>10.0</v>
      </c>
      <c r="AU46" s="13">
        <f t="shared" si="14"/>
        <v>783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0.0</v>
      </c>
      <c r="H47" s="19">
        <v>1.0</v>
      </c>
      <c r="I47" s="19">
        <v>4.0</v>
      </c>
      <c r="J47" s="19">
        <v>34.0</v>
      </c>
      <c r="K47" s="19">
        <v>0.0</v>
      </c>
      <c r="L47" s="19">
        <v>2.0</v>
      </c>
      <c r="M47" s="19">
        <v>0.0</v>
      </c>
      <c r="N47" s="19">
        <v>52.0</v>
      </c>
      <c r="O47" s="19">
        <v>20.0</v>
      </c>
      <c r="P47" s="19">
        <v>0.0</v>
      </c>
      <c r="Q47" s="19">
        <v>24.0</v>
      </c>
      <c r="R47" s="19">
        <v>0.0</v>
      </c>
      <c r="S47" s="19">
        <v>0.0</v>
      </c>
      <c r="T47" s="19">
        <v>1.0</v>
      </c>
      <c r="U47" s="19">
        <v>2.0</v>
      </c>
      <c r="V47" s="19">
        <v>0.0</v>
      </c>
      <c r="W47" s="19">
        <v>5.0</v>
      </c>
      <c r="X47" s="19">
        <v>1.0</v>
      </c>
      <c r="Y47" s="19">
        <v>1.0</v>
      </c>
      <c r="Z47" s="19">
        <v>1.0</v>
      </c>
      <c r="AA47" s="19">
        <v>3.0</v>
      </c>
      <c r="AB47" s="19">
        <v>0.0</v>
      </c>
      <c r="AC47" s="19">
        <v>2.0</v>
      </c>
      <c r="AD47" s="19">
        <v>3.0</v>
      </c>
      <c r="AE47" s="19">
        <v>11.0</v>
      </c>
      <c r="AF47" s="19">
        <v>10.0</v>
      </c>
      <c r="AG47" s="19">
        <v>3.0</v>
      </c>
      <c r="AH47" s="19">
        <v>2.0</v>
      </c>
      <c r="AI47" s="19">
        <v>1.0</v>
      </c>
      <c r="AJ47" s="19">
        <v>4.0</v>
      </c>
      <c r="AK47" s="19">
        <v>1.0</v>
      </c>
      <c r="AL47" s="19">
        <v>4.0</v>
      </c>
      <c r="AM47" s="19">
        <v>0.0</v>
      </c>
      <c r="AN47" s="19">
        <v>10.0</v>
      </c>
      <c r="AO47" s="19">
        <v>6.0</v>
      </c>
      <c r="AP47" s="19">
        <v>1.0</v>
      </c>
      <c r="AQ47" s="19">
        <v>4.0</v>
      </c>
      <c r="AR47" s="19">
        <v>3.0</v>
      </c>
      <c r="AS47" s="19">
        <v>4.0</v>
      </c>
      <c r="AT47" s="19">
        <v>1.0</v>
      </c>
      <c r="AU47" s="13">
        <f t="shared" si="14"/>
        <v>224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2.0</v>
      </c>
      <c r="K48" s="19">
        <v>0.0</v>
      </c>
      <c r="L48" s="19">
        <v>1.0</v>
      </c>
      <c r="M48" s="19">
        <v>0.0</v>
      </c>
      <c r="N48" s="19">
        <v>2.0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1.0</v>
      </c>
      <c r="Z48" s="19">
        <v>1.0</v>
      </c>
      <c r="AA48" s="19">
        <v>1.0</v>
      </c>
      <c r="AB48" s="19">
        <v>1.0</v>
      </c>
      <c r="AC48" s="19">
        <v>3.0</v>
      </c>
      <c r="AD48" s="19">
        <v>1.0</v>
      </c>
      <c r="AE48" s="19">
        <v>2.0</v>
      </c>
      <c r="AF48" s="19">
        <v>2.0</v>
      </c>
      <c r="AG48" s="19">
        <v>0.0</v>
      </c>
      <c r="AH48" s="19">
        <v>4.0</v>
      </c>
      <c r="AI48" s="19">
        <v>1.0</v>
      </c>
      <c r="AJ48" s="19">
        <v>0.0</v>
      </c>
      <c r="AK48" s="19">
        <v>2.0</v>
      </c>
      <c r="AL48" s="19">
        <v>2.0</v>
      </c>
      <c r="AM48" s="19">
        <v>1.0</v>
      </c>
      <c r="AN48" s="19">
        <v>2.0</v>
      </c>
      <c r="AO48" s="19">
        <v>4.0</v>
      </c>
      <c r="AP48" s="19">
        <v>7.0</v>
      </c>
      <c r="AQ48" s="19">
        <v>25.0</v>
      </c>
      <c r="AR48" s="19">
        <v>4.0</v>
      </c>
      <c r="AS48" s="19">
        <v>4.0</v>
      </c>
      <c r="AT48" s="19">
        <v>0.0</v>
      </c>
      <c r="AU48" s="13">
        <f t="shared" si="14"/>
        <v>75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1.0</v>
      </c>
      <c r="O49" s="19">
        <v>0.0</v>
      </c>
      <c r="P49" s="19">
        <v>2.0</v>
      </c>
      <c r="Q49" s="19">
        <v>0.0</v>
      </c>
      <c r="R49" s="19">
        <v>2.0</v>
      </c>
      <c r="S49" s="19">
        <v>1.0</v>
      </c>
      <c r="T49" s="19">
        <v>1.0</v>
      </c>
      <c r="U49" s="19">
        <v>0.0</v>
      </c>
      <c r="V49" s="19">
        <v>0.0</v>
      </c>
      <c r="W49" s="19">
        <v>1.0</v>
      </c>
      <c r="X49" s="19">
        <v>0.0</v>
      </c>
      <c r="Y49" s="19">
        <v>0.0</v>
      </c>
      <c r="Z49" s="19">
        <v>0.0</v>
      </c>
      <c r="AA49" s="19">
        <v>1.0</v>
      </c>
      <c r="AB49" s="19">
        <v>1.0</v>
      </c>
      <c r="AC49" s="19">
        <v>4.0</v>
      </c>
      <c r="AD49" s="19">
        <v>2.0</v>
      </c>
      <c r="AE49" s="19">
        <v>7.0</v>
      </c>
      <c r="AF49" s="19">
        <v>1.0</v>
      </c>
      <c r="AG49" s="19">
        <v>1.0</v>
      </c>
      <c r="AH49" s="19">
        <v>1.0</v>
      </c>
      <c r="AI49" s="19">
        <v>3.0</v>
      </c>
      <c r="AJ49" s="19">
        <v>2.0</v>
      </c>
      <c r="AK49" s="19">
        <v>1.0</v>
      </c>
      <c r="AL49" s="19">
        <v>2.0</v>
      </c>
      <c r="AM49" s="19">
        <v>3.0</v>
      </c>
      <c r="AN49" s="19">
        <v>1.0</v>
      </c>
      <c r="AO49" s="19">
        <v>1.0</v>
      </c>
      <c r="AP49" s="19">
        <v>1.0</v>
      </c>
      <c r="AQ49" s="19">
        <v>3.0</v>
      </c>
      <c r="AR49" s="19">
        <v>1.0</v>
      </c>
      <c r="AS49" s="19">
        <v>0.0</v>
      </c>
      <c r="AT49" s="19">
        <v>0.0</v>
      </c>
      <c r="AU49" s="13">
        <f t="shared" si="14"/>
        <v>45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3.0</v>
      </c>
      <c r="X50" s="19">
        <v>0.0</v>
      </c>
      <c r="Y50" s="19">
        <v>1.0</v>
      </c>
      <c r="Z50" s="19">
        <v>1.0</v>
      </c>
      <c r="AA50" s="19">
        <v>0.0</v>
      </c>
      <c r="AB50" s="19">
        <v>0.0</v>
      </c>
      <c r="AC50" s="19">
        <v>0.0</v>
      </c>
      <c r="AD50" s="19">
        <v>1.0</v>
      </c>
      <c r="AE50" s="19">
        <v>2.0</v>
      </c>
      <c r="AF50" s="19">
        <v>3.0</v>
      </c>
      <c r="AG50" s="19">
        <v>1.0</v>
      </c>
      <c r="AH50" s="19">
        <v>2.0</v>
      </c>
      <c r="AI50" s="19">
        <v>0.0</v>
      </c>
      <c r="AJ50" s="19">
        <v>2.0</v>
      </c>
      <c r="AK50" s="19">
        <v>0.0</v>
      </c>
      <c r="AL50" s="19">
        <v>0.0</v>
      </c>
      <c r="AM50" s="19">
        <v>0.0</v>
      </c>
      <c r="AN50" s="19">
        <v>2.0</v>
      </c>
      <c r="AO50" s="19">
        <v>1.0</v>
      </c>
      <c r="AP50" s="19">
        <v>1.0</v>
      </c>
      <c r="AQ50" s="19">
        <v>0.0</v>
      </c>
      <c r="AR50" s="19">
        <v>0.0</v>
      </c>
      <c r="AS50" s="19">
        <v>2.0</v>
      </c>
      <c r="AT50" s="19">
        <v>1.0</v>
      </c>
      <c r="AU50" s="13">
        <f t="shared" si="14"/>
        <v>26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2.0</v>
      </c>
      <c r="I51" s="19">
        <v>0.0</v>
      </c>
      <c r="J51" s="19">
        <v>1.0</v>
      </c>
      <c r="K51" s="19">
        <v>1.0</v>
      </c>
      <c r="L51" s="19">
        <v>1.0</v>
      </c>
      <c r="M51" s="19">
        <v>0.0</v>
      </c>
      <c r="N51" s="19">
        <v>2.0</v>
      </c>
      <c r="O51" s="19">
        <v>0.0</v>
      </c>
      <c r="P51" s="19">
        <v>0.0</v>
      </c>
      <c r="Q51" s="19">
        <v>1.0</v>
      </c>
      <c r="R51" s="19">
        <v>0.0</v>
      </c>
      <c r="S51" s="19">
        <v>2.0</v>
      </c>
      <c r="T51" s="19">
        <v>2.0</v>
      </c>
      <c r="U51" s="19">
        <v>3.0</v>
      </c>
      <c r="V51" s="19">
        <v>0.0</v>
      </c>
      <c r="W51" s="19">
        <v>0.0</v>
      </c>
      <c r="X51" s="19">
        <v>0.0</v>
      </c>
      <c r="Y51" s="19">
        <v>0.0</v>
      </c>
      <c r="Z51" s="19">
        <v>1.0</v>
      </c>
      <c r="AA51" s="19">
        <v>2.0</v>
      </c>
      <c r="AB51" s="19">
        <v>3.0</v>
      </c>
      <c r="AC51" s="19">
        <v>0.0</v>
      </c>
      <c r="AD51" s="19">
        <v>0.0</v>
      </c>
      <c r="AE51" s="19">
        <v>1.0</v>
      </c>
      <c r="AF51" s="19">
        <v>2.0</v>
      </c>
      <c r="AG51" s="19">
        <v>3.0</v>
      </c>
      <c r="AH51" s="19">
        <v>2.0</v>
      </c>
      <c r="AI51" s="19">
        <v>2.0</v>
      </c>
      <c r="AJ51" s="19">
        <v>4.0</v>
      </c>
      <c r="AK51" s="19">
        <v>3.0</v>
      </c>
      <c r="AL51" s="19">
        <v>1.0</v>
      </c>
      <c r="AM51" s="19">
        <v>2.0</v>
      </c>
      <c r="AN51" s="19">
        <v>0.0</v>
      </c>
      <c r="AO51" s="19">
        <v>2.0</v>
      </c>
      <c r="AP51" s="19">
        <v>0.0</v>
      </c>
      <c r="AQ51" s="19">
        <v>2.0</v>
      </c>
      <c r="AR51" s="19">
        <v>2.0</v>
      </c>
      <c r="AS51" s="19">
        <v>0.0</v>
      </c>
      <c r="AT51" s="19">
        <v>1.0</v>
      </c>
      <c r="AU51" s="13">
        <f t="shared" si="14"/>
        <v>49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0.0</v>
      </c>
      <c r="G52" s="19">
        <v>0.0</v>
      </c>
      <c r="H52" s="19">
        <v>0.0</v>
      </c>
      <c r="I52" s="19">
        <v>0.0</v>
      </c>
      <c r="J52" s="19">
        <v>2.0</v>
      </c>
      <c r="K52" s="19">
        <v>0.0</v>
      </c>
      <c r="L52" s="19">
        <v>2.0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2.0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1.0</v>
      </c>
      <c r="AC52" s="19">
        <v>0.0</v>
      </c>
      <c r="AD52" s="19">
        <v>0.0</v>
      </c>
      <c r="AE52" s="19">
        <v>1.0</v>
      </c>
      <c r="AF52" s="19">
        <v>2.0</v>
      </c>
      <c r="AG52" s="19">
        <v>2.0</v>
      </c>
      <c r="AH52" s="19">
        <v>2.0</v>
      </c>
      <c r="AI52" s="19">
        <v>0.0</v>
      </c>
      <c r="AJ52" s="19">
        <v>0.0</v>
      </c>
      <c r="AK52" s="19">
        <v>2.0</v>
      </c>
      <c r="AL52" s="19">
        <v>0.0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1.0</v>
      </c>
      <c r="AS52" s="19">
        <v>0.0</v>
      </c>
      <c r="AT52" s="19">
        <v>0.0</v>
      </c>
      <c r="AU52" s="13">
        <f t="shared" si="14"/>
        <v>22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U55" si="15">SUM(E45:E54)</f>
        <v>7</v>
      </c>
      <c r="F55" s="13">
        <f t="shared" si="15"/>
        <v>5</v>
      </c>
      <c r="G55" s="13">
        <f t="shared" si="15"/>
        <v>6</v>
      </c>
      <c r="H55" s="13">
        <f t="shared" si="15"/>
        <v>17</v>
      </c>
      <c r="I55" s="13">
        <f t="shared" si="15"/>
        <v>18</v>
      </c>
      <c r="J55" s="13">
        <f t="shared" si="15"/>
        <v>50</v>
      </c>
      <c r="K55" s="13">
        <f t="shared" si="15"/>
        <v>9</v>
      </c>
      <c r="L55" s="13">
        <f t="shared" si="15"/>
        <v>11</v>
      </c>
      <c r="M55" s="13">
        <f t="shared" si="15"/>
        <v>3</v>
      </c>
      <c r="N55" s="13">
        <f t="shared" si="15"/>
        <v>73</v>
      </c>
      <c r="O55" s="13">
        <f t="shared" si="15"/>
        <v>37</v>
      </c>
      <c r="P55" s="13">
        <f t="shared" si="15"/>
        <v>10</v>
      </c>
      <c r="Q55" s="13">
        <f t="shared" si="15"/>
        <v>54</v>
      </c>
      <c r="R55" s="13">
        <f t="shared" si="15"/>
        <v>28</v>
      </c>
      <c r="S55" s="13">
        <f t="shared" si="15"/>
        <v>21</v>
      </c>
      <c r="T55" s="13">
        <f t="shared" si="15"/>
        <v>35</v>
      </c>
      <c r="U55" s="13">
        <f t="shared" si="15"/>
        <v>30</v>
      </c>
      <c r="V55" s="13">
        <f t="shared" si="15"/>
        <v>7</v>
      </c>
      <c r="W55" s="13">
        <f t="shared" si="15"/>
        <v>31</v>
      </c>
      <c r="X55" s="13">
        <f t="shared" si="15"/>
        <v>22</v>
      </c>
      <c r="Y55" s="13">
        <f t="shared" si="15"/>
        <v>21</v>
      </c>
      <c r="Z55" s="13">
        <f t="shared" si="15"/>
        <v>35</v>
      </c>
      <c r="AA55" s="13">
        <f t="shared" si="15"/>
        <v>45</v>
      </c>
      <c r="AB55" s="13">
        <f t="shared" si="15"/>
        <v>41</v>
      </c>
      <c r="AC55" s="13">
        <f t="shared" si="15"/>
        <v>41</v>
      </c>
      <c r="AD55" s="13">
        <f t="shared" si="15"/>
        <v>38</v>
      </c>
      <c r="AE55" s="13">
        <f t="shared" si="15"/>
        <v>56</v>
      </c>
      <c r="AF55" s="13">
        <f t="shared" si="15"/>
        <v>57</v>
      </c>
      <c r="AG55" s="13">
        <f t="shared" si="15"/>
        <v>32</v>
      </c>
      <c r="AH55" s="13">
        <f t="shared" si="15"/>
        <v>55</v>
      </c>
      <c r="AI55" s="13">
        <f t="shared" si="15"/>
        <v>48</v>
      </c>
      <c r="AJ55" s="13">
        <f t="shared" si="15"/>
        <v>49</v>
      </c>
      <c r="AK55" s="13">
        <f t="shared" si="15"/>
        <v>49</v>
      </c>
      <c r="AL55" s="13">
        <f t="shared" si="15"/>
        <v>42</v>
      </c>
      <c r="AM55" s="13">
        <f t="shared" si="15"/>
        <v>49</v>
      </c>
      <c r="AN55" s="13">
        <f t="shared" si="15"/>
        <v>39</v>
      </c>
      <c r="AO55" s="13">
        <f t="shared" si="15"/>
        <v>50</v>
      </c>
      <c r="AP55" s="13">
        <f t="shared" si="15"/>
        <v>39</v>
      </c>
      <c r="AQ55" s="13">
        <f t="shared" si="15"/>
        <v>73</v>
      </c>
      <c r="AR55" s="13">
        <f t="shared" si="15"/>
        <v>45</v>
      </c>
      <c r="AS55" s="13">
        <f t="shared" si="15"/>
        <v>45</v>
      </c>
      <c r="AT55" s="13">
        <f t="shared" si="15"/>
        <v>13</v>
      </c>
      <c r="AU55" s="13">
        <f t="shared" si="15"/>
        <v>1436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4.0</v>
      </c>
      <c r="G57" s="19">
        <v>3.0</v>
      </c>
      <c r="H57" s="19">
        <v>5.0</v>
      </c>
      <c r="I57" s="19">
        <v>6.0</v>
      </c>
      <c r="J57" s="19">
        <v>3.0</v>
      </c>
      <c r="K57" s="19">
        <v>1.0</v>
      </c>
      <c r="L57" s="19">
        <v>8.0</v>
      </c>
      <c r="M57" s="19">
        <v>2.0</v>
      </c>
      <c r="N57" s="19">
        <v>2.0</v>
      </c>
      <c r="O57" s="19">
        <v>3.0</v>
      </c>
      <c r="P57" s="19">
        <v>3.0</v>
      </c>
      <c r="Q57" s="19">
        <v>2.0</v>
      </c>
      <c r="R57" s="19">
        <v>5.0</v>
      </c>
      <c r="S57" s="19">
        <v>10.0</v>
      </c>
      <c r="T57" s="19">
        <v>13.0</v>
      </c>
      <c r="U57" s="19">
        <v>8.0</v>
      </c>
      <c r="V57" s="19">
        <v>5.0</v>
      </c>
      <c r="W57" s="19">
        <v>5.0</v>
      </c>
      <c r="X57" s="19">
        <v>9.0</v>
      </c>
      <c r="Y57" s="19">
        <v>18.0</v>
      </c>
      <c r="Z57" s="19">
        <v>4.0</v>
      </c>
      <c r="AA57" s="19">
        <v>13.0</v>
      </c>
      <c r="AB57" s="19">
        <v>6.0</v>
      </c>
      <c r="AC57" s="19">
        <v>9.0</v>
      </c>
      <c r="AD57" s="19">
        <v>6.0</v>
      </c>
      <c r="AE57" s="19">
        <v>6.0</v>
      </c>
      <c r="AF57" s="19">
        <v>5.0</v>
      </c>
      <c r="AG57" s="19">
        <v>15.0</v>
      </c>
      <c r="AH57" s="19">
        <v>7.0</v>
      </c>
      <c r="AI57" s="19">
        <v>11.0</v>
      </c>
      <c r="AJ57" s="19">
        <v>9.0</v>
      </c>
      <c r="AK57" s="19">
        <v>5.0</v>
      </c>
      <c r="AL57" s="19">
        <v>3.0</v>
      </c>
      <c r="AM57" s="19">
        <v>5.0</v>
      </c>
      <c r="AN57" s="19">
        <v>5.0</v>
      </c>
      <c r="AO57" s="19">
        <v>6.0</v>
      </c>
      <c r="AP57" s="19">
        <v>9.0</v>
      </c>
      <c r="AQ57" s="19">
        <v>8.0</v>
      </c>
      <c r="AR57" s="19">
        <v>4.0</v>
      </c>
      <c r="AS57" s="19">
        <v>4.0</v>
      </c>
      <c r="AT57" s="19">
        <v>7.0</v>
      </c>
      <c r="AU57" s="13">
        <f t="shared" ref="AU57:AU66" si="16">SUM(E57:AT57)</f>
        <v>265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5.0</v>
      </c>
      <c r="F58" s="19">
        <v>2.0</v>
      </c>
      <c r="G58" s="19">
        <v>9.0</v>
      </c>
      <c r="H58" s="19">
        <v>10.0</v>
      </c>
      <c r="I58" s="19">
        <v>20.0</v>
      </c>
      <c r="J58" s="19">
        <v>19.0</v>
      </c>
      <c r="K58" s="19">
        <v>3.0</v>
      </c>
      <c r="L58" s="19">
        <v>4.0</v>
      </c>
      <c r="M58" s="19">
        <v>5.0</v>
      </c>
      <c r="N58" s="19">
        <v>12.0</v>
      </c>
      <c r="O58" s="19">
        <v>15.0</v>
      </c>
      <c r="P58" s="19">
        <v>6.0</v>
      </c>
      <c r="Q58" s="19">
        <v>7.0</v>
      </c>
      <c r="R58" s="19">
        <v>1.0</v>
      </c>
      <c r="S58" s="19">
        <v>20.0</v>
      </c>
      <c r="T58" s="19">
        <v>33.0</v>
      </c>
      <c r="U58" s="19">
        <v>21.0</v>
      </c>
      <c r="V58" s="19">
        <v>36.0</v>
      </c>
      <c r="W58" s="19">
        <v>37.0</v>
      </c>
      <c r="X58" s="19">
        <v>32.0</v>
      </c>
      <c r="Y58" s="19">
        <v>18.0</v>
      </c>
      <c r="Z58" s="19">
        <v>22.0</v>
      </c>
      <c r="AA58" s="19">
        <v>28.0</v>
      </c>
      <c r="AB58" s="19">
        <v>40.0</v>
      </c>
      <c r="AC58" s="19">
        <v>48.0</v>
      </c>
      <c r="AD58" s="19">
        <v>19.0</v>
      </c>
      <c r="AE58" s="19">
        <v>22.0</v>
      </c>
      <c r="AF58" s="19">
        <v>32.0</v>
      </c>
      <c r="AG58" s="19">
        <v>37.0</v>
      </c>
      <c r="AH58" s="19">
        <v>19.0</v>
      </c>
      <c r="AI58" s="19">
        <v>26.0</v>
      </c>
      <c r="AJ58" s="19">
        <v>12.0</v>
      </c>
      <c r="AK58" s="19">
        <v>41.0</v>
      </c>
      <c r="AL58" s="19">
        <v>17.0</v>
      </c>
      <c r="AM58" s="19">
        <v>31.0</v>
      </c>
      <c r="AN58" s="19">
        <v>15.0</v>
      </c>
      <c r="AO58" s="19">
        <v>13.0</v>
      </c>
      <c r="AP58" s="19">
        <v>22.0</v>
      </c>
      <c r="AQ58" s="19">
        <v>25.0</v>
      </c>
      <c r="AR58" s="19">
        <v>30.0</v>
      </c>
      <c r="AS58" s="19">
        <v>18.0</v>
      </c>
      <c r="AT58" s="19">
        <v>2.0</v>
      </c>
      <c r="AU58" s="13">
        <f t="shared" si="16"/>
        <v>834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0.0</v>
      </c>
      <c r="G59" s="19">
        <v>2.0</v>
      </c>
      <c r="H59" s="19">
        <v>1.0</v>
      </c>
      <c r="I59" s="19">
        <v>1.0</v>
      </c>
      <c r="J59" s="19">
        <v>2.0</v>
      </c>
      <c r="K59" s="19">
        <v>1.0</v>
      </c>
      <c r="L59" s="19">
        <v>1.0</v>
      </c>
      <c r="M59" s="19">
        <v>3.0</v>
      </c>
      <c r="N59" s="19">
        <v>3.0</v>
      </c>
      <c r="O59" s="19">
        <v>2.0</v>
      </c>
      <c r="P59" s="19">
        <v>0.0</v>
      </c>
      <c r="Q59" s="19">
        <v>1.0</v>
      </c>
      <c r="R59" s="19">
        <v>1.0</v>
      </c>
      <c r="S59" s="19">
        <v>5.0</v>
      </c>
      <c r="T59" s="19">
        <v>2.0</v>
      </c>
      <c r="U59" s="19">
        <v>2.0</v>
      </c>
      <c r="V59" s="19">
        <v>5.0</v>
      </c>
      <c r="W59" s="19">
        <v>5.0</v>
      </c>
      <c r="X59" s="19">
        <v>5.0</v>
      </c>
      <c r="Y59" s="19">
        <v>4.0</v>
      </c>
      <c r="Z59" s="19">
        <v>1.0</v>
      </c>
      <c r="AA59" s="19">
        <v>4.0</v>
      </c>
      <c r="AB59" s="19">
        <v>6.0</v>
      </c>
      <c r="AC59" s="19">
        <v>2.0</v>
      </c>
      <c r="AD59" s="19">
        <v>2.0</v>
      </c>
      <c r="AE59" s="19">
        <v>2.0</v>
      </c>
      <c r="AF59" s="19">
        <v>1.0</v>
      </c>
      <c r="AG59" s="19">
        <v>3.0</v>
      </c>
      <c r="AH59" s="19">
        <v>0.0</v>
      </c>
      <c r="AI59" s="19">
        <v>3.0</v>
      </c>
      <c r="AJ59" s="19">
        <v>1.0</v>
      </c>
      <c r="AK59" s="19">
        <v>0.0</v>
      </c>
      <c r="AL59" s="19">
        <v>0.0</v>
      </c>
      <c r="AM59" s="19">
        <v>6.0</v>
      </c>
      <c r="AN59" s="19">
        <v>4.0</v>
      </c>
      <c r="AO59" s="19">
        <v>1.0</v>
      </c>
      <c r="AP59" s="19">
        <v>3.0</v>
      </c>
      <c r="AQ59" s="19">
        <v>0.0</v>
      </c>
      <c r="AR59" s="19">
        <v>1.0</v>
      </c>
      <c r="AS59" s="19">
        <v>3.0</v>
      </c>
      <c r="AT59" s="19">
        <v>3.0</v>
      </c>
      <c r="AU59" s="13">
        <f t="shared" si="16"/>
        <v>92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1.0</v>
      </c>
      <c r="V60" s="19">
        <v>1.0</v>
      </c>
      <c r="W60" s="19">
        <v>0.0</v>
      </c>
      <c r="X60" s="19">
        <v>0.0</v>
      </c>
      <c r="Y60" s="19">
        <v>0.0</v>
      </c>
      <c r="Z60" s="19">
        <v>0.0</v>
      </c>
      <c r="AA60" s="19">
        <v>0.0</v>
      </c>
      <c r="AB60" s="19">
        <v>4.0</v>
      </c>
      <c r="AC60" s="19">
        <v>3.0</v>
      </c>
      <c r="AD60" s="19">
        <v>2.0</v>
      </c>
      <c r="AE60" s="19">
        <v>0.0</v>
      </c>
      <c r="AF60" s="19">
        <v>0.0</v>
      </c>
      <c r="AG60" s="19">
        <v>2.0</v>
      </c>
      <c r="AH60" s="19">
        <v>1.0</v>
      </c>
      <c r="AI60" s="19">
        <v>0.0</v>
      </c>
      <c r="AJ60" s="19">
        <v>1.0</v>
      </c>
      <c r="AK60" s="19">
        <v>2.0</v>
      </c>
      <c r="AL60" s="19">
        <v>4.0</v>
      </c>
      <c r="AM60" s="19">
        <v>2.0</v>
      </c>
      <c r="AN60" s="19">
        <v>0.0</v>
      </c>
      <c r="AO60" s="19">
        <v>0.0</v>
      </c>
      <c r="AP60" s="19">
        <v>0.0</v>
      </c>
      <c r="AQ60" s="19">
        <v>0.0</v>
      </c>
      <c r="AR60" s="19">
        <v>1.0</v>
      </c>
      <c r="AS60" s="19">
        <v>1.0</v>
      </c>
      <c r="AT60" s="19">
        <v>1.0</v>
      </c>
      <c r="AU60" s="13">
        <f t="shared" si="16"/>
        <v>29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2.0</v>
      </c>
      <c r="G61" s="19">
        <v>2.0</v>
      </c>
      <c r="H61" s="19">
        <v>1.0</v>
      </c>
      <c r="I61" s="19">
        <v>2.0</v>
      </c>
      <c r="J61" s="19">
        <v>1.0</v>
      </c>
      <c r="K61" s="19">
        <v>3.0</v>
      </c>
      <c r="L61" s="19">
        <v>1.0</v>
      </c>
      <c r="M61" s="19">
        <v>0.0</v>
      </c>
      <c r="N61" s="19">
        <v>3.0</v>
      </c>
      <c r="O61" s="19">
        <v>1.0</v>
      </c>
      <c r="P61" s="19">
        <v>1.0</v>
      </c>
      <c r="Q61" s="19">
        <v>1.0</v>
      </c>
      <c r="R61" s="19">
        <v>0.0</v>
      </c>
      <c r="S61" s="19">
        <v>2.0</v>
      </c>
      <c r="T61" s="19">
        <v>1.0</v>
      </c>
      <c r="U61" s="19">
        <v>1.0</v>
      </c>
      <c r="V61" s="19">
        <v>2.0</v>
      </c>
      <c r="W61" s="19">
        <v>1.0</v>
      </c>
      <c r="X61" s="19">
        <v>1.0</v>
      </c>
      <c r="Y61" s="19">
        <v>1.0</v>
      </c>
      <c r="Z61" s="19">
        <v>4.0</v>
      </c>
      <c r="AA61" s="19">
        <v>1.0</v>
      </c>
      <c r="AB61" s="19">
        <v>13.0</v>
      </c>
      <c r="AC61" s="19">
        <v>2.0</v>
      </c>
      <c r="AD61" s="19">
        <v>5.0</v>
      </c>
      <c r="AE61" s="19">
        <v>0.0</v>
      </c>
      <c r="AF61" s="19">
        <v>6.0</v>
      </c>
      <c r="AG61" s="19">
        <v>0.0</v>
      </c>
      <c r="AH61" s="19">
        <v>3.0</v>
      </c>
      <c r="AI61" s="19">
        <v>2.0</v>
      </c>
      <c r="AJ61" s="19">
        <v>2.0</v>
      </c>
      <c r="AK61" s="19">
        <v>3.0</v>
      </c>
      <c r="AL61" s="19">
        <v>0.0</v>
      </c>
      <c r="AM61" s="19">
        <v>3.0</v>
      </c>
      <c r="AN61" s="19">
        <v>5.0</v>
      </c>
      <c r="AO61" s="19">
        <v>0.0</v>
      </c>
      <c r="AP61" s="19">
        <v>1.0</v>
      </c>
      <c r="AQ61" s="19">
        <v>2.0</v>
      </c>
      <c r="AR61" s="19">
        <v>2.0</v>
      </c>
      <c r="AS61" s="19">
        <v>0.0</v>
      </c>
      <c r="AT61" s="19">
        <v>2.0</v>
      </c>
      <c r="AU61" s="13">
        <f t="shared" si="16"/>
        <v>83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2.0</v>
      </c>
      <c r="W62" s="19">
        <v>0.0</v>
      </c>
      <c r="X62" s="19">
        <v>0.0</v>
      </c>
      <c r="Y62" s="19">
        <v>1.0</v>
      </c>
      <c r="Z62" s="19">
        <v>0.0</v>
      </c>
      <c r="AA62" s="19">
        <v>1.0</v>
      </c>
      <c r="AB62" s="19">
        <v>0.0</v>
      </c>
      <c r="AC62" s="19">
        <v>0.0</v>
      </c>
      <c r="AD62" s="19">
        <v>1.0</v>
      </c>
      <c r="AE62" s="19">
        <v>0.0</v>
      </c>
      <c r="AF62" s="19">
        <v>0.0</v>
      </c>
      <c r="AG62" s="19">
        <v>1.0</v>
      </c>
      <c r="AH62" s="19">
        <v>1.0</v>
      </c>
      <c r="AI62" s="19">
        <v>0.0</v>
      </c>
      <c r="AJ62" s="19">
        <v>0.0</v>
      </c>
      <c r="AK62" s="19">
        <v>1.0</v>
      </c>
      <c r="AL62" s="19">
        <v>1.0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1.0</v>
      </c>
      <c r="AT62" s="19">
        <v>1.0</v>
      </c>
      <c r="AU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2.0</v>
      </c>
      <c r="Q63" s="19">
        <v>1.0</v>
      </c>
      <c r="R63" s="19">
        <v>0.0</v>
      </c>
      <c r="S63" s="19">
        <v>3.0</v>
      </c>
      <c r="T63" s="19">
        <v>1.0</v>
      </c>
      <c r="U63" s="19">
        <v>0.0</v>
      </c>
      <c r="V63" s="19">
        <v>0.0</v>
      </c>
      <c r="W63" s="19">
        <v>0.0</v>
      </c>
      <c r="X63" s="19">
        <v>0.0</v>
      </c>
      <c r="Y63" s="19">
        <v>2.0</v>
      </c>
      <c r="Z63" s="19">
        <v>2.0</v>
      </c>
      <c r="AA63" s="19">
        <v>2.0</v>
      </c>
      <c r="AB63" s="19">
        <v>0.0</v>
      </c>
      <c r="AC63" s="19">
        <v>0.0</v>
      </c>
      <c r="AD63" s="19">
        <v>1.0</v>
      </c>
      <c r="AE63" s="19">
        <v>0.0</v>
      </c>
      <c r="AF63" s="19">
        <v>1.0</v>
      </c>
      <c r="AG63" s="19">
        <v>0.0</v>
      </c>
      <c r="AH63" s="19">
        <v>0.0</v>
      </c>
      <c r="AI63" s="19">
        <v>2.0</v>
      </c>
      <c r="AJ63" s="19">
        <v>1.0</v>
      </c>
      <c r="AK63" s="19">
        <v>1.0</v>
      </c>
      <c r="AL63" s="19">
        <v>0.0</v>
      </c>
      <c r="AM63" s="19">
        <v>1.0</v>
      </c>
      <c r="AN63" s="19">
        <v>0.0</v>
      </c>
      <c r="AO63" s="19">
        <v>0.0</v>
      </c>
      <c r="AP63" s="19">
        <v>0.0</v>
      </c>
      <c r="AQ63" s="19">
        <v>0.0</v>
      </c>
      <c r="AR63" s="19">
        <v>1.0</v>
      </c>
      <c r="AS63" s="19">
        <v>1.0</v>
      </c>
      <c r="AT63" s="19">
        <v>1.0</v>
      </c>
      <c r="AU63" s="13">
        <f t="shared" si="16"/>
        <v>25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2.0</v>
      </c>
      <c r="M64" s="19">
        <v>0.0</v>
      </c>
      <c r="N64" s="19">
        <v>0.0</v>
      </c>
      <c r="O64" s="19">
        <v>1.0</v>
      </c>
      <c r="P64" s="19">
        <v>1.0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5.0</v>
      </c>
      <c r="W64" s="19">
        <v>1.0</v>
      </c>
      <c r="X64" s="19">
        <v>0.0</v>
      </c>
      <c r="Y64" s="19">
        <v>0.0</v>
      </c>
      <c r="Z64" s="19">
        <v>0.0</v>
      </c>
      <c r="AA64" s="19">
        <v>2.0</v>
      </c>
      <c r="AB64" s="19">
        <v>1.0</v>
      </c>
      <c r="AC64" s="19">
        <v>1.0</v>
      </c>
      <c r="AD64" s="19">
        <v>1.0</v>
      </c>
      <c r="AE64" s="19">
        <v>0.0</v>
      </c>
      <c r="AF64" s="19">
        <v>1.0</v>
      </c>
      <c r="AG64" s="19">
        <v>1.0</v>
      </c>
      <c r="AH64" s="19">
        <v>1.0</v>
      </c>
      <c r="AI64" s="19">
        <v>2.0</v>
      </c>
      <c r="AJ64" s="19">
        <v>1.0</v>
      </c>
      <c r="AK64" s="19">
        <v>0.0</v>
      </c>
      <c r="AL64" s="19">
        <v>0.0</v>
      </c>
      <c r="AM64" s="19">
        <v>0.0</v>
      </c>
      <c r="AN64" s="19">
        <v>1.0</v>
      </c>
      <c r="AO64" s="19">
        <v>1.0</v>
      </c>
      <c r="AP64" s="19">
        <v>0.0</v>
      </c>
      <c r="AQ64" s="19">
        <v>0.0</v>
      </c>
      <c r="AR64" s="19">
        <v>0.0</v>
      </c>
      <c r="AS64" s="19">
        <v>0.0</v>
      </c>
      <c r="AT64" s="19">
        <v>0.0</v>
      </c>
      <c r="AU64" s="13">
        <f t="shared" si="16"/>
        <v>26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U67" si="17">SUM(E57:E66)</f>
        <v>8</v>
      </c>
      <c r="F67" s="13">
        <f t="shared" si="17"/>
        <v>9</v>
      </c>
      <c r="G67" s="13">
        <f t="shared" si="17"/>
        <v>17</v>
      </c>
      <c r="H67" s="13">
        <f t="shared" si="17"/>
        <v>19</v>
      </c>
      <c r="I67" s="13">
        <f t="shared" si="17"/>
        <v>29</v>
      </c>
      <c r="J67" s="13">
        <f t="shared" si="17"/>
        <v>26</v>
      </c>
      <c r="K67" s="13">
        <f t="shared" si="17"/>
        <v>8</v>
      </c>
      <c r="L67" s="13">
        <f t="shared" si="17"/>
        <v>17</v>
      </c>
      <c r="M67" s="13">
        <f t="shared" si="17"/>
        <v>11</v>
      </c>
      <c r="N67" s="13">
        <f t="shared" si="17"/>
        <v>21</v>
      </c>
      <c r="O67" s="13">
        <f t="shared" si="17"/>
        <v>22</v>
      </c>
      <c r="P67" s="13">
        <f t="shared" si="17"/>
        <v>13</v>
      </c>
      <c r="Q67" s="13">
        <f t="shared" si="17"/>
        <v>13</v>
      </c>
      <c r="R67" s="13">
        <f t="shared" si="17"/>
        <v>7</v>
      </c>
      <c r="S67" s="13">
        <f t="shared" si="17"/>
        <v>40</v>
      </c>
      <c r="T67" s="13">
        <f t="shared" si="17"/>
        <v>50</v>
      </c>
      <c r="U67" s="13">
        <f t="shared" si="17"/>
        <v>33</v>
      </c>
      <c r="V67" s="13">
        <f t="shared" si="17"/>
        <v>56</v>
      </c>
      <c r="W67" s="13">
        <f t="shared" si="17"/>
        <v>49</v>
      </c>
      <c r="X67" s="13">
        <f t="shared" si="17"/>
        <v>47</v>
      </c>
      <c r="Y67" s="13">
        <f t="shared" si="17"/>
        <v>44</v>
      </c>
      <c r="Z67" s="13">
        <f t="shared" si="17"/>
        <v>33</v>
      </c>
      <c r="AA67" s="13">
        <f t="shared" si="17"/>
        <v>51</v>
      </c>
      <c r="AB67" s="13">
        <f t="shared" si="17"/>
        <v>70</v>
      </c>
      <c r="AC67" s="13">
        <f t="shared" si="17"/>
        <v>65</v>
      </c>
      <c r="AD67" s="13">
        <f t="shared" si="17"/>
        <v>37</v>
      </c>
      <c r="AE67" s="13">
        <f t="shared" si="17"/>
        <v>30</v>
      </c>
      <c r="AF67" s="13">
        <f t="shared" si="17"/>
        <v>46</v>
      </c>
      <c r="AG67" s="13">
        <f t="shared" si="17"/>
        <v>59</v>
      </c>
      <c r="AH67" s="13">
        <f t="shared" si="17"/>
        <v>32</v>
      </c>
      <c r="AI67" s="13">
        <f t="shared" si="17"/>
        <v>46</v>
      </c>
      <c r="AJ67" s="13">
        <f t="shared" si="17"/>
        <v>27</v>
      </c>
      <c r="AK67" s="13">
        <f t="shared" si="17"/>
        <v>53</v>
      </c>
      <c r="AL67" s="13">
        <f t="shared" si="17"/>
        <v>25</v>
      </c>
      <c r="AM67" s="13">
        <f t="shared" si="17"/>
        <v>48</v>
      </c>
      <c r="AN67" s="13">
        <f t="shared" si="17"/>
        <v>30</v>
      </c>
      <c r="AO67" s="13">
        <f t="shared" si="17"/>
        <v>21</v>
      </c>
      <c r="AP67" s="13">
        <f t="shared" si="17"/>
        <v>35</v>
      </c>
      <c r="AQ67" s="13">
        <f t="shared" si="17"/>
        <v>35</v>
      </c>
      <c r="AR67" s="13">
        <f t="shared" si="17"/>
        <v>39</v>
      </c>
      <c r="AS67" s="13">
        <f t="shared" si="17"/>
        <v>28</v>
      </c>
      <c r="AT67" s="13">
        <f t="shared" si="17"/>
        <v>17</v>
      </c>
      <c r="AU67" s="13">
        <f t="shared" si="17"/>
        <v>1366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8.0</v>
      </c>
      <c r="G69" s="19">
        <v>13.0</v>
      </c>
      <c r="H69" s="19">
        <v>11.0</v>
      </c>
      <c r="I69" s="19">
        <v>7.0</v>
      </c>
      <c r="J69" s="19">
        <v>8.0</v>
      </c>
      <c r="K69" s="19">
        <v>7.0</v>
      </c>
      <c r="L69" s="19">
        <v>7.0</v>
      </c>
      <c r="M69" s="19">
        <v>0.0</v>
      </c>
      <c r="N69" s="19">
        <v>8.0</v>
      </c>
      <c r="O69" s="19">
        <v>6.0</v>
      </c>
      <c r="P69" s="19">
        <v>1.0</v>
      </c>
      <c r="Q69" s="19">
        <v>2.0</v>
      </c>
      <c r="R69" s="19">
        <v>3.0</v>
      </c>
      <c r="S69" s="19">
        <v>6.0</v>
      </c>
      <c r="T69" s="19">
        <v>5.0</v>
      </c>
      <c r="U69" s="19">
        <v>8.0</v>
      </c>
      <c r="V69" s="19">
        <v>17.0</v>
      </c>
      <c r="W69" s="19">
        <v>7.0</v>
      </c>
      <c r="X69" s="19">
        <v>5.0</v>
      </c>
      <c r="Y69" s="19">
        <v>15.0</v>
      </c>
      <c r="Z69" s="19">
        <v>5.0</v>
      </c>
      <c r="AA69" s="19">
        <v>1.0</v>
      </c>
      <c r="AB69" s="19">
        <v>2.0</v>
      </c>
      <c r="AC69" s="19">
        <v>6.0</v>
      </c>
      <c r="AD69" s="19">
        <v>5.0</v>
      </c>
      <c r="AE69" s="19">
        <v>4.0</v>
      </c>
      <c r="AF69" s="19">
        <v>2.0</v>
      </c>
      <c r="AG69" s="19">
        <v>6.0</v>
      </c>
      <c r="AH69" s="19">
        <v>2.0</v>
      </c>
      <c r="AI69" s="19">
        <v>2.0</v>
      </c>
      <c r="AJ69" s="19">
        <v>4.0</v>
      </c>
      <c r="AK69" s="19">
        <v>1.0</v>
      </c>
      <c r="AL69" s="19">
        <v>5.0</v>
      </c>
      <c r="AM69" s="19">
        <v>4.0</v>
      </c>
      <c r="AN69" s="19">
        <v>2.0</v>
      </c>
      <c r="AO69" s="19">
        <v>9.0</v>
      </c>
      <c r="AP69" s="19">
        <v>0.0</v>
      </c>
      <c r="AQ69" s="19">
        <v>0.0</v>
      </c>
      <c r="AR69" s="19">
        <v>2.0</v>
      </c>
      <c r="AS69" s="19">
        <v>4.0</v>
      </c>
      <c r="AT69" s="19">
        <v>7.0</v>
      </c>
      <c r="AU69" s="13">
        <f t="shared" ref="AU69:AU78" si="18">SUM(E69:AT69)</f>
        <v>221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4.0</v>
      </c>
      <c r="F70" s="19">
        <v>1.0</v>
      </c>
      <c r="G70" s="19">
        <v>1.0</v>
      </c>
      <c r="H70" s="19">
        <v>4.0</v>
      </c>
      <c r="I70" s="19">
        <v>11.0</v>
      </c>
      <c r="J70" s="19">
        <v>9.0</v>
      </c>
      <c r="K70" s="19">
        <v>12.0</v>
      </c>
      <c r="L70" s="19">
        <v>7.0</v>
      </c>
      <c r="M70" s="19">
        <v>3.0</v>
      </c>
      <c r="N70" s="19">
        <v>1.0</v>
      </c>
      <c r="O70" s="19">
        <v>2.0</v>
      </c>
      <c r="P70" s="19">
        <v>4.0</v>
      </c>
      <c r="Q70" s="19">
        <v>2.0</v>
      </c>
      <c r="R70" s="19">
        <v>1.0</v>
      </c>
      <c r="S70" s="19">
        <v>4.0</v>
      </c>
      <c r="T70" s="19">
        <v>3.0</v>
      </c>
      <c r="U70" s="19">
        <v>2.0</v>
      </c>
      <c r="V70" s="19">
        <v>9.0</v>
      </c>
      <c r="W70" s="19">
        <v>5.0</v>
      </c>
      <c r="X70" s="19">
        <v>7.0</v>
      </c>
      <c r="Y70" s="19">
        <v>1.0</v>
      </c>
      <c r="Z70" s="19">
        <v>6.0</v>
      </c>
      <c r="AA70" s="19">
        <v>4.0</v>
      </c>
      <c r="AB70" s="19">
        <v>2.0</v>
      </c>
      <c r="AC70" s="19">
        <v>6.0</v>
      </c>
      <c r="AD70" s="19">
        <v>1.0</v>
      </c>
      <c r="AE70" s="19">
        <v>1.0</v>
      </c>
      <c r="AF70" s="19">
        <v>4.0</v>
      </c>
      <c r="AG70" s="19">
        <v>3.0</v>
      </c>
      <c r="AH70" s="19">
        <v>3.0</v>
      </c>
      <c r="AI70" s="19">
        <v>3.0</v>
      </c>
      <c r="AJ70" s="19">
        <v>3.0</v>
      </c>
      <c r="AK70" s="19">
        <v>2.0</v>
      </c>
      <c r="AL70" s="19">
        <v>7.0</v>
      </c>
      <c r="AM70" s="19">
        <v>5.0</v>
      </c>
      <c r="AN70" s="19">
        <v>9.0</v>
      </c>
      <c r="AO70" s="19">
        <v>8.0</v>
      </c>
      <c r="AP70" s="19">
        <v>9.0</v>
      </c>
      <c r="AQ70" s="19">
        <v>7.0</v>
      </c>
      <c r="AR70" s="19">
        <v>21.0</v>
      </c>
      <c r="AS70" s="19">
        <v>3.0</v>
      </c>
      <c r="AT70" s="19">
        <v>7.0</v>
      </c>
      <c r="AU70" s="13">
        <f t="shared" si="18"/>
        <v>207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4.0</v>
      </c>
      <c r="G71" s="19">
        <v>0.0</v>
      </c>
      <c r="H71" s="19">
        <v>0.0</v>
      </c>
      <c r="I71" s="19">
        <v>0.0</v>
      </c>
      <c r="J71" s="19">
        <v>1.0</v>
      </c>
      <c r="K71" s="19">
        <v>2.0</v>
      </c>
      <c r="L71" s="19">
        <v>5.0</v>
      </c>
      <c r="M71" s="19">
        <v>0.0</v>
      </c>
      <c r="N71" s="19">
        <v>0.0</v>
      </c>
      <c r="O71" s="19">
        <v>2.0</v>
      </c>
      <c r="P71" s="19">
        <v>1.0</v>
      </c>
      <c r="Q71" s="19">
        <v>0.0</v>
      </c>
      <c r="R71" s="19">
        <v>3.0</v>
      </c>
      <c r="S71" s="19">
        <v>0.0</v>
      </c>
      <c r="T71" s="19">
        <v>0.0</v>
      </c>
      <c r="U71" s="19">
        <v>0.0</v>
      </c>
      <c r="V71" s="19">
        <v>0.0</v>
      </c>
      <c r="W71" s="19">
        <v>5.0</v>
      </c>
      <c r="X71" s="19">
        <v>0.0</v>
      </c>
      <c r="Y71" s="19">
        <v>2.0</v>
      </c>
      <c r="Z71" s="19">
        <v>1.0</v>
      </c>
      <c r="AA71" s="19">
        <v>1.0</v>
      </c>
      <c r="AB71" s="19">
        <v>0.0</v>
      </c>
      <c r="AC71" s="19">
        <v>2.0</v>
      </c>
      <c r="AD71" s="19">
        <v>1.0</v>
      </c>
      <c r="AE71" s="19">
        <v>0.0</v>
      </c>
      <c r="AF71" s="19">
        <v>2.0</v>
      </c>
      <c r="AG71" s="19">
        <v>0.0</v>
      </c>
      <c r="AH71" s="19">
        <v>0.0</v>
      </c>
      <c r="AI71" s="19">
        <v>1.0</v>
      </c>
      <c r="AJ71" s="19">
        <v>0.0</v>
      </c>
      <c r="AK71" s="19">
        <v>1.0</v>
      </c>
      <c r="AL71" s="19">
        <v>0.0</v>
      </c>
      <c r="AM71" s="19">
        <v>1.0</v>
      </c>
      <c r="AN71" s="19">
        <v>2.0</v>
      </c>
      <c r="AO71" s="19">
        <v>1.0</v>
      </c>
      <c r="AP71" s="19">
        <v>0.0</v>
      </c>
      <c r="AQ71" s="19">
        <v>0.0</v>
      </c>
      <c r="AR71" s="19">
        <v>0.0</v>
      </c>
      <c r="AS71" s="19">
        <v>1.0</v>
      </c>
      <c r="AT71" s="19">
        <v>4.0</v>
      </c>
      <c r="AU71" s="13">
        <f t="shared" si="18"/>
        <v>43</v>
      </c>
    </row>
    <row r="72" ht="12.75" customHeight="1">
      <c r="A72" s="18"/>
      <c r="B72" s="55">
        <v>3.0</v>
      </c>
      <c r="C72" s="50" t="s">
        <v>59</v>
      </c>
      <c r="D72" s="60"/>
      <c r="E72" s="19">
        <v>21.0</v>
      </c>
      <c r="F72" s="19">
        <v>26.0</v>
      </c>
      <c r="G72" s="19">
        <v>16.0</v>
      </c>
      <c r="H72" s="19">
        <v>29.0</v>
      </c>
      <c r="I72" s="19">
        <v>23.0</v>
      </c>
      <c r="J72" s="19">
        <v>11.0</v>
      </c>
      <c r="K72" s="19">
        <v>2.0</v>
      </c>
      <c r="L72" s="19">
        <v>11.0</v>
      </c>
      <c r="M72" s="19">
        <v>1.0</v>
      </c>
      <c r="N72" s="19">
        <v>25.0</v>
      </c>
      <c r="O72" s="19">
        <v>4.0</v>
      </c>
      <c r="P72" s="19">
        <v>2.0</v>
      </c>
      <c r="Q72" s="19">
        <v>1.0</v>
      </c>
      <c r="R72" s="19">
        <v>1.0</v>
      </c>
      <c r="S72" s="19">
        <v>4.0</v>
      </c>
      <c r="T72" s="19">
        <v>6.0</v>
      </c>
      <c r="U72" s="19">
        <v>5.0</v>
      </c>
      <c r="V72" s="19">
        <v>33.0</v>
      </c>
      <c r="W72" s="19">
        <v>12.0</v>
      </c>
      <c r="X72" s="19">
        <v>18.0</v>
      </c>
      <c r="Y72" s="19">
        <v>49.0</v>
      </c>
      <c r="Z72" s="19">
        <v>3.0</v>
      </c>
      <c r="AA72" s="19">
        <v>5.0</v>
      </c>
      <c r="AB72" s="19">
        <v>5.0</v>
      </c>
      <c r="AC72" s="19">
        <v>4.0</v>
      </c>
      <c r="AD72" s="19">
        <v>6.0</v>
      </c>
      <c r="AE72" s="19">
        <v>8.0</v>
      </c>
      <c r="AF72" s="19">
        <v>5.0</v>
      </c>
      <c r="AG72" s="19">
        <v>14.0</v>
      </c>
      <c r="AH72" s="19">
        <v>5.0</v>
      </c>
      <c r="AI72" s="19">
        <v>10.0</v>
      </c>
      <c r="AJ72" s="19">
        <v>9.0</v>
      </c>
      <c r="AK72" s="19">
        <v>13.0</v>
      </c>
      <c r="AL72" s="19">
        <v>9.0</v>
      </c>
      <c r="AM72" s="19">
        <v>3.0</v>
      </c>
      <c r="AN72" s="19">
        <v>36.0</v>
      </c>
      <c r="AO72" s="19">
        <v>29.0</v>
      </c>
      <c r="AP72" s="19">
        <v>8.0</v>
      </c>
      <c r="AQ72" s="19">
        <v>12.0</v>
      </c>
      <c r="AR72" s="19">
        <v>4.0</v>
      </c>
      <c r="AS72" s="19">
        <v>6.0</v>
      </c>
      <c r="AT72" s="19">
        <v>29.0</v>
      </c>
      <c r="AU72" s="13">
        <f t="shared" si="18"/>
        <v>523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2.0</v>
      </c>
      <c r="I73" s="19">
        <v>0.0</v>
      </c>
      <c r="J73" s="19">
        <v>2.0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1.0</v>
      </c>
      <c r="U73" s="19">
        <v>0.0</v>
      </c>
      <c r="V73" s="19">
        <v>0.0</v>
      </c>
      <c r="W73" s="19">
        <v>1.0</v>
      </c>
      <c r="X73" s="19">
        <v>0.0</v>
      </c>
      <c r="Y73" s="19">
        <v>1.0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19">
        <v>1.0</v>
      </c>
      <c r="AG73" s="19">
        <v>1.0</v>
      </c>
      <c r="AH73" s="19">
        <v>0.0</v>
      </c>
      <c r="AI73" s="19">
        <v>0.0</v>
      </c>
      <c r="AJ73" s="19">
        <v>1.0</v>
      </c>
      <c r="AK73" s="19">
        <v>1.0</v>
      </c>
      <c r="AL73" s="19">
        <v>0.0</v>
      </c>
      <c r="AM73" s="19">
        <v>0.0</v>
      </c>
      <c r="AN73" s="19">
        <v>3.0</v>
      </c>
      <c r="AO73" s="19">
        <v>0.0</v>
      </c>
      <c r="AP73" s="19">
        <v>1.0</v>
      </c>
      <c r="AQ73" s="19">
        <v>0.0</v>
      </c>
      <c r="AR73" s="19">
        <v>0.0</v>
      </c>
      <c r="AS73" s="19">
        <v>0.0</v>
      </c>
      <c r="AT73" s="19">
        <v>0.0</v>
      </c>
      <c r="AU73" s="13">
        <f t="shared" si="18"/>
        <v>16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0.0</v>
      </c>
      <c r="G74" s="19">
        <v>0.0</v>
      </c>
      <c r="H74" s="19">
        <v>2.0</v>
      </c>
      <c r="I74" s="19">
        <v>0.0</v>
      </c>
      <c r="J74" s="19">
        <v>1.0</v>
      </c>
      <c r="K74" s="19">
        <v>0.0</v>
      </c>
      <c r="L74" s="19">
        <v>1.0</v>
      </c>
      <c r="M74" s="19">
        <v>2.0</v>
      </c>
      <c r="N74" s="19">
        <v>1.0</v>
      </c>
      <c r="O74" s="19">
        <v>2.0</v>
      </c>
      <c r="P74" s="19">
        <v>1.0</v>
      </c>
      <c r="Q74" s="19">
        <v>1.0</v>
      </c>
      <c r="R74" s="19">
        <v>2.0</v>
      </c>
      <c r="S74" s="19">
        <v>2.0</v>
      </c>
      <c r="T74" s="19">
        <v>1.0</v>
      </c>
      <c r="U74" s="19">
        <v>0.0</v>
      </c>
      <c r="V74" s="19">
        <v>2.0</v>
      </c>
      <c r="W74" s="19">
        <v>0.0</v>
      </c>
      <c r="X74" s="19">
        <v>7.0</v>
      </c>
      <c r="Y74" s="19">
        <v>0.0</v>
      </c>
      <c r="Z74" s="19">
        <v>0.0</v>
      </c>
      <c r="AA74" s="19">
        <v>1.0</v>
      </c>
      <c r="AB74" s="19">
        <v>3.0</v>
      </c>
      <c r="AC74" s="19">
        <v>1.0</v>
      </c>
      <c r="AD74" s="19">
        <v>1.0</v>
      </c>
      <c r="AE74" s="19">
        <v>2.0</v>
      </c>
      <c r="AF74" s="19">
        <v>3.0</v>
      </c>
      <c r="AG74" s="19">
        <v>3.0</v>
      </c>
      <c r="AH74" s="19">
        <v>5.0</v>
      </c>
      <c r="AI74" s="19">
        <v>0.0</v>
      </c>
      <c r="AJ74" s="19">
        <v>0.0</v>
      </c>
      <c r="AK74" s="19">
        <v>3.0</v>
      </c>
      <c r="AL74" s="19">
        <v>1.0</v>
      </c>
      <c r="AM74" s="19">
        <v>2.0</v>
      </c>
      <c r="AN74" s="19">
        <v>0.0</v>
      </c>
      <c r="AO74" s="19">
        <v>0.0</v>
      </c>
      <c r="AP74" s="19">
        <v>2.0</v>
      </c>
      <c r="AQ74" s="19">
        <v>2.0</v>
      </c>
      <c r="AR74" s="19">
        <v>0.0</v>
      </c>
      <c r="AS74" s="19">
        <v>2.0</v>
      </c>
      <c r="AT74" s="19">
        <v>3.0</v>
      </c>
      <c r="AU74" s="13">
        <f t="shared" si="18"/>
        <v>60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1.0</v>
      </c>
      <c r="G75" s="19">
        <v>1.0</v>
      </c>
      <c r="H75" s="19">
        <v>0.0</v>
      </c>
      <c r="I75" s="19">
        <v>1.0</v>
      </c>
      <c r="J75" s="19">
        <v>1.0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1.0</v>
      </c>
      <c r="Q75" s="19">
        <v>0.0</v>
      </c>
      <c r="R75" s="19">
        <v>1.0</v>
      </c>
      <c r="S75" s="19">
        <v>2.0</v>
      </c>
      <c r="T75" s="19">
        <v>2.0</v>
      </c>
      <c r="U75" s="19">
        <v>1.0</v>
      </c>
      <c r="V75" s="19">
        <v>0.0</v>
      </c>
      <c r="W75" s="19">
        <v>0.0</v>
      </c>
      <c r="X75" s="19">
        <v>1.0</v>
      </c>
      <c r="Y75" s="19">
        <v>0.0</v>
      </c>
      <c r="Z75" s="19">
        <v>1.0</v>
      </c>
      <c r="AA75" s="19">
        <v>0.0</v>
      </c>
      <c r="AB75" s="19">
        <v>1.0</v>
      </c>
      <c r="AC75" s="19">
        <v>0.0</v>
      </c>
      <c r="AD75" s="19">
        <v>1.0</v>
      </c>
      <c r="AE75" s="19">
        <v>0.0</v>
      </c>
      <c r="AF75" s="19">
        <v>1.0</v>
      </c>
      <c r="AG75" s="19">
        <v>1.0</v>
      </c>
      <c r="AH75" s="19">
        <v>1.0</v>
      </c>
      <c r="AI75" s="19">
        <v>1.0</v>
      </c>
      <c r="AJ75" s="19">
        <v>0.0</v>
      </c>
      <c r="AK75" s="19">
        <v>0.0</v>
      </c>
      <c r="AL75" s="19">
        <v>0.0</v>
      </c>
      <c r="AM75" s="19">
        <v>0.0</v>
      </c>
      <c r="AN75" s="19">
        <v>1.0</v>
      </c>
      <c r="AO75" s="19">
        <v>0.0</v>
      </c>
      <c r="AP75" s="19">
        <v>3.0</v>
      </c>
      <c r="AQ75" s="19">
        <v>0.0</v>
      </c>
      <c r="AR75" s="19">
        <v>0.0</v>
      </c>
      <c r="AS75" s="19">
        <v>0.0</v>
      </c>
      <c r="AT75" s="19">
        <v>0.0</v>
      </c>
      <c r="AU75" s="13">
        <f t="shared" si="18"/>
        <v>25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3.0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3.0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1.0</v>
      </c>
      <c r="AL76" s="19">
        <v>3.0</v>
      </c>
      <c r="AM76" s="19">
        <v>0.0</v>
      </c>
      <c r="AN76" s="19">
        <v>0.0</v>
      </c>
      <c r="AO76" s="19">
        <v>1.0</v>
      </c>
      <c r="AP76" s="19">
        <v>0.0</v>
      </c>
      <c r="AQ76" s="19">
        <v>0.0</v>
      </c>
      <c r="AR76" s="19">
        <v>0.0</v>
      </c>
      <c r="AS76" s="19">
        <v>0.0</v>
      </c>
      <c r="AT76" s="19">
        <v>0.0</v>
      </c>
      <c r="AU76" s="13">
        <f t="shared" si="18"/>
        <v>13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U79" si="19">SUM(E69:E78)</f>
        <v>31</v>
      </c>
      <c r="F79" s="13">
        <f t="shared" si="19"/>
        <v>40</v>
      </c>
      <c r="G79" s="13">
        <f t="shared" si="19"/>
        <v>31</v>
      </c>
      <c r="H79" s="13">
        <f t="shared" si="19"/>
        <v>49</v>
      </c>
      <c r="I79" s="13">
        <f t="shared" si="19"/>
        <v>42</v>
      </c>
      <c r="J79" s="13">
        <f t="shared" si="19"/>
        <v>33</v>
      </c>
      <c r="K79" s="13">
        <f t="shared" si="19"/>
        <v>23</v>
      </c>
      <c r="L79" s="13">
        <f t="shared" si="19"/>
        <v>31</v>
      </c>
      <c r="M79" s="13">
        <f t="shared" si="19"/>
        <v>6</v>
      </c>
      <c r="N79" s="13">
        <f t="shared" si="19"/>
        <v>39</v>
      </c>
      <c r="O79" s="13">
        <f t="shared" si="19"/>
        <v>16</v>
      </c>
      <c r="P79" s="13">
        <f t="shared" si="19"/>
        <v>10</v>
      </c>
      <c r="Q79" s="13">
        <f t="shared" si="19"/>
        <v>7</v>
      </c>
      <c r="R79" s="13">
        <f t="shared" si="19"/>
        <v>11</v>
      </c>
      <c r="S79" s="13">
        <f t="shared" si="19"/>
        <v>18</v>
      </c>
      <c r="T79" s="13">
        <f t="shared" si="19"/>
        <v>18</v>
      </c>
      <c r="U79" s="13">
        <f t="shared" si="19"/>
        <v>16</v>
      </c>
      <c r="V79" s="13">
        <f t="shared" si="19"/>
        <v>62</v>
      </c>
      <c r="W79" s="13">
        <f t="shared" si="19"/>
        <v>30</v>
      </c>
      <c r="X79" s="13">
        <f t="shared" si="19"/>
        <v>41</v>
      </c>
      <c r="Y79" s="13">
        <f t="shared" si="19"/>
        <v>68</v>
      </c>
      <c r="Z79" s="13">
        <f t="shared" si="19"/>
        <v>16</v>
      </c>
      <c r="AA79" s="13">
        <f t="shared" si="19"/>
        <v>12</v>
      </c>
      <c r="AB79" s="13">
        <f t="shared" si="19"/>
        <v>13</v>
      </c>
      <c r="AC79" s="13">
        <f t="shared" si="19"/>
        <v>19</v>
      </c>
      <c r="AD79" s="13">
        <f t="shared" si="19"/>
        <v>15</v>
      </c>
      <c r="AE79" s="13">
        <f t="shared" si="19"/>
        <v>15</v>
      </c>
      <c r="AF79" s="13">
        <f t="shared" si="19"/>
        <v>18</v>
      </c>
      <c r="AG79" s="13">
        <f t="shared" si="19"/>
        <v>28</v>
      </c>
      <c r="AH79" s="13">
        <f t="shared" si="19"/>
        <v>16</v>
      </c>
      <c r="AI79" s="13">
        <f t="shared" si="19"/>
        <v>17</v>
      </c>
      <c r="AJ79" s="13">
        <f t="shared" si="19"/>
        <v>17</v>
      </c>
      <c r="AK79" s="13">
        <f t="shared" si="19"/>
        <v>22</v>
      </c>
      <c r="AL79" s="13">
        <f t="shared" si="19"/>
        <v>25</v>
      </c>
      <c r="AM79" s="13">
        <f t="shared" si="19"/>
        <v>15</v>
      </c>
      <c r="AN79" s="13">
        <f t="shared" si="19"/>
        <v>53</v>
      </c>
      <c r="AO79" s="13">
        <f t="shared" si="19"/>
        <v>48</v>
      </c>
      <c r="AP79" s="13">
        <f t="shared" si="19"/>
        <v>23</v>
      </c>
      <c r="AQ79" s="13">
        <f t="shared" si="19"/>
        <v>21</v>
      </c>
      <c r="AR79" s="13">
        <f t="shared" si="19"/>
        <v>27</v>
      </c>
      <c r="AS79" s="13">
        <f t="shared" si="19"/>
        <v>16</v>
      </c>
      <c r="AT79" s="13">
        <f t="shared" si="19"/>
        <v>50</v>
      </c>
      <c r="AU79" s="13">
        <f t="shared" si="19"/>
        <v>1108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2.0</v>
      </c>
      <c r="G81" s="19">
        <v>3.0</v>
      </c>
      <c r="H81" s="19">
        <v>1.0</v>
      </c>
      <c r="I81" s="19">
        <v>0.0</v>
      </c>
      <c r="J81" s="19">
        <v>8.0</v>
      </c>
      <c r="K81" s="19">
        <v>2.0</v>
      </c>
      <c r="L81" s="19">
        <v>0.0</v>
      </c>
      <c r="M81" s="19">
        <v>0.0</v>
      </c>
      <c r="N81" s="19">
        <v>3.0</v>
      </c>
      <c r="O81" s="19">
        <v>2.0</v>
      </c>
      <c r="P81" s="19">
        <v>0.0</v>
      </c>
      <c r="Q81" s="19">
        <v>1.0</v>
      </c>
      <c r="R81" s="19">
        <v>1.0</v>
      </c>
      <c r="S81" s="19">
        <v>1.0</v>
      </c>
      <c r="T81" s="19">
        <v>0.0</v>
      </c>
      <c r="U81" s="19">
        <v>1.0</v>
      </c>
      <c r="V81" s="19">
        <v>2.0</v>
      </c>
      <c r="W81" s="19">
        <v>3.0</v>
      </c>
      <c r="X81" s="19">
        <v>4.0</v>
      </c>
      <c r="Y81" s="19">
        <v>2.0</v>
      </c>
      <c r="Z81" s="19">
        <v>1.0</v>
      </c>
      <c r="AA81" s="19">
        <v>0.0</v>
      </c>
      <c r="AB81" s="19">
        <v>2.0</v>
      </c>
      <c r="AC81" s="19">
        <v>1.0</v>
      </c>
      <c r="AD81" s="19">
        <v>4.0</v>
      </c>
      <c r="AE81" s="19">
        <v>2.0</v>
      </c>
      <c r="AF81" s="19">
        <v>1.0</v>
      </c>
      <c r="AG81" s="19">
        <v>3.0</v>
      </c>
      <c r="AH81" s="19">
        <v>0.0</v>
      </c>
      <c r="AI81" s="19">
        <v>4.0</v>
      </c>
      <c r="AJ81" s="19">
        <v>0.0</v>
      </c>
      <c r="AK81" s="19">
        <v>2.0</v>
      </c>
      <c r="AL81" s="19">
        <v>1.0</v>
      </c>
      <c r="AM81" s="19">
        <v>0.0</v>
      </c>
      <c r="AN81" s="19">
        <v>1.0</v>
      </c>
      <c r="AO81" s="19">
        <v>1.0</v>
      </c>
      <c r="AP81" s="19">
        <v>2.0</v>
      </c>
      <c r="AQ81" s="19">
        <v>0.0</v>
      </c>
      <c r="AR81" s="19">
        <v>0.0</v>
      </c>
      <c r="AS81" s="19">
        <v>1.0</v>
      </c>
      <c r="AT81" s="19">
        <v>3.0</v>
      </c>
      <c r="AU81" s="13">
        <f t="shared" ref="AU81:AU90" si="20">SUM(E81:AT81)</f>
        <v>66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1.0</v>
      </c>
      <c r="G82" s="19">
        <v>3.0</v>
      </c>
      <c r="H82" s="19">
        <v>7.0</v>
      </c>
      <c r="I82" s="19">
        <v>16.0</v>
      </c>
      <c r="J82" s="19">
        <v>19.0</v>
      </c>
      <c r="K82" s="19">
        <v>8.0</v>
      </c>
      <c r="L82" s="19">
        <v>4.0</v>
      </c>
      <c r="M82" s="19">
        <v>2.0</v>
      </c>
      <c r="N82" s="19">
        <v>17.0</v>
      </c>
      <c r="O82" s="19">
        <v>8.0</v>
      </c>
      <c r="P82" s="19">
        <v>1.0</v>
      </c>
      <c r="Q82" s="19">
        <v>1.0</v>
      </c>
      <c r="R82" s="19">
        <v>0.0</v>
      </c>
      <c r="S82" s="19">
        <v>0.0</v>
      </c>
      <c r="T82" s="19">
        <v>3.0</v>
      </c>
      <c r="U82" s="19">
        <v>3.0</v>
      </c>
      <c r="V82" s="19">
        <v>0.0</v>
      </c>
      <c r="W82" s="19">
        <v>1.0</v>
      </c>
      <c r="X82" s="19">
        <v>1.0</v>
      </c>
      <c r="Y82" s="19">
        <v>2.0</v>
      </c>
      <c r="Z82" s="19">
        <v>3.0</v>
      </c>
      <c r="AA82" s="19">
        <v>0.0</v>
      </c>
      <c r="AB82" s="19">
        <v>2.0</v>
      </c>
      <c r="AC82" s="19">
        <v>17.0</v>
      </c>
      <c r="AD82" s="19">
        <v>14.0</v>
      </c>
      <c r="AE82" s="19">
        <v>6.0</v>
      </c>
      <c r="AF82" s="19">
        <v>9.0</v>
      </c>
      <c r="AG82" s="19">
        <v>2.0</v>
      </c>
      <c r="AH82" s="19">
        <v>6.0</v>
      </c>
      <c r="AI82" s="19">
        <v>5.0</v>
      </c>
      <c r="AJ82" s="19">
        <v>2.0</v>
      </c>
      <c r="AK82" s="19">
        <v>3.0</v>
      </c>
      <c r="AL82" s="19">
        <v>2.0</v>
      </c>
      <c r="AM82" s="19">
        <v>0.0</v>
      </c>
      <c r="AN82" s="19">
        <v>4.0</v>
      </c>
      <c r="AO82" s="19">
        <v>0.0</v>
      </c>
      <c r="AP82" s="19">
        <v>3.0</v>
      </c>
      <c r="AQ82" s="19">
        <v>5.0</v>
      </c>
      <c r="AR82" s="19">
        <v>4.0</v>
      </c>
      <c r="AS82" s="19">
        <v>1.0</v>
      </c>
      <c r="AT82" s="19">
        <v>0.0</v>
      </c>
      <c r="AU82" s="13">
        <f t="shared" si="20"/>
        <v>186</v>
      </c>
    </row>
    <row r="83" ht="12.75" customHeight="1">
      <c r="A83" s="18"/>
      <c r="B83" s="55">
        <v>2.0</v>
      </c>
      <c r="C83" s="50" t="s">
        <v>66</v>
      </c>
      <c r="D83" s="60"/>
      <c r="E83" s="19">
        <v>15.0</v>
      </c>
      <c r="F83" s="19">
        <v>14.0</v>
      </c>
      <c r="G83" s="19">
        <v>7.0</v>
      </c>
      <c r="H83" s="19">
        <v>6.0</v>
      </c>
      <c r="I83" s="19">
        <v>2.0</v>
      </c>
      <c r="J83" s="19">
        <v>2.0</v>
      </c>
      <c r="K83" s="19">
        <v>1.0</v>
      </c>
      <c r="L83" s="19">
        <v>1.0</v>
      </c>
      <c r="M83" s="19">
        <v>0.0</v>
      </c>
      <c r="N83" s="19">
        <v>6.0</v>
      </c>
      <c r="O83" s="19">
        <v>0.0</v>
      </c>
      <c r="P83" s="19">
        <v>8.0</v>
      </c>
      <c r="Q83" s="19">
        <v>3.0</v>
      </c>
      <c r="R83" s="19">
        <v>3.0</v>
      </c>
      <c r="S83" s="19">
        <v>1.0</v>
      </c>
      <c r="T83" s="19">
        <v>0.0</v>
      </c>
      <c r="U83" s="19">
        <v>5.0</v>
      </c>
      <c r="V83" s="19">
        <v>6.0</v>
      </c>
      <c r="W83" s="19">
        <v>4.0</v>
      </c>
      <c r="X83" s="19">
        <v>3.0</v>
      </c>
      <c r="Y83" s="19">
        <v>1.0</v>
      </c>
      <c r="Z83" s="19">
        <v>5.0</v>
      </c>
      <c r="AA83" s="19">
        <v>8.0</v>
      </c>
      <c r="AB83" s="19">
        <v>4.0</v>
      </c>
      <c r="AC83" s="19">
        <v>9.0</v>
      </c>
      <c r="AD83" s="19">
        <v>11.0</v>
      </c>
      <c r="AE83" s="19">
        <v>10.0</v>
      </c>
      <c r="AF83" s="19">
        <v>12.0</v>
      </c>
      <c r="AG83" s="19">
        <v>6.0</v>
      </c>
      <c r="AH83" s="19">
        <v>1.0</v>
      </c>
      <c r="AI83" s="19">
        <v>5.0</v>
      </c>
      <c r="AJ83" s="19">
        <v>2.0</v>
      </c>
      <c r="AK83" s="19">
        <v>5.0</v>
      </c>
      <c r="AL83" s="19">
        <v>7.0</v>
      </c>
      <c r="AM83" s="19">
        <v>3.0</v>
      </c>
      <c r="AN83" s="19">
        <v>1.0</v>
      </c>
      <c r="AO83" s="19">
        <v>6.0</v>
      </c>
      <c r="AP83" s="19">
        <v>9.0</v>
      </c>
      <c r="AQ83" s="19">
        <v>12.0</v>
      </c>
      <c r="AR83" s="19">
        <v>9.0</v>
      </c>
      <c r="AS83" s="19">
        <v>7.0</v>
      </c>
      <c r="AT83" s="19">
        <v>3.0</v>
      </c>
      <c r="AU83" s="13">
        <f t="shared" si="20"/>
        <v>223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2.0</v>
      </c>
      <c r="R84" s="19">
        <v>0.0</v>
      </c>
      <c r="S84" s="19">
        <v>1.0</v>
      </c>
      <c r="T84" s="19">
        <v>1.0</v>
      </c>
      <c r="U84" s="19">
        <v>0.0</v>
      </c>
      <c r="V84" s="19">
        <v>1.0</v>
      </c>
      <c r="W84" s="19">
        <v>1.0</v>
      </c>
      <c r="X84" s="19">
        <v>1.0</v>
      </c>
      <c r="Y84" s="19">
        <v>0.0</v>
      </c>
      <c r="Z84" s="19">
        <v>0.0</v>
      </c>
      <c r="AA84" s="19">
        <v>7.0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1.0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1.0</v>
      </c>
      <c r="AQ84" s="19">
        <v>0.0</v>
      </c>
      <c r="AR84" s="19">
        <v>0.0</v>
      </c>
      <c r="AS84" s="19">
        <v>0.0</v>
      </c>
      <c r="AT84" s="19">
        <v>0.0</v>
      </c>
      <c r="AU84" s="13">
        <f t="shared" si="20"/>
        <v>16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2.0</v>
      </c>
      <c r="R85" s="19">
        <v>6.0</v>
      </c>
      <c r="S85" s="19">
        <v>0.0</v>
      </c>
      <c r="T85" s="19">
        <v>1.0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3.0</v>
      </c>
      <c r="AC85" s="19">
        <v>0.0</v>
      </c>
      <c r="AD85" s="19">
        <v>0.0</v>
      </c>
      <c r="AE85" s="19">
        <v>1.0</v>
      </c>
      <c r="AF85" s="19">
        <v>1.0</v>
      </c>
      <c r="AG85" s="19">
        <v>0.0</v>
      </c>
      <c r="AH85" s="19">
        <v>1.0</v>
      </c>
      <c r="AI85" s="19">
        <v>0.0</v>
      </c>
      <c r="AJ85" s="19">
        <v>0.0</v>
      </c>
      <c r="AK85" s="19">
        <v>0.0</v>
      </c>
      <c r="AL85" s="19">
        <v>1.0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5.0</v>
      </c>
      <c r="AU85" s="13">
        <f t="shared" si="20"/>
        <v>23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0.0</v>
      </c>
      <c r="L86" s="19">
        <v>1.0</v>
      </c>
      <c r="M86" s="19">
        <v>0.0</v>
      </c>
      <c r="N86" s="19">
        <v>2.0</v>
      </c>
      <c r="O86" s="19">
        <v>0.0</v>
      </c>
      <c r="P86" s="19">
        <v>0.0</v>
      </c>
      <c r="Q86" s="19">
        <v>1.0</v>
      </c>
      <c r="R86" s="19">
        <v>1.0</v>
      </c>
      <c r="S86" s="19">
        <v>1.0</v>
      </c>
      <c r="T86" s="19">
        <v>0.0</v>
      </c>
      <c r="U86" s="19">
        <v>1.0</v>
      </c>
      <c r="V86" s="19">
        <v>0.0</v>
      </c>
      <c r="W86" s="19">
        <v>4.0</v>
      </c>
      <c r="X86" s="19">
        <v>0.0</v>
      </c>
      <c r="Y86" s="19">
        <v>0.0</v>
      </c>
      <c r="Z86" s="19">
        <v>2.0</v>
      </c>
      <c r="AA86" s="19">
        <v>3.0</v>
      </c>
      <c r="AB86" s="19">
        <v>0.0</v>
      </c>
      <c r="AC86" s="19">
        <v>2.0</v>
      </c>
      <c r="AD86" s="19">
        <v>2.0</v>
      </c>
      <c r="AE86" s="19">
        <v>1.0</v>
      </c>
      <c r="AF86" s="19">
        <v>0.0</v>
      </c>
      <c r="AG86" s="19">
        <v>0.0</v>
      </c>
      <c r="AH86" s="19">
        <v>2.0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1.0</v>
      </c>
      <c r="AO86" s="19">
        <v>1.0</v>
      </c>
      <c r="AP86" s="19">
        <v>1.0</v>
      </c>
      <c r="AQ86" s="19">
        <v>2.0</v>
      </c>
      <c r="AR86" s="19">
        <v>1.0</v>
      </c>
      <c r="AS86" s="19">
        <v>2.0</v>
      </c>
      <c r="AT86" s="19">
        <v>0.0</v>
      </c>
      <c r="AU86" s="13">
        <f t="shared" si="20"/>
        <v>32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1.0</v>
      </c>
      <c r="AU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1.0</v>
      </c>
      <c r="AR88" s="19">
        <v>0.0</v>
      </c>
      <c r="AS88" s="19">
        <v>0.0</v>
      </c>
      <c r="AT88" s="19">
        <v>0.0</v>
      </c>
      <c r="AU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U91" si="21">SUM(E81:E90)</f>
        <v>17</v>
      </c>
      <c r="F91" s="13">
        <f t="shared" si="21"/>
        <v>18</v>
      </c>
      <c r="G91" s="13">
        <f t="shared" si="21"/>
        <v>14</v>
      </c>
      <c r="H91" s="13">
        <f t="shared" si="21"/>
        <v>14</v>
      </c>
      <c r="I91" s="13">
        <f t="shared" si="21"/>
        <v>18</v>
      </c>
      <c r="J91" s="13">
        <f t="shared" si="21"/>
        <v>30</v>
      </c>
      <c r="K91" s="13">
        <f t="shared" si="21"/>
        <v>11</v>
      </c>
      <c r="L91" s="13">
        <f t="shared" si="21"/>
        <v>7</v>
      </c>
      <c r="M91" s="13">
        <f t="shared" si="21"/>
        <v>2</v>
      </c>
      <c r="N91" s="13">
        <f t="shared" si="21"/>
        <v>30</v>
      </c>
      <c r="O91" s="13">
        <f t="shared" si="21"/>
        <v>10</v>
      </c>
      <c r="P91" s="13">
        <f t="shared" si="21"/>
        <v>10</v>
      </c>
      <c r="Q91" s="13">
        <f t="shared" si="21"/>
        <v>10</v>
      </c>
      <c r="R91" s="13">
        <f t="shared" si="21"/>
        <v>11</v>
      </c>
      <c r="S91" s="13">
        <f t="shared" si="21"/>
        <v>4</v>
      </c>
      <c r="T91" s="13">
        <f t="shared" si="21"/>
        <v>5</v>
      </c>
      <c r="U91" s="13">
        <f t="shared" si="21"/>
        <v>10</v>
      </c>
      <c r="V91" s="13">
        <f t="shared" si="21"/>
        <v>9</v>
      </c>
      <c r="W91" s="13">
        <f t="shared" si="21"/>
        <v>15</v>
      </c>
      <c r="X91" s="13">
        <f t="shared" si="21"/>
        <v>9</v>
      </c>
      <c r="Y91" s="13">
        <f t="shared" si="21"/>
        <v>5</v>
      </c>
      <c r="Z91" s="13">
        <f t="shared" si="21"/>
        <v>11</v>
      </c>
      <c r="AA91" s="13">
        <f t="shared" si="21"/>
        <v>18</v>
      </c>
      <c r="AB91" s="13">
        <f t="shared" si="21"/>
        <v>11</v>
      </c>
      <c r="AC91" s="13">
        <f t="shared" si="21"/>
        <v>29</v>
      </c>
      <c r="AD91" s="13">
        <f t="shared" si="21"/>
        <v>31</v>
      </c>
      <c r="AE91" s="13">
        <f t="shared" si="21"/>
        <v>20</v>
      </c>
      <c r="AF91" s="13">
        <f t="shared" si="21"/>
        <v>23</v>
      </c>
      <c r="AG91" s="13">
        <f t="shared" si="21"/>
        <v>11</v>
      </c>
      <c r="AH91" s="13">
        <f t="shared" si="21"/>
        <v>11</v>
      </c>
      <c r="AI91" s="13">
        <f t="shared" si="21"/>
        <v>14</v>
      </c>
      <c r="AJ91" s="13">
        <f t="shared" si="21"/>
        <v>4</v>
      </c>
      <c r="AK91" s="13">
        <f t="shared" si="21"/>
        <v>10</v>
      </c>
      <c r="AL91" s="13">
        <f t="shared" si="21"/>
        <v>11</v>
      </c>
      <c r="AM91" s="13">
        <f t="shared" si="21"/>
        <v>3</v>
      </c>
      <c r="AN91" s="13">
        <f t="shared" si="21"/>
        <v>7</v>
      </c>
      <c r="AO91" s="13">
        <f t="shared" si="21"/>
        <v>8</v>
      </c>
      <c r="AP91" s="13">
        <f t="shared" si="21"/>
        <v>16</v>
      </c>
      <c r="AQ91" s="13">
        <f t="shared" si="21"/>
        <v>20</v>
      </c>
      <c r="AR91" s="13">
        <f t="shared" si="21"/>
        <v>14</v>
      </c>
      <c r="AS91" s="13">
        <f t="shared" si="21"/>
        <v>11</v>
      </c>
      <c r="AT91" s="13">
        <f t="shared" si="21"/>
        <v>12</v>
      </c>
      <c r="AU91" s="13">
        <f t="shared" si="21"/>
        <v>554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2.0</v>
      </c>
      <c r="I93" s="19">
        <v>1.0</v>
      </c>
      <c r="J93" s="19">
        <v>3.0</v>
      </c>
      <c r="K93" s="19">
        <v>1.0</v>
      </c>
      <c r="L93" s="19">
        <v>1.0</v>
      </c>
      <c r="M93" s="19">
        <v>0.0</v>
      </c>
      <c r="N93" s="19">
        <v>8.0</v>
      </c>
      <c r="O93" s="19">
        <v>4.0</v>
      </c>
      <c r="P93" s="19">
        <v>0.0</v>
      </c>
      <c r="Q93" s="19">
        <v>1.0</v>
      </c>
      <c r="R93" s="19">
        <v>0.0</v>
      </c>
      <c r="S93" s="19">
        <v>0.0</v>
      </c>
      <c r="T93" s="19">
        <v>0.0</v>
      </c>
      <c r="U93" s="19">
        <v>1.0</v>
      </c>
      <c r="V93" s="19">
        <v>0.0</v>
      </c>
      <c r="W93" s="19">
        <v>1.0</v>
      </c>
      <c r="X93" s="19">
        <v>4.0</v>
      </c>
      <c r="Y93" s="19">
        <v>5.0</v>
      </c>
      <c r="Z93" s="19">
        <v>1.0</v>
      </c>
      <c r="AA93" s="19">
        <v>2.0</v>
      </c>
      <c r="AB93" s="19">
        <v>1.0</v>
      </c>
      <c r="AC93" s="19">
        <v>3.0</v>
      </c>
      <c r="AD93" s="19">
        <v>1.0</v>
      </c>
      <c r="AE93" s="19">
        <v>3.0</v>
      </c>
      <c r="AF93" s="19">
        <v>0.0</v>
      </c>
      <c r="AG93" s="19">
        <v>3.0</v>
      </c>
      <c r="AH93" s="19">
        <v>2.0</v>
      </c>
      <c r="AI93" s="19">
        <v>0.0</v>
      </c>
      <c r="AJ93" s="19">
        <v>2.0</v>
      </c>
      <c r="AK93" s="19">
        <v>2.0</v>
      </c>
      <c r="AL93" s="19">
        <v>2.0</v>
      </c>
      <c r="AM93" s="19">
        <v>1.0</v>
      </c>
      <c r="AN93" s="19">
        <v>2.0</v>
      </c>
      <c r="AO93" s="19">
        <v>0.0</v>
      </c>
      <c r="AP93" s="19">
        <v>8.0</v>
      </c>
      <c r="AQ93" s="19">
        <v>3.0</v>
      </c>
      <c r="AR93" s="19">
        <v>6.0</v>
      </c>
      <c r="AS93" s="19">
        <v>6.0</v>
      </c>
      <c r="AT93" s="19">
        <v>0.0</v>
      </c>
      <c r="AU93" s="13">
        <f t="shared" ref="AU93:AU102" si="22">SUM(E93:AT93)</f>
        <v>81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3.0</v>
      </c>
      <c r="G94" s="19">
        <v>1.0</v>
      </c>
      <c r="H94" s="19">
        <v>2.0</v>
      </c>
      <c r="I94" s="19">
        <v>0.0</v>
      </c>
      <c r="J94" s="19">
        <v>2.0</v>
      </c>
      <c r="K94" s="19">
        <v>1.0</v>
      </c>
      <c r="L94" s="19">
        <v>1.0</v>
      </c>
      <c r="M94" s="19">
        <v>1.0</v>
      </c>
      <c r="N94" s="19">
        <v>3.0</v>
      </c>
      <c r="O94" s="19">
        <v>3.0</v>
      </c>
      <c r="P94" s="19">
        <v>2.0</v>
      </c>
      <c r="Q94" s="19">
        <v>4.0</v>
      </c>
      <c r="R94" s="19">
        <v>7.0</v>
      </c>
      <c r="S94" s="19">
        <v>3.0</v>
      </c>
      <c r="T94" s="19">
        <v>1.0</v>
      </c>
      <c r="U94" s="19">
        <v>2.0</v>
      </c>
      <c r="V94" s="19">
        <v>0.0</v>
      </c>
      <c r="W94" s="19">
        <v>1.0</v>
      </c>
      <c r="X94" s="19">
        <v>2.0</v>
      </c>
      <c r="Y94" s="19">
        <v>2.0</v>
      </c>
      <c r="Z94" s="19">
        <v>2.0</v>
      </c>
      <c r="AA94" s="19">
        <v>4.0</v>
      </c>
      <c r="AB94" s="19">
        <v>1.0</v>
      </c>
      <c r="AC94" s="19">
        <v>6.0</v>
      </c>
      <c r="AD94" s="19">
        <v>0.0</v>
      </c>
      <c r="AE94" s="19">
        <v>3.0</v>
      </c>
      <c r="AF94" s="19">
        <v>0.0</v>
      </c>
      <c r="AG94" s="19">
        <v>1.0</v>
      </c>
      <c r="AH94" s="19">
        <v>2.0</v>
      </c>
      <c r="AI94" s="19">
        <v>1.0</v>
      </c>
      <c r="AJ94" s="19">
        <v>1.0</v>
      </c>
      <c r="AK94" s="19">
        <v>0.0</v>
      </c>
      <c r="AL94" s="19">
        <v>1.0</v>
      </c>
      <c r="AM94" s="19">
        <v>0.0</v>
      </c>
      <c r="AN94" s="19">
        <v>1.0</v>
      </c>
      <c r="AO94" s="19">
        <v>2.0</v>
      </c>
      <c r="AP94" s="19">
        <v>2.0</v>
      </c>
      <c r="AQ94" s="19">
        <v>3.0</v>
      </c>
      <c r="AR94" s="19">
        <v>3.0</v>
      </c>
      <c r="AS94" s="19">
        <v>3.0</v>
      </c>
      <c r="AT94" s="19">
        <v>4.0</v>
      </c>
      <c r="AU94" s="13">
        <f t="shared" si="22"/>
        <v>81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4.0</v>
      </c>
      <c r="O95" s="19">
        <v>1.0</v>
      </c>
      <c r="P95" s="19">
        <v>0.0</v>
      </c>
      <c r="Q95" s="19">
        <v>3.0</v>
      </c>
      <c r="R95" s="19">
        <v>0.0</v>
      </c>
      <c r="S95" s="19">
        <v>1.0</v>
      </c>
      <c r="T95" s="19">
        <v>6.0</v>
      </c>
      <c r="U95" s="19">
        <v>6.0</v>
      </c>
      <c r="V95" s="19">
        <v>0.0</v>
      </c>
      <c r="W95" s="19">
        <v>0.0</v>
      </c>
      <c r="X95" s="19">
        <v>2.0</v>
      </c>
      <c r="Y95" s="19">
        <v>2.0</v>
      </c>
      <c r="Z95" s="19">
        <v>1.0</v>
      </c>
      <c r="AA95" s="19">
        <v>5.0</v>
      </c>
      <c r="AB95" s="19">
        <v>0.0</v>
      </c>
      <c r="AC95" s="19">
        <v>4.0</v>
      </c>
      <c r="AD95" s="19">
        <v>5.0</v>
      </c>
      <c r="AE95" s="19">
        <v>0.0</v>
      </c>
      <c r="AF95" s="19">
        <v>1.0</v>
      </c>
      <c r="AG95" s="19">
        <v>10.0</v>
      </c>
      <c r="AH95" s="19">
        <v>11.0</v>
      </c>
      <c r="AI95" s="19">
        <v>4.0</v>
      </c>
      <c r="AJ95" s="19">
        <v>1.0</v>
      </c>
      <c r="AK95" s="19">
        <v>0.0</v>
      </c>
      <c r="AL95" s="19">
        <v>8.0</v>
      </c>
      <c r="AM95" s="19">
        <v>11.0</v>
      </c>
      <c r="AN95" s="19">
        <v>4.0</v>
      </c>
      <c r="AO95" s="19">
        <v>12.0</v>
      </c>
      <c r="AP95" s="19">
        <v>9.0</v>
      </c>
      <c r="AQ95" s="19">
        <v>13.0</v>
      </c>
      <c r="AR95" s="19">
        <v>0.0</v>
      </c>
      <c r="AS95" s="19">
        <v>6.0</v>
      </c>
      <c r="AT95" s="19">
        <v>0.0</v>
      </c>
      <c r="AU95" s="13">
        <f t="shared" si="22"/>
        <v>131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0.0</v>
      </c>
      <c r="AE96" s="19">
        <v>0.0</v>
      </c>
      <c r="AF96" s="19">
        <v>1.0</v>
      </c>
      <c r="AG96" s="19">
        <v>0.0</v>
      </c>
      <c r="AH96" s="19">
        <v>0.0</v>
      </c>
      <c r="AI96" s="19">
        <v>0.0</v>
      </c>
      <c r="AJ96" s="19">
        <v>1.0</v>
      </c>
      <c r="AK96" s="19">
        <v>0.0</v>
      </c>
      <c r="AL96" s="19">
        <v>0.0</v>
      </c>
      <c r="AM96" s="19">
        <v>0.0</v>
      </c>
      <c r="AN96" s="19">
        <v>1.0</v>
      </c>
      <c r="AO96" s="19">
        <v>0.0</v>
      </c>
      <c r="AP96" s="19">
        <v>0.0</v>
      </c>
      <c r="AQ96" s="19">
        <v>0.0</v>
      </c>
      <c r="AR96" s="19">
        <v>1.0</v>
      </c>
      <c r="AS96" s="19">
        <v>1.0</v>
      </c>
      <c r="AT96" s="19">
        <v>0.0</v>
      </c>
      <c r="AU96" s="13">
        <f t="shared" si="22"/>
        <v>9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1.0</v>
      </c>
      <c r="P97" s="19">
        <v>0.0</v>
      </c>
      <c r="Q97" s="19">
        <v>1.0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1.0</v>
      </c>
      <c r="AG97" s="19">
        <v>1.0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1.0</v>
      </c>
      <c r="AO97" s="19">
        <v>0.0</v>
      </c>
      <c r="AP97" s="19">
        <v>0.0</v>
      </c>
      <c r="AQ97" s="19">
        <v>0.0</v>
      </c>
      <c r="AR97" s="19">
        <v>1.0</v>
      </c>
      <c r="AS97" s="19">
        <v>1.0</v>
      </c>
      <c r="AT97" s="19">
        <v>0.0</v>
      </c>
      <c r="AU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0.0</v>
      </c>
      <c r="Z98" s="19">
        <v>0.0</v>
      </c>
      <c r="AA98" s="19">
        <v>1.0</v>
      </c>
      <c r="AB98" s="19">
        <v>0.0</v>
      </c>
      <c r="AC98" s="19">
        <v>0.0</v>
      </c>
      <c r="AD98" s="19">
        <v>1.0</v>
      </c>
      <c r="AE98" s="19">
        <v>1.0</v>
      </c>
      <c r="AF98" s="19">
        <v>0.0</v>
      </c>
      <c r="AG98" s="19">
        <v>0.0</v>
      </c>
      <c r="AH98" s="19">
        <v>1.0</v>
      </c>
      <c r="AI98" s="19">
        <v>1.0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1.0</v>
      </c>
      <c r="AR98" s="19">
        <v>0.0</v>
      </c>
      <c r="AS98" s="19">
        <v>0.0</v>
      </c>
      <c r="AT98" s="19">
        <v>0.0</v>
      </c>
      <c r="AU98" s="13">
        <f t="shared" si="22"/>
        <v>7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1.0</v>
      </c>
      <c r="AH99" s="19">
        <v>0.0</v>
      </c>
      <c r="AI99" s="19">
        <v>0.0</v>
      </c>
      <c r="AJ99" s="19">
        <v>0.0</v>
      </c>
      <c r="AK99" s="19">
        <v>0.0</v>
      </c>
      <c r="AL99" s="19">
        <v>1.0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1.0</v>
      </c>
      <c r="AP100" s="19">
        <v>2.0</v>
      </c>
      <c r="AQ100" s="19">
        <v>0.0</v>
      </c>
      <c r="AR100" s="19">
        <v>0.0</v>
      </c>
      <c r="AS100" s="19">
        <v>0.0</v>
      </c>
      <c r="AT100" s="19">
        <v>0.0</v>
      </c>
      <c r="AU100" s="13">
        <f t="shared" si="22"/>
        <v>4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U103" si="23">SUM(E93:E102)</f>
        <v>0</v>
      </c>
      <c r="F103" s="13">
        <f t="shared" si="23"/>
        <v>4</v>
      </c>
      <c r="G103" s="13">
        <f t="shared" si="23"/>
        <v>1</v>
      </c>
      <c r="H103" s="13">
        <f t="shared" si="23"/>
        <v>4</v>
      </c>
      <c r="I103" s="13">
        <f t="shared" si="23"/>
        <v>1</v>
      </c>
      <c r="J103" s="13">
        <f t="shared" si="23"/>
        <v>6</v>
      </c>
      <c r="K103" s="13">
        <f t="shared" si="23"/>
        <v>3</v>
      </c>
      <c r="L103" s="13">
        <f t="shared" si="23"/>
        <v>3</v>
      </c>
      <c r="M103" s="13">
        <f t="shared" si="23"/>
        <v>2</v>
      </c>
      <c r="N103" s="13">
        <f t="shared" si="23"/>
        <v>16</v>
      </c>
      <c r="O103" s="13">
        <f t="shared" si="23"/>
        <v>10</v>
      </c>
      <c r="P103" s="13">
        <f t="shared" si="23"/>
        <v>2</v>
      </c>
      <c r="Q103" s="13">
        <f t="shared" si="23"/>
        <v>10</v>
      </c>
      <c r="R103" s="13">
        <f t="shared" si="23"/>
        <v>7</v>
      </c>
      <c r="S103" s="13">
        <f t="shared" si="23"/>
        <v>5</v>
      </c>
      <c r="T103" s="13">
        <f t="shared" si="23"/>
        <v>7</v>
      </c>
      <c r="U103" s="13">
        <f t="shared" si="23"/>
        <v>10</v>
      </c>
      <c r="V103" s="13">
        <f t="shared" si="23"/>
        <v>1</v>
      </c>
      <c r="W103" s="13">
        <f t="shared" si="23"/>
        <v>2</v>
      </c>
      <c r="X103" s="13">
        <f t="shared" si="23"/>
        <v>9</v>
      </c>
      <c r="Y103" s="13">
        <f t="shared" si="23"/>
        <v>9</v>
      </c>
      <c r="Z103" s="13">
        <f t="shared" si="23"/>
        <v>4</v>
      </c>
      <c r="AA103" s="13">
        <f t="shared" si="23"/>
        <v>12</v>
      </c>
      <c r="AB103" s="13">
        <f t="shared" si="23"/>
        <v>2</v>
      </c>
      <c r="AC103" s="13">
        <f t="shared" si="23"/>
        <v>14</v>
      </c>
      <c r="AD103" s="13">
        <f t="shared" si="23"/>
        <v>7</v>
      </c>
      <c r="AE103" s="13">
        <f t="shared" si="23"/>
        <v>7</v>
      </c>
      <c r="AF103" s="13">
        <f t="shared" si="23"/>
        <v>3</v>
      </c>
      <c r="AG103" s="13">
        <f t="shared" si="23"/>
        <v>16</v>
      </c>
      <c r="AH103" s="13">
        <f t="shared" si="23"/>
        <v>16</v>
      </c>
      <c r="AI103" s="13">
        <f t="shared" si="23"/>
        <v>6</v>
      </c>
      <c r="AJ103" s="13">
        <f t="shared" si="23"/>
        <v>5</v>
      </c>
      <c r="AK103" s="13">
        <f t="shared" si="23"/>
        <v>2</v>
      </c>
      <c r="AL103" s="13">
        <f t="shared" si="23"/>
        <v>12</v>
      </c>
      <c r="AM103" s="13">
        <f t="shared" si="23"/>
        <v>12</v>
      </c>
      <c r="AN103" s="13">
        <f t="shared" si="23"/>
        <v>9</v>
      </c>
      <c r="AO103" s="13">
        <f t="shared" si="23"/>
        <v>15</v>
      </c>
      <c r="AP103" s="13">
        <f t="shared" si="23"/>
        <v>21</v>
      </c>
      <c r="AQ103" s="13">
        <f t="shared" si="23"/>
        <v>20</v>
      </c>
      <c r="AR103" s="13">
        <f t="shared" si="23"/>
        <v>11</v>
      </c>
      <c r="AS103" s="13">
        <f t="shared" si="23"/>
        <v>17</v>
      </c>
      <c r="AT103" s="13">
        <f t="shared" si="23"/>
        <v>4</v>
      </c>
      <c r="AU103" s="13">
        <f t="shared" si="23"/>
        <v>327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2.0</v>
      </c>
      <c r="H105" s="19">
        <v>1.0</v>
      </c>
      <c r="I105" s="19">
        <v>1.0</v>
      </c>
      <c r="J105" s="19">
        <v>0.0</v>
      </c>
      <c r="K105" s="19">
        <v>1.0</v>
      </c>
      <c r="L105" s="19">
        <v>2.0</v>
      </c>
      <c r="M105" s="19">
        <v>1.0</v>
      </c>
      <c r="N105" s="19">
        <v>2.0</v>
      </c>
      <c r="O105" s="19">
        <v>3.0</v>
      </c>
      <c r="P105" s="19">
        <v>0.0</v>
      </c>
      <c r="Q105" s="19">
        <v>1.0</v>
      </c>
      <c r="R105" s="19">
        <v>4.0</v>
      </c>
      <c r="S105" s="19">
        <v>5.0</v>
      </c>
      <c r="T105" s="19">
        <v>1.0</v>
      </c>
      <c r="U105" s="19">
        <v>2.0</v>
      </c>
      <c r="V105" s="19">
        <v>0.0</v>
      </c>
      <c r="W105" s="19">
        <v>5.0</v>
      </c>
      <c r="X105" s="19">
        <v>1.0</v>
      </c>
      <c r="Y105" s="19">
        <v>0.0</v>
      </c>
      <c r="Z105" s="19">
        <v>2.0</v>
      </c>
      <c r="AA105" s="19">
        <v>2.0</v>
      </c>
      <c r="AB105" s="19">
        <v>2.0</v>
      </c>
      <c r="AC105" s="19">
        <v>0.0</v>
      </c>
      <c r="AD105" s="19">
        <v>3.0</v>
      </c>
      <c r="AE105" s="19">
        <v>0.0</v>
      </c>
      <c r="AF105" s="19">
        <v>3.0</v>
      </c>
      <c r="AG105" s="19">
        <v>2.0</v>
      </c>
      <c r="AH105" s="19">
        <v>4.0</v>
      </c>
      <c r="AI105" s="19">
        <v>1.0</v>
      </c>
      <c r="AJ105" s="19">
        <v>2.0</v>
      </c>
      <c r="AK105" s="19">
        <v>2.0</v>
      </c>
      <c r="AL105" s="19">
        <v>0.0</v>
      </c>
      <c r="AM105" s="19">
        <v>1.0</v>
      </c>
      <c r="AN105" s="19">
        <v>0.0</v>
      </c>
      <c r="AO105" s="19">
        <v>2.0</v>
      </c>
      <c r="AP105" s="19">
        <v>0.0</v>
      </c>
      <c r="AQ105" s="19">
        <v>1.0</v>
      </c>
      <c r="AR105" s="19">
        <v>0.0</v>
      </c>
      <c r="AS105" s="19">
        <v>1.0</v>
      </c>
      <c r="AT105" s="19">
        <v>0.0</v>
      </c>
      <c r="AU105" s="13">
        <f t="shared" ref="AU105:AU114" si="24">SUM(E105:AT105)</f>
        <v>60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1.0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0.0</v>
      </c>
      <c r="AD106" s="19">
        <v>0.0</v>
      </c>
      <c r="AE106" s="19">
        <v>0.0</v>
      </c>
      <c r="AF106" s="19">
        <v>1.0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1.0</v>
      </c>
      <c r="AL106" s="19">
        <v>1.0</v>
      </c>
      <c r="AM106" s="19">
        <v>1.0</v>
      </c>
      <c r="AN106" s="19">
        <v>0.0</v>
      </c>
      <c r="AO106" s="19">
        <v>0.0</v>
      </c>
      <c r="AP106" s="19">
        <v>0.0</v>
      </c>
      <c r="AQ106" s="19">
        <v>1.0</v>
      </c>
      <c r="AR106" s="19">
        <v>0.0</v>
      </c>
      <c r="AS106" s="19">
        <v>0.0</v>
      </c>
      <c r="AT106" s="19">
        <v>0.0</v>
      </c>
      <c r="AU106" s="13">
        <f t="shared" si="24"/>
        <v>10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1.0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2.0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0.0</v>
      </c>
      <c r="AG107" s="19">
        <v>1.0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1.0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1.0</v>
      </c>
      <c r="AU107" s="13">
        <f t="shared" si="24"/>
        <v>12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2.0</v>
      </c>
      <c r="AA108" s="19">
        <v>1.0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1.0</v>
      </c>
      <c r="AU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1.0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1.0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1.0</v>
      </c>
      <c r="AS109" s="19">
        <v>0.0</v>
      </c>
      <c r="AT109" s="19">
        <v>0.0</v>
      </c>
      <c r="AU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1.0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1.0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3">
        <f t="shared" si="24"/>
        <v>1</v>
      </c>
    </row>
    <row r="113" ht="12.75" customHeight="1">
      <c r="A113" s="18"/>
      <c r="B113" s="56"/>
      <c r="C113" s="57"/>
      <c r="D113" s="62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3">
        <f t="shared" si="24"/>
        <v>0</v>
      </c>
    </row>
    <row r="114" ht="12.75" customHeight="1">
      <c r="A114" s="18"/>
      <c r="B114" s="56"/>
      <c r="C114" s="57"/>
      <c r="D114" s="62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U115" si="25">SUM(E105:E114)</f>
        <v>0</v>
      </c>
      <c r="F115" s="13">
        <f t="shared" si="25"/>
        <v>0</v>
      </c>
      <c r="G115" s="13">
        <f t="shared" si="25"/>
        <v>3</v>
      </c>
      <c r="H115" s="13">
        <f t="shared" si="25"/>
        <v>1</v>
      </c>
      <c r="I115" s="13">
        <f t="shared" si="25"/>
        <v>1</v>
      </c>
      <c r="J115" s="13">
        <f t="shared" si="25"/>
        <v>3</v>
      </c>
      <c r="K115" s="13">
        <f t="shared" si="25"/>
        <v>1</v>
      </c>
      <c r="L115" s="13">
        <f t="shared" si="25"/>
        <v>3</v>
      </c>
      <c r="M115" s="13">
        <f t="shared" si="25"/>
        <v>2</v>
      </c>
      <c r="N115" s="13">
        <f t="shared" si="25"/>
        <v>3</v>
      </c>
      <c r="O115" s="13">
        <f t="shared" si="25"/>
        <v>4</v>
      </c>
      <c r="P115" s="13">
        <f t="shared" si="25"/>
        <v>2</v>
      </c>
      <c r="Q115" s="13">
        <f t="shared" si="25"/>
        <v>1</v>
      </c>
      <c r="R115" s="13">
        <f t="shared" si="25"/>
        <v>4</v>
      </c>
      <c r="S115" s="13">
        <f t="shared" si="25"/>
        <v>5</v>
      </c>
      <c r="T115" s="13">
        <f t="shared" si="25"/>
        <v>2</v>
      </c>
      <c r="U115" s="13">
        <f t="shared" si="25"/>
        <v>2</v>
      </c>
      <c r="V115" s="13">
        <f t="shared" si="25"/>
        <v>2</v>
      </c>
      <c r="W115" s="13">
        <f t="shared" si="25"/>
        <v>5</v>
      </c>
      <c r="X115" s="13">
        <f t="shared" si="25"/>
        <v>1</v>
      </c>
      <c r="Y115" s="13">
        <f t="shared" si="25"/>
        <v>1</v>
      </c>
      <c r="Z115" s="13">
        <f t="shared" si="25"/>
        <v>4</v>
      </c>
      <c r="AA115" s="13">
        <f t="shared" si="25"/>
        <v>3</v>
      </c>
      <c r="AB115" s="13">
        <f t="shared" si="25"/>
        <v>4</v>
      </c>
      <c r="AC115" s="13">
        <f t="shared" si="25"/>
        <v>1</v>
      </c>
      <c r="AD115" s="13">
        <f t="shared" si="25"/>
        <v>3</v>
      </c>
      <c r="AE115" s="13">
        <f t="shared" si="25"/>
        <v>0</v>
      </c>
      <c r="AF115" s="13">
        <f t="shared" si="25"/>
        <v>4</v>
      </c>
      <c r="AG115" s="13">
        <f t="shared" si="25"/>
        <v>3</v>
      </c>
      <c r="AH115" s="13">
        <f t="shared" si="25"/>
        <v>6</v>
      </c>
      <c r="AI115" s="13">
        <f t="shared" si="25"/>
        <v>1</v>
      </c>
      <c r="AJ115" s="13">
        <f t="shared" si="25"/>
        <v>2</v>
      </c>
      <c r="AK115" s="13">
        <f t="shared" si="25"/>
        <v>3</v>
      </c>
      <c r="AL115" s="13">
        <f t="shared" si="25"/>
        <v>1</v>
      </c>
      <c r="AM115" s="13">
        <f t="shared" si="25"/>
        <v>2</v>
      </c>
      <c r="AN115" s="13">
        <f t="shared" si="25"/>
        <v>0</v>
      </c>
      <c r="AO115" s="13">
        <f t="shared" si="25"/>
        <v>3</v>
      </c>
      <c r="AP115" s="13">
        <f t="shared" si="25"/>
        <v>0</v>
      </c>
      <c r="AQ115" s="13">
        <f t="shared" si="25"/>
        <v>2</v>
      </c>
      <c r="AR115" s="13">
        <f t="shared" si="25"/>
        <v>1</v>
      </c>
      <c r="AS115" s="13">
        <f t="shared" si="25"/>
        <v>1</v>
      </c>
      <c r="AT115" s="13">
        <f t="shared" si="25"/>
        <v>2</v>
      </c>
      <c r="AU115" s="13">
        <f t="shared" si="25"/>
        <v>92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5.0</v>
      </c>
      <c r="G117" s="19">
        <v>2.0</v>
      </c>
      <c r="H117" s="19">
        <v>3.0</v>
      </c>
      <c r="I117" s="19">
        <v>1.0</v>
      </c>
      <c r="J117" s="19">
        <v>2.0</v>
      </c>
      <c r="K117" s="19">
        <v>0.0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2.0</v>
      </c>
      <c r="T117" s="19">
        <v>0.0</v>
      </c>
      <c r="U117" s="19">
        <v>0.0</v>
      </c>
      <c r="V117" s="19">
        <v>0.0</v>
      </c>
      <c r="W117" s="19">
        <v>2.0</v>
      </c>
      <c r="X117" s="19">
        <v>0.0</v>
      </c>
      <c r="Y117" s="19">
        <v>0.0</v>
      </c>
      <c r="Z117" s="19">
        <v>0.0</v>
      </c>
      <c r="AA117" s="19">
        <v>1.0</v>
      </c>
      <c r="AB117" s="19">
        <v>1.0</v>
      </c>
      <c r="AC117" s="19">
        <v>0.0</v>
      </c>
      <c r="AD117" s="19">
        <v>0.0</v>
      </c>
      <c r="AE117" s="19">
        <v>0.0</v>
      </c>
      <c r="AF117" s="19">
        <v>1.0</v>
      </c>
      <c r="AG117" s="19">
        <v>0.0</v>
      </c>
      <c r="AH117" s="19">
        <v>0.0</v>
      </c>
      <c r="AI117" s="19">
        <v>1.0</v>
      </c>
      <c r="AJ117" s="19">
        <v>2.0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1.0</v>
      </c>
      <c r="AQ117" s="19">
        <v>0.0</v>
      </c>
      <c r="AR117" s="19">
        <v>0.0</v>
      </c>
      <c r="AS117" s="19">
        <v>1.0</v>
      </c>
      <c r="AT117" s="19">
        <v>0.0</v>
      </c>
      <c r="AU117" s="13">
        <f t="shared" ref="AU117:AU126" si="26">SUM(E117:AT117)</f>
        <v>27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2.0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0.0</v>
      </c>
      <c r="AN118" s="19">
        <v>1.0</v>
      </c>
      <c r="AO118" s="19">
        <v>1.0</v>
      </c>
      <c r="AP118" s="19">
        <v>1.0</v>
      </c>
      <c r="AQ118" s="19">
        <v>0.0</v>
      </c>
      <c r="AR118" s="19">
        <v>0.0</v>
      </c>
      <c r="AS118" s="19">
        <v>0.0</v>
      </c>
      <c r="AT118" s="19">
        <v>0.0</v>
      </c>
      <c r="AU118" s="13">
        <f t="shared" si="26"/>
        <v>8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1.0</v>
      </c>
      <c r="AT119" s="19">
        <v>0.0</v>
      </c>
      <c r="AU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1.0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U127" si="27">SUM(E117:E126)</f>
        <v>0</v>
      </c>
      <c r="F127" s="13">
        <f t="shared" si="27"/>
        <v>5</v>
      </c>
      <c r="G127" s="13">
        <f t="shared" si="27"/>
        <v>3</v>
      </c>
      <c r="H127" s="13">
        <f t="shared" si="27"/>
        <v>3</v>
      </c>
      <c r="I127" s="13">
        <f t="shared" si="27"/>
        <v>1</v>
      </c>
      <c r="J127" s="13">
        <f t="shared" si="27"/>
        <v>2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4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3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1</v>
      </c>
      <c r="AB127" s="13">
        <f t="shared" si="27"/>
        <v>1</v>
      </c>
      <c r="AC127" s="13">
        <f t="shared" si="27"/>
        <v>0</v>
      </c>
      <c r="AD127" s="13">
        <f t="shared" si="27"/>
        <v>1</v>
      </c>
      <c r="AE127" s="13">
        <f t="shared" si="27"/>
        <v>0</v>
      </c>
      <c r="AF127" s="13">
        <f t="shared" si="27"/>
        <v>1</v>
      </c>
      <c r="AG127" s="13">
        <f t="shared" si="27"/>
        <v>0</v>
      </c>
      <c r="AH127" s="13">
        <f t="shared" si="27"/>
        <v>0</v>
      </c>
      <c r="AI127" s="13">
        <f t="shared" si="27"/>
        <v>1</v>
      </c>
      <c r="AJ127" s="13">
        <f t="shared" si="27"/>
        <v>2</v>
      </c>
      <c r="AK127" s="13">
        <f t="shared" si="27"/>
        <v>1</v>
      </c>
      <c r="AL127" s="13">
        <f t="shared" si="27"/>
        <v>0</v>
      </c>
      <c r="AM127" s="13">
        <f t="shared" si="27"/>
        <v>1</v>
      </c>
      <c r="AN127" s="13">
        <f t="shared" si="27"/>
        <v>1</v>
      </c>
      <c r="AO127" s="13">
        <f t="shared" si="27"/>
        <v>1</v>
      </c>
      <c r="AP127" s="13">
        <f t="shared" si="27"/>
        <v>2</v>
      </c>
      <c r="AQ127" s="13">
        <f t="shared" si="27"/>
        <v>0</v>
      </c>
      <c r="AR127" s="13">
        <f t="shared" si="27"/>
        <v>0</v>
      </c>
      <c r="AS127" s="13">
        <f t="shared" si="27"/>
        <v>2</v>
      </c>
      <c r="AT127" s="13">
        <f t="shared" si="27"/>
        <v>0</v>
      </c>
      <c r="AU127" s="13">
        <f t="shared" si="27"/>
        <v>39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1.0</v>
      </c>
      <c r="T129" s="19">
        <v>0.0</v>
      </c>
      <c r="U129" s="19">
        <v>0.0</v>
      </c>
      <c r="V129" s="19">
        <v>1.0</v>
      </c>
      <c r="W129" s="19">
        <v>0.0</v>
      </c>
      <c r="X129" s="19">
        <v>0.0</v>
      </c>
      <c r="Y129" s="19">
        <v>1.0</v>
      </c>
      <c r="Z129" s="19">
        <v>1.0</v>
      </c>
      <c r="AA129" s="19">
        <v>1.0</v>
      </c>
      <c r="AB129" s="19">
        <v>3.0</v>
      </c>
      <c r="AC129" s="19">
        <v>3.0</v>
      </c>
      <c r="AD129" s="19">
        <v>2.0</v>
      </c>
      <c r="AE129" s="19">
        <v>0.0</v>
      </c>
      <c r="AF129" s="19">
        <v>0.0</v>
      </c>
      <c r="AG129" s="19">
        <v>1.0</v>
      </c>
      <c r="AH129" s="19">
        <v>0.0</v>
      </c>
      <c r="AI129" s="19">
        <v>1.0</v>
      </c>
      <c r="AJ129" s="19">
        <v>0.0</v>
      </c>
      <c r="AK129" s="19">
        <v>0.0</v>
      </c>
      <c r="AL129" s="19">
        <v>2.0</v>
      </c>
      <c r="AM129" s="19">
        <v>1.0</v>
      </c>
      <c r="AN129" s="19">
        <v>0.0</v>
      </c>
      <c r="AO129" s="19">
        <v>0.0</v>
      </c>
      <c r="AP129" s="19">
        <v>0.0</v>
      </c>
      <c r="AQ129" s="19">
        <v>1.0</v>
      </c>
      <c r="AR129" s="19">
        <v>1.0</v>
      </c>
      <c r="AS129" s="19">
        <v>0.0</v>
      </c>
      <c r="AT129" s="19">
        <v>0.0</v>
      </c>
      <c r="AU129" s="13">
        <f t="shared" ref="AU129:AU138" si="28">SUM(E129:AT129)</f>
        <v>21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1.0</v>
      </c>
      <c r="G130" s="19">
        <v>0.0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1.0</v>
      </c>
      <c r="Q130" s="19">
        <v>1.0</v>
      </c>
      <c r="R130" s="19">
        <v>1.0</v>
      </c>
      <c r="S130" s="19">
        <v>0.0</v>
      </c>
      <c r="T130" s="19">
        <v>2.0</v>
      </c>
      <c r="U130" s="19">
        <v>0.0</v>
      </c>
      <c r="V130" s="19">
        <v>0.0</v>
      </c>
      <c r="W130" s="19">
        <v>1.0</v>
      </c>
      <c r="X130" s="19">
        <v>0.0</v>
      </c>
      <c r="Y130" s="19">
        <v>1.0</v>
      </c>
      <c r="Z130" s="19">
        <v>1.0</v>
      </c>
      <c r="AA130" s="19">
        <v>1.0</v>
      </c>
      <c r="AB130" s="19">
        <v>3.0</v>
      </c>
      <c r="AC130" s="19">
        <v>3.0</v>
      </c>
      <c r="AD130" s="19">
        <v>3.0</v>
      </c>
      <c r="AE130" s="19">
        <v>0.0</v>
      </c>
      <c r="AF130" s="19">
        <v>1.0</v>
      </c>
      <c r="AG130" s="19">
        <v>1.0</v>
      </c>
      <c r="AH130" s="19">
        <v>0.0</v>
      </c>
      <c r="AI130" s="19">
        <v>1.0</v>
      </c>
      <c r="AJ130" s="19">
        <v>0.0</v>
      </c>
      <c r="AK130" s="19">
        <v>3.0</v>
      </c>
      <c r="AL130" s="19">
        <v>2.0</v>
      </c>
      <c r="AM130" s="19">
        <v>1.0</v>
      </c>
      <c r="AN130" s="19">
        <v>0.0</v>
      </c>
      <c r="AO130" s="19">
        <v>1.0</v>
      </c>
      <c r="AP130" s="19">
        <v>0.0</v>
      </c>
      <c r="AQ130" s="19">
        <v>1.0</v>
      </c>
      <c r="AR130" s="19">
        <v>0.0</v>
      </c>
      <c r="AS130" s="19">
        <v>2.0</v>
      </c>
      <c r="AT130" s="19">
        <v>1.0</v>
      </c>
      <c r="AU130" s="13">
        <f t="shared" si="28"/>
        <v>35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1.0</v>
      </c>
      <c r="AA131" s="19">
        <v>1.0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1.0</v>
      </c>
      <c r="AG131" s="19">
        <v>0.0</v>
      </c>
      <c r="AH131" s="19">
        <v>1.0</v>
      </c>
      <c r="AI131" s="19">
        <v>0.0</v>
      </c>
      <c r="AJ131" s="19">
        <v>0.0</v>
      </c>
      <c r="AK131" s="19">
        <v>1.0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3">
        <f t="shared" si="28"/>
        <v>8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2.0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1.0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1.0</v>
      </c>
      <c r="AR134" s="19">
        <v>0.0</v>
      </c>
      <c r="AS134" s="19">
        <v>0.0</v>
      </c>
      <c r="AT134" s="19">
        <v>0.0</v>
      </c>
      <c r="AU134" s="13">
        <f t="shared" si="28"/>
        <v>3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1.0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U139" si="29">SUM(E129:E138)</f>
        <v>3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2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2</v>
      </c>
      <c r="Q139" s="13">
        <f t="shared" si="29"/>
        <v>3</v>
      </c>
      <c r="R139" s="13">
        <f t="shared" si="29"/>
        <v>2</v>
      </c>
      <c r="S139" s="13">
        <f t="shared" si="29"/>
        <v>1</v>
      </c>
      <c r="T139" s="13">
        <f t="shared" si="29"/>
        <v>2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0</v>
      </c>
      <c r="Y139" s="13">
        <f t="shared" si="29"/>
        <v>2</v>
      </c>
      <c r="Z139" s="13">
        <f t="shared" si="29"/>
        <v>3</v>
      </c>
      <c r="AA139" s="13">
        <f t="shared" si="29"/>
        <v>3</v>
      </c>
      <c r="AB139" s="13">
        <f t="shared" si="29"/>
        <v>8</v>
      </c>
      <c r="AC139" s="13">
        <f t="shared" si="29"/>
        <v>6</v>
      </c>
      <c r="AD139" s="13">
        <f t="shared" si="29"/>
        <v>5</v>
      </c>
      <c r="AE139" s="13">
        <f t="shared" si="29"/>
        <v>0</v>
      </c>
      <c r="AF139" s="13">
        <f t="shared" si="29"/>
        <v>3</v>
      </c>
      <c r="AG139" s="13">
        <f t="shared" si="29"/>
        <v>2</v>
      </c>
      <c r="AH139" s="13">
        <f t="shared" si="29"/>
        <v>1</v>
      </c>
      <c r="AI139" s="13">
        <f t="shared" si="29"/>
        <v>2</v>
      </c>
      <c r="AJ139" s="13">
        <f t="shared" si="29"/>
        <v>0</v>
      </c>
      <c r="AK139" s="13">
        <f t="shared" si="29"/>
        <v>5</v>
      </c>
      <c r="AL139" s="13">
        <f t="shared" si="29"/>
        <v>4</v>
      </c>
      <c r="AM139" s="13">
        <f t="shared" si="29"/>
        <v>2</v>
      </c>
      <c r="AN139" s="13">
        <f t="shared" si="29"/>
        <v>0</v>
      </c>
      <c r="AO139" s="13">
        <f t="shared" si="29"/>
        <v>1</v>
      </c>
      <c r="AP139" s="13">
        <f t="shared" si="29"/>
        <v>0</v>
      </c>
      <c r="AQ139" s="13">
        <f t="shared" si="29"/>
        <v>3</v>
      </c>
      <c r="AR139" s="13">
        <f t="shared" si="29"/>
        <v>1</v>
      </c>
      <c r="AS139" s="13">
        <f t="shared" si="29"/>
        <v>2</v>
      </c>
      <c r="AT139" s="13">
        <f t="shared" si="29"/>
        <v>1</v>
      </c>
      <c r="AU139" s="13">
        <f t="shared" si="29"/>
        <v>74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1.0</v>
      </c>
      <c r="AB141" s="19">
        <v>0.0</v>
      </c>
      <c r="AC141" s="19">
        <v>1.0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1.0</v>
      </c>
      <c r="AJ141" s="19">
        <v>0.0</v>
      </c>
      <c r="AK141" s="19">
        <v>0.0</v>
      </c>
      <c r="AL141" s="19">
        <v>0.0</v>
      </c>
      <c r="AM141" s="19">
        <v>1.0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3">
        <f t="shared" ref="AU141:AU150" si="30">SUM(E141:AT141)</f>
        <v>5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1.0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1.0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1.0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1.0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2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1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9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1.0</v>
      </c>
      <c r="AJ153" s="19">
        <v>0.0</v>
      </c>
      <c r="AK153" s="19">
        <v>0.0</v>
      </c>
      <c r="AL153" s="19">
        <v>0.0</v>
      </c>
      <c r="AM153" s="19">
        <v>1.0</v>
      </c>
      <c r="AN153" s="19">
        <v>0.0</v>
      </c>
      <c r="AO153" s="19">
        <v>0.0</v>
      </c>
      <c r="AP153" s="19">
        <v>1.0</v>
      </c>
      <c r="AQ153" s="19">
        <v>0.0</v>
      </c>
      <c r="AR153" s="19">
        <v>0.0</v>
      </c>
      <c r="AS153" s="19">
        <v>0.0</v>
      </c>
      <c r="AT153" s="19">
        <v>0.0</v>
      </c>
      <c r="AU153" s="13">
        <f t="shared" ref="AU153:AU162" si="32">SUM(E153:AT153)</f>
        <v>5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1.0</v>
      </c>
      <c r="AG154" s="19">
        <v>0.0</v>
      </c>
      <c r="AH154" s="19">
        <v>0.0</v>
      </c>
      <c r="AI154" s="19">
        <v>1.0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3">
        <f t="shared" si="32"/>
        <v>3</v>
      </c>
    </row>
    <row r="155" ht="12.75" customHeight="1">
      <c r="A155" s="18"/>
      <c r="B155" s="55">
        <v>2.0</v>
      </c>
      <c r="C155" s="67" t="s">
        <v>116</v>
      </c>
      <c r="D155" s="60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1.0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2.0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3">
        <f t="shared" si="32"/>
        <v>3</v>
      </c>
    </row>
    <row r="158" ht="12.75" customHeight="1">
      <c r="A158" s="18"/>
      <c r="B158" s="56"/>
      <c r="C158" s="57"/>
      <c r="D158" s="62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3">
        <f t="shared" si="32"/>
        <v>0</v>
      </c>
    </row>
    <row r="159" ht="12.75" customHeight="1">
      <c r="A159" s="18"/>
      <c r="B159" s="56"/>
      <c r="C159" s="57"/>
      <c r="D159" s="62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3">
        <f t="shared" si="32"/>
        <v>0</v>
      </c>
    </row>
    <row r="160" ht="12.75" customHeight="1">
      <c r="A160" s="18"/>
      <c r="B160" s="56"/>
      <c r="C160" s="57"/>
      <c r="D160" s="62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3">
        <f t="shared" si="32"/>
        <v>0</v>
      </c>
    </row>
    <row r="161" ht="12.75" customHeight="1">
      <c r="A161" s="18"/>
      <c r="B161" s="56"/>
      <c r="C161" s="68"/>
      <c r="D161" s="62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3">
        <f t="shared" si="32"/>
        <v>0</v>
      </c>
    </row>
    <row r="162" ht="12.75" customHeight="1">
      <c r="A162" s="18"/>
      <c r="B162" s="56"/>
      <c r="C162" s="68"/>
      <c r="D162" s="62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U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2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2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1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11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1.0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1.0</v>
      </c>
      <c r="AG165" s="19">
        <v>0.0</v>
      </c>
      <c r="AH165" s="19">
        <v>0.0</v>
      </c>
      <c r="AI165" s="19">
        <v>1.0</v>
      </c>
      <c r="AJ165" s="19">
        <v>0.0</v>
      </c>
      <c r="AK165" s="19">
        <v>1.0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3">
        <f t="shared" ref="AU165:AU174" si="34">SUM(E165:AT165)</f>
        <v>8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1.0</v>
      </c>
      <c r="AQ166" s="19">
        <v>1.0</v>
      </c>
      <c r="AR166" s="19">
        <v>0.0</v>
      </c>
      <c r="AS166" s="19">
        <v>0.0</v>
      </c>
      <c r="AT166" s="19">
        <v>0.0</v>
      </c>
      <c r="AU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1.0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1.0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3">
        <f t="shared" si="34"/>
        <v>2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1.0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1.0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1.0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3">
        <f t="shared" si="34"/>
        <v>2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1.0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3">
        <f t="shared" si="34"/>
        <v>2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U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1</v>
      </c>
      <c r="W175" s="13">
        <f t="shared" si="35"/>
        <v>1</v>
      </c>
      <c r="X175" s="13">
        <f t="shared" si="35"/>
        <v>1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2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1</v>
      </c>
      <c r="AK175" s="13">
        <f t="shared" si="35"/>
        <v>2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1</v>
      </c>
      <c r="AR175" s="13">
        <f t="shared" si="35"/>
        <v>0</v>
      </c>
      <c r="AS175" s="13">
        <f t="shared" si="35"/>
        <v>0</v>
      </c>
      <c r="AT175" s="13">
        <f t="shared" si="35"/>
        <v>0</v>
      </c>
      <c r="AU175" s="13">
        <f t="shared" si="35"/>
        <v>22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1.0</v>
      </c>
      <c r="Q177" s="19">
        <v>0.0</v>
      </c>
      <c r="R177" s="19">
        <v>1.0</v>
      </c>
      <c r="S177" s="19">
        <v>1.0</v>
      </c>
      <c r="T177" s="19">
        <v>0.0</v>
      </c>
      <c r="U177" s="19">
        <v>0.0</v>
      </c>
      <c r="V177" s="19">
        <v>1.0</v>
      </c>
      <c r="W177" s="19">
        <v>0.0</v>
      </c>
      <c r="X177" s="19">
        <v>0.0</v>
      </c>
      <c r="Y177" s="19">
        <v>0.0</v>
      </c>
      <c r="Z177" s="19">
        <v>2.0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1.0</v>
      </c>
      <c r="AQ177" s="19">
        <v>1.0</v>
      </c>
      <c r="AR177" s="19">
        <v>1.0</v>
      </c>
      <c r="AS177" s="19">
        <v>1.0</v>
      </c>
      <c r="AT177" s="19">
        <v>0.0</v>
      </c>
      <c r="AU177" s="13">
        <f t="shared" ref="AU177:AU186" si="36">SUM(E177:AT177)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3">
        <f t="shared" si="36"/>
        <v>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1.0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1.0</v>
      </c>
      <c r="AQ179" s="19">
        <v>0.0</v>
      </c>
      <c r="AR179" s="19">
        <v>0.0</v>
      </c>
      <c r="AS179" s="19">
        <v>0.0</v>
      </c>
      <c r="AT179" s="19">
        <v>0.0</v>
      </c>
      <c r="AU179" s="13">
        <f t="shared" si="36"/>
        <v>5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3.0</v>
      </c>
      <c r="AQ180" s="19">
        <v>0.0</v>
      </c>
      <c r="AR180" s="19">
        <v>1.0</v>
      </c>
      <c r="AS180" s="19">
        <v>1.0</v>
      </c>
      <c r="AT180" s="19">
        <v>0.0</v>
      </c>
      <c r="AU180" s="13">
        <f t="shared" si="36"/>
        <v>6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2.0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U187" si="37">SUM(E177:E186)</f>
        <v>1</v>
      </c>
      <c r="F187" s="13">
        <f t="shared" si="37"/>
        <v>2</v>
      </c>
      <c r="G187" s="13">
        <f t="shared" si="37"/>
        <v>2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2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1</v>
      </c>
      <c r="W187" s="13">
        <f t="shared" si="37"/>
        <v>2</v>
      </c>
      <c r="X187" s="13">
        <f t="shared" si="37"/>
        <v>1</v>
      </c>
      <c r="Y187" s="13">
        <f t="shared" si="37"/>
        <v>0</v>
      </c>
      <c r="Z187" s="13">
        <f t="shared" si="37"/>
        <v>2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0</v>
      </c>
      <c r="AG187" s="13">
        <f t="shared" si="37"/>
        <v>0</v>
      </c>
      <c r="AH187" s="13">
        <f t="shared" si="37"/>
        <v>0</v>
      </c>
      <c r="AI187" s="13">
        <f t="shared" si="37"/>
        <v>0</v>
      </c>
      <c r="AJ187" s="13">
        <f t="shared" si="37"/>
        <v>0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0</v>
      </c>
      <c r="AO187" s="13">
        <f t="shared" si="37"/>
        <v>0</v>
      </c>
      <c r="AP187" s="13">
        <f t="shared" si="37"/>
        <v>5</v>
      </c>
      <c r="AQ187" s="13">
        <f t="shared" si="37"/>
        <v>1</v>
      </c>
      <c r="AR187" s="13">
        <f t="shared" si="37"/>
        <v>2</v>
      </c>
      <c r="AS187" s="13">
        <f t="shared" si="37"/>
        <v>2</v>
      </c>
      <c r="AT187" s="13">
        <f t="shared" si="37"/>
        <v>0</v>
      </c>
      <c r="AU187" s="13">
        <f t="shared" si="37"/>
        <v>29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C188" s="79"/>
      <c r="AD188" s="79"/>
      <c r="AE188" s="79"/>
      <c r="AF188" s="79"/>
      <c r="AG188" s="79"/>
      <c r="AH188" s="79"/>
      <c r="AI188" s="79"/>
      <c r="AJ188" s="79"/>
      <c r="AK188" s="79"/>
      <c r="AN188" s="79"/>
      <c r="AO188" s="79"/>
      <c r="AP188" s="79"/>
      <c r="AQ188" s="79"/>
      <c r="A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1.0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9">
        <v>0.0</v>
      </c>
      <c r="AG189" s="19">
        <v>3.0</v>
      </c>
      <c r="AH189" s="19">
        <v>0.0</v>
      </c>
      <c r="AI189" s="19">
        <v>2.0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1.0</v>
      </c>
      <c r="AR189" s="19">
        <v>0.0</v>
      </c>
      <c r="AS189" s="19">
        <v>0.0</v>
      </c>
      <c r="AT189" s="19">
        <v>0.0</v>
      </c>
      <c r="AU189" s="13">
        <f t="shared" ref="AU189:AU198" si="38">SUM(E189:AT189)</f>
        <v>9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1.0</v>
      </c>
      <c r="AD190" s="19">
        <v>0.0</v>
      </c>
      <c r="AE190" s="19">
        <v>1.0</v>
      </c>
      <c r="AF190" s="19">
        <v>1.0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1.0</v>
      </c>
      <c r="AO190" s="19">
        <v>0.0</v>
      </c>
      <c r="AP190" s="19">
        <v>0.0</v>
      </c>
      <c r="AQ190" s="19">
        <v>0.0</v>
      </c>
      <c r="AR190" s="19">
        <v>1.0</v>
      </c>
      <c r="AS190" s="19">
        <v>0.0</v>
      </c>
      <c r="AT190" s="19">
        <v>0.0</v>
      </c>
      <c r="AU190" s="13">
        <f t="shared" si="38"/>
        <v>8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1.0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1.0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3">
        <f t="shared" si="38"/>
        <v>2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1.0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1.0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3">
        <f t="shared" si="38"/>
        <v>2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1.0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1.0</v>
      </c>
      <c r="X196" s="19">
        <v>1.0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2.0</v>
      </c>
      <c r="AD196" s="19">
        <v>0.0</v>
      </c>
      <c r="AE196" s="19">
        <v>1.0</v>
      </c>
      <c r="AF196" s="19">
        <v>0.0</v>
      </c>
      <c r="AG196" s="19">
        <v>1.0</v>
      </c>
      <c r="AH196" s="19">
        <v>0.0</v>
      </c>
      <c r="AI196" s="19">
        <v>2.0</v>
      </c>
      <c r="AJ196" s="19">
        <v>1.0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3">
        <f t="shared" si="38"/>
        <v>10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U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1</v>
      </c>
      <c r="Z199" s="13">
        <f t="shared" si="39"/>
        <v>3</v>
      </c>
      <c r="AA199" s="13">
        <f t="shared" si="39"/>
        <v>0</v>
      </c>
      <c r="AB199" s="13">
        <f t="shared" si="39"/>
        <v>0</v>
      </c>
      <c r="AC199" s="13">
        <f t="shared" si="39"/>
        <v>3</v>
      </c>
      <c r="AD199" s="13">
        <f t="shared" si="39"/>
        <v>1</v>
      </c>
      <c r="AE199" s="13">
        <f t="shared" si="39"/>
        <v>2</v>
      </c>
      <c r="AF199" s="13">
        <f t="shared" si="39"/>
        <v>1</v>
      </c>
      <c r="AG199" s="13">
        <f t="shared" si="39"/>
        <v>5</v>
      </c>
      <c r="AH199" s="13">
        <f t="shared" si="39"/>
        <v>0</v>
      </c>
      <c r="AI199" s="13">
        <f t="shared" si="39"/>
        <v>4</v>
      </c>
      <c r="AJ199" s="13">
        <f t="shared" si="39"/>
        <v>2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1</v>
      </c>
      <c r="AO199" s="13">
        <f t="shared" si="39"/>
        <v>0</v>
      </c>
      <c r="AP199" s="13">
        <f t="shared" si="39"/>
        <v>0</v>
      </c>
      <c r="AQ199" s="13">
        <f t="shared" si="39"/>
        <v>1</v>
      </c>
      <c r="AR199" s="13">
        <f t="shared" si="39"/>
        <v>1</v>
      </c>
      <c r="AS199" s="13">
        <f t="shared" si="39"/>
        <v>0</v>
      </c>
      <c r="AT199" s="13">
        <f t="shared" si="39"/>
        <v>0</v>
      </c>
      <c r="AU199" s="13">
        <f t="shared" si="39"/>
        <v>31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7.0</v>
      </c>
      <c r="H201" s="19">
        <v>1.0</v>
      </c>
      <c r="I201" s="19">
        <v>4.0</v>
      </c>
      <c r="J201" s="19">
        <v>4.0</v>
      </c>
      <c r="K201" s="19">
        <v>1.0</v>
      </c>
      <c r="L201" s="19">
        <v>7.0</v>
      </c>
      <c r="M201" s="19">
        <v>1.0</v>
      </c>
      <c r="N201" s="19">
        <v>3.0</v>
      </c>
      <c r="O201" s="19">
        <v>1.0</v>
      </c>
      <c r="P201" s="19">
        <v>0.0</v>
      </c>
      <c r="Q201" s="19">
        <v>2.0</v>
      </c>
      <c r="R201" s="19">
        <v>3.0</v>
      </c>
      <c r="S201" s="19">
        <v>9.0</v>
      </c>
      <c r="T201" s="19">
        <v>0.0</v>
      </c>
      <c r="U201" s="19">
        <v>3.0</v>
      </c>
      <c r="V201" s="19">
        <v>5.0</v>
      </c>
      <c r="W201" s="19">
        <v>2.0</v>
      </c>
      <c r="X201" s="19">
        <v>3.0</v>
      </c>
      <c r="Y201" s="19">
        <v>2.0</v>
      </c>
      <c r="Z201" s="19">
        <v>1.0</v>
      </c>
      <c r="AA201" s="19">
        <v>2.0</v>
      </c>
      <c r="AB201" s="19">
        <v>1.0</v>
      </c>
      <c r="AC201" s="19">
        <v>0.0</v>
      </c>
      <c r="AD201" s="19">
        <v>6.0</v>
      </c>
      <c r="AE201" s="19">
        <v>0.0</v>
      </c>
      <c r="AF201" s="19">
        <v>3.0</v>
      </c>
      <c r="AG201" s="19">
        <v>0.0</v>
      </c>
      <c r="AH201" s="19">
        <v>0.0</v>
      </c>
      <c r="AI201" s="19">
        <v>2.0</v>
      </c>
      <c r="AJ201" s="19">
        <v>0.0</v>
      </c>
      <c r="AK201" s="19">
        <v>6.0</v>
      </c>
      <c r="AL201" s="19">
        <v>0.0</v>
      </c>
      <c r="AM201" s="19">
        <v>3.0</v>
      </c>
      <c r="AN201" s="19">
        <v>2.0</v>
      </c>
      <c r="AO201" s="19">
        <v>2.0</v>
      </c>
      <c r="AP201" s="19">
        <v>1.0</v>
      </c>
      <c r="AQ201" s="19">
        <v>4.0</v>
      </c>
      <c r="AR201" s="19">
        <v>1.0</v>
      </c>
      <c r="AS201" s="19">
        <v>1.0</v>
      </c>
      <c r="AT201" s="19">
        <v>0.0</v>
      </c>
      <c r="AU201" s="13">
        <f t="shared" ref="AU201:AU210" si="40">SUM(E201:AT201)</f>
        <v>95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3.0</v>
      </c>
      <c r="G202" s="19">
        <v>1.0</v>
      </c>
      <c r="H202" s="19">
        <v>2.0</v>
      </c>
      <c r="I202" s="19">
        <v>2.0</v>
      </c>
      <c r="J202" s="19">
        <v>4.0</v>
      </c>
      <c r="K202" s="19">
        <v>15.0</v>
      </c>
      <c r="L202" s="19">
        <v>7.0</v>
      </c>
      <c r="M202" s="19">
        <v>6.0</v>
      </c>
      <c r="N202" s="19">
        <v>3.0</v>
      </c>
      <c r="O202" s="19">
        <v>1.0</v>
      </c>
      <c r="P202" s="19">
        <v>2.0</v>
      </c>
      <c r="Q202" s="19">
        <v>1.0</v>
      </c>
      <c r="R202" s="19">
        <v>6.0</v>
      </c>
      <c r="S202" s="19">
        <v>6.0</v>
      </c>
      <c r="T202" s="19">
        <v>4.0</v>
      </c>
      <c r="U202" s="19">
        <v>6.0</v>
      </c>
      <c r="V202" s="19">
        <v>3.0</v>
      </c>
      <c r="W202" s="19">
        <v>6.0</v>
      </c>
      <c r="X202" s="19">
        <v>2.0</v>
      </c>
      <c r="Y202" s="19">
        <v>1.0</v>
      </c>
      <c r="Z202" s="19">
        <v>3.0</v>
      </c>
      <c r="AA202" s="19">
        <v>12.0</v>
      </c>
      <c r="AB202" s="19">
        <v>2.0</v>
      </c>
      <c r="AC202" s="19">
        <v>1.0</v>
      </c>
      <c r="AD202" s="19">
        <v>6.0</v>
      </c>
      <c r="AE202" s="19">
        <v>0.0</v>
      </c>
      <c r="AF202" s="19">
        <v>1.0</v>
      </c>
      <c r="AG202" s="19">
        <v>5.0</v>
      </c>
      <c r="AH202" s="19">
        <v>6.0</v>
      </c>
      <c r="AI202" s="19">
        <v>1.0</v>
      </c>
      <c r="AJ202" s="19">
        <v>1.0</v>
      </c>
      <c r="AK202" s="19">
        <v>5.0</v>
      </c>
      <c r="AL202" s="19">
        <v>1.0</v>
      </c>
      <c r="AM202" s="19">
        <v>2.0</v>
      </c>
      <c r="AN202" s="19">
        <v>4.0</v>
      </c>
      <c r="AO202" s="19">
        <v>2.0</v>
      </c>
      <c r="AP202" s="19">
        <v>0.0</v>
      </c>
      <c r="AQ202" s="19">
        <v>0.0</v>
      </c>
      <c r="AR202" s="19">
        <v>6.0</v>
      </c>
      <c r="AS202" s="19">
        <v>4.0</v>
      </c>
      <c r="AT202" s="19">
        <v>2.0</v>
      </c>
      <c r="AU202" s="13">
        <f t="shared" si="40"/>
        <v>145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1.0</v>
      </c>
      <c r="H203" s="19">
        <v>0.0</v>
      </c>
      <c r="I203" s="19">
        <v>0.0</v>
      </c>
      <c r="J203" s="19">
        <v>0.0</v>
      </c>
      <c r="K203" s="19">
        <v>1.0</v>
      </c>
      <c r="L203" s="19">
        <v>1.0</v>
      </c>
      <c r="M203" s="19">
        <v>1.0</v>
      </c>
      <c r="N203" s="19">
        <v>1.0</v>
      </c>
      <c r="O203" s="19">
        <v>0.0</v>
      </c>
      <c r="P203" s="19">
        <v>4.0</v>
      </c>
      <c r="Q203" s="19">
        <v>0.0</v>
      </c>
      <c r="R203" s="19">
        <v>3.0</v>
      </c>
      <c r="S203" s="19">
        <v>1.0</v>
      </c>
      <c r="T203" s="19">
        <v>1.0</v>
      </c>
      <c r="U203" s="19">
        <v>1.0</v>
      </c>
      <c r="V203" s="19">
        <v>0.0</v>
      </c>
      <c r="W203" s="19">
        <v>1.0</v>
      </c>
      <c r="X203" s="19">
        <v>1.0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1.0</v>
      </c>
      <c r="AD203" s="19">
        <v>0.0</v>
      </c>
      <c r="AE203" s="19">
        <v>0.0</v>
      </c>
      <c r="AF203" s="19">
        <v>2.0</v>
      </c>
      <c r="AG203" s="19">
        <v>1.0</v>
      </c>
      <c r="AH203" s="19">
        <v>1.0</v>
      </c>
      <c r="AI203" s="19">
        <v>0.0</v>
      </c>
      <c r="AJ203" s="19">
        <v>1.0</v>
      </c>
      <c r="AK203" s="19">
        <v>1.0</v>
      </c>
      <c r="AL203" s="19">
        <v>1.0</v>
      </c>
      <c r="AM203" s="19">
        <v>1.0</v>
      </c>
      <c r="AN203" s="19">
        <v>2.0</v>
      </c>
      <c r="AO203" s="19">
        <v>1.0</v>
      </c>
      <c r="AP203" s="19">
        <v>1.0</v>
      </c>
      <c r="AQ203" s="19">
        <v>0.0</v>
      </c>
      <c r="AR203" s="19">
        <v>1.0</v>
      </c>
      <c r="AS203" s="19">
        <v>0.0</v>
      </c>
      <c r="AT203" s="19">
        <v>1.0</v>
      </c>
      <c r="AU203" s="13">
        <f t="shared" si="40"/>
        <v>32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2.0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1.0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1.0</v>
      </c>
      <c r="Z204" s="19">
        <v>1.0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1.0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1.0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3">
        <f t="shared" si="40"/>
        <v>12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7.0</v>
      </c>
      <c r="AA205" s="19">
        <v>6.0</v>
      </c>
      <c r="AB205" s="19">
        <v>0.0</v>
      </c>
      <c r="AC205" s="19">
        <v>1.0</v>
      </c>
      <c r="AD205" s="19">
        <v>0.0</v>
      </c>
      <c r="AE205" s="19">
        <v>0.0</v>
      </c>
      <c r="AF205" s="19">
        <v>0.0</v>
      </c>
      <c r="AG205" s="19">
        <v>1.0</v>
      </c>
      <c r="AH205" s="19">
        <v>0.0</v>
      </c>
      <c r="AI205" s="19">
        <v>0.0</v>
      </c>
      <c r="AJ205" s="19">
        <v>1.0</v>
      </c>
      <c r="AK205" s="19">
        <v>0.0</v>
      </c>
      <c r="AL205" s="19">
        <v>0.0</v>
      </c>
      <c r="AM205" s="19">
        <v>2.0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2.0</v>
      </c>
      <c r="AS205" s="19">
        <v>1.0</v>
      </c>
      <c r="AT205" s="19">
        <v>0.0</v>
      </c>
      <c r="AU205" s="13">
        <f t="shared" si="40"/>
        <v>25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1.0</v>
      </c>
      <c r="I206" s="19">
        <v>0.0</v>
      </c>
      <c r="J206" s="19">
        <v>0.0</v>
      </c>
      <c r="K206" s="19">
        <v>1.0</v>
      </c>
      <c r="L206" s="19">
        <v>1.0</v>
      </c>
      <c r="M206" s="19">
        <v>0.0</v>
      </c>
      <c r="N206" s="19">
        <v>0.0</v>
      </c>
      <c r="O206" s="19">
        <v>0.0</v>
      </c>
      <c r="P206" s="19">
        <v>1.0</v>
      </c>
      <c r="Q206" s="19">
        <v>1.0</v>
      </c>
      <c r="R206" s="19">
        <v>1.0</v>
      </c>
      <c r="S206" s="19">
        <v>0.0</v>
      </c>
      <c r="T206" s="19">
        <v>1.0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2.0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1.0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3">
        <f t="shared" si="40"/>
        <v>12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1.0</v>
      </c>
      <c r="K207" s="19">
        <v>3.0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1.0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1.0</v>
      </c>
      <c r="AN207" s="19">
        <v>0.0</v>
      </c>
      <c r="AO207" s="19">
        <v>1.0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1.0</v>
      </c>
      <c r="AU207" s="13">
        <f t="shared" si="40"/>
        <v>11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1.0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1.0</v>
      </c>
      <c r="Q208" s="19">
        <v>1.0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1.0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1.0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1.0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3.0</v>
      </c>
      <c r="AT208" s="19">
        <v>0.0</v>
      </c>
      <c r="AU208" s="13">
        <f t="shared" si="40"/>
        <v>13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U211" si="41">SUM(E201:E210)</f>
        <v>3</v>
      </c>
      <c r="F211" s="13">
        <f t="shared" si="41"/>
        <v>8</v>
      </c>
      <c r="G211" s="13">
        <f t="shared" si="41"/>
        <v>11</v>
      </c>
      <c r="H211" s="13">
        <f t="shared" si="41"/>
        <v>4</v>
      </c>
      <c r="I211" s="13">
        <f t="shared" si="41"/>
        <v>8</v>
      </c>
      <c r="J211" s="13">
        <f t="shared" si="41"/>
        <v>9</v>
      </c>
      <c r="K211" s="13">
        <f t="shared" si="41"/>
        <v>21</v>
      </c>
      <c r="L211" s="13">
        <f t="shared" si="41"/>
        <v>17</v>
      </c>
      <c r="M211" s="13">
        <f t="shared" si="41"/>
        <v>8</v>
      </c>
      <c r="N211" s="13">
        <f t="shared" si="41"/>
        <v>8</v>
      </c>
      <c r="O211" s="13">
        <f t="shared" si="41"/>
        <v>3</v>
      </c>
      <c r="P211" s="13">
        <f t="shared" si="41"/>
        <v>8</v>
      </c>
      <c r="Q211" s="13">
        <f t="shared" si="41"/>
        <v>8</v>
      </c>
      <c r="R211" s="13">
        <f t="shared" si="41"/>
        <v>14</v>
      </c>
      <c r="S211" s="13">
        <f t="shared" si="41"/>
        <v>17</v>
      </c>
      <c r="T211" s="13">
        <f t="shared" si="41"/>
        <v>6</v>
      </c>
      <c r="U211" s="13">
        <f t="shared" si="41"/>
        <v>11</v>
      </c>
      <c r="V211" s="13">
        <f t="shared" si="41"/>
        <v>9</v>
      </c>
      <c r="W211" s="13">
        <f t="shared" si="41"/>
        <v>10</v>
      </c>
      <c r="X211" s="13">
        <f t="shared" si="41"/>
        <v>6</v>
      </c>
      <c r="Y211" s="13">
        <f t="shared" si="41"/>
        <v>4</v>
      </c>
      <c r="Z211" s="13">
        <f t="shared" si="41"/>
        <v>12</v>
      </c>
      <c r="AA211" s="13">
        <f t="shared" si="41"/>
        <v>23</v>
      </c>
      <c r="AB211" s="13">
        <f t="shared" si="41"/>
        <v>4</v>
      </c>
      <c r="AC211" s="13">
        <f t="shared" si="41"/>
        <v>4</v>
      </c>
      <c r="AD211" s="13">
        <f t="shared" si="41"/>
        <v>12</v>
      </c>
      <c r="AE211" s="13">
        <f t="shared" si="41"/>
        <v>1</v>
      </c>
      <c r="AF211" s="13">
        <f t="shared" si="41"/>
        <v>6</v>
      </c>
      <c r="AG211" s="13">
        <f t="shared" si="41"/>
        <v>7</v>
      </c>
      <c r="AH211" s="13">
        <f t="shared" si="41"/>
        <v>8</v>
      </c>
      <c r="AI211" s="13">
        <f t="shared" si="41"/>
        <v>5</v>
      </c>
      <c r="AJ211" s="13">
        <f t="shared" si="41"/>
        <v>3</v>
      </c>
      <c r="AK211" s="13">
        <f t="shared" si="41"/>
        <v>12</v>
      </c>
      <c r="AL211" s="13">
        <f t="shared" si="41"/>
        <v>2</v>
      </c>
      <c r="AM211" s="13">
        <f t="shared" si="41"/>
        <v>9</v>
      </c>
      <c r="AN211" s="13">
        <f t="shared" si="41"/>
        <v>9</v>
      </c>
      <c r="AO211" s="13">
        <f t="shared" si="41"/>
        <v>6</v>
      </c>
      <c r="AP211" s="13">
        <f t="shared" si="41"/>
        <v>2</v>
      </c>
      <c r="AQ211" s="13">
        <f t="shared" si="41"/>
        <v>4</v>
      </c>
      <c r="AR211" s="13">
        <f t="shared" si="41"/>
        <v>10</v>
      </c>
      <c r="AS211" s="13">
        <f t="shared" si="41"/>
        <v>9</v>
      </c>
      <c r="AT211" s="13">
        <f t="shared" si="41"/>
        <v>4</v>
      </c>
      <c r="AU211" s="13">
        <f t="shared" si="41"/>
        <v>345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3.0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1.0</v>
      </c>
      <c r="N213" s="19">
        <v>1.0</v>
      </c>
      <c r="O213" s="19">
        <v>1.0</v>
      </c>
      <c r="P213" s="19">
        <v>1.0</v>
      </c>
      <c r="Q213" s="19">
        <v>2.0</v>
      </c>
      <c r="R213" s="19">
        <v>2.0</v>
      </c>
      <c r="S213" s="19">
        <v>1.0</v>
      </c>
      <c r="T213" s="19">
        <v>1.0</v>
      </c>
      <c r="U213" s="19">
        <v>0.0</v>
      </c>
      <c r="V213" s="19">
        <v>1.0</v>
      </c>
      <c r="W213" s="19">
        <v>2.0</v>
      </c>
      <c r="X213" s="19">
        <v>0.0</v>
      </c>
      <c r="Y213" s="19">
        <v>2.0</v>
      </c>
      <c r="Z213" s="19">
        <v>1.0</v>
      </c>
      <c r="AA213" s="19">
        <v>3.0</v>
      </c>
      <c r="AB213" s="19">
        <v>0.0</v>
      </c>
      <c r="AC213" s="19">
        <v>0.0</v>
      </c>
      <c r="AD213" s="19">
        <v>0.0</v>
      </c>
      <c r="AE213" s="19">
        <v>1.0</v>
      </c>
      <c r="AF213" s="19">
        <v>1.0</v>
      </c>
      <c r="AG213" s="19">
        <v>2.0</v>
      </c>
      <c r="AH213" s="19">
        <v>3.0</v>
      </c>
      <c r="AI213" s="19">
        <v>1.0</v>
      </c>
      <c r="AJ213" s="19">
        <v>0.0</v>
      </c>
      <c r="AK213" s="19">
        <v>0.0</v>
      </c>
      <c r="AL213" s="19">
        <v>3.0</v>
      </c>
      <c r="AM213" s="19">
        <v>2.0</v>
      </c>
      <c r="AN213" s="19">
        <v>1.0</v>
      </c>
      <c r="AO213" s="19">
        <v>2.0</v>
      </c>
      <c r="AP213" s="19">
        <v>1.0</v>
      </c>
      <c r="AQ213" s="19">
        <v>5.0</v>
      </c>
      <c r="AR213" s="19">
        <v>2.0</v>
      </c>
      <c r="AS213" s="19">
        <v>1.0</v>
      </c>
      <c r="AT213" s="19">
        <v>3.0</v>
      </c>
      <c r="AU213" s="13">
        <f t="shared" ref="AU213:AU222" si="42">SUM(E213:AT213)</f>
        <v>51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2.0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4.0</v>
      </c>
      <c r="P214" s="19">
        <v>0.0</v>
      </c>
      <c r="Q214" s="19">
        <v>1.0</v>
      </c>
      <c r="R214" s="19">
        <v>0.0</v>
      </c>
      <c r="S214" s="19">
        <v>0.0</v>
      </c>
      <c r="T214" s="19">
        <v>1.0</v>
      </c>
      <c r="U214" s="19">
        <v>3.0</v>
      </c>
      <c r="V214" s="19">
        <v>3.0</v>
      </c>
      <c r="W214" s="19">
        <v>2.0</v>
      </c>
      <c r="X214" s="19">
        <v>6.0</v>
      </c>
      <c r="Y214" s="19">
        <v>1.0</v>
      </c>
      <c r="Z214" s="19">
        <v>1.0</v>
      </c>
      <c r="AA214" s="19">
        <v>5.0</v>
      </c>
      <c r="AB214" s="19">
        <v>0.0</v>
      </c>
      <c r="AC214" s="19">
        <v>1.0</v>
      </c>
      <c r="AD214" s="19">
        <v>4.0</v>
      </c>
      <c r="AE214" s="19">
        <v>19.0</v>
      </c>
      <c r="AF214" s="19">
        <v>10.0</v>
      </c>
      <c r="AG214" s="19">
        <v>5.0</v>
      </c>
      <c r="AH214" s="19">
        <v>2.0</v>
      </c>
      <c r="AI214" s="19">
        <v>2.0</v>
      </c>
      <c r="AJ214" s="19">
        <v>4.0</v>
      </c>
      <c r="AK214" s="19">
        <v>11.0</v>
      </c>
      <c r="AL214" s="19">
        <v>4.0</v>
      </c>
      <c r="AM214" s="19">
        <v>3.0</v>
      </c>
      <c r="AN214" s="19">
        <v>3.0</v>
      </c>
      <c r="AO214" s="19">
        <v>2.0</v>
      </c>
      <c r="AP214" s="19">
        <v>0.0</v>
      </c>
      <c r="AQ214" s="19">
        <v>3.0</v>
      </c>
      <c r="AR214" s="19">
        <v>0.0</v>
      </c>
      <c r="AS214" s="19">
        <v>3.0</v>
      </c>
      <c r="AT214" s="19">
        <v>0.0</v>
      </c>
      <c r="AU214" s="13">
        <f t="shared" si="42"/>
        <v>105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0.0</v>
      </c>
      <c r="H215" s="19">
        <v>2.0</v>
      </c>
      <c r="I215" s="19">
        <v>0.0</v>
      </c>
      <c r="J215" s="19">
        <v>0.0</v>
      </c>
      <c r="K215" s="19">
        <v>0.0</v>
      </c>
      <c r="L215" s="19">
        <v>0.0</v>
      </c>
      <c r="M215" s="19">
        <v>1.0</v>
      </c>
      <c r="N215" s="19">
        <v>0.0</v>
      </c>
      <c r="O215" s="19">
        <v>0.0</v>
      </c>
      <c r="P215" s="19">
        <v>10.0</v>
      </c>
      <c r="Q215" s="19">
        <v>2.0</v>
      </c>
      <c r="R215" s="19">
        <v>33.0</v>
      </c>
      <c r="S215" s="19">
        <v>2.0</v>
      </c>
      <c r="T215" s="19">
        <v>4.0</v>
      </c>
      <c r="U215" s="19">
        <v>4.0</v>
      </c>
      <c r="V215" s="19">
        <v>0.0</v>
      </c>
      <c r="W215" s="19">
        <v>0.0</v>
      </c>
      <c r="X215" s="19">
        <v>0.0</v>
      </c>
      <c r="Y215" s="19">
        <v>0.0</v>
      </c>
      <c r="Z215" s="19">
        <v>1.0</v>
      </c>
      <c r="AA215" s="19">
        <v>2.0</v>
      </c>
      <c r="AB215" s="19">
        <v>5.0</v>
      </c>
      <c r="AC215" s="19">
        <v>8.0</v>
      </c>
      <c r="AD215" s="19">
        <v>4.0</v>
      </c>
      <c r="AE215" s="19">
        <v>3.0</v>
      </c>
      <c r="AF215" s="19">
        <v>4.0</v>
      </c>
      <c r="AG215" s="19">
        <v>1.0</v>
      </c>
      <c r="AH215" s="19">
        <v>0.0</v>
      </c>
      <c r="AI215" s="19">
        <v>0.0</v>
      </c>
      <c r="AJ215" s="19">
        <v>1.0</v>
      </c>
      <c r="AK215" s="19">
        <v>0.0</v>
      </c>
      <c r="AL215" s="19">
        <v>2.0</v>
      </c>
      <c r="AM215" s="19">
        <v>2.0</v>
      </c>
      <c r="AN215" s="19">
        <v>0.0</v>
      </c>
      <c r="AO215" s="19">
        <v>0.0</v>
      </c>
      <c r="AP215" s="19">
        <v>3.0</v>
      </c>
      <c r="AQ215" s="19">
        <v>0.0</v>
      </c>
      <c r="AR215" s="19">
        <v>1.0</v>
      </c>
      <c r="AS215" s="19">
        <v>2.0</v>
      </c>
      <c r="AT215" s="19">
        <v>0.0</v>
      </c>
      <c r="AU215" s="13">
        <f t="shared" si="42"/>
        <v>97</v>
      </c>
    </row>
    <row r="216" ht="12.75" customHeight="1">
      <c r="A216" s="18"/>
      <c r="B216" s="55">
        <v>3.0</v>
      </c>
      <c r="C216" s="70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1.0</v>
      </c>
      <c r="AG216" s="19">
        <v>0.0</v>
      </c>
      <c r="AH216" s="19">
        <v>0.0</v>
      </c>
      <c r="AI216" s="19">
        <v>1.0</v>
      </c>
      <c r="AJ216" s="19">
        <v>1.0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3">
        <f t="shared" si="42"/>
        <v>6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1.0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3">
        <f t="shared" si="42"/>
        <v>4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2.0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1.0</v>
      </c>
      <c r="AF218" s="19">
        <v>0.0</v>
      </c>
      <c r="AG218" s="19">
        <v>0.0</v>
      </c>
      <c r="AH218" s="19">
        <v>1.0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3">
        <f t="shared" si="42"/>
        <v>5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2.0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1.0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3">
        <f t="shared" si="42"/>
        <v>5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1.0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1.0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1.0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3">
        <f t="shared" si="42"/>
        <v>6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U223" si="43">SUM(E213:E222)</f>
        <v>1</v>
      </c>
      <c r="F223" s="13">
        <f t="shared" si="43"/>
        <v>2</v>
      </c>
      <c r="G223" s="13">
        <f t="shared" si="43"/>
        <v>5</v>
      </c>
      <c r="H223" s="13">
        <f t="shared" si="43"/>
        <v>6</v>
      </c>
      <c r="I223" s="13">
        <f t="shared" si="43"/>
        <v>0</v>
      </c>
      <c r="J223" s="13">
        <f t="shared" si="43"/>
        <v>0</v>
      </c>
      <c r="K223" s="13">
        <f t="shared" si="43"/>
        <v>1</v>
      </c>
      <c r="L223" s="13">
        <f t="shared" si="43"/>
        <v>1</v>
      </c>
      <c r="M223" s="13">
        <f t="shared" si="43"/>
        <v>2</v>
      </c>
      <c r="N223" s="13">
        <f t="shared" si="43"/>
        <v>1</v>
      </c>
      <c r="O223" s="13">
        <f t="shared" si="43"/>
        <v>6</v>
      </c>
      <c r="P223" s="13">
        <f t="shared" si="43"/>
        <v>11</v>
      </c>
      <c r="Q223" s="13">
        <f t="shared" si="43"/>
        <v>6</v>
      </c>
      <c r="R223" s="13">
        <f t="shared" si="43"/>
        <v>35</v>
      </c>
      <c r="S223" s="13">
        <f t="shared" si="43"/>
        <v>4</v>
      </c>
      <c r="T223" s="13">
        <f t="shared" si="43"/>
        <v>7</v>
      </c>
      <c r="U223" s="13">
        <f t="shared" si="43"/>
        <v>8</v>
      </c>
      <c r="V223" s="13">
        <f t="shared" si="43"/>
        <v>5</v>
      </c>
      <c r="W223" s="13">
        <f t="shared" si="43"/>
        <v>5</v>
      </c>
      <c r="X223" s="13">
        <f t="shared" si="43"/>
        <v>7</v>
      </c>
      <c r="Y223" s="13">
        <f t="shared" si="43"/>
        <v>3</v>
      </c>
      <c r="Z223" s="13">
        <f t="shared" si="43"/>
        <v>3</v>
      </c>
      <c r="AA223" s="13">
        <f t="shared" si="43"/>
        <v>13</v>
      </c>
      <c r="AB223" s="13">
        <f t="shared" si="43"/>
        <v>5</v>
      </c>
      <c r="AC223" s="13">
        <f t="shared" si="43"/>
        <v>9</v>
      </c>
      <c r="AD223" s="13">
        <f t="shared" si="43"/>
        <v>8</v>
      </c>
      <c r="AE223" s="13">
        <f t="shared" si="43"/>
        <v>24</v>
      </c>
      <c r="AF223" s="13">
        <f t="shared" si="43"/>
        <v>16</v>
      </c>
      <c r="AG223" s="13">
        <f t="shared" si="43"/>
        <v>8</v>
      </c>
      <c r="AH223" s="13">
        <f t="shared" si="43"/>
        <v>6</v>
      </c>
      <c r="AI223" s="13">
        <f t="shared" si="43"/>
        <v>4</v>
      </c>
      <c r="AJ223" s="13">
        <f t="shared" si="43"/>
        <v>6</v>
      </c>
      <c r="AK223" s="13">
        <f t="shared" si="43"/>
        <v>11</v>
      </c>
      <c r="AL223" s="13">
        <f t="shared" si="43"/>
        <v>9</v>
      </c>
      <c r="AM223" s="13">
        <f t="shared" si="43"/>
        <v>9</v>
      </c>
      <c r="AN223" s="13">
        <f t="shared" si="43"/>
        <v>4</v>
      </c>
      <c r="AO223" s="13">
        <f t="shared" si="43"/>
        <v>4</v>
      </c>
      <c r="AP223" s="13">
        <f t="shared" si="43"/>
        <v>4</v>
      </c>
      <c r="AQ223" s="13">
        <f t="shared" si="43"/>
        <v>8</v>
      </c>
      <c r="AR223" s="13">
        <f t="shared" si="43"/>
        <v>3</v>
      </c>
      <c r="AS223" s="13">
        <f t="shared" si="43"/>
        <v>6</v>
      </c>
      <c r="AT223" s="13">
        <f t="shared" si="43"/>
        <v>3</v>
      </c>
      <c r="AU223" s="13">
        <f t="shared" si="43"/>
        <v>279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1.0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1.0</v>
      </c>
      <c r="Z225" s="19">
        <v>0.0</v>
      </c>
      <c r="AA225" s="19">
        <v>1.0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1.0</v>
      </c>
      <c r="AT225" s="19">
        <v>0.0</v>
      </c>
      <c r="AU225" s="13">
        <f t="shared" ref="AU225:AU234" si="44">SUM(E225:AT225)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1.0</v>
      </c>
      <c r="N226" s="19">
        <v>0.0</v>
      </c>
      <c r="O226" s="19">
        <v>0.0</v>
      </c>
      <c r="P226" s="19">
        <v>0.0</v>
      </c>
      <c r="Q226" s="19">
        <v>3.0</v>
      </c>
      <c r="R226" s="19">
        <v>0.0</v>
      </c>
      <c r="S226" s="19">
        <v>1.0</v>
      </c>
      <c r="T226" s="19">
        <v>1.0</v>
      </c>
      <c r="U226" s="19">
        <v>0.0</v>
      </c>
      <c r="V226" s="19">
        <v>0.0</v>
      </c>
      <c r="W226" s="19">
        <v>0.0</v>
      </c>
      <c r="X226" s="19">
        <v>2.0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2.0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1.0</v>
      </c>
      <c r="AM226" s="19">
        <v>2.0</v>
      </c>
      <c r="AN226" s="19">
        <v>1.0</v>
      </c>
      <c r="AO226" s="19">
        <v>10.0</v>
      </c>
      <c r="AP226" s="19">
        <v>2.0</v>
      </c>
      <c r="AQ226" s="19">
        <v>2.0</v>
      </c>
      <c r="AR226" s="19">
        <v>0.0</v>
      </c>
      <c r="AS226" s="19">
        <v>0.0</v>
      </c>
      <c r="AT226" s="19">
        <v>0.0</v>
      </c>
      <c r="AU226" s="13">
        <f t="shared" si="44"/>
        <v>29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1.0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1.0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2.0</v>
      </c>
      <c r="V232" s="19">
        <v>1.0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1.0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3">
        <f t="shared" si="44"/>
        <v>6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2</v>
      </c>
      <c r="M235" s="13">
        <f t="shared" si="45"/>
        <v>2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3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2</v>
      </c>
      <c r="V235" s="13">
        <f t="shared" si="45"/>
        <v>1</v>
      </c>
      <c r="W235" s="13">
        <f t="shared" si="45"/>
        <v>0</v>
      </c>
      <c r="X235" s="13">
        <f t="shared" si="45"/>
        <v>2</v>
      </c>
      <c r="Y235" s="13">
        <f t="shared" si="45"/>
        <v>1</v>
      </c>
      <c r="Z235" s="13">
        <f t="shared" si="45"/>
        <v>1</v>
      </c>
      <c r="AA235" s="13">
        <f t="shared" si="45"/>
        <v>1</v>
      </c>
      <c r="AB235" s="13">
        <f t="shared" si="45"/>
        <v>0</v>
      </c>
      <c r="AC235" s="13">
        <f t="shared" si="45"/>
        <v>0</v>
      </c>
      <c r="AD235" s="13">
        <f t="shared" si="45"/>
        <v>2</v>
      </c>
      <c r="AE235" s="13">
        <f t="shared" si="45"/>
        <v>0</v>
      </c>
      <c r="AF235" s="13">
        <f t="shared" si="45"/>
        <v>0</v>
      </c>
      <c r="AG235" s="13">
        <f t="shared" si="45"/>
        <v>3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1</v>
      </c>
      <c r="AM235" s="13">
        <f t="shared" si="45"/>
        <v>2</v>
      </c>
      <c r="AN235" s="13">
        <f t="shared" si="45"/>
        <v>1</v>
      </c>
      <c r="AO235" s="13">
        <f t="shared" si="45"/>
        <v>10</v>
      </c>
      <c r="AP235" s="13">
        <f t="shared" si="45"/>
        <v>2</v>
      </c>
      <c r="AQ235" s="13">
        <f t="shared" si="45"/>
        <v>2</v>
      </c>
      <c r="AR235" s="13">
        <f t="shared" si="45"/>
        <v>0</v>
      </c>
      <c r="AS235" s="13">
        <f t="shared" si="45"/>
        <v>1</v>
      </c>
      <c r="AT235" s="13">
        <f t="shared" si="45"/>
        <v>0</v>
      </c>
      <c r="AU235" s="13">
        <f t="shared" si="45"/>
        <v>43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2.0</v>
      </c>
      <c r="G237" s="19">
        <v>1.0</v>
      </c>
      <c r="H237" s="19">
        <v>3.0</v>
      </c>
      <c r="I237" s="19">
        <v>2.0</v>
      </c>
      <c r="J237" s="19">
        <v>1.0</v>
      </c>
      <c r="K237" s="19">
        <v>1.0</v>
      </c>
      <c r="L237" s="19">
        <v>1.0</v>
      </c>
      <c r="M237" s="19">
        <v>1.0</v>
      </c>
      <c r="N237" s="19">
        <v>2.0</v>
      </c>
      <c r="O237" s="19">
        <v>4.0</v>
      </c>
      <c r="P237" s="19">
        <v>4.0</v>
      </c>
      <c r="Q237" s="19">
        <v>2.0</v>
      </c>
      <c r="R237" s="19">
        <v>0.0</v>
      </c>
      <c r="S237" s="19">
        <v>2.0</v>
      </c>
      <c r="T237" s="19">
        <v>2.0</v>
      </c>
      <c r="U237" s="19">
        <v>1.0</v>
      </c>
      <c r="V237" s="19">
        <v>0.0</v>
      </c>
      <c r="W237" s="19">
        <v>4.0</v>
      </c>
      <c r="X237" s="19">
        <v>0.0</v>
      </c>
      <c r="Y237" s="19">
        <v>1.0</v>
      </c>
      <c r="Z237" s="19">
        <v>3.0</v>
      </c>
      <c r="AA237" s="19">
        <v>3.0</v>
      </c>
      <c r="AB237" s="19">
        <v>5.0</v>
      </c>
      <c r="AC237" s="19">
        <v>0.0</v>
      </c>
      <c r="AD237" s="19">
        <v>1.0</v>
      </c>
      <c r="AE237" s="19">
        <v>1.0</v>
      </c>
      <c r="AF237" s="19">
        <v>1.0</v>
      </c>
      <c r="AG237" s="19">
        <v>4.0</v>
      </c>
      <c r="AH237" s="19">
        <v>1.0</v>
      </c>
      <c r="AI237" s="19">
        <v>2.0</v>
      </c>
      <c r="AJ237" s="19">
        <v>1.0</v>
      </c>
      <c r="AK237" s="19">
        <v>2.0</v>
      </c>
      <c r="AL237" s="19">
        <v>3.0</v>
      </c>
      <c r="AM237" s="19">
        <v>1.0</v>
      </c>
      <c r="AN237" s="19">
        <v>1.0</v>
      </c>
      <c r="AO237" s="19">
        <v>2.0</v>
      </c>
      <c r="AP237" s="19">
        <v>2.0</v>
      </c>
      <c r="AQ237" s="19">
        <v>2.0</v>
      </c>
      <c r="AR237" s="19">
        <v>4.0</v>
      </c>
      <c r="AS237" s="19">
        <v>2.0</v>
      </c>
      <c r="AT237" s="19">
        <v>0.0</v>
      </c>
      <c r="AU237" s="13">
        <f t="shared" ref="AU237:AU246" si="46">SUM(E237:AT237)</f>
        <v>77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0.0</v>
      </c>
      <c r="H238" s="19">
        <v>0.0</v>
      </c>
      <c r="I238" s="19">
        <v>6.0</v>
      </c>
      <c r="J238" s="19">
        <v>1.0</v>
      </c>
      <c r="K238" s="19">
        <v>0.0</v>
      </c>
      <c r="L238" s="19">
        <v>1.0</v>
      </c>
      <c r="M238" s="19">
        <v>2.0</v>
      </c>
      <c r="N238" s="19">
        <v>0.0</v>
      </c>
      <c r="O238" s="19">
        <v>0.0</v>
      </c>
      <c r="P238" s="19">
        <v>1.0</v>
      </c>
      <c r="Q238" s="19">
        <v>1.0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1.0</v>
      </c>
      <c r="X238" s="19">
        <v>2.0</v>
      </c>
      <c r="Y238" s="19">
        <v>2.0</v>
      </c>
      <c r="Z238" s="19">
        <v>2.0</v>
      </c>
      <c r="AA238" s="19">
        <v>0.0</v>
      </c>
      <c r="AB238" s="19">
        <v>2.0</v>
      </c>
      <c r="AC238" s="19">
        <v>0.0</v>
      </c>
      <c r="AD238" s="19">
        <v>0.0</v>
      </c>
      <c r="AE238" s="19">
        <v>0.0</v>
      </c>
      <c r="AF238" s="19">
        <v>1.0</v>
      </c>
      <c r="AG238" s="19">
        <v>0.0</v>
      </c>
      <c r="AH238" s="19">
        <v>1.0</v>
      </c>
      <c r="AI238" s="19">
        <v>1.0</v>
      </c>
      <c r="AJ238" s="19">
        <v>2.0</v>
      </c>
      <c r="AK238" s="19">
        <v>0.0</v>
      </c>
      <c r="AL238" s="19">
        <v>1.0</v>
      </c>
      <c r="AM238" s="19">
        <v>1.0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2.0</v>
      </c>
      <c r="AT238" s="19">
        <v>2.0</v>
      </c>
      <c r="AU238" s="13">
        <f t="shared" si="46"/>
        <v>33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1.0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1.0</v>
      </c>
      <c r="U239" s="19">
        <v>0.0</v>
      </c>
      <c r="V239" s="19">
        <v>0.0</v>
      </c>
      <c r="W239" s="19">
        <v>1.0</v>
      </c>
      <c r="X239" s="19">
        <v>0.0</v>
      </c>
      <c r="Y239" s="19">
        <v>0.0</v>
      </c>
      <c r="Z239" s="19">
        <v>1.0</v>
      </c>
      <c r="AA239" s="19">
        <v>1.0</v>
      </c>
      <c r="AB239" s="19">
        <v>0.0</v>
      </c>
      <c r="AC239" s="19">
        <v>0.0</v>
      </c>
      <c r="AD239" s="19">
        <v>0.0</v>
      </c>
      <c r="AE239" s="19">
        <v>1.0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1.0</v>
      </c>
      <c r="AN239" s="19">
        <v>0.0</v>
      </c>
      <c r="AO239" s="19">
        <v>0.0</v>
      </c>
      <c r="AP239" s="19">
        <v>2.0</v>
      </c>
      <c r="AQ239" s="19">
        <v>0.0</v>
      </c>
      <c r="AR239" s="19">
        <v>1.0</v>
      </c>
      <c r="AS239" s="19">
        <v>2.0</v>
      </c>
      <c r="AT239" s="19">
        <v>1.0</v>
      </c>
      <c r="AU239" s="13">
        <f t="shared" si="46"/>
        <v>14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1.0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1.0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3">
        <f t="shared" si="46"/>
        <v>7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1.0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1.0</v>
      </c>
      <c r="AB241" s="19">
        <v>0.0</v>
      </c>
      <c r="AC241" s="19">
        <v>1.0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3">
        <f t="shared" si="46"/>
        <v>6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1.0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1.0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1.0</v>
      </c>
      <c r="Y243" s="19">
        <v>1.0</v>
      </c>
      <c r="Z243" s="19">
        <v>1.0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1.0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 t="s">
        <v>261</v>
      </c>
      <c r="AU243" s="13">
        <f t="shared" si="46"/>
        <v>7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123.0</v>
      </c>
      <c r="F244" s="19">
        <v>90.0</v>
      </c>
      <c r="G244" s="19">
        <v>51.0</v>
      </c>
      <c r="H244" s="19">
        <v>78.0</v>
      </c>
      <c r="I244" s="19">
        <v>69.0</v>
      </c>
      <c r="J244" s="19">
        <v>42.0</v>
      </c>
      <c r="K244" s="19">
        <v>50.0</v>
      </c>
      <c r="L244" s="19">
        <v>21.0</v>
      </c>
      <c r="M244" s="19">
        <v>161.0</v>
      </c>
      <c r="N244" s="19">
        <v>22.0</v>
      </c>
      <c r="O244" s="19">
        <v>85.0</v>
      </c>
      <c r="P244" s="19">
        <v>88.0</v>
      </c>
      <c r="Q244" s="19">
        <v>47.0</v>
      </c>
      <c r="R244" s="19">
        <v>53.0</v>
      </c>
      <c r="S244" s="19">
        <v>49.0</v>
      </c>
      <c r="T244" s="19">
        <v>51.0</v>
      </c>
      <c r="U244" s="19">
        <v>21.0</v>
      </c>
      <c r="V244" s="19">
        <v>6.0</v>
      </c>
      <c r="W244" s="19">
        <v>35.0</v>
      </c>
      <c r="X244" s="19">
        <v>13.0</v>
      </c>
      <c r="Y244" s="19">
        <v>8.0</v>
      </c>
      <c r="Z244" s="19">
        <v>10.0</v>
      </c>
      <c r="AA244" s="19">
        <v>19.0</v>
      </c>
      <c r="AB244" s="19">
        <v>28.0</v>
      </c>
      <c r="AC244" s="19">
        <v>10.0</v>
      </c>
      <c r="AD244" s="19">
        <v>15.0</v>
      </c>
      <c r="AE244" s="19">
        <v>15.0</v>
      </c>
      <c r="AF244" s="19">
        <v>6.0</v>
      </c>
      <c r="AG244" s="19">
        <v>10.0</v>
      </c>
      <c r="AH244" s="19">
        <v>4.0</v>
      </c>
      <c r="AI244" s="19">
        <v>12.0</v>
      </c>
      <c r="AJ244" s="19">
        <v>31.0</v>
      </c>
      <c r="AK244" s="19">
        <v>9.0</v>
      </c>
      <c r="AL244" s="19">
        <v>50.0</v>
      </c>
      <c r="AM244" s="19">
        <v>13.0</v>
      </c>
      <c r="AN244" s="19">
        <v>16.0</v>
      </c>
      <c r="AO244" s="19">
        <v>4.0</v>
      </c>
      <c r="AP244" s="19">
        <v>21.0</v>
      </c>
      <c r="AQ244" s="19">
        <v>26.0</v>
      </c>
      <c r="AR244" s="19">
        <v>17.0</v>
      </c>
      <c r="AS244" s="19">
        <v>42.0</v>
      </c>
      <c r="AT244" s="19">
        <v>4.0</v>
      </c>
      <c r="AU244" s="13">
        <f t="shared" si="46"/>
        <v>1525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U247" si="47">SUM(E237:E246)</f>
        <v>126</v>
      </c>
      <c r="F247" s="13">
        <f t="shared" si="47"/>
        <v>94</v>
      </c>
      <c r="G247" s="13">
        <f t="shared" si="47"/>
        <v>52</v>
      </c>
      <c r="H247" s="13">
        <f t="shared" si="47"/>
        <v>82</v>
      </c>
      <c r="I247" s="13">
        <f t="shared" si="47"/>
        <v>78</v>
      </c>
      <c r="J247" s="13">
        <f t="shared" si="47"/>
        <v>44</v>
      </c>
      <c r="K247" s="13">
        <f t="shared" si="47"/>
        <v>52</v>
      </c>
      <c r="L247" s="13">
        <f t="shared" si="47"/>
        <v>23</v>
      </c>
      <c r="M247" s="13">
        <f t="shared" si="47"/>
        <v>165</v>
      </c>
      <c r="N247" s="13">
        <f t="shared" si="47"/>
        <v>24</v>
      </c>
      <c r="O247" s="13">
        <f t="shared" si="47"/>
        <v>90</v>
      </c>
      <c r="P247" s="13">
        <f t="shared" si="47"/>
        <v>93</v>
      </c>
      <c r="Q247" s="13">
        <f t="shared" si="47"/>
        <v>51</v>
      </c>
      <c r="R247" s="13">
        <f t="shared" si="47"/>
        <v>54</v>
      </c>
      <c r="S247" s="13">
        <f t="shared" si="47"/>
        <v>52</v>
      </c>
      <c r="T247" s="13">
        <f t="shared" si="47"/>
        <v>55</v>
      </c>
      <c r="U247" s="13">
        <f t="shared" si="47"/>
        <v>22</v>
      </c>
      <c r="V247" s="13">
        <f t="shared" si="47"/>
        <v>6</v>
      </c>
      <c r="W247" s="13">
        <f t="shared" si="47"/>
        <v>41</v>
      </c>
      <c r="X247" s="13">
        <f t="shared" si="47"/>
        <v>17</v>
      </c>
      <c r="Y247" s="13">
        <f t="shared" si="47"/>
        <v>12</v>
      </c>
      <c r="Z247" s="13">
        <f t="shared" si="47"/>
        <v>18</v>
      </c>
      <c r="AA247" s="13">
        <f t="shared" si="47"/>
        <v>25</v>
      </c>
      <c r="AB247" s="13">
        <f t="shared" si="47"/>
        <v>36</v>
      </c>
      <c r="AC247" s="13">
        <f t="shared" si="47"/>
        <v>11</v>
      </c>
      <c r="AD247" s="13">
        <f t="shared" si="47"/>
        <v>16</v>
      </c>
      <c r="AE247" s="13">
        <f t="shared" si="47"/>
        <v>18</v>
      </c>
      <c r="AF247" s="13">
        <f t="shared" si="47"/>
        <v>9</v>
      </c>
      <c r="AG247" s="13">
        <f t="shared" si="47"/>
        <v>14</v>
      </c>
      <c r="AH247" s="13">
        <f t="shared" si="47"/>
        <v>6</v>
      </c>
      <c r="AI247" s="13">
        <f t="shared" si="47"/>
        <v>15</v>
      </c>
      <c r="AJ247" s="13">
        <f t="shared" si="47"/>
        <v>34</v>
      </c>
      <c r="AK247" s="13">
        <f t="shared" si="47"/>
        <v>11</v>
      </c>
      <c r="AL247" s="13">
        <f t="shared" si="47"/>
        <v>56</v>
      </c>
      <c r="AM247" s="13">
        <f t="shared" si="47"/>
        <v>16</v>
      </c>
      <c r="AN247" s="13">
        <f t="shared" si="47"/>
        <v>17</v>
      </c>
      <c r="AO247" s="13">
        <f t="shared" si="47"/>
        <v>6</v>
      </c>
      <c r="AP247" s="13">
        <f t="shared" si="47"/>
        <v>25</v>
      </c>
      <c r="AQ247" s="13">
        <f t="shared" si="47"/>
        <v>28</v>
      </c>
      <c r="AR247" s="13">
        <f t="shared" si="47"/>
        <v>22</v>
      </c>
      <c r="AS247" s="13">
        <f t="shared" si="47"/>
        <v>48</v>
      </c>
      <c r="AT247" s="13">
        <f t="shared" si="47"/>
        <v>7</v>
      </c>
      <c r="AU247" s="13">
        <f t="shared" si="47"/>
        <v>1671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1.0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1.0</v>
      </c>
      <c r="AR249" s="19">
        <v>0.0</v>
      </c>
      <c r="AS249" s="19">
        <v>0.0</v>
      </c>
      <c r="AT249" s="19">
        <v>0.0</v>
      </c>
      <c r="AU249" s="13">
        <f t="shared" ref="AU249:AU258" si="48">SUM(E249:AT249)</f>
        <v>6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1.0</v>
      </c>
      <c r="I250" s="19">
        <v>1.0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1.0</v>
      </c>
      <c r="AI250" s="19">
        <v>0.0</v>
      </c>
      <c r="AJ250" s="19">
        <v>1.0</v>
      </c>
      <c r="AK250" s="19">
        <v>1.0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3">
        <f t="shared" si="48"/>
        <v>7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2.0</v>
      </c>
      <c r="G251" s="19">
        <v>0.0</v>
      </c>
      <c r="H251" s="19">
        <v>2.0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3">
        <f t="shared" si="48"/>
        <v>4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1.0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1.0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3">
        <f t="shared" si="48"/>
        <v>1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1.0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3">
        <f t="shared" si="48"/>
        <v>2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U259" si="49">SUM(E249:E258)</f>
        <v>0</v>
      </c>
      <c r="F259" s="13">
        <f t="shared" si="49"/>
        <v>2</v>
      </c>
      <c r="G259" s="13">
        <f t="shared" si="49"/>
        <v>1</v>
      </c>
      <c r="H259" s="13">
        <f t="shared" si="49"/>
        <v>3</v>
      </c>
      <c r="I259" s="13">
        <f t="shared" si="49"/>
        <v>1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1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0</v>
      </c>
      <c r="AG259" s="13">
        <f t="shared" si="49"/>
        <v>1</v>
      </c>
      <c r="AH259" s="13">
        <f t="shared" si="49"/>
        <v>1</v>
      </c>
      <c r="AI259" s="13">
        <f t="shared" si="49"/>
        <v>0</v>
      </c>
      <c r="AJ259" s="13">
        <f t="shared" si="49"/>
        <v>2</v>
      </c>
      <c r="AK259" s="13">
        <f t="shared" si="49"/>
        <v>1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21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13"/>
      <c r="R261" s="13"/>
      <c r="S261" s="13"/>
      <c r="T261" s="13"/>
      <c r="U261" s="13"/>
      <c r="V261" s="13"/>
      <c r="W261" s="13"/>
      <c r="X261" s="13"/>
      <c r="Y261" s="13"/>
      <c r="Z261" s="78"/>
      <c r="AA261" s="78"/>
      <c r="AB261" s="78"/>
      <c r="AC261" s="13"/>
      <c r="AD261" s="13"/>
      <c r="AE261" s="13"/>
      <c r="AF261" s="13"/>
      <c r="AG261" s="13"/>
      <c r="AH261" s="13"/>
      <c r="AI261" s="13"/>
      <c r="AJ261" s="13"/>
      <c r="AK261" s="78"/>
      <c r="AL261" s="78"/>
      <c r="AM261" s="78"/>
      <c r="AN261" s="13"/>
      <c r="AO261" s="13"/>
      <c r="AP261" s="13"/>
      <c r="AQ261" s="78"/>
      <c r="AR261" s="78"/>
      <c r="AS261" s="78"/>
      <c r="AT261" s="78"/>
      <c r="AU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T262" si="50">E55+E67+E79+E91+E103+E115+E127+E139+E151+E163+E175+E187+E199+E211+E223+E235+E247+E259</f>
        <v>197</v>
      </c>
      <c r="F262" s="19">
        <f t="shared" si="50"/>
        <v>191</v>
      </c>
      <c r="G262" s="19">
        <f t="shared" si="50"/>
        <v>146</v>
      </c>
      <c r="H262" s="19">
        <f t="shared" si="50"/>
        <v>204</v>
      </c>
      <c r="I262" s="19">
        <f t="shared" si="50"/>
        <v>199</v>
      </c>
      <c r="J262" s="19">
        <f t="shared" si="50"/>
        <v>203</v>
      </c>
      <c r="K262" s="19">
        <f t="shared" si="50"/>
        <v>133</v>
      </c>
      <c r="L262" s="19">
        <f t="shared" si="50"/>
        <v>120</v>
      </c>
      <c r="M262" s="19">
        <f t="shared" si="50"/>
        <v>206</v>
      </c>
      <c r="N262" s="19">
        <f t="shared" si="50"/>
        <v>216</v>
      </c>
      <c r="O262" s="19">
        <f t="shared" si="50"/>
        <v>203</v>
      </c>
      <c r="P262" s="19">
        <f t="shared" si="50"/>
        <v>163</v>
      </c>
      <c r="Q262" s="19">
        <f t="shared" si="50"/>
        <v>170</v>
      </c>
      <c r="R262" s="19">
        <f t="shared" si="50"/>
        <v>175</v>
      </c>
      <c r="S262" s="19">
        <f t="shared" si="50"/>
        <v>175</v>
      </c>
      <c r="T262" s="19">
        <f t="shared" si="50"/>
        <v>190</v>
      </c>
      <c r="U262" s="19">
        <f t="shared" si="50"/>
        <v>146</v>
      </c>
      <c r="V262" s="19">
        <f t="shared" si="50"/>
        <v>163</v>
      </c>
      <c r="W262" s="19">
        <f t="shared" si="50"/>
        <v>197</v>
      </c>
      <c r="X262" s="19">
        <f t="shared" si="50"/>
        <v>165</v>
      </c>
      <c r="Y262" s="19">
        <f t="shared" si="50"/>
        <v>173</v>
      </c>
      <c r="Z262" s="19">
        <f t="shared" si="50"/>
        <v>145</v>
      </c>
      <c r="AA262" s="19">
        <f t="shared" si="50"/>
        <v>209</v>
      </c>
      <c r="AB262" s="19">
        <f t="shared" si="50"/>
        <v>196</v>
      </c>
      <c r="AC262" s="19">
        <f t="shared" si="50"/>
        <v>203</v>
      </c>
      <c r="AD262" s="19">
        <f t="shared" si="50"/>
        <v>178</v>
      </c>
      <c r="AE262" s="19">
        <f t="shared" si="50"/>
        <v>174</v>
      </c>
      <c r="AF262" s="19">
        <f t="shared" si="50"/>
        <v>190</v>
      </c>
      <c r="AG262" s="19">
        <f t="shared" si="50"/>
        <v>189</v>
      </c>
      <c r="AH262" s="19">
        <f t="shared" si="50"/>
        <v>158</v>
      </c>
      <c r="AI262" s="19">
        <f t="shared" si="50"/>
        <v>167</v>
      </c>
      <c r="AJ262" s="19">
        <f t="shared" si="50"/>
        <v>155</v>
      </c>
      <c r="AK262" s="19">
        <f t="shared" si="50"/>
        <v>182</v>
      </c>
      <c r="AL262" s="19">
        <f t="shared" si="50"/>
        <v>188</v>
      </c>
      <c r="AM262" s="19">
        <f t="shared" si="50"/>
        <v>170</v>
      </c>
      <c r="AN262" s="19">
        <f t="shared" si="50"/>
        <v>171</v>
      </c>
      <c r="AO262" s="19">
        <f t="shared" si="50"/>
        <v>173</v>
      </c>
      <c r="AP262" s="19">
        <f t="shared" si="50"/>
        <v>176</v>
      </c>
      <c r="AQ262" s="19">
        <f t="shared" si="50"/>
        <v>220</v>
      </c>
      <c r="AR262" s="19">
        <f t="shared" si="50"/>
        <v>177</v>
      </c>
      <c r="AS262" s="19">
        <f t="shared" si="50"/>
        <v>188</v>
      </c>
      <c r="AT262" s="19">
        <f t="shared" si="50"/>
        <v>113</v>
      </c>
      <c r="AU262" s="13">
        <f t="shared" ref="AU262:AU264" si="51">SUM(E262:AT262)</f>
        <v>7457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9.0</v>
      </c>
      <c r="F263" s="19">
        <v>13.0</v>
      </c>
      <c r="G263" s="19">
        <v>16.0</v>
      </c>
      <c r="H263" s="19">
        <v>15.0</v>
      </c>
      <c r="I263" s="19">
        <v>8.0</v>
      </c>
      <c r="J263" s="19">
        <v>9.0</v>
      </c>
      <c r="K263" s="19">
        <v>2.0</v>
      </c>
      <c r="L263" s="19">
        <v>19.0</v>
      </c>
      <c r="M263" s="19">
        <v>5.0</v>
      </c>
      <c r="N263" s="19">
        <v>13.0</v>
      </c>
      <c r="O263" s="19">
        <v>15.0</v>
      </c>
      <c r="P263" s="19">
        <v>13.0</v>
      </c>
      <c r="Q263" s="19">
        <v>9.0</v>
      </c>
      <c r="R263" s="19">
        <v>11.0</v>
      </c>
      <c r="S263" s="19">
        <v>9.0</v>
      </c>
      <c r="T263" s="19">
        <v>13.0</v>
      </c>
      <c r="U263" s="19">
        <v>11.0</v>
      </c>
      <c r="V263" s="19">
        <v>10.0</v>
      </c>
      <c r="W263" s="19">
        <v>17.0</v>
      </c>
      <c r="X263" s="19">
        <v>18.0</v>
      </c>
      <c r="Y263" s="19">
        <v>10.0</v>
      </c>
      <c r="Z263" s="19">
        <v>9.0</v>
      </c>
      <c r="AA263" s="19">
        <v>14.0</v>
      </c>
      <c r="AB263" s="19">
        <v>16.0</v>
      </c>
      <c r="AC263" s="19">
        <v>14.0</v>
      </c>
      <c r="AD263" s="19">
        <v>21.0</v>
      </c>
      <c r="AE263" s="19">
        <v>19.0</v>
      </c>
      <c r="AF263" s="19">
        <v>19.0</v>
      </c>
      <c r="AG263" s="19">
        <v>19.0</v>
      </c>
      <c r="AH263" s="19">
        <v>10.0</v>
      </c>
      <c r="AI263" s="19">
        <v>23.0</v>
      </c>
      <c r="AJ263" s="19">
        <v>16.0</v>
      </c>
      <c r="AK263" s="19">
        <v>23.0</v>
      </c>
      <c r="AL263" s="19">
        <v>3.0</v>
      </c>
      <c r="AM263" s="19">
        <v>17.0</v>
      </c>
      <c r="AN263" s="19">
        <v>15.0</v>
      </c>
      <c r="AO263" s="19">
        <v>16.0</v>
      </c>
      <c r="AP263" s="19">
        <v>22.0</v>
      </c>
      <c r="AQ263" s="19">
        <v>17.0</v>
      </c>
      <c r="AR263" s="19">
        <v>29.0</v>
      </c>
      <c r="AS263" s="19">
        <v>22.0</v>
      </c>
      <c r="AT263" s="19">
        <v>17.0</v>
      </c>
      <c r="AU263" s="13">
        <f t="shared" si="51"/>
        <v>606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T264" si="52">SUM(E262:E263)</f>
        <v>206</v>
      </c>
      <c r="F264" s="13">
        <f t="shared" si="52"/>
        <v>204</v>
      </c>
      <c r="G264" s="13">
        <f t="shared" si="52"/>
        <v>162</v>
      </c>
      <c r="H264" s="13">
        <f t="shared" si="52"/>
        <v>219</v>
      </c>
      <c r="I264" s="13">
        <f t="shared" si="52"/>
        <v>207</v>
      </c>
      <c r="J264" s="13">
        <f t="shared" si="52"/>
        <v>212</v>
      </c>
      <c r="K264" s="13">
        <f t="shared" si="52"/>
        <v>135</v>
      </c>
      <c r="L264" s="13">
        <f t="shared" si="52"/>
        <v>139</v>
      </c>
      <c r="M264" s="13">
        <f t="shared" si="52"/>
        <v>211</v>
      </c>
      <c r="N264" s="13">
        <f t="shared" si="52"/>
        <v>229</v>
      </c>
      <c r="O264" s="13">
        <f t="shared" si="52"/>
        <v>218</v>
      </c>
      <c r="P264" s="13">
        <f t="shared" si="52"/>
        <v>176</v>
      </c>
      <c r="Q264" s="13">
        <f t="shared" si="52"/>
        <v>179</v>
      </c>
      <c r="R264" s="13">
        <f t="shared" si="52"/>
        <v>186</v>
      </c>
      <c r="S264" s="13">
        <f t="shared" si="52"/>
        <v>184</v>
      </c>
      <c r="T264" s="13">
        <f t="shared" si="52"/>
        <v>203</v>
      </c>
      <c r="U264" s="13">
        <f t="shared" si="52"/>
        <v>157</v>
      </c>
      <c r="V264" s="13">
        <f t="shared" si="52"/>
        <v>173</v>
      </c>
      <c r="W264" s="13">
        <f t="shared" si="52"/>
        <v>214</v>
      </c>
      <c r="X264" s="13">
        <f t="shared" si="52"/>
        <v>183</v>
      </c>
      <c r="Y264" s="13">
        <f t="shared" si="52"/>
        <v>183</v>
      </c>
      <c r="Z264" s="13">
        <f t="shared" si="52"/>
        <v>154</v>
      </c>
      <c r="AA264" s="13">
        <f t="shared" si="52"/>
        <v>223</v>
      </c>
      <c r="AB264" s="13">
        <f t="shared" si="52"/>
        <v>212</v>
      </c>
      <c r="AC264" s="13">
        <f t="shared" si="52"/>
        <v>217</v>
      </c>
      <c r="AD264" s="13">
        <f t="shared" si="52"/>
        <v>199</v>
      </c>
      <c r="AE264" s="13">
        <f t="shared" si="52"/>
        <v>193</v>
      </c>
      <c r="AF264" s="13">
        <f t="shared" si="52"/>
        <v>209</v>
      </c>
      <c r="AG264" s="13">
        <f t="shared" si="52"/>
        <v>208</v>
      </c>
      <c r="AH264" s="13">
        <f t="shared" si="52"/>
        <v>168</v>
      </c>
      <c r="AI264" s="13">
        <f t="shared" si="52"/>
        <v>190</v>
      </c>
      <c r="AJ264" s="13">
        <f t="shared" si="52"/>
        <v>171</v>
      </c>
      <c r="AK264" s="13">
        <f t="shared" si="52"/>
        <v>205</v>
      </c>
      <c r="AL264" s="13">
        <f t="shared" si="52"/>
        <v>191</v>
      </c>
      <c r="AM264" s="13">
        <f t="shared" si="52"/>
        <v>187</v>
      </c>
      <c r="AN264" s="13">
        <f t="shared" si="52"/>
        <v>186</v>
      </c>
      <c r="AO264" s="13">
        <f t="shared" si="52"/>
        <v>189</v>
      </c>
      <c r="AP264" s="13">
        <f t="shared" si="52"/>
        <v>198</v>
      </c>
      <c r="AQ264" s="13">
        <f t="shared" si="52"/>
        <v>237</v>
      </c>
      <c r="AR264" s="13">
        <f t="shared" si="52"/>
        <v>206</v>
      </c>
      <c r="AS264" s="13">
        <f t="shared" si="52"/>
        <v>210</v>
      </c>
      <c r="AT264" s="13">
        <f t="shared" si="52"/>
        <v>130</v>
      </c>
      <c r="AU264" s="13">
        <f t="shared" si="51"/>
        <v>8063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T15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34:AT34">
    <cfRule type="expression" dxfId="0" priority="9">
      <formula>E34&lt;&gt;E64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8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