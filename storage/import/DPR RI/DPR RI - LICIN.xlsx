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PR RI" sheetId="1" r:id="rId4"/>
    <sheet state="visible" name="BANJAR" sheetId="2" r:id="rId5"/>
    <sheet state="visible" name="GUMUK" sheetId="3" r:id="rId6"/>
    <sheet state="visible" name="JELUN" sheetId="4" r:id="rId7"/>
    <sheet state="visible" name="KLUNCING" sheetId="5" r:id="rId8"/>
    <sheet state="visible" name="LICIN" sheetId="6" r:id="rId9"/>
    <sheet state="visible" name="PAKEL" sheetId="7" r:id="rId10"/>
    <sheet state="visible" name="SEGOBANG" sheetId="8" r:id="rId11"/>
    <sheet state="visible" name="TAMANSARI" sheetId="9" r:id="rId12"/>
  </sheets>
  <definedNames/>
  <calcPr/>
  <extLst>
    <ext uri="GoogleSheetsCustomDataVersion2">
      <go:sheetsCustomData xmlns:go="http://customooxmlschemas.google.com/" r:id="rId13" roundtripDataChecksum="z+gRORRdx7pvDPKDmEqa2A1nMdF3QYjuSFsaXG+KVKU="/>
    </ext>
  </extLst>
</workbook>
</file>

<file path=xl/sharedStrings.xml><?xml version="1.0" encoding="utf-8"?>
<sst xmlns="http://schemas.openxmlformats.org/spreadsheetml/2006/main" count="2692" uniqueCount="231">
  <si>
    <t>Kecamatan</t>
  </si>
  <si>
    <t>LICIN</t>
  </si>
  <si>
    <t>Kabupaten</t>
  </si>
  <si>
    <t>BANYUWANGI</t>
  </si>
  <si>
    <t>Provinsi</t>
  </si>
  <si>
    <t>JAWA TIMUR</t>
  </si>
  <si>
    <t>I</t>
  </si>
  <si>
    <t>DATA PEMILIH DAN PENGGUNAAN HAK PILIH</t>
  </si>
  <si>
    <t>JUMLAH AKHIR</t>
  </si>
  <si>
    <t>A</t>
  </si>
  <si>
    <t xml:space="preserve">DATA PEMILIH  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</si>
  <si>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</si>
  <si>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</si>
  <si>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</si>
  <si>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</si>
  <si>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</si>
  <si>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</si>
  <si>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</si>
  <si>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</si>
  <si>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</si>
  <si>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</si>
  <si>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</si>
  <si>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</si>
  <si>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</si>
  <si>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</si>
  <si>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</si>
  <si>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</si>
  <si>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</si>
  <si>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</si>
  <si>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</si>
  <si>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</si>
  <si>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</si>
  <si>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</si>
  <si>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</si>
  <si>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</si>
  <si>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PARTAI POLITIK DAN SUARA CALON</t>
  </si>
  <si>
    <t>NOMOR DAN NAMA CALON</t>
  </si>
  <si>
    <t>A.1</t>
  </si>
  <si>
    <t>Partai Kebangkitan Bangsa</t>
  </si>
  <si>
    <t>A.2</t>
  </si>
  <si>
    <t>1. Dr. Hj. NIHAYATUL WAFIROH, M.A.</t>
  </si>
  <si>
    <t>2. H. M. NASIM KHAN</t>
  </si>
  <si>
    <t>3. Dr. H. AKIK ZAMAN, M.Pd.I.</t>
  </si>
  <si>
    <t>4. AHMAD RIFA'I, S.H.</t>
  </si>
  <si>
    <t>5. Drs. H. MAHFUD M.N.</t>
  </si>
  <si>
    <t>6. NURHAYATI, S.Pd.</t>
  </si>
  <si>
    <t>7. MAFTUHA KISWAH</t>
  </si>
  <si>
    <t>JUMLAH SUARA SAH PARTAI POLITIK DAN CALON (A1 + A2)</t>
  </si>
  <si>
    <t>Partai Gerakan Indonesia Raya</t>
  </si>
  <si>
    <t>1. SUMAIL ABDULLAH</t>
  </si>
  <si>
    <t>2. MUHAMMAD ALI ADRIAN SALEH</t>
  </si>
  <si>
    <t>3. DURROTUN NAFISAH</t>
  </si>
  <si>
    <t>4. H. EKO SUSILO NURHIDAYAT</t>
  </si>
  <si>
    <t>5. KARNADI HARIJANTO, S.S.</t>
  </si>
  <si>
    <t>6. NURHAYATI</t>
  </si>
  <si>
    <t>7. MASHUDI</t>
  </si>
  <si>
    <t>Partai Demokrasi Indonesia Perjuangan</t>
  </si>
  <si>
    <t>1. SONNY TRI DANAPARAMITA, S.H., M.H.</t>
  </si>
  <si>
    <t>2. H. MOHAMAD GUNTUR ROMLI</t>
  </si>
  <si>
    <t>3. INA AMMANIA</t>
  </si>
  <si>
    <t>4. IRWAN BACHTIAR RACHMAT, M.Si.</t>
  </si>
  <si>
    <t>5. LUCKY PERDANA</t>
  </si>
  <si>
    <t>6. WIWIK PUJIYATI</t>
  </si>
  <si>
    <t>7. CHANDRA ASTAN, S.T.</t>
  </si>
  <si>
    <t>Partai Golongan Karya</t>
  </si>
  <si>
    <t>1. ZULFIKAR ARSE SADIKIN, S.I.P., M.Si.</t>
  </si>
  <si>
    <t>2. HANDOKO</t>
  </si>
  <si>
    <t>3. Hj. OVI DEWI YANTI</t>
  </si>
  <si>
    <t>4. Ir. AZAM AZMAN NATAWIJANA</t>
  </si>
  <si>
    <t>5. UBAIDILLAH AMIN, S.Kom.</t>
  </si>
  <si>
    <t>6. DENNY YUNIANDARI, S.H., M.Kn.</t>
  </si>
  <si>
    <t>7. ERNADI, S.H.I.</t>
  </si>
  <si>
    <t>5.</t>
  </si>
  <si>
    <t>Partai NasDem</t>
  </si>
  <si>
    <t>1. ACH. FADIL MUZAKKI SYAH</t>
  </si>
  <si>
    <t>2. BENY</t>
  </si>
  <si>
    <t>3. VINA VERONIKA</t>
  </si>
  <si>
    <t>4. TEDDY ANUGRIANTO</t>
  </si>
  <si>
    <t>5. INSAN KAMIL</t>
  </si>
  <si>
    <t>6. LILIK LINDARWATI</t>
  </si>
  <si>
    <t>7. YULI ANITA</t>
  </si>
  <si>
    <t>6.</t>
  </si>
  <si>
    <t>Partai Buruh</t>
  </si>
  <si>
    <t>1. KHOIRUL ANAM</t>
  </si>
  <si>
    <t>2. INA KURNIA</t>
  </si>
  <si>
    <t>3. JIBRAL TAROUK</t>
  </si>
  <si>
    <t>4. ASTUTI DAENG PUJI</t>
  </si>
  <si>
    <t>5. ASDARMAWAN</t>
  </si>
  <si>
    <t>6. RIFQI MUBAROK</t>
  </si>
  <si>
    <t>7. FIRNANDA ALTA MEGA</t>
  </si>
  <si>
    <t>7.</t>
  </si>
  <si>
    <t>Partai Gelombang Rakyat Indonesia</t>
  </si>
  <si>
    <t>1. TITI WIDORETNO WARISMAN</t>
  </si>
  <si>
    <t>2. MAMIEK SETYANINGSIH</t>
  </si>
  <si>
    <t>3. ROMIL AZIZEN</t>
  </si>
  <si>
    <t>8.</t>
  </si>
  <si>
    <t>Partai Keadilan Sejahtera</t>
  </si>
  <si>
    <t>1. H. SAIMI SALEH, S.E., M.M.</t>
  </si>
  <si>
    <t>2. Prof. Dr. H. EGGI SUDJANA, S.H., M.Si.</t>
  </si>
  <si>
    <t>3. NURUL KHOTIMAH</t>
  </si>
  <si>
    <t>4. AKHMAD SUYANTO, S.T., M.T.</t>
  </si>
  <si>
    <t>5. PUJIYATNI</t>
  </si>
  <si>
    <t>6. HENI PURWATININGSIH</t>
  </si>
  <si>
    <t>7. MUHADI</t>
  </si>
  <si>
    <t>9.</t>
  </si>
  <si>
    <t>Partai Kebangkitan Nusantara</t>
  </si>
  <si>
    <t>1. ARIEF PRIHARDONO DARMAWAN</t>
  </si>
  <si>
    <t>2. MUSLIMIN</t>
  </si>
  <si>
    <t>3. ANDARINI RIEKE LESTINA H.</t>
  </si>
  <si>
    <t>4. CHARLES ADIKURNIA NARA HIDA</t>
  </si>
  <si>
    <t>5. FARADILLA ZAEINATH KALAKE</t>
  </si>
  <si>
    <t>6. TONY</t>
  </si>
  <si>
    <t>7. ADOLFRIN YUNIARTO KALA</t>
  </si>
  <si>
    <t>10.</t>
  </si>
  <si>
    <t>Partai Hati Nurani Rakyat</t>
  </si>
  <si>
    <t>1. Ir. H. A. BAMBANG IRIANTO</t>
  </si>
  <si>
    <t>2. EKO SUWARNO</t>
  </si>
  <si>
    <t>3. Dra. MIRTHA LISTIAYU ETTY TEDJA ADIYANTI</t>
  </si>
  <si>
    <t>4. SITI SOLIKHA</t>
  </si>
  <si>
    <t>11.</t>
  </si>
  <si>
    <t>Partai Garda Republik Indonesia</t>
  </si>
  <si>
    <t>1. TAUFIKUR RAHMAN, S.Kom.</t>
  </si>
  <si>
    <t>2. ELIN CHAERNURELINAH</t>
  </si>
  <si>
    <t>3. ARI NUROHMAN</t>
  </si>
  <si>
    <t>4. SAEFUL BAHRI</t>
  </si>
  <si>
    <t>5. NINDA HERAWATI</t>
  </si>
  <si>
    <t>6. UJANG IHWANUDIN</t>
  </si>
  <si>
    <t>7. MUHAMMAD ABDUL ROHMAN</t>
  </si>
  <si>
    <t>12.</t>
  </si>
  <si>
    <t>Partai Amanat Nasional</t>
  </si>
  <si>
    <t>1. Dr. ACH. RUBAIE, S.H., M.H.</t>
  </si>
  <si>
    <t>2. Brigjen. TNI (Purn.) SYUKRAN HAMBALI, S.H.</t>
  </si>
  <si>
    <t>3. Dra. Hj. MUSFIROH S BADRIE, M.Si.</t>
  </si>
  <si>
    <t>4. SITI ZULEHA</t>
  </si>
  <si>
    <t>5. GHOZI ZAINUDDIN, S.Ag.</t>
  </si>
  <si>
    <t>6. MUHAMMAD</t>
  </si>
  <si>
    <t>7. Drs. H. IMAM NGAQOIB, M.H.</t>
  </si>
  <si>
    <t>13.</t>
  </si>
  <si>
    <t>Partai Bulan Bintang</t>
  </si>
  <si>
    <t>1. MOHAMAD AFIFFILAH SAID</t>
  </si>
  <si>
    <t>2. AHMAD LUTFIANTO</t>
  </si>
  <si>
    <t>3. RUFINA LAILY KURNIATI</t>
  </si>
  <si>
    <t>4. WIWIK WAHYUNI, S.T.</t>
  </si>
  <si>
    <t>5. MAHFUD</t>
  </si>
  <si>
    <t>6. MARYAM CHOIRUN NISA</t>
  </si>
  <si>
    <t>7. ABU HASAN</t>
  </si>
  <si>
    <t>14.</t>
  </si>
  <si>
    <t>Partai Demokrat</t>
  </si>
  <si>
    <t>1. Dina Lorenza Audria</t>
  </si>
  <si>
    <t>2. Bobby B. Batubara, S.T., M.B.A.</t>
  </si>
  <si>
    <t>3. YUYON ALI FAHMI</t>
  </si>
  <si>
    <t>4. Mirda Rasyid, S.E., M.M.</t>
  </si>
  <si>
    <t>5. FAKHRI MUHAMMAD NOVENDRA</t>
  </si>
  <si>
    <t>6. Papang Sapari</t>
  </si>
  <si>
    <t>7. RIFKY MIFTAHUL ACHMAD</t>
  </si>
  <si>
    <t>15.</t>
  </si>
  <si>
    <t>Partai Solidaritas Indonesia</t>
  </si>
  <si>
    <t>1. IKHWAN ARIEF, S.H.I.</t>
  </si>
  <si>
    <t>2. ABDUL GHONI</t>
  </si>
  <si>
    <t>3. RAHAYU</t>
  </si>
  <si>
    <t>4. Muchamat Zainal Muzani</t>
  </si>
  <si>
    <t>5. WAHYU RAMADHAN</t>
  </si>
  <si>
    <t>6. ULFIA CAHAYANI</t>
  </si>
  <si>
    <t>7. YULIA SAFITRI</t>
  </si>
  <si>
    <t>16.</t>
  </si>
  <si>
    <t>PARTAI PERINDO</t>
  </si>
  <si>
    <t>1. ALFEN FAFIRLY, S.T.</t>
  </si>
  <si>
    <t>2. MOH. SUKRI</t>
  </si>
  <si>
    <t>3. ERFINA</t>
  </si>
  <si>
    <t>4. BEBY FAUZIANA</t>
  </si>
  <si>
    <t>5. GURITNO HIMANTORO. S.T.P., M.Si.</t>
  </si>
  <si>
    <t>6. HABSARI SUKMAYANTI</t>
  </si>
  <si>
    <t>7. EMILIA CONTESSA</t>
  </si>
  <si>
    <t>17.</t>
  </si>
  <si>
    <t>Partai Persatuan Pembangunan</t>
  </si>
  <si>
    <t>1. NORMAN ZEIN NAHDI, S.E.</t>
  </si>
  <si>
    <t>2. BASIR, S.Ag.</t>
  </si>
  <si>
    <t>3. NUR AZIZAH</t>
  </si>
  <si>
    <t>4. H. MOCH. MAHFUDH</t>
  </si>
  <si>
    <t>5. DWI SETYO EFENDI</t>
  </si>
  <si>
    <t>6. LULUK AVIYA</t>
  </si>
  <si>
    <t>7. SY. ANAS THAHIR</t>
  </si>
  <si>
    <t>18.</t>
  </si>
  <si>
    <t>Partai Ummat</t>
  </si>
  <si>
    <t>1. Ir. H. ABDUL RASYID</t>
  </si>
  <si>
    <t>2. NUR AINI, S.T.P.</t>
  </si>
  <si>
    <t>3. ERFIN SOFIA ASTUTI, S.Pd.</t>
  </si>
  <si>
    <t>4. SARIYANTO</t>
  </si>
  <si>
    <t>5. PURNOMO</t>
  </si>
  <si>
    <t>6. TRI SETYORINI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</si>
  <si>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</si>
  <si>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</si>
  <si>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</si>
  <si>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</si>
  <si>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</si>
  <si>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</si>
  <si>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</si>
  <si>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</si>
  <si>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Kelurahan</t>
  </si>
  <si>
    <t>BANJAR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</si>
  <si>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</si>
  <si>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</si>
  <si>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</si>
  <si>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</si>
  <si>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</si>
  <si>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</si>
  <si>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</si>
  <si>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</si>
  <si>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</si>
  <si>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GUMUK</t>
  </si>
  <si>
    <t>JELUN</t>
  </si>
  <si>
    <t>KLUNCING</t>
  </si>
  <si>
    <t>TPS 010</t>
  </si>
  <si>
    <t>TPS 011</t>
  </si>
  <si>
    <t>TPS 012</t>
  </si>
  <si>
    <t>TPS 013</t>
  </si>
  <si>
    <t>TPS 014</t>
  </si>
  <si>
    <t>TPS 015</t>
  </si>
  <si>
    <t>PAKEL</t>
  </si>
  <si>
    <t>SEGOBANG</t>
  </si>
  <si>
    <t>TPS 016</t>
  </si>
  <si>
    <t>TPS 017</t>
  </si>
  <si>
    <t>TPS 018</t>
  </si>
  <si>
    <t>TAMANSARI</t>
  </si>
  <si>
    <t>TPS 019</t>
  </si>
  <si>
    <t>TPS 020</t>
  </si>
  <si>
    <t>TPS 021</t>
  </si>
  <si>
    <t>TPS 022</t>
  </si>
  <si>
    <t>TPS 023</t>
  </si>
  <si>
    <t>TPS 024</t>
  </si>
  <si>
    <t>TPS 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</si>
</sst>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Calibri"/>
      <scheme val="minor"/>
    </font>
    <font>
      <b/>
      <sz val="10.0"/>
      <color theme="1"/>
      <name val="Bookman Old Style"/>
    </font>
    <font>
      <sz val="10.0"/>
      <color theme="1"/>
      <name val="Arial"/>
    </font>
    <font>
      <sz val="10.0"/>
      <color theme="1"/>
      <name val="Bookman Old Style"/>
    </font>
    <font>
      <sz val="10.0"/>
      <color rgb="FF000000"/>
      <name val="Bookman Old Style"/>
    </font>
    <font/>
    <font>
      <sz val="10.0"/>
      <color theme="1"/>
      <name val="Cambria"/>
    </font>
    <font>
      <color theme="1"/>
      <name val="Calibri"/>
    </font>
    <font>
      <b/>
      <sz val="10.0"/>
      <color rgb="FF000000"/>
      <name val="Bookman Old Style"/>
    </font>
    <font>
      <sz val="10.0"/>
      <color rgb="FF000000"/>
      <name val="Calibri"/>
    </font>
    <font>
      <color theme="1"/>
      <name val="Bookman Old Style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/>
      <bottom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3" numFmtId="3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0" fillId="0" fontId="4" numFmtId="0" xfId="0" applyFont="1"/>
    <xf borderId="0" fillId="0" fontId="1" numFmtId="3" xfId="0" applyAlignment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3" xfId="0" applyFont="1" applyNumberFormat="1"/>
    <xf borderId="0" fillId="0" fontId="1" numFmtId="0" xfId="0" applyAlignment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left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1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left" shrinkToFit="0" vertical="center" wrapText="1"/>
    </xf>
    <xf borderId="7" fillId="0" fontId="5" numFmtId="0" xfId="0" applyBorder="1" applyFont="1"/>
    <xf borderId="5" fillId="0" fontId="3" numFmtId="0" xfId="0" applyAlignment="1" applyBorder="1" applyFont="1">
      <alignment horizontal="left" shrinkToFit="0" vertical="center" wrapText="1"/>
    </xf>
    <xf borderId="8" fillId="0" fontId="5" numFmtId="0" xfId="0" applyBorder="1" applyFont="1"/>
    <xf borderId="2" fillId="0" fontId="3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2" fillId="0" fontId="1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shrinkToFit="0" vertical="center" wrapText="1"/>
    </xf>
    <xf borderId="11" fillId="0" fontId="3" numFmtId="0" xfId="0" applyAlignment="1" applyBorder="1" applyFont="1">
      <alignment shrinkToFit="0" vertical="center" wrapText="1"/>
    </xf>
    <xf borderId="12" fillId="0" fontId="3" numFmtId="0" xfId="0" applyAlignment="1" applyBorder="1" applyFont="1">
      <alignment horizontal="center" vertical="center"/>
    </xf>
    <xf borderId="12" fillId="0" fontId="5" numFmtId="0" xfId="0" applyBorder="1" applyFont="1"/>
    <xf borderId="12" fillId="0" fontId="1" numFmtId="0" xfId="0" applyAlignment="1" applyBorder="1" applyFont="1">
      <alignment horizontal="center" vertical="center"/>
    </xf>
    <xf borderId="13" fillId="0" fontId="5" numFmtId="0" xfId="0" applyBorder="1" applyFont="1"/>
    <xf borderId="8" fillId="0" fontId="1" numFmtId="0" xfId="0" applyAlignment="1" applyBorder="1" applyFont="1">
      <alignment horizontal="center" shrinkToFit="0" vertical="center" wrapText="1"/>
    </xf>
    <xf borderId="11" fillId="0" fontId="1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vertical="center"/>
    </xf>
    <xf borderId="3" fillId="0" fontId="3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14" fillId="0" fontId="3" numFmtId="0" xfId="0" applyAlignment="1" applyBorder="1" applyFont="1">
      <alignment horizontal="left" shrinkToFit="0" vertical="center" wrapText="1"/>
    </xf>
    <xf borderId="15" fillId="0" fontId="5" numFmtId="0" xfId="0" applyBorder="1" applyFont="1"/>
    <xf borderId="7" fillId="0" fontId="3" numFmtId="0" xfId="0" applyAlignment="1" applyBorder="1" applyFont="1">
      <alignment horizontal="center" vertical="center"/>
    </xf>
    <xf borderId="14" fillId="0" fontId="5" numFmtId="0" xfId="0" applyBorder="1" applyFont="1"/>
    <xf borderId="2" fillId="0" fontId="1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shrinkToFit="0" vertical="center" wrapText="1"/>
    </xf>
    <xf borderId="16" fillId="2" fontId="3" numFmtId="0" xfId="0" applyAlignment="1" applyBorder="1" applyFill="1" applyFont="1">
      <alignment horizontal="center" vertical="center"/>
    </xf>
    <xf borderId="17" fillId="2" fontId="3" numFmtId="0" xfId="0" applyAlignment="1" applyBorder="1" applyFont="1">
      <alignment horizontal="center" vertical="center"/>
    </xf>
    <xf borderId="17" fillId="2" fontId="2" numFmtId="3" xfId="0" applyBorder="1" applyFont="1" applyNumberFormat="1"/>
    <xf borderId="17" fillId="2" fontId="2" numFmtId="0" xfId="0" applyBorder="1" applyFont="1"/>
    <xf borderId="2" fillId="0" fontId="3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shrinkToFit="0" vertical="center" wrapText="1"/>
    </xf>
    <xf borderId="4" fillId="0" fontId="2" numFmtId="0" xfId="0" applyBorder="1" applyFont="1"/>
    <xf borderId="3" fillId="0" fontId="1" numFmtId="0" xfId="0" applyAlignment="1" applyBorder="1" applyFont="1">
      <alignment horizontal="center" vertical="center"/>
    </xf>
    <xf borderId="18" fillId="0" fontId="6" numFmtId="0" xfId="0" applyAlignment="1" applyBorder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0" fillId="0" fontId="7" numFmtId="0" xfId="0" applyFont="1"/>
    <xf borderId="4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11" fillId="0" fontId="8" numFmtId="0" xfId="0" applyAlignment="1" applyBorder="1" applyFont="1">
      <alignment horizontal="center" shrinkToFit="0" wrapText="1"/>
    </xf>
    <xf borderId="1" fillId="0" fontId="9" numFmtId="0" xfId="0" applyBorder="1" applyFont="1"/>
    <xf borderId="19" fillId="3" fontId="3" numFmtId="0" xfId="0" applyAlignment="1" applyBorder="1" applyFill="1" applyFont="1">
      <alignment horizontal="center" shrinkToFit="0" vertical="center" wrapText="1"/>
    </xf>
    <xf borderId="20" fillId="3" fontId="3" numFmtId="0" xfId="0" applyAlignment="1" applyBorder="1" applyFont="1">
      <alignment shrinkToFit="0" vertical="center" wrapText="1"/>
    </xf>
    <xf borderId="21" fillId="3" fontId="3" numFmtId="0" xfId="0" applyAlignment="1" applyBorder="1" applyFont="1">
      <alignment shrinkToFit="0" vertical="center" wrapText="1"/>
    </xf>
    <xf borderId="21" fillId="3" fontId="2" numFmtId="0" xfId="0" applyBorder="1" applyFont="1"/>
    <xf borderId="20" fillId="2" fontId="3" numFmtId="0" xfId="0" applyAlignment="1" applyBorder="1" applyFont="1">
      <alignment horizontal="center" vertical="center"/>
    </xf>
    <xf borderId="17" fillId="3" fontId="6" numFmtId="0" xfId="0" applyAlignment="1" applyBorder="1" applyFont="1">
      <alignment horizontal="left" shrinkToFit="0" vertical="top" wrapText="1"/>
    </xf>
    <xf borderId="1" fillId="3" fontId="1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 vertical="center"/>
    </xf>
    <xf borderId="1" fillId="0" fontId="3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</cellXfs>
  <cellStyles count="1">
    <cellStyle xfId="0" name="Normal" builtinId="0"/>
  </cellStyles>
  <dxfs count="4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4.0"/>
    <col customWidth="1" min="3" max="3" width="64.57"/>
    <col customWidth="1" min="4" max="4" width="6.57"/>
    <col customWidth="1" min="5" max="5" width="18.86"/>
    <col customWidth="1" min="6" max="7" width="10.14"/>
    <col customWidth="1" hidden="1" min="8" max="16" width="10.14"/>
    <col customWidth="1" hidden="1" min="17" max="25" width="8.71"/>
    <col customWidth="1" min="26" max="26" width="8.71"/>
  </cols>
  <sheetData>
    <row r="1" ht="15.0" customHeight="1"/>
    <row r="2" ht="15.0" customHeight="1"/>
    <row r="3" ht="15.0" customHeight="1"/>
    <row r="4" ht="15.0" customHeight="1"/>
    <row r="5" ht="15.75" customHeight="1">
      <c r="F5" s="1"/>
      <c r="G5" s="1"/>
      <c r="H5" s="1"/>
      <c r="I5" s="1"/>
      <c r="J5" s="1"/>
      <c r="K5" s="1"/>
      <c r="L5" s="1"/>
      <c r="M5" s="1"/>
      <c r="N5" s="1"/>
      <c r="O5" s="2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F6" s="1"/>
      <c r="G6" s="1"/>
      <c r="H6" s="1"/>
      <c r="I6" s="1"/>
      <c r="J6" s="1"/>
      <c r="K6" s="1"/>
      <c r="L6" s="1"/>
      <c r="M6" s="1"/>
      <c r="N6" s="1"/>
      <c r="O6" s="1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F7" s="5"/>
      <c r="G7" s="5"/>
      <c r="H7" s="5"/>
      <c r="I7" s="5"/>
      <c r="J7" s="5"/>
      <c r="K7" s="5"/>
      <c r="L7" s="5"/>
      <c r="M7" s="5"/>
      <c r="N7" s="5"/>
      <c r="O7" s="5"/>
      <c r="P7" s="6"/>
      <c r="Q7" s="7"/>
      <c r="R7" s="7"/>
      <c r="S7" s="7"/>
      <c r="T7" s="7"/>
      <c r="U7" s="7"/>
      <c r="V7" s="7"/>
      <c r="W7" s="7"/>
      <c r="X7" s="7"/>
      <c r="Y7" s="7"/>
      <c r="Z7" s="7"/>
    </row>
    <row r="8" ht="15.75" customHeight="1">
      <c r="C8" s="8" t="s">
        <v>0</v>
      </c>
      <c r="D8" s="8" t="s">
        <v>1</v>
      </c>
      <c r="F8" s="5"/>
      <c r="G8" s="5"/>
      <c r="H8" s="5"/>
      <c r="I8" s="5"/>
      <c r="J8" s="5"/>
      <c r="K8" s="5"/>
      <c r="L8" s="5"/>
      <c r="M8" s="5"/>
      <c r="N8" s="5"/>
      <c r="O8" s="5"/>
      <c r="P8" s="6"/>
      <c r="Q8" s="7"/>
      <c r="R8" s="7"/>
      <c r="S8" s="7"/>
      <c r="T8" s="7"/>
      <c r="U8" s="7"/>
      <c r="V8" s="7"/>
      <c r="W8" s="7"/>
      <c r="X8" s="7"/>
      <c r="Y8" s="7"/>
      <c r="Z8" s="7"/>
    </row>
    <row r="9" ht="15.75" customHeight="1">
      <c r="C9" s="8" t="s">
        <v>2</v>
      </c>
      <c r="D9" s="8" t="s">
        <v>3</v>
      </c>
      <c r="F9" s="1"/>
      <c r="G9" s="1"/>
      <c r="H9" s="1"/>
      <c r="I9" s="1"/>
      <c r="J9" s="1"/>
      <c r="K9" s="1"/>
      <c r="L9" s="1"/>
      <c r="M9" s="1"/>
      <c r="N9" s="1"/>
      <c r="O9" s="1"/>
      <c r="P9" s="9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C10" s="8" t="s">
        <v>4</v>
      </c>
      <c r="D10" s="8" t="s">
        <v>5</v>
      </c>
      <c r="F10" s="5"/>
      <c r="G10" s="5"/>
      <c r="H10" s="5"/>
      <c r="I10" s="5"/>
      <c r="J10" s="5"/>
      <c r="K10" s="5"/>
      <c r="L10" s="5"/>
      <c r="M10" s="5"/>
      <c r="N10" s="5"/>
      <c r="O10" s="10"/>
      <c r="P10" s="11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1"/>
      <c r="B11" s="12"/>
      <c r="C11" s="12"/>
      <c r="D11" s="12"/>
      <c r="E11" s="1"/>
      <c r="F11" s="5"/>
      <c r="G11" s="5"/>
      <c r="H11" s="5"/>
      <c r="I11" s="5"/>
      <c r="J11" s="5"/>
      <c r="K11" s="5"/>
      <c r="L11" s="5"/>
      <c r="M11" s="5"/>
      <c r="N11" s="5"/>
      <c r="O11" s="10"/>
      <c r="P11" s="11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13" t="s">
        <v>6</v>
      </c>
      <c r="B12" s="14" t="s">
        <v>7</v>
      </c>
      <c r="C12" s="15"/>
      <c r="D12" s="16"/>
      <c r="E12" s="17" t="s">
        <v>8</v>
      </c>
      <c r="F12" s="18"/>
      <c r="G12" s="5"/>
      <c r="H12" s="5"/>
      <c r="I12" s="5"/>
      <c r="J12" s="5"/>
      <c r="K12" s="5"/>
      <c r="L12" s="5"/>
      <c r="M12" s="5"/>
      <c r="N12" s="5"/>
      <c r="O12" s="5"/>
      <c r="P12" s="6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15.75" customHeight="1">
      <c r="A13" s="19" t="s">
        <v>9</v>
      </c>
      <c r="B13" s="20" t="s">
        <v>10</v>
      </c>
      <c r="C13" s="15"/>
      <c r="D13" s="16"/>
      <c r="E13" s="21"/>
      <c r="F13" s="18"/>
      <c r="G13" s="5"/>
      <c r="H13" s="5"/>
      <c r="I13" s="5"/>
      <c r="J13" s="5"/>
      <c r="K13" s="5"/>
      <c r="L13" s="5"/>
      <c r="M13" s="5"/>
      <c r="N13" s="5"/>
      <c r="O13" s="5"/>
      <c r="P13" s="6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15.75" customHeight="1">
      <c r="A14" s="18"/>
      <c r="B14" s="22" t="s">
        <v>11</v>
      </c>
      <c r="C14" s="23"/>
      <c r="D14" s="19" t="s">
        <v>12</v>
      </c>
      <c r="E14" s="24">
        <f>BANJAR!N14+GUMUK!M14+JELUN!M14+KLUNCING!O14+LICIN!T14+PAKEL!N14+SEGOBANG!W14+TAMANSARI!AD14</f>
        <v>11736</v>
      </c>
      <c r="F14" s="25"/>
      <c r="G14" s="1"/>
      <c r="H14" s="1"/>
      <c r="I14" s="1"/>
      <c r="J14" s="1"/>
      <c r="K14" s="1"/>
      <c r="L14" s="1"/>
      <c r="M14" s="1"/>
      <c r="N14" s="1"/>
      <c r="O14" s="1"/>
      <c r="P14" s="9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8"/>
      <c r="B15" s="26"/>
      <c r="C15" s="27"/>
      <c r="D15" s="19" t="s">
        <v>13</v>
      </c>
      <c r="E15" s="24">
        <f>BANJAR!N15+GUMUK!M15+JELUN!M15+KLUNCING!O15+LICIN!T15+PAKEL!N15+SEGOBANG!W15+TAMANSARI!AD15</f>
        <v>11864</v>
      </c>
      <c r="F15" s="18"/>
      <c r="G15" s="5"/>
      <c r="H15" s="5"/>
      <c r="I15" s="5"/>
      <c r="J15" s="5"/>
      <c r="K15" s="5"/>
      <c r="L15" s="5"/>
      <c r="M15" s="5"/>
      <c r="N15" s="5"/>
      <c r="O15" s="5"/>
      <c r="P15" s="6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15.75" customHeight="1">
      <c r="A16" s="25"/>
      <c r="B16" s="21"/>
      <c r="C16" s="28"/>
      <c r="D16" s="13" t="s">
        <v>14</v>
      </c>
      <c r="E16" s="29">
        <f>SUM(E14:E15)</f>
        <v>23600</v>
      </c>
      <c r="F16" s="18"/>
      <c r="G16" s="5"/>
      <c r="H16" s="5"/>
      <c r="I16" s="5"/>
      <c r="J16" s="5"/>
      <c r="K16" s="5"/>
      <c r="L16" s="5"/>
      <c r="M16" s="5"/>
      <c r="N16" s="5"/>
      <c r="O16" s="5"/>
      <c r="P16" s="6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5.75" customHeight="1">
      <c r="A17" s="24"/>
      <c r="B17" s="15"/>
      <c r="C17" s="15"/>
      <c r="D17" s="16"/>
      <c r="E17" s="24"/>
      <c r="F17" s="25"/>
      <c r="G17" s="1"/>
      <c r="H17" s="1"/>
      <c r="I17" s="1"/>
      <c r="J17" s="1"/>
      <c r="K17" s="1"/>
      <c r="L17" s="1"/>
      <c r="M17" s="1"/>
      <c r="N17" s="1"/>
      <c r="O17" s="1"/>
      <c r="P17" s="9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30" t="s">
        <v>15</v>
      </c>
      <c r="B18" s="20" t="s">
        <v>16</v>
      </c>
      <c r="C18" s="15"/>
      <c r="D18" s="16"/>
      <c r="E18" s="24"/>
      <c r="F18" s="18"/>
      <c r="G18" s="5"/>
      <c r="H18" s="5"/>
      <c r="I18" s="5"/>
      <c r="J18" s="5"/>
      <c r="K18" s="5"/>
      <c r="L18" s="5"/>
      <c r="M18" s="5"/>
      <c r="N18" s="5"/>
      <c r="O18" s="5"/>
      <c r="P18" s="6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15.75" customHeight="1">
      <c r="A19" s="30"/>
      <c r="B19" s="31" t="s">
        <v>17</v>
      </c>
      <c r="C19" s="32" t="s">
        <v>18</v>
      </c>
      <c r="D19" s="19" t="s">
        <v>12</v>
      </c>
      <c r="E19" s="24">
        <f>BANJAR!N19+GUMUK!M19+JELUN!M19+KLUNCING!O19+LICIN!T19+PAKEL!N19+SEGOBANG!W19+TAMANSARI!AD19</f>
        <v>9042</v>
      </c>
      <c r="F19" s="18"/>
      <c r="G19" s="5"/>
      <c r="H19" s="5"/>
      <c r="I19" s="5"/>
      <c r="J19" s="5"/>
      <c r="K19" s="5"/>
      <c r="L19" s="5"/>
      <c r="M19" s="5"/>
      <c r="N19" s="5"/>
      <c r="O19" s="5"/>
      <c r="P19" s="6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33"/>
      <c r="B20" s="27"/>
      <c r="C20" s="34"/>
      <c r="D20" s="19" t="s">
        <v>13</v>
      </c>
      <c r="E20" s="24">
        <f>BANJAR!N20+GUMUK!M20+JELUN!M20+KLUNCING!O20+LICIN!T20+PAKEL!N20+SEGOBANG!W20+TAMANSARI!AD20</f>
        <v>9713</v>
      </c>
      <c r="F20" s="25"/>
      <c r="G20" s="1"/>
      <c r="H20" s="1"/>
      <c r="I20" s="1"/>
      <c r="J20" s="1"/>
      <c r="K20" s="1"/>
      <c r="L20" s="1"/>
      <c r="M20" s="1"/>
      <c r="N20" s="1"/>
      <c r="O20" s="1"/>
      <c r="P20" s="9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35"/>
      <c r="B21" s="28"/>
      <c r="C21" s="36"/>
      <c r="D21" s="13" t="s">
        <v>14</v>
      </c>
      <c r="E21" s="29">
        <f>SUM(E19:E20)</f>
        <v>18755</v>
      </c>
      <c r="F21" s="25"/>
      <c r="G21" s="1"/>
      <c r="H21" s="1"/>
      <c r="I21" s="1"/>
      <c r="J21" s="1"/>
      <c r="K21" s="1"/>
      <c r="L21" s="1"/>
      <c r="M21" s="1"/>
      <c r="N21" s="1"/>
      <c r="O21" s="1"/>
      <c r="P21" s="9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33"/>
      <c r="B22" s="31" t="s">
        <v>19</v>
      </c>
      <c r="C22" s="32" t="s">
        <v>20</v>
      </c>
      <c r="D22" s="19" t="s">
        <v>12</v>
      </c>
      <c r="E22" s="24">
        <f>BANJAR!N22+GUMUK!M22+JELUN!M22+KLUNCING!O22+LICIN!T22+PAKEL!N22+SEGOBANG!W22+TAMANSARI!AD22</f>
        <v>6</v>
      </c>
      <c r="F22" s="25"/>
      <c r="G22" s="1"/>
      <c r="H22" s="1"/>
      <c r="I22" s="1"/>
      <c r="J22" s="1"/>
      <c r="K22" s="1"/>
      <c r="L22" s="1"/>
      <c r="M22" s="1"/>
      <c r="N22" s="1"/>
      <c r="O22" s="1"/>
      <c r="P22" s="9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33"/>
      <c r="B23" s="27"/>
      <c r="C23" s="34"/>
      <c r="D23" s="19" t="s">
        <v>13</v>
      </c>
      <c r="E23" s="24">
        <f>BANJAR!N23+GUMUK!M23+JELUN!M23+KLUNCING!O23+LICIN!T23+PAKEL!N23+SEGOBANG!W23+TAMANSARI!AD23</f>
        <v>5</v>
      </c>
      <c r="F23" s="25"/>
      <c r="G23" s="1"/>
      <c r="H23" s="1"/>
      <c r="I23" s="1"/>
      <c r="J23" s="1"/>
      <c r="K23" s="1"/>
      <c r="L23" s="1"/>
      <c r="M23" s="1"/>
      <c r="N23" s="1"/>
      <c r="O23" s="1"/>
      <c r="P23" s="9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35"/>
      <c r="B24" s="28"/>
      <c r="C24" s="36"/>
      <c r="D24" s="13" t="s">
        <v>14</v>
      </c>
      <c r="E24" s="29">
        <f>SUM(E22:E23)</f>
        <v>11</v>
      </c>
      <c r="F24" s="18"/>
      <c r="G24" s="5"/>
      <c r="H24" s="5"/>
      <c r="I24" s="5"/>
      <c r="J24" s="5"/>
      <c r="K24" s="5"/>
      <c r="L24" s="5"/>
      <c r="M24" s="5"/>
      <c r="N24" s="5"/>
      <c r="O24" s="10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3"/>
      <c r="B25" s="31" t="s">
        <v>21</v>
      </c>
      <c r="C25" s="32" t="s">
        <v>22</v>
      </c>
      <c r="D25" s="19" t="s">
        <v>12</v>
      </c>
      <c r="E25" s="24">
        <f>BANJAR!N25+GUMUK!M25+JELUN!M25+KLUNCING!O25+LICIN!T25+PAKEL!N25+SEGOBANG!W25+TAMANSARI!AD25</f>
        <v>78</v>
      </c>
      <c r="F25" s="25"/>
      <c r="G25" s="1"/>
      <c r="H25" s="1"/>
      <c r="I25" s="1"/>
      <c r="J25" s="1"/>
      <c r="K25" s="1"/>
      <c r="L25" s="1"/>
      <c r="M25" s="1"/>
      <c r="N25" s="1"/>
      <c r="O25" s="2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3"/>
      <c r="B26" s="27"/>
      <c r="C26" s="34"/>
      <c r="D26" s="19" t="s">
        <v>13</v>
      </c>
      <c r="E26" s="24">
        <f>BANJAR!N26+GUMUK!M26+JELUN!M26+KLUNCING!O26+LICIN!T26+PAKEL!N26+SEGOBANG!W26+TAMANSARI!AD26</f>
        <v>78</v>
      </c>
      <c r="F26" s="18"/>
      <c r="G26" s="5"/>
      <c r="H26" s="5"/>
      <c r="I26" s="5"/>
      <c r="J26" s="5"/>
      <c r="K26" s="5"/>
      <c r="L26" s="5"/>
      <c r="M26" s="5"/>
      <c r="N26" s="5"/>
      <c r="O26" s="5"/>
      <c r="P26" s="6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35"/>
      <c r="B27" s="28"/>
      <c r="C27" s="36"/>
      <c r="D27" s="13" t="s">
        <v>14</v>
      </c>
      <c r="E27" s="29">
        <f>SUM(E25:E26)</f>
        <v>156</v>
      </c>
      <c r="F27" s="25"/>
      <c r="G27" s="1"/>
      <c r="H27" s="1"/>
      <c r="I27" s="1"/>
      <c r="J27" s="1"/>
      <c r="K27" s="1"/>
      <c r="L27" s="1"/>
      <c r="M27" s="1"/>
      <c r="N27" s="1"/>
      <c r="O27" s="1"/>
      <c r="P27" s="9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35"/>
      <c r="B28" s="37" t="s">
        <v>23</v>
      </c>
      <c r="C28" s="38" t="s">
        <v>24</v>
      </c>
      <c r="D28" s="13" t="s">
        <v>12</v>
      </c>
      <c r="E28" s="29">
        <f t="shared" ref="E28:E29" si="1">E19+E22+E25</f>
        <v>9126</v>
      </c>
      <c r="F28" s="18"/>
      <c r="G28" s="5"/>
      <c r="H28" s="5"/>
      <c r="I28" s="5"/>
      <c r="J28" s="5"/>
      <c r="K28" s="5"/>
      <c r="L28" s="5"/>
      <c r="M28" s="5"/>
      <c r="N28" s="5"/>
      <c r="O28" s="5"/>
      <c r="P28" s="6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35"/>
      <c r="B29" s="27"/>
      <c r="C29" s="34"/>
      <c r="D29" s="13" t="s">
        <v>13</v>
      </c>
      <c r="E29" s="29">
        <f t="shared" si="1"/>
        <v>9796</v>
      </c>
      <c r="F29" s="25"/>
      <c r="G29" s="1"/>
      <c r="H29" s="1"/>
      <c r="I29" s="1"/>
      <c r="J29" s="1"/>
      <c r="K29" s="1"/>
      <c r="L29" s="1"/>
      <c r="M29" s="1"/>
      <c r="N29" s="1"/>
      <c r="O29" s="1"/>
      <c r="P29" s="9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35"/>
      <c r="B30" s="28"/>
      <c r="C30" s="36"/>
      <c r="D30" s="13" t="s">
        <v>14</v>
      </c>
      <c r="E30" s="29">
        <f>SUM(E28:E29)</f>
        <v>18922</v>
      </c>
      <c r="F30" s="39"/>
      <c r="G30" s="3"/>
      <c r="H30" s="3"/>
      <c r="I30" s="3"/>
      <c r="J30" s="3"/>
      <c r="K30" s="5"/>
      <c r="L30" s="5"/>
      <c r="M30" s="5"/>
      <c r="N30" s="5"/>
      <c r="O30" s="10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24"/>
      <c r="B31" s="15"/>
      <c r="C31" s="15"/>
      <c r="D31" s="16"/>
      <c r="E31" s="40"/>
      <c r="F31" s="25"/>
      <c r="G31" s="1"/>
      <c r="H31" s="1"/>
      <c r="I31" s="1"/>
      <c r="J31" s="1"/>
      <c r="K31" s="1"/>
      <c r="L31" s="1"/>
      <c r="M31" s="1"/>
      <c r="N31" s="1"/>
      <c r="O31" s="2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1" t="s">
        <v>25</v>
      </c>
      <c r="B32" s="14" t="s">
        <v>26</v>
      </c>
      <c r="C32" s="15"/>
      <c r="D32" s="16"/>
      <c r="E32" s="29"/>
      <c r="F32" s="18"/>
      <c r="G32" s="5"/>
      <c r="H32" s="5"/>
      <c r="I32" s="5"/>
      <c r="J32" s="5"/>
      <c r="K32" s="5"/>
      <c r="L32" s="5"/>
      <c r="M32" s="5"/>
      <c r="N32" s="5"/>
      <c r="O32" s="5"/>
      <c r="P32" s="6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19">
        <v>1.0</v>
      </c>
      <c r="B33" s="20" t="s">
        <v>27</v>
      </c>
      <c r="C33" s="15"/>
      <c r="D33" s="16"/>
      <c r="E33" s="24">
        <f>BANJAR!N33+GUMUK!M33+JELUN!M33+KLUNCING!O33+LICIN!T33+PAKEL!N33+SEGOBANG!W33+TAMANSARI!AD33</f>
        <v>23994</v>
      </c>
      <c r="F33" s="18"/>
      <c r="G33" s="5"/>
      <c r="H33" s="5"/>
      <c r="I33" s="5"/>
      <c r="J33" s="5"/>
      <c r="K33" s="5"/>
      <c r="L33" s="5"/>
      <c r="M33" s="5"/>
      <c r="N33" s="5"/>
      <c r="O33" s="5"/>
      <c r="P33" s="6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19">
        <v>2.0</v>
      </c>
      <c r="B34" s="20" t="s">
        <v>28</v>
      </c>
      <c r="C34" s="15"/>
      <c r="D34" s="16"/>
      <c r="E34" s="24">
        <f>BANJAR!N34+GUMUK!M34+JELUN!M34+KLUNCING!O34+LICIN!T34+PAKEL!N34+SEGOBANG!W34+TAMANSARI!AD34</f>
        <v>18922</v>
      </c>
      <c r="F34" s="25"/>
      <c r="G34" s="1"/>
      <c r="H34" s="1"/>
      <c r="I34" s="1"/>
      <c r="J34" s="1"/>
      <c r="K34" s="1"/>
      <c r="L34" s="1"/>
      <c r="M34" s="1"/>
      <c r="N34" s="1"/>
      <c r="O34" s="1"/>
      <c r="P34" s="9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9">
        <v>3.0</v>
      </c>
      <c r="B35" s="20" t="s">
        <v>29</v>
      </c>
      <c r="C35" s="15"/>
      <c r="D35" s="16"/>
      <c r="E35" s="24">
        <f>BANJAR!N35+GUMUK!M35+JELUN!M35+KLUNCING!O35+LICIN!T35+PAKEL!N35+SEGOBANG!W35+TAMANSARI!AD35</f>
        <v>63</v>
      </c>
      <c r="F35" s="39"/>
      <c r="G35" s="3"/>
      <c r="H35" s="3"/>
      <c r="I35" s="3"/>
      <c r="J35" s="3"/>
      <c r="K35" s="5"/>
      <c r="L35" s="5"/>
      <c r="M35" s="5"/>
      <c r="N35" s="5"/>
      <c r="O35" s="10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9">
        <v>4.0</v>
      </c>
      <c r="B36" s="20" t="s">
        <v>30</v>
      </c>
      <c r="C36" s="15"/>
      <c r="D36" s="16"/>
      <c r="E36" s="29">
        <f>E33-(E34+E35)</f>
        <v>5009</v>
      </c>
      <c r="F36" s="25"/>
      <c r="G36" s="1"/>
      <c r="H36" s="1"/>
      <c r="I36" s="1"/>
      <c r="J36" s="1"/>
      <c r="K36" s="1"/>
      <c r="L36" s="1"/>
      <c r="M36" s="1"/>
      <c r="N36" s="1"/>
      <c r="O36" s="2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24"/>
      <c r="B37" s="15"/>
      <c r="C37" s="15"/>
      <c r="D37" s="15"/>
      <c r="E37" s="15"/>
      <c r="F37" s="18"/>
      <c r="G37" s="5"/>
      <c r="H37" s="5"/>
      <c r="I37" s="5"/>
      <c r="J37" s="5"/>
      <c r="K37" s="5"/>
      <c r="L37" s="5"/>
      <c r="M37" s="5"/>
      <c r="N37" s="5"/>
      <c r="O37" s="10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2" t="s">
        <v>31</v>
      </c>
      <c r="B38" s="14" t="s">
        <v>32</v>
      </c>
      <c r="C38" s="15"/>
      <c r="D38" s="16"/>
      <c r="E38" s="29"/>
      <c r="F38" s="18"/>
      <c r="G38" s="5"/>
      <c r="H38" s="5"/>
      <c r="I38" s="5"/>
      <c r="J38" s="5"/>
      <c r="K38" s="5"/>
      <c r="L38" s="5"/>
      <c r="M38" s="5"/>
      <c r="N38" s="5"/>
      <c r="O38" s="5"/>
      <c r="P38" s="6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30"/>
      <c r="B39" s="43" t="s">
        <v>33</v>
      </c>
      <c r="C39" s="23"/>
      <c r="D39" s="19" t="s">
        <v>12</v>
      </c>
      <c r="E39" s="24">
        <f>BANJAR!N39+GUMUK!M39+JELUN!M39+KLUNCING!O39+LICIN!T39+PAKEL!N39+SEGOBANG!W39+TAMANSARI!AD39</f>
        <v>27</v>
      </c>
      <c r="F39" s="18"/>
      <c r="G39" s="5"/>
      <c r="H39" s="5"/>
      <c r="I39" s="5"/>
      <c r="J39" s="5"/>
      <c r="K39" s="5"/>
      <c r="L39" s="5"/>
      <c r="M39" s="5"/>
      <c r="N39" s="5"/>
      <c r="O39" s="5"/>
      <c r="P39" s="6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33"/>
      <c r="C40" s="27"/>
      <c r="D40" s="19" t="s">
        <v>13</v>
      </c>
      <c r="E40" s="24">
        <f>BANJAR!N40+GUMUK!M40+JELUN!M40+KLUNCING!O40+LICIN!T40+PAKEL!N40+SEGOBANG!W40+TAMANSARI!AD40</f>
        <v>19</v>
      </c>
      <c r="F40" s="18"/>
      <c r="G40" s="5"/>
      <c r="H40" s="5"/>
      <c r="I40" s="5"/>
      <c r="J40" s="5"/>
      <c r="K40" s="5"/>
      <c r="L40" s="5"/>
      <c r="M40" s="5"/>
      <c r="N40" s="5"/>
      <c r="O40" s="5"/>
      <c r="P40" s="6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41"/>
      <c r="B41" s="44"/>
      <c r="C41" s="28"/>
      <c r="D41" s="13" t="s">
        <v>14</v>
      </c>
      <c r="E41" s="29">
        <f>SUM(E39:E40)</f>
        <v>46</v>
      </c>
      <c r="F41" s="18"/>
      <c r="G41" s="5"/>
      <c r="H41" s="5"/>
      <c r="I41" s="5"/>
      <c r="J41" s="5"/>
      <c r="K41" s="5"/>
      <c r="L41" s="5"/>
      <c r="M41" s="5"/>
      <c r="N41" s="5"/>
      <c r="O41" s="5"/>
      <c r="P41" s="6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45"/>
      <c r="B42" s="44"/>
      <c r="C42" s="44"/>
      <c r="D42" s="28"/>
      <c r="E42" s="24"/>
      <c r="F42" s="18"/>
      <c r="G42" s="5"/>
      <c r="H42" s="5"/>
      <c r="I42" s="5"/>
      <c r="J42" s="5"/>
      <c r="K42" s="5"/>
      <c r="L42" s="5"/>
      <c r="M42" s="5"/>
      <c r="N42" s="5"/>
      <c r="O42" s="5"/>
      <c r="P42" s="6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42" t="s">
        <v>34</v>
      </c>
      <c r="B43" s="14" t="s">
        <v>35</v>
      </c>
      <c r="C43" s="15"/>
      <c r="D43" s="16"/>
      <c r="E43" s="29"/>
      <c r="F43" s="18"/>
      <c r="G43" s="5"/>
      <c r="H43" s="5"/>
      <c r="I43" s="5"/>
      <c r="J43" s="5"/>
      <c r="K43" s="5"/>
      <c r="L43" s="5"/>
      <c r="M43" s="5"/>
      <c r="N43" s="5"/>
      <c r="O43" s="5"/>
      <c r="P43" s="6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43" t="s">
        <v>36</v>
      </c>
      <c r="B44" s="46"/>
      <c r="C44" s="46"/>
      <c r="D44" s="23"/>
      <c r="E44" s="24"/>
      <c r="F44" s="18"/>
      <c r="G44" s="5"/>
      <c r="H44" s="5"/>
      <c r="I44" s="5"/>
      <c r="J44" s="5"/>
      <c r="K44" s="5"/>
      <c r="L44" s="5"/>
      <c r="M44" s="5"/>
      <c r="N44" s="5"/>
      <c r="O44" s="5"/>
      <c r="P44" s="6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30" t="s">
        <v>37</v>
      </c>
      <c r="B45" s="47" t="s">
        <v>17</v>
      </c>
      <c r="C45" s="48" t="s">
        <v>38</v>
      </c>
      <c r="D45" s="16"/>
      <c r="E45" s="24">
        <f>BANJAR!N45+GUMUK!M45+JELUN!M45+KLUNCING!O45+LICIN!T45+PAKEL!N45+SEGOBANG!W45+TAMANSARI!AD45</f>
        <v>900</v>
      </c>
      <c r="F45" s="25"/>
      <c r="G45" s="1"/>
      <c r="H45" s="1"/>
      <c r="I45" s="1"/>
      <c r="J45" s="1"/>
      <c r="K45" s="1"/>
      <c r="L45" s="1"/>
      <c r="M45" s="1"/>
      <c r="N45" s="1"/>
      <c r="O45" s="1"/>
      <c r="P45" s="9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30" t="s">
        <v>39</v>
      </c>
      <c r="B46" s="49">
        <v>1.0</v>
      </c>
      <c r="C46" s="50" t="s">
        <v>40</v>
      </c>
      <c r="D46" s="16"/>
      <c r="E46" s="24">
        <f>BANJAR!N46+GUMUK!M46+JELUN!M46+KLUNCING!O46+LICIN!T46+PAKEL!N46+SEGOBANG!W46+TAMANSARI!AD46</f>
        <v>1708</v>
      </c>
      <c r="F46" s="51"/>
      <c r="G46" s="52"/>
      <c r="H46" s="52"/>
      <c r="I46" s="52"/>
      <c r="J46" s="52"/>
      <c r="K46" s="52"/>
      <c r="L46" s="52"/>
      <c r="M46" s="52"/>
      <c r="N46" s="52"/>
      <c r="O46" s="52"/>
      <c r="P46" s="53"/>
      <c r="Q46" s="3"/>
      <c r="R46" s="3"/>
      <c r="S46" s="3"/>
      <c r="T46" s="3"/>
      <c r="U46" s="3"/>
      <c r="V46" s="3"/>
      <c r="W46" s="54"/>
      <c r="X46" s="3"/>
      <c r="Y46" s="3"/>
      <c r="Z46" s="3"/>
    </row>
    <row r="47" ht="15.75" customHeight="1">
      <c r="A47" s="18"/>
      <c r="B47" s="55">
        <v>2.0</v>
      </c>
      <c r="C47" s="50" t="s">
        <v>41</v>
      </c>
      <c r="D47" s="16"/>
      <c r="E47" s="24">
        <f>BANJAR!N47+GUMUK!M47+JELUN!M47+KLUNCING!O47+LICIN!T47+PAKEL!N47+SEGOBANG!W47+TAMANSARI!AD47</f>
        <v>341</v>
      </c>
      <c r="F47" s="18"/>
      <c r="G47" s="5"/>
      <c r="H47" s="5"/>
      <c r="I47" s="5"/>
      <c r="J47" s="5"/>
      <c r="K47" s="5"/>
      <c r="L47" s="5"/>
      <c r="M47" s="5"/>
      <c r="N47" s="5"/>
      <c r="O47" s="5"/>
      <c r="P47" s="6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18"/>
      <c r="B48" s="55">
        <v>3.0</v>
      </c>
      <c r="C48" s="50" t="s">
        <v>42</v>
      </c>
      <c r="D48" s="16"/>
      <c r="E48" s="24">
        <f>BANJAR!N48+GUMUK!M48+JELUN!M48+KLUNCING!O48+LICIN!T48+PAKEL!N48+SEGOBANG!W48+TAMANSARI!AD48</f>
        <v>110</v>
      </c>
      <c r="F48" s="18"/>
      <c r="G48" s="5"/>
      <c r="H48" s="5"/>
      <c r="I48" s="5"/>
      <c r="J48" s="5"/>
      <c r="K48" s="5"/>
      <c r="L48" s="5"/>
      <c r="M48" s="5"/>
      <c r="N48" s="5"/>
      <c r="O48" s="5"/>
      <c r="P48" s="6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18"/>
      <c r="B49" s="55">
        <v>4.0</v>
      </c>
      <c r="C49" s="50" t="s">
        <v>43</v>
      </c>
      <c r="D49" s="16"/>
      <c r="E49" s="24">
        <f>BANJAR!N49+GUMUK!M49+JELUN!M49+KLUNCING!O49+LICIN!T49+PAKEL!N49+SEGOBANG!W49+TAMANSARI!AD49</f>
        <v>266</v>
      </c>
      <c r="F49" s="18"/>
      <c r="G49" s="5"/>
      <c r="H49" s="5"/>
      <c r="I49" s="5"/>
      <c r="J49" s="5"/>
      <c r="K49" s="5"/>
      <c r="L49" s="5"/>
      <c r="M49" s="5"/>
      <c r="N49" s="5"/>
      <c r="O49" s="5"/>
      <c r="P49" s="6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18"/>
      <c r="B50" s="55">
        <v>5.0</v>
      </c>
      <c r="C50" s="50" t="s">
        <v>44</v>
      </c>
      <c r="D50" s="16"/>
      <c r="E50" s="24">
        <f>BANJAR!N50+GUMUK!M50+JELUN!M50+KLUNCING!O50+LICIN!T50+PAKEL!N50+SEGOBANG!W50+TAMANSARI!AD50</f>
        <v>21</v>
      </c>
      <c r="F50" s="18"/>
      <c r="G50" s="5"/>
      <c r="H50" s="5"/>
      <c r="I50" s="5"/>
      <c r="J50" s="5"/>
      <c r="K50" s="5"/>
      <c r="L50" s="5"/>
      <c r="M50" s="5"/>
      <c r="N50" s="5"/>
      <c r="O50" s="5"/>
      <c r="P50" s="6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18"/>
      <c r="B51" s="55">
        <v>6.0</v>
      </c>
      <c r="C51" s="50" t="s">
        <v>45</v>
      </c>
      <c r="D51" s="16"/>
      <c r="E51" s="24">
        <f>BANJAR!N51+GUMUK!M51+JELUN!M51+KLUNCING!O51+LICIN!T51+PAKEL!N51+SEGOBANG!W51+TAMANSARI!AD51</f>
        <v>13</v>
      </c>
      <c r="F51" s="18"/>
      <c r="G51" s="5"/>
      <c r="H51" s="5"/>
      <c r="I51" s="5"/>
      <c r="J51" s="5"/>
      <c r="K51" s="5"/>
      <c r="L51" s="5"/>
      <c r="M51" s="5"/>
      <c r="N51" s="5"/>
      <c r="O51" s="5"/>
      <c r="P51" s="6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18"/>
      <c r="B52" s="55">
        <v>7.0</v>
      </c>
      <c r="C52" s="50" t="s">
        <v>46</v>
      </c>
      <c r="D52" s="16"/>
      <c r="E52" s="24">
        <f>BANJAR!N52+GUMUK!M52+JELUN!M52+KLUNCING!O52+LICIN!T52+PAKEL!N52+SEGOBANG!W52+TAMANSARI!AD52</f>
        <v>2</v>
      </c>
      <c r="F52" s="18"/>
      <c r="G52" s="5"/>
      <c r="H52" s="5"/>
      <c r="I52" s="5"/>
      <c r="J52" s="5"/>
      <c r="K52" s="5"/>
      <c r="L52" s="5"/>
      <c r="M52" s="5"/>
      <c r="N52" s="5"/>
      <c r="O52" s="5"/>
      <c r="P52" s="6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18"/>
      <c r="B53" s="55"/>
      <c r="C53" s="50"/>
      <c r="D53" s="56"/>
      <c r="E53" s="24"/>
      <c r="F53" s="18"/>
      <c r="G53" s="5"/>
      <c r="H53" s="5"/>
      <c r="I53" s="5"/>
      <c r="J53" s="5"/>
      <c r="K53" s="5"/>
      <c r="L53" s="5"/>
      <c r="M53" s="5"/>
      <c r="N53" s="5"/>
      <c r="O53" s="5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18"/>
      <c r="B54" s="55"/>
      <c r="C54" s="50"/>
      <c r="D54" s="56"/>
      <c r="E54" s="24"/>
      <c r="F54" s="18"/>
      <c r="G54" s="5"/>
      <c r="H54" s="5"/>
      <c r="I54" s="5"/>
      <c r="J54" s="5"/>
      <c r="K54" s="5"/>
      <c r="L54" s="5"/>
      <c r="M54" s="5"/>
      <c r="N54" s="5"/>
      <c r="O54" s="5"/>
      <c r="P54" s="6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19" t="s">
        <v>15</v>
      </c>
      <c r="B55" s="47" t="s">
        <v>47</v>
      </c>
      <c r="C55" s="15"/>
      <c r="D55" s="16"/>
      <c r="E55" s="13">
        <f>SUM(E45:E52)</f>
        <v>3361</v>
      </c>
      <c r="F55" s="18"/>
      <c r="G55" s="5"/>
      <c r="H55" s="5"/>
      <c r="I55" s="5"/>
      <c r="J55" s="5"/>
      <c r="K55" s="5"/>
      <c r="L55" s="5"/>
      <c r="M55" s="5"/>
      <c r="N55" s="5"/>
      <c r="O55" s="5"/>
      <c r="P55" s="6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45"/>
      <c r="B56" s="44"/>
      <c r="C56" s="44"/>
      <c r="D56" s="44"/>
      <c r="E56" s="44"/>
      <c r="F56" s="18"/>
      <c r="G56" s="5"/>
      <c r="H56" s="5"/>
      <c r="I56" s="5"/>
      <c r="J56" s="5"/>
      <c r="K56" s="5"/>
      <c r="L56" s="5"/>
      <c r="M56" s="5"/>
      <c r="N56" s="5"/>
      <c r="O56" s="5"/>
      <c r="P56" s="6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30" t="s">
        <v>37</v>
      </c>
      <c r="B57" s="47" t="s">
        <v>19</v>
      </c>
      <c r="C57" s="48" t="s">
        <v>48</v>
      </c>
      <c r="D57" s="16"/>
      <c r="E57" s="24">
        <f>BANJAR!N57+GUMUK!M57+JELUN!M57+KLUNCING!O57+LICIN!T57+PAKEL!N57+SEGOBANG!W57+TAMANSARI!AD57</f>
        <v>1195</v>
      </c>
      <c r="F57" s="25"/>
      <c r="G57" s="1"/>
      <c r="H57" s="1"/>
      <c r="I57" s="1"/>
      <c r="J57" s="1"/>
      <c r="K57" s="1"/>
      <c r="L57" s="1"/>
      <c r="M57" s="1"/>
      <c r="N57" s="1"/>
      <c r="O57" s="1"/>
      <c r="P57" s="9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30" t="s">
        <v>39</v>
      </c>
      <c r="B58" s="55">
        <v>1.0</v>
      </c>
      <c r="C58" s="50" t="s">
        <v>49</v>
      </c>
      <c r="D58" s="56"/>
      <c r="E58" s="24">
        <f>BANJAR!N58+GUMUK!M58+JELUN!M58+KLUNCING!O58+LICIN!T58+PAKEL!N58+SEGOBANG!W58+TAMANSARI!AD58</f>
        <v>1494</v>
      </c>
      <c r="F58" s="51"/>
      <c r="G58" s="52"/>
      <c r="H58" s="52"/>
      <c r="I58" s="52"/>
      <c r="J58" s="52"/>
      <c r="K58" s="52"/>
      <c r="L58" s="52"/>
      <c r="M58" s="52"/>
      <c r="N58" s="52"/>
      <c r="O58" s="52"/>
      <c r="P58" s="53"/>
      <c r="Q58" s="3"/>
      <c r="R58" s="3"/>
      <c r="S58" s="3"/>
      <c r="T58" s="3"/>
      <c r="U58" s="3"/>
      <c r="V58" s="3"/>
      <c r="W58" s="54"/>
      <c r="X58" s="3"/>
      <c r="Y58" s="3"/>
      <c r="Z58" s="3"/>
    </row>
    <row r="59" ht="15.75" customHeight="1">
      <c r="A59" s="18"/>
      <c r="B59" s="55">
        <v>2.0</v>
      </c>
      <c r="C59" s="50" t="s">
        <v>50</v>
      </c>
      <c r="D59" s="56"/>
      <c r="E59" s="24">
        <f>BANJAR!N59+GUMUK!M59+JELUN!M59+KLUNCING!O59+LICIN!T59+PAKEL!N59+SEGOBANG!W59+TAMANSARI!AD59</f>
        <v>778</v>
      </c>
      <c r="F59" s="18"/>
      <c r="G59" s="5"/>
      <c r="H59" s="5"/>
      <c r="I59" s="5"/>
      <c r="J59" s="5"/>
      <c r="K59" s="5"/>
      <c r="L59" s="5"/>
      <c r="M59" s="5"/>
      <c r="N59" s="5"/>
      <c r="O59" s="5"/>
      <c r="P59" s="6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18"/>
      <c r="B60" s="55">
        <v>3.0</v>
      </c>
      <c r="C60" s="50" t="s">
        <v>51</v>
      </c>
      <c r="D60" s="56"/>
      <c r="E60" s="24">
        <f>BANJAR!N60+GUMUK!M60+JELUN!M60+KLUNCING!O60+LICIN!T60+PAKEL!N60+SEGOBANG!W60+TAMANSARI!AD60</f>
        <v>89</v>
      </c>
      <c r="F60" s="18"/>
      <c r="G60" s="5"/>
      <c r="H60" s="5"/>
      <c r="I60" s="5"/>
      <c r="J60" s="5"/>
      <c r="K60" s="5"/>
      <c r="L60" s="5"/>
      <c r="M60" s="5"/>
      <c r="N60" s="5"/>
      <c r="O60" s="5"/>
      <c r="P60" s="6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18"/>
      <c r="B61" s="55">
        <v>4.0</v>
      </c>
      <c r="C61" s="50" t="s">
        <v>52</v>
      </c>
      <c r="D61" s="56"/>
      <c r="E61" s="24">
        <f>BANJAR!N61+GUMUK!M61+JELUN!M61+KLUNCING!O61+LICIN!T61+PAKEL!N61+SEGOBANG!W61+TAMANSARI!AD61</f>
        <v>63</v>
      </c>
      <c r="F61" s="18"/>
      <c r="G61" s="5"/>
      <c r="H61" s="5"/>
      <c r="I61" s="5"/>
      <c r="J61" s="5"/>
      <c r="K61" s="5"/>
      <c r="L61" s="5"/>
      <c r="M61" s="5"/>
      <c r="N61" s="5"/>
      <c r="O61" s="5"/>
      <c r="P61" s="6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18"/>
      <c r="B62" s="55">
        <v>5.0</v>
      </c>
      <c r="C62" s="50" t="s">
        <v>53</v>
      </c>
      <c r="D62" s="56"/>
      <c r="E62" s="24">
        <f>BANJAR!N62+GUMUK!M62+JELUN!M62+KLUNCING!O62+LICIN!T62+PAKEL!N62+SEGOBANG!W62+TAMANSARI!AD62</f>
        <v>16</v>
      </c>
      <c r="F62" s="18"/>
      <c r="G62" s="5"/>
      <c r="H62" s="5"/>
      <c r="I62" s="5"/>
      <c r="J62" s="5"/>
      <c r="K62" s="5"/>
      <c r="L62" s="5"/>
      <c r="M62" s="5"/>
      <c r="N62" s="5"/>
      <c r="O62" s="5"/>
      <c r="P62" s="6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18"/>
      <c r="B63" s="55">
        <v>6.0</v>
      </c>
      <c r="C63" s="50" t="s">
        <v>54</v>
      </c>
      <c r="D63" s="57"/>
      <c r="E63" s="24">
        <f>BANJAR!N63+GUMUK!M63+JELUN!M63+KLUNCING!O63+LICIN!T63+PAKEL!N63+SEGOBANG!W63+TAMANSARI!AD63</f>
        <v>42</v>
      </c>
      <c r="F63" s="18"/>
      <c r="G63" s="5"/>
      <c r="H63" s="5"/>
      <c r="I63" s="5"/>
      <c r="J63" s="5"/>
      <c r="K63" s="5"/>
      <c r="L63" s="5"/>
      <c r="M63" s="5"/>
      <c r="N63" s="5"/>
      <c r="O63" s="5"/>
      <c r="P63" s="6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18"/>
      <c r="B64" s="55">
        <v>7.0</v>
      </c>
      <c r="C64" s="50" t="s">
        <v>55</v>
      </c>
      <c r="D64" s="56"/>
      <c r="E64" s="24">
        <f>BANJAR!N64+GUMUK!M64+JELUN!M64+KLUNCING!O64+LICIN!T64+PAKEL!N64+SEGOBANG!W64+TAMANSARI!AD64</f>
        <v>15</v>
      </c>
      <c r="F64" s="18"/>
      <c r="G64" s="5"/>
      <c r="H64" s="5"/>
      <c r="I64" s="5"/>
      <c r="J64" s="5"/>
      <c r="K64" s="5"/>
      <c r="L64" s="5"/>
      <c r="M64" s="5"/>
      <c r="N64" s="5"/>
      <c r="O64" s="5"/>
      <c r="P64" s="6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18"/>
      <c r="B65" s="55"/>
      <c r="C65" s="50"/>
      <c r="D65" s="56"/>
      <c r="E65" s="24"/>
      <c r="F65" s="18"/>
      <c r="G65" s="5"/>
      <c r="H65" s="5"/>
      <c r="I65" s="5"/>
      <c r="J65" s="5"/>
      <c r="K65" s="5"/>
      <c r="L65" s="5"/>
      <c r="M65" s="5"/>
      <c r="N65" s="5"/>
      <c r="O65" s="5"/>
      <c r="P65" s="6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18"/>
      <c r="B66" s="55"/>
      <c r="C66" s="50"/>
      <c r="D66" s="56"/>
      <c r="E66" s="24"/>
      <c r="F66" s="18"/>
      <c r="G66" s="5"/>
      <c r="H66" s="5"/>
      <c r="I66" s="5"/>
      <c r="J66" s="5"/>
      <c r="K66" s="5"/>
      <c r="L66" s="5"/>
      <c r="M66" s="5"/>
      <c r="N66" s="5"/>
      <c r="O66" s="5"/>
      <c r="P66" s="6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19" t="s">
        <v>15</v>
      </c>
      <c r="B67" s="47" t="s">
        <v>47</v>
      </c>
      <c r="C67" s="15"/>
      <c r="D67" s="16"/>
      <c r="E67" s="13">
        <f>SUM(E57:E64)</f>
        <v>3692</v>
      </c>
      <c r="F67" s="18"/>
      <c r="G67" s="5"/>
      <c r="H67" s="5"/>
      <c r="I67" s="5"/>
      <c r="J67" s="5"/>
      <c r="K67" s="5"/>
      <c r="L67" s="5"/>
      <c r="M67" s="5"/>
      <c r="N67" s="5"/>
      <c r="O67" s="5"/>
      <c r="P67" s="6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45"/>
      <c r="B68" s="44"/>
      <c r="C68" s="44"/>
      <c r="D68" s="44"/>
      <c r="E68" s="44"/>
      <c r="F68" s="18"/>
      <c r="G68" s="5"/>
      <c r="H68" s="5"/>
      <c r="I68" s="5"/>
      <c r="J68" s="5"/>
      <c r="K68" s="5"/>
      <c r="L68" s="5"/>
      <c r="M68" s="5"/>
      <c r="N68" s="5"/>
      <c r="O68" s="5"/>
      <c r="P68" s="6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30" t="s">
        <v>37</v>
      </c>
      <c r="B69" s="47" t="s">
        <v>21</v>
      </c>
      <c r="C69" s="48" t="s">
        <v>56</v>
      </c>
      <c r="D69" s="16"/>
      <c r="E69" s="24">
        <f>BANJAR!N69+GUMUK!M69+JELUN!M69+KLUNCING!O69+LICIN!T69+PAKEL!N69+SEGOBANG!W69+TAMANSARI!AD69</f>
        <v>745</v>
      </c>
      <c r="F69" s="25"/>
      <c r="G69" s="1"/>
      <c r="H69" s="1"/>
      <c r="I69" s="1"/>
      <c r="J69" s="1"/>
      <c r="K69" s="1"/>
      <c r="L69" s="1"/>
      <c r="M69" s="1"/>
      <c r="N69" s="1"/>
      <c r="O69" s="1"/>
      <c r="P69" s="9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30" t="s">
        <v>39</v>
      </c>
      <c r="B70" s="55">
        <v>1.0</v>
      </c>
      <c r="C70" s="50" t="s">
        <v>57</v>
      </c>
      <c r="D70" s="57"/>
      <c r="E70" s="24">
        <f>BANJAR!N70+GUMUK!M70+JELUN!M70+KLUNCING!O70+LICIN!T70+PAKEL!N70+SEGOBANG!W70+TAMANSARI!AD70</f>
        <v>599</v>
      </c>
      <c r="F70" s="51"/>
      <c r="G70" s="52"/>
      <c r="H70" s="52"/>
      <c r="I70" s="52"/>
      <c r="J70" s="52"/>
      <c r="K70" s="52"/>
      <c r="L70" s="52"/>
      <c r="M70" s="52"/>
      <c r="N70" s="52"/>
      <c r="O70" s="52"/>
      <c r="P70" s="53"/>
      <c r="Q70" s="3"/>
      <c r="R70" s="3"/>
      <c r="S70" s="3"/>
      <c r="T70" s="3"/>
      <c r="U70" s="3"/>
      <c r="V70" s="3"/>
      <c r="W70" s="54"/>
      <c r="X70" s="3"/>
      <c r="Y70" s="3"/>
      <c r="Z70" s="3"/>
    </row>
    <row r="71" ht="15.75" customHeight="1">
      <c r="A71" s="18"/>
      <c r="B71" s="55">
        <v>2.0</v>
      </c>
      <c r="C71" s="50" t="s">
        <v>58</v>
      </c>
      <c r="D71" s="57"/>
      <c r="E71" s="24">
        <f>BANJAR!N71+GUMUK!M71+JELUN!M71+KLUNCING!O71+LICIN!T71+PAKEL!N71+SEGOBANG!W71+TAMANSARI!AD71</f>
        <v>240</v>
      </c>
      <c r="F71" s="18"/>
      <c r="G71" s="5"/>
      <c r="H71" s="5"/>
      <c r="I71" s="5"/>
      <c r="J71" s="5"/>
      <c r="K71" s="5"/>
      <c r="L71" s="5"/>
      <c r="M71" s="5"/>
      <c r="N71" s="5"/>
      <c r="O71" s="5"/>
      <c r="P71" s="6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18"/>
      <c r="B72" s="55">
        <v>3.0</v>
      </c>
      <c r="C72" s="50" t="s">
        <v>59</v>
      </c>
      <c r="D72" s="57"/>
      <c r="E72" s="24">
        <f>BANJAR!N72+GUMUK!M72+JELUN!M72+KLUNCING!O72+LICIN!T72+PAKEL!N72+SEGOBANG!W72+TAMANSARI!AD72</f>
        <v>896</v>
      </c>
      <c r="F72" s="18"/>
      <c r="G72" s="5"/>
      <c r="H72" s="5"/>
      <c r="I72" s="5"/>
      <c r="J72" s="5"/>
      <c r="K72" s="5"/>
      <c r="L72" s="5"/>
      <c r="M72" s="5"/>
      <c r="N72" s="5"/>
      <c r="O72" s="5"/>
      <c r="P72" s="6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18"/>
      <c r="B73" s="55">
        <v>4.0</v>
      </c>
      <c r="C73" s="50" t="s">
        <v>60</v>
      </c>
      <c r="D73" s="57"/>
      <c r="E73" s="24">
        <f>BANJAR!N73+GUMUK!M73+JELUN!M73+KLUNCING!O73+LICIN!T73+PAKEL!N73+SEGOBANG!W73+TAMANSARI!AD73</f>
        <v>177</v>
      </c>
      <c r="F73" s="18"/>
      <c r="G73" s="5"/>
      <c r="H73" s="5"/>
      <c r="I73" s="5"/>
      <c r="J73" s="5"/>
      <c r="K73" s="5"/>
      <c r="L73" s="5"/>
      <c r="M73" s="5"/>
      <c r="N73" s="5"/>
      <c r="O73" s="5"/>
      <c r="P73" s="6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18"/>
      <c r="B74" s="55">
        <v>5.0</v>
      </c>
      <c r="C74" s="50" t="s">
        <v>61</v>
      </c>
      <c r="D74" s="57"/>
      <c r="E74" s="24">
        <f>BANJAR!N74+GUMUK!M74+JELUN!M74+KLUNCING!O74+LICIN!T74+PAKEL!N74+SEGOBANG!W74+TAMANSARI!AD74</f>
        <v>444</v>
      </c>
      <c r="F74" s="18"/>
      <c r="G74" s="5"/>
      <c r="H74" s="5"/>
      <c r="I74" s="5"/>
      <c r="J74" s="5"/>
      <c r="K74" s="5"/>
      <c r="L74" s="5"/>
      <c r="M74" s="5"/>
      <c r="N74" s="5"/>
      <c r="O74" s="5"/>
      <c r="P74" s="6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18"/>
      <c r="B75" s="55">
        <v>6.0</v>
      </c>
      <c r="C75" s="50" t="s">
        <v>62</v>
      </c>
      <c r="D75" s="57"/>
      <c r="E75" s="24">
        <f>BANJAR!N75+GUMUK!M75+JELUN!M75+KLUNCING!O75+LICIN!T75+PAKEL!N75+SEGOBANG!W75+TAMANSARI!AD75</f>
        <v>40</v>
      </c>
      <c r="F75" s="18"/>
      <c r="G75" s="5"/>
      <c r="H75" s="5"/>
      <c r="I75" s="5"/>
      <c r="J75" s="5"/>
      <c r="K75" s="5"/>
      <c r="L75" s="5"/>
      <c r="M75" s="5"/>
      <c r="N75" s="5"/>
      <c r="O75" s="5"/>
      <c r="P75" s="6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18"/>
      <c r="B76" s="55">
        <v>7.0</v>
      </c>
      <c r="C76" s="50" t="s">
        <v>63</v>
      </c>
      <c r="D76" s="57"/>
      <c r="E76" s="24">
        <f>BANJAR!N76+GUMUK!M76+JELUN!M76+KLUNCING!O76+LICIN!T76+PAKEL!N76+SEGOBANG!W76+TAMANSARI!AD76</f>
        <v>116</v>
      </c>
      <c r="F76" s="18"/>
      <c r="G76" s="5"/>
      <c r="H76" s="5"/>
      <c r="I76" s="5"/>
      <c r="J76" s="5"/>
      <c r="K76" s="5"/>
      <c r="L76" s="5"/>
      <c r="M76" s="5"/>
      <c r="N76" s="5"/>
      <c r="O76" s="5"/>
      <c r="P76" s="6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18"/>
      <c r="B77" s="55"/>
      <c r="C77" s="50"/>
      <c r="D77" s="57"/>
      <c r="E77" s="24"/>
      <c r="F77" s="18"/>
      <c r="G77" s="5"/>
      <c r="H77" s="5"/>
      <c r="I77" s="5"/>
      <c r="J77" s="5"/>
      <c r="K77" s="5"/>
      <c r="L77" s="5"/>
      <c r="M77" s="5"/>
      <c r="N77" s="5"/>
      <c r="O77" s="5"/>
      <c r="P77" s="6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18"/>
      <c r="B78" s="55"/>
      <c r="C78" s="50"/>
      <c r="D78" s="57"/>
      <c r="E78" s="24"/>
      <c r="F78" s="18"/>
      <c r="G78" s="5"/>
      <c r="H78" s="5"/>
      <c r="I78" s="5"/>
      <c r="J78" s="5"/>
      <c r="K78" s="5"/>
      <c r="L78" s="5"/>
      <c r="M78" s="5"/>
      <c r="N78" s="5"/>
      <c r="O78" s="5"/>
      <c r="P78" s="6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19" t="s">
        <v>15</v>
      </c>
      <c r="B79" s="47" t="s">
        <v>47</v>
      </c>
      <c r="C79" s="15"/>
      <c r="D79" s="16"/>
      <c r="E79" s="13">
        <f>SUM(E69:E76)</f>
        <v>3257</v>
      </c>
      <c r="F79" s="18"/>
      <c r="G79" s="5"/>
      <c r="H79" s="5"/>
      <c r="I79" s="5"/>
      <c r="J79" s="5"/>
      <c r="K79" s="5"/>
      <c r="L79" s="5"/>
      <c r="M79" s="5"/>
      <c r="N79" s="5"/>
      <c r="O79" s="5"/>
      <c r="P79" s="6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45"/>
      <c r="B80" s="44"/>
      <c r="C80" s="44"/>
      <c r="D80" s="44"/>
      <c r="E80" s="44"/>
      <c r="F80" s="18"/>
      <c r="G80" s="5"/>
      <c r="H80" s="5"/>
      <c r="I80" s="5"/>
      <c r="J80" s="5"/>
      <c r="K80" s="5"/>
      <c r="L80" s="5"/>
      <c r="M80" s="5"/>
      <c r="N80" s="5"/>
      <c r="O80" s="5"/>
      <c r="P80" s="6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30" t="s">
        <v>37</v>
      </c>
      <c r="B81" s="47" t="s">
        <v>23</v>
      </c>
      <c r="C81" s="48" t="s">
        <v>64</v>
      </c>
      <c r="D81" s="16"/>
      <c r="E81" s="24">
        <f>BANJAR!N81+GUMUK!M81+JELUN!M81+KLUNCING!O81+LICIN!T81+PAKEL!N81+SEGOBANG!W81+TAMANSARI!AD81</f>
        <v>687</v>
      </c>
      <c r="F81" s="25"/>
      <c r="G81" s="1"/>
      <c r="H81" s="1"/>
      <c r="I81" s="1"/>
      <c r="J81" s="1"/>
      <c r="K81" s="1"/>
      <c r="L81" s="1"/>
      <c r="M81" s="1"/>
      <c r="N81" s="1"/>
      <c r="O81" s="1"/>
      <c r="P81" s="9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30" t="s">
        <v>39</v>
      </c>
      <c r="B82" s="55">
        <v>1.0</v>
      </c>
      <c r="C82" s="50" t="s">
        <v>65</v>
      </c>
      <c r="D82" s="57"/>
      <c r="E82" s="24">
        <f>BANJAR!N82+GUMUK!M82+JELUN!M82+KLUNCING!O82+LICIN!T82+PAKEL!N82+SEGOBANG!W82+TAMANSARI!AD82</f>
        <v>1098</v>
      </c>
      <c r="F82" s="51"/>
      <c r="G82" s="52"/>
      <c r="H82" s="52"/>
      <c r="I82" s="52"/>
      <c r="J82" s="52"/>
      <c r="K82" s="52"/>
      <c r="L82" s="52"/>
      <c r="M82" s="52"/>
      <c r="N82" s="52"/>
      <c r="O82" s="52"/>
      <c r="P82" s="53"/>
      <c r="Q82" s="3"/>
      <c r="R82" s="3"/>
      <c r="S82" s="3"/>
      <c r="T82" s="3"/>
      <c r="U82" s="3"/>
      <c r="V82" s="3"/>
      <c r="W82" s="54"/>
      <c r="X82" s="3"/>
      <c r="Y82" s="3"/>
      <c r="Z82" s="3"/>
    </row>
    <row r="83" ht="15.75" customHeight="1">
      <c r="A83" s="18"/>
      <c r="B83" s="55">
        <v>2.0</v>
      </c>
      <c r="C83" s="50" t="s">
        <v>66</v>
      </c>
      <c r="D83" s="57"/>
      <c r="E83" s="24">
        <f>BANJAR!N83+GUMUK!M83+JELUN!M83+KLUNCING!O83+LICIN!T83+PAKEL!N83+SEGOBANG!W83+TAMANSARI!AD83</f>
        <v>267</v>
      </c>
      <c r="F83" s="18"/>
      <c r="G83" s="5"/>
      <c r="H83" s="5"/>
      <c r="I83" s="5"/>
      <c r="J83" s="5"/>
      <c r="K83" s="5"/>
      <c r="L83" s="5"/>
      <c r="M83" s="5"/>
      <c r="N83" s="5"/>
      <c r="O83" s="5"/>
      <c r="P83" s="6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18"/>
      <c r="B84" s="55">
        <v>3.0</v>
      </c>
      <c r="C84" s="50" t="s">
        <v>67</v>
      </c>
      <c r="D84" s="57"/>
      <c r="E84" s="24">
        <f>BANJAR!N84+GUMUK!M84+JELUN!M84+KLUNCING!O84+LICIN!T84+PAKEL!N84+SEGOBANG!W84+TAMANSARI!AD84</f>
        <v>64</v>
      </c>
      <c r="F84" s="18"/>
      <c r="G84" s="5"/>
      <c r="H84" s="5"/>
      <c r="I84" s="5"/>
      <c r="J84" s="5"/>
      <c r="K84" s="5"/>
      <c r="L84" s="5"/>
      <c r="M84" s="5"/>
      <c r="N84" s="5"/>
      <c r="O84" s="5"/>
      <c r="P84" s="6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18"/>
      <c r="B85" s="55">
        <v>4.0</v>
      </c>
      <c r="C85" s="50" t="s">
        <v>68</v>
      </c>
      <c r="D85" s="57"/>
      <c r="E85" s="24">
        <f>BANJAR!N85+GUMUK!M85+JELUN!M85+KLUNCING!O85+LICIN!T85+PAKEL!N85+SEGOBANG!W85+TAMANSARI!AD85</f>
        <v>63</v>
      </c>
      <c r="F85" s="18"/>
      <c r="G85" s="5"/>
      <c r="H85" s="5"/>
      <c r="I85" s="5"/>
      <c r="J85" s="5"/>
      <c r="K85" s="5"/>
      <c r="L85" s="5"/>
      <c r="M85" s="5"/>
      <c r="N85" s="5"/>
      <c r="O85" s="5"/>
      <c r="P85" s="6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18"/>
      <c r="B86" s="55">
        <v>5.0</v>
      </c>
      <c r="C86" s="50" t="s">
        <v>69</v>
      </c>
      <c r="D86" s="57"/>
      <c r="E86" s="24">
        <f>BANJAR!N86+GUMUK!M86+JELUN!M86+KLUNCING!O86+LICIN!T86+PAKEL!N86+SEGOBANG!W86+TAMANSARI!AD86</f>
        <v>61</v>
      </c>
      <c r="F86" s="18"/>
      <c r="G86" s="5"/>
      <c r="H86" s="5"/>
      <c r="I86" s="5"/>
      <c r="J86" s="5"/>
      <c r="K86" s="5"/>
      <c r="L86" s="5"/>
      <c r="M86" s="5"/>
      <c r="N86" s="5"/>
      <c r="O86" s="5"/>
      <c r="P86" s="6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18"/>
      <c r="B87" s="55">
        <v>6.0</v>
      </c>
      <c r="C87" s="50" t="s">
        <v>70</v>
      </c>
      <c r="D87" s="57"/>
      <c r="E87" s="24">
        <f>BANJAR!N87+GUMUK!M87+JELUN!M87+KLUNCING!O87+LICIN!T87+PAKEL!N87+SEGOBANG!W87+TAMANSARI!AD87</f>
        <v>17</v>
      </c>
      <c r="F87" s="18"/>
      <c r="G87" s="5"/>
      <c r="H87" s="5"/>
      <c r="I87" s="5"/>
      <c r="J87" s="5"/>
      <c r="K87" s="5"/>
      <c r="L87" s="5"/>
      <c r="M87" s="5"/>
      <c r="N87" s="5"/>
      <c r="O87" s="5"/>
      <c r="P87" s="6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18"/>
      <c r="B88" s="55">
        <v>7.0</v>
      </c>
      <c r="C88" s="50" t="s">
        <v>71</v>
      </c>
      <c r="D88" s="57"/>
      <c r="E88" s="24">
        <f>BANJAR!N88+GUMUK!M88+JELUN!M88+KLUNCING!O88+LICIN!T88+PAKEL!N88+SEGOBANG!W88+TAMANSARI!AD88</f>
        <v>7</v>
      </c>
      <c r="F88" s="18"/>
      <c r="G88" s="5"/>
      <c r="H88" s="5"/>
      <c r="I88" s="5"/>
      <c r="J88" s="5"/>
      <c r="K88" s="5"/>
      <c r="L88" s="5"/>
      <c r="M88" s="5"/>
      <c r="N88" s="5"/>
      <c r="O88" s="5"/>
      <c r="P88" s="6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18"/>
      <c r="B89" s="55"/>
      <c r="C89" s="50"/>
      <c r="D89" s="57"/>
      <c r="E89" s="24"/>
      <c r="F89" s="18"/>
      <c r="G89" s="5"/>
      <c r="H89" s="5"/>
      <c r="I89" s="5"/>
      <c r="J89" s="5"/>
      <c r="K89" s="5"/>
      <c r="L89" s="5"/>
      <c r="M89" s="5"/>
      <c r="N89" s="5"/>
      <c r="O89" s="5"/>
      <c r="P89" s="6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18"/>
      <c r="B90" s="55"/>
      <c r="C90" s="50"/>
      <c r="D90" s="57"/>
      <c r="E90" s="24"/>
      <c r="F90" s="18"/>
      <c r="G90" s="5"/>
      <c r="H90" s="5"/>
      <c r="I90" s="5"/>
      <c r="J90" s="5"/>
      <c r="K90" s="5"/>
      <c r="L90" s="5"/>
      <c r="M90" s="5"/>
      <c r="N90" s="5"/>
      <c r="O90" s="5"/>
      <c r="P90" s="6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19" t="s">
        <v>15</v>
      </c>
      <c r="B91" s="47" t="s">
        <v>47</v>
      </c>
      <c r="C91" s="15"/>
      <c r="D91" s="16"/>
      <c r="E91" s="13">
        <f>SUM(E81:E88)</f>
        <v>2264</v>
      </c>
      <c r="F91" s="18"/>
      <c r="G91" s="5"/>
      <c r="H91" s="5"/>
      <c r="I91" s="5"/>
      <c r="J91" s="5"/>
      <c r="K91" s="5"/>
      <c r="L91" s="5"/>
      <c r="M91" s="5"/>
      <c r="N91" s="5"/>
      <c r="O91" s="5"/>
      <c r="P91" s="6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45"/>
      <c r="B92" s="44"/>
      <c r="C92" s="44"/>
      <c r="D92" s="44"/>
      <c r="E92" s="44"/>
      <c r="F92" s="18"/>
      <c r="G92" s="5"/>
      <c r="H92" s="5"/>
      <c r="I92" s="5"/>
      <c r="J92" s="5"/>
      <c r="K92" s="5"/>
      <c r="L92" s="5"/>
      <c r="M92" s="5"/>
      <c r="N92" s="5"/>
      <c r="O92" s="5"/>
      <c r="P92" s="6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30" t="s">
        <v>37</v>
      </c>
      <c r="B93" s="47" t="s">
        <v>72</v>
      </c>
      <c r="C93" s="48" t="s">
        <v>73</v>
      </c>
      <c r="D93" s="16"/>
      <c r="E93" s="24">
        <f>BANJAR!N93+GUMUK!M93+JELUN!M93+KLUNCING!O93+LICIN!T93+PAKEL!N93+SEGOBANG!W93+TAMANSARI!AD93</f>
        <v>149</v>
      </c>
      <c r="F93" s="25"/>
      <c r="G93" s="1"/>
      <c r="H93" s="1"/>
      <c r="I93" s="1"/>
      <c r="J93" s="1"/>
      <c r="K93" s="1"/>
      <c r="L93" s="1"/>
      <c r="M93" s="1"/>
      <c r="N93" s="1"/>
      <c r="O93" s="1"/>
      <c r="P93" s="9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30" t="s">
        <v>39</v>
      </c>
      <c r="B94" s="55">
        <v>1.0</v>
      </c>
      <c r="C94" s="50" t="s">
        <v>74</v>
      </c>
      <c r="D94" s="57"/>
      <c r="E94" s="24">
        <f>BANJAR!N94+GUMUK!M94+JELUN!M94+KLUNCING!O94+LICIN!T94+PAKEL!N94+SEGOBANG!W94+TAMANSARI!AD94</f>
        <v>375</v>
      </c>
      <c r="F94" s="51"/>
      <c r="G94" s="52"/>
      <c r="H94" s="52"/>
      <c r="I94" s="52"/>
      <c r="J94" s="52"/>
      <c r="K94" s="52"/>
      <c r="L94" s="52"/>
      <c r="M94" s="52"/>
      <c r="N94" s="52"/>
      <c r="O94" s="52"/>
      <c r="P94" s="53"/>
      <c r="Q94" s="3"/>
      <c r="R94" s="3"/>
      <c r="S94" s="3"/>
      <c r="T94" s="3"/>
      <c r="U94" s="3"/>
      <c r="V94" s="3"/>
      <c r="W94" s="54"/>
      <c r="X94" s="3"/>
      <c r="Y94" s="3"/>
      <c r="Z94" s="3"/>
    </row>
    <row r="95" ht="15.75" customHeight="1">
      <c r="A95" s="18"/>
      <c r="B95" s="55">
        <v>2.0</v>
      </c>
      <c r="C95" s="50" t="s">
        <v>75</v>
      </c>
      <c r="D95" s="57"/>
      <c r="E95" s="24">
        <f>BANJAR!N95+GUMUK!M95+JELUN!M95+KLUNCING!O95+LICIN!T95+PAKEL!N95+SEGOBANG!W95+TAMANSARI!AD95</f>
        <v>18</v>
      </c>
      <c r="F95" s="18"/>
      <c r="G95" s="5"/>
      <c r="H95" s="5"/>
      <c r="I95" s="5"/>
      <c r="J95" s="5"/>
      <c r="K95" s="5"/>
      <c r="L95" s="5"/>
      <c r="M95" s="5"/>
      <c r="N95" s="5"/>
      <c r="O95" s="5"/>
      <c r="P95" s="6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18"/>
      <c r="B96" s="55">
        <v>3.0</v>
      </c>
      <c r="C96" s="50" t="s">
        <v>76</v>
      </c>
      <c r="D96" s="57"/>
      <c r="E96" s="24">
        <f>BANJAR!N96+GUMUK!M96+JELUN!M96+KLUNCING!O96+LICIN!T96+PAKEL!N96+SEGOBANG!W96+TAMANSARI!AD96</f>
        <v>11</v>
      </c>
      <c r="F96" s="18"/>
      <c r="G96" s="5"/>
      <c r="H96" s="5"/>
      <c r="I96" s="5"/>
      <c r="J96" s="5"/>
      <c r="K96" s="5"/>
      <c r="L96" s="5"/>
      <c r="M96" s="5"/>
      <c r="N96" s="5"/>
      <c r="O96" s="5"/>
      <c r="P96" s="6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18"/>
      <c r="B97" s="55">
        <v>4.0</v>
      </c>
      <c r="C97" s="50" t="s">
        <v>77</v>
      </c>
      <c r="D97" s="57"/>
      <c r="E97" s="24">
        <f>BANJAR!N97+GUMUK!M97+JELUN!M97+KLUNCING!O97+LICIN!T97+PAKEL!N97+SEGOBANG!W97+TAMANSARI!AD97</f>
        <v>16</v>
      </c>
      <c r="F97" s="18"/>
      <c r="G97" s="5"/>
      <c r="H97" s="5"/>
      <c r="I97" s="5"/>
      <c r="J97" s="5"/>
      <c r="K97" s="5"/>
      <c r="L97" s="5"/>
      <c r="M97" s="5"/>
      <c r="N97" s="5"/>
      <c r="O97" s="5"/>
      <c r="P97" s="6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18"/>
      <c r="B98" s="55">
        <v>5.0</v>
      </c>
      <c r="C98" s="50" t="s">
        <v>78</v>
      </c>
      <c r="D98" s="57"/>
      <c r="E98" s="24">
        <f>BANJAR!N98+GUMUK!M98+JELUN!M98+KLUNCING!O98+LICIN!T98+PAKEL!N98+SEGOBANG!W98+TAMANSARI!AD98</f>
        <v>72</v>
      </c>
      <c r="F98" s="18"/>
      <c r="G98" s="5"/>
      <c r="H98" s="5"/>
      <c r="I98" s="5"/>
      <c r="J98" s="5"/>
      <c r="K98" s="5"/>
      <c r="L98" s="5"/>
      <c r="M98" s="5"/>
      <c r="N98" s="5"/>
      <c r="O98" s="5"/>
      <c r="P98" s="6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18"/>
      <c r="B99" s="55">
        <v>6.0</v>
      </c>
      <c r="C99" s="50" t="s">
        <v>79</v>
      </c>
      <c r="D99" s="57"/>
      <c r="E99" s="24">
        <f>BANJAR!N99+GUMUK!M99+JELUN!M99+KLUNCING!O99+LICIN!T99+PAKEL!N99+SEGOBANG!W99+TAMANSARI!AD99</f>
        <v>33</v>
      </c>
      <c r="F99" s="18"/>
      <c r="G99" s="5"/>
      <c r="H99" s="5"/>
      <c r="I99" s="5"/>
      <c r="J99" s="5"/>
      <c r="K99" s="5"/>
      <c r="L99" s="5"/>
      <c r="M99" s="5"/>
      <c r="N99" s="5"/>
      <c r="O99" s="5"/>
      <c r="P99" s="6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18"/>
      <c r="B100" s="55">
        <v>7.0</v>
      </c>
      <c r="C100" s="50" t="s">
        <v>80</v>
      </c>
      <c r="D100" s="57"/>
      <c r="E100" s="24">
        <f>BANJAR!N100+GUMUK!M100+JELUN!M100+KLUNCING!O100+LICIN!T100+PAKEL!N100+SEGOBANG!W100+TAMANSARI!AD100</f>
        <v>19</v>
      </c>
      <c r="F100" s="18"/>
      <c r="G100" s="5"/>
      <c r="H100" s="5"/>
      <c r="I100" s="5"/>
      <c r="J100" s="5"/>
      <c r="K100" s="5"/>
      <c r="L100" s="5"/>
      <c r="M100" s="5"/>
      <c r="N100" s="5"/>
      <c r="O100" s="5"/>
      <c r="P100" s="6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18"/>
      <c r="B101" s="55"/>
      <c r="C101" s="50"/>
      <c r="D101" s="57"/>
      <c r="E101" s="24"/>
      <c r="F101" s="18"/>
      <c r="G101" s="5"/>
      <c r="H101" s="5"/>
      <c r="I101" s="5"/>
      <c r="J101" s="5"/>
      <c r="K101" s="5"/>
      <c r="L101" s="5"/>
      <c r="M101" s="5"/>
      <c r="N101" s="5"/>
      <c r="O101" s="5"/>
      <c r="P101" s="6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18"/>
      <c r="B102" s="55"/>
      <c r="C102" s="50"/>
      <c r="D102" s="57"/>
      <c r="E102" s="24"/>
      <c r="F102" s="18"/>
      <c r="G102" s="5"/>
      <c r="H102" s="5"/>
      <c r="I102" s="5"/>
      <c r="J102" s="5"/>
      <c r="K102" s="5"/>
      <c r="L102" s="5"/>
      <c r="M102" s="5"/>
      <c r="N102" s="5"/>
      <c r="O102" s="5"/>
      <c r="P102" s="6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19" t="s">
        <v>15</v>
      </c>
      <c r="B103" s="47" t="s">
        <v>47</v>
      </c>
      <c r="C103" s="15"/>
      <c r="D103" s="16"/>
      <c r="E103" s="13">
        <f>SUM(E93:E100)</f>
        <v>693</v>
      </c>
      <c r="F103" s="18"/>
      <c r="G103" s="5"/>
      <c r="H103" s="5"/>
      <c r="I103" s="5"/>
      <c r="J103" s="5"/>
      <c r="K103" s="5"/>
      <c r="L103" s="5"/>
      <c r="M103" s="5"/>
      <c r="N103" s="5"/>
      <c r="O103" s="5"/>
      <c r="P103" s="6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45"/>
      <c r="B104" s="44"/>
      <c r="C104" s="44"/>
      <c r="D104" s="44"/>
      <c r="E104" s="44"/>
      <c r="F104" s="18"/>
      <c r="G104" s="5"/>
      <c r="H104" s="5"/>
      <c r="I104" s="5"/>
      <c r="J104" s="5"/>
      <c r="K104" s="5"/>
      <c r="L104" s="5"/>
      <c r="M104" s="5"/>
      <c r="N104" s="5"/>
      <c r="O104" s="5"/>
      <c r="P104" s="6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30" t="s">
        <v>37</v>
      </c>
      <c r="B105" s="47" t="s">
        <v>81</v>
      </c>
      <c r="C105" s="48" t="s">
        <v>82</v>
      </c>
      <c r="D105" s="16"/>
      <c r="E105" s="24">
        <f>BANJAR!N105+GUMUK!M105+JELUN!M105+KLUNCING!O105+LICIN!T105+PAKEL!N105+SEGOBANG!W105+TAMANSARI!AD105</f>
        <v>66</v>
      </c>
      <c r="F105" s="25"/>
      <c r="G105" s="1"/>
      <c r="H105" s="1"/>
      <c r="I105" s="1"/>
      <c r="J105" s="1"/>
      <c r="K105" s="1"/>
      <c r="L105" s="1"/>
      <c r="M105" s="1"/>
      <c r="N105" s="1"/>
      <c r="O105" s="1"/>
      <c r="P105" s="9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30" t="s">
        <v>39</v>
      </c>
      <c r="B106" s="55">
        <v>1.0</v>
      </c>
      <c r="C106" s="50" t="s">
        <v>83</v>
      </c>
      <c r="D106" s="57"/>
      <c r="E106" s="24">
        <f>BANJAR!N106+GUMUK!M106+JELUN!M106+KLUNCING!O106+LICIN!T106+PAKEL!N106+SEGOBANG!W106+TAMANSARI!AD106</f>
        <v>15</v>
      </c>
      <c r="F106" s="51"/>
      <c r="G106" s="52"/>
      <c r="H106" s="52"/>
      <c r="I106" s="52"/>
      <c r="J106" s="52"/>
      <c r="K106" s="52"/>
      <c r="L106" s="52"/>
      <c r="M106" s="52"/>
      <c r="N106" s="52"/>
      <c r="O106" s="52"/>
      <c r="P106" s="53"/>
      <c r="Q106" s="3"/>
      <c r="R106" s="3"/>
      <c r="S106" s="3"/>
      <c r="T106" s="3"/>
      <c r="U106" s="3"/>
      <c r="V106" s="3"/>
      <c r="W106" s="54"/>
      <c r="X106" s="3"/>
      <c r="Y106" s="3"/>
      <c r="Z106" s="3"/>
    </row>
    <row r="107" ht="15.75" customHeight="1">
      <c r="A107" s="18"/>
      <c r="B107" s="55">
        <v>2.0</v>
      </c>
      <c r="C107" s="50" t="s">
        <v>84</v>
      </c>
      <c r="D107" s="57"/>
      <c r="E107" s="24">
        <f>BANJAR!N107+GUMUK!M107+JELUN!M107+KLUNCING!O107+LICIN!T107+PAKEL!N107+SEGOBANG!W107+TAMANSARI!AD107</f>
        <v>16</v>
      </c>
      <c r="F107" s="18"/>
      <c r="G107" s="5"/>
      <c r="H107" s="5"/>
      <c r="I107" s="5"/>
      <c r="J107" s="5"/>
      <c r="K107" s="5"/>
      <c r="L107" s="5"/>
      <c r="M107" s="5"/>
      <c r="N107" s="5"/>
      <c r="O107" s="5"/>
      <c r="P107" s="6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18"/>
      <c r="B108" s="55">
        <v>3.0</v>
      </c>
      <c r="C108" s="50" t="s">
        <v>85</v>
      </c>
      <c r="D108" s="57"/>
      <c r="E108" s="24">
        <f>BANJAR!N108+GUMUK!M108+JELUN!M108+KLUNCING!O108+LICIN!T108+PAKEL!N108+SEGOBANG!W108+TAMANSARI!AD108</f>
        <v>0</v>
      </c>
      <c r="F108" s="18"/>
      <c r="G108" s="5"/>
      <c r="H108" s="5"/>
      <c r="I108" s="5"/>
      <c r="J108" s="5"/>
      <c r="K108" s="5"/>
      <c r="L108" s="5"/>
      <c r="M108" s="5"/>
      <c r="N108" s="5"/>
      <c r="O108" s="5"/>
      <c r="P108" s="6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18"/>
      <c r="B109" s="55">
        <v>4.0</v>
      </c>
      <c r="C109" s="50" t="s">
        <v>86</v>
      </c>
      <c r="D109" s="57"/>
      <c r="E109" s="24">
        <f>BANJAR!N109+GUMUK!M109+JELUN!M109+KLUNCING!O109+LICIN!T109+PAKEL!N109+SEGOBANG!W109+TAMANSARI!AD109</f>
        <v>5</v>
      </c>
      <c r="F109" s="18"/>
      <c r="G109" s="5"/>
      <c r="H109" s="5"/>
      <c r="I109" s="5"/>
      <c r="J109" s="5"/>
      <c r="K109" s="5"/>
      <c r="L109" s="5"/>
      <c r="M109" s="5"/>
      <c r="N109" s="5"/>
      <c r="O109" s="5"/>
      <c r="P109" s="6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18"/>
      <c r="B110" s="55">
        <v>5.0</v>
      </c>
      <c r="C110" s="50" t="s">
        <v>87</v>
      </c>
      <c r="D110" s="57"/>
      <c r="E110" s="24">
        <f>BANJAR!N110+GUMUK!M110+JELUN!M110+KLUNCING!O110+LICIN!T110+PAKEL!N110+SEGOBANG!W110+TAMANSARI!AD110</f>
        <v>0</v>
      </c>
      <c r="F110" s="18"/>
      <c r="G110" s="5"/>
      <c r="H110" s="5"/>
      <c r="I110" s="5"/>
      <c r="J110" s="5"/>
      <c r="K110" s="5"/>
      <c r="L110" s="5"/>
      <c r="M110" s="5"/>
      <c r="N110" s="5"/>
      <c r="O110" s="5"/>
      <c r="P110" s="6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18"/>
      <c r="B111" s="55">
        <v>6.0</v>
      </c>
      <c r="C111" s="50" t="s">
        <v>88</v>
      </c>
      <c r="D111" s="57"/>
      <c r="E111" s="24">
        <f>BANJAR!N111+GUMUK!M111+JELUN!M111+KLUNCING!O111+LICIN!T111+PAKEL!N111+SEGOBANG!W111+TAMANSARI!AD111</f>
        <v>3</v>
      </c>
      <c r="F111" s="18"/>
      <c r="G111" s="5"/>
      <c r="H111" s="5"/>
      <c r="I111" s="5"/>
      <c r="J111" s="5"/>
      <c r="K111" s="5"/>
      <c r="L111" s="5"/>
      <c r="M111" s="5"/>
      <c r="N111" s="5"/>
      <c r="O111" s="5"/>
      <c r="P111" s="6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18"/>
      <c r="B112" s="55">
        <v>7.0</v>
      </c>
      <c r="C112" s="50" t="s">
        <v>89</v>
      </c>
      <c r="D112" s="57"/>
      <c r="E112" s="24">
        <f>BANJAR!N112+GUMUK!M112+JELUN!M112+KLUNCING!O112+LICIN!T112+PAKEL!N112+SEGOBANG!W112+TAMANSARI!AD112</f>
        <v>0</v>
      </c>
      <c r="F112" s="25"/>
      <c r="G112" s="1"/>
      <c r="H112" s="1"/>
      <c r="I112" s="1"/>
      <c r="J112" s="1"/>
      <c r="K112" s="1"/>
      <c r="L112" s="1"/>
      <c r="M112" s="1"/>
      <c r="N112" s="1"/>
      <c r="O112" s="1"/>
      <c r="P112" s="9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8"/>
      <c r="B113" s="55"/>
      <c r="C113" s="50"/>
      <c r="D113" s="57"/>
      <c r="E113" s="24"/>
      <c r="F113" s="25"/>
      <c r="G113" s="1"/>
      <c r="H113" s="1"/>
      <c r="I113" s="1"/>
      <c r="J113" s="1"/>
      <c r="K113" s="1"/>
      <c r="L113" s="1"/>
      <c r="M113" s="1"/>
      <c r="N113" s="1"/>
      <c r="O113" s="1"/>
      <c r="P113" s="9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8"/>
      <c r="B114" s="55"/>
      <c r="C114" s="50"/>
      <c r="D114" s="57"/>
      <c r="E114" s="24"/>
      <c r="F114" s="25"/>
      <c r="G114" s="1"/>
      <c r="H114" s="1"/>
      <c r="I114" s="1"/>
      <c r="J114" s="1"/>
      <c r="K114" s="1"/>
      <c r="L114" s="1"/>
      <c r="M114" s="1"/>
      <c r="N114" s="1"/>
      <c r="O114" s="1"/>
      <c r="P114" s="9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9" t="s">
        <v>15</v>
      </c>
      <c r="B115" s="47" t="s">
        <v>47</v>
      </c>
      <c r="C115" s="15"/>
      <c r="D115" s="16"/>
      <c r="E115" s="13">
        <f>SUM(E105:E112)</f>
        <v>105</v>
      </c>
      <c r="F115" s="51"/>
      <c r="G115" s="52"/>
      <c r="H115" s="52"/>
      <c r="I115" s="52"/>
      <c r="J115" s="52"/>
      <c r="K115" s="52"/>
      <c r="L115" s="52"/>
      <c r="M115" s="52"/>
      <c r="N115" s="52"/>
      <c r="O115" s="52"/>
      <c r="P115" s="53"/>
      <c r="Q115" s="3"/>
      <c r="R115" s="3"/>
      <c r="S115" s="3"/>
      <c r="T115" s="3"/>
      <c r="U115" s="3"/>
      <c r="V115" s="3"/>
      <c r="W115" s="54"/>
      <c r="X115" s="3"/>
      <c r="Y115" s="3"/>
      <c r="Z115" s="3"/>
    </row>
    <row r="116" ht="15.75" customHeight="1">
      <c r="A116" s="24"/>
      <c r="B116" s="15"/>
      <c r="C116" s="15"/>
      <c r="D116" s="15"/>
      <c r="E116" s="16"/>
      <c r="F116" s="18"/>
      <c r="G116" s="5"/>
      <c r="H116" s="5"/>
      <c r="I116" s="5"/>
      <c r="J116" s="5"/>
      <c r="K116" s="5"/>
      <c r="L116" s="5"/>
      <c r="M116" s="5"/>
      <c r="N116" s="5"/>
      <c r="O116" s="5"/>
      <c r="P116" s="6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30" t="s">
        <v>37</v>
      </c>
      <c r="B117" s="47" t="s">
        <v>90</v>
      </c>
      <c r="C117" s="48" t="s">
        <v>91</v>
      </c>
      <c r="D117" s="16"/>
      <c r="E117" s="24">
        <f>BANJAR!N117+GUMUK!M117+JELUN!M117+KLUNCING!O117+LICIN!T117+PAKEL!N117+SEGOBANG!W117+TAMANSARI!AD117</f>
        <v>71</v>
      </c>
      <c r="F117" s="18"/>
      <c r="G117" s="5"/>
      <c r="H117" s="5"/>
      <c r="I117" s="5"/>
      <c r="J117" s="5"/>
      <c r="K117" s="5"/>
      <c r="L117" s="5"/>
      <c r="M117" s="5"/>
      <c r="N117" s="5"/>
      <c r="O117" s="5"/>
      <c r="P117" s="6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30" t="s">
        <v>39</v>
      </c>
      <c r="B118" s="55">
        <v>1.0</v>
      </c>
      <c r="C118" s="50" t="s">
        <v>92</v>
      </c>
      <c r="D118" s="57"/>
      <c r="E118" s="24">
        <f>BANJAR!N118+GUMUK!M118+JELUN!M118+KLUNCING!O118+LICIN!T118+PAKEL!N118+SEGOBANG!W118+TAMANSARI!AD118</f>
        <v>42</v>
      </c>
      <c r="F118" s="18"/>
      <c r="G118" s="5"/>
      <c r="H118" s="5"/>
      <c r="I118" s="5"/>
      <c r="J118" s="5"/>
      <c r="K118" s="5"/>
      <c r="L118" s="5"/>
      <c r="M118" s="5"/>
      <c r="N118" s="5"/>
      <c r="O118" s="5"/>
      <c r="P118" s="6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18"/>
      <c r="B119" s="55">
        <v>2.0</v>
      </c>
      <c r="C119" s="50" t="s">
        <v>93</v>
      </c>
      <c r="D119" s="57"/>
      <c r="E119" s="24">
        <f>BANJAR!N119+GUMUK!M119+JELUN!M119+KLUNCING!O119+LICIN!T119+PAKEL!N119+SEGOBANG!W119+TAMANSARI!AD119</f>
        <v>11</v>
      </c>
      <c r="F119" s="18"/>
      <c r="G119" s="5"/>
      <c r="H119" s="5"/>
      <c r="I119" s="5"/>
      <c r="J119" s="5"/>
      <c r="K119" s="5"/>
      <c r="L119" s="5"/>
      <c r="M119" s="5"/>
      <c r="N119" s="5"/>
      <c r="O119" s="5"/>
      <c r="P119" s="6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18"/>
      <c r="B120" s="55">
        <v>3.0</v>
      </c>
      <c r="C120" s="50" t="s">
        <v>94</v>
      </c>
      <c r="D120" s="57"/>
      <c r="E120" s="24">
        <f>BANJAR!N120+GUMUK!M120+JELUN!M120+KLUNCING!O120+LICIN!T120+PAKEL!N120+SEGOBANG!W120+TAMANSARI!AD120</f>
        <v>11</v>
      </c>
      <c r="F120" s="18"/>
      <c r="G120" s="5"/>
      <c r="H120" s="5"/>
      <c r="I120" s="5"/>
      <c r="J120" s="5"/>
      <c r="K120" s="5"/>
      <c r="L120" s="5"/>
      <c r="M120" s="5"/>
      <c r="N120" s="5"/>
      <c r="O120" s="5"/>
      <c r="P120" s="6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18"/>
      <c r="B121" s="55"/>
      <c r="C121" s="50"/>
      <c r="D121" s="57"/>
      <c r="E121" s="40"/>
      <c r="F121" s="18"/>
      <c r="G121" s="5"/>
      <c r="H121" s="5"/>
      <c r="I121" s="5"/>
      <c r="J121" s="5"/>
      <c r="K121" s="5"/>
      <c r="L121" s="5"/>
      <c r="M121" s="5"/>
      <c r="N121" s="5"/>
      <c r="O121" s="5"/>
      <c r="P121" s="6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18"/>
      <c r="B122" s="55"/>
      <c r="C122" s="50"/>
      <c r="D122" s="57"/>
      <c r="E122" s="40"/>
      <c r="F122" s="18"/>
      <c r="G122" s="5"/>
      <c r="H122" s="5"/>
      <c r="I122" s="5"/>
      <c r="J122" s="5"/>
      <c r="K122" s="5"/>
      <c r="L122" s="5"/>
      <c r="M122" s="5"/>
      <c r="N122" s="5"/>
      <c r="O122" s="5"/>
      <c r="P122" s="6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18"/>
      <c r="B123" s="55"/>
      <c r="C123" s="50"/>
      <c r="D123" s="57"/>
      <c r="E123" s="40"/>
      <c r="F123" s="18"/>
      <c r="G123" s="5"/>
      <c r="H123" s="5"/>
      <c r="I123" s="5"/>
      <c r="J123" s="5"/>
      <c r="K123" s="5"/>
      <c r="L123" s="5"/>
      <c r="M123" s="5"/>
      <c r="N123" s="5"/>
      <c r="O123" s="5"/>
      <c r="P123" s="6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18"/>
      <c r="B124" s="55"/>
      <c r="C124" s="50"/>
      <c r="D124" s="57"/>
      <c r="E124" s="40"/>
      <c r="F124" s="18"/>
      <c r="G124" s="5"/>
      <c r="H124" s="5"/>
      <c r="I124" s="5"/>
      <c r="J124" s="5"/>
      <c r="K124" s="5"/>
      <c r="L124" s="5"/>
      <c r="M124" s="5"/>
      <c r="N124" s="5"/>
      <c r="O124" s="5"/>
      <c r="P124" s="6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18"/>
      <c r="B125" s="55"/>
      <c r="C125" s="50"/>
      <c r="D125" s="57"/>
      <c r="E125" s="40"/>
      <c r="F125" s="18"/>
      <c r="G125" s="5"/>
      <c r="H125" s="5"/>
      <c r="I125" s="5"/>
      <c r="J125" s="5"/>
      <c r="K125" s="5"/>
      <c r="L125" s="5"/>
      <c r="M125" s="5"/>
      <c r="N125" s="5"/>
      <c r="O125" s="5"/>
      <c r="P125" s="6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18"/>
      <c r="B126" s="55"/>
      <c r="C126" s="50"/>
      <c r="D126" s="57"/>
      <c r="E126" s="40"/>
      <c r="F126" s="18"/>
      <c r="G126" s="5"/>
      <c r="H126" s="5"/>
      <c r="I126" s="5"/>
      <c r="J126" s="5"/>
      <c r="K126" s="5"/>
      <c r="L126" s="5"/>
      <c r="M126" s="5"/>
      <c r="N126" s="5"/>
      <c r="O126" s="5"/>
      <c r="P126" s="6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19" t="s">
        <v>15</v>
      </c>
      <c r="B127" s="47" t="s">
        <v>47</v>
      </c>
      <c r="C127" s="15"/>
      <c r="D127" s="16"/>
      <c r="E127" s="58">
        <f>SUM(E117:E120)</f>
        <v>135</v>
      </c>
      <c r="F127" s="18"/>
      <c r="G127" s="5"/>
      <c r="H127" s="5"/>
      <c r="I127" s="5"/>
      <c r="J127" s="5"/>
      <c r="K127" s="5"/>
      <c r="L127" s="5"/>
      <c r="M127" s="5"/>
      <c r="N127" s="5"/>
      <c r="O127" s="5"/>
      <c r="P127" s="6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24"/>
      <c r="B128" s="15"/>
      <c r="C128" s="15"/>
      <c r="D128" s="15"/>
      <c r="E128" s="16"/>
      <c r="F128" s="18"/>
      <c r="G128" s="5"/>
      <c r="H128" s="5"/>
      <c r="I128" s="5"/>
      <c r="J128" s="5"/>
      <c r="K128" s="5"/>
      <c r="L128" s="5"/>
      <c r="M128" s="5"/>
      <c r="N128" s="5"/>
      <c r="O128" s="5"/>
      <c r="P128" s="6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30" t="s">
        <v>37</v>
      </c>
      <c r="B129" s="47" t="s">
        <v>95</v>
      </c>
      <c r="C129" s="48" t="s">
        <v>96</v>
      </c>
      <c r="D129" s="16"/>
      <c r="E129" s="24">
        <f>BANJAR!N129+GUMUK!M129+JELUN!M129+KLUNCING!O129+LICIN!T129+PAKEL!N129+SEGOBANG!W129+TAMANSARI!AD129</f>
        <v>114</v>
      </c>
      <c r="F129" s="25"/>
      <c r="G129" s="1"/>
      <c r="H129" s="1"/>
      <c r="I129" s="1"/>
      <c r="J129" s="1"/>
      <c r="K129" s="1"/>
      <c r="L129" s="1"/>
      <c r="M129" s="1"/>
      <c r="N129" s="1"/>
      <c r="O129" s="1"/>
      <c r="P129" s="9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30" t="s">
        <v>39</v>
      </c>
      <c r="B130" s="55">
        <v>1.0</v>
      </c>
      <c r="C130" s="50" t="s">
        <v>97</v>
      </c>
      <c r="D130" s="56"/>
      <c r="E130" s="24">
        <f>BANJAR!N130+GUMUK!M130+JELUN!M130+KLUNCING!O130+LICIN!T130+PAKEL!N130+SEGOBANG!W130+TAMANSARI!AD130</f>
        <v>148</v>
      </c>
      <c r="F130" s="51"/>
      <c r="G130" s="52"/>
      <c r="H130" s="52"/>
      <c r="I130" s="52"/>
      <c r="J130" s="52"/>
      <c r="K130" s="52"/>
      <c r="L130" s="52"/>
      <c r="M130" s="52"/>
      <c r="N130" s="52"/>
      <c r="O130" s="52"/>
      <c r="P130" s="53"/>
      <c r="Q130" s="3"/>
      <c r="R130" s="3"/>
      <c r="S130" s="3"/>
      <c r="T130" s="3"/>
      <c r="U130" s="3"/>
      <c r="V130" s="3"/>
      <c r="W130" s="54"/>
      <c r="X130" s="3"/>
      <c r="Y130" s="3"/>
      <c r="Z130" s="3"/>
    </row>
    <row r="131" ht="15.75" customHeight="1">
      <c r="A131" s="18"/>
      <c r="B131" s="55">
        <v>2.0</v>
      </c>
      <c r="C131" s="50" t="s">
        <v>98</v>
      </c>
      <c r="D131" s="56"/>
      <c r="E131" s="24">
        <f>BANJAR!N131+GUMUK!M131+JELUN!M131+KLUNCING!O131+LICIN!T131+PAKEL!N131+SEGOBANG!W131+TAMANSARI!AD131</f>
        <v>45</v>
      </c>
      <c r="F131" s="18"/>
      <c r="G131" s="5"/>
      <c r="H131" s="5"/>
      <c r="I131" s="5"/>
      <c r="J131" s="5"/>
      <c r="K131" s="5"/>
      <c r="L131" s="5"/>
      <c r="M131" s="5"/>
      <c r="N131" s="5"/>
      <c r="O131" s="5"/>
      <c r="P131" s="6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18"/>
      <c r="B132" s="55">
        <v>3.0</v>
      </c>
      <c r="C132" s="50" t="s">
        <v>99</v>
      </c>
      <c r="D132" s="56"/>
      <c r="E132" s="24">
        <f>BANJAR!N132+GUMUK!M132+JELUN!M132+KLUNCING!O132+LICIN!T132+PAKEL!N132+SEGOBANG!W132+TAMANSARI!AD132</f>
        <v>11</v>
      </c>
      <c r="F132" s="18"/>
      <c r="G132" s="5"/>
      <c r="H132" s="5"/>
      <c r="I132" s="5"/>
      <c r="J132" s="5"/>
      <c r="K132" s="5"/>
      <c r="L132" s="5"/>
      <c r="M132" s="5"/>
      <c r="N132" s="5"/>
      <c r="O132" s="5"/>
      <c r="P132" s="6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18"/>
      <c r="B133" s="55">
        <v>4.0</v>
      </c>
      <c r="C133" s="50" t="s">
        <v>100</v>
      </c>
      <c r="D133" s="56"/>
      <c r="E133" s="24">
        <f>BANJAR!N133+GUMUK!M133+JELUN!M133+KLUNCING!O133+LICIN!T133+PAKEL!N133+SEGOBANG!W133+TAMANSARI!AD133</f>
        <v>16</v>
      </c>
      <c r="F133" s="18"/>
      <c r="G133" s="5"/>
      <c r="H133" s="5"/>
      <c r="I133" s="5"/>
      <c r="J133" s="5"/>
      <c r="K133" s="5"/>
      <c r="L133" s="5"/>
      <c r="M133" s="5"/>
      <c r="N133" s="5"/>
      <c r="O133" s="5"/>
      <c r="P133" s="6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18"/>
      <c r="B134" s="55">
        <v>5.0</v>
      </c>
      <c r="C134" s="50" t="s">
        <v>101</v>
      </c>
      <c r="D134" s="56"/>
      <c r="E134" s="24">
        <f>BANJAR!N134+GUMUK!M134+JELUN!M134+KLUNCING!O134+LICIN!T134+PAKEL!N134+SEGOBANG!W134+TAMANSARI!AD134</f>
        <v>10</v>
      </c>
      <c r="F134" s="18"/>
      <c r="G134" s="5"/>
      <c r="H134" s="5"/>
      <c r="I134" s="5"/>
      <c r="J134" s="5"/>
      <c r="K134" s="5"/>
      <c r="L134" s="5"/>
      <c r="M134" s="5"/>
      <c r="N134" s="5"/>
      <c r="O134" s="5"/>
      <c r="P134" s="6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18"/>
      <c r="B135" s="55">
        <v>6.0</v>
      </c>
      <c r="C135" s="50" t="s">
        <v>102</v>
      </c>
      <c r="D135" s="57"/>
      <c r="E135" s="24">
        <f>BANJAR!N135+GUMUK!M135+JELUN!M135+KLUNCING!O135+LICIN!T135+PAKEL!N135+SEGOBANG!W135+TAMANSARI!AD135</f>
        <v>44</v>
      </c>
      <c r="F135" s="18"/>
      <c r="G135" s="5"/>
      <c r="H135" s="5"/>
      <c r="I135" s="5"/>
      <c r="J135" s="5"/>
      <c r="K135" s="5"/>
      <c r="L135" s="5"/>
      <c r="M135" s="5"/>
      <c r="N135" s="5"/>
      <c r="O135" s="5"/>
      <c r="P135" s="6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18"/>
      <c r="B136" s="55">
        <v>7.0</v>
      </c>
      <c r="C136" s="50" t="s">
        <v>103</v>
      </c>
      <c r="D136" s="56"/>
      <c r="E136" s="24">
        <f>BANJAR!N136+GUMUK!M136+JELUN!M136+KLUNCING!O136+LICIN!T136+PAKEL!N136+SEGOBANG!W136+TAMANSARI!AD136</f>
        <v>3</v>
      </c>
      <c r="F136" s="18"/>
      <c r="G136" s="5"/>
      <c r="H136" s="5"/>
      <c r="I136" s="5"/>
      <c r="J136" s="5"/>
      <c r="K136" s="5"/>
      <c r="L136" s="5"/>
      <c r="M136" s="5"/>
      <c r="N136" s="5"/>
      <c r="O136" s="5"/>
      <c r="P136" s="6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18"/>
      <c r="B137" s="55"/>
      <c r="C137" s="50"/>
      <c r="D137" s="56"/>
      <c r="E137" s="24"/>
      <c r="F137" s="18"/>
      <c r="G137" s="5"/>
      <c r="H137" s="5"/>
      <c r="I137" s="5"/>
      <c r="J137" s="5"/>
      <c r="K137" s="5"/>
      <c r="L137" s="5"/>
      <c r="M137" s="5"/>
      <c r="N137" s="5"/>
      <c r="O137" s="5"/>
      <c r="P137" s="6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18"/>
      <c r="B138" s="55"/>
      <c r="C138" s="50"/>
      <c r="D138" s="56"/>
      <c r="E138" s="24"/>
      <c r="F138" s="18"/>
      <c r="G138" s="5"/>
      <c r="H138" s="5"/>
      <c r="I138" s="5"/>
      <c r="J138" s="5"/>
      <c r="K138" s="5"/>
      <c r="L138" s="5"/>
      <c r="M138" s="5"/>
      <c r="N138" s="5"/>
      <c r="O138" s="5"/>
      <c r="P138" s="6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19" t="s">
        <v>15</v>
      </c>
      <c r="B139" s="47" t="s">
        <v>47</v>
      </c>
      <c r="C139" s="15"/>
      <c r="D139" s="16"/>
      <c r="E139" s="13">
        <f>SUM(E129:E136)</f>
        <v>391</v>
      </c>
      <c r="F139" s="18"/>
      <c r="G139" s="5"/>
      <c r="H139" s="5"/>
      <c r="I139" s="5"/>
      <c r="J139" s="5"/>
      <c r="K139" s="5"/>
      <c r="L139" s="5"/>
      <c r="M139" s="5"/>
      <c r="N139" s="5"/>
      <c r="O139" s="5"/>
      <c r="P139" s="6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24"/>
      <c r="B140" s="15"/>
      <c r="C140" s="15"/>
      <c r="D140" s="15"/>
      <c r="E140" s="16"/>
      <c r="F140" s="18"/>
      <c r="G140" s="5"/>
      <c r="H140" s="5"/>
      <c r="I140" s="5"/>
      <c r="J140" s="5"/>
      <c r="K140" s="5"/>
      <c r="L140" s="5"/>
      <c r="M140" s="5"/>
      <c r="N140" s="5"/>
      <c r="O140" s="5"/>
      <c r="P140" s="6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30" t="s">
        <v>37</v>
      </c>
      <c r="B141" s="47" t="s">
        <v>104</v>
      </c>
      <c r="C141" s="48" t="s">
        <v>105</v>
      </c>
      <c r="D141" s="16"/>
      <c r="E141" s="24">
        <f>BANJAR!N141+GUMUK!M141+JELUN!M141+KLUNCING!O141+LICIN!T141+PAKEL!N141+SEGOBANG!W141+TAMANSARI!AD141</f>
        <v>4</v>
      </c>
      <c r="F141" s="25"/>
      <c r="G141" s="1"/>
      <c r="H141" s="1"/>
      <c r="I141" s="1"/>
      <c r="J141" s="1"/>
      <c r="K141" s="1"/>
      <c r="L141" s="1"/>
      <c r="M141" s="1"/>
      <c r="N141" s="1"/>
      <c r="O141" s="1"/>
      <c r="P141" s="9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30" t="s">
        <v>39</v>
      </c>
      <c r="B142" s="55">
        <v>1.0</v>
      </c>
      <c r="C142" s="50" t="s">
        <v>106</v>
      </c>
      <c r="D142" s="57"/>
      <c r="E142" s="24">
        <f>BANJAR!N142+GUMUK!M142+JELUN!M142+KLUNCING!O142+LICIN!T142+PAKEL!N142+SEGOBANG!W142+TAMANSARI!AD142</f>
        <v>2</v>
      </c>
      <c r="F142" s="51"/>
      <c r="G142" s="52"/>
      <c r="H142" s="52"/>
      <c r="I142" s="52"/>
      <c r="J142" s="52"/>
      <c r="K142" s="52"/>
      <c r="L142" s="52"/>
      <c r="M142" s="52"/>
      <c r="N142" s="52"/>
      <c r="O142" s="52"/>
      <c r="P142" s="53"/>
      <c r="Q142" s="3"/>
      <c r="R142" s="3"/>
      <c r="S142" s="3"/>
      <c r="T142" s="3"/>
      <c r="U142" s="3"/>
      <c r="V142" s="3"/>
      <c r="W142" s="54"/>
      <c r="X142" s="3"/>
      <c r="Y142" s="3"/>
      <c r="Z142" s="3"/>
    </row>
    <row r="143" ht="15.75" customHeight="1">
      <c r="A143" s="18"/>
      <c r="B143" s="55">
        <v>2.0</v>
      </c>
      <c r="C143" s="50" t="s">
        <v>107</v>
      </c>
      <c r="D143" s="57"/>
      <c r="E143" s="24">
        <f>BANJAR!N143+GUMUK!M143+JELUN!M143+KLUNCING!O143+LICIN!T143+PAKEL!N143+SEGOBANG!W143+TAMANSARI!AD143</f>
        <v>2</v>
      </c>
      <c r="F143" s="18"/>
      <c r="G143" s="5"/>
      <c r="H143" s="5"/>
      <c r="I143" s="5"/>
      <c r="J143" s="5"/>
      <c r="K143" s="5"/>
      <c r="L143" s="5"/>
      <c r="M143" s="5"/>
      <c r="N143" s="5"/>
      <c r="O143" s="5"/>
      <c r="P143" s="6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18"/>
      <c r="B144" s="55">
        <v>3.0</v>
      </c>
      <c r="C144" s="50" t="s">
        <v>108</v>
      </c>
      <c r="D144" s="57"/>
      <c r="E144" s="24">
        <f>BANJAR!N144+GUMUK!M144+JELUN!M144+KLUNCING!O144+LICIN!T144+PAKEL!N144+SEGOBANG!W144+TAMANSARI!AD144</f>
        <v>0</v>
      </c>
      <c r="F144" s="18"/>
      <c r="G144" s="5"/>
      <c r="H144" s="5"/>
      <c r="I144" s="5"/>
      <c r="J144" s="5"/>
      <c r="K144" s="5"/>
      <c r="L144" s="5"/>
      <c r="M144" s="5"/>
      <c r="N144" s="5"/>
      <c r="O144" s="5"/>
      <c r="P144" s="6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18"/>
      <c r="B145" s="55">
        <v>4.0</v>
      </c>
      <c r="C145" s="50" t="s">
        <v>109</v>
      </c>
      <c r="D145" s="57"/>
      <c r="E145" s="24">
        <f>BANJAR!N145+GUMUK!M145+JELUN!M145+KLUNCING!O145+LICIN!T145+PAKEL!N145+SEGOBANG!W145+TAMANSARI!AD145</f>
        <v>0</v>
      </c>
      <c r="F145" s="18"/>
      <c r="G145" s="5"/>
      <c r="H145" s="5"/>
      <c r="I145" s="5"/>
      <c r="J145" s="5"/>
      <c r="K145" s="5"/>
      <c r="L145" s="5"/>
      <c r="M145" s="5"/>
      <c r="N145" s="5"/>
      <c r="O145" s="5"/>
      <c r="P145" s="6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18"/>
      <c r="B146" s="55">
        <v>5.0</v>
      </c>
      <c r="C146" s="50" t="s">
        <v>110</v>
      </c>
      <c r="D146" s="57"/>
      <c r="E146" s="24">
        <f>BANJAR!N146+GUMUK!M146+JELUN!M146+KLUNCING!O146+LICIN!T146+PAKEL!N146+SEGOBANG!W146+TAMANSARI!AD146</f>
        <v>3</v>
      </c>
      <c r="F146" s="18"/>
      <c r="G146" s="5"/>
      <c r="H146" s="5"/>
      <c r="I146" s="5"/>
      <c r="J146" s="5"/>
      <c r="K146" s="5"/>
      <c r="L146" s="5"/>
      <c r="M146" s="5"/>
      <c r="N146" s="5"/>
      <c r="O146" s="5"/>
      <c r="P146" s="6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18"/>
      <c r="B147" s="55">
        <v>6.0</v>
      </c>
      <c r="C147" s="50" t="s">
        <v>111</v>
      </c>
      <c r="D147" s="57"/>
      <c r="E147" s="24">
        <f>BANJAR!N147+GUMUK!M147+JELUN!M147+KLUNCING!O147+LICIN!T147+PAKEL!N147+SEGOBANG!W147+TAMANSARI!AD147</f>
        <v>2</v>
      </c>
      <c r="F147" s="18"/>
      <c r="G147" s="5"/>
      <c r="H147" s="5"/>
      <c r="I147" s="5"/>
      <c r="J147" s="5"/>
      <c r="K147" s="5"/>
      <c r="L147" s="5"/>
      <c r="M147" s="5"/>
      <c r="N147" s="5"/>
      <c r="O147" s="5"/>
      <c r="P147" s="6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18"/>
      <c r="B148" s="55">
        <v>7.0</v>
      </c>
      <c r="C148" s="50" t="s">
        <v>112</v>
      </c>
      <c r="D148" s="57"/>
      <c r="E148" s="24">
        <f>BANJAR!N148+GUMUK!M148+JELUN!M148+KLUNCING!O148+LICIN!T148+PAKEL!N148+SEGOBANG!W148+TAMANSARI!AD148</f>
        <v>0</v>
      </c>
      <c r="F148" s="18"/>
      <c r="G148" s="5"/>
      <c r="H148" s="5"/>
      <c r="I148" s="5"/>
      <c r="J148" s="5"/>
      <c r="K148" s="5"/>
      <c r="L148" s="5"/>
      <c r="M148" s="5"/>
      <c r="N148" s="5"/>
      <c r="O148" s="5"/>
      <c r="P148" s="6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18"/>
      <c r="B149" s="55"/>
      <c r="C149" s="50"/>
      <c r="D149" s="57"/>
      <c r="E149" s="24"/>
      <c r="F149" s="18"/>
      <c r="G149" s="5"/>
      <c r="H149" s="5"/>
      <c r="I149" s="5"/>
      <c r="J149" s="5"/>
      <c r="K149" s="5"/>
      <c r="L149" s="5"/>
      <c r="M149" s="5"/>
      <c r="N149" s="5"/>
      <c r="O149" s="5"/>
      <c r="P149" s="6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18"/>
      <c r="B150" s="55"/>
      <c r="C150" s="50"/>
      <c r="D150" s="57"/>
      <c r="E150" s="24"/>
      <c r="F150" s="18"/>
      <c r="G150" s="5"/>
      <c r="H150" s="5"/>
      <c r="I150" s="5"/>
      <c r="J150" s="5"/>
      <c r="K150" s="5"/>
      <c r="L150" s="5"/>
      <c r="M150" s="5"/>
      <c r="N150" s="5"/>
      <c r="O150" s="5"/>
      <c r="P150" s="6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19" t="s">
        <v>15</v>
      </c>
      <c r="B151" s="47" t="s">
        <v>47</v>
      </c>
      <c r="C151" s="15"/>
      <c r="D151" s="16"/>
      <c r="E151" s="13">
        <f>SUM(E141:E148)</f>
        <v>13</v>
      </c>
      <c r="F151" s="18"/>
      <c r="G151" s="5"/>
      <c r="H151" s="5"/>
      <c r="I151" s="5"/>
      <c r="J151" s="5"/>
      <c r="K151" s="5"/>
      <c r="L151" s="5"/>
      <c r="M151" s="5"/>
      <c r="N151" s="5"/>
      <c r="O151" s="5"/>
      <c r="P151" s="6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24"/>
      <c r="B152" s="15"/>
      <c r="C152" s="15"/>
      <c r="D152" s="15"/>
      <c r="E152" s="16"/>
      <c r="F152" s="25"/>
      <c r="G152" s="1"/>
      <c r="H152" s="1"/>
      <c r="I152" s="1"/>
      <c r="J152" s="1"/>
      <c r="K152" s="1"/>
      <c r="L152" s="1"/>
      <c r="M152" s="1"/>
      <c r="N152" s="1"/>
      <c r="O152" s="1"/>
      <c r="P152" s="9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30" t="s">
        <v>37</v>
      </c>
      <c r="B153" s="47" t="s">
        <v>113</v>
      </c>
      <c r="C153" s="48" t="s">
        <v>114</v>
      </c>
      <c r="D153" s="16"/>
      <c r="E153" s="24">
        <f>BANJAR!N153+GUMUK!M153+JELUN!M153+KLUNCING!O153+LICIN!T153+PAKEL!N153+SEGOBANG!W153+TAMANSARI!AD153</f>
        <v>39</v>
      </c>
      <c r="F153" s="51"/>
      <c r="G153" s="52"/>
      <c r="H153" s="52"/>
      <c r="I153" s="52"/>
      <c r="J153" s="52"/>
      <c r="K153" s="52"/>
      <c r="L153" s="52"/>
      <c r="M153" s="52"/>
      <c r="N153" s="52"/>
      <c r="O153" s="52"/>
      <c r="P153" s="53"/>
      <c r="Q153" s="3"/>
      <c r="R153" s="3"/>
      <c r="S153" s="3"/>
      <c r="T153" s="3"/>
      <c r="U153" s="3"/>
      <c r="V153" s="3"/>
      <c r="W153" s="54"/>
      <c r="X153" s="3"/>
      <c r="Y153" s="3"/>
      <c r="Z153" s="3"/>
    </row>
    <row r="154" ht="15.75" customHeight="1">
      <c r="A154" s="30" t="s">
        <v>39</v>
      </c>
      <c r="B154" s="55">
        <v>1.0</v>
      </c>
      <c r="C154" s="59" t="s">
        <v>115</v>
      </c>
      <c r="D154" s="57"/>
      <c r="E154" s="24">
        <f>BANJAR!N154+GUMUK!M154+JELUN!M154+KLUNCING!O154+LICIN!T154+PAKEL!N154+SEGOBANG!W154+TAMANSARI!AD154</f>
        <v>58</v>
      </c>
      <c r="F154" s="18"/>
      <c r="G154" s="5"/>
      <c r="H154" s="5"/>
      <c r="I154" s="5"/>
      <c r="J154" s="5"/>
      <c r="K154" s="5"/>
      <c r="L154" s="5"/>
      <c r="M154" s="5"/>
      <c r="N154" s="5"/>
      <c r="O154" s="5"/>
      <c r="P154" s="6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18"/>
      <c r="B155" s="55">
        <v>2.0</v>
      </c>
      <c r="C155" s="59" t="s">
        <v>116</v>
      </c>
      <c r="D155" s="57"/>
      <c r="E155" s="24">
        <f>BANJAR!N155+GUMUK!M155+JELUN!M155+KLUNCING!O155+LICIN!T155+PAKEL!N155+SEGOBANG!W155+TAMANSARI!AD155</f>
        <v>14</v>
      </c>
      <c r="F155" s="18"/>
      <c r="G155" s="5"/>
      <c r="H155" s="5"/>
      <c r="I155" s="5"/>
      <c r="J155" s="5"/>
      <c r="K155" s="5"/>
      <c r="L155" s="5"/>
      <c r="M155" s="5"/>
      <c r="N155" s="5"/>
      <c r="O155" s="5"/>
      <c r="P155" s="6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18"/>
      <c r="B156" s="55">
        <v>3.0</v>
      </c>
      <c r="C156" s="59" t="s">
        <v>117</v>
      </c>
      <c r="D156" s="57"/>
      <c r="E156" s="24">
        <f>BANJAR!N156+GUMUK!M156+JELUN!M156+KLUNCING!O156+LICIN!T156+PAKEL!N156+SEGOBANG!W156+TAMANSARI!AD156</f>
        <v>4</v>
      </c>
      <c r="F156" s="18"/>
      <c r="G156" s="5"/>
      <c r="H156" s="5"/>
      <c r="I156" s="5"/>
      <c r="J156" s="5"/>
      <c r="K156" s="5"/>
      <c r="L156" s="5"/>
      <c r="M156" s="5"/>
      <c r="N156" s="5"/>
      <c r="O156" s="5"/>
      <c r="P156" s="6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18"/>
      <c r="B157" s="55">
        <v>4.0</v>
      </c>
      <c r="C157" s="59" t="s">
        <v>118</v>
      </c>
      <c r="D157" s="57"/>
      <c r="E157" s="24">
        <f>BANJAR!N157+GUMUK!M157+JELUN!M157+KLUNCING!O157+LICIN!T157+PAKEL!N157+SEGOBANG!W157+TAMANSARI!AD157</f>
        <v>5</v>
      </c>
      <c r="F157" s="18"/>
      <c r="G157" s="5"/>
      <c r="H157" s="5"/>
      <c r="I157" s="5"/>
      <c r="J157" s="5"/>
      <c r="K157" s="5"/>
      <c r="L157" s="5"/>
      <c r="M157" s="5"/>
      <c r="N157" s="5"/>
      <c r="O157" s="5"/>
      <c r="P157" s="6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18"/>
      <c r="B158" s="55"/>
      <c r="C158" s="60"/>
      <c r="D158" s="57"/>
      <c r="E158" s="24"/>
      <c r="F158" s="18"/>
      <c r="G158" s="5"/>
      <c r="H158" s="5"/>
      <c r="I158" s="5"/>
      <c r="J158" s="5"/>
      <c r="K158" s="5"/>
      <c r="L158" s="5"/>
      <c r="M158" s="5"/>
      <c r="N158" s="5"/>
      <c r="O158" s="5"/>
      <c r="P158" s="6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18"/>
      <c r="B159" s="55"/>
      <c r="C159" s="60"/>
      <c r="D159" s="57"/>
      <c r="E159" s="24"/>
      <c r="F159" s="18"/>
      <c r="G159" s="5"/>
      <c r="H159" s="5"/>
      <c r="I159" s="5"/>
      <c r="J159" s="5"/>
      <c r="K159" s="5"/>
      <c r="L159" s="5"/>
      <c r="M159" s="5"/>
      <c r="N159" s="5"/>
      <c r="O159" s="5"/>
      <c r="P159" s="6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18"/>
      <c r="B160" s="55"/>
      <c r="C160" s="60"/>
      <c r="D160" s="57"/>
      <c r="E160" s="24"/>
      <c r="F160" s="18"/>
      <c r="G160" s="5"/>
      <c r="H160" s="5"/>
      <c r="I160" s="5"/>
      <c r="J160" s="5"/>
      <c r="K160" s="5"/>
      <c r="L160" s="5"/>
      <c r="M160" s="5"/>
      <c r="N160" s="5"/>
      <c r="O160" s="5"/>
      <c r="P160" s="6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18"/>
      <c r="B161" s="55"/>
      <c r="C161" s="60"/>
      <c r="D161" s="57"/>
      <c r="E161" s="24"/>
      <c r="F161" s="18"/>
      <c r="G161" s="5"/>
      <c r="H161" s="5"/>
      <c r="I161" s="5"/>
      <c r="J161" s="5"/>
      <c r="K161" s="5"/>
      <c r="L161" s="5"/>
      <c r="M161" s="5"/>
      <c r="N161" s="5"/>
      <c r="O161" s="5"/>
      <c r="P161" s="6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18"/>
      <c r="B162" s="55"/>
      <c r="C162" s="60"/>
      <c r="D162" s="57"/>
      <c r="E162" s="24"/>
      <c r="F162" s="18"/>
      <c r="G162" s="5"/>
      <c r="H162" s="5"/>
      <c r="I162" s="5"/>
      <c r="J162" s="5"/>
      <c r="K162" s="5"/>
      <c r="L162" s="5"/>
      <c r="M162" s="5"/>
      <c r="N162" s="5"/>
      <c r="O162" s="5"/>
      <c r="P162" s="6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19" t="s">
        <v>15</v>
      </c>
      <c r="B163" s="47" t="s">
        <v>47</v>
      </c>
      <c r="C163" s="15"/>
      <c r="D163" s="16"/>
      <c r="E163" s="13">
        <f>SUM(E153:E157)</f>
        <v>120</v>
      </c>
      <c r="F163" s="18"/>
      <c r="G163" s="5"/>
      <c r="H163" s="5"/>
      <c r="I163" s="5"/>
      <c r="J163" s="5"/>
      <c r="K163" s="5"/>
      <c r="L163" s="5"/>
      <c r="M163" s="5"/>
      <c r="N163" s="5"/>
      <c r="O163" s="5"/>
      <c r="P163" s="6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24"/>
      <c r="B164" s="15"/>
      <c r="C164" s="15"/>
      <c r="D164" s="15"/>
      <c r="E164" s="16"/>
      <c r="F164" s="18"/>
      <c r="G164" s="5"/>
      <c r="H164" s="5"/>
      <c r="I164" s="5"/>
      <c r="J164" s="5"/>
      <c r="K164" s="5"/>
      <c r="L164" s="5"/>
      <c r="M164" s="5"/>
      <c r="N164" s="5"/>
      <c r="O164" s="5"/>
      <c r="P164" s="6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30" t="s">
        <v>37</v>
      </c>
      <c r="B165" s="47" t="s">
        <v>119</v>
      </c>
      <c r="C165" s="48" t="s">
        <v>120</v>
      </c>
      <c r="D165" s="16"/>
      <c r="E165" s="24">
        <f>BANJAR!N165+GUMUK!M165+JELUN!M165+KLUNCING!O165+LICIN!T165+PAKEL!N165+SEGOBANG!W165+TAMANSARI!AD165</f>
        <v>19</v>
      </c>
      <c r="F165" s="25"/>
      <c r="G165" s="1"/>
      <c r="H165" s="1"/>
      <c r="I165" s="1"/>
      <c r="J165" s="1"/>
      <c r="K165" s="1"/>
      <c r="L165" s="1"/>
      <c r="M165" s="1"/>
      <c r="N165" s="1"/>
      <c r="O165" s="1"/>
      <c r="P165" s="9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30" t="s">
        <v>39</v>
      </c>
      <c r="B166" s="55">
        <v>1.0</v>
      </c>
      <c r="C166" s="50" t="s">
        <v>121</v>
      </c>
      <c r="D166" s="57"/>
      <c r="E166" s="24">
        <f>BANJAR!N166+GUMUK!M166+JELUN!M166+KLUNCING!O166+LICIN!T166+PAKEL!N166+SEGOBANG!W166+TAMANSARI!AD166</f>
        <v>7</v>
      </c>
      <c r="F166" s="51"/>
      <c r="G166" s="52"/>
      <c r="H166" s="52"/>
      <c r="I166" s="52"/>
      <c r="J166" s="52"/>
      <c r="K166" s="52"/>
      <c r="L166" s="52"/>
      <c r="M166" s="52"/>
      <c r="N166" s="52"/>
      <c r="O166" s="52"/>
      <c r="P166" s="53"/>
      <c r="Q166" s="3"/>
      <c r="R166" s="3"/>
      <c r="S166" s="3"/>
      <c r="T166" s="3"/>
      <c r="U166" s="3"/>
      <c r="V166" s="3"/>
      <c r="W166" s="54"/>
      <c r="X166" s="3"/>
      <c r="Y166" s="3"/>
      <c r="Z166" s="3"/>
    </row>
    <row r="167" ht="15.75" customHeight="1">
      <c r="A167" s="18"/>
      <c r="B167" s="55">
        <v>2.0</v>
      </c>
      <c r="C167" s="50" t="s">
        <v>122</v>
      </c>
      <c r="D167" s="57"/>
      <c r="E167" s="24">
        <f>BANJAR!N167+GUMUK!M167+JELUN!M167+KLUNCING!O167+LICIN!T167+PAKEL!N167+SEGOBANG!W167+TAMANSARI!AD167</f>
        <v>4</v>
      </c>
      <c r="F167" s="18"/>
      <c r="G167" s="5"/>
      <c r="H167" s="5"/>
      <c r="I167" s="5"/>
      <c r="J167" s="5"/>
      <c r="K167" s="5"/>
      <c r="L167" s="5"/>
      <c r="M167" s="5"/>
      <c r="N167" s="5"/>
      <c r="O167" s="5"/>
      <c r="P167" s="6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18"/>
      <c r="B168" s="55">
        <v>3.0</v>
      </c>
      <c r="C168" s="50" t="s">
        <v>123</v>
      </c>
      <c r="D168" s="57"/>
      <c r="E168" s="24">
        <f>BANJAR!N168+GUMUK!M168+JELUN!M168+KLUNCING!O168+LICIN!T168+PAKEL!N168+SEGOBANG!W168+TAMANSARI!AD168</f>
        <v>4</v>
      </c>
      <c r="F168" s="18"/>
      <c r="G168" s="5"/>
      <c r="H168" s="5"/>
      <c r="I168" s="5"/>
      <c r="J168" s="5"/>
      <c r="K168" s="5"/>
      <c r="L168" s="5"/>
      <c r="M168" s="5"/>
      <c r="N168" s="5"/>
      <c r="O168" s="5"/>
      <c r="P168" s="6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18"/>
      <c r="B169" s="55">
        <v>4.0</v>
      </c>
      <c r="C169" s="50" t="s">
        <v>124</v>
      </c>
      <c r="D169" s="57"/>
      <c r="E169" s="24">
        <f>BANJAR!N169+GUMUK!M169+JELUN!M169+KLUNCING!O169+LICIN!T169+PAKEL!N169+SEGOBANG!W169+TAMANSARI!AD169</f>
        <v>3</v>
      </c>
      <c r="F169" s="18"/>
      <c r="G169" s="5"/>
      <c r="H169" s="5"/>
      <c r="I169" s="5"/>
      <c r="J169" s="5"/>
      <c r="K169" s="5"/>
      <c r="L169" s="5"/>
      <c r="M169" s="5"/>
      <c r="N169" s="5"/>
      <c r="O169" s="5"/>
      <c r="P169" s="6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18"/>
      <c r="B170" s="55">
        <v>5.0</v>
      </c>
      <c r="C170" s="50" t="s">
        <v>125</v>
      </c>
      <c r="D170" s="57"/>
      <c r="E170" s="24">
        <f>BANJAR!N170+GUMUK!M170+JELUN!M170+KLUNCING!O170+LICIN!T170+PAKEL!N170+SEGOBANG!W170+TAMANSARI!AD170</f>
        <v>1</v>
      </c>
      <c r="F170" s="18"/>
      <c r="G170" s="5"/>
      <c r="H170" s="5"/>
      <c r="I170" s="5"/>
      <c r="J170" s="5"/>
      <c r="K170" s="5"/>
      <c r="L170" s="5"/>
      <c r="M170" s="5"/>
      <c r="N170" s="5"/>
      <c r="O170" s="5"/>
      <c r="P170" s="6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18"/>
      <c r="B171" s="55">
        <v>6.0</v>
      </c>
      <c r="C171" s="50" t="s">
        <v>126</v>
      </c>
      <c r="D171" s="57"/>
      <c r="E171" s="24">
        <f>BANJAR!N171+GUMUK!M171+JELUN!M171+KLUNCING!O171+LICIN!T171+PAKEL!N171+SEGOBANG!W171+TAMANSARI!AD171</f>
        <v>0</v>
      </c>
      <c r="F171" s="18"/>
      <c r="G171" s="5"/>
      <c r="H171" s="5"/>
      <c r="I171" s="5"/>
      <c r="J171" s="5"/>
      <c r="K171" s="5"/>
      <c r="L171" s="5"/>
      <c r="M171" s="5"/>
      <c r="N171" s="5"/>
      <c r="O171" s="5"/>
      <c r="P171" s="6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18"/>
      <c r="B172" s="55">
        <v>7.0</v>
      </c>
      <c r="C172" s="50" t="s">
        <v>127</v>
      </c>
      <c r="D172" s="57"/>
      <c r="E172" s="24">
        <f>BANJAR!N172+GUMUK!M172+JELUN!M172+KLUNCING!O172+LICIN!T172+PAKEL!N172+SEGOBANG!W172+TAMANSARI!AD172</f>
        <v>0</v>
      </c>
      <c r="F172" s="18"/>
      <c r="G172" s="5"/>
      <c r="H172" s="5"/>
      <c r="I172" s="5"/>
      <c r="J172" s="5"/>
      <c r="K172" s="5"/>
      <c r="L172" s="5"/>
      <c r="M172" s="5"/>
      <c r="N172" s="5"/>
      <c r="O172" s="5"/>
      <c r="P172" s="6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18"/>
      <c r="B173" s="55"/>
      <c r="C173" s="50"/>
      <c r="D173" s="57"/>
      <c r="E173" s="24"/>
      <c r="F173" s="18"/>
      <c r="G173" s="5"/>
      <c r="H173" s="5"/>
      <c r="I173" s="5"/>
      <c r="J173" s="5"/>
      <c r="K173" s="5"/>
      <c r="L173" s="5"/>
      <c r="M173" s="5"/>
      <c r="N173" s="5"/>
      <c r="O173" s="5"/>
      <c r="P173" s="6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18"/>
      <c r="B174" s="55"/>
      <c r="C174" s="50"/>
      <c r="D174" s="57"/>
      <c r="E174" s="24"/>
      <c r="F174" s="18"/>
      <c r="G174" s="5"/>
      <c r="H174" s="5"/>
      <c r="I174" s="5"/>
      <c r="J174" s="5"/>
      <c r="K174" s="5"/>
      <c r="L174" s="5"/>
      <c r="M174" s="5"/>
      <c r="N174" s="5"/>
      <c r="O174" s="5"/>
      <c r="P174" s="6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19" t="s">
        <v>15</v>
      </c>
      <c r="B175" s="47" t="s">
        <v>47</v>
      </c>
      <c r="C175" s="15"/>
      <c r="D175" s="16"/>
      <c r="E175" s="13">
        <f>SUM(E165:E172)</f>
        <v>38</v>
      </c>
      <c r="F175" s="18"/>
      <c r="G175" s="5"/>
      <c r="H175" s="5"/>
      <c r="I175" s="5"/>
      <c r="J175" s="5"/>
      <c r="K175" s="5"/>
      <c r="L175" s="5"/>
      <c r="M175" s="5"/>
      <c r="N175" s="5"/>
      <c r="O175" s="5"/>
      <c r="P175" s="6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24"/>
      <c r="B176" s="15"/>
      <c r="C176" s="15"/>
      <c r="D176" s="15"/>
      <c r="E176" s="16"/>
      <c r="F176" s="18"/>
      <c r="G176" s="5"/>
      <c r="H176" s="5"/>
      <c r="I176" s="5"/>
      <c r="J176" s="5"/>
      <c r="K176" s="5"/>
      <c r="L176" s="5"/>
      <c r="M176" s="5"/>
      <c r="N176" s="5"/>
      <c r="O176" s="5"/>
      <c r="P176" s="6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30" t="s">
        <v>37</v>
      </c>
      <c r="B177" s="47" t="s">
        <v>128</v>
      </c>
      <c r="C177" s="48" t="s">
        <v>129</v>
      </c>
      <c r="D177" s="16"/>
      <c r="E177" s="24">
        <f>BANJAR!N177+GUMUK!M177+JELUN!M177+KLUNCING!O177+LICIN!T177+PAKEL!N177+SEGOBANG!W177+TAMANSARI!AD177</f>
        <v>101</v>
      </c>
      <c r="F177" s="25"/>
      <c r="G177" s="1"/>
      <c r="H177" s="1"/>
      <c r="I177" s="1"/>
      <c r="J177" s="1"/>
      <c r="K177" s="1"/>
      <c r="L177" s="1"/>
      <c r="M177" s="1"/>
      <c r="N177" s="1"/>
      <c r="O177" s="1"/>
      <c r="P177" s="9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30" t="s">
        <v>39</v>
      </c>
      <c r="B178" s="55">
        <v>1.0</v>
      </c>
      <c r="C178" s="50" t="s">
        <v>130</v>
      </c>
      <c r="D178" s="57"/>
      <c r="E178" s="24">
        <f>BANJAR!N178+GUMUK!M178+JELUN!M178+KLUNCING!O178+LICIN!T178+PAKEL!N178+SEGOBANG!W178+TAMANSARI!AD178</f>
        <v>64</v>
      </c>
      <c r="F178" s="51"/>
      <c r="G178" s="52"/>
      <c r="H178" s="52"/>
      <c r="I178" s="52"/>
      <c r="J178" s="52"/>
      <c r="K178" s="52"/>
      <c r="L178" s="52"/>
      <c r="M178" s="52"/>
      <c r="N178" s="52"/>
      <c r="O178" s="52"/>
      <c r="P178" s="53"/>
      <c r="Q178" s="3"/>
      <c r="R178" s="3"/>
      <c r="S178" s="3"/>
      <c r="T178" s="3"/>
      <c r="U178" s="3"/>
      <c r="V178" s="3"/>
      <c r="W178" s="54"/>
      <c r="X178" s="3"/>
      <c r="Y178" s="3"/>
      <c r="Z178" s="3"/>
    </row>
    <row r="179" ht="15.75" customHeight="1">
      <c r="A179" s="18"/>
      <c r="B179" s="55">
        <v>2.0</v>
      </c>
      <c r="C179" s="50" t="s">
        <v>131</v>
      </c>
      <c r="D179" s="57"/>
      <c r="E179" s="24">
        <f>BANJAR!N179+GUMUK!M179+JELUN!M179+KLUNCING!O179+LICIN!T179+PAKEL!N179+SEGOBANG!W179+TAMANSARI!AD179</f>
        <v>18</v>
      </c>
      <c r="F179" s="18"/>
      <c r="G179" s="5"/>
      <c r="H179" s="5"/>
      <c r="I179" s="5"/>
      <c r="J179" s="5"/>
      <c r="K179" s="5"/>
      <c r="L179" s="5"/>
      <c r="M179" s="5"/>
      <c r="N179" s="5"/>
      <c r="O179" s="5"/>
      <c r="P179" s="6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18"/>
      <c r="B180" s="55">
        <v>3.0</v>
      </c>
      <c r="C180" s="50" t="s">
        <v>132</v>
      </c>
      <c r="D180" s="57"/>
      <c r="E180" s="24">
        <f>BANJAR!N180+GUMUK!M180+JELUN!M180+KLUNCING!O180+LICIN!T180+PAKEL!N180+SEGOBANG!W180+TAMANSARI!AD180</f>
        <v>11</v>
      </c>
      <c r="F180" s="18"/>
      <c r="G180" s="5"/>
      <c r="H180" s="5"/>
      <c r="I180" s="5"/>
      <c r="J180" s="5"/>
      <c r="K180" s="5"/>
      <c r="L180" s="5"/>
      <c r="M180" s="5"/>
      <c r="N180" s="5"/>
      <c r="O180" s="5"/>
      <c r="P180" s="6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18"/>
      <c r="B181" s="55">
        <v>4.0</v>
      </c>
      <c r="C181" s="50" t="s">
        <v>133</v>
      </c>
      <c r="D181" s="57"/>
      <c r="E181" s="24">
        <f>BANJAR!N181+GUMUK!M181+JELUN!M181+KLUNCING!O181+LICIN!T181+PAKEL!N181+SEGOBANG!W181+TAMANSARI!AD181</f>
        <v>11</v>
      </c>
      <c r="F181" s="18"/>
      <c r="G181" s="5"/>
      <c r="H181" s="5"/>
      <c r="I181" s="5"/>
      <c r="J181" s="5"/>
      <c r="K181" s="5"/>
      <c r="L181" s="5"/>
      <c r="M181" s="5"/>
      <c r="N181" s="5"/>
      <c r="O181" s="5"/>
      <c r="P181" s="6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18"/>
      <c r="B182" s="55">
        <v>5.0</v>
      </c>
      <c r="C182" s="50" t="s">
        <v>134</v>
      </c>
      <c r="D182" s="57"/>
      <c r="E182" s="24">
        <f>BANJAR!N182+GUMUK!M182+JELUN!M182+KLUNCING!O182+LICIN!T182+PAKEL!N182+SEGOBANG!W182+TAMANSARI!AD182</f>
        <v>12</v>
      </c>
      <c r="F182" s="18"/>
      <c r="G182" s="5"/>
      <c r="H182" s="5"/>
      <c r="I182" s="5"/>
      <c r="J182" s="5"/>
      <c r="K182" s="5"/>
      <c r="L182" s="5"/>
      <c r="M182" s="5"/>
      <c r="N182" s="5"/>
      <c r="O182" s="5"/>
      <c r="P182" s="6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18"/>
      <c r="B183" s="55">
        <v>6.0</v>
      </c>
      <c r="C183" s="50" t="s">
        <v>135</v>
      </c>
      <c r="D183" s="57"/>
      <c r="E183" s="24">
        <f>BANJAR!N183+GUMUK!M183+JELUN!M183+KLUNCING!O183+LICIN!T183+PAKEL!N183+SEGOBANG!W183+TAMANSARI!AD183</f>
        <v>5</v>
      </c>
      <c r="F183" s="18"/>
      <c r="G183" s="5"/>
      <c r="H183" s="5"/>
      <c r="I183" s="5"/>
      <c r="J183" s="5"/>
      <c r="K183" s="5"/>
      <c r="L183" s="5"/>
      <c r="M183" s="5"/>
      <c r="N183" s="5"/>
      <c r="O183" s="5"/>
      <c r="P183" s="6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18"/>
      <c r="B184" s="55">
        <v>7.0</v>
      </c>
      <c r="C184" s="50" t="s">
        <v>136</v>
      </c>
      <c r="D184" s="57"/>
      <c r="E184" s="24">
        <f>BANJAR!N184+GUMUK!M184+JELUN!M184+KLUNCING!O184+LICIN!T184+PAKEL!N184+SEGOBANG!W184+TAMANSARI!AD184</f>
        <v>7</v>
      </c>
      <c r="F184" s="18"/>
      <c r="G184" s="5"/>
      <c r="H184" s="5"/>
      <c r="I184" s="5"/>
      <c r="J184" s="5"/>
      <c r="K184" s="5"/>
      <c r="L184" s="5"/>
      <c r="M184" s="5"/>
      <c r="N184" s="5"/>
      <c r="O184" s="5"/>
      <c r="P184" s="6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18"/>
      <c r="B185" s="55"/>
      <c r="C185" s="50"/>
      <c r="D185" s="57"/>
      <c r="E185" s="24"/>
      <c r="F185" s="18"/>
      <c r="G185" s="5"/>
      <c r="H185" s="5"/>
      <c r="I185" s="5"/>
      <c r="J185" s="5"/>
      <c r="K185" s="5"/>
      <c r="L185" s="5"/>
      <c r="M185" s="5"/>
      <c r="N185" s="5"/>
      <c r="O185" s="5"/>
      <c r="P185" s="6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18"/>
      <c r="B186" s="55"/>
      <c r="C186" s="50"/>
      <c r="D186" s="57"/>
      <c r="E186" s="24"/>
      <c r="F186" s="18"/>
      <c r="G186" s="5"/>
      <c r="H186" s="5"/>
      <c r="I186" s="5"/>
      <c r="J186" s="5"/>
      <c r="K186" s="5"/>
      <c r="L186" s="5"/>
      <c r="M186" s="5"/>
      <c r="N186" s="5"/>
      <c r="O186" s="5"/>
      <c r="P186" s="6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19" t="s">
        <v>15</v>
      </c>
      <c r="B187" s="47" t="s">
        <v>47</v>
      </c>
      <c r="C187" s="15"/>
      <c r="D187" s="16"/>
      <c r="E187" s="13">
        <f>SUM(E177:E184)</f>
        <v>229</v>
      </c>
      <c r="F187" s="18"/>
      <c r="G187" s="5"/>
      <c r="H187" s="5"/>
      <c r="I187" s="5"/>
      <c r="J187" s="5"/>
      <c r="K187" s="5"/>
      <c r="L187" s="5"/>
      <c r="M187" s="5"/>
      <c r="N187" s="5"/>
      <c r="O187" s="5"/>
      <c r="P187" s="6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24"/>
      <c r="B188" s="15"/>
      <c r="C188" s="15"/>
      <c r="D188" s="15"/>
      <c r="E188" s="16"/>
      <c r="F188" s="18"/>
      <c r="G188" s="5"/>
      <c r="H188" s="5"/>
      <c r="I188" s="5"/>
      <c r="J188" s="5"/>
      <c r="K188" s="5"/>
      <c r="L188" s="5"/>
      <c r="M188" s="5"/>
      <c r="N188" s="5"/>
      <c r="O188" s="5"/>
      <c r="P188" s="6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30" t="s">
        <v>37</v>
      </c>
      <c r="B189" s="47" t="s">
        <v>137</v>
      </c>
      <c r="C189" s="48" t="s">
        <v>138</v>
      </c>
      <c r="D189" s="16"/>
      <c r="E189" s="24">
        <f>BANJAR!N189+GUMUK!M189+JELUN!M189+KLUNCING!O189+LICIN!T189+PAKEL!N189+SEGOBANG!W189+TAMANSARI!AD189</f>
        <v>20</v>
      </c>
      <c r="F189" s="25"/>
      <c r="G189" s="1"/>
      <c r="H189" s="1"/>
      <c r="I189" s="1"/>
      <c r="J189" s="1"/>
      <c r="K189" s="1"/>
      <c r="L189" s="1"/>
      <c r="M189" s="1"/>
      <c r="N189" s="1"/>
      <c r="O189" s="1"/>
      <c r="P189" s="9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30" t="s">
        <v>39</v>
      </c>
      <c r="B190" s="55">
        <v>1.0</v>
      </c>
      <c r="C190" s="50" t="s">
        <v>139</v>
      </c>
      <c r="D190" s="57"/>
      <c r="E190" s="24">
        <f>BANJAR!N190+GUMUK!M190+JELUN!M190+KLUNCING!O190+LICIN!T190+PAKEL!N190+SEGOBANG!W190+TAMANSARI!AD190</f>
        <v>9</v>
      </c>
      <c r="F190" s="51"/>
      <c r="G190" s="52"/>
      <c r="H190" s="52"/>
      <c r="I190" s="52"/>
      <c r="J190" s="52"/>
      <c r="K190" s="52"/>
      <c r="L190" s="52"/>
      <c r="M190" s="52"/>
      <c r="N190" s="52"/>
      <c r="O190" s="52"/>
      <c r="P190" s="53"/>
      <c r="Q190" s="3"/>
      <c r="R190" s="3"/>
      <c r="S190" s="3"/>
      <c r="T190" s="3"/>
      <c r="U190" s="3"/>
      <c r="V190" s="3"/>
      <c r="W190" s="54"/>
      <c r="X190" s="3"/>
      <c r="Y190" s="3"/>
      <c r="Z190" s="3"/>
    </row>
    <row r="191" ht="15.75" customHeight="1">
      <c r="A191" s="18"/>
      <c r="B191" s="55">
        <v>2.0</v>
      </c>
      <c r="C191" s="50" t="s">
        <v>140</v>
      </c>
      <c r="D191" s="57"/>
      <c r="E191" s="24">
        <f>BANJAR!N191+GUMUK!M191+JELUN!M191+KLUNCING!O191+LICIN!T191+PAKEL!N191+SEGOBANG!W191+TAMANSARI!AD191</f>
        <v>20</v>
      </c>
      <c r="F191" s="18"/>
      <c r="G191" s="5"/>
      <c r="H191" s="5"/>
      <c r="I191" s="5"/>
      <c r="J191" s="5"/>
      <c r="K191" s="5"/>
      <c r="L191" s="5"/>
      <c r="M191" s="5"/>
      <c r="N191" s="5"/>
      <c r="O191" s="5"/>
      <c r="P191" s="6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18"/>
      <c r="B192" s="55">
        <v>3.0</v>
      </c>
      <c r="C192" s="50" t="s">
        <v>141</v>
      </c>
      <c r="D192" s="57"/>
      <c r="E192" s="24">
        <f>BANJAR!N192+GUMUK!M192+JELUN!M192+KLUNCING!O192+LICIN!T192+PAKEL!N192+SEGOBANG!W192+TAMANSARI!AD192</f>
        <v>2</v>
      </c>
      <c r="F192" s="18"/>
      <c r="G192" s="5"/>
      <c r="H192" s="5"/>
      <c r="I192" s="5"/>
      <c r="J192" s="5"/>
      <c r="K192" s="5"/>
      <c r="L192" s="5"/>
      <c r="M192" s="5"/>
      <c r="N192" s="5"/>
      <c r="O192" s="5"/>
      <c r="P192" s="6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18"/>
      <c r="B193" s="55">
        <v>4.0</v>
      </c>
      <c r="C193" s="50" t="s">
        <v>142</v>
      </c>
      <c r="D193" s="57"/>
      <c r="E193" s="24">
        <f>BANJAR!N193+GUMUK!M193+JELUN!M193+KLUNCING!O193+LICIN!T193+PAKEL!N193+SEGOBANG!W193+TAMANSARI!AD193</f>
        <v>2</v>
      </c>
      <c r="F193" s="18"/>
      <c r="G193" s="5"/>
      <c r="H193" s="5"/>
      <c r="I193" s="5"/>
      <c r="J193" s="5"/>
      <c r="K193" s="5"/>
      <c r="L193" s="5"/>
      <c r="M193" s="5"/>
      <c r="N193" s="5"/>
      <c r="O193" s="5"/>
      <c r="P193" s="6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18"/>
      <c r="B194" s="55">
        <v>5.0</v>
      </c>
      <c r="C194" s="50" t="s">
        <v>143</v>
      </c>
      <c r="D194" s="57"/>
      <c r="E194" s="24">
        <f>BANJAR!N194+GUMUK!M194+JELUN!M194+KLUNCING!O194+LICIN!T194+PAKEL!N194+SEGOBANG!W194+TAMANSARI!AD194</f>
        <v>3</v>
      </c>
      <c r="F194" s="18"/>
      <c r="G194" s="5"/>
      <c r="H194" s="5"/>
      <c r="I194" s="5"/>
      <c r="J194" s="5"/>
      <c r="K194" s="5"/>
      <c r="L194" s="5"/>
      <c r="M194" s="5"/>
      <c r="N194" s="5"/>
      <c r="O194" s="5"/>
      <c r="P194" s="6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18"/>
      <c r="B195" s="55">
        <v>6.0</v>
      </c>
      <c r="C195" s="50" t="s">
        <v>144</v>
      </c>
      <c r="D195" s="57"/>
      <c r="E195" s="24">
        <f>BANJAR!N195+GUMUK!M195+JELUN!M195+KLUNCING!O195+LICIN!T195+PAKEL!N195+SEGOBANG!W195+TAMANSARI!AD195</f>
        <v>0</v>
      </c>
      <c r="F195" s="18"/>
      <c r="G195" s="5"/>
      <c r="H195" s="5"/>
      <c r="I195" s="5"/>
      <c r="J195" s="5"/>
      <c r="K195" s="5"/>
      <c r="L195" s="5"/>
      <c r="M195" s="5"/>
      <c r="N195" s="5"/>
      <c r="O195" s="5"/>
      <c r="P195" s="6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18"/>
      <c r="B196" s="55">
        <v>7.0</v>
      </c>
      <c r="C196" s="50" t="s">
        <v>145</v>
      </c>
      <c r="D196" s="57"/>
      <c r="E196" s="24">
        <f>BANJAR!N196+GUMUK!M196+JELUN!M196+KLUNCING!O196+LICIN!T196+PAKEL!N196+SEGOBANG!W196+TAMANSARI!AD196</f>
        <v>0</v>
      </c>
      <c r="F196" s="18"/>
      <c r="G196" s="5"/>
      <c r="H196" s="5"/>
      <c r="I196" s="5"/>
      <c r="J196" s="5"/>
      <c r="K196" s="5"/>
      <c r="L196" s="5"/>
      <c r="M196" s="5"/>
      <c r="N196" s="5"/>
      <c r="O196" s="5"/>
      <c r="P196" s="6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18"/>
      <c r="B197" s="55"/>
      <c r="C197" s="50"/>
      <c r="D197" s="57"/>
      <c r="E197" s="24"/>
      <c r="F197" s="18"/>
      <c r="G197" s="5"/>
      <c r="H197" s="5"/>
      <c r="I197" s="5"/>
      <c r="J197" s="5"/>
      <c r="K197" s="5"/>
      <c r="L197" s="5"/>
      <c r="M197" s="5"/>
      <c r="N197" s="5"/>
      <c r="O197" s="5"/>
      <c r="P197" s="6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18"/>
      <c r="B198" s="55"/>
      <c r="C198" s="50"/>
      <c r="D198" s="57"/>
      <c r="E198" s="24"/>
      <c r="F198" s="18"/>
      <c r="G198" s="5"/>
      <c r="H198" s="5"/>
      <c r="I198" s="5"/>
      <c r="J198" s="5"/>
      <c r="K198" s="5"/>
      <c r="L198" s="5"/>
      <c r="M198" s="5"/>
      <c r="N198" s="5"/>
      <c r="O198" s="5"/>
      <c r="P198" s="6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19" t="s">
        <v>15</v>
      </c>
      <c r="B199" s="47" t="s">
        <v>47</v>
      </c>
      <c r="C199" s="15"/>
      <c r="D199" s="16"/>
      <c r="E199" s="13">
        <f>SUM(E189:E196)</f>
        <v>56</v>
      </c>
      <c r="F199" s="18"/>
      <c r="G199" s="5"/>
      <c r="H199" s="5"/>
      <c r="I199" s="5"/>
      <c r="J199" s="5"/>
      <c r="K199" s="5"/>
      <c r="L199" s="5"/>
      <c r="M199" s="5"/>
      <c r="N199" s="5"/>
      <c r="O199" s="5"/>
      <c r="P199" s="6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24"/>
      <c r="B200" s="15"/>
      <c r="C200" s="15"/>
      <c r="D200" s="15"/>
      <c r="E200" s="16"/>
      <c r="F200" s="18"/>
      <c r="G200" s="5"/>
      <c r="H200" s="5"/>
      <c r="I200" s="5"/>
      <c r="J200" s="5"/>
      <c r="K200" s="5"/>
      <c r="L200" s="5"/>
      <c r="M200" s="5"/>
      <c r="N200" s="5"/>
      <c r="O200" s="5"/>
      <c r="P200" s="6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30" t="s">
        <v>37</v>
      </c>
      <c r="B201" s="47" t="s">
        <v>146</v>
      </c>
      <c r="C201" s="48" t="s">
        <v>147</v>
      </c>
      <c r="D201" s="16"/>
      <c r="E201" s="24">
        <f>BANJAR!N201+GUMUK!M201+JELUN!M201+KLUNCING!O201+LICIN!T201+PAKEL!N201+SEGOBANG!W201+TAMANSARI!AD201</f>
        <v>187</v>
      </c>
      <c r="F201" s="25"/>
      <c r="G201" s="1"/>
      <c r="H201" s="1"/>
      <c r="I201" s="1"/>
      <c r="J201" s="1"/>
      <c r="K201" s="1"/>
      <c r="L201" s="1"/>
      <c r="M201" s="1"/>
      <c r="N201" s="1"/>
      <c r="O201" s="1"/>
      <c r="P201" s="9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30" t="s">
        <v>39</v>
      </c>
      <c r="B202" s="55">
        <v>1.0</v>
      </c>
      <c r="C202" s="50" t="s">
        <v>148</v>
      </c>
      <c r="D202" s="57"/>
      <c r="E202" s="24">
        <f>BANJAR!N202+GUMUK!M202+JELUN!M202+KLUNCING!O202+LICIN!T202+PAKEL!N202+SEGOBANG!W202+TAMANSARI!AD202</f>
        <v>94</v>
      </c>
      <c r="F202" s="51"/>
      <c r="G202" s="52"/>
      <c r="H202" s="52"/>
      <c r="I202" s="52"/>
      <c r="J202" s="52"/>
      <c r="K202" s="52"/>
      <c r="L202" s="52"/>
      <c r="M202" s="52"/>
      <c r="N202" s="52"/>
      <c r="O202" s="52"/>
      <c r="P202" s="53"/>
      <c r="Q202" s="3"/>
      <c r="R202" s="3"/>
      <c r="S202" s="3"/>
      <c r="T202" s="3"/>
      <c r="U202" s="3"/>
      <c r="V202" s="3"/>
      <c r="W202" s="54"/>
      <c r="X202" s="3"/>
      <c r="Y202" s="3"/>
      <c r="Z202" s="3"/>
    </row>
    <row r="203" ht="15.75" customHeight="1">
      <c r="A203" s="18"/>
      <c r="B203" s="55">
        <v>2.0</v>
      </c>
      <c r="C203" s="50" t="s">
        <v>149</v>
      </c>
      <c r="D203" s="57"/>
      <c r="E203" s="24">
        <f>BANJAR!N203+GUMUK!M203+JELUN!M203+KLUNCING!O203+LICIN!T203+PAKEL!N203+SEGOBANG!W203+TAMANSARI!AD203</f>
        <v>132</v>
      </c>
      <c r="F203" s="18"/>
      <c r="G203" s="5"/>
      <c r="H203" s="5"/>
      <c r="I203" s="5"/>
      <c r="J203" s="5"/>
      <c r="K203" s="5"/>
      <c r="L203" s="5"/>
      <c r="M203" s="5"/>
      <c r="N203" s="5"/>
      <c r="O203" s="5"/>
      <c r="P203" s="6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18"/>
      <c r="B204" s="55">
        <v>3.0</v>
      </c>
      <c r="C204" s="50" t="s">
        <v>150</v>
      </c>
      <c r="D204" s="57"/>
      <c r="E204" s="24">
        <f>BANJAR!N204+GUMUK!M204+JELUN!M204+KLUNCING!O204+LICIN!T204+PAKEL!N204+SEGOBANG!W204+TAMANSARI!AD204</f>
        <v>10</v>
      </c>
      <c r="F204" s="18"/>
      <c r="G204" s="5"/>
      <c r="H204" s="5"/>
      <c r="I204" s="5"/>
      <c r="J204" s="5"/>
      <c r="K204" s="5"/>
      <c r="L204" s="5"/>
      <c r="M204" s="5"/>
      <c r="N204" s="5"/>
      <c r="O204" s="5"/>
      <c r="P204" s="6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18"/>
      <c r="B205" s="55">
        <v>4.0</v>
      </c>
      <c r="C205" s="50" t="s">
        <v>151</v>
      </c>
      <c r="D205" s="57"/>
      <c r="E205" s="24">
        <f>BANJAR!N205+GUMUK!M205+JELUN!M205+KLUNCING!O205+LICIN!T205+PAKEL!N205+SEGOBANG!W205+TAMANSARI!AD205</f>
        <v>21</v>
      </c>
      <c r="F205" s="18"/>
      <c r="G205" s="5"/>
      <c r="H205" s="5"/>
      <c r="I205" s="5"/>
      <c r="J205" s="5"/>
      <c r="K205" s="5"/>
      <c r="L205" s="5"/>
      <c r="M205" s="5"/>
      <c r="N205" s="5"/>
      <c r="O205" s="5"/>
      <c r="P205" s="6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18"/>
      <c r="B206" s="55">
        <v>5.0</v>
      </c>
      <c r="C206" s="50" t="s">
        <v>152</v>
      </c>
      <c r="D206" s="57"/>
      <c r="E206" s="24">
        <f>BANJAR!N206+GUMUK!M206+JELUN!M206+KLUNCING!O206+LICIN!T206+PAKEL!N206+SEGOBANG!W206+TAMANSARI!AD206</f>
        <v>9</v>
      </c>
      <c r="F206" s="18"/>
      <c r="G206" s="5"/>
      <c r="H206" s="5"/>
      <c r="I206" s="5"/>
      <c r="J206" s="5"/>
      <c r="K206" s="5"/>
      <c r="L206" s="5"/>
      <c r="M206" s="5"/>
      <c r="N206" s="5"/>
      <c r="O206" s="5"/>
      <c r="P206" s="6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18"/>
      <c r="B207" s="55">
        <v>6.0</v>
      </c>
      <c r="C207" s="50" t="s">
        <v>153</v>
      </c>
      <c r="D207" s="57"/>
      <c r="E207" s="24">
        <f>BANJAR!N207+GUMUK!M207+JELUN!M207+KLUNCING!O207+LICIN!T207+PAKEL!N207+SEGOBANG!W207+TAMANSARI!AD207</f>
        <v>2</v>
      </c>
      <c r="F207" s="18"/>
      <c r="G207" s="5"/>
      <c r="H207" s="5"/>
      <c r="I207" s="5"/>
      <c r="J207" s="5"/>
      <c r="K207" s="5"/>
      <c r="L207" s="5"/>
      <c r="M207" s="5"/>
      <c r="N207" s="5"/>
      <c r="O207" s="5"/>
      <c r="P207" s="6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18"/>
      <c r="B208" s="55">
        <v>7.0</v>
      </c>
      <c r="C208" s="50" t="s">
        <v>154</v>
      </c>
      <c r="D208" s="57"/>
      <c r="E208" s="24">
        <f>BANJAR!N208+GUMUK!M208+JELUN!M208+KLUNCING!O208+LICIN!T208+PAKEL!N208+SEGOBANG!W208+TAMANSARI!AD208</f>
        <v>12</v>
      </c>
      <c r="F208" s="18"/>
      <c r="G208" s="5"/>
      <c r="H208" s="5"/>
      <c r="I208" s="5"/>
      <c r="J208" s="5"/>
      <c r="K208" s="5"/>
      <c r="L208" s="5"/>
      <c r="M208" s="5"/>
      <c r="N208" s="5"/>
      <c r="O208" s="5"/>
      <c r="P208" s="6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18"/>
      <c r="B209" s="55"/>
      <c r="C209" s="50"/>
      <c r="D209" s="57"/>
      <c r="E209" s="24"/>
      <c r="F209" s="18"/>
      <c r="G209" s="5"/>
      <c r="H209" s="5"/>
      <c r="I209" s="5"/>
      <c r="J209" s="5"/>
      <c r="K209" s="5"/>
      <c r="L209" s="5"/>
      <c r="M209" s="5"/>
      <c r="N209" s="5"/>
      <c r="O209" s="5"/>
      <c r="P209" s="6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18"/>
      <c r="B210" s="55"/>
      <c r="C210" s="50"/>
      <c r="D210" s="57"/>
      <c r="E210" s="24"/>
      <c r="F210" s="18"/>
      <c r="G210" s="5"/>
      <c r="H210" s="5"/>
      <c r="I210" s="5"/>
      <c r="J210" s="5"/>
      <c r="K210" s="5"/>
      <c r="L210" s="5"/>
      <c r="M210" s="5"/>
      <c r="N210" s="5"/>
      <c r="O210" s="5"/>
      <c r="P210" s="6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19" t="s">
        <v>15</v>
      </c>
      <c r="B211" s="47" t="s">
        <v>47</v>
      </c>
      <c r="C211" s="15"/>
      <c r="D211" s="16"/>
      <c r="E211" s="13">
        <f>SUM(E201:E208)</f>
        <v>467</v>
      </c>
      <c r="F211" s="18"/>
      <c r="G211" s="5"/>
      <c r="H211" s="5"/>
      <c r="I211" s="5"/>
      <c r="J211" s="5"/>
      <c r="K211" s="5"/>
      <c r="L211" s="5"/>
      <c r="M211" s="5"/>
      <c r="N211" s="5"/>
      <c r="O211" s="5"/>
      <c r="P211" s="6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24"/>
      <c r="B212" s="15"/>
      <c r="C212" s="15"/>
      <c r="D212" s="15"/>
      <c r="E212" s="16"/>
      <c r="F212" s="18"/>
      <c r="G212" s="5"/>
      <c r="H212" s="5"/>
      <c r="I212" s="5"/>
      <c r="J212" s="5"/>
      <c r="K212" s="5"/>
      <c r="L212" s="5"/>
      <c r="M212" s="5"/>
      <c r="N212" s="5"/>
      <c r="O212" s="5"/>
      <c r="P212" s="6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30" t="s">
        <v>37</v>
      </c>
      <c r="B213" s="47" t="s">
        <v>155</v>
      </c>
      <c r="C213" s="48" t="s">
        <v>156</v>
      </c>
      <c r="D213" s="16"/>
      <c r="E213" s="24">
        <f>BANJAR!N213+GUMUK!M213+JELUN!M213+KLUNCING!O213+LICIN!T213+PAKEL!N213+SEGOBANG!W213+TAMANSARI!AD213</f>
        <v>109</v>
      </c>
      <c r="F213" s="25"/>
      <c r="G213" s="1"/>
      <c r="H213" s="1"/>
      <c r="I213" s="1"/>
      <c r="J213" s="1"/>
      <c r="K213" s="1"/>
      <c r="L213" s="1"/>
      <c r="M213" s="1"/>
      <c r="N213" s="1"/>
      <c r="O213" s="1"/>
      <c r="P213" s="9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30" t="s">
        <v>39</v>
      </c>
      <c r="B214" s="55">
        <v>1.0</v>
      </c>
      <c r="C214" s="50" t="s">
        <v>157</v>
      </c>
      <c r="D214" s="56"/>
      <c r="E214" s="24">
        <f>BANJAR!N214+GUMUK!M214+JELUN!M214+KLUNCING!O214+LICIN!T214+PAKEL!N214+SEGOBANG!W214+TAMANSARI!AD214</f>
        <v>158</v>
      </c>
      <c r="F214" s="51"/>
      <c r="G214" s="52"/>
      <c r="H214" s="52"/>
      <c r="I214" s="52"/>
      <c r="J214" s="52"/>
      <c r="K214" s="52"/>
      <c r="L214" s="52"/>
      <c r="M214" s="52"/>
      <c r="N214" s="52"/>
      <c r="O214" s="52"/>
      <c r="P214" s="53"/>
      <c r="Q214" s="3"/>
      <c r="R214" s="3"/>
      <c r="S214" s="3"/>
      <c r="T214" s="3"/>
      <c r="U214" s="3"/>
      <c r="V214" s="3"/>
      <c r="W214" s="54"/>
      <c r="X214" s="3"/>
      <c r="Y214" s="3"/>
      <c r="Z214" s="3"/>
    </row>
    <row r="215" ht="15.75" customHeight="1">
      <c r="A215" s="18"/>
      <c r="B215" s="55">
        <v>2.0</v>
      </c>
      <c r="C215" s="50" t="s">
        <v>158</v>
      </c>
      <c r="D215" s="56"/>
      <c r="E215" s="24">
        <f>BANJAR!N215+GUMUK!M215+JELUN!M215+KLUNCING!O215+LICIN!T215+PAKEL!N215+SEGOBANG!W215+TAMANSARI!AD215</f>
        <v>87</v>
      </c>
      <c r="F215" s="18"/>
      <c r="G215" s="5"/>
      <c r="H215" s="5"/>
      <c r="I215" s="5"/>
      <c r="J215" s="5"/>
      <c r="K215" s="5"/>
      <c r="L215" s="5"/>
      <c r="M215" s="5"/>
      <c r="N215" s="5"/>
      <c r="O215" s="5"/>
      <c r="P215" s="6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18"/>
      <c r="B216" s="55">
        <v>3.0</v>
      </c>
      <c r="C216" s="61" t="s">
        <v>159</v>
      </c>
      <c r="E216" s="24">
        <f>BANJAR!N216+GUMUK!M216+JELUN!M216+KLUNCING!O216+LICIN!T216+PAKEL!N216+SEGOBANG!W216+TAMANSARI!AD216</f>
        <v>18</v>
      </c>
      <c r="F216" s="18"/>
      <c r="G216" s="5"/>
      <c r="H216" s="5"/>
      <c r="I216" s="5"/>
      <c r="J216" s="5"/>
      <c r="K216" s="5"/>
      <c r="L216" s="5"/>
      <c r="M216" s="5"/>
      <c r="N216" s="5"/>
      <c r="O216" s="5"/>
      <c r="P216" s="6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18"/>
      <c r="B217" s="55">
        <v>4.0</v>
      </c>
      <c r="C217" s="50" t="s">
        <v>160</v>
      </c>
      <c r="D217" s="56"/>
      <c r="E217" s="24">
        <f>BANJAR!N217+GUMUK!M217+JELUN!M217+KLUNCING!O217+LICIN!T217+PAKEL!N217+SEGOBANG!W217+TAMANSARI!AD217</f>
        <v>7</v>
      </c>
      <c r="F217" s="18"/>
      <c r="G217" s="5"/>
      <c r="H217" s="5"/>
      <c r="I217" s="5"/>
      <c r="J217" s="5"/>
      <c r="K217" s="5"/>
      <c r="L217" s="5"/>
      <c r="M217" s="5"/>
      <c r="N217" s="5"/>
      <c r="O217" s="5"/>
      <c r="P217" s="6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18"/>
      <c r="B218" s="55">
        <v>5.0</v>
      </c>
      <c r="C218" s="50" t="s">
        <v>161</v>
      </c>
      <c r="D218" s="56"/>
      <c r="E218" s="24">
        <f>BANJAR!N218+GUMUK!M218+JELUN!M218+KLUNCING!O218+LICIN!T218+PAKEL!N218+SEGOBANG!W218+TAMANSARI!AD218</f>
        <v>4</v>
      </c>
      <c r="F218" s="18"/>
      <c r="G218" s="5"/>
      <c r="H218" s="5"/>
      <c r="I218" s="5"/>
      <c r="J218" s="5"/>
      <c r="K218" s="5"/>
      <c r="L218" s="5"/>
      <c r="M218" s="5"/>
      <c r="N218" s="5"/>
      <c r="O218" s="5"/>
      <c r="P218" s="6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18"/>
      <c r="B219" s="55">
        <v>6.0</v>
      </c>
      <c r="C219" s="50" t="s">
        <v>162</v>
      </c>
      <c r="D219" s="56"/>
      <c r="E219" s="24">
        <f>BANJAR!N219+GUMUK!M219+JELUN!M219+KLUNCING!O219+LICIN!T219+PAKEL!N219+SEGOBANG!W219+TAMANSARI!AD219</f>
        <v>5</v>
      </c>
      <c r="F219" s="18"/>
      <c r="G219" s="5"/>
      <c r="H219" s="5"/>
      <c r="I219" s="5"/>
      <c r="J219" s="5"/>
      <c r="K219" s="5"/>
      <c r="L219" s="5"/>
      <c r="M219" s="5"/>
      <c r="N219" s="5"/>
      <c r="O219" s="5"/>
      <c r="P219" s="6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18"/>
      <c r="B220" s="55">
        <v>7.0</v>
      </c>
      <c r="C220" s="50" t="s">
        <v>163</v>
      </c>
      <c r="D220" s="56"/>
      <c r="E220" s="24">
        <f>BANJAR!N220+GUMUK!M220+JELUN!M220+KLUNCING!O220+LICIN!T220+PAKEL!N220+SEGOBANG!W220+TAMANSARI!AD220</f>
        <v>3</v>
      </c>
      <c r="F220" s="18"/>
      <c r="G220" s="5"/>
      <c r="H220" s="5"/>
      <c r="I220" s="5"/>
      <c r="J220" s="5"/>
      <c r="K220" s="5"/>
      <c r="L220" s="5"/>
      <c r="M220" s="5"/>
      <c r="N220" s="5"/>
      <c r="O220" s="5"/>
      <c r="P220" s="6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18"/>
      <c r="B221" s="55"/>
      <c r="C221" s="50"/>
      <c r="D221" s="56"/>
      <c r="E221" s="24"/>
      <c r="F221" s="18"/>
      <c r="G221" s="5"/>
      <c r="H221" s="5"/>
      <c r="I221" s="5"/>
      <c r="J221" s="5"/>
      <c r="K221" s="5"/>
      <c r="L221" s="5"/>
      <c r="M221" s="5"/>
      <c r="N221" s="5"/>
      <c r="O221" s="5"/>
      <c r="P221" s="6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18"/>
      <c r="B222" s="55"/>
      <c r="C222" s="50"/>
      <c r="D222" s="56"/>
      <c r="E222" s="24"/>
      <c r="F222" s="18"/>
      <c r="G222" s="5"/>
      <c r="H222" s="5"/>
      <c r="I222" s="5"/>
      <c r="J222" s="5"/>
      <c r="K222" s="5"/>
      <c r="L222" s="5"/>
      <c r="M222" s="5"/>
      <c r="N222" s="5"/>
      <c r="O222" s="5"/>
      <c r="P222" s="6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19" t="s">
        <v>15</v>
      </c>
      <c r="B223" s="47" t="s">
        <v>47</v>
      </c>
      <c r="C223" s="15"/>
      <c r="D223" s="16"/>
      <c r="E223" s="13">
        <f>SUM(E213:E220)</f>
        <v>391</v>
      </c>
      <c r="F223" s="18"/>
      <c r="G223" s="5"/>
      <c r="H223" s="5"/>
      <c r="I223" s="5"/>
      <c r="J223" s="5"/>
      <c r="K223" s="5"/>
      <c r="L223" s="5"/>
      <c r="M223" s="5"/>
      <c r="N223" s="5"/>
      <c r="O223" s="5"/>
      <c r="P223" s="6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24"/>
      <c r="B224" s="15"/>
      <c r="C224" s="15"/>
      <c r="D224" s="15"/>
      <c r="E224" s="16"/>
      <c r="F224" s="18"/>
      <c r="G224" s="5"/>
      <c r="H224" s="5"/>
      <c r="I224" s="5"/>
      <c r="J224" s="5"/>
      <c r="K224" s="5"/>
      <c r="L224" s="5"/>
      <c r="M224" s="5"/>
      <c r="N224" s="5"/>
      <c r="O224" s="5"/>
      <c r="P224" s="6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30" t="s">
        <v>37</v>
      </c>
      <c r="B225" s="47" t="s">
        <v>164</v>
      </c>
      <c r="C225" s="48" t="s">
        <v>165</v>
      </c>
      <c r="D225" s="16"/>
      <c r="E225" s="24">
        <f>BANJAR!N225+GUMUK!M225+JELUN!M225+KLUNCING!O225+LICIN!T225+PAKEL!N225+SEGOBANG!W225+TAMANSARI!AD225</f>
        <v>30</v>
      </c>
      <c r="F225" s="25"/>
      <c r="G225" s="1"/>
      <c r="H225" s="1"/>
      <c r="I225" s="1"/>
      <c r="J225" s="1"/>
      <c r="K225" s="1"/>
      <c r="L225" s="1"/>
      <c r="M225" s="1"/>
      <c r="N225" s="1"/>
      <c r="O225" s="1"/>
      <c r="P225" s="9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30" t="s">
        <v>39</v>
      </c>
      <c r="B226" s="55">
        <v>1.0</v>
      </c>
      <c r="C226" s="50" t="s">
        <v>166</v>
      </c>
      <c r="D226" s="57"/>
      <c r="E226" s="24">
        <f>BANJAR!N226+GUMUK!M226+JELUN!M226+KLUNCING!O226+LICIN!T226+PAKEL!N226+SEGOBANG!W226+TAMANSARI!AD226</f>
        <v>18</v>
      </c>
      <c r="F226" s="51"/>
      <c r="G226" s="52"/>
      <c r="H226" s="52"/>
      <c r="I226" s="52"/>
      <c r="J226" s="52"/>
      <c r="K226" s="52"/>
      <c r="L226" s="52"/>
      <c r="M226" s="52"/>
      <c r="N226" s="52"/>
      <c r="O226" s="52"/>
      <c r="P226" s="53"/>
      <c r="Q226" s="3"/>
      <c r="R226" s="3"/>
      <c r="S226" s="3"/>
      <c r="T226" s="3"/>
      <c r="U226" s="3"/>
      <c r="V226" s="3"/>
      <c r="W226" s="54"/>
      <c r="X226" s="3"/>
      <c r="Y226" s="3"/>
      <c r="Z226" s="3"/>
    </row>
    <row r="227" ht="15.75" customHeight="1">
      <c r="A227" s="18"/>
      <c r="B227" s="55">
        <v>2.0</v>
      </c>
      <c r="C227" s="50" t="s">
        <v>167</v>
      </c>
      <c r="D227" s="57"/>
      <c r="E227" s="24">
        <f>BANJAR!N227+GUMUK!M227+JELUN!M227+KLUNCING!O227+LICIN!T227+PAKEL!N227+SEGOBANG!W227+TAMANSARI!AD227</f>
        <v>7</v>
      </c>
      <c r="F227" s="18"/>
      <c r="G227" s="5"/>
      <c r="H227" s="5"/>
      <c r="I227" s="5"/>
      <c r="J227" s="5"/>
      <c r="K227" s="5"/>
      <c r="L227" s="5"/>
      <c r="M227" s="5"/>
      <c r="N227" s="5"/>
      <c r="O227" s="5"/>
      <c r="P227" s="6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18"/>
      <c r="B228" s="55">
        <v>3.0</v>
      </c>
      <c r="C228" s="50" t="s">
        <v>168</v>
      </c>
      <c r="D228" s="57"/>
      <c r="E228" s="24">
        <f>BANJAR!N228+GUMUK!M228+JELUN!M228+KLUNCING!O228+LICIN!T228+PAKEL!N228+SEGOBANG!W228+TAMANSARI!AD228</f>
        <v>5</v>
      </c>
      <c r="F228" s="18"/>
      <c r="G228" s="5"/>
      <c r="H228" s="5"/>
      <c r="I228" s="5"/>
      <c r="J228" s="5"/>
      <c r="K228" s="5"/>
      <c r="L228" s="5"/>
      <c r="M228" s="5"/>
      <c r="N228" s="5"/>
      <c r="O228" s="5"/>
      <c r="P228" s="6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18"/>
      <c r="B229" s="55">
        <v>4.0</v>
      </c>
      <c r="C229" s="50" t="s">
        <v>169</v>
      </c>
      <c r="D229" s="57"/>
      <c r="E229" s="24">
        <f>BANJAR!N229+GUMUK!M229+JELUN!M229+KLUNCING!O229+LICIN!T229+PAKEL!N229+SEGOBANG!W229+TAMANSARI!AD229</f>
        <v>0</v>
      </c>
      <c r="F229" s="18"/>
      <c r="G229" s="5"/>
      <c r="H229" s="5"/>
      <c r="I229" s="5"/>
      <c r="J229" s="5"/>
      <c r="K229" s="5"/>
      <c r="L229" s="5"/>
      <c r="M229" s="5"/>
      <c r="N229" s="5"/>
      <c r="O229" s="5"/>
      <c r="P229" s="6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18"/>
      <c r="B230" s="55">
        <v>5.0</v>
      </c>
      <c r="C230" s="50" t="s">
        <v>170</v>
      </c>
      <c r="D230" s="57"/>
      <c r="E230" s="24">
        <f>BANJAR!N230+GUMUK!M230+JELUN!M230+KLUNCING!O230+LICIN!T230+PAKEL!N230+SEGOBANG!W230+TAMANSARI!AD230</f>
        <v>0</v>
      </c>
      <c r="F230" s="18"/>
      <c r="G230" s="5"/>
      <c r="H230" s="5"/>
      <c r="I230" s="5"/>
      <c r="J230" s="5"/>
      <c r="K230" s="5"/>
      <c r="L230" s="5"/>
      <c r="M230" s="5"/>
      <c r="N230" s="5"/>
      <c r="O230" s="5"/>
      <c r="P230" s="6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18"/>
      <c r="B231" s="55">
        <v>6.0</v>
      </c>
      <c r="C231" s="50" t="s">
        <v>171</v>
      </c>
      <c r="D231" s="57"/>
      <c r="E231" s="24">
        <f>BANJAR!N231+GUMUK!M231+JELUN!M231+KLUNCING!O231+LICIN!T231+PAKEL!N231+SEGOBANG!W231+TAMANSARI!AD231</f>
        <v>1</v>
      </c>
      <c r="F231" s="18"/>
      <c r="G231" s="5"/>
      <c r="H231" s="5"/>
      <c r="I231" s="5"/>
      <c r="J231" s="5"/>
      <c r="K231" s="5"/>
      <c r="L231" s="5"/>
      <c r="M231" s="5"/>
      <c r="N231" s="5"/>
      <c r="O231" s="5"/>
      <c r="P231" s="6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18"/>
      <c r="B232" s="55">
        <v>7.0</v>
      </c>
      <c r="C232" s="50" t="s">
        <v>172</v>
      </c>
      <c r="D232" s="57"/>
      <c r="E232" s="24">
        <f>BANJAR!N232+GUMUK!M232+JELUN!M232+KLUNCING!O232+LICIN!T232+PAKEL!N232+SEGOBANG!W232+TAMANSARI!AD232</f>
        <v>103</v>
      </c>
      <c r="F232" s="18"/>
      <c r="G232" s="5"/>
      <c r="H232" s="5"/>
      <c r="I232" s="5"/>
      <c r="J232" s="5"/>
      <c r="K232" s="5"/>
      <c r="L232" s="5"/>
      <c r="M232" s="5"/>
      <c r="N232" s="5"/>
      <c r="O232" s="5"/>
      <c r="P232" s="6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18"/>
      <c r="B233" s="55"/>
      <c r="C233" s="50"/>
      <c r="D233" s="57"/>
      <c r="E233" s="24"/>
      <c r="F233" s="18"/>
      <c r="G233" s="5"/>
      <c r="H233" s="5"/>
      <c r="I233" s="5"/>
      <c r="J233" s="5"/>
      <c r="K233" s="5"/>
      <c r="L233" s="5"/>
      <c r="M233" s="5"/>
      <c r="N233" s="5"/>
      <c r="O233" s="5"/>
      <c r="P233" s="6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18"/>
      <c r="B234" s="55"/>
      <c r="C234" s="50"/>
      <c r="D234" s="57"/>
      <c r="E234" s="24"/>
      <c r="F234" s="18"/>
      <c r="G234" s="5"/>
      <c r="H234" s="5"/>
      <c r="I234" s="5"/>
      <c r="J234" s="5"/>
      <c r="K234" s="5"/>
      <c r="L234" s="5"/>
      <c r="M234" s="5"/>
      <c r="N234" s="5"/>
      <c r="O234" s="5"/>
      <c r="P234" s="6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19" t="s">
        <v>15</v>
      </c>
      <c r="B235" s="47" t="s">
        <v>47</v>
      </c>
      <c r="C235" s="15"/>
      <c r="D235" s="16"/>
      <c r="E235" s="13">
        <f>SUM(E225:E232)</f>
        <v>164</v>
      </c>
      <c r="F235" s="18"/>
      <c r="G235" s="5"/>
      <c r="H235" s="5"/>
      <c r="I235" s="5"/>
      <c r="J235" s="5"/>
      <c r="K235" s="5"/>
      <c r="L235" s="5"/>
      <c r="M235" s="5"/>
      <c r="N235" s="5"/>
      <c r="O235" s="5"/>
      <c r="P235" s="6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24"/>
      <c r="B236" s="15"/>
      <c r="C236" s="15"/>
      <c r="D236" s="15"/>
      <c r="E236" s="16"/>
      <c r="F236" s="18"/>
      <c r="G236" s="5"/>
      <c r="H236" s="5"/>
      <c r="I236" s="5"/>
      <c r="J236" s="5"/>
      <c r="K236" s="5"/>
      <c r="L236" s="5"/>
      <c r="M236" s="5"/>
      <c r="N236" s="5"/>
      <c r="O236" s="5"/>
      <c r="P236" s="6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30" t="s">
        <v>37</v>
      </c>
      <c r="B237" s="47" t="s">
        <v>173</v>
      </c>
      <c r="C237" s="48" t="s">
        <v>174</v>
      </c>
      <c r="D237" s="16"/>
      <c r="E237" s="24">
        <f>BANJAR!N237+GUMUK!M237+JELUN!M237+KLUNCING!O237+LICIN!T237+PAKEL!N237+SEGOBANG!W237+TAMANSARI!AD237</f>
        <v>146</v>
      </c>
      <c r="F237" s="25"/>
      <c r="G237" s="1"/>
      <c r="H237" s="1"/>
      <c r="I237" s="1"/>
      <c r="J237" s="1"/>
      <c r="K237" s="1"/>
      <c r="L237" s="1"/>
      <c r="M237" s="1"/>
      <c r="N237" s="1"/>
      <c r="O237" s="1"/>
      <c r="P237" s="9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30" t="s">
        <v>39</v>
      </c>
      <c r="B238" s="55">
        <v>1.0</v>
      </c>
      <c r="C238" s="50" t="s">
        <v>175</v>
      </c>
      <c r="D238" s="57"/>
      <c r="E238" s="24">
        <f>BANJAR!N238+GUMUK!M238+JELUN!M238+KLUNCING!O238+LICIN!T238+PAKEL!N238+SEGOBANG!W238+TAMANSARI!AD238</f>
        <v>59</v>
      </c>
      <c r="F238" s="51"/>
      <c r="G238" s="52"/>
      <c r="H238" s="52"/>
      <c r="I238" s="52"/>
      <c r="J238" s="52"/>
      <c r="K238" s="52"/>
      <c r="L238" s="52"/>
      <c r="M238" s="52"/>
      <c r="N238" s="52"/>
      <c r="O238" s="52"/>
      <c r="P238" s="53"/>
      <c r="Q238" s="3"/>
      <c r="R238" s="3"/>
      <c r="S238" s="3"/>
      <c r="T238" s="3"/>
      <c r="U238" s="3"/>
      <c r="V238" s="3"/>
      <c r="W238" s="54"/>
      <c r="X238" s="3"/>
      <c r="Y238" s="3"/>
      <c r="Z238" s="3"/>
    </row>
    <row r="239" ht="15.75" customHeight="1">
      <c r="A239" s="18"/>
      <c r="B239" s="55">
        <v>2.0</v>
      </c>
      <c r="C239" s="50" t="s">
        <v>176</v>
      </c>
      <c r="D239" s="57"/>
      <c r="E239" s="24">
        <f>BANJAR!N239+GUMUK!M239+JELUN!M239+KLUNCING!O239+LICIN!T239+PAKEL!N239+SEGOBANG!W239+TAMANSARI!AD239</f>
        <v>1187</v>
      </c>
      <c r="F239" s="18"/>
      <c r="G239" s="5"/>
      <c r="H239" s="5"/>
      <c r="I239" s="5"/>
      <c r="J239" s="5"/>
      <c r="K239" s="5"/>
      <c r="L239" s="5"/>
      <c r="M239" s="5"/>
      <c r="N239" s="5"/>
      <c r="O239" s="5"/>
      <c r="P239" s="6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18"/>
      <c r="B240" s="55">
        <v>3.0</v>
      </c>
      <c r="C240" s="50" t="s">
        <v>177</v>
      </c>
      <c r="D240" s="57"/>
      <c r="E240" s="24">
        <f>BANJAR!N240+GUMUK!M240+JELUN!M240+KLUNCING!O240+LICIN!T240+PAKEL!N240+SEGOBANG!W240+TAMANSARI!AD240</f>
        <v>23</v>
      </c>
      <c r="F240" s="18"/>
      <c r="G240" s="5"/>
      <c r="H240" s="5"/>
      <c r="I240" s="5"/>
      <c r="J240" s="5"/>
      <c r="K240" s="5"/>
      <c r="L240" s="5"/>
      <c r="M240" s="5"/>
      <c r="N240" s="5"/>
      <c r="O240" s="5"/>
      <c r="P240" s="6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18"/>
      <c r="B241" s="55">
        <v>4.0</v>
      </c>
      <c r="C241" s="50" t="s">
        <v>178</v>
      </c>
      <c r="D241" s="57"/>
      <c r="E241" s="24">
        <f>BANJAR!N241+GUMUK!M241+JELUN!M241+KLUNCING!O241+LICIN!T241+PAKEL!N241+SEGOBANG!W241+TAMANSARI!AD241</f>
        <v>23</v>
      </c>
      <c r="F241" s="18"/>
      <c r="G241" s="5"/>
      <c r="H241" s="5"/>
      <c r="I241" s="5"/>
      <c r="J241" s="5"/>
      <c r="K241" s="5"/>
      <c r="L241" s="5"/>
      <c r="M241" s="5"/>
      <c r="N241" s="5"/>
      <c r="O241" s="5"/>
      <c r="P241" s="6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18"/>
      <c r="B242" s="55">
        <v>5.0</v>
      </c>
      <c r="C242" s="50" t="s">
        <v>179</v>
      </c>
      <c r="D242" s="57"/>
      <c r="E242" s="24">
        <f>BANJAR!N242+GUMUK!M242+JELUN!M242+KLUNCING!O242+LICIN!T242+PAKEL!N242+SEGOBANG!W242+TAMANSARI!AD242</f>
        <v>2</v>
      </c>
      <c r="F242" s="18"/>
      <c r="G242" s="5"/>
      <c r="H242" s="5"/>
      <c r="I242" s="5"/>
      <c r="J242" s="5"/>
      <c r="K242" s="5"/>
      <c r="L242" s="5"/>
      <c r="M242" s="5"/>
      <c r="N242" s="5"/>
      <c r="O242" s="5"/>
      <c r="P242" s="6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18"/>
      <c r="B243" s="55">
        <v>6.0</v>
      </c>
      <c r="C243" s="50" t="s">
        <v>180</v>
      </c>
      <c r="D243" s="57"/>
      <c r="E243" s="24">
        <f>BANJAR!N243+GUMUK!M243+JELUN!M243+KLUNCING!O243+LICIN!T243+PAKEL!N243+SEGOBANG!W243+TAMANSARI!AD243</f>
        <v>5</v>
      </c>
      <c r="F243" s="18"/>
      <c r="G243" s="5"/>
      <c r="H243" s="5"/>
      <c r="I243" s="5"/>
      <c r="J243" s="5"/>
      <c r="K243" s="5"/>
      <c r="L243" s="5"/>
      <c r="M243" s="5"/>
      <c r="N243" s="5"/>
      <c r="O243" s="5"/>
      <c r="P243" s="6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18"/>
      <c r="B244" s="55">
        <v>7.0</v>
      </c>
      <c r="C244" s="50" t="s">
        <v>181</v>
      </c>
      <c r="D244" s="57"/>
      <c r="E244" s="24">
        <f>BANJAR!N244+GUMUK!M244+JELUN!M244+KLUNCING!O244+LICIN!T244+PAKEL!N244+SEGOBANG!W244+TAMANSARI!AD244</f>
        <v>23</v>
      </c>
      <c r="F244" s="18"/>
      <c r="G244" s="5"/>
      <c r="H244" s="5"/>
      <c r="I244" s="5"/>
      <c r="J244" s="5"/>
      <c r="K244" s="5"/>
      <c r="L244" s="5"/>
      <c r="M244" s="5"/>
      <c r="N244" s="5"/>
      <c r="O244" s="5"/>
      <c r="P244" s="6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18"/>
      <c r="B245" s="55"/>
      <c r="C245" s="50"/>
      <c r="D245" s="57"/>
      <c r="E245" s="24"/>
      <c r="F245" s="18"/>
      <c r="G245" s="5"/>
      <c r="H245" s="5"/>
      <c r="I245" s="5"/>
      <c r="J245" s="5"/>
      <c r="K245" s="5"/>
      <c r="L245" s="5"/>
      <c r="M245" s="5"/>
      <c r="N245" s="5"/>
      <c r="O245" s="5"/>
      <c r="P245" s="6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18"/>
      <c r="B246" s="55"/>
      <c r="C246" s="50"/>
      <c r="D246" s="57"/>
      <c r="E246" s="24"/>
      <c r="F246" s="18"/>
      <c r="G246" s="5"/>
      <c r="H246" s="5"/>
      <c r="I246" s="5"/>
      <c r="J246" s="5"/>
      <c r="K246" s="5"/>
      <c r="L246" s="5"/>
      <c r="M246" s="5"/>
      <c r="N246" s="5"/>
      <c r="O246" s="5"/>
      <c r="P246" s="6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19" t="s">
        <v>15</v>
      </c>
      <c r="B247" s="47" t="s">
        <v>47</v>
      </c>
      <c r="C247" s="15"/>
      <c r="D247" s="16"/>
      <c r="E247" s="13">
        <f>SUM(E237:E244)</f>
        <v>1468</v>
      </c>
      <c r="F247" s="18"/>
      <c r="G247" s="5"/>
      <c r="H247" s="5"/>
      <c r="I247" s="5"/>
      <c r="J247" s="5"/>
      <c r="K247" s="5"/>
      <c r="L247" s="5"/>
      <c r="M247" s="5"/>
      <c r="N247" s="5"/>
      <c r="O247" s="5"/>
      <c r="P247" s="6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24"/>
      <c r="B248" s="15"/>
      <c r="C248" s="15"/>
      <c r="D248" s="15"/>
      <c r="E248" s="16"/>
      <c r="F248" s="18"/>
      <c r="G248" s="5"/>
      <c r="H248" s="5"/>
      <c r="I248" s="5"/>
      <c r="J248" s="5"/>
      <c r="K248" s="5"/>
      <c r="L248" s="5"/>
      <c r="M248" s="5"/>
      <c r="N248" s="5"/>
      <c r="O248" s="5"/>
      <c r="P248" s="6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30" t="s">
        <v>37</v>
      </c>
      <c r="B249" s="47" t="s">
        <v>182</v>
      </c>
      <c r="C249" s="48" t="s">
        <v>183</v>
      </c>
      <c r="D249" s="16"/>
      <c r="E249" s="24">
        <f>BANJAR!N249+GUMUK!M249+JELUN!M249+KLUNCING!O249+LICIN!T249+PAKEL!N249+SEGOBANG!W249+TAMANSARI!AD249</f>
        <v>25</v>
      </c>
      <c r="F249" s="25"/>
      <c r="G249" s="1"/>
      <c r="H249" s="1"/>
      <c r="I249" s="1"/>
      <c r="J249" s="1"/>
      <c r="K249" s="1"/>
      <c r="L249" s="1"/>
      <c r="M249" s="1"/>
      <c r="N249" s="1"/>
      <c r="O249" s="1"/>
      <c r="P249" s="9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30" t="s">
        <v>39</v>
      </c>
      <c r="B250" s="55">
        <v>1.0</v>
      </c>
      <c r="C250" s="59" t="s">
        <v>184</v>
      </c>
      <c r="D250" s="57"/>
      <c r="E250" s="24">
        <f>BANJAR!N250+GUMUK!M250+JELUN!M250+KLUNCING!O250+LICIN!T250+PAKEL!N250+SEGOBANG!W250+TAMANSARI!AD250</f>
        <v>12</v>
      </c>
      <c r="F250" s="18"/>
      <c r="G250" s="5"/>
      <c r="H250" s="5"/>
      <c r="I250" s="5"/>
      <c r="J250" s="5"/>
      <c r="K250" s="5"/>
      <c r="L250" s="5"/>
      <c r="M250" s="5"/>
      <c r="N250" s="5"/>
      <c r="O250" s="10"/>
      <c r="P250" s="11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8"/>
      <c r="B251" s="55">
        <v>2.0</v>
      </c>
      <c r="C251" s="59" t="s">
        <v>185</v>
      </c>
      <c r="D251" s="57"/>
      <c r="E251" s="24">
        <f>BANJAR!N251+GUMUK!M251+JELUN!M251+KLUNCING!O251+LICIN!T251+PAKEL!N251+SEGOBANG!W251+TAMANSARI!AD251</f>
        <v>3</v>
      </c>
      <c r="F251" s="25"/>
      <c r="G251" s="1"/>
      <c r="H251" s="1"/>
      <c r="I251" s="1"/>
      <c r="J251" s="1"/>
      <c r="K251" s="1"/>
      <c r="L251" s="1"/>
      <c r="M251" s="1"/>
      <c r="N251" s="1"/>
      <c r="O251" s="2"/>
      <c r="P251" s="11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8"/>
      <c r="B252" s="55">
        <v>3.0</v>
      </c>
      <c r="C252" s="59" t="s">
        <v>186</v>
      </c>
      <c r="D252" s="57"/>
      <c r="E252" s="24">
        <f>BANJAR!N252+GUMUK!M252+JELUN!M252+KLUNCING!O252+LICIN!T252+PAKEL!N252+SEGOBANG!W252+TAMANSARI!AD252</f>
        <v>3</v>
      </c>
      <c r="F252" s="25"/>
      <c r="G252" s="1"/>
      <c r="H252" s="1"/>
      <c r="I252" s="1"/>
      <c r="J252" s="1"/>
      <c r="K252" s="1"/>
      <c r="L252" s="1"/>
      <c r="M252" s="1"/>
      <c r="N252" s="1"/>
      <c r="O252" s="1"/>
      <c r="P252" s="9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18"/>
      <c r="B253" s="55">
        <v>4.0</v>
      </c>
      <c r="C253" s="59" t="s">
        <v>187</v>
      </c>
      <c r="D253" s="57"/>
      <c r="E253" s="24">
        <f>BANJAR!N253+GUMUK!M253+JELUN!M253+KLUNCING!O253+LICIN!T253+PAKEL!N253+SEGOBANG!W253+TAMANSARI!AD253</f>
        <v>1</v>
      </c>
      <c r="F253" s="18"/>
      <c r="G253" s="5"/>
      <c r="H253" s="5"/>
      <c r="I253" s="5"/>
      <c r="J253" s="5"/>
      <c r="K253" s="5"/>
      <c r="L253" s="5"/>
      <c r="M253" s="5"/>
      <c r="N253" s="5"/>
      <c r="O253" s="5"/>
      <c r="P253" s="6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18"/>
      <c r="B254" s="55">
        <v>5.0</v>
      </c>
      <c r="C254" s="59" t="s">
        <v>188</v>
      </c>
      <c r="D254" s="57"/>
      <c r="E254" s="24">
        <f>BANJAR!N254+GUMUK!M254+JELUN!M254+KLUNCING!O254+LICIN!T254+PAKEL!N254+SEGOBANG!W254+TAMANSARI!AD254</f>
        <v>14</v>
      </c>
      <c r="F254" s="25"/>
      <c r="G254" s="1"/>
      <c r="H254" s="1"/>
      <c r="I254" s="1"/>
      <c r="J254" s="1"/>
      <c r="K254" s="1"/>
      <c r="L254" s="1"/>
      <c r="M254" s="1"/>
      <c r="N254" s="1"/>
      <c r="O254" s="1"/>
      <c r="P254" s="9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18"/>
      <c r="B255" s="55">
        <v>6.0</v>
      </c>
      <c r="C255" s="59" t="s">
        <v>189</v>
      </c>
      <c r="D255" s="57"/>
      <c r="E255" s="24">
        <f>BANJAR!N255+GUMUK!M255+JELUN!M255+KLUNCING!O255+LICIN!T255+PAKEL!N255+SEGOBANG!W255+TAMANSARI!AD255</f>
        <v>4</v>
      </c>
      <c r="F255" s="18"/>
      <c r="G255" s="5"/>
      <c r="H255" s="5"/>
      <c r="I255" s="5"/>
      <c r="J255" s="5"/>
      <c r="K255" s="5"/>
      <c r="L255" s="5"/>
      <c r="M255" s="5"/>
      <c r="N255" s="5"/>
      <c r="O255" s="10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8"/>
      <c r="B256" s="55"/>
      <c r="C256" s="60"/>
      <c r="D256" s="57"/>
      <c r="E256" s="24"/>
      <c r="F256" s="18"/>
      <c r="G256" s="5"/>
      <c r="H256" s="5"/>
      <c r="I256" s="5"/>
      <c r="J256" s="5"/>
      <c r="K256" s="5"/>
      <c r="L256" s="5"/>
      <c r="M256" s="5"/>
      <c r="N256" s="5"/>
      <c r="O256" s="10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8"/>
      <c r="B257" s="55"/>
      <c r="C257" s="60"/>
      <c r="D257" s="57"/>
      <c r="E257" s="24"/>
      <c r="F257" s="18"/>
      <c r="G257" s="5"/>
      <c r="H257" s="5"/>
      <c r="I257" s="5"/>
      <c r="J257" s="5"/>
      <c r="K257" s="5"/>
      <c r="L257" s="5"/>
      <c r="M257" s="5"/>
      <c r="N257" s="5"/>
      <c r="O257" s="10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8"/>
      <c r="B258" s="55"/>
      <c r="C258" s="60"/>
      <c r="D258" s="57"/>
      <c r="E258" s="24"/>
      <c r="F258" s="18"/>
      <c r="G258" s="5"/>
      <c r="H258" s="5"/>
      <c r="I258" s="5"/>
      <c r="J258" s="5"/>
      <c r="K258" s="5"/>
      <c r="L258" s="5"/>
      <c r="M258" s="5"/>
      <c r="N258" s="5"/>
      <c r="O258" s="10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9" t="s">
        <v>15</v>
      </c>
      <c r="B259" s="47" t="s">
        <v>47</v>
      </c>
      <c r="C259" s="15"/>
      <c r="D259" s="16"/>
      <c r="E259" s="13">
        <f>SUM(E249:E255)</f>
        <v>62</v>
      </c>
      <c r="F259" s="18"/>
      <c r="G259" s="5"/>
      <c r="H259" s="5"/>
      <c r="I259" s="5"/>
      <c r="J259" s="5"/>
      <c r="K259" s="5"/>
      <c r="L259" s="5"/>
      <c r="M259" s="5"/>
      <c r="N259" s="5"/>
      <c r="O259" s="5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F260" s="18"/>
      <c r="G260" s="5"/>
      <c r="H260" s="5"/>
      <c r="I260" s="5"/>
      <c r="J260" s="5"/>
      <c r="K260" s="5"/>
      <c r="L260" s="5"/>
      <c r="M260" s="5"/>
      <c r="N260" s="5"/>
      <c r="O260" s="5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2" t="s">
        <v>190</v>
      </c>
      <c r="B261" s="14" t="s">
        <v>191</v>
      </c>
      <c r="C261" s="15"/>
      <c r="D261" s="16"/>
      <c r="E261" s="13"/>
      <c r="F261" s="18"/>
      <c r="G261" s="5"/>
      <c r="H261" s="5"/>
      <c r="I261" s="5"/>
      <c r="J261" s="5"/>
      <c r="K261" s="5"/>
      <c r="L261" s="5"/>
      <c r="M261" s="5"/>
      <c r="N261" s="5"/>
      <c r="O261" s="5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2"/>
      <c r="B262" s="62" t="s">
        <v>192</v>
      </c>
      <c r="C262" s="63" t="s">
        <v>193</v>
      </c>
      <c r="D262" s="16"/>
      <c r="E262" s="24">
        <f>BANJAR!N262+GUMUK!M262+JELUN!M262+KLUNCING!O262+LICIN!T262+PAKEL!N262+SEGOBANG!W262+TAMANSARI!AD262</f>
        <v>16906</v>
      </c>
      <c r="F262" s="18"/>
      <c r="G262" s="5"/>
      <c r="H262" s="5"/>
      <c r="I262" s="5"/>
      <c r="J262" s="5"/>
      <c r="K262" s="5"/>
      <c r="L262" s="5"/>
      <c r="M262" s="5"/>
      <c r="N262" s="5"/>
      <c r="O262" s="10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5"/>
      <c r="B263" s="62" t="s">
        <v>194</v>
      </c>
      <c r="C263" s="63" t="s">
        <v>195</v>
      </c>
      <c r="D263" s="16"/>
      <c r="E263" s="24">
        <f>BANJAR!N263+GUMUK!M263+JELUN!M263+KLUNCING!O263+LICIN!T263+PAKEL!N263+SEGOBANG!W263+TAMANSARI!AD263</f>
        <v>2024</v>
      </c>
      <c r="F263" s="18"/>
      <c r="G263" s="5"/>
      <c r="H263" s="5"/>
      <c r="I263" s="5"/>
      <c r="J263" s="5"/>
      <c r="K263" s="5"/>
      <c r="L263" s="5"/>
      <c r="M263" s="5"/>
      <c r="N263" s="5"/>
      <c r="O263" s="10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1"/>
      <c r="B264" s="62" t="s">
        <v>196</v>
      </c>
      <c r="C264" s="63" t="s">
        <v>197</v>
      </c>
      <c r="D264" s="16"/>
      <c r="E264" s="13">
        <f>SUM(E262:E263)</f>
        <v>18930</v>
      </c>
      <c r="F264" s="18"/>
      <c r="G264" s="5"/>
      <c r="H264" s="5"/>
      <c r="I264" s="5"/>
      <c r="J264" s="5"/>
      <c r="K264" s="5"/>
      <c r="L264" s="5"/>
      <c r="M264" s="5"/>
      <c r="N264" s="5"/>
      <c r="O264" s="10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5"/>
      <c r="B265" s="64"/>
      <c r="C265" s="6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10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5"/>
      <c r="B266" s="64"/>
      <c r="C266" s="6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10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5"/>
      <c r="B267" s="64"/>
      <c r="C267" s="6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10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hidden="1" customHeight="1">
      <c r="A268" s="5"/>
      <c r="B268" s="64"/>
      <c r="C268" s="6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10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hidden="1" customHeight="1">
      <c r="A269" s="5"/>
      <c r="B269" s="64"/>
      <c r="C269" s="6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10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hidden="1" customHeight="1">
      <c r="A270" s="5"/>
      <c r="B270" s="64"/>
      <c r="C270" s="6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10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hidden="1" customHeight="1">
      <c r="A271" s="5"/>
      <c r="B271" s="64"/>
      <c r="C271" s="6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10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hidden="1" customHeight="1">
      <c r="A272" s="5"/>
      <c r="B272" s="64"/>
      <c r="C272" s="6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10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hidden="1" customHeight="1">
      <c r="A273" s="5"/>
      <c r="B273" s="64"/>
      <c r="C273" s="6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10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hidden="1" customHeight="1">
      <c r="A274" s="5"/>
      <c r="B274" s="64"/>
      <c r="C274" s="6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10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hidden="1" customHeight="1">
      <c r="A275" s="5"/>
      <c r="B275" s="64"/>
      <c r="C275" s="6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10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hidden="1" customHeight="1">
      <c r="A276" s="5"/>
      <c r="B276" s="64"/>
      <c r="C276" s="6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10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hidden="1" customHeight="1">
      <c r="A277" s="5"/>
      <c r="B277" s="64"/>
      <c r="C277" s="6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10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hidden="1" customHeight="1">
      <c r="A278" s="5"/>
      <c r="B278" s="64"/>
      <c r="C278" s="6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10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hidden="1" customHeight="1">
      <c r="A279" s="5"/>
      <c r="B279" s="64"/>
      <c r="C279" s="6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10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hidden="1" customHeight="1">
      <c r="A280" s="5"/>
      <c r="B280" s="64"/>
      <c r="C280" s="6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10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hidden="1" customHeight="1">
      <c r="A281" s="5"/>
      <c r="B281" s="64"/>
      <c r="C281" s="6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10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hidden="1" customHeight="1">
      <c r="A282" s="5"/>
      <c r="B282" s="64"/>
      <c r="C282" s="6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10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hidden="1" customHeight="1">
      <c r="A283" s="5"/>
      <c r="B283" s="64"/>
      <c r="C283" s="6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10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hidden="1" customHeight="1">
      <c r="A284" s="5"/>
      <c r="B284" s="64"/>
      <c r="C284" s="6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10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hidden="1" customHeight="1">
      <c r="A285" s="5"/>
      <c r="B285" s="64"/>
      <c r="C285" s="6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10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hidden="1" customHeight="1">
      <c r="A286" s="5"/>
      <c r="B286" s="64"/>
      <c r="C286" s="6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10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hidden="1" customHeight="1">
      <c r="A287" s="5"/>
      <c r="B287" s="64"/>
      <c r="C287" s="6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10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hidden="1" customHeight="1">
      <c r="A288" s="5"/>
      <c r="B288" s="64"/>
      <c r="C288" s="6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10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hidden="1" customHeight="1">
      <c r="A289" s="5"/>
      <c r="B289" s="64"/>
      <c r="C289" s="6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10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hidden="1" customHeight="1">
      <c r="A290" s="5"/>
      <c r="B290" s="64"/>
      <c r="C290" s="6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10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hidden="1" customHeight="1">
      <c r="A291" s="5"/>
      <c r="B291" s="64"/>
      <c r="C291" s="6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10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hidden="1" customHeight="1">
      <c r="A292" s="5"/>
      <c r="B292" s="64"/>
      <c r="C292" s="6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10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hidden="1" customHeight="1">
      <c r="A293" s="5"/>
      <c r="B293" s="64"/>
      <c r="C293" s="6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10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hidden="1" customHeight="1">
      <c r="A294" s="5"/>
      <c r="B294" s="64"/>
      <c r="C294" s="6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10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hidden="1" customHeight="1">
      <c r="A295" s="5"/>
      <c r="B295" s="64"/>
      <c r="C295" s="6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10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hidden="1" customHeight="1">
      <c r="A296" s="5"/>
      <c r="B296" s="64"/>
      <c r="C296" s="6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10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hidden="1" customHeight="1">
      <c r="A297" s="5"/>
      <c r="B297" s="64"/>
      <c r="C297" s="6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10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hidden="1" customHeight="1">
      <c r="A298" s="5"/>
      <c r="B298" s="64"/>
      <c r="C298" s="6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10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hidden="1" customHeight="1">
      <c r="A299" s="5"/>
      <c r="B299" s="64"/>
      <c r="C299" s="6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10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hidden="1" customHeight="1">
      <c r="A300" s="5"/>
      <c r="B300" s="64"/>
      <c r="C300" s="6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10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hidden="1" customHeight="1">
      <c r="A301" s="5"/>
      <c r="B301" s="64"/>
      <c r="C301" s="6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10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hidden="1" customHeight="1">
      <c r="A302" s="5"/>
      <c r="B302" s="64"/>
      <c r="C302" s="6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10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hidden="1" customHeight="1">
      <c r="A303" s="5"/>
      <c r="B303" s="64"/>
      <c r="C303" s="6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10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hidden="1" customHeight="1">
      <c r="A304" s="5"/>
      <c r="B304" s="64"/>
      <c r="C304" s="6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10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hidden="1" customHeight="1">
      <c r="A305" s="5"/>
      <c r="B305" s="64"/>
      <c r="C305" s="6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10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hidden="1" customHeight="1">
      <c r="A306" s="5"/>
      <c r="B306" s="64"/>
      <c r="C306" s="6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10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hidden="1" customHeight="1">
      <c r="A307" s="5"/>
      <c r="B307" s="64"/>
      <c r="C307" s="6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10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hidden="1" customHeight="1">
      <c r="A308" s="5"/>
      <c r="B308" s="64"/>
      <c r="C308" s="6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10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hidden="1" customHeight="1">
      <c r="A309" s="5"/>
      <c r="B309" s="64"/>
      <c r="C309" s="6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10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hidden="1" customHeight="1">
      <c r="A310" s="5"/>
      <c r="B310" s="64"/>
      <c r="C310" s="6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10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hidden="1" customHeight="1">
      <c r="A311" s="5"/>
      <c r="B311" s="64"/>
      <c r="C311" s="6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10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hidden="1" customHeight="1">
      <c r="A312" s="5"/>
      <c r="B312" s="64"/>
      <c r="C312" s="6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10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hidden="1" customHeight="1">
      <c r="A313" s="5"/>
      <c r="B313" s="64"/>
      <c r="C313" s="6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10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hidden="1" customHeight="1">
      <c r="A314" s="5"/>
      <c r="B314" s="64"/>
      <c r="C314" s="6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10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hidden="1" customHeight="1">
      <c r="A315" s="5"/>
      <c r="B315" s="64"/>
      <c r="C315" s="6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10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hidden="1" customHeight="1">
      <c r="A316" s="5"/>
      <c r="B316" s="64"/>
      <c r="C316" s="6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10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hidden="1" customHeight="1">
      <c r="A317" s="5"/>
      <c r="B317" s="64"/>
      <c r="C317" s="6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10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hidden="1" customHeight="1">
      <c r="A318" s="5"/>
      <c r="B318" s="64"/>
      <c r="C318" s="6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10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hidden="1" customHeight="1">
      <c r="A319" s="5"/>
      <c r="B319" s="64"/>
      <c r="C319" s="6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10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hidden="1" customHeight="1">
      <c r="A320" s="5"/>
      <c r="B320" s="64"/>
      <c r="C320" s="6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10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hidden="1" customHeight="1">
      <c r="A321" s="5"/>
      <c r="B321" s="64"/>
      <c r="C321" s="6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10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hidden="1" customHeight="1">
      <c r="A322" s="5"/>
      <c r="B322" s="64"/>
      <c r="C322" s="6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10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hidden="1" customHeight="1">
      <c r="A323" s="5"/>
      <c r="B323" s="64"/>
      <c r="C323" s="6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10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hidden="1" customHeight="1">
      <c r="A324" s="5"/>
      <c r="B324" s="64"/>
      <c r="C324" s="6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10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hidden="1" customHeight="1">
      <c r="A325" s="5"/>
      <c r="B325" s="64"/>
      <c r="C325" s="6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10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hidden="1" customHeight="1">
      <c r="A326" s="5"/>
      <c r="B326" s="64"/>
      <c r="C326" s="6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10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hidden="1" customHeight="1">
      <c r="A327" s="5"/>
      <c r="B327" s="64"/>
      <c r="C327" s="6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10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hidden="1" customHeight="1">
      <c r="A328" s="5"/>
      <c r="B328" s="64"/>
      <c r="C328" s="6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10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hidden="1" customHeight="1">
      <c r="A329" s="5"/>
      <c r="B329" s="64"/>
      <c r="C329" s="6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10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hidden="1" customHeight="1">
      <c r="A330" s="5"/>
      <c r="B330" s="64"/>
      <c r="C330" s="6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10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hidden="1" customHeight="1">
      <c r="A331" s="5"/>
      <c r="B331" s="64"/>
      <c r="C331" s="6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10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hidden="1" customHeight="1">
      <c r="A332" s="5"/>
      <c r="B332" s="64"/>
      <c r="C332" s="6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10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hidden="1" customHeight="1">
      <c r="A333" s="5"/>
      <c r="B333" s="64"/>
      <c r="C333" s="6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10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hidden="1" customHeight="1">
      <c r="A334" s="5"/>
      <c r="B334" s="64"/>
      <c r="C334" s="6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10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hidden="1" customHeight="1">
      <c r="A335" s="5"/>
      <c r="B335" s="64"/>
      <c r="C335" s="6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10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hidden="1" customHeight="1">
      <c r="A336" s="5"/>
      <c r="B336" s="64"/>
      <c r="C336" s="6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10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hidden="1" customHeight="1">
      <c r="A337" s="5"/>
      <c r="B337" s="64"/>
      <c r="C337" s="6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10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hidden="1" customHeight="1">
      <c r="A338" s="5"/>
      <c r="B338" s="64"/>
      <c r="C338" s="6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10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hidden="1" customHeight="1">
      <c r="A339" s="5"/>
      <c r="B339" s="64"/>
      <c r="C339" s="6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10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hidden="1" customHeight="1">
      <c r="A340" s="5"/>
      <c r="B340" s="64"/>
      <c r="C340" s="6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10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hidden="1" customHeight="1">
      <c r="A341" s="5"/>
      <c r="B341" s="64"/>
      <c r="C341" s="6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10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hidden="1" customHeight="1">
      <c r="A342" s="5"/>
      <c r="B342" s="64"/>
      <c r="C342" s="6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10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hidden="1" customHeight="1">
      <c r="A343" s="5"/>
      <c r="B343" s="64"/>
      <c r="C343" s="6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10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hidden="1" customHeight="1">
      <c r="A344" s="5"/>
      <c r="B344" s="64"/>
      <c r="C344" s="6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10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hidden="1" customHeight="1">
      <c r="A345" s="5"/>
      <c r="B345" s="64"/>
      <c r="C345" s="6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10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hidden="1" customHeight="1">
      <c r="A346" s="5"/>
      <c r="B346" s="64"/>
      <c r="C346" s="6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10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hidden="1" customHeight="1">
      <c r="A347" s="5"/>
      <c r="B347" s="64"/>
      <c r="C347" s="6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10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hidden="1" customHeight="1">
      <c r="A348" s="5"/>
      <c r="B348" s="64"/>
      <c r="C348" s="6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10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hidden="1" customHeight="1">
      <c r="A349" s="5"/>
      <c r="B349" s="64"/>
      <c r="C349" s="6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10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hidden="1" customHeight="1">
      <c r="A350" s="5"/>
      <c r="B350" s="64"/>
      <c r="C350" s="6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10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hidden="1" customHeight="1">
      <c r="A351" s="5"/>
      <c r="B351" s="64"/>
      <c r="C351" s="6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10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hidden="1" customHeight="1">
      <c r="A352" s="5"/>
      <c r="B352" s="64"/>
      <c r="C352" s="6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10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hidden="1" customHeight="1">
      <c r="A353" s="5"/>
      <c r="B353" s="64"/>
      <c r="C353" s="6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10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hidden="1" customHeight="1">
      <c r="A354" s="5"/>
      <c r="B354" s="64"/>
      <c r="C354" s="6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10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hidden="1" customHeight="1">
      <c r="A355" s="5"/>
      <c r="B355" s="64"/>
      <c r="C355" s="6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10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hidden="1" customHeight="1">
      <c r="A356" s="5"/>
      <c r="B356" s="64"/>
      <c r="C356" s="6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10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hidden="1" customHeight="1">
      <c r="A357" s="5"/>
      <c r="B357" s="64"/>
      <c r="C357" s="6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10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hidden="1" customHeight="1">
      <c r="A358" s="5"/>
      <c r="B358" s="64"/>
      <c r="C358" s="6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10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hidden="1" customHeight="1">
      <c r="A359" s="5"/>
      <c r="B359" s="64"/>
      <c r="C359" s="6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10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hidden="1" customHeight="1">
      <c r="A360" s="5"/>
      <c r="B360" s="64"/>
      <c r="C360" s="6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10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hidden="1" customHeight="1">
      <c r="A361" s="5"/>
      <c r="B361" s="64"/>
      <c r="C361" s="6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10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hidden="1" customHeight="1">
      <c r="A362" s="5"/>
      <c r="B362" s="64"/>
      <c r="C362" s="6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10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hidden="1" customHeight="1">
      <c r="A363" s="5"/>
      <c r="B363" s="64"/>
      <c r="C363" s="6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10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hidden="1" customHeight="1">
      <c r="A364" s="5"/>
      <c r="B364" s="64"/>
      <c r="C364" s="6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10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hidden="1" customHeight="1">
      <c r="A365" s="5"/>
      <c r="B365" s="64"/>
      <c r="C365" s="6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10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hidden="1" customHeight="1">
      <c r="A366" s="5"/>
      <c r="B366" s="64"/>
      <c r="C366" s="6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10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hidden="1" customHeight="1">
      <c r="A367" s="5"/>
      <c r="B367" s="64"/>
      <c r="C367" s="6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10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hidden="1" customHeight="1">
      <c r="A368" s="5"/>
      <c r="B368" s="64"/>
      <c r="C368" s="6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10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hidden="1" customHeight="1">
      <c r="A369" s="5"/>
      <c r="B369" s="64"/>
      <c r="C369" s="6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10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hidden="1" customHeight="1">
      <c r="A370" s="5"/>
      <c r="B370" s="64"/>
      <c r="C370" s="6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10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hidden="1" customHeight="1">
      <c r="A371" s="5"/>
      <c r="B371" s="64"/>
      <c r="C371" s="6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10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hidden="1" customHeight="1">
      <c r="A372" s="5"/>
      <c r="B372" s="64"/>
      <c r="C372" s="6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10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hidden="1" customHeight="1">
      <c r="A373" s="5"/>
      <c r="B373" s="64"/>
      <c r="C373" s="6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10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hidden="1" customHeight="1">
      <c r="A374" s="5"/>
      <c r="B374" s="64"/>
      <c r="C374" s="6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10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hidden="1" customHeight="1">
      <c r="A375" s="5"/>
      <c r="B375" s="64"/>
      <c r="C375" s="6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10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hidden="1" customHeight="1">
      <c r="A376" s="5"/>
      <c r="B376" s="64"/>
      <c r="C376" s="6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10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hidden="1" customHeight="1">
      <c r="A377" s="5"/>
      <c r="B377" s="64"/>
      <c r="C377" s="6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10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hidden="1" customHeight="1">
      <c r="A378" s="5"/>
      <c r="B378" s="64"/>
      <c r="C378" s="6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10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hidden="1" customHeight="1">
      <c r="A379" s="5"/>
      <c r="B379" s="64"/>
      <c r="C379" s="6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10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hidden="1" customHeight="1">
      <c r="A380" s="5"/>
      <c r="B380" s="64"/>
      <c r="C380" s="6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10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hidden="1" customHeight="1">
      <c r="A381" s="5"/>
      <c r="B381" s="64"/>
      <c r="C381" s="6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10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hidden="1" customHeight="1">
      <c r="A382" s="5"/>
      <c r="B382" s="64"/>
      <c r="C382" s="6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10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hidden="1" customHeight="1">
      <c r="A383" s="5"/>
      <c r="B383" s="64"/>
      <c r="C383" s="6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10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hidden="1" customHeight="1">
      <c r="A384" s="5"/>
      <c r="B384" s="64"/>
      <c r="C384" s="6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10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hidden="1" customHeight="1">
      <c r="A385" s="5"/>
      <c r="B385" s="64"/>
      <c r="C385" s="6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10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hidden="1" customHeight="1">
      <c r="A386" s="5"/>
      <c r="B386" s="64"/>
      <c r="C386" s="6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10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hidden="1" customHeight="1">
      <c r="A387" s="5"/>
      <c r="B387" s="64"/>
      <c r="C387" s="6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10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hidden="1" customHeight="1">
      <c r="A388" s="5"/>
      <c r="B388" s="64"/>
      <c r="C388" s="6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10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hidden="1" customHeight="1">
      <c r="A389" s="5"/>
      <c r="B389" s="64"/>
      <c r="C389" s="6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10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hidden="1" customHeight="1">
      <c r="A390" s="5"/>
      <c r="B390" s="64"/>
      <c r="C390" s="6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10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hidden="1" customHeight="1">
      <c r="A391" s="5"/>
      <c r="B391" s="64"/>
      <c r="C391" s="6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10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hidden="1" customHeight="1">
      <c r="A392" s="5"/>
      <c r="B392" s="64"/>
      <c r="C392" s="6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10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hidden="1" customHeight="1">
      <c r="A393" s="5"/>
      <c r="B393" s="64"/>
      <c r="C393" s="6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10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hidden="1" customHeight="1">
      <c r="A394" s="5"/>
      <c r="B394" s="64"/>
      <c r="C394" s="6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10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hidden="1" customHeight="1">
      <c r="A395" s="5"/>
      <c r="B395" s="64"/>
      <c r="C395" s="6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10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hidden="1" customHeight="1">
      <c r="A396" s="5"/>
      <c r="B396" s="64"/>
      <c r="C396" s="6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10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hidden="1" customHeight="1">
      <c r="A397" s="5"/>
      <c r="B397" s="64"/>
      <c r="C397" s="6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10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hidden="1" customHeight="1">
      <c r="A398" s="5"/>
      <c r="B398" s="64"/>
      <c r="C398" s="6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10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hidden="1" customHeight="1">
      <c r="A399" s="5"/>
      <c r="B399" s="64"/>
      <c r="C399" s="6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10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hidden="1" customHeight="1">
      <c r="A400" s="5"/>
      <c r="B400" s="64"/>
      <c r="C400" s="6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10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hidden="1" customHeight="1">
      <c r="A401" s="5"/>
      <c r="B401" s="64"/>
      <c r="C401" s="6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10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hidden="1" customHeight="1">
      <c r="A402" s="5"/>
      <c r="B402" s="64"/>
      <c r="C402" s="6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10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hidden="1" customHeight="1">
      <c r="A403" s="5"/>
      <c r="B403" s="64"/>
      <c r="C403" s="6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10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hidden="1" customHeight="1">
      <c r="A404" s="5"/>
      <c r="B404" s="64"/>
      <c r="C404" s="6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10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hidden="1" customHeight="1">
      <c r="A405" s="5"/>
      <c r="B405" s="64"/>
      <c r="C405" s="6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10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hidden="1" customHeight="1">
      <c r="A406" s="5"/>
      <c r="B406" s="64"/>
      <c r="C406" s="6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10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hidden="1" customHeight="1">
      <c r="A407" s="5"/>
      <c r="B407" s="64"/>
      <c r="C407" s="6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10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hidden="1" customHeight="1">
      <c r="A408" s="5"/>
      <c r="B408" s="64"/>
      <c r="C408" s="6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10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hidden="1" customHeight="1">
      <c r="A409" s="5"/>
      <c r="B409" s="64"/>
      <c r="C409" s="6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10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hidden="1" customHeight="1">
      <c r="A410" s="5"/>
      <c r="B410" s="64"/>
      <c r="C410" s="6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10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hidden="1" customHeight="1">
      <c r="A411" s="5"/>
      <c r="B411" s="64"/>
      <c r="C411" s="6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10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hidden="1" customHeight="1">
      <c r="A412" s="5"/>
      <c r="B412" s="64"/>
      <c r="C412" s="6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10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hidden="1" customHeight="1">
      <c r="A413" s="5"/>
      <c r="B413" s="64"/>
      <c r="C413" s="6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10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hidden="1" customHeight="1">
      <c r="A414" s="5"/>
      <c r="B414" s="64"/>
      <c r="C414" s="6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10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hidden="1" customHeight="1">
      <c r="A415" s="5"/>
      <c r="B415" s="64"/>
      <c r="C415" s="6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10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hidden="1" customHeight="1">
      <c r="A416" s="5"/>
      <c r="B416" s="64"/>
      <c r="C416" s="6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10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hidden="1" customHeight="1">
      <c r="A417" s="5"/>
      <c r="B417" s="64"/>
      <c r="C417" s="6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10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hidden="1" customHeight="1">
      <c r="A418" s="5"/>
      <c r="B418" s="64"/>
      <c r="C418" s="6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10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hidden="1" customHeight="1">
      <c r="A419" s="5"/>
      <c r="B419" s="64"/>
      <c r="C419" s="6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10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hidden="1" customHeight="1">
      <c r="A420" s="5"/>
      <c r="B420" s="64"/>
      <c r="C420" s="6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10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hidden="1" customHeight="1">
      <c r="A421" s="5"/>
      <c r="B421" s="64"/>
      <c r="C421" s="6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10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hidden="1" customHeight="1">
      <c r="A422" s="5"/>
      <c r="B422" s="64"/>
      <c r="C422" s="6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10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hidden="1" customHeight="1">
      <c r="A423" s="5"/>
      <c r="B423" s="64"/>
      <c r="C423" s="6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10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hidden="1" customHeight="1">
      <c r="A424" s="5"/>
      <c r="B424" s="64"/>
      <c r="C424" s="6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10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hidden="1" customHeight="1">
      <c r="A425" s="5"/>
      <c r="B425" s="64"/>
      <c r="C425" s="6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10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hidden="1" customHeight="1">
      <c r="A426" s="5"/>
      <c r="B426" s="64"/>
      <c r="C426" s="6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10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hidden="1" customHeight="1">
      <c r="A427" s="5"/>
      <c r="B427" s="64"/>
      <c r="C427" s="6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10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hidden="1" customHeight="1">
      <c r="A428" s="5"/>
      <c r="B428" s="64"/>
      <c r="C428" s="6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10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hidden="1" customHeight="1">
      <c r="A429" s="5"/>
      <c r="B429" s="64"/>
      <c r="C429" s="6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10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hidden="1" customHeight="1">
      <c r="A430" s="5"/>
      <c r="B430" s="64"/>
      <c r="C430" s="6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10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hidden="1" customHeight="1">
      <c r="A431" s="5"/>
      <c r="B431" s="64"/>
      <c r="C431" s="6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10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hidden="1" customHeight="1">
      <c r="A432" s="5"/>
      <c r="B432" s="64"/>
      <c r="C432" s="6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10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hidden="1" customHeight="1">
      <c r="A433" s="5"/>
      <c r="B433" s="64"/>
      <c r="C433" s="6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10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hidden="1" customHeight="1">
      <c r="A434" s="5"/>
      <c r="B434" s="64"/>
      <c r="C434" s="6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10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hidden="1" customHeight="1">
      <c r="A435" s="5"/>
      <c r="B435" s="64"/>
      <c r="C435" s="6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10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hidden="1" customHeight="1">
      <c r="A436" s="5"/>
      <c r="B436" s="64"/>
      <c r="C436" s="6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10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hidden="1" customHeight="1">
      <c r="A437" s="5"/>
      <c r="B437" s="64"/>
      <c r="C437" s="6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10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hidden="1" customHeight="1">
      <c r="A438" s="5"/>
      <c r="B438" s="64"/>
      <c r="C438" s="6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10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hidden="1" customHeight="1">
      <c r="A439" s="5"/>
      <c r="B439" s="64"/>
      <c r="C439" s="6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10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hidden="1" customHeight="1">
      <c r="A440" s="5"/>
      <c r="B440" s="64"/>
      <c r="C440" s="6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10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hidden="1" customHeight="1">
      <c r="A441" s="5"/>
      <c r="B441" s="64"/>
      <c r="C441" s="6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10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hidden="1" customHeight="1">
      <c r="A442" s="5"/>
      <c r="B442" s="64"/>
      <c r="C442" s="6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10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hidden="1" customHeight="1">
      <c r="A443" s="5"/>
      <c r="B443" s="64"/>
      <c r="C443" s="6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10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hidden="1" customHeight="1">
      <c r="A444" s="5"/>
      <c r="B444" s="64"/>
      <c r="C444" s="6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10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hidden="1" customHeight="1">
      <c r="A445" s="5"/>
      <c r="B445" s="64"/>
      <c r="C445" s="6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10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hidden="1" customHeight="1">
      <c r="A446" s="5"/>
      <c r="B446" s="64"/>
      <c r="C446" s="6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10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hidden="1" customHeight="1">
      <c r="A447" s="5"/>
      <c r="B447" s="64"/>
      <c r="C447" s="6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10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hidden="1" customHeight="1">
      <c r="A448" s="5"/>
      <c r="B448" s="64"/>
      <c r="C448" s="6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10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hidden="1" customHeight="1">
      <c r="A449" s="5"/>
      <c r="B449" s="64"/>
      <c r="C449" s="6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10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hidden="1" customHeight="1">
      <c r="A450" s="5"/>
      <c r="B450" s="64"/>
      <c r="C450" s="6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10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hidden="1" customHeight="1">
      <c r="A451" s="5"/>
      <c r="B451" s="64"/>
      <c r="C451" s="6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10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hidden="1" customHeight="1">
      <c r="A452" s="5"/>
      <c r="B452" s="64"/>
      <c r="C452" s="6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10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hidden="1" customHeight="1">
      <c r="A453" s="5"/>
      <c r="B453" s="64"/>
      <c r="C453" s="6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10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hidden="1" customHeight="1">
      <c r="A454" s="5"/>
      <c r="B454" s="64"/>
      <c r="C454" s="6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10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hidden="1" customHeight="1">
      <c r="A455" s="5"/>
      <c r="B455" s="64"/>
      <c r="C455" s="6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10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hidden="1" customHeight="1">
      <c r="A456" s="5"/>
      <c r="B456" s="64"/>
      <c r="C456" s="6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10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hidden="1" customHeight="1">
      <c r="A457" s="5"/>
      <c r="B457" s="64"/>
      <c r="C457" s="6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10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hidden="1" customHeight="1">
      <c r="A458" s="5"/>
      <c r="B458" s="64"/>
      <c r="C458" s="6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10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hidden="1" customHeight="1">
      <c r="A459" s="5"/>
      <c r="B459" s="64"/>
      <c r="C459" s="6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10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hidden="1" customHeight="1">
      <c r="A460" s="5"/>
      <c r="B460" s="64"/>
      <c r="C460" s="6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10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hidden="1" customHeight="1">
      <c r="A461" s="5"/>
      <c r="B461" s="64"/>
      <c r="C461" s="6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10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hidden="1" customHeight="1">
      <c r="A462" s="5"/>
      <c r="B462" s="64"/>
      <c r="C462" s="65"/>
      <c r="D462" s="5"/>
      <c r="E462" s="5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hidden="1" customHeight="1">
      <c r="A463" s="5"/>
      <c r="B463" s="64"/>
      <c r="C463" s="65"/>
      <c r="D463" s="5"/>
      <c r="E463" s="5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hidden="1" customHeight="1">
      <c r="A464" s="5"/>
      <c r="B464" s="64"/>
      <c r="C464" s="65"/>
      <c r="D464" s="5"/>
      <c r="E464" s="5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0"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C105:D105"/>
    <mergeCell ref="B115:D115"/>
    <mergeCell ref="A116:E116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61:D261"/>
    <mergeCell ref="C262:D262"/>
    <mergeCell ref="C263:D263"/>
    <mergeCell ref="C264:D264"/>
    <mergeCell ref="B235:D235"/>
    <mergeCell ref="A236:E236"/>
    <mergeCell ref="C237:D237"/>
    <mergeCell ref="B247:D247"/>
    <mergeCell ref="A248:E248"/>
    <mergeCell ref="C249:D249"/>
    <mergeCell ref="B259:D259"/>
    <mergeCell ref="B12:D12"/>
    <mergeCell ref="E12:E13"/>
    <mergeCell ref="B13:D13"/>
    <mergeCell ref="B14:C16"/>
    <mergeCell ref="A17:D17"/>
    <mergeCell ref="B18:D18"/>
    <mergeCell ref="C19:C21"/>
    <mergeCell ref="B19:B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34:D34"/>
    <mergeCell ref="B35:D35"/>
    <mergeCell ref="B36:D36"/>
    <mergeCell ref="A37:E37"/>
    <mergeCell ref="B38:D38"/>
    <mergeCell ref="B39:C41"/>
    <mergeCell ref="A42:D42"/>
    <mergeCell ref="B43:D43"/>
    <mergeCell ref="A44:D44"/>
    <mergeCell ref="C45:D45"/>
    <mergeCell ref="C46:D46"/>
    <mergeCell ref="A56:E56"/>
    <mergeCell ref="C57:D57"/>
    <mergeCell ref="C47:D47"/>
    <mergeCell ref="C48:D48"/>
    <mergeCell ref="C49:D49"/>
    <mergeCell ref="C50:D50"/>
    <mergeCell ref="C51:D51"/>
    <mergeCell ref="C52:D52"/>
    <mergeCell ref="B55:D55"/>
    <mergeCell ref="C117:D117"/>
    <mergeCell ref="B127:D127"/>
    <mergeCell ref="A128:E128"/>
    <mergeCell ref="C129:D129"/>
    <mergeCell ref="B139:D139"/>
    <mergeCell ref="A140:E140"/>
    <mergeCell ref="C141:D141"/>
  </mergeCells>
  <conditionalFormatting sqref="E30">
    <cfRule type="expression" dxfId="0" priority="1">
      <formula>E30&lt;&gt;E264</formula>
    </cfRule>
  </conditionalFormatting>
  <conditionalFormatting sqref="E30">
    <cfRule type="expression" dxfId="0" priority="2">
      <formula>E30&lt;&gt;E34</formula>
    </cfRule>
  </conditionalFormatting>
  <conditionalFormatting sqref="E259">
    <cfRule type="containsBlanks" dxfId="1" priority="3">
      <formula>LEN(TRIM(E259))=0</formula>
    </cfRule>
  </conditionalFormatting>
  <conditionalFormatting sqref="F259:O261">
    <cfRule type="cellIs" dxfId="0" priority="4" operator="equal">
      <formula>"FALSE"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3" width="8.71"/>
    <col customWidth="1" min="14" max="14" width="13.29"/>
    <col customWidth="1" min="15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199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36"/>
    </row>
    <row r="14" ht="12.75" customHeight="1">
      <c r="A14" s="18"/>
      <c r="B14" s="22" t="s">
        <v>11</v>
      </c>
      <c r="C14" s="23"/>
      <c r="D14" s="19" t="s">
        <v>12</v>
      </c>
      <c r="E14" s="19">
        <v>123.0</v>
      </c>
      <c r="F14" s="19">
        <v>103.0</v>
      </c>
      <c r="G14" s="19">
        <v>107.0</v>
      </c>
      <c r="H14" s="19">
        <v>115.0</v>
      </c>
      <c r="I14" s="19">
        <v>81.0</v>
      </c>
      <c r="J14" s="19">
        <v>73.0</v>
      </c>
      <c r="K14" s="19">
        <v>115.0</v>
      </c>
      <c r="L14" s="19">
        <v>146.0</v>
      </c>
      <c r="M14" s="19">
        <v>132.0</v>
      </c>
      <c r="N14" s="13">
        <f t="shared" ref="N14:N16" si="1">SUM(E14:M14)</f>
        <v>995</v>
      </c>
    </row>
    <row r="15" ht="12.75" customHeight="1">
      <c r="A15" s="18"/>
      <c r="B15" s="26"/>
      <c r="C15" s="27"/>
      <c r="D15" s="19" t="s">
        <v>13</v>
      </c>
      <c r="E15" s="19">
        <v>120.0</v>
      </c>
      <c r="F15" s="19">
        <v>107.0</v>
      </c>
      <c r="G15" s="19">
        <v>116.0</v>
      </c>
      <c r="H15" s="19">
        <v>117.0</v>
      </c>
      <c r="I15" s="19">
        <v>83.0</v>
      </c>
      <c r="J15" s="19">
        <v>77.0</v>
      </c>
      <c r="K15" s="19">
        <v>131.0</v>
      </c>
      <c r="L15" s="19">
        <v>133.0</v>
      </c>
      <c r="M15" s="19">
        <v>128.0</v>
      </c>
      <c r="N15" s="13">
        <f t="shared" si="1"/>
        <v>1012</v>
      </c>
    </row>
    <row r="16" ht="12.75" customHeight="1">
      <c r="A16" s="25"/>
      <c r="B16" s="21"/>
      <c r="C16" s="28"/>
      <c r="D16" s="13" t="s">
        <v>14</v>
      </c>
      <c r="E16" s="13">
        <f t="shared" ref="E16:M16" si="2">SUM(E14:E15)</f>
        <v>243</v>
      </c>
      <c r="F16" s="13">
        <f t="shared" si="2"/>
        <v>210</v>
      </c>
      <c r="G16" s="13">
        <f t="shared" si="2"/>
        <v>223</v>
      </c>
      <c r="H16" s="13">
        <f t="shared" si="2"/>
        <v>232</v>
      </c>
      <c r="I16" s="13">
        <f t="shared" si="2"/>
        <v>164</v>
      </c>
      <c r="J16" s="13">
        <f t="shared" si="2"/>
        <v>150</v>
      </c>
      <c r="K16" s="13">
        <f t="shared" si="2"/>
        <v>246</v>
      </c>
      <c r="L16" s="13">
        <f t="shared" si="2"/>
        <v>279</v>
      </c>
      <c r="M16" s="13">
        <f t="shared" si="2"/>
        <v>260</v>
      </c>
      <c r="N16" s="13">
        <f t="shared" si="1"/>
        <v>2007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7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7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82.0</v>
      </c>
      <c r="F19" s="19">
        <v>78.0</v>
      </c>
      <c r="G19" s="19">
        <v>80.0</v>
      </c>
      <c r="H19" s="19">
        <v>81.0</v>
      </c>
      <c r="I19" s="19">
        <v>55.0</v>
      </c>
      <c r="J19" s="19">
        <v>61.0</v>
      </c>
      <c r="K19" s="19">
        <v>92.0</v>
      </c>
      <c r="L19" s="19">
        <v>112.0</v>
      </c>
      <c r="M19" s="19">
        <v>111.0</v>
      </c>
      <c r="N19" s="13">
        <f t="shared" ref="N19:N30" si="3">SUM(E19:M19)</f>
        <v>752</v>
      </c>
    </row>
    <row r="20" ht="12.75" customHeight="1">
      <c r="A20" s="33"/>
      <c r="B20" s="27"/>
      <c r="C20" s="34"/>
      <c r="D20" s="19" t="s">
        <v>13</v>
      </c>
      <c r="E20" s="19">
        <v>96.0</v>
      </c>
      <c r="F20" s="19">
        <v>86.0</v>
      </c>
      <c r="G20" s="19">
        <v>95.0</v>
      </c>
      <c r="H20" s="19">
        <v>92.0</v>
      </c>
      <c r="I20" s="19">
        <v>71.0</v>
      </c>
      <c r="J20" s="19">
        <v>65.0</v>
      </c>
      <c r="K20" s="19">
        <v>105.0</v>
      </c>
      <c r="L20" s="19">
        <v>101.0</v>
      </c>
      <c r="M20" s="19">
        <v>111.0</v>
      </c>
      <c r="N20" s="13">
        <f t="shared" si="3"/>
        <v>822</v>
      </c>
    </row>
    <row r="21" ht="12.75" customHeight="1">
      <c r="A21" s="35"/>
      <c r="B21" s="28"/>
      <c r="C21" s="36"/>
      <c r="D21" s="13" t="s">
        <v>14</v>
      </c>
      <c r="E21" s="13">
        <f t="shared" ref="E21:M21" si="4">SUM(E19:E20)</f>
        <v>178</v>
      </c>
      <c r="F21" s="13">
        <f t="shared" si="4"/>
        <v>164</v>
      </c>
      <c r="G21" s="13">
        <f t="shared" si="4"/>
        <v>175</v>
      </c>
      <c r="H21" s="13">
        <f t="shared" si="4"/>
        <v>173</v>
      </c>
      <c r="I21" s="13">
        <f t="shared" si="4"/>
        <v>126</v>
      </c>
      <c r="J21" s="13">
        <f t="shared" si="4"/>
        <v>126</v>
      </c>
      <c r="K21" s="13">
        <f t="shared" si="4"/>
        <v>197</v>
      </c>
      <c r="L21" s="13">
        <f t="shared" si="4"/>
        <v>213</v>
      </c>
      <c r="M21" s="13">
        <f t="shared" si="4"/>
        <v>222</v>
      </c>
      <c r="N21" s="13">
        <f t="shared" si="3"/>
        <v>1574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M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3"/>
        <v>0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0.0</v>
      </c>
      <c r="M25" s="19">
        <v>3.0</v>
      </c>
      <c r="N25" s="13">
        <f t="shared" si="3"/>
        <v>3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1.0</v>
      </c>
      <c r="H26" s="19">
        <v>0.0</v>
      </c>
      <c r="I26" s="19">
        <v>0.0</v>
      </c>
      <c r="J26" s="19">
        <v>0.0</v>
      </c>
      <c r="K26" s="19">
        <v>2.0</v>
      </c>
      <c r="L26" s="19">
        <v>1.0</v>
      </c>
      <c r="M26" s="19">
        <v>1.0</v>
      </c>
      <c r="N26" s="13">
        <f t="shared" si="3"/>
        <v>5</v>
      </c>
    </row>
    <row r="27" ht="12.75" customHeight="1">
      <c r="A27" s="35"/>
      <c r="B27" s="28"/>
      <c r="C27" s="36"/>
      <c r="D27" s="13" t="s">
        <v>14</v>
      </c>
      <c r="E27" s="13">
        <f t="shared" ref="E27:M27" si="6">SUM(E25:E26)</f>
        <v>0</v>
      </c>
      <c r="F27" s="13">
        <f t="shared" si="6"/>
        <v>0</v>
      </c>
      <c r="G27" s="13">
        <f t="shared" si="6"/>
        <v>1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2</v>
      </c>
      <c r="L27" s="13">
        <f t="shared" si="6"/>
        <v>1</v>
      </c>
      <c r="M27" s="13">
        <f t="shared" si="6"/>
        <v>4</v>
      </c>
      <c r="N27" s="13">
        <f t="shared" si="3"/>
        <v>8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M28" si="7">SUM(E19,E22,E25)</f>
        <v>82</v>
      </c>
      <c r="F28" s="13">
        <f t="shared" si="7"/>
        <v>78</v>
      </c>
      <c r="G28" s="13">
        <f t="shared" si="7"/>
        <v>80</v>
      </c>
      <c r="H28" s="13">
        <f t="shared" si="7"/>
        <v>81</v>
      </c>
      <c r="I28" s="13">
        <f t="shared" si="7"/>
        <v>55</v>
      </c>
      <c r="J28" s="13">
        <f t="shared" si="7"/>
        <v>61</v>
      </c>
      <c r="K28" s="13">
        <f t="shared" si="7"/>
        <v>92</v>
      </c>
      <c r="L28" s="13">
        <f t="shared" si="7"/>
        <v>112</v>
      </c>
      <c r="M28" s="13">
        <f t="shared" si="7"/>
        <v>114</v>
      </c>
      <c r="N28" s="13">
        <f t="shared" si="3"/>
        <v>755</v>
      </c>
    </row>
    <row r="29" ht="12.75" customHeight="1">
      <c r="A29" s="35"/>
      <c r="B29" s="27"/>
      <c r="C29" s="34"/>
      <c r="D29" s="13" t="s">
        <v>13</v>
      </c>
      <c r="E29" s="13">
        <f t="shared" ref="E29:M29" si="8">SUM(E20,E23,E26)</f>
        <v>96</v>
      </c>
      <c r="F29" s="13">
        <f t="shared" si="8"/>
        <v>86</v>
      </c>
      <c r="G29" s="13">
        <f t="shared" si="8"/>
        <v>96</v>
      </c>
      <c r="H29" s="13">
        <f t="shared" si="8"/>
        <v>92</v>
      </c>
      <c r="I29" s="13">
        <f t="shared" si="8"/>
        <v>71</v>
      </c>
      <c r="J29" s="13">
        <f t="shared" si="8"/>
        <v>65</v>
      </c>
      <c r="K29" s="13">
        <f t="shared" si="8"/>
        <v>107</v>
      </c>
      <c r="L29" s="13">
        <f t="shared" si="8"/>
        <v>102</v>
      </c>
      <c r="M29" s="13">
        <f t="shared" si="8"/>
        <v>112</v>
      </c>
      <c r="N29" s="13">
        <f t="shared" si="3"/>
        <v>827</v>
      </c>
    </row>
    <row r="30" ht="12.75" customHeight="1">
      <c r="A30" s="35"/>
      <c r="B30" s="28"/>
      <c r="C30" s="36"/>
      <c r="D30" s="13" t="s">
        <v>14</v>
      </c>
      <c r="E30" s="13">
        <f t="shared" ref="E30:M30" si="9">SUM(E28:E29)</f>
        <v>178</v>
      </c>
      <c r="F30" s="13">
        <f t="shared" si="9"/>
        <v>164</v>
      </c>
      <c r="G30" s="13">
        <f t="shared" si="9"/>
        <v>176</v>
      </c>
      <c r="H30" s="13">
        <f t="shared" si="9"/>
        <v>173</v>
      </c>
      <c r="I30" s="13">
        <f t="shared" si="9"/>
        <v>126</v>
      </c>
      <c r="J30" s="13">
        <f t="shared" si="9"/>
        <v>126</v>
      </c>
      <c r="K30" s="13">
        <f t="shared" si="9"/>
        <v>199</v>
      </c>
      <c r="L30" s="13">
        <f t="shared" si="9"/>
        <v>214</v>
      </c>
      <c r="M30" s="13">
        <f t="shared" si="9"/>
        <v>226</v>
      </c>
      <c r="N30" s="13">
        <f t="shared" si="3"/>
        <v>1582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7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7"/>
    </row>
    <row r="33" ht="12.75" customHeight="1">
      <c r="A33" s="19">
        <v>1.0</v>
      </c>
      <c r="B33" s="20" t="s">
        <v>27</v>
      </c>
      <c r="C33" s="15"/>
      <c r="D33" s="16"/>
      <c r="E33" s="19">
        <v>248.0</v>
      </c>
      <c r="F33" s="19">
        <v>215.0</v>
      </c>
      <c r="G33" s="19">
        <v>228.0</v>
      </c>
      <c r="H33" s="19">
        <v>226.0</v>
      </c>
      <c r="I33" s="19">
        <v>178.0</v>
      </c>
      <c r="J33" s="19">
        <v>154.0</v>
      </c>
      <c r="K33" s="19">
        <v>245.0</v>
      </c>
      <c r="L33" s="19">
        <v>285.0</v>
      </c>
      <c r="M33" s="19">
        <v>260.0</v>
      </c>
      <c r="N33" s="13">
        <f t="shared" ref="N33:N36" si="10">SUM(E33:M33)</f>
        <v>2039</v>
      </c>
    </row>
    <row r="34" ht="12.75" customHeight="1">
      <c r="A34" s="19">
        <v>2.0</v>
      </c>
      <c r="B34" s="20" t="s">
        <v>28</v>
      </c>
      <c r="C34" s="15"/>
      <c r="D34" s="16"/>
      <c r="E34" s="13">
        <v>178.0</v>
      </c>
      <c r="F34" s="13">
        <v>164.0</v>
      </c>
      <c r="G34" s="13">
        <v>176.0</v>
      </c>
      <c r="H34" s="13">
        <v>173.0</v>
      </c>
      <c r="I34" s="13">
        <v>126.0</v>
      </c>
      <c r="J34" s="13">
        <v>126.0</v>
      </c>
      <c r="K34" s="13">
        <v>199.0</v>
      </c>
      <c r="L34" s="13">
        <v>214.0</v>
      </c>
      <c r="M34" s="13">
        <v>226.0</v>
      </c>
      <c r="N34" s="13">
        <f t="shared" si="10"/>
        <v>1582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1.0</v>
      </c>
      <c r="J35" s="19">
        <v>0.0</v>
      </c>
      <c r="K35" s="19">
        <v>0.0</v>
      </c>
      <c r="L35" s="19">
        <v>0.0</v>
      </c>
      <c r="M35" s="19">
        <v>0.0</v>
      </c>
      <c r="N35" s="13">
        <f t="shared" si="10"/>
        <v>1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M36" si="11">E33-(E34+E35)</f>
        <v>70</v>
      </c>
      <c r="F36" s="13">
        <f t="shared" si="11"/>
        <v>51</v>
      </c>
      <c r="G36" s="13">
        <f t="shared" si="11"/>
        <v>52</v>
      </c>
      <c r="H36" s="13">
        <f t="shared" si="11"/>
        <v>53</v>
      </c>
      <c r="I36" s="13">
        <f t="shared" si="11"/>
        <v>51</v>
      </c>
      <c r="J36" s="13">
        <f t="shared" si="11"/>
        <v>28</v>
      </c>
      <c r="K36" s="13">
        <f t="shared" si="11"/>
        <v>46</v>
      </c>
      <c r="L36" s="13">
        <f t="shared" si="11"/>
        <v>71</v>
      </c>
      <c r="M36" s="13">
        <f t="shared" si="11"/>
        <v>34</v>
      </c>
      <c r="N36" s="13">
        <f t="shared" si="10"/>
        <v>456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7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7"/>
    </row>
    <row r="39" ht="12.75" customHeight="1">
      <c r="A39" s="30"/>
      <c r="B39" s="43" t="s">
        <v>33</v>
      </c>
      <c r="C39" s="23"/>
      <c r="D39" s="19" t="s">
        <v>12</v>
      </c>
      <c r="E39" s="19">
        <v>1.0</v>
      </c>
      <c r="F39" s="19">
        <v>2.0</v>
      </c>
      <c r="G39" s="19">
        <v>3.0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1.0</v>
      </c>
      <c r="N39" s="13">
        <f t="shared" ref="N39:N41" si="12">SUM(E39:M39)</f>
        <v>7</v>
      </c>
    </row>
    <row r="40" ht="12.75" customHeight="1">
      <c r="A40" s="33"/>
      <c r="C40" s="27"/>
      <c r="D40" s="19" t="s">
        <v>13</v>
      </c>
      <c r="E40" s="19">
        <v>0.0</v>
      </c>
      <c r="F40" s="19">
        <v>1.0</v>
      </c>
      <c r="G40" s="19">
        <v>0.0</v>
      </c>
      <c r="H40" s="19">
        <v>0.0</v>
      </c>
      <c r="I40" s="19">
        <v>1.0</v>
      </c>
      <c r="J40" s="19">
        <v>0.0</v>
      </c>
      <c r="K40" s="19">
        <v>0.0</v>
      </c>
      <c r="L40" s="19">
        <v>0.0</v>
      </c>
      <c r="M40" s="19">
        <v>0.0</v>
      </c>
      <c r="N40" s="13">
        <f t="shared" si="12"/>
        <v>2</v>
      </c>
    </row>
    <row r="41" ht="12.75" customHeight="1">
      <c r="A41" s="41"/>
      <c r="B41" s="44"/>
      <c r="C41" s="28"/>
      <c r="D41" s="13" t="s">
        <v>14</v>
      </c>
      <c r="E41" s="13">
        <f t="shared" ref="E41:M41" si="13">SUM(E39:E40)</f>
        <v>1</v>
      </c>
      <c r="F41" s="13">
        <f t="shared" si="13"/>
        <v>3</v>
      </c>
      <c r="G41" s="13">
        <f t="shared" si="13"/>
        <v>3</v>
      </c>
      <c r="H41" s="13">
        <f t="shared" si="13"/>
        <v>0</v>
      </c>
      <c r="I41" s="13">
        <f t="shared" si="13"/>
        <v>1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1</v>
      </c>
      <c r="N41" s="13">
        <f t="shared" si="12"/>
        <v>9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13.0</v>
      </c>
      <c r="F45" s="19">
        <v>7.0</v>
      </c>
      <c r="G45" s="19">
        <v>7.0</v>
      </c>
      <c r="H45" s="19">
        <v>13.0</v>
      </c>
      <c r="I45" s="19">
        <v>1.0</v>
      </c>
      <c r="J45" s="19">
        <v>3.0</v>
      </c>
      <c r="K45" s="19">
        <v>21.0</v>
      </c>
      <c r="L45" s="19">
        <v>7.0</v>
      </c>
      <c r="M45" s="19">
        <v>11.0</v>
      </c>
      <c r="N45" s="13">
        <f t="shared" ref="N45:N55" si="14">SUM(E45:M45)</f>
        <v>83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16.0</v>
      </c>
      <c r="F46" s="19">
        <v>18.0</v>
      </c>
      <c r="G46" s="19">
        <v>7.0</v>
      </c>
      <c r="H46" s="19">
        <v>10.0</v>
      </c>
      <c r="I46" s="19">
        <v>2.0</v>
      </c>
      <c r="J46" s="19">
        <v>6.0</v>
      </c>
      <c r="K46" s="19">
        <v>27.0</v>
      </c>
      <c r="L46" s="19">
        <v>20.0</v>
      </c>
      <c r="M46" s="19">
        <v>15.0</v>
      </c>
      <c r="N46" s="13">
        <f t="shared" si="14"/>
        <v>121</v>
      </c>
    </row>
    <row r="47" ht="12.75" customHeight="1">
      <c r="A47" s="18"/>
      <c r="B47" s="55">
        <v>2.0</v>
      </c>
      <c r="C47" s="50" t="s">
        <v>41</v>
      </c>
      <c r="D47" s="16"/>
      <c r="E47" s="19">
        <v>1.0</v>
      </c>
      <c r="F47" s="19">
        <v>2.0</v>
      </c>
      <c r="G47" s="19">
        <v>2.0</v>
      </c>
      <c r="H47" s="19">
        <v>0.0</v>
      </c>
      <c r="I47" s="19">
        <v>0.0</v>
      </c>
      <c r="J47" s="19">
        <v>0.0</v>
      </c>
      <c r="K47" s="19">
        <v>1.0</v>
      </c>
      <c r="L47" s="19">
        <v>0.0</v>
      </c>
      <c r="M47" s="19">
        <v>3.0</v>
      </c>
      <c r="N47" s="13">
        <f t="shared" si="14"/>
        <v>9</v>
      </c>
    </row>
    <row r="48" ht="12.75" customHeight="1">
      <c r="A48" s="18"/>
      <c r="B48" s="55">
        <v>3.0</v>
      </c>
      <c r="C48" s="50" t="s">
        <v>42</v>
      </c>
      <c r="D48" s="16"/>
      <c r="E48" s="19">
        <v>1.0</v>
      </c>
      <c r="F48" s="19">
        <v>0.0</v>
      </c>
      <c r="G48" s="19">
        <v>1.0</v>
      </c>
      <c r="H48" s="19">
        <v>1.0</v>
      </c>
      <c r="I48" s="19">
        <v>0.0</v>
      </c>
      <c r="J48" s="19">
        <v>0.0</v>
      </c>
      <c r="K48" s="19">
        <v>0.0</v>
      </c>
      <c r="L48" s="19">
        <v>0.0</v>
      </c>
      <c r="M48" s="19">
        <v>2.0</v>
      </c>
      <c r="N48" s="13">
        <f t="shared" si="14"/>
        <v>5</v>
      </c>
    </row>
    <row r="49" ht="12.75" customHeight="1">
      <c r="A49" s="18"/>
      <c r="B49" s="55">
        <v>4.0</v>
      </c>
      <c r="C49" s="50" t="s">
        <v>43</v>
      </c>
      <c r="D49" s="16"/>
      <c r="E49" s="19">
        <v>1.0</v>
      </c>
      <c r="F49" s="19">
        <v>1.0</v>
      </c>
      <c r="G49" s="19">
        <v>0.0</v>
      </c>
      <c r="H49" s="19">
        <v>0.0</v>
      </c>
      <c r="I49" s="19">
        <v>0.0</v>
      </c>
      <c r="J49" s="19">
        <v>0.0</v>
      </c>
      <c r="K49" s="19">
        <v>0.0</v>
      </c>
      <c r="L49" s="19">
        <v>0.0</v>
      </c>
      <c r="M49" s="19">
        <v>0.0</v>
      </c>
      <c r="N49" s="13">
        <f t="shared" si="14"/>
        <v>2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1.0</v>
      </c>
      <c r="G50" s="19">
        <v>1.0</v>
      </c>
      <c r="H50" s="19">
        <v>1.0</v>
      </c>
      <c r="I50" s="19">
        <v>0.0</v>
      </c>
      <c r="J50" s="19">
        <v>0.0</v>
      </c>
      <c r="K50" s="19">
        <v>0.0</v>
      </c>
      <c r="L50" s="19">
        <v>0.0</v>
      </c>
      <c r="M50" s="19">
        <v>0.0</v>
      </c>
      <c r="N50" s="13">
        <f t="shared" si="14"/>
        <v>3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1.0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3">
        <f t="shared" si="14"/>
        <v>1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3">
        <f t="shared" si="14"/>
        <v>0</v>
      </c>
    </row>
    <row r="53" ht="12.75" customHeight="1">
      <c r="A53" s="18"/>
      <c r="B53" s="68"/>
      <c r="C53" s="69"/>
      <c r="D53" s="70"/>
      <c r="E53" s="19"/>
      <c r="F53" s="19"/>
      <c r="G53" s="19"/>
      <c r="H53" s="19"/>
      <c r="I53" s="19"/>
      <c r="J53" s="19"/>
      <c r="K53" s="19"/>
      <c r="L53" s="19"/>
      <c r="M53" s="19"/>
      <c r="N53" s="13">
        <f t="shared" si="14"/>
        <v>0</v>
      </c>
    </row>
    <row r="54" ht="12.75" customHeight="1">
      <c r="A54" s="18"/>
      <c r="B54" s="68"/>
      <c r="C54" s="69"/>
      <c r="D54" s="70"/>
      <c r="E54" s="19"/>
      <c r="F54" s="19"/>
      <c r="G54" s="19"/>
      <c r="H54" s="19"/>
      <c r="I54" s="19"/>
      <c r="J54" s="19"/>
      <c r="K54" s="19"/>
      <c r="L54" s="19"/>
      <c r="M54" s="19"/>
      <c r="N54" s="13">
        <f t="shared" si="14"/>
        <v>0</v>
      </c>
    </row>
    <row r="55" ht="15.0" customHeight="1">
      <c r="A55" s="19" t="s">
        <v>15</v>
      </c>
      <c r="B55" s="47" t="s">
        <v>47</v>
      </c>
      <c r="C55" s="15"/>
      <c r="D55" s="16"/>
      <c r="E55" s="13">
        <f t="shared" ref="E55:M55" si="15">SUM(E45:E52)</f>
        <v>32</v>
      </c>
      <c r="F55" s="13">
        <f t="shared" si="15"/>
        <v>29</v>
      </c>
      <c r="G55" s="13">
        <f t="shared" si="15"/>
        <v>18</v>
      </c>
      <c r="H55" s="13">
        <f t="shared" si="15"/>
        <v>26</v>
      </c>
      <c r="I55" s="13">
        <f t="shared" si="15"/>
        <v>3</v>
      </c>
      <c r="J55" s="13">
        <f t="shared" si="15"/>
        <v>9</v>
      </c>
      <c r="K55" s="13">
        <f t="shared" si="15"/>
        <v>49</v>
      </c>
      <c r="L55" s="13">
        <f t="shared" si="15"/>
        <v>27</v>
      </c>
      <c r="M55" s="13">
        <f t="shared" si="15"/>
        <v>31</v>
      </c>
      <c r="N55" s="13">
        <f t="shared" si="14"/>
        <v>224</v>
      </c>
    </row>
    <row r="56" ht="12.75" customHeight="1">
      <c r="A56" s="45"/>
      <c r="B56" s="44"/>
      <c r="C56" s="44"/>
      <c r="D56" s="44"/>
      <c r="E56" s="44"/>
      <c r="N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16.0</v>
      </c>
      <c r="F57" s="19">
        <v>6.0</v>
      </c>
      <c r="G57" s="19">
        <v>8.0</v>
      </c>
      <c r="H57" s="19">
        <v>6.0</v>
      </c>
      <c r="I57" s="19">
        <v>3.0</v>
      </c>
      <c r="J57" s="19">
        <v>11.0</v>
      </c>
      <c r="K57" s="19">
        <v>10.0</v>
      </c>
      <c r="L57" s="19">
        <v>13.0</v>
      </c>
      <c r="M57" s="19">
        <v>27.0</v>
      </c>
      <c r="N57" s="13">
        <f t="shared" ref="N57:N67" si="16">SUM(E57:M57)</f>
        <v>100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8.0</v>
      </c>
      <c r="F58" s="19">
        <v>43.0</v>
      </c>
      <c r="G58" s="19">
        <v>36.0</v>
      </c>
      <c r="H58" s="19">
        <v>17.0</v>
      </c>
      <c r="I58" s="19">
        <v>12.0</v>
      </c>
      <c r="J58" s="19">
        <v>23.0</v>
      </c>
      <c r="K58" s="19">
        <v>36.0</v>
      </c>
      <c r="L58" s="19">
        <v>51.0</v>
      </c>
      <c r="M58" s="19">
        <v>27.0</v>
      </c>
      <c r="N58" s="13">
        <f t="shared" si="16"/>
        <v>253</v>
      </c>
    </row>
    <row r="59" ht="12.75" customHeight="1">
      <c r="A59" s="18"/>
      <c r="B59" s="55">
        <v>2.0</v>
      </c>
      <c r="C59" s="50" t="s">
        <v>50</v>
      </c>
      <c r="D59" s="56"/>
      <c r="E59" s="19">
        <v>2.0</v>
      </c>
      <c r="F59" s="19">
        <v>4.0</v>
      </c>
      <c r="G59" s="19">
        <v>5.0</v>
      </c>
      <c r="H59" s="19">
        <v>3.0</v>
      </c>
      <c r="I59" s="19">
        <v>3.0</v>
      </c>
      <c r="J59" s="19">
        <v>3.0</v>
      </c>
      <c r="K59" s="19">
        <v>4.0</v>
      </c>
      <c r="L59" s="19">
        <v>2.0</v>
      </c>
      <c r="M59" s="19">
        <v>3.0</v>
      </c>
      <c r="N59" s="13">
        <f t="shared" si="16"/>
        <v>29</v>
      </c>
    </row>
    <row r="60" ht="12.75" customHeight="1">
      <c r="A60" s="18"/>
      <c r="B60" s="55">
        <v>3.0</v>
      </c>
      <c r="C60" s="50" t="s">
        <v>51</v>
      </c>
      <c r="D60" s="56"/>
      <c r="E60" s="19">
        <v>0.0</v>
      </c>
      <c r="F60" s="19">
        <v>2.0</v>
      </c>
      <c r="G60" s="19">
        <v>0.0</v>
      </c>
      <c r="H60" s="19">
        <v>1.0</v>
      </c>
      <c r="I60" s="19">
        <v>0.0</v>
      </c>
      <c r="J60" s="19">
        <v>0.0</v>
      </c>
      <c r="K60" s="19">
        <v>0.0</v>
      </c>
      <c r="L60" s="19">
        <v>1.0</v>
      </c>
      <c r="M60" s="19">
        <v>1.0</v>
      </c>
      <c r="N60" s="13">
        <f t="shared" si="16"/>
        <v>5</v>
      </c>
    </row>
    <row r="61" ht="12.75" customHeight="1">
      <c r="A61" s="18"/>
      <c r="B61" s="55">
        <v>4.0</v>
      </c>
      <c r="C61" s="50" t="s">
        <v>52</v>
      </c>
      <c r="D61" s="56"/>
      <c r="E61" s="19">
        <v>1.0</v>
      </c>
      <c r="F61" s="19">
        <v>0.0</v>
      </c>
      <c r="G61" s="19">
        <v>1.0</v>
      </c>
      <c r="H61" s="19">
        <v>1.0</v>
      </c>
      <c r="I61" s="19">
        <v>0.0</v>
      </c>
      <c r="J61" s="19">
        <v>0.0</v>
      </c>
      <c r="K61" s="19">
        <v>2.0</v>
      </c>
      <c r="L61" s="19">
        <v>2.0</v>
      </c>
      <c r="M61" s="19">
        <v>0.0</v>
      </c>
      <c r="N61" s="13">
        <f t="shared" si="16"/>
        <v>7</v>
      </c>
    </row>
    <row r="62" ht="12.75" customHeight="1">
      <c r="A62" s="18"/>
      <c r="B62" s="55">
        <v>5.0</v>
      </c>
      <c r="C62" s="50" t="s">
        <v>53</v>
      </c>
      <c r="D62" s="56"/>
      <c r="E62" s="19">
        <v>1.0</v>
      </c>
      <c r="F62" s="19">
        <v>1.0</v>
      </c>
      <c r="G62" s="19">
        <v>0.0</v>
      </c>
      <c r="H62" s="19">
        <v>0.0</v>
      </c>
      <c r="I62" s="19">
        <v>0.0</v>
      </c>
      <c r="J62" s="19">
        <v>0.0</v>
      </c>
      <c r="K62" s="19">
        <v>1.0</v>
      </c>
      <c r="L62" s="19">
        <v>0.0</v>
      </c>
      <c r="M62" s="19">
        <v>0.0</v>
      </c>
      <c r="N62" s="13">
        <f t="shared" si="16"/>
        <v>3</v>
      </c>
    </row>
    <row r="63" ht="12.75" customHeight="1">
      <c r="A63" s="18"/>
      <c r="B63" s="55">
        <v>6.0</v>
      </c>
      <c r="C63" s="50" t="s">
        <v>54</v>
      </c>
      <c r="D63" s="57"/>
      <c r="E63" s="19">
        <v>0.0</v>
      </c>
      <c r="F63" s="19">
        <v>0.0</v>
      </c>
      <c r="G63" s="19">
        <v>0.0</v>
      </c>
      <c r="H63" s="19">
        <v>0.0</v>
      </c>
      <c r="I63" s="19">
        <v>0.0</v>
      </c>
      <c r="J63" s="19">
        <v>0.0</v>
      </c>
      <c r="K63" s="19">
        <v>1.0</v>
      </c>
      <c r="L63" s="19">
        <v>0.0</v>
      </c>
      <c r="M63" s="19">
        <v>3.0</v>
      </c>
      <c r="N63" s="13">
        <f t="shared" si="16"/>
        <v>4</v>
      </c>
    </row>
    <row r="64" ht="12.75" customHeight="1">
      <c r="A64" s="18"/>
      <c r="B64" s="55">
        <v>7.0</v>
      </c>
      <c r="C64" s="50" t="s">
        <v>55</v>
      </c>
      <c r="D64" s="56"/>
      <c r="E64" s="19">
        <v>0.0</v>
      </c>
      <c r="F64" s="19">
        <v>0.0</v>
      </c>
      <c r="G64" s="19">
        <v>0.0</v>
      </c>
      <c r="H64" s="19">
        <v>0.0</v>
      </c>
      <c r="I64" s="19">
        <v>0.0</v>
      </c>
      <c r="J64" s="19">
        <v>1.0</v>
      </c>
      <c r="K64" s="19">
        <v>1.0</v>
      </c>
      <c r="L64" s="19">
        <v>0.0</v>
      </c>
      <c r="M64" s="19">
        <v>0.0</v>
      </c>
      <c r="N64" s="13">
        <f t="shared" si="16"/>
        <v>2</v>
      </c>
    </row>
    <row r="65" ht="12.75" customHeight="1">
      <c r="A65" s="18"/>
      <c r="B65" s="68"/>
      <c r="C65" s="69"/>
      <c r="D65" s="70"/>
      <c r="E65" s="19"/>
      <c r="F65" s="19"/>
      <c r="G65" s="19"/>
      <c r="H65" s="19"/>
      <c r="I65" s="19"/>
      <c r="J65" s="19"/>
      <c r="K65" s="19"/>
      <c r="L65" s="19"/>
      <c r="M65" s="19"/>
      <c r="N65" s="13">
        <f t="shared" si="16"/>
        <v>0</v>
      </c>
    </row>
    <row r="66" ht="12.75" customHeight="1">
      <c r="A66" s="18"/>
      <c r="B66" s="68"/>
      <c r="C66" s="69"/>
      <c r="D66" s="70"/>
      <c r="E66" s="19"/>
      <c r="F66" s="19"/>
      <c r="G66" s="19"/>
      <c r="H66" s="19"/>
      <c r="I66" s="19"/>
      <c r="J66" s="19"/>
      <c r="K66" s="19"/>
      <c r="L66" s="19"/>
      <c r="M66" s="19"/>
      <c r="N66" s="13">
        <f t="shared" si="16"/>
        <v>0</v>
      </c>
    </row>
    <row r="67" ht="15.0" customHeight="1">
      <c r="A67" s="19" t="s">
        <v>15</v>
      </c>
      <c r="B67" s="47" t="s">
        <v>47</v>
      </c>
      <c r="C67" s="15"/>
      <c r="D67" s="16"/>
      <c r="E67" s="13">
        <f t="shared" ref="E67:M67" si="17">SUM(E57:E64)</f>
        <v>28</v>
      </c>
      <c r="F67" s="13">
        <f t="shared" si="17"/>
        <v>56</v>
      </c>
      <c r="G67" s="13">
        <f t="shared" si="17"/>
        <v>50</v>
      </c>
      <c r="H67" s="13">
        <f t="shared" si="17"/>
        <v>28</v>
      </c>
      <c r="I67" s="13">
        <f t="shared" si="17"/>
        <v>18</v>
      </c>
      <c r="J67" s="13">
        <f t="shared" si="17"/>
        <v>38</v>
      </c>
      <c r="K67" s="13">
        <f t="shared" si="17"/>
        <v>55</v>
      </c>
      <c r="L67" s="13">
        <f t="shared" si="17"/>
        <v>69</v>
      </c>
      <c r="M67" s="13">
        <f t="shared" si="17"/>
        <v>61</v>
      </c>
      <c r="N67" s="13">
        <f t="shared" si="16"/>
        <v>403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10.0</v>
      </c>
      <c r="F69" s="19">
        <v>6.0</v>
      </c>
      <c r="G69" s="19">
        <v>5.0</v>
      </c>
      <c r="H69" s="19">
        <v>2.0</v>
      </c>
      <c r="I69" s="19">
        <v>11.0</v>
      </c>
      <c r="J69" s="19">
        <v>5.0</v>
      </c>
      <c r="K69" s="19">
        <v>15.0</v>
      </c>
      <c r="L69" s="19">
        <v>7.0</v>
      </c>
      <c r="M69" s="19">
        <v>5.0</v>
      </c>
      <c r="N69" s="13">
        <f t="shared" ref="N69:N79" si="18">SUM(E69:M69)</f>
        <v>66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5.0</v>
      </c>
      <c r="F70" s="19">
        <v>5.0</v>
      </c>
      <c r="G70" s="19">
        <v>4.0</v>
      </c>
      <c r="H70" s="19">
        <v>2.0</v>
      </c>
      <c r="I70" s="19">
        <v>5.0</v>
      </c>
      <c r="J70" s="19">
        <v>1.0</v>
      </c>
      <c r="K70" s="19">
        <v>10.0</v>
      </c>
      <c r="L70" s="19">
        <v>10.0</v>
      </c>
      <c r="M70" s="19">
        <v>6.0</v>
      </c>
      <c r="N70" s="13">
        <f t="shared" si="18"/>
        <v>48</v>
      </c>
    </row>
    <row r="71" ht="12.75" customHeight="1">
      <c r="A71" s="18"/>
      <c r="B71" s="55">
        <v>2.0</v>
      </c>
      <c r="C71" s="50" t="s">
        <v>58</v>
      </c>
      <c r="D71" s="57"/>
      <c r="E71" s="19">
        <v>3.0</v>
      </c>
      <c r="F71" s="19">
        <v>0.0</v>
      </c>
      <c r="G71" s="19">
        <v>0.0</v>
      </c>
      <c r="H71" s="19">
        <v>1.0</v>
      </c>
      <c r="I71" s="19">
        <v>0.0</v>
      </c>
      <c r="J71" s="19">
        <v>2.0</v>
      </c>
      <c r="K71" s="19">
        <v>2.0</v>
      </c>
      <c r="L71" s="19">
        <v>3.0</v>
      </c>
      <c r="M71" s="19">
        <v>5.0</v>
      </c>
      <c r="N71" s="13">
        <f t="shared" si="18"/>
        <v>16</v>
      </c>
    </row>
    <row r="72" ht="12.75" customHeight="1">
      <c r="A72" s="18"/>
      <c r="B72" s="55">
        <v>3.0</v>
      </c>
      <c r="C72" s="50" t="s">
        <v>59</v>
      </c>
      <c r="D72" s="57"/>
      <c r="E72" s="19">
        <v>3.0</v>
      </c>
      <c r="F72" s="19">
        <v>1.0</v>
      </c>
      <c r="G72" s="19">
        <v>9.0</v>
      </c>
      <c r="H72" s="19">
        <v>2.0</v>
      </c>
      <c r="I72" s="19">
        <v>39.0</v>
      </c>
      <c r="J72" s="19">
        <v>7.0</v>
      </c>
      <c r="K72" s="19">
        <v>8.0</v>
      </c>
      <c r="L72" s="19">
        <v>7.0</v>
      </c>
      <c r="M72" s="19">
        <v>11.0</v>
      </c>
      <c r="N72" s="13">
        <f t="shared" si="18"/>
        <v>87</v>
      </c>
    </row>
    <row r="73" ht="12.75" customHeight="1">
      <c r="A73" s="18"/>
      <c r="B73" s="55">
        <v>4.0</v>
      </c>
      <c r="C73" s="50" t="s">
        <v>60</v>
      </c>
      <c r="D73" s="57"/>
      <c r="E73" s="19">
        <v>1.0</v>
      </c>
      <c r="F73" s="19">
        <v>1.0</v>
      </c>
      <c r="G73" s="19">
        <v>0.0</v>
      </c>
      <c r="H73" s="19">
        <v>1.0</v>
      </c>
      <c r="I73" s="19">
        <v>3.0</v>
      </c>
      <c r="J73" s="19">
        <v>1.0</v>
      </c>
      <c r="K73" s="19">
        <v>1.0</v>
      </c>
      <c r="L73" s="19">
        <v>7.0</v>
      </c>
      <c r="M73" s="19">
        <v>3.0</v>
      </c>
      <c r="N73" s="13">
        <f t="shared" si="18"/>
        <v>18</v>
      </c>
    </row>
    <row r="74" ht="12.75" customHeight="1">
      <c r="A74" s="18"/>
      <c r="B74" s="55">
        <v>5.0</v>
      </c>
      <c r="C74" s="50" t="s">
        <v>61</v>
      </c>
      <c r="D74" s="57"/>
      <c r="E74" s="19">
        <v>8.0</v>
      </c>
      <c r="F74" s="19">
        <v>5.0</v>
      </c>
      <c r="G74" s="19">
        <v>5.0</v>
      </c>
      <c r="H74" s="19">
        <v>10.0</v>
      </c>
      <c r="I74" s="19">
        <v>10.0</v>
      </c>
      <c r="J74" s="19">
        <v>1.0</v>
      </c>
      <c r="K74" s="19">
        <v>6.0</v>
      </c>
      <c r="L74" s="19">
        <v>25.0</v>
      </c>
      <c r="M74" s="19">
        <v>2.0</v>
      </c>
      <c r="N74" s="13">
        <f t="shared" si="18"/>
        <v>72</v>
      </c>
    </row>
    <row r="75" ht="12.75" customHeight="1">
      <c r="A75" s="18"/>
      <c r="B75" s="55">
        <v>6.0</v>
      </c>
      <c r="C75" s="50" t="s">
        <v>62</v>
      </c>
      <c r="D75" s="57"/>
      <c r="E75" s="19">
        <v>0.0</v>
      </c>
      <c r="F75" s="19">
        <v>0.0</v>
      </c>
      <c r="G75" s="19">
        <v>1.0</v>
      </c>
      <c r="H75" s="19">
        <v>1.0</v>
      </c>
      <c r="I75" s="19">
        <v>0.0</v>
      </c>
      <c r="J75" s="19">
        <v>0.0</v>
      </c>
      <c r="K75" s="19">
        <v>1.0</v>
      </c>
      <c r="L75" s="19">
        <v>1.0</v>
      </c>
      <c r="M75" s="19">
        <v>1.0</v>
      </c>
      <c r="N75" s="13">
        <f t="shared" si="18"/>
        <v>5</v>
      </c>
    </row>
    <row r="76" ht="12.75" customHeight="1">
      <c r="A76" s="18"/>
      <c r="B76" s="55">
        <v>7.0</v>
      </c>
      <c r="C76" s="50" t="s">
        <v>63</v>
      </c>
      <c r="D76" s="57"/>
      <c r="E76" s="19">
        <v>1.0</v>
      </c>
      <c r="F76" s="19">
        <v>1.0</v>
      </c>
      <c r="G76" s="19">
        <v>1.0</v>
      </c>
      <c r="H76" s="19">
        <v>0.0</v>
      </c>
      <c r="I76" s="19">
        <v>1.0</v>
      </c>
      <c r="J76" s="19">
        <v>1.0</v>
      </c>
      <c r="K76" s="19">
        <v>0.0</v>
      </c>
      <c r="L76" s="19">
        <v>2.0</v>
      </c>
      <c r="M76" s="19">
        <v>0.0</v>
      </c>
      <c r="N76" s="13">
        <f t="shared" si="18"/>
        <v>7</v>
      </c>
    </row>
    <row r="77" ht="12.75" customHeight="1">
      <c r="A77" s="18"/>
      <c r="B77" s="68"/>
      <c r="C77" s="69"/>
      <c r="D77" s="71"/>
      <c r="E77" s="19"/>
      <c r="F77" s="19"/>
      <c r="G77" s="19"/>
      <c r="H77" s="19"/>
      <c r="I77" s="19"/>
      <c r="J77" s="19"/>
      <c r="K77" s="19"/>
      <c r="L77" s="19"/>
      <c r="M77" s="19"/>
      <c r="N77" s="13">
        <f t="shared" si="18"/>
        <v>0</v>
      </c>
    </row>
    <row r="78" ht="12.75" customHeight="1">
      <c r="A78" s="18"/>
      <c r="B78" s="68"/>
      <c r="C78" s="69"/>
      <c r="D78" s="71"/>
      <c r="E78" s="19"/>
      <c r="F78" s="19"/>
      <c r="G78" s="19"/>
      <c r="H78" s="19"/>
      <c r="I78" s="19"/>
      <c r="J78" s="19"/>
      <c r="K78" s="19"/>
      <c r="L78" s="19"/>
      <c r="M78" s="19"/>
      <c r="N78" s="13">
        <f t="shared" si="18"/>
        <v>0</v>
      </c>
    </row>
    <row r="79" ht="15.0" customHeight="1">
      <c r="A79" s="19" t="s">
        <v>15</v>
      </c>
      <c r="B79" s="47" t="s">
        <v>47</v>
      </c>
      <c r="C79" s="15"/>
      <c r="D79" s="16"/>
      <c r="E79" s="13">
        <f t="shared" ref="E79:M79" si="19">SUM(E69:E76)</f>
        <v>31</v>
      </c>
      <c r="F79" s="13">
        <f t="shared" si="19"/>
        <v>19</v>
      </c>
      <c r="G79" s="13">
        <f t="shared" si="19"/>
        <v>25</v>
      </c>
      <c r="H79" s="13">
        <f t="shared" si="19"/>
        <v>19</v>
      </c>
      <c r="I79" s="13">
        <f t="shared" si="19"/>
        <v>69</v>
      </c>
      <c r="J79" s="13">
        <f t="shared" si="19"/>
        <v>18</v>
      </c>
      <c r="K79" s="13">
        <f t="shared" si="19"/>
        <v>43</v>
      </c>
      <c r="L79" s="13">
        <f t="shared" si="19"/>
        <v>62</v>
      </c>
      <c r="M79" s="13">
        <f t="shared" si="19"/>
        <v>33</v>
      </c>
      <c r="N79" s="13">
        <f t="shared" si="18"/>
        <v>319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4.0</v>
      </c>
      <c r="F81" s="19">
        <v>2.0</v>
      </c>
      <c r="G81" s="19">
        <v>6.0</v>
      </c>
      <c r="H81" s="19">
        <v>10.0</v>
      </c>
      <c r="I81" s="19">
        <v>0.0</v>
      </c>
      <c r="J81" s="19">
        <v>4.0</v>
      </c>
      <c r="K81" s="19">
        <v>7.0</v>
      </c>
      <c r="L81" s="19">
        <v>8.0</v>
      </c>
      <c r="M81" s="19">
        <v>6.0</v>
      </c>
      <c r="N81" s="13">
        <f t="shared" ref="N81:N91" si="20">SUM(E81:M81)</f>
        <v>47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17.0</v>
      </c>
      <c r="F82" s="19">
        <v>5.0</v>
      </c>
      <c r="G82" s="19">
        <v>11.0</v>
      </c>
      <c r="H82" s="19">
        <v>27.0</v>
      </c>
      <c r="I82" s="19">
        <v>4.0</v>
      </c>
      <c r="J82" s="19">
        <v>7.0</v>
      </c>
      <c r="K82" s="19">
        <v>2.0</v>
      </c>
      <c r="L82" s="19">
        <v>5.0</v>
      </c>
      <c r="M82" s="19">
        <v>2.0</v>
      </c>
      <c r="N82" s="13">
        <f t="shared" si="20"/>
        <v>80</v>
      </c>
    </row>
    <row r="83" ht="12.75" customHeight="1">
      <c r="A83" s="18"/>
      <c r="B83" s="55">
        <v>2.0</v>
      </c>
      <c r="C83" s="50" t="s">
        <v>66</v>
      </c>
      <c r="D83" s="57"/>
      <c r="E83" s="19">
        <v>0.0</v>
      </c>
      <c r="F83" s="19">
        <v>0.0</v>
      </c>
      <c r="G83" s="19">
        <v>0.0</v>
      </c>
      <c r="H83" s="19">
        <v>2.0</v>
      </c>
      <c r="I83" s="19">
        <v>3.0</v>
      </c>
      <c r="J83" s="19">
        <v>0.0</v>
      </c>
      <c r="K83" s="19">
        <v>4.0</v>
      </c>
      <c r="L83" s="19">
        <v>0.0</v>
      </c>
      <c r="M83" s="19">
        <v>4.0</v>
      </c>
      <c r="N83" s="13">
        <f t="shared" si="20"/>
        <v>13</v>
      </c>
    </row>
    <row r="84" ht="12.75" customHeight="1">
      <c r="A84" s="18"/>
      <c r="B84" s="55">
        <v>3.0</v>
      </c>
      <c r="C84" s="50" t="s">
        <v>67</v>
      </c>
      <c r="D84" s="57"/>
      <c r="E84" s="19">
        <v>0.0</v>
      </c>
      <c r="F84" s="19">
        <v>0.0</v>
      </c>
      <c r="G84" s="19">
        <v>0.0</v>
      </c>
      <c r="H84" s="19">
        <v>2.0</v>
      </c>
      <c r="I84" s="19">
        <v>2.0</v>
      </c>
      <c r="J84" s="19">
        <v>1.0</v>
      </c>
      <c r="K84" s="19">
        <v>0.0</v>
      </c>
      <c r="L84" s="19">
        <v>0.0</v>
      </c>
      <c r="M84" s="19">
        <v>2.0</v>
      </c>
      <c r="N84" s="13">
        <f t="shared" si="20"/>
        <v>7</v>
      </c>
    </row>
    <row r="85" ht="12.75" customHeight="1">
      <c r="A85" s="18"/>
      <c r="B85" s="55">
        <v>4.0</v>
      </c>
      <c r="C85" s="50" t="s">
        <v>68</v>
      </c>
      <c r="D85" s="57"/>
      <c r="E85" s="19">
        <v>0.0</v>
      </c>
      <c r="F85" s="19">
        <v>0.0</v>
      </c>
      <c r="G85" s="19">
        <v>2.0</v>
      </c>
      <c r="H85" s="19">
        <v>3.0</v>
      </c>
      <c r="I85" s="19">
        <v>0.0</v>
      </c>
      <c r="J85" s="19">
        <v>0.0</v>
      </c>
      <c r="K85" s="19">
        <v>0.0</v>
      </c>
      <c r="L85" s="19">
        <v>0.0</v>
      </c>
      <c r="M85" s="19">
        <v>1.0</v>
      </c>
      <c r="N85" s="13">
        <f t="shared" si="20"/>
        <v>6</v>
      </c>
    </row>
    <row r="86" ht="12.75" customHeight="1">
      <c r="A86" s="18"/>
      <c r="B86" s="55">
        <v>5.0</v>
      </c>
      <c r="C86" s="50" t="s">
        <v>69</v>
      </c>
      <c r="D86" s="57"/>
      <c r="E86" s="19">
        <v>1.0</v>
      </c>
      <c r="F86" s="19">
        <v>0.0</v>
      </c>
      <c r="G86" s="19">
        <v>0.0</v>
      </c>
      <c r="H86" s="19">
        <v>0.0</v>
      </c>
      <c r="I86" s="19">
        <v>0.0</v>
      </c>
      <c r="J86" s="19">
        <v>0.0</v>
      </c>
      <c r="K86" s="19">
        <v>1.0</v>
      </c>
      <c r="L86" s="19">
        <v>0.0</v>
      </c>
      <c r="M86" s="19">
        <v>0.0</v>
      </c>
      <c r="N86" s="13">
        <f t="shared" si="20"/>
        <v>2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0.0</v>
      </c>
      <c r="G87" s="19">
        <v>0.0</v>
      </c>
      <c r="H87" s="19">
        <v>0.0</v>
      </c>
      <c r="I87" s="19">
        <v>1.0</v>
      </c>
      <c r="J87" s="19">
        <v>0.0</v>
      </c>
      <c r="K87" s="19">
        <v>0.0</v>
      </c>
      <c r="L87" s="19">
        <v>0.0</v>
      </c>
      <c r="M87" s="19">
        <v>0.0</v>
      </c>
      <c r="N87" s="13">
        <f t="shared" si="20"/>
        <v>1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3">
        <f t="shared" si="20"/>
        <v>0</v>
      </c>
    </row>
    <row r="89" ht="12.75" customHeight="1">
      <c r="A89" s="18"/>
      <c r="B89" s="68"/>
      <c r="C89" s="69"/>
      <c r="D89" s="71"/>
      <c r="E89" s="19"/>
      <c r="F89" s="19"/>
      <c r="G89" s="19"/>
      <c r="H89" s="19"/>
      <c r="I89" s="19"/>
      <c r="J89" s="19"/>
      <c r="K89" s="19"/>
      <c r="L89" s="19"/>
      <c r="M89" s="19"/>
      <c r="N89" s="13">
        <f t="shared" si="20"/>
        <v>0</v>
      </c>
    </row>
    <row r="90" ht="12.75" customHeight="1">
      <c r="A90" s="18"/>
      <c r="B90" s="68"/>
      <c r="C90" s="69"/>
      <c r="D90" s="71"/>
      <c r="E90" s="19"/>
      <c r="F90" s="19"/>
      <c r="G90" s="19"/>
      <c r="H90" s="19"/>
      <c r="I90" s="19"/>
      <c r="J90" s="19"/>
      <c r="K90" s="19"/>
      <c r="L90" s="19"/>
      <c r="M90" s="19"/>
      <c r="N90" s="13">
        <f t="shared" si="20"/>
        <v>0</v>
      </c>
    </row>
    <row r="91" ht="15.0" customHeight="1">
      <c r="A91" s="19" t="s">
        <v>15</v>
      </c>
      <c r="B91" s="47" t="s">
        <v>47</v>
      </c>
      <c r="C91" s="15"/>
      <c r="D91" s="16"/>
      <c r="E91" s="13">
        <f t="shared" ref="E91:M91" si="21">SUM(E81:E88)</f>
        <v>22</v>
      </c>
      <c r="F91" s="13">
        <f t="shared" si="21"/>
        <v>7</v>
      </c>
      <c r="G91" s="13">
        <f t="shared" si="21"/>
        <v>19</v>
      </c>
      <c r="H91" s="13">
        <f t="shared" si="21"/>
        <v>44</v>
      </c>
      <c r="I91" s="13">
        <f t="shared" si="21"/>
        <v>10</v>
      </c>
      <c r="J91" s="13">
        <f t="shared" si="21"/>
        <v>12</v>
      </c>
      <c r="K91" s="13">
        <f t="shared" si="21"/>
        <v>14</v>
      </c>
      <c r="L91" s="13">
        <f t="shared" si="21"/>
        <v>13</v>
      </c>
      <c r="M91" s="13">
        <f t="shared" si="21"/>
        <v>15</v>
      </c>
      <c r="N91" s="13">
        <f t="shared" si="20"/>
        <v>156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1.0</v>
      </c>
      <c r="F93" s="19">
        <v>4.0</v>
      </c>
      <c r="G93" s="19">
        <v>4.0</v>
      </c>
      <c r="H93" s="19">
        <v>1.0</v>
      </c>
      <c r="I93" s="19">
        <v>0.0</v>
      </c>
      <c r="J93" s="19">
        <v>0.0</v>
      </c>
      <c r="K93" s="19">
        <v>0.0</v>
      </c>
      <c r="L93" s="19">
        <v>2.0</v>
      </c>
      <c r="M93" s="19">
        <v>0.0</v>
      </c>
      <c r="N93" s="13">
        <f t="shared" ref="N93:N103" si="22">SUM(E93:M93)</f>
        <v>12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7.0</v>
      </c>
      <c r="F94" s="19">
        <v>12.0</v>
      </c>
      <c r="G94" s="19">
        <v>2.0</v>
      </c>
      <c r="H94" s="19">
        <v>2.0</v>
      </c>
      <c r="I94" s="19">
        <v>0.0</v>
      </c>
      <c r="J94" s="19">
        <v>0.0</v>
      </c>
      <c r="K94" s="19">
        <v>0.0</v>
      </c>
      <c r="L94" s="19">
        <v>2.0</v>
      </c>
      <c r="M94" s="19">
        <v>1.0</v>
      </c>
      <c r="N94" s="13">
        <f t="shared" si="22"/>
        <v>26</v>
      </c>
    </row>
    <row r="95" ht="12.75" customHeight="1">
      <c r="A95" s="18"/>
      <c r="B95" s="55">
        <v>2.0</v>
      </c>
      <c r="C95" s="50" t="s">
        <v>75</v>
      </c>
      <c r="D95" s="57"/>
      <c r="E95" s="19">
        <v>0.0</v>
      </c>
      <c r="F95" s="19">
        <v>0.0</v>
      </c>
      <c r="G95" s="19">
        <v>0.0</v>
      </c>
      <c r="H95" s="19">
        <v>2.0</v>
      </c>
      <c r="I95" s="19">
        <v>5.0</v>
      </c>
      <c r="J95" s="19">
        <v>0.0</v>
      </c>
      <c r="K95" s="19">
        <v>0.0</v>
      </c>
      <c r="L95" s="19">
        <v>0.0</v>
      </c>
      <c r="M95" s="19">
        <v>0.0</v>
      </c>
      <c r="N95" s="13">
        <f t="shared" si="22"/>
        <v>7</v>
      </c>
    </row>
    <row r="96" ht="12.75" customHeight="1">
      <c r="A96" s="18"/>
      <c r="B96" s="55">
        <v>3.0</v>
      </c>
      <c r="C96" s="50" t="s">
        <v>76</v>
      </c>
      <c r="D96" s="57"/>
      <c r="E96" s="19">
        <v>0.0</v>
      </c>
      <c r="F96" s="19">
        <v>0.0</v>
      </c>
      <c r="G96" s="19">
        <v>0.0</v>
      </c>
      <c r="H96" s="19">
        <v>2.0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3">
        <f t="shared" si="22"/>
        <v>2</v>
      </c>
    </row>
    <row r="97" ht="12.75" customHeight="1">
      <c r="A97" s="18"/>
      <c r="B97" s="55">
        <v>4.0</v>
      </c>
      <c r="C97" s="50" t="s">
        <v>77</v>
      </c>
      <c r="D97" s="57"/>
      <c r="E97" s="19">
        <v>0.0</v>
      </c>
      <c r="F97" s="19">
        <v>0.0</v>
      </c>
      <c r="G97" s="19">
        <v>0.0</v>
      </c>
      <c r="H97" s="19">
        <v>0.0</v>
      </c>
      <c r="I97" s="19">
        <v>0.0</v>
      </c>
      <c r="J97" s="19">
        <v>0.0</v>
      </c>
      <c r="K97" s="19">
        <v>0.0</v>
      </c>
      <c r="L97" s="19">
        <v>0.0</v>
      </c>
      <c r="M97" s="19">
        <v>0.0</v>
      </c>
      <c r="N97" s="13">
        <f t="shared" si="22"/>
        <v>0</v>
      </c>
    </row>
    <row r="98" ht="12.75" customHeight="1">
      <c r="A98" s="18"/>
      <c r="B98" s="55">
        <v>5.0</v>
      </c>
      <c r="C98" s="50" t="s">
        <v>78</v>
      </c>
      <c r="D98" s="57"/>
      <c r="E98" s="19">
        <v>0.0</v>
      </c>
      <c r="F98" s="19">
        <v>1.0</v>
      </c>
      <c r="G98" s="19">
        <v>0.0</v>
      </c>
      <c r="H98" s="19">
        <v>1.0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3">
        <f t="shared" si="22"/>
        <v>2</v>
      </c>
    </row>
    <row r="99" ht="12.75" customHeight="1">
      <c r="A99" s="18"/>
      <c r="B99" s="55">
        <v>6.0</v>
      </c>
      <c r="C99" s="50" t="s">
        <v>79</v>
      </c>
      <c r="D99" s="57"/>
      <c r="E99" s="19">
        <v>1.0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3.0</v>
      </c>
      <c r="L99" s="19">
        <v>0.0</v>
      </c>
      <c r="M99" s="19">
        <v>0.0</v>
      </c>
      <c r="N99" s="13">
        <f t="shared" si="22"/>
        <v>4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0.0</v>
      </c>
      <c r="G100" s="19">
        <v>1.0</v>
      </c>
      <c r="H100" s="19">
        <v>0.0</v>
      </c>
      <c r="I100" s="19">
        <v>0.0</v>
      </c>
      <c r="J100" s="19">
        <v>0.0</v>
      </c>
      <c r="K100" s="19">
        <v>2.0</v>
      </c>
      <c r="L100" s="19">
        <v>0.0</v>
      </c>
      <c r="M100" s="19">
        <v>0.0</v>
      </c>
      <c r="N100" s="13">
        <f t="shared" si="22"/>
        <v>3</v>
      </c>
    </row>
    <row r="101" ht="12.75" customHeight="1">
      <c r="A101" s="18"/>
      <c r="B101" s="68"/>
      <c r="C101" s="69"/>
      <c r="D101" s="71"/>
      <c r="E101" s="19"/>
      <c r="F101" s="19"/>
      <c r="G101" s="19"/>
      <c r="H101" s="19"/>
      <c r="I101" s="19"/>
      <c r="J101" s="19"/>
      <c r="K101" s="19"/>
      <c r="L101" s="19"/>
      <c r="M101" s="19"/>
      <c r="N101" s="13">
        <f t="shared" si="22"/>
        <v>0</v>
      </c>
    </row>
    <row r="102" ht="12.75" customHeight="1">
      <c r="A102" s="18"/>
      <c r="B102" s="68"/>
      <c r="C102" s="69"/>
      <c r="D102" s="71"/>
      <c r="E102" s="19"/>
      <c r="F102" s="19"/>
      <c r="G102" s="19"/>
      <c r="H102" s="19"/>
      <c r="I102" s="19"/>
      <c r="J102" s="19"/>
      <c r="K102" s="19"/>
      <c r="L102" s="19"/>
      <c r="M102" s="19"/>
      <c r="N102" s="13">
        <f t="shared" si="22"/>
        <v>0</v>
      </c>
    </row>
    <row r="103" ht="15.0" customHeight="1">
      <c r="A103" s="19" t="s">
        <v>15</v>
      </c>
      <c r="B103" s="47" t="s">
        <v>47</v>
      </c>
      <c r="C103" s="15"/>
      <c r="D103" s="16"/>
      <c r="E103" s="13">
        <f t="shared" ref="E103:M103" si="23">SUM(E93:E100)</f>
        <v>9</v>
      </c>
      <c r="F103" s="13">
        <f t="shared" si="23"/>
        <v>17</v>
      </c>
      <c r="G103" s="13">
        <f t="shared" si="23"/>
        <v>7</v>
      </c>
      <c r="H103" s="13">
        <f t="shared" si="23"/>
        <v>8</v>
      </c>
      <c r="I103" s="13">
        <f t="shared" si="23"/>
        <v>5</v>
      </c>
      <c r="J103" s="13">
        <f t="shared" si="23"/>
        <v>0</v>
      </c>
      <c r="K103" s="13">
        <f t="shared" si="23"/>
        <v>5</v>
      </c>
      <c r="L103" s="13">
        <f t="shared" si="23"/>
        <v>4</v>
      </c>
      <c r="M103" s="13">
        <f t="shared" si="23"/>
        <v>1</v>
      </c>
      <c r="N103" s="13">
        <f t="shared" si="22"/>
        <v>56</v>
      </c>
    </row>
    <row r="104" ht="12.75" customHeight="1">
      <c r="A104" s="45"/>
      <c r="B104" s="44"/>
      <c r="C104" s="44"/>
      <c r="D104" s="44"/>
      <c r="E104" s="44"/>
      <c r="F104" s="72"/>
      <c r="G104" s="72"/>
      <c r="H104" s="72"/>
      <c r="I104" s="72"/>
      <c r="J104" s="72"/>
      <c r="K104" s="72"/>
      <c r="L104" s="72"/>
      <c r="M104" s="72"/>
      <c r="N104" s="72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1.0</v>
      </c>
      <c r="G105" s="19">
        <v>2.0</v>
      </c>
      <c r="H105" s="19">
        <v>1.0</v>
      </c>
      <c r="I105" s="19">
        <v>1.0</v>
      </c>
      <c r="J105" s="19">
        <v>0.0</v>
      </c>
      <c r="K105" s="19">
        <v>0.0</v>
      </c>
      <c r="L105" s="19">
        <v>0.0</v>
      </c>
      <c r="M105" s="19">
        <v>1.0</v>
      </c>
      <c r="N105" s="13">
        <f t="shared" ref="N105:N115" si="24">SUM(E105:M105)</f>
        <v>6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3">
        <f t="shared" si="24"/>
        <v>0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0.0</v>
      </c>
      <c r="G107" s="19">
        <v>0.0</v>
      </c>
      <c r="H107" s="19">
        <v>0.0</v>
      </c>
      <c r="I107" s="19">
        <v>1.0</v>
      </c>
      <c r="J107" s="19">
        <v>0.0</v>
      </c>
      <c r="K107" s="19">
        <v>1.0</v>
      </c>
      <c r="L107" s="19">
        <v>0.0</v>
      </c>
      <c r="M107" s="19">
        <v>2.0</v>
      </c>
      <c r="N107" s="13">
        <f t="shared" si="24"/>
        <v>4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3">
        <f t="shared" si="24"/>
        <v>0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1.0</v>
      </c>
      <c r="J109" s="19">
        <v>0.0</v>
      </c>
      <c r="K109" s="19">
        <v>0.0</v>
      </c>
      <c r="L109" s="19">
        <v>0.0</v>
      </c>
      <c r="M109" s="19">
        <v>1.0</v>
      </c>
      <c r="N109" s="13">
        <f t="shared" si="24"/>
        <v>2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3">
        <f t="shared" si="24"/>
        <v>0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3">
        <f t="shared" si="24"/>
        <v>0</v>
      </c>
    </row>
    <row r="113" ht="12.75" customHeight="1">
      <c r="A113" s="18"/>
      <c r="B113" s="68"/>
      <c r="C113" s="69"/>
      <c r="D113" s="71"/>
      <c r="E113" s="19"/>
      <c r="F113" s="19"/>
      <c r="G113" s="19"/>
      <c r="H113" s="19"/>
      <c r="I113" s="19"/>
      <c r="J113" s="19"/>
      <c r="K113" s="19"/>
      <c r="L113" s="19"/>
      <c r="M113" s="19"/>
      <c r="N113" s="13">
        <f t="shared" si="24"/>
        <v>0</v>
      </c>
    </row>
    <row r="114" ht="12.75" customHeight="1">
      <c r="A114" s="18"/>
      <c r="B114" s="68"/>
      <c r="C114" s="69"/>
      <c r="D114" s="71"/>
      <c r="E114" s="19"/>
      <c r="F114" s="19"/>
      <c r="G114" s="19"/>
      <c r="H114" s="19"/>
      <c r="I114" s="19"/>
      <c r="J114" s="19"/>
      <c r="K114" s="19"/>
      <c r="L114" s="19"/>
      <c r="M114" s="19"/>
      <c r="N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M115" si="25">SUM(E105:E112)</f>
        <v>0</v>
      </c>
      <c r="F115" s="13">
        <f t="shared" si="25"/>
        <v>1</v>
      </c>
      <c r="G115" s="13">
        <f t="shared" si="25"/>
        <v>2</v>
      </c>
      <c r="H115" s="13">
        <f t="shared" si="25"/>
        <v>1</v>
      </c>
      <c r="I115" s="13">
        <f t="shared" si="25"/>
        <v>3</v>
      </c>
      <c r="J115" s="13">
        <f t="shared" si="25"/>
        <v>0</v>
      </c>
      <c r="K115" s="13">
        <f t="shared" si="25"/>
        <v>1</v>
      </c>
      <c r="L115" s="13">
        <f t="shared" si="25"/>
        <v>0</v>
      </c>
      <c r="M115" s="13">
        <f t="shared" si="25"/>
        <v>4</v>
      </c>
      <c r="N115" s="13">
        <f t="shared" si="24"/>
        <v>12</v>
      </c>
    </row>
    <row r="116" ht="12.75" customHeight="1">
      <c r="A116" s="24"/>
      <c r="B116" s="15"/>
      <c r="C116" s="15"/>
      <c r="D116" s="15"/>
      <c r="E116" s="16"/>
      <c r="F116" s="72"/>
      <c r="G116" s="72"/>
      <c r="H116" s="72"/>
      <c r="I116" s="72"/>
      <c r="J116" s="72"/>
      <c r="K116" s="72"/>
      <c r="L116" s="72"/>
      <c r="M116" s="72"/>
      <c r="N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0.0</v>
      </c>
      <c r="G117" s="19">
        <v>0.0</v>
      </c>
      <c r="H117" s="19">
        <v>0.0</v>
      </c>
      <c r="I117" s="19">
        <v>2.0</v>
      </c>
      <c r="J117" s="19">
        <v>0.0</v>
      </c>
      <c r="K117" s="19">
        <v>0.0</v>
      </c>
      <c r="L117" s="19">
        <v>1.0</v>
      </c>
      <c r="M117" s="19">
        <v>2.0</v>
      </c>
      <c r="N117" s="13">
        <f t="shared" ref="N117:N127" si="26">SUM(E117:M117)</f>
        <v>5</v>
      </c>
      <c r="O117" s="5"/>
      <c r="P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0.0</v>
      </c>
      <c r="F118" s="19">
        <v>0.0</v>
      </c>
      <c r="G118" s="19">
        <v>1.0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1.0</v>
      </c>
      <c r="N118" s="13">
        <f t="shared" si="26"/>
        <v>2</v>
      </c>
      <c r="O118" s="5"/>
      <c r="P118" s="5"/>
    </row>
    <row r="119" ht="12.75" customHeight="1">
      <c r="A119" s="18"/>
      <c r="B119" s="55">
        <v>2.0</v>
      </c>
      <c r="C119" s="50" t="s">
        <v>93</v>
      </c>
      <c r="D119" s="57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1.0</v>
      </c>
      <c r="N119" s="13">
        <f t="shared" si="26"/>
        <v>1</v>
      </c>
      <c r="O119" s="5"/>
      <c r="P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3">
        <f t="shared" si="26"/>
        <v>0</v>
      </c>
      <c r="O120" s="5"/>
      <c r="P120" s="5"/>
    </row>
    <row r="121" ht="12.75" customHeight="1">
      <c r="A121" s="18"/>
      <c r="B121" s="68"/>
      <c r="C121" s="69"/>
      <c r="D121" s="71"/>
      <c r="E121" s="40"/>
      <c r="F121" s="19"/>
      <c r="G121" s="19"/>
      <c r="H121" s="19"/>
      <c r="I121" s="19"/>
      <c r="J121" s="19"/>
      <c r="K121" s="19"/>
      <c r="L121" s="19"/>
      <c r="M121" s="19"/>
      <c r="N121" s="13">
        <f t="shared" si="26"/>
        <v>0</v>
      </c>
      <c r="O121" s="5"/>
      <c r="P121" s="5"/>
    </row>
    <row r="122" ht="12.75" customHeight="1">
      <c r="A122" s="18"/>
      <c r="B122" s="68"/>
      <c r="C122" s="69"/>
      <c r="D122" s="71"/>
      <c r="E122" s="40"/>
      <c r="F122" s="19"/>
      <c r="G122" s="19"/>
      <c r="H122" s="19"/>
      <c r="I122" s="19"/>
      <c r="J122" s="19"/>
      <c r="K122" s="19"/>
      <c r="L122" s="19"/>
      <c r="M122" s="19"/>
      <c r="N122" s="13">
        <f t="shared" si="26"/>
        <v>0</v>
      </c>
      <c r="O122" s="5"/>
      <c r="P122" s="5"/>
    </row>
    <row r="123" ht="12.75" customHeight="1">
      <c r="A123" s="18"/>
      <c r="B123" s="68"/>
      <c r="C123" s="69"/>
      <c r="D123" s="71"/>
      <c r="E123" s="40"/>
      <c r="F123" s="40"/>
      <c r="G123" s="40"/>
      <c r="H123" s="40"/>
      <c r="I123" s="40"/>
      <c r="J123" s="40"/>
      <c r="K123" s="40"/>
      <c r="L123" s="40"/>
      <c r="M123" s="40"/>
      <c r="N123" s="13">
        <f t="shared" si="26"/>
        <v>0</v>
      </c>
      <c r="O123" s="5"/>
      <c r="P123" s="5"/>
    </row>
    <row r="124" ht="12.75" customHeight="1">
      <c r="A124" s="18"/>
      <c r="B124" s="68"/>
      <c r="C124" s="69"/>
      <c r="D124" s="71"/>
      <c r="E124" s="40"/>
      <c r="F124" s="40"/>
      <c r="G124" s="40"/>
      <c r="H124" s="40"/>
      <c r="I124" s="40"/>
      <c r="J124" s="40"/>
      <c r="K124" s="40"/>
      <c r="L124" s="40"/>
      <c r="M124" s="40"/>
      <c r="N124" s="13">
        <f t="shared" si="26"/>
        <v>0</v>
      </c>
      <c r="O124" s="5"/>
      <c r="P124" s="5"/>
    </row>
    <row r="125" ht="12.75" customHeight="1">
      <c r="A125" s="18"/>
      <c r="B125" s="68"/>
      <c r="C125" s="69"/>
      <c r="D125" s="71"/>
      <c r="E125" s="40"/>
      <c r="F125" s="40"/>
      <c r="G125" s="40"/>
      <c r="H125" s="40"/>
      <c r="I125" s="40"/>
      <c r="J125" s="40"/>
      <c r="K125" s="40"/>
      <c r="L125" s="40"/>
      <c r="M125" s="40"/>
      <c r="N125" s="13">
        <f t="shared" si="26"/>
        <v>0</v>
      </c>
      <c r="O125" s="5"/>
      <c r="P125" s="5"/>
    </row>
    <row r="126" ht="12.75" customHeight="1">
      <c r="A126" s="18"/>
      <c r="B126" s="68"/>
      <c r="C126" s="69"/>
      <c r="D126" s="71"/>
      <c r="E126" s="40"/>
      <c r="F126" s="40"/>
      <c r="G126" s="40"/>
      <c r="H126" s="40"/>
      <c r="I126" s="40"/>
      <c r="J126" s="40"/>
      <c r="K126" s="40"/>
      <c r="L126" s="40"/>
      <c r="M126" s="40"/>
      <c r="N126" s="13">
        <f t="shared" si="26"/>
        <v>0</v>
      </c>
      <c r="O126" s="5"/>
      <c r="P126" s="5"/>
    </row>
    <row r="127" ht="15.0" customHeight="1">
      <c r="A127" s="19" t="s">
        <v>15</v>
      </c>
      <c r="B127" s="47" t="s">
        <v>47</v>
      </c>
      <c r="C127" s="15"/>
      <c r="D127" s="16"/>
      <c r="E127" s="58">
        <f t="shared" ref="E127:M127" si="27">SUM(E117:E120)</f>
        <v>0</v>
      </c>
      <c r="F127" s="58">
        <f t="shared" si="27"/>
        <v>0</v>
      </c>
      <c r="G127" s="58">
        <f t="shared" si="27"/>
        <v>1</v>
      </c>
      <c r="H127" s="58">
        <f t="shared" si="27"/>
        <v>0</v>
      </c>
      <c r="I127" s="58">
        <f t="shared" si="27"/>
        <v>2</v>
      </c>
      <c r="J127" s="58">
        <f t="shared" si="27"/>
        <v>0</v>
      </c>
      <c r="K127" s="58">
        <f t="shared" si="27"/>
        <v>0</v>
      </c>
      <c r="L127" s="58">
        <f t="shared" si="27"/>
        <v>1</v>
      </c>
      <c r="M127" s="58">
        <f t="shared" si="27"/>
        <v>4</v>
      </c>
      <c r="N127" s="13">
        <f t="shared" si="26"/>
        <v>8</v>
      </c>
      <c r="O127" s="5"/>
      <c r="P127" s="5"/>
    </row>
    <row r="128" ht="12.75" customHeight="1">
      <c r="A128" s="24"/>
      <c r="B128" s="15"/>
      <c r="C128" s="15"/>
      <c r="D128" s="15"/>
      <c r="E128" s="16"/>
      <c r="F128" s="72"/>
      <c r="G128" s="72"/>
      <c r="H128" s="72"/>
      <c r="I128" s="72"/>
      <c r="J128" s="72"/>
      <c r="K128" s="72"/>
      <c r="L128" s="72"/>
      <c r="M128" s="72"/>
      <c r="N128" s="72"/>
      <c r="O128" s="5"/>
      <c r="P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1.0</v>
      </c>
      <c r="F129" s="19">
        <v>0.0</v>
      </c>
      <c r="G129" s="19">
        <v>1.0</v>
      </c>
      <c r="H129" s="19">
        <v>0.0</v>
      </c>
      <c r="I129" s="19">
        <v>0.0</v>
      </c>
      <c r="J129" s="19">
        <v>0.0</v>
      </c>
      <c r="K129" s="19">
        <v>0.0</v>
      </c>
      <c r="L129" s="19">
        <v>1.0</v>
      </c>
      <c r="M129" s="19">
        <v>5.0</v>
      </c>
      <c r="N129" s="13">
        <f t="shared" ref="N129:N139" si="28">SUM(E129:M129)</f>
        <v>8</v>
      </c>
      <c r="O129" s="5"/>
      <c r="P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0.0</v>
      </c>
      <c r="F130" s="19">
        <v>0.0</v>
      </c>
      <c r="G130" s="19">
        <v>0.0</v>
      </c>
      <c r="H130" s="19">
        <v>0.0</v>
      </c>
      <c r="I130" s="19">
        <v>1.0</v>
      </c>
      <c r="J130" s="19">
        <v>0.0</v>
      </c>
      <c r="K130" s="19">
        <v>2.0</v>
      </c>
      <c r="L130" s="19">
        <v>0.0</v>
      </c>
      <c r="M130" s="19">
        <v>2.0</v>
      </c>
      <c r="N130" s="13">
        <f t="shared" si="28"/>
        <v>5</v>
      </c>
      <c r="O130" s="1"/>
      <c r="P130" s="1"/>
    </row>
    <row r="131" ht="12.75" customHeight="1">
      <c r="A131" s="18"/>
      <c r="B131" s="55">
        <v>2.0</v>
      </c>
      <c r="C131" s="50" t="s">
        <v>98</v>
      </c>
      <c r="D131" s="56"/>
      <c r="E131" s="19">
        <v>2.0</v>
      </c>
      <c r="F131" s="19">
        <v>2.0</v>
      </c>
      <c r="G131" s="19">
        <v>2.0</v>
      </c>
      <c r="H131" s="19">
        <v>0.0</v>
      </c>
      <c r="I131" s="19">
        <v>0.0</v>
      </c>
      <c r="J131" s="19">
        <v>0.0</v>
      </c>
      <c r="K131" s="19">
        <v>0.0</v>
      </c>
      <c r="L131" s="19">
        <v>0.0</v>
      </c>
      <c r="M131" s="19">
        <v>0.0</v>
      </c>
      <c r="N131" s="13">
        <f t="shared" si="28"/>
        <v>6</v>
      </c>
      <c r="O131" s="52"/>
      <c r="P131" s="52"/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3">
        <f t="shared" si="28"/>
        <v>0</v>
      </c>
      <c r="O132" s="5"/>
      <c r="P132" s="5"/>
    </row>
    <row r="133" ht="12.75" customHeight="1">
      <c r="A133" s="18"/>
      <c r="B133" s="55">
        <v>4.0</v>
      </c>
      <c r="C133" s="50" t="s">
        <v>100</v>
      </c>
      <c r="D133" s="56"/>
      <c r="E133" s="19">
        <v>0.0</v>
      </c>
      <c r="F133" s="19">
        <v>0.0</v>
      </c>
      <c r="G133" s="19">
        <v>0.0</v>
      </c>
      <c r="H133" s="19">
        <v>0.0</v>
      </c>
      <c r="I133" s="19">
        <v>1.0</v>
      </c>
      <c r="J133" s="19">
        <v>0.0</v>
      </c>
      <c r="K133" s="19">
        <v>0.0</v>
      </c>
      <c r="L133" s="19">
        <v>0.0</v>
      </c>
      <c r="M133" s="19">
        <v>0.0</v>
      </c>
      <c r="N133" s="13">
        <f t="shared" si="28"/>
        <v>1</v>
      </c>
      <c r="O133" s="5"/>
      <c r="P133" s="5"/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0.0</v>
      </c>
      <c r="G134" s="19">
        <v>1.0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1.0</v>
      </c>
      <c r="N134" s="13">
        <f t="shared" si="28"/>
        <v>2</v>
      </c>
      <c r="O134" s="5"/>
      <c r="P134" s="5"/>
    </row>
    <row r="135" ht="12.75" customHeight="1">
      <c r="A135" s="18"/>
      <c r="B135" s="55">
        <v>6.0</v>
      </c>
      <c r="C135" s="50" t="s">
        <v>102</v>
      </c>
      <c r="D135" s="57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1.0</v>
      </c>
      <c r="M135" s="19">
        <v>1.0</v>
      </c>
      <c r="N135" s="13">
        <f t="shared" si="28"/>
        <v>2</v>
      </c>
      <c r="O135" s="5"/>
      <c r="P135" s="5"/>
    </row>
    <row r="136" ht="12.75" customHeight="1">
      <c r="A136" s="18"/>
      <c r="B136" s="55">
        <v>7.0</v>
      </c>
      <c r="C136" s="50" t="s">
        <v>103</v>
      </c>
      <c r="D136" s="56"/>
      <c r="E136" s="19">
        <v>1.0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3">
        <f t="shared" si="28"/>
        <v>1</v>
      </c>
      <c r="O136" s="5"/>
      <c r="P136" s="5"/>
    </row>
    <row r="137" ht="12.75" customHeight="1">
      <c r="A137" s="18"/>
      <c r="B137" s="68"/>
      <c r="C137" s="69"/>
      <c r="D137" s="70"/>
      <c r="E137" s="19"/>
      <c r="F137" s="19"/>
      <c r="G137" s="19"/>
      <c r="H137" s="19"/>
      <c r="I137" s="19"/>
      <c r="J137" s="19"/>
      <c r="K137" s="19"/>
      <c r="L137" s="19"/>
      <c r="M137" s="19"/>
      <c r="N137" s="13">
        <f t="shared" si="28"/>
        <v>0</v>
      </c>
      <c r="O137" s="5"/>
      <c r="P137" s="5"/>
    </row>
    <row r="138" ht="12.75" customHeight="1">
      <c r="A138" s="18"/>
      <c r="B138" s="68"/>
      <c r="C138" s="69"/>
      <c r="D138" s="70"/>
      <c r="E138" s="19"/>
      <c r="F138" s="19"/>
      <c r="G138" s="19"/>
      <c r="H138" s="19"/>
      <c r="I138" s="19"/>
      <c r="J138" s="19"/>
      <c r="K138" s="19"/>
      <c r="L138" s="19"/>
      <c r="M138" s="19"/>
      <c r="N138" s="13">
        <f t="shared" si="28"/>
        <v>0</v>
      </c>
      <c r="O138" s="5"/>
      <c r="P138" s="5"/>
    </row>
    <row r="139" ht="15.0" customHeight="1">
      <c r="A139" s="19" t="s">
        <v>15</v>
      </c>
      <c r="B139" s="47" t="s">
        <v>47</v>
      </c>
      <c r="C139" s="15"/>
      <c r="D139" s="16"/>
      <c r="E139" s="13">
        <f t="shared" ref="E139:M139" si="29">SUM(E129:E136)</f>
        <v>4</v>
      </c>
      <c r="F139" s="13">
        <f t="shared" si="29"/>
        <v>2</v>
      </c>
      <c r="G139" s="13">
        <f t="shared" si="29"/>
        <v>4</v>
      </c>
      <c r="H139" s="13">
        <f t="shared" si="29"/>
        <v>0</v>
      </c>
      <c r="I139" s="13">
        <f t="shared" si="29"/>
        <v>2</v>
      </c>
      <c r="J139" s="13">
        <f t="shared" si="29"/>
        <v>0</v>
      </c>
      <c r="K139" s="13">
        <f t="shared" si="29"/>
        <v>2</v>
      </c>
      <c r="L139" s="13">
        <f t="shared" si="29"/>
        <v>2</v>
      </c>
      <c r="M139" s="13">
        <f t="shared" si="29"/>
        <v>9</v>
      </c>
      <c r="N139" s="13">
        <f t="shared" si="28"/>
        <v>25</v>
      </c>
      <c r="O139" s="5"/>
      <c r="P139" s="5"/>
    </row>
    <row r="140" ht="12.75" customHeight="1">
      <c r="A140" s="24"/>
      <c r="B140" s="15"/>
      <c r="C140" s="15"/>
      <c r="D140" s="15"/>
      <c r="E140" s="16"/>
      <c r="F140" s="72"/>
      <c r="G140" s="72"/>
      <c r="H140" s="72"/>
      <c r="I140" s="72"/>
      <c r="J140" s="72"/>
      <c r="K140" s="72"/>
      <c r="L140" s="72"/>
      <c r="M140" s="72"/>
      <c r="N140" s="72"/>
      <c r="O140" s="5"/>
      <c r="P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3">
        <f t="shared" ref="N141:N151" si="30">SUM(E141:M141)</f>
        <v>0</v>
      </c>
      <c r="O141" s="1"/>
      <c r="P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3">
        <f t="shared" si="30"/>
        <v>0</v>
      </c>
      <c r="O142" s="52"/>
      <c r="P142" s="52"/>
    </row>
    <row r="143" ht="12.75" customHeight="1">
      <c r="A143" s="18"/>
      <c r="B143" s="55">
        <v>2.0</v>
      </c>
      <c r="C143" s="50" t="s">
        <v>107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3">
        <f t="shared" si="30"/>
        <v>0</v>
      </c>
      <c r="O143" s="5"/>
      <c r="P143" s="5"/>
    </row>
    <row r="144" ht="12.75" customHeight="1">
      <c r="A144" s="18"/>
      <c r="B144" s="55">
        <v>3.0</v>
      </c>
      <c r="C144" s="50" t="s">
        <v>108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3">
        <f t="shared" si="30"/>
        <v>0</v>
      </c>
      <c r="O144" s="5"/>
      <c r="P144" s="5"/>
    </row>
    <row r="145" ht="12.75" customHeight="1">
      <c r="A145" s="18"/>
      <c r="B145" s="55">
        <v>4.0</v>
      </c>
      <c r="C145" s="50" t="s">
        <v>109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3">
        <f t="shared" si="30"/>
        <v>0</v>
      </c>
      <c r="O145" s="5"/>
      <c r="P145" s="5"/>
    </row>
    <row r="146" ht="12.75" customHeight="1">
      <c r="A146" s="18"/>
      <c r="B146" s="55">
        <v>5.0</v>
      </c>
      <c r="C146" s="50" t="s">
        <v>110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3">
        <f t="shared" si="30"/>
        <v>0</v>
      </c>
      <c r="O146" s="5"/>
      <c r="P146" s="5"/>
    </row>
    <row r="147" ht="12.75" customHeight="1">
      <c r="A147" s="18"/>
      <c r="B147" s="55">
        <v>6.0</v>
      </c>
      <c r="C147" s="50" t="s">
        <v>111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1.0</v>
      </c>
      <c r="N147" s="13">
        <f t="shared" si="30"/>
        <v>1</v>
      </c>
      <c r="O147" s="5"/>
      <c r="P147" s="5"/>
    </row>
    <row r="148" ht="12.75" customHeight="1">
      <c r="A148" s="18"/>
      <c r="B148" s="55">
        <v>7.0</v>
      </c>
      <c r="C148" s="50" t="s">
        <v>112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3">
        <f t="shared" si="30"/>
        <v>0</v>
      </c>
      <c r="O148" s="5"/>
      <c r="P148" s="5"/>
    </row>
    <row r="149" ht="12.75" customHeight="1">
      <c r="A149" s="18"/>
      <c r="B149" s="68"/>
      <c r="C149" s="69"/>
      <c r="D149" s="71"/>
      <c r="E149" s="19"/>
      <c r="F149" s="19"/>
      <c r="G149" s="19"/>
      <c r="H149" s="19"/>
      <c r="I149" s="19"/>
      <c r="J149" s="19"/>
      <c r="K149" s="19"/>
      <c r="L149" s="19"/>
      <c r="M149" s="19"/>
      <c r="N149" s="13">
        <f t="shared" si="30"/>
        <v>0</v>
      </c>
      <c r="O149" s="5"/>
      <c r="P149" s="5"/>
    </row>
    <row r="150" ht="12.75" customHeight="1">
      <c r="A150" s="18"/>
      <c r="B150" s="68"/>
      <c r="C150" s="69"/>
      <c r="D150" s="71"/>
      <c r="E150" s="19"/>
      <c r="F150" s="19"/>
      <c r="G150" s="19"/>
      <c r="H150" s="19"/>
      <c r="I150" s="19"/>
      <c r="J150" s="19"/>
      <c r="K150" s="19"/>
      <c r="L150" s="19"/>
      <c r="M150" s="19"/>
      <c r="N150" s="13">
        <f t="shared" si="30"/>
        <v>0</v>
      </c>
      <c r="O150" s="5"/>
      <c r="P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M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1</v>
      </c>
      <c r="N151" s="13">
        <f t="shared" si="30"/>
        <v>1</v>
      </c>
      <c r="O151" s="1"/>
      <c r="P151" s="1"/>
    </row>
    <row r="152" ht="12.75" customHeight="1">
      <c r="A152" s="24"/>
      <c r="B152" s="15"/>
      <c r="C152" s="15"/>
      <c r="D152" s="15"/>
      <c r="E152" s="16"/>
      <c r="F152" s="72"/>
      <c r="G152" s="72"/>
      <c r="H152" s="72"/>
      <c r="I152" s="72"/>
      <c r="J152" s="72"/>
      <c r="K152" s="72"/>
      <c r="L152" s="72"/>
      <c r="M152" s="72"/>
      <c r="N152" s="13"/>
      <c r="O152" s="52"/>
      <c r="P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0.0</v>
      </c>
      <c r="F153" s="19">
        <v>0.0</v>
      </c>
      <c r="G153" s="19">
        <v>0.0</v>
      </c>
      <c r="H153" s="19">
        <v>0.0</v>
      </c>
      <c r="I153" s="19">
        <v>1.0</v>
      </c>
      <c r="J153" s="19">
        <v>0.0</v>
      </c>
      <c r="K153" s="19">
        <v>0.0</v>
      </c>
      <c r="L153" s="19">
        <v>0.0</v>
      </c>
      <c r="M153" s="19">
        <v>2.0</v>
      </c>
      <c r="N153" s="13">
        <f t="shared" ref="N153:N163" si="32">SUM(E153:M153)</f>
        <v>3</v>
      </c>
      <c r="O153" s="5"/>
      <c r="P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0.0</v>
      </c>
      <c r="F154" s="19">
        <v>1.0</v>
      </c>
      <c r="G154" s="19">
        <v>0.0</v>
      </c>
      <c r="H154" s="19">
        <v>1.0</v>
      </c>
      <c r="I154" s="19">
        <v>0.0</v>
      </c>
      <c r="J154" s="19">
        <v>0.0</v>
      </c>
      <c r="K154" s="19">
        <v>0.0</v>
      </c>
      <c r="L154" s="19">
        <v>0.0</v>
      </c>
      <c r="M154" s="19">
        <v>1.0</v>
      </c>
      <c r="N154" s="13">
        <f t="shared" si="32"/>
        <v>3</v>
      </c>
      <c r="O154" s="5"/>
      <c r="P154" s="5"/>
    </row>
    <row r="155" ht="12.75" customHeight="1">
      <c r="A155" s="18"/>
      <c r="B155" s="55">
        <v>2.0</v>
      </c>
      <c r="C155" s="59" t="s">
        <v>116</v>
      </c>
      <c r="D155" s="57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3">
        <f t="shared" si="32"/>
        <v>0</v>
      </c>
      <c r="O155" s="5"/>
      <c r="P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3">
        <f t="shared" si="32"/>
        <v>0</v>
      </c>
      <c r="O156" s="5"/>
      <c r="P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3">
        <f t="shared" si="32"/>
        <v>0</v>
      </c>
      <c r="O157" s="5"/>
      <c r="P157" s="5"/>
    </row>
    <row r="158" ht="12.75" customHeight="1">
      <c r="A158" s="18"/>
      <c r="B158" s="68"/>
      <c r="C158" s="73"/>
      <c r="D158" s="71"/>
      <c r="E158" s="19"/>
      <c r="F158" s="19"/>
      <c r="G158" s="19"/>
      <c r="H158" s="19"/>
      <c r="I158" s="19"/>
      <c r="J158" s="19"/>
      <c r="K158" s="19"/>
      <c r="L158" s="19"/>
      <c r="M158" s="19"/>
      <c r="N158" s="13">
        <f t="shared" si="32"/>
        <v>0</v>
      </c>
      <c r="O158" s="5"/>
      <c r="P158" s="5"/>
    </row>
    <row r="159" ht="12.75" customHeight="1">
      <c r="A159" s="18"/>
      <c r="B159" s="68"/>
      <c r="C159" s="73"/>
      <c r="D159" s="71"/>
      <c r="E159" s="19"/>
      <c r="F159" s="19"/>
      <c r="G159" s="19"/>
      <c r="H159" s="19"/>
      <c r="I159" s="19"/>
      <c r="J159" s="19"/>
      <c r="K159" s="19"/>
      <c r="L159" s="19"/>
      <c r="M159" s="19"/>
      <c r="N159" s="13">
        <f t="shared" si="32"/>
        <v>0</v>
      </c>
      <c r="O159" s="5"/>
      <c r="P159" s="5"/>
    </row>
    <row r="160" ht="12.75" customHeight="1">
      <c r="A160" s="18"/>
      <c r="B160" s="68"/>
      <c r="C160" s="73"/>
      <c r="D160" s="71"/>
      <c r="E160" s="19"/>
      <c r="F160" s="19"/>
      <c r="G160" s="19"/>
      <c r="H160" s="19"/>
      <c r="I160" s="19"/>
      <c r="J160" s="19"/>
      <c r="K160" s="19"/>
      <c r="L160" s="19"/>
      <c r="M160" s="19"/>
      <c r="N160" s="13">
        <f t="shared" si="32"/>
        <v>0</v>
      </c>
      <c r="O160" s="5"/>
      <c r="P160" s="5"/>
    </row>
    <row r="161" ht="12.75" customHeight="1">
      <c r="A161" s="18"/>
      <c r="B161" s="68"/>
      <c r="C161" s="73"/>
      <c r="D161" s="71"/>
      <c r="E161" s="19"/>
      <c r="F161" s="19"/>
      <c r="G161" s="19"/>
      <c r="H161" s="19"/>
      <c r="I161" s="19"/>
      <c r="J161" s="19"/>
      <c r="K161" s="19"/>
      <c r="L161" s="19"/>
      <c r="M161" s="19"/>
      <c r="N161" s="13">
        <f t="shared" si="32"/>
        <v>0</v>
      </c>
      <c r="O161" s="5"/>
      <c r="P161" s="5"/>
    </row>
    <row r="162" ht="12.75" customHeight="1">
      <c r="A162" s="18"/>
      <c r="B162" s="68"/>
      <c r="C162" s="73"/>
      <c r="D162" s="71"/>
      <c r="E162" s="19"/>
      <c r="F162" s="19"/>
      <c r="G162" s="19"/>
      <c r="H162" s="19"/>
      <c r="I162" s="19"/>
      <c r="J162" s="19"/>
      <c r="K162" s="19"/>
      <c r="L162" s="19"/>
      <c r="M162" s="19"/>
      <c r="N162" s="13">
        <f t="shared" si="32"/>
        <v>0</v>
      </c>
      <c r="O162" s="5"/>
      <c r="P162" s="5"/>
    </row>
    <row r="163" ht="15.0" customHeight="1">
      <c r="A163" s="19" t="s">
        <v>15</v>
      </c>
      <c r="B163" s="47" t="s">
        <v>47</v>
      </c>
      <c r="C163" s="15"/>
      <c r="D163" s="16"/>
      <c r="E163" s="13">
        <f t="shared" ref="E163:M163" si="33">SUM(E153:E157)</f>
        <v>0</v>
      </c>
      <c r="F163" s="13">
        <f t="shared" si="33"/>
        <v>1</v>
      </c>
      <c r="G163" s="13">
        <f t="shared" si="33"/>
        <v>0</v>
      </c>
      <c r="H163" s="13">
        <f t="shared" si="33"/>
        <v>1</v>
      </c>
      <c r="I163" s="13">
        <f t="shared" si="33"/>
        <v>1</v>
      </c>
      <c r="J163" s="13">
        <f t="shared" si="33"/>
        <v>0</v>
      </c>
      <c r="K163" s="13">
        <f t="shared" si="33"/>
        <v>0</v>
      </c>
      <c r="L163" s="13">
        <f t="shared" si="33"/>
        <v>0</v>
      </c>
      <c r="M163" s="13">
        <f t="shared" si="33"/>
        <v>3</v>
      </c>
      <c r="N163" s="13">
        <f t="shared" si="32"/>
        <v>6</v>
      </c>
      <c r="O163" s="5"/>
      <c r="P163" s="5"/>
    </row>
    <row r="164" ht="12.75" customHeight="1">
      <c r="A164" s="24"/>
      <c r="B164" s="15"/>
      <c r="C164" s="15"/>
      <c r="D164" s="15"/>
      <c r="E164" s="16"/>
      <c r="F164" s="72"/>
      <c r="G164" s="72"/>
      <c r="H164" s="72"/>
      <c r="I164" s="72"/>
      <c r="J164" s="72"/>
      <c r="K164" s="72"/>
      <c r="L164" s="72"/>
      <c r="M164" s="72"/>
      <c r="N164" s="72"/>
      <c r="O164" s="5"/>
      <c r="P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3">
        <f t="shared" ref="N165:N175" si="34">SUM(E165:M165)</f>
        <v>0</v>
      </c>
      <c r="O165" s="1"/>
      <c r="P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1.0</v>
      </c>
      <c r="M166" s="19">
        <v>0.0</v>
      </c>
      <c r="N166" s="13">
        <f t="shared" si="34"/>
        <v>1</v>
      </c>
      <c r="O166" s="52"/>
      <c r="P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3">
        <f t="shared" si="34"/>
        <v>0</v>
      </c>
      <c r="O167" s="5"/>
      <c r="P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0.0</v>
      </c>
      <c r="G168" s="19">
        <v>0.0</v>
      </c>
      <c r="H168" s="19">
        <v>0.0</v>
      </c>
      <c r="I168" s="19">
        <v>1.0</v>
      </c>
      <c r="J168" s="19">
        <v>0.0</v>
      </c>
      <c r="K168" s="19">
        <v>0.0</v>
      </c>
      <c r="L168" s="19">
        <v>0.0</v>
      </c>
      <c r="M168" s="19">
        <v>0.0</v>
      </c>
      <c r="N168" s="13">
        <f t="shared" si="34"/>
        <v>1</v>
      </c>
      <c r="O168" s="5"/>
      <c r="P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1.0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3">
        <f t="shared" si="34"/>
        <v>1</v>
      </c>
      <c r="O169" s="5"/>
      <c r="P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3">
        <f t="shared" si="34"/>
        <v>0</v>
      </c>
      <c r="O170" s="5"/>
      <c r="P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3">
        <f t="shared" si="34"/>
        <v>0</v>
      </c>
      <c r="O171" s="5"/>
      <c r="P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3">
        <f t="shared" si="34"/>
        <v>0</v>
      </c>
      <c r="O172" s="5"/>
      <c r="P172" s="5"/>
    </row>
    <row r="173" ht="12.75" customHeight="1">
      <c r="A173" s="18"/>
      <c r="B173" s="68"/>
      <c r="C173" s="69"/>
      <c r="D173" s="71"/>
      <c r="E173" s="19"/>
      <c r="F173" s="19"/>
      <c r="G173" s="19"/>
      <c r="H173" s="19"/>
      <c r="I173" s="19"/>
      <c r="J173" s="19"/>
      <c r="K173" s="19"/>
      <c r="L173" s="19"/>
      <c r="M173" s="19"/>
      <c r="N173" s="13">
        <f t="shared" si="34"/>
        <v>0</v>
      </c>
      <c r="O173" s="5"/>
      <c r="P173" s="5"/>
    </row>
    <row r="174" ht="12.75" customHeight="1">
      <c r="A174" s="18"/>
      <c r="B174" s="68"/>
      <c r="C174" s="69"/>
      <c r="D174" s="71"/>
      <c r="E174" s="19"/>
      <c r="F174" s="19"/>
      <c r="G174" s="19"/>
      <c r="H174" s="19"/>
      <c r="I174" s="19"/>
      <c r="J174" s="19"/>
      <c r="K174" s="19"/>
      <c r="L174" s="19"/>
      <c r="M174" s="19"/>
      <c r="N174" s="13">
        <f t="shared" si="34"/>
        <v>0</v>
      </c>
      <c r="O174" s="5"/>
      <c r="P174" s="5"/>
    </row>
    <row r="175" ht="15.0" customHeight="1">
      <c r="A175" s="19" t="s">
        <v>15</v>
      </c>
      <c r="B175" s="47" t="s">
        <v>47</v>
      </c>
      <c r="C175" s="15"/>
      <c r="D175" s="16"/>
      <c r="E175" s="13">
        <f t="shared" ref="E175:M175" si="35">SUM(E165:E172)</f>
        <v>0</v>
      </c>
      <c r="F175" s="13">
        <f t="shared" si="35"/>
        <v>0</v>
      </c>
      <c r="G175" s="13">
        <f t="shared" si="35"/>
        <v>1</v>
      </c>
      <c r="H175" s="13">
        <f t="shared" si="35"/>
        <v>0</v>
      </c>
      <c r="I175" s="13">
        <f t="shared" si="35"/>
        <v>1</v>
      </c>
      <c r="J175" s="13">
        <f t="shared" si="35"/>
        <v>0</v>
      </c>
      <c r="K175" s="13">
        <f t="shared" si="35"/>
        <v>0</v>
      </c>
      <c r="L175" s="13">
        <f t="shared" si="35"/>
        <v>1</v>
      </c>
      <c r="M175" s="13">
        <f t="shared" si="35"/>
        <v>0</v>
      </c>
      <c r="N175" s="13">
        <f t="shared" si="34"/>
        <v>3</v>
      </c>
      <c r="O175" s="5"/>
      <c r="P175" s="5"/>
    </row>
    <row r="176" ht="12.75" customHeight="1">
      <c r="A176" s="24"/>
      <c r="B176" s="15"/>
      <c r="C176" s="15"/>
      <c r="D176" s="15"/>
      <c r="E176" s="16"/>
      <c r="F176" s="72"/>
      <c r="G176" s="72"/>
      <c r="H176" s="72"/>
      <c r="I176" s="72"/>
      <c r="J176" s="72"/>
      <c r="K176" s="72"/>
      <c r="L176" s="72"/>
      <c r="M176" s="72"/>
      <c r="N176" s="72"/>
      <c r="O176" s="1"/>
      <c r="P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2.0</v>
      </c>
      <c r="F177" s="19">
        <v>3.0</v>
      </c>
      <c r="G177" s="19">
        <v>3.0</v>
      </c>
      <c r="H177" s="19">
        <v>3.0</v>
      </c>
      <c r="I177" s="19">
        <v>0.0</v>
      </c>
      <c r="J177" s="19">
        <v>0.0</v>
      </c>
      <c r="K177" s="19">
        <v>0.0</v>
      </c>
      <c r="L177" s="19">
        <v>0.0</v>
      </c>
      <c r="M177" s="19">
        <v>7.0</v>
      </c>
      <c r="N177" s="13">
        <f t="shared" ref="N177:N187" si="36">SUM(E177:M177)</f>
        <v>18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1.0</v>
      </c>
      <c r="F178" s="19">
        <v>0.0</v>
      </c>
      <c r="G178" s="19">
        <v>1.0</v>
      </c>
      <c r="H178" s="19">
        <v>0.0</v>
      </c>
      <c r="I178" s="19">
        <v>1.0</v>
      </c>
      <c r="J178" s="19">
        <v>0.0</v>
      </c>
      <c r="K178" s="19">
        <v>0.0</v>
      </c>
      <c r="L178" s="19">
        <v>2.0</v>
      </c>
      <c r="M178" s="19">
        <v>9.0</v>
      </c>
      <c r="N178" s="13">
        <f t="shared" si="36"/>
        <v>14</v>
      </c>
      <c r="O178" s="5"/>
      <c r="P178" s="5"/>
    </row>
    <row r="179" ht="12.75" customHeight="1">
      <c r="A179" s="18"/>
      <c r="B179" s="55">
        <v>2.0</v>
      </c>
      <c r="C179" s="50" t="s">
        <v>131</v>
      </c>
      <c r="D179" s="57"/>
      <c r="E179" s="19">
        <v>0.0</v>
      </c>
      <c r="F179" s="19">
        <v>1.0</v>
      </c>
      <c r="G179" s="19">
        <v>0.0</v>
      </c>
      <c r="H179" s="19">
        <v>1.0</v>
      </c>
      <c r="I179" s="19">
        <v>0.0</v>
      </c>
      <c r="J179" s="19">
        <v>0.0</v>
      </c>
      <c r="K179" s="19">
        <v>0.0</v>
      </c>
      <c r="L179" s="19">
        <v>1.0</v>
      </c>
      <c r="M179" s="19">
        <v>0.0</v>
      </c>
      <c r="N179" s="13">
        <f t="shared" si="36"/>
        <v>3</v>
      </c>
      <c r="O179" s="5"/>
      <c r="P179" s="5"/>
    </row>
    <row r="180" ht="12.75" customHeight="1">
      <c r="A180" s="18"/>
      <c r="B180" s="55">
        <v>3.0</v>
      </c>
      <c r="C180" s="50" t="s">
        <v>132</v>
      </c>
      <c r="D180" s="57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3">
        <f t="shared" si="36"/>
        <v>0</v>
      </c>
      <c r="O180" s="5"/>
      <c r="P180" s="5"/>
    </row>
    <row r="181" ht="12.75" customHeight="1">
      <c r="A181" s="18"/>
      <c r="B181" s="55">
        <v>4.0</v>
      </c>
      <c r="C181" s="50" t="s">
        <v>133</v>
      </c>
      <c r="D181" s="57"/>
      <c r="E181" s="19">
        <v>1.0</v>
      </c>
      <c r="F181" s="19">
        <v>0.0</v>
      </c>
      <c r="G181" s="19">
        <v>0.0</v>
      </c>
      <c r="H181" s="19">
        <v>0.0</v>
      </c>
      <c r="I181" s="19">
        <v>0.0</v>
      </c>
      <c r="J181" s="19">
        <v>1.0</v>
      </c>
      <c r="K181" s="19">
        <v>0.0</v>
      </c>
      <c r="L181" s="19">
        <v>0.0</v>
      </c>
      <c r="M181" s="19">
        <v>0.0</v>
      </c>
      <c r="N181" s="13">
        <f t="shared" si="36"/>
        <v>2</v>
      </c>
      <c r="O181" s="5"/>
      <c r="P181" s="5"/>
    </row>
    <row r="182" ht="12.75" customHeight="1">
      <c r="A182" s="18"/>
      <c r="B182" s="55">
        <v>5.0</v>
      </c>
      <c r="C182" s="50" t="s">
        <v>134</v>
      </c>
      <c r="D182" s="57"/>
      <c r="E182" s="19">
        <v>1.0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3">
        <f t="shared" si="36"/>
        <v>1</v>
      </c>
      <c r="O182" s="5"/>
      <c r="P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3">
        <f t="shared" si="36"/>
        <v>0</v>
      </c>
      <c r="O183" s="5"/>
      <c r="P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3">
        <f t="shared" si="36"/>
        <v>0</v>
      </c>
      <c r="O184" s="5"/>
      <c r="P184" s="5"/>
    </row>
    <row r="185" ht="12.75" customHeight="1">
      <c r="A185" s="18"/>
      <c r="B185" s="68"/>
      <c r="C185" s="69"/>
      <c r="D185" s="71"/>
      <c r="E185" s="19"/>
      <c r="F185" s="19"/>
      <c r="G185" s="19"/>
      <c r="H185" s="19"/>
      <c r="I185" s="19"/>
      <c r="J185" s="19"/>
      <c r="K185" s="19"/>
      <c r="L185" s="19"/>
      <c r="M185" s="19"/>
      <c r="N185" s="13">
        <f t="shared" si="36"/>
        <v>0</v>
      </c>
      <c r="O185" s="5"/>
      <c r="P185" s="5"/>
    </row>
    <row r="186" ht="12.75" customHeight="1">
      <c r="A186" s="18"/>
      <c r="B186" s="68"/>
      <c r="C186" s="69"/>
      <c r="D186" s="71"/>
      <c r="E186" s="19"/>
      <c r="F186" s="19"/>
      <c r="G186" s="19"/>
      <c r="H186" s="19"/>
      <c r="I186" s="19"/>
      <c r="J186" s="19"/>
      <c r="K186" s="19"/>
      <c r="L186" s="19"/>
      <c r="M186" s="19"/>
      <c r="N186" s="13">
        <f t="shared" si="36"/>
        <v>0</v>
      </c>
      <c r="O186" s="5"/>
      <c r="P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M187" si="37">SUM(E177:E184)</f>
        <v>5</v>
      </c>
      <c r="F187" s="13">
        <f t="shared" si="37"/>
        <v>4</v>
      </c>
      <c r="G187" s="13">
        <f t="shared" si="37"/>
        <v>4</v>
      </c>
      <c r="H187" s="13">
        <f t="shared" si="37"/>
        <v>4</v>
      </c>
      <c r="I187" s="13">
        <f t="shared" si="37"/>
        <v>1</v>
      </c>
      <c r="J187" s="13">
        <f t="shared" si="37"/>
        <v>1</v>
      </c>
      <c r="K187" s="13">
        <f t="shared" si="37"/>
        <v>0</v>
      </c>
      <c r="L187" s="13">
        <f t="shared" si="37"/>
        <v>3</v>
      </c>
      <c r="M187" s="13">
        <f t="shared" si="37"/>
        <v>16</v>
      </c>
      <c r="N187" s="13">
        <f t="shared" si="36"/>
        <v>38</v>
      </c>
      <c r="O187" s="1"/>
      <c r="P187" s="1"/>
    </row>
    <row r="188" ht="12.75" customHeight="1">
      <c r="A188" s="24"/>
      <c r="B188" s="15"/>
      <c r="C188" s="15"/>
      <c r="D188" s="15"/>
      <c r="E188" s="16"/>
      <c r="F188" s="72"/>
      <c r="G188" s="72"/>
      <c r="H188" s="72"/>
      <c r="I188" s="72"/>
      <c r="J188" s="72"/>
      <c r="K188" s="72"/>
      <c r="L188" s="72"/>
      <c r="M188" s="72"/>
      <c r="N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1.0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3">
        <f t="shared" ref="N189:N199" si="38">SUM(E189:M189)</f>
        <v>1</v>
      </c>
      <c r="O189" s="5"/>
      <c r="P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3">
        <f t="shared" si="38"/>
        <v>0</v>
      </c>
      <c r="O190" s="5"/>
      <c r="P190" s="5"/>
    </row>
    <row r="191" ht="12.75" customHeight="1">
      <c r="A191" s="18"/>
      <c r="B191" s="55">
        <v>2.0</v>
      </c>
      <c r="C191" s="50" t="s">
        <v>140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1.0</v>
      </c>
      <c r="M191" s="19">
        <v>0.0</v>
      </c>
      <c r="N191" s="13">
        <f t="shared" si="38"/>
        <v>1</v>
      </c>
      <c r="O191" s="5"/>
      <c r="P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3">
        <f t="shared" si="38"/>
        <v>0</v>
      </c>
      <c r="O192" s="5"/>
      <c r="P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1.0</v>
      </c>
      <c r="N193" s="13">
        <f t="shared" si="38"/>
        <v>1</v>
      </c>
      <c r="O193" s="5"/>
      <c r="P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3">
        <f t="shared" si="38"/>
        <v>0</v>
      </c>
      <c r="O194" s="5"/>
      <c r="P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3">
        <f t="shared" si="38"/>
        <v>0</v>
      </c>
      <c r="O195" s="5"/>
      <c r="P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3">
        <f t="shared" si="38"/>
        <v>0</v>
      </c>
      <c r="O196" s="1"/>
      <c r="P196" s="1"/>
    </row>
    <row r="197" ht="12.75" customHeight="1">
      <c r="A197" s="18"/>
      <c r="B197" s="68"/>
      <c r="C197" s="69"/>
      <c r="D197" s="71"/>
      <c r="E197" s="19"/>
      <c r="F197" s="19"/>
      <c r="G197" s="19"/>
      <c r="H197" s="19"/>
      <c r="I197" s="19"/>
      <c r="J197" s="19"/>
      <c r="K197" s="19"/>
      <c r="L197" s="19"/>
      <c r="M197" s="19"/>
      <c r="N197" s="13">
        <f t="shared" si="38"/>
        <v>0</v>
      </c>
      <c r="O197" s="1"/>
      <c r="P197" s="1"/>
    </row>
    <row r="198" ht="12.75" customHeight="1">
      <c r="A198" s="18"/>
      <c r="B198" s="68"/>
      <c r="C198" s="69"/>
      <c r="D198" s="71"/>
      <c r="E198" s="19"/>
      <c r="F198" s="19"/>
      <c r="G198" s="19"/>
      <c r="H198" s="19"/>
      <c r="I198" s="19"/>
      <c r="J198" s="19"/>
      <c r="K198" s="19"/>
      <c r="L198" s="19"/>
      <c r="M198" s="19"/>
      <c r="N198" s="13">
        <f t="shared" si="38"/>
        <v>0</v>
      </c>
      <c r="O198" s="1"/>
      <c r="P198" s="1"/>
    </row>
    <row r="199" ht="15.0" customHeight="1">
      <c r="A199" s="19" t="s">
        <v>15</v>
      </c>
      <c r="B199" s="47" t="s">
        <v>47</v>
      </c>
      <c r="C199" s="15"/>
      <c r="D199" s="16"/>
      <c r="E199" s="13">
        <f t="shared" ref="E199:M199" si="39">SUM(E189:E196)</f>
        <v>0</v>
      </c>
      <c r="F199" s="13">
        <f t="shared" si="39"/>
        <v>0</v>
      </c>
      <c r="G199" s="13">
        <f t="shared" si="39"/>
        <v>0</v>
      </c>
      <c r="H199" s="13">
        <f t="shared" si="39"/>
        <v>1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1</v>
      </c>
      <c r="M199" s="13">
        <f t="shared" si="39"/>
        <v>1</v>
      </c>
      <c r="N199" s="13">
        <f t="shared" si="38"/>
        <v>3</v>
      </c>
      <c r="O199" s="52"/>
      <c r="P199" s="52"/>
    </row>
    <row r="200" ht="12.75" customHeight="1">
      <c r="A200" s="24"/>
      <c r="B200" s="15"/>
      <c r="C200" s="15"/>
      <c r="D200" s="15"/>
      <c r="E200" s="16"/>
      <c r="F200" s="72"/>
      <c r="G200" s="72"/>
      <c r="H200" s="72"/>
      <c r="I200" s="72"/>
      <c r="J200" s="72"/>
      <c r="K200" s="72"/>
      <c r="L200" s="72"/>
      <c r="M200" s="72"/>
      <c r="N200" s="72"/>
      <c r="O200" s="5"/>
      <c r="P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6.0</v>
      </c>
      <c r="F201" s="19">
        <v>3.0</v>
      </c>
      <c r="G201" s="19">
        <v>4.0</v>
      </c>
      <c r="H201" s="19">
        <v>2.0</v>
      </c>
      <c r="I201" s="19">
        <v>0.0</v>
      </c>
      <c r="J201" s="19">
        <v>1.0</v>
      </c>
      <c r="K201" s="19">
        <v>0.0</v>
      </c>
      <c r="L201" s="19">
        <v>0.0</v>
      </c>
      <c r="M201" s="19">
        <v>3.0</v>
      </c>
      <c r="N201" s="13">
        <f t="shared" ref="N201:N211" si="40">SUM(E201:M201)</f>
        <v>19</v>
      </c>
      <c r="O201" s="5"/>
      <c r="P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1.0</v>
      </c>
      <c r="F202" s="19">
        <v>0.0</v>
      </c>
      <c r="G202" s="19">
        <v>1.0</v>
      </c>
      <c r="H202" s="19">
        <v>2.0</v>
      </c>
      <c r="I202" s="19">
        <v>0.0</v>
      </c>
      <c r="J202" s="19">
        <v>1.0</v>
      </c>
      <c r="K202" s="19">
        <v>3.0</v>
      </c>
      <c r="L202" s="19">
        <v>0.0</v>
      </c>
      <c r="M202" s="19">
        <v>2.0</v>
      </c>
      <c r="N202" s="13">
        <f t="shared" si="40"/>
        <v>10</v>
      </c>
      <c r="O202" s="5"/>
      <c r="P202" s="5"/>
    </row>
    <row r="203" ht="12.75" customHeight="1">
      <c r="A203" s="18"/>
      <c r="B203" s="55">
        <v>2.0</v>
      </c>
      <c r="C203" s="50" t="s">
        <v>149</v>
      </c>
      <c r="D203" s="57"/>
      <c r="E203" s="19">
        <v>3.0</v>
      </c>
      <c r="F203" s="19">
        <v>0.0</v>
      </c>
      <c r="G203" s="19">
        <v>1.0</v>
      </c>
      <c r="H203" s="19">
        <v>3.0</v>
      </c>
      <c r="I203" s="19">
        <v>0.0</v>
      </c>
      <c r="J203" s="19">
        <v>0.0</v>
      </c>
      <c r="K203" s="19">
        <v>3.0</v>
      </c>
      <c r="L203" s="19">
        <v>0.0</v>
      </c>
      <c r="M203" s="19">
        <v>1.0</v>
      </c>
      <c r="N203" s="13">
        <f t="shared" si="40"/>
        <v>11</v>
      </c>
      <c r="O203" s="5"/>
      <c r="P203" s="5"/>
    </row>
    <row r="204" ht="12.75" customHeight="1">
      <c r="A204" s="18"/>
      <c r="B204" s="55">
        <v>3.0</v>
      </c>
      <c r="C204" s="50" t="s">
        <v>150</v>
      </c>
      <c r="D204" s="57"/>
      <c r="E204" s="19">
        <v>0.0</v>
      </c>
      <c r="F204" s="19">
        <v>0.0</v>
      </c>
      <c r="G204" s="19">
        <v>1.0</v>
      </c>
      <c r="H204" s="19">
        <v>0.0</v>
      </c>
      <c r="I204" s="19">
        <v>0.0</v>
      </c>
      <c r="J204" s="19">
        <v>0.0</v>
      </c>
      <c r="K204" s="19">
        <v>0.0</v>
      </c>
      <c r="L204" s="19">
        <v>0.0</v>
      </c>
      <c r="M204" s="19">
        <v>0.0</v>
      </c>
      <c r="N204" s="13">
        <f t="shared" si="40"/>
        <v>1</v>
      </c>
      <c r="O204" s="5"/>
      <c r="P204" s="5"/>
    </row>
    <row r="205" ht="12.75" customHeight="1">
      <c r="A205" s="18"/>
      <c r="B205" s="55">
        <v>4.0</v>
      </c>
      <c r="C205" s="50" t="s">
        <v>151</v>
      </c>
      <c r="D205" s="57"/>
      <c r="E205" s="19">
        <v>1.0</v>
      </c>
      <c r="F205" s="19">
        <v>0.0</v>
      </c>
      <c r="G205" s="19">
        <v>1.0</v>
      </c>
      <c r="H205" s="19">
        <v>0.0</v>
      </c>
      <c r="I205" s="19">
        <v>0.0</v>
      </c>
      <c r="J205" s="19">
        <v>0.0</v>
      </c>
      <c r="K205" s="19">
        <v>0.0</v>
      </c>
      <c r="L205" s="19">
        <v>0.0</v>
      </c>
      <c r="M205" s="19">
        <v>3.0</v>
      </c>
      <c r="N205" s="13">
        <f t="shared" si="40"/>
        <v>5</v>
      </c>
      <c r="O205" s="5"/>
      <c r="P205" s="5"/>
    </row>
    <row r="206" ht="12.75" customHeight="1">
      <c r="A206" s="18"/>
      <c r="B206" s="55">
        <v>5.0</v>
      </c>
      <c r="C206" s="50" t="s">
        <v>152</v>
      </c>
      <c r="D206" s="57"/>
      <c r="E206" s="19">
        <v>0.0</v>
      </c>
      <c r="F206" s="19">
        <v>1.0</v>
      </c>
      <c r="G206" s="19">
        <v>1.0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0.0</v>
      </c>
      <c r="N206" s="13">
        <f t="shared" si="40"/>
        <v>2</v>
      </c>
      <c r="O206" s="5"/>
      <c r="P206" s="5"/>
    </row>
    <row r="207" ht="12.75" customHeight="1">
      <c r="A207" s="18"/>
      <c r="B207" s="55">
        <v>6.0</v>
      </c>
      <c r="C207" s="50" t="s">
        <v>153</v>
      </c>
      <c r="D207" s="57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3">
        <f t="shared" si="40"/>
        <v>0</v>
      </c>
      <c r="O207" s="1"/>
      <c r="P207" s="1"/>
    </row>
    <row r="208" ht="12.75" customHeight="1">
      <c r="A208" s="18"/>
      <c r="B208" s="55">
        <v>7.0</v>
      </c>
      <c r="C208" s="50" t="s">
        <v>154</v>
      </c>
      <c r="D208" s="57"/>
      <c r="E208" s="19">
        <v>0.0</v>
      </c>
      <c r="F208" s="19">
        <v>0.0</v>
      </c>
      <c r="G208" s="19">
        <v>0.0</v>
      </c>
      <c r="H208" s="19">
        <v>0.0</v>
      </c>
      <c r="I208" s="19">
        <v>1.0</v>
      </c>
      <c r="J208" s="19">
        <v>0.0</v>
      </c>
      <c r="K208" s="19">
        <v>0.0</v>
      </c>
      <c r="L208" s="19">
        <v>0.0</v>
      </c>
      <c r="M208" s="19">
        <v>0.0</v>
      </c>
      <c r="N208" s="13">
        <f t="shared" si="40"/>
        <v>1</v>
      </c>
      <c r="O208" s="52"/>
      <c r="P208" s="52"/>
    </row>
    <row r="209" ht="12.75" customHeight="1">
      <c r="A209" s="18"/>
      <c r="B209" s="68"/>
      <c r="C209" s="69"/>
      <c r="D209" s="71"/>
      <c r="E209" s="19"/>
      <c r="F209" s="19"/>
      <c r="G209" s="19"/>
      <c r="H209" s="19"/>
      <c r="I209" s="19"/>
      <c r="J209" s="19"/>
      <c r="K209" s="19"/>
      <c r="L209" s="19"/>
      <c r="M209" s="19"/>
      <c r="N209" s="13">
        <f t="shared" si="40"/>
        <v>0</v>
      </c>
      <c r="O209" s="52"/>
      <c r="P209" s="52"/>
    </row>
    <row r="210" ht="12.75" customHeight="1">
      <c r="A210" s="18"/>
      <c r="B210" s="68"/>
      <c r="C210" s="69"/>
      <c r="D210" s="71"/>
      <c r="E210" s="19"/>
      <c r="F210" s="19"/>
      <c r="G210" s="19"/>
      <c r="H210" s="19"/>
      <c r="I210" s="19"/>
      <c r="J210" s="19"/>
      <c r="K210" s="19"/>
      <c r="L210" s="19"/>
      <c r="M210" s="19"/>
      <c r="N210" s="13">
        <f t="shared" si="40"/>
        <v>0</v>
      </c>
      <c r="O210" s="52"/>
      <c r="P210" s="52"/>
    </row>
    <row r="211" ht="15.0" customHeight="1">
      <c r="A211" s="19" t="s">
        <v>15</v>
      </c>
      <c r="B211" s="47" t="s">
        <v>47</v>
      </c>
      <c r="C211" s="15"/>
      <c r="D211" s="16"/>
      <c r="E211" s="13">
        <f t="shared" ref="E211:M211" si="41">SUM(E201:E208)</f>
        <v>11</v>
      </c>
      <c r="F211" s="13">
        <f t="shared" si="41"/>
        <v>4</v>
      </c>
      <c r="G211" s="13">
        <f t="shared" si="41"/>
        <v>9</v>
      </c>
      <c r="H211" s="13">
        <f t="shared" si="41"/>
        <v>7</v>
      </c>
      <c r="I211" s="13">
        <f t="shared" si="41"/>
        <v>1</v>
      </c>
      <c r="J211" s="13">
        <f t="shared" si="41"/>
        <v>2</v>
      </c>
      <c r="K211" s="13">
        <f t="shared" si="41"/>
        <v>6</v>
      </c>
      <c r="L211" s="13">
        <f t="shared" si="41"/>
        <v>0</v>
      </c>
      <c r="M211" s="13">
        <f t="shared" si="41"/>
        <v>9</v>
      </c>
      <c r="N211" s="13">
        <f t="shared" si="40"/>
        <v>49</v>
      </c>
      <c r="O211" s="5"/>
      <c r="P211" s="5"/>
    </row>
    <row r="212" ht="12.75" customHeight="1">
      <c r="A212" s="24"/>
      <c r="B212" s="15"/>
      <c r="C212" s="15"/>
      <c r="D212" s="15"/>
      <c r="E212" s="16"/>
      <c r="F212" s="72"/>
      <c r="G212" s="72"/>
      <c r="H212" s="72"/>
      <c r="I212" s="72"/>
      <c r="J212" s="72"/>
      <c r="K212" s="72"/>
      <c r="L212" s="72"/>
      <c r="M212" s="72"/>
      <c r="N212" s="72"/>
      <c r="O212" s="5"/>
      <c r="P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1.0</v>
      </c>
      <c r="F213" s="19">
        <v>4.0</v>
      </c>
      <c r="G213" s="19">
        <v>2.0</v>
      </c>
      <c r="H213" s="19">
        <v>0.0</v>
      </c>
      <c r="I213" s="19">
        <v>0.0</v>
      </c>
      <c r="J213" s="19">
        <v>3.0</v>
      </c>
      <c r="K213" s="19">
        <v>0.0</v>
      </c>
      <c r="L213" s="19">
        <v>2.0</v>
      </c>
      <c r="M213" s="19">
        <v>2.0</v>
      </c>
      <c r="N213" s="13">
        <f t="shared" ref="N213:N223" si="42">SUM(E213:M213)</f>
        <v>14</v>
      </c>
      <c r="O213" s="5"/>
      <c r="P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4.0</v>
      </c>
      <c r="F214" s="19">
        <v>0.0</v>
      </c>
      <c r="G214" s="19">
        <v>1.0</v>
      </c>
      <c r="H214" s="19">
        <v>1.0</v>
      </c>
      <c r="I214" s="19">
        <v>0.0</v>
      </c>
      <c r="J214" s="19">
        <v>14.0</v>
      </c>
      <c r="K214" s="19">
        <v>3.0</v>
      </c>
      <c r="L214" s="19">
        <v>5.0</v>
      </c>
      <c r="M214" s="19">
        <v>8.0</v>
      </c>
      <c r="N214" s="13">
        <f t="shared" si="42"/>
        <v>36</v>
      </c>
      <c r="O214" s="5"/>
      <c r="P214" s="5"/>
    </row>
    <row r="215" ht="12.75" customHeight="1">
      <c r="A215" s="18"/>
      <c r="B215" s="55">
        <v>2.0</v>
      </c>
      <c r="C215" s="50" t="s">
        <v>158</v>
      </c>
      <c r="D215" s="56"/>
      <c r="E215" s="19">
        <v>0.0</v>
      </c>
      <c r="F215" s="19">
        <v>0.0</v>
      </c>
      <c r="G215" s="19">
        <v>1.0</v>
      </c>
      <c r="H215" s="19">
        <v>0.0</v>
      </c>
      <c r="I215" s="19">
        <v>0.0</v>
      </c>
      <c r="J215" s="19">
        <v>3.0</v>
      </c>
      <c r="K215" s="19">
        <v>0.0</v>
      </c>
      <c r="L215" s="19">
        <v>0.0</v>
      </c>
      <c r="M215" s="19">
        <v>0.0</v>
      </c>
      <c r="N215" s="13">
        <f t="shared" si="42"/>
        <v>4</v>
      </c>
      <c r="O215" s="5"/>
      <c r="P215" s="5"/>
    </row>
    <row r="216" ht="12.75" customHeight="1">
      <c r="A216" s="18"/>
      <c r="B216" s="55">
        <v>3.0</v>
      </c>
      <c r="C216" s="61" t="s">
        <v>159</v>
      </c>
      <c r="E216" s="19">
        <v>1.0</v>
      </c>
      <c r="F216" s="19">
        <v>0.0</v>
      </c>
      <c r="G216" s="19">
        <v>0.0</v>
      </c>
      <c r="H216" s="19">
        <v>0.0</v>
      </c>
      <c r="I216" s="19">
        <v>0.0</v>
      </c>
      <c r="J216" s="19">
        <v>1.0</v>
      </c>
      <c r="K216" s="19">
        <v>0.0</v>
      </c>
      <c r="L216" s="19">
        <v>0.0</v>
      </c>
      <c r="M216" s="19">
        <v>0.0</v>
      </c>
      <c r="N216" s="13">
        <f t="shared" si="42"/>
        <v>2</v>
      </c>
      <c r="O216" s="5"/>
      <c r="P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1.0</v>
      </c>
      <c r="K217" s="19">
        <v>0.0</v>
      </c>
      <c r="L217" s="19">
        <v>0.0</v>
      </c>
      <c r="M217" s="19">
        <v>0.0</v>
      </c>
      <c r="N217" s="13">
        <f t="shared" si="42"/>
        <v>1</v>
      </c>
      <c r="O217" s="5"/>
      <c r="P217" s="5"/>
    </row>
    <row r="218" ht="12.75" customHeight="1">
      <c r="A218" s="18"/>
      <c r="B218" s="55">
        <v>5.0</v>
      </c>
      <c r="C218" s="50" t="s">
        <v>161</v>
      </c>
      <c r="D218" s="56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3">
        <f t="shared" si="42"/>
        <v>0</v>
      </c>
      <c r="O218" s="1"/>
      <c r="P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3">
        <f t="shared" si="42"/>
        <v>0</v>
      </c>
      <c r="O219" s="52"/>
      <c r="P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1.0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3">
        <f t="shared" si="42"/>
        <v>1</v>
      </c>
      <c r="O220" s="5"/>
      <c r="P220" s="5"/>
    </row>
    <row r="221" ht="12.75" customHeight="1">
      <c r="A221" s="18"/>
      <c r="B221" s="68"/>
      <c r="C221" s="69"/>
      <c r="D221" s="70"/>
      <c r="E221" s="19"/>
      <c r="F221" s="19"/>
      <c r="G221" s="19"/>
      <c r="H221" s="19"/>
      <c r="I221" s="19"/>
      <c r="J221" s="19"/>
      <c r="K221" s="19"/>
      <c r="L221" s="19"/>
      <c r="M221" s="19"/>
      <c r="N221" s="13">
        <f t="shared" si="42"/>
        <v>0</v>
      </c>
      <c r="O221" s="5"/>
      <c r="P221" s="5"/>
    </row>
    <row r="222" ht="12.75" customHeight="1">
      <c r="A222" s="18"/>
      <c r="B222" s="68"/>
      <c r="C222" s="69"/>
      <c r="D222" s="70"/>
      <c r="E222" s="19"/>
      <c r="F222" s="19"/>
      <c r="G222" s="19"/>
      <c r="H222" s="19"/>
      <c r="I222" s="19"/>
      <c r="J222" s="19"/>
      <c r="K222" s="19"/>
      <c r="L222" s="19"/>
      <c r="M222" s="19"/>
      <c r="N222" s="13">
        <f t="shared" si="42"/>
        <v>0</v>
      </c>
      <c r="O222" s="5"/>
      <c r="P222" s="5"/>
    </row>
    <row r="223" ht="15.0" customHeight="1">
      <c r="A223" s="19" t="s">
        <v>15</v>
      </c>
      <c r="B223" s="47" t="s">
        <v>47</v>
      </c>
      <c r="C223" s="15"/>
      <c r="D223" s="16"/>
      <c r="E223" s="13">
        <f t="shared" ref="E223:M223" si="43">SUM(E213:E220)</f>
        <v>6</v>
      </c>
      <c r="F223" s="13">
        <f t="shared" si="43"/>
        <v>5</v>
      </c>
      <c r="G223" s="13">
        <f t="shared" si="43"/>
        <v>4</v>
      </c>
      <c r="H223" s="13">
        <f t="shared" si="43"/>
        <v>1</v>
      </c>
      <c r="I223" s="13">
        <f t="shared" si="43"/>
        <v>0</v>
      </c>
      <c r="J223" s="13">
        <f t="shared" si="43"/>
        <v>22</v>
      </c>
      <c r="K223" s="13">
        <f t="shared" si="43"/>
        <v>3</v>
      </c>
      <c r="L223" s="13">
        <f t="shared" si="43"/>
        <v>7</v>
      </c>
      <c r="M223" s="13">
        <f t="shared" si="43"/>
        <v>10</v>
      </c>
      <c r="N223" s="13">
        <f t="shared" si="42"/>
        <v>58</v>
      </c>
      <c r="O223" s="5"/>
      <c r="P223" s="5"/>
    </row>
    <row r="224" ht="12.75" customHeight="1">
      <c r="A224" s="24"/>
      <c r="B224" s="15"/>
      <c r="C224" s="15"/>
      <c r="D224" s="15"/>
      <c r="E224" s="16"/>
      <c r="F224" s="72"/>
      <c r="G224" s="72"/>
      <c r="H224" s="72"/>
      <c r="I224" s="72"/>
      <c r="J224" s="72"/>
      <c r="K224" s="72"/>
      <c r="L224" s="72"/>
      <c r="M224" s="72"/>
      <c r="N224" s="72"/>
      <c r="O224" s="5"/>
      <c r="P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2.0</v>
      </c>
      <c r="L225" s="19">
        <v>0.0</v>
      </c>
      <c r="M225" s="19">
        <v>0.0</v>
      </c>
      <c r="N225" s="13">
        <f t="shared" ref="N225:N235" si="44">SUM(E225:M225)</f>
        <v>2</v>
      </c>
      <c r="O225" s="5"/>
      <c r="P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0.0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0.0</v>
      </c>
      <c r="L226" s="19">
        <v>0.0</v>
      </c>
      <c r="M226" s="19">
        <v>0.0</v>
      </c>
      <c r="N226" s="13">
        <f t="shared" si="44"/>
        <v>0</v>
      </c>
      <c r="O226" s="5"/>
      <c r="P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1.0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3">
        <f t="shared" si="44"/>
        <v>1</v>
      </c>
      <c r="O227" s="5"/>
      <c r="P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3">
        <f t="shared" si="44"/>
        <v>0</v>
      </c>
      <c r="O228" s="5"/>
      <c r="P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3">
        <f t="shared" si="44"/>
        <v>0</v>
      </c>
      <c r="O229" s="1"/>
      <c r="P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3">
        <f t="shared" si="44"/>
        <v>0</v>
      </c>
      <c r="O230" s="52"/>
      <c r="P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3">
        <f t="shared" si="44"/>
        <v>0</v>
      </c>
      <c r="O231" s="5"/>
      <c r="P231" s="5"/>
    </row>
    <row r="232" ht="12.75" customHeight="1">
      <c r="A232" s="18"/>
      <c r="B232" s="55">
        <v>7.0</v>
      </c>
      <c r="C232" s="50" t="s">
        <v>172</v>
      </c>
      <c r="D232" s="57"/>
      <c r="E232" s="19">
        <v>3.0</v>
      </c>
      <c r="F232" s="19">
        <v>0.0</v>
      </c>
      <c r="G232" s="19">
        <v>3.0</v>
      </c>
      <c r="H232" s="19">
        <v>1.0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3">
        <f t="shared" si="44"/>
        <v>7</v>
      </c>
      <c r="O232" s="5"/>
      <c r="P232" s="5"/>
    </row>
    <row r="233" ht="12.75" customHeight="1">
      <c r="A233" s="18"/>
      <c r="B233" s="68"/>
      <c r="C233" s="69"/>
      <c r="D233" s="71"/>
      <c r="E233" s="19"/>
      <c r="F233" s="19"/>
      <c r="G233" s="19"/>
      <c r="H233" s="19"/>
      <c r="I233" s="19"/>
      <c r="J233" s="19"/>
      <c r="K233" s="19"/>
      <c r="L233" s="19"/>
      <c r="M233" s="19"/>
      <c r="N233" s="13">
        <f t="shared" si="44"/>
        <v>0</v>
      </c>
      <c r="O233" s="5"/>
      <c r="P233" s="5"/>
    </row>
    <row r="234" ht="12.75" customHeight="1">
      <c r="A234" s="18"/>
      <c r="B234" s="68"/>
      <c r="C234" s="69"/>
      <c r="D234" s="71"/>
      <c r="E234" s="19"/>
      <c r="F234" s="19"/>
      <c r="G234" s="19"/>
      <c r="H234" s="19"/>
      <c r="I234" s="19"/>
      <c r="J234" s="19"/>
      <c r="K234" s="19"/>
      <c r="L234" s="19"/>
      <c r="M234" s="19"/>
      <c r="N234" s="13">
        <f t="shared" si="44"/>
        <v>0</v>
      </c>
      <c r="O234" s="5"/>
      <c r="P234" s="5"/>
    </row>
    <row r="235" ht="15.0" customHeight="1">
      <c r="A235" s="19" t="s">
        <v>15</v>
      </c>
      <c r="B235" s="47" t="s">
        <v>47</v>
      </c>
      <c r="C235" s="15"/>
      <c r="D235" s="16"/>
      <c r="E235" s="13">
        <f t="shared" ref="E235:M235" si="45">SUM(E225:E232)</f>
        <v>3</v>
      </c>
      <c r="F235" s="13">
        <f t="shared" si="45"/>
        <v>0</v>
      </c>
      <c r="G235" s="13">
        <f t="shared" si="45"/>
        <v>4</v>
      </c>
      <c r="H235" s="13">
        <f t="shared" si="45"/>
        <v>1</v>
      </c>
      <c r="I235" s="13">
        <f t="shared" si="45"/>
        <v>0</v>
      </c>
      <c r="J235" s="13">
        <f t="shared" si="45"/>
        <v>0</v>
      </c>
      <c r="K235" s="13">
        <f t="shared" si="45"/>
        <v>2</v>
      </c>
      <c r="L235" s="13">
        <f t="shared" si="45"/>
        <v>0</v>
      </c>
      <c r="M235" s="13">
        <f t="shared" si="45"/>
        <v>0</v>
      </c>
      <c r="N235" s="13">
        <f t="shared" si="44"/>
        <v>10</v>
      </c>
      <c r="O235" s="5"/>
      <c r="P235" s="5"/>
    </row>
    <row r="236" ht="12.75" customHeight="1">
      <c r="A236" s="24"/>
      <c r="B236" s="15"/>
      <c r="C236" s="15"/>
      <c r="D236" s="15"/>
      <c r="E236" s="16"/>
      <c r="F236" s="72"/>
      <c r="G236" s="72"/>
      <c r="H236" s="72"/>
      <c r="I236" s="72"/>
      <c r="J236" s="72"/>
      <c r="K236" s="72"/>
      <c r="L236" s="72"/>
      <c r="M236" s="72"/>
      <c r="N236" s="72"/>
      <c r="O236" s="5"/>
      <c r="P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0.0</v>
      </c>
      <c r="G237" s="19">
        <v>0.0</v>
      </c>
      <c r="H237" s="19">
        <v>0.0</v>
      </c>
      <c r="I237" s="19">
        <v>0.0</v>
      </c>
      <c r="J237" s="19">
        <v>0.0</v>
      </c>
      <c r="K237" s="19">
        <v>2.0</v>
      </c>
      <c r="L237" s="19">
        <v>1.0</v>
      </c>
      <c r="M237" s="19">
        <v>0.0</v>
      </c>
      <c r="N237" s="13">
        <f t="shared" ref="N237:N247" si="46">SUM(E237:M237)</f>
        <v>3</v>
      </c>
      <c r="O237" s="5"/>
      <c r="P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3.0</v>
      </c>
      <c r="F238" s="19">
        <v>0.0</v>
      </c>
      <c r="G238" s="19">
        <v>0.0</v>
      </c>
      <c r="H238" s="19">
        <v>0.0</v>
      </c>
      <c r="I238" s="19">
        <v>0.0</v>
      </c>
      <c r="J238" s="19">
        <v>0.0</v>
      </c>
      <c r="K238" s="19">
        <v>1.0</v>
      </c>
      <c r="L238" s="19">
        <v>0.0</v>
      </c>
      <c r="M238" s="19">
        <v>0.0</v>
      </c>
      <c r="N238" s="13">
        <f t="shared" si="46"/>
        <v>4</v>
      </c>
      <c r="O238" s="5"/>
      <c r="P238" s="5"/>
    </row>
    <row r="239" ht="12.75" customHeight="1">
      <c r="A239" s="18"/>
      <c r="B239" s="55">
        <v>2.0</v>
      </c>
      <c r="C239" s="50" t="s">
        <v>176</v>
      </c>
      <c r="D239" s="57"/>
      <c r="E239" s="19">
        <v>1.0</v>
      </c>
      <c r="F239" s="19">
        <v>0.0</v>
      </c>
      <c r="G239" s="19">
        <v>2.0</v>
      </c>
      <c r="H239" s="19">
        <v>0.0</v>
      </c>
      <c r="I239" s="19">
        <v>0.0</v>
      </c>
      <c r="J239" s="19">
        <v>0.0</v>
      </c>
      <c r="K239" s="19">
        <v>1.0</v>
      </c>
      <c r="L239" s="19">
        <v>1.0</v>
      </c>
      <c r="M239" s="19">
        <v>0.0</v>
      </c>
      <c r="N239" s="13">
        <f t="shared" si="46"/>
        <v>5</v>
      </c>
      <c r="O239" s="5"/>
      <c r="P239" s="5"/>
    </row>
    <row r="240" ht="12.75" customHeight="1">
      <c r="A240" s="18"/>
      <c r="B240" s="55">
        <v>3.0</v>
      </c>
      <c r="C240" s="50" t="s">
        <v>177</v>
      </c>
      <c r="D240" s="57"/>
      <c r="E240" s="19">
        <v>1.0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2.0</v>
      </c>
      <c r="L240" s="19">
        <v>0.0</v>
      </c>
      <c r="M240" s="19">
        <v>0.0</v>
      </c>
      <c r="N240" s="13">
        <f t="shared" si="46"/>
        <v>3</v>
      </c>
      <c r="O240" s="1"/>
      <c r="P240" s="1"/>
    </row>
    <row r="241" ht="12.75" customHeight="1">
      <c r="A241" s="18"/>
      <c r="B241" s="55">
        <v>4.0</v>
      </c>
      <c r="C241" s="50" t="s">
        <v>178</v>
      </c>
      <c r="D241" s="57"/>
      <c r="E241" s="19">
        <v>1.0</v>
      </c>
      <c r="F241" s="19">
        <v>0.0</v>
      </c>
      <c r="G241" s="19">
        <v>1.0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3">
        <f t="shared" si="46"/>
        <v>2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3">
        <f t="shared" si="46"/>
        <v>0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3">
        <f t="shared" si="46"/>
        <v>0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2.0</v>
      </c>
      <c r="F244" s="19">
        <v>0.0</v>
      </c>
      <c r="G244" s="19">
        <v>0.0</v>
      </c>
      <c r="H244" s="19">
        <v>0.0</v>
      </c>
      <c r="I244" s="19">
        <v>0.0</v>
      </c>
      <c r="J244" s="19">
        <v>0.0</v>
      </c>
      <c r="K244" s="19">
        <v>0.0</v>
      </c>
      <c r="L244" s="19">
        <v>0.0</v>
      </c>
      <c r="M244" s="19">
        <v>0.0</v>
      </c>
      <c r="N244" s="13">
        <f t="shared" si="46"/>
        <v>2</v>
      </c>
    </row>
    <row r="245" ht="12.75" customHeight="1">
      <c r="A245" s="18"/>
      <c r="B245" s="68"/>
      <c r="C245" s="69"/>
      <c r="D245" s="71"/>
      <c r="E245" s="19"/>
      <c r="F245" s="19"/>
      <c r="G245" s="19"/>
      <c r="H245" s="19"/>
      <c r="I245" s="19"/>
      <c r="J245" s="19"/>
      <c r="K245" s="19"/>
      <c r="L245" s="19"/>
      <c r="M245" s="19"/>
      <c r="N245" s="13">
        <f t="shared" si="46"/>
        <v>0</v>
      </c>
    </row>
    <row r="246" ht="12.75" customHeight="1">
      <c r="A246" s="18"/>
      <c r="B246" s="68"/>
      <c r="C246" s="69"/>
      <c r="D246" s="71"/>
      <c r="E246" s="19"/>
      <c r="F246" s="19"/>
      <c r="G246" s="19"/>
      <c r="H246" s="19"/>
      <c r="I246" s="19"/>
      <c r="J246" s="19"/>
      <c r="K246" s="19"/>
      <c r="L246" s="19"/>
      <c r="M246" s="19"/>
      <c r="N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M247" si="47">SUM(E237:E244)</f>
        <v>8</v>
      </c>
      <c r="F247" s="13">
        <f t="shared" si="47"/>
        <v>0</v>
      </c>
      <c r="G247" s="13">
        <f t="shared" si="47"/>
        <v>3</v>
      </c>
      <c r="H247" s="13">
        <f t="shared" si="47"/>
        <v>0</v>
      </c>
      <c r="I247" s="13">
        <f t="shared" si="47"/>
        <v>0</v>
      </c>
      <c r="J247" s="13">
        <f t="shared" si="47"/>
        <v>0</v>
      </c>
      <c r="K247" s="13">
        <f t="shared" si="47"/>
        <v>6</v>
      </c>
      <c r="L247" s="13">
        <f t="shared" si="47"/>
        <v>2</v>
      </c>
      <c r="M247" s="13">
        <f t="shared" si="47"/>
        <v>0</v>
      </c>
      <c r="N247" s="13">
        <f t="shared" si="46"/>
        <v>19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1.0</v>
      </c>
      <c r="G249" s="19">
        <v>0.0</v>
      </c>
      <c r="H249" s="19">
        <v>3.0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3">
        <f t="shared" ref="N249:N259" si="48">SUM(E249:M249)</f>
        <v>4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0.0</v>
      </c>
      <c r="F250" s="19">
        <v>0.0</v>
      </c>
      <c r="G250" s="19">
        <v>1.0</v>
      </c>
      <c r="H250" s="19">
        <v>0.0</v>
      </c>
      <c r="I250" s="19">
        <v>1.0</v>
      </c>
      <c r="J250" s="19">
        <v>0.0</v>
      </c>
      <c r="K250" s="19">
        <v>0.0</v>
      </c>
      <c r="L250" s="19">
        <v>0.0</v>
      </c>
      <c r="M250" s="19">
        <v>0.0</v>
      </c>
      <c r="N250" s="13">
        <f t="shared" si="48"/>
        <v>2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1.0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3">
        <f t="shared" si="48"/>
        <v>1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1.0</v>
      </c>
      <c r="L252" s="19">
        <v>0.0</v>
      </c>
      <c r="M252" s="19">
        <v>0.0</v>
      </c>
      <c r="N252" s="13">
        <f t="shared" si="48"/>
        <v>1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3">
        <f t="shared" si="48"/>
        <v>0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3">
        <f t="shared" si="48"/>
        <v>0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3">
        <f t="shared" si="48"/>
        <v>0</v>
      </c>
    </row>
    <row r="256" ht="12.75" customHeight="1">
      <c r="A256" s="18"/>
      <c r="B256" s="68"/>
      <c r="C256" s="73"/>
      <c r="D256" s="71"/>
      <c r="E256" s="19"/>
      <c r="F256" s="19"/>
      <c r="G256" s="19"/>
      <c r="H256" s="19"/>
      <c r="I256" s="19"/>
      <c r="J256" s="19"/>
      <c r="K256" s="19"/>
      <c r="L256" s="19"/>
      <c r="M256" s="19"/>
      <c r="N256" s="13">
        <f t="shared" si="48"/>
        <v>0</v>
      </c>
    </row>
    <row r="257" ht="12.75" customHeight="1">
      <c r="A257" s="18"/>
      <c r="B257" s="68"/>
      <c r="C257" s="73"/>
      <c r="D257" s="71"/>
      <c r="E257" s="19"/>
      <c r="F257" s="19"/>
      <c r="G257" s="19"/>
      <c r="H257" s="19"/>
      <c r="I257" s="19"/>
      <c r="J257" s="19"/>
      <c r="K257" s="19"/>
      <c r="L257" s="19"/>
      <c r="M257" s="19"/>
      <c r="N257" s="13">
        <f t="shared" si="48"/>
        <v>0</v>
      </c>
    </row>
    <row r="258" ht="12.75" customHeight="1">
      <c r="A258" s="18"/>
      <c r="B258" s="68"/>
      <c r="C258" s="73"/>
      <c r="D258" s="71"/>
      <c r="E258" s="19"/>
      <c r="F258" s="19"/>
      <c r="G258" s="19"/>
      <c r="H258" s="19"/>
      <c r="I258" s="19"/>
      <c r="J258" s="19"/>
      <c r="K258" s="19"/>
      <c r="L258" s="19"/>
      <c r="M258" s="19"/>
      <c r="N258" s="13">
        <f t="shared" si="48"/>
        <v>0</v>
      </c>
    </row>
    <row r="259" ht="15.0" customHeight="1">
      <c r="A259" s="19" t="s">
        <v>15</v>
      </c>
      <c r="B259" s="47" t="s">
        <v>47</v>
      </c>
      <c r="C259" s="15"/>
      <c r="D259" s="16"/>
      <c r="E259" s="13">
        <f t="shared" ref="E259:M259" si="49">SUM(E249:E255)</f>
        <v>1</v>
      </c>
      <c r="F259" s="13">
        <f t="shared" si="49"/>
        <v>1</v>
      </c>
      <c r="G259" s="13">
        <f t="shared" si="49"/>
        <v>1</v>
      </c>
      <c r="H259" s="13">
        <f t="shared" si="49"/>
        <v>3</v>
      </c>
      <c r="I259" s="13">
        <f t="shared" si="49"/>
        <v>1</v>
      </c>
      <c r="J259" s="13">
        <f t="shared" si="49"/>
        <v>0</v>
      </c>
      <c r="K259" s="13">
        <f t="shared" si="49"/>
        <v>1</v>
      </c>
      <c r="L259" s="13">
        <f t="shared" si="49"/>
        <v>0</v>
      </c>
      <c r="M259" s="13">
        <f t="shared" si="49"/>
        <v>0</v>
      </c>
      <c r="N259" s="13">
        <f t="shared" si="48"/>
        <v>8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M262" si="50">E55+E67+E79+E91+E103+E115+E127+E139+E151+E163+E175+E187+E199+E211+E223+E235+E247+E259</f>
        <v>160</v>
      </c>
      <c r="F262" s="19">
        <f t="shared" si="50"/>
        <v>146</v>
      </c>
      <c r="G262" s="19">
        <f t="shared" si="50"/>
        <v>152</v>
      </c>
      <c r="H262" s="19">
        <f t="shared" si="50"/>
        <v>144</v>
      </c>
      <c r="I262" s="19">
        <f t="shared" si="50"/>
        <v>117</v>
      </c>
      <c r="J262" s="19">
        <f t="shared" si="50"/>
        <v>102</v>
      </c>
      <c r="K262" s="19">
        <f t="shared" si="50"/>
        <v>187</v>
      </c>
      <c r="L262" s="19">
        <f t="shared" si="50"/>
        <v>192</v>
      </c>
      <c r="M262" s="19">
        <f t="shared" si="50"/>
        <v>198</v>
      </c>
      <c r="N262" s="13">
        <f t="shared" ref="N262:N264" si="51">SUM(E262:M262)</f>
        <v>1398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18.0</v>
      </c>
      <c r="F263" s="19">
        <v>18.0</v>
      </c>
      <c r="G263" s="19">
        <v>24.0</v>
      </c>
      <c r="H263" s="19">
        <v>29.0</v>
      </c>
      <c r="I263" s="19">
        <v>9.0</v>
      </c>
      <c r="J263" s="19">
        <v>24.0</v>
      </c>
      <c r="K263" s="19">
        <v>12.0</v>
      </c>
      <c r="L263" s="19">
        <v>22.0</v>
      </c>
      <c r="M263" s="19">
        <v>28.0</v>
      </c>
      <c r="N263" s="13">
        <f t="shared" si="51"/>
        <v>184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M264" si="52">SUM(E262:E263)</f>
        <v>178</v>
      </c>
      <c r="F264" s="13">
        <f t="shared" si="52"/>
        <v>164</v>
      </c>
      <c r="G264" s="13">
        <f t="shared" si="52"/>
        <v>176</v>
      </c>
      <c r="H264" s="13">
        <f t="shared" si="52"/>
        <v>173</v>
      </c>
      <c r="I264" s="13">
        <f t="shared" si="52"/>
        <v>126</v>
      </c>
      <c r="J264" s="13">
        <f t="shared" si="52"/>
        <v>126</v>
      </c>
      <c r="K264" s="13">
        <f t="shared" si="52"/>
        <v>199</v>
      </c>
      <c r="L264" s="13">
        <f t="shared" si="52"/>
        <v>214</v>
      </c>
      <c r="M264" s="13">
        <f t="shared" si="52"/>
        <v>226</v>
      </c>
      <c r="N264" s="13">
        <f t="shared" si="51"/>
        <v>1582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M12"/>
    <mergeCell ref="N12:N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M15">
    <cfRule type="containsBlanks" dxfId="1" priority="1">
      <formula>LEN(TRIM(E14))=0</formula>
    </cfRule>
  </conditionalFormatting>
  <conditionalFormatting sqref="E19:M20">
    <cfRule type="containsBlanks" dxfId="1" priority="2">
      <formula>LEN(TRIM(E19))=0</formula>
    </cfRule>
  </conditionalFormatting>
  <conditionalFormatting sqref="E22:M23 E25:M26 E33:M33 E35:M35 E39:M40">
    <cfRule type="containsBlanks" dxfId="1" priority="3">
      <formula>LEN(TRIM(E22))=0</formula>
    </cfRule>
  </conditionalFormatting>
  <conditionalFormatting sqref="E30:M30">
    <cfRule type="expression" dxfId="0" priority="4">
      <formula>E30&lt;&gt;E47</formula>
    </cfRule>
  </conditionalFormatting>
  <conditionalFormatting sqref="E30:M30">
    <cfRule type="expression" dxfId="0" priority="5">
      <formula>E30&lt;&gt;E34</formula>
    </cfRule>
  </conditionalFormatting>
  <conditionalFormatting sqref="E34:M34">
    <cfRule type="expression" dxfId="2" priority="6">
      <formula>E30&lt;&gt;E34</formula>
    </cfRule>
  </conditionalFormatting>
  <conditionalFormatting sqref="E34:M34">
    <cfRule type="expression" dxfId="3" priority="7">
      <formula>E30=E34</formula>
    </cfRule>
  </conditionalFormatting>
  <conditionalFormatting sqref="E34:M34">
    <cfRule type="expression" dxfId="0" priority="8">
      <formula>E34&lt;&gt;E30</formula>
    </cfRule>
  </conditionalFormatting>
  <conditionalFormatting sqref="E34:M34">
    <cfRule type="expression" dxfId="0" priority="9">
      <formula>E34&lt;&gt;E64</formula>
    </cfRule>
  </conditionalFormatting>
  <conditionalFormatting sqref="E45:M54">
    <cfRule type="containsBlanks" dxfId="1" priority="10">
      <formula>LEN(TRIM(E45))=0</formula>
    </cfRule>
  </conditionalFormatting>
  <conditionalFormatting sqref="E57:M66">
    <cfRule type="containsBlanks" dxfId="1" priority="11">
      <formula>LEN(TRIM(E57))=0</formula>
    </cfRule>
  </conditionalFormatting>
  <conditionalFormatting sqref="E69:M78">
    <cfRule type="containsBlanks" dxfId="1" priority="12">
      <formula>LEN(TRIM(E69))=0</formula>
    </cfRule>
  </conditionalFormatting>
  <conditionalFormatting sqref="E81:M90">
    <cfRule type="containsBlanks" dxfId="1" priority="13">
      <formula>LEN(TRIM(E81))=0</formula>
    </cfRule>
  </conditionalFormatting>
  <conditionalFormatting sqref="E93:M102">
    <cfRule type="containsBlanks" dxfId="1" priority="14">
      <formula>LEN(TRIM(E93))=0</formula>
    </cfRule>
  </conditionalFormatting>
  <conditionalFormatting sqref="E105:M114">
    <cfRule type="containsBlanks" dxfId="1" priority="15">
      <formula>LEN(TRIM(E105))=0</formula>
    </cfRule>
  </conditionalFormatting>
  <conditionalFormatting sqref="E117:M126">
    <cfRule type="containsBlanks" dxfId="1" priority="16">
      <formula>LEN(TRIM(E117))=0</formula>
    </cfRule>
  </conditionalFormatting>
  <conditionalFormatting sqref="E129:M138">
    <cfRule type="containsBlanks" dxfId="1" priority="17">
      <formula>LEN(TRIM(E129))=0</formula>
    </cfRule>
  </conditionalFormatting>
  <conditionalFormatting sqref="E141:M150">
    <cfRule type="containsBlanks" dxfId="1" priority="18">
      <formula>LEN(TRIM(E141))=0</formula>
    </cfRule>
  </conditionalFormatting>
  <conditionalFormatting sqref="E153:M162">
    <cfRule type="containsBlanks" dxfId="1" priority="19">
      <formula>LEN(TRIM(E153))=0</formula>
    </cfRule>
  </conditionalFormatting>
  <conditionalFormatting sqref="E165:M174">
    <cfRule type="containsBlanks" dxfId="1" priority="20">
      <formula>LEN(TRIM(E165))=0</formula>
    </cfRule>
  </conditionalFormatting>
  <conditionalFormatting sqref="E177:M186">
    <cfRule type="containsBlanks" dxfId="1" priority="21">
      <formula>LEN(TRIM(E177))=0</formula>
    </cfRule>
  </conditionalFormatting>
  <conditionalFormatting sqref="E189:M198">
    <cfRule type="containsBlanks" dxfId="1" priority="22">
      <formula>LEN(TRIM(E189))=0</formula>
    </cfRule>
  </conditionalFormatting>
  <conditionalFormatting sqref="E201:M210">
    <cfRule type="containsBlanks" dxfId="1" priority="23">
      <formula>LEN(TRIM(E201))=0</formula>
    </cfRule>
  </conditionalFormatting>
  <conditionalFormatting sqref="E213:M222">
    <cfRule type="containsBlanks" dxfId="1" priority="24">
      <formula>LEN(TRIM(E213))=0</formula>
    </cfRule>
  </conditionalFormatting>
  <conditionalFormatting sqref="E225:M234">
    <cfRule type="containsBlanks" dxfId="1" priority="25">
      <formula>LEN(TRIM(E225))=0</formula>
    </cfRule>
  </conditionalFormatting>
  <conditionalFormatting sqref="E237:M246">
    <cfRule type="containsBlanks" dxfId="1" priority="26">
      <formula>LEN(TRIM(E237))=0</formula>
    </cfRule>
  </conditionalFormatting>
  <conditionalFormatting sqref="E249:M259">
    <cfRule type="containsBlanks" dxfId="1" priority="27">
      <formula>LEN(TRIM(E249))=0</formula>
    </cfRule>
  </conditionalFormatting>
  <conditionalFormatting sqref="E262:M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2" width="8.71"/>
    <col customWidth="1" min="13" max="13" width="13.29"/>
    <col customWidth="1" min="14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209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36"/>
    </row>
    <row r="14" ht="12.75" customHeight="1">
      <c r="A14" s="18"/>
      <c r="B14" s="22" t="s">
        <v>11</v>
      </c>
      <c r="C14" s="23"/>
      <c r="D14" s="19" t="s">
        <v>12</v>
      </c>
      <c r="E14" s="19">
        <v>129.0</v>
      </c>
      <c r="F14" s="19">
        <v>145.0</v>
      </c>
      <c r="G14" s="19">
        <v>133.0</v>
      </c>
      <c r="H14" s="19">
        <v>108.0</v>
      </c>
      <c r="I14" s="19">
        <v>127.0</v>
      </c>
      <c r="J14" s="19">
        <v>110.0</v>
      </c>
      <c r="K14" s="19">
        <v>99.0</v>
      </c>
      <c r="L14" s="19">
        <v>106.0</v>
      </c>
      <c r="M14" s="13">
        <f t="shared" ref="M14:M16" si="1">SUM(E14:L14)</f>
        <v>957</v>
      </c>
    </row>
    <row r="15" ht="12.75" customHeight="1">
      <c r="A15" s="18"/>
      <c r="B15" s="26"/>
      <c r="C15" s="27"/>
      <c r="D15" s="19" t="s">
        <v>13</v>
      </c>
      <c r="E15" s="19">
        <v>131.0</v>
      </c>
      <c r="F15" s="19">
        <v>129.0</v>
      </c>
      <c r="G15" s="19">
        <v>139.0</v>
      </c>
      <c r="H15" s="19">
        <v>112.0</v>
      </c>
      <c r="I15" s="19">
        <v>133.0</v>
      </c>
      <c r="J15" s="19">
        <v>115.0</v>
      </c>
      <c r="K15" s="19">
        <v>111.0</v>
      </c>
      <c r="L15" s="19">
        <v>109.0</v>
      </c>
      <c r="M15" s="13">
        <f t="shared" si="1"/>
        <v>979</v>
      </c>
    </row>
    <row r="16" ht="12.75" customHeight="1">
      <c r="A16" s="25"/>
      <c r="B16" s="21"/>
      <c r="C16" s="28"/>
      <c r="D16" s="13" t="s">
        <v>14</v>
      </c>
      <c r="E16" s="13">
        <f t="shared" ref="E16:L16" si="2">SUM(E14:E15)</f>
        <v>260</v>
      </c>
      <c r="F16" s="13">
        <f t="shared" si="2"/>
        <v>274</v>
      </c>
      <c r="G16" s="13">
        <f t="shared" si="2"/>
        <v>272</v>
      </c>
      <c r="H16" s="13">
        <f t="shared" si="2"/>
        <v>220</v>
      </c>
      <c r="I16" s="13">
        <f t="shared" si="2"/>
        <v>260</v>
      </c>
      <c r="J16" s="13">
        <f t="shared" si="2"/>
        <v>225</v>
      </c>
      <c r="K16" s="13">
        <f t="shared" si="2"/>
        <v>210</v>
      </c>
      <c r="L16" s="13">
        <f t="shared" si="2"/>
        <v>215</v>
      </c>
      <c r="M16" s="13">
        <f t="shared" si="1"/>
        <v>1936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67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67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107.0</v>
      </c>
      <c r="F19" s="19">
        <v>113.0</v>
      </c>
      <c r="G19" s="19">
        <v>102.0</v>
      </c>
      <c r="H19" s="19">
        <v>76.0</v>
      </c>
      <c r="I19" s="19">
        <v>100.0</v>
      </c>
      <c r="J19" s="19">
        <v>99.0</v>
      </c>
      <c r="K19" s="19">
        <v>79.0</v>
      </c>
      <c r="L19" s="19">
        <v>90.0</v>
      </c>
      <c r="M19" s="13">
        <f t="shared" ref="M19:M30" si="3">SUM(E19:L19)</f>
        <v>766</v>
      </c>
    </row>
    <row r="20" ht="12.75" customHeight="1">
      <c r="A20" s="33"/>
      <c r="B20" s="27"/>
      <c r="C20" s="34"/>
      <c r="D20" s="19" t="s">
        <v>13</v>
      </c>
      <c r="E20" s="19">
        <v>96.0</v>
      </c>
      <c r="F20" s="19">
        <v>101.0</v>
      </c>
      <c r="G20" s="19">
        <v>113.0</v>
      </c>
      <c r="H20" s="19">
        <v>86.0</v>
      </c>
      <c r="I20" s="19">
        <v>112.0</v>
      </c>
      <c r="J20" s="19">
        <v>97.0</v>
      </c>
      <c r="K20" s="19">
        <v>89.0</v>
      </c>
      <c r="L20" s="19">
        <v>98.0</v>
      </c>
      <c r="M20" s="13">
        <f t="shared" si="3"/>
        <v>792</v>
      </c>
    </row>
    <row r="21" ht="12.75" customHeight="1">
      <c r="A21" s="35"/>
      <c r="B21" s="28"/>
      <c r="C21" s="36"/>
      <c r="D21" s="13" t="s">
        <v>14</v>
      </c>
      <c r="E21" s="13">
        <f t="shared" ref="E21:L21" si="4">SUM(E19:E20)</f>
        <v>203</v>
      </c>
      <c r="F21" s="13">
        <f t="shared" si="4"/>
        <v>214</v>
      </c>
      <c r="G21" s="13">
        <f t="shared" si="4"/>
        <v>215</v>
      </c>
      <c r="H21" s="13">
        <f t="shared" si="4"/>
        <v>162</v>
      </c>
      <c r="I21" s="13">
        <f t="shared" si="4"/>
        <v>212</v>
      </c>
      <c r="J21" s="13">
        <f t="shared" si="4"/>
        <v>196</v>
      </c>
      <c r="K21" s="13">
        <f t="shared" si="4"/>
        <v>168</v>
      </c>
      <c r="L21" s="13">
        <f t="shared" si="4"/>
        <v>188</v>
      </c>
      <c r="M21" s="13">
        <f t="shared" si="3"/>
        <v>1558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2.0</v>
      </c>
      <c r="G22" s="19">
        <v>0.0</v>
      </c>
      <c r="H22" s="19">
        <v>0.0</v>
      </c>
      <c r="I22" s="19">
        <v>0.0</v>
      </c>
      <c r="J22" s="19">
        <v>1.0</v>
      </c>
      <c r="K22" s="19">
        <v>0.0</v>
      </c>
      <c r="L22" s="19">
        <v>0.0</v>
      </c>
      <c r="M22" s="13">
        <f t="shared" si="3"/>
        <v>3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L24" si="5">SUM(E22:E23)</f>
        <v>0</v>
      </c>
      <c r="F24" s="13">
        <f t="shared" si="5"/>
        <v>2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1</v>
      </c>
      <c r="K24" s="13">
        <f t="shared" si="5"/>
        <v>0</v>
      </c>
      <c r="L24" s="13">
        <f t="shared" si="5"/>
        <v>0</v>
      </c>
      <c r="M24" s="13">
        <f t="shared" si="3"/>
        <v>3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1.0</v>
      </c>
      <c r="J25" s="19">
        <v>4.0</v>
      </c>
      <c r="K25" s="19">
        <v>1.0</v>
      </c>
      <c r="L25" s="19">
        <v>2.0</v>
      </c>
      <c r="M25" s="13">
        <f t="shared" si="3"/>
        <v>8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1.0</v>
      </c>
      <c r="G26" s="19">
        <v>1.0</v>
      </c>
      <c r="H26" s="19">
        <v>0.0</v>
      </c>
      <c r="I26" s="19">
        <v>2.0</v>
      </c>
      <c r="J26" s="19">
        <v>2.0</v>
      </c>
      <c r="K26" s="19">
        <v>1.0</v>
      </c>
      <c r="L26" s="19">
        <v>0.0</v>
      </c>
      <c r="M26" s="13">
        <f t="shared" si="3"/>
        <v>7</v>
      </c>
    </row>
    <row r="27" ht="12.75" customHeight="1">
      <c r="A27" s="35"/>
      <c r="B27" s="28"/>
      <c r="C27" s="36"/>
      <c r="D27" s="13" t="s">
        <v>14</v>
      </c>
      <c r="E27" s="13">
        <f t="shared" ref="E27:L27" si="6">SUM(E25:E26)</f>
        <v>0</v>
      </c>
      <c r="F27" s="13">
        <f t="shared" si="6"/>
        <v>1</v>
      </c>
      <c r="G27" s="13">
        <f t="shared" si="6"/>
        <v>1</v>
      </c>
      <c r="H27" s="13">
        <f t="shared" si="6"/>
        <v>0</v>
      </c>
      <c r="I27" s="13">
        <f t="shared" si="6"/>
        <v>3</v>
      </c>
      <c r="J27" s="13">
        <f t="shared" si="6"/>
        <v>6</v>
      </c>
      <c r="K27" s="13">
        <f t="shared" si="6"/>
        <v>2</v>
      </c>
      <c r="L27" s="13">
        <f t="shared" si="6"/>
        <v>2</v>
      </c>
      <c r="M27" s="13">
        <f t="shared" si="3"/>
        <v>15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L28" si="7">SUM(E19,E22,E25)</f>
        <v>107</v>
      </c>
      <c r="F28" s="13">
        <f t="shared" si="7"/>
        <v>115</v>
      </c>
      <c r="G28" s="13">
        <f t="shared" si="7"/>
        <v>102</v>
      </c>
      <c r="H28" s="13">
        <f t="shared" si="7"/>
        <v>76</v>
      </c>
      <c r="I28" s="13">
        <f t="shared" si="7"/>
        <v>101</v>
      </c>
      <c r="J28" s="13">
        <f t="shared" si="7"/>
        <v>104</v>
      </c>
      <c r="K28" s="13">
        <f t="shared" si="7"/>
        <v>80</v>
      </c>
      <c r="L28" s="13">
        <f t="shared" si="7"/>
        <v>92</v>
      </c>
      <c r="M28" s="13">
        <f t="shared" si="3"/>
        <v>777</v>
      </c>
    </row>
    <row r="29" ht="12.75" customHeight="1">
      <c r="A29" s="35"/>
      <c r="B29" s="27"/>
      <c r="C29" s="34"/>
      <c r="D29" s="13" t="s">
        <v>13</v>
      </c>
      <c r="E29" s="13">
        <f t="shared" ref="E29:L29" si="8">SUM(E20,E23,E26)</f>
        <v>96</v>
      </c>
      <c r="F29" s="13">
        <f t="shared" si="8"/>
        <v>102</v>
      </c>
      <c r="G29" s="13">
        <f t="shared" si="8"/>
        <v>114</v>
      </c>
      <c r="H29" s="13">
        <f t="shared" si="8"/>
        <v>86</v>
      </c>
      <c r="I29" s="13">
        <f t="shared" si="8"/>
        <v>114</v>
      </c>
      <c r="J29" s="13">
        <f t="shared" si="8"/>
        <v>99</v>
      </c>
      <c r="K29" s="13">
        <f t="shared" si="8"/>
        <v>90</v>
      </c>
      <c r="L29" s="13">
        <f t="shared" si="8"/>
        <v>98</v>
      </c>
      <c r="M29" s="13">
        <f t="shared" si="3"/>
        <v>799</v>
      </c>
    </row>
    <row r="30" ht="12.75" customHeight="1">
      <c r="A30" s="35"/>
      <c r="B30" s="28"/>
      <c r="C30" s="36"/>
      <c r="D30" s="13" t="s">
        <v>14</v>
      </c>
      <c r="E30" s="13">
        <f t="shared" ref="E30:L30" si="9">SUM(E28:E29)</f>
        <v>203</v>
      </c>
      <c r="F30" s="13">
        <f t="shared" si="9"/>
        <v>217</v>
      </c>
      <c r="G30" s="13">
        <f t="shared" si="9"/>
        <v>216</v>
      </c>
      <c r="H30" s="13">
        <f t="shared" si="9"/>
        <v>162</v>
      </c>
      <c r="I30" s="13">
        <f t="shared" si="9"/>
        <v>215</v>
      </c>
      <c r="J30" s="13">
        <f t="shared" si="9"/>
        <v>203</v>
      </c>
      <c r="K30" s="13">
        <f t="shared" si="9"/>
        <v>170</v>
      </c>
      <c r="L30" s="13">
        <f t="shared" si="9"/>
        <v>190</v>
      </c>
      <c r="M30" s="13">
        <f t="shared" si="3"/>
        <v>1576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67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67"/>
    </row>
    <row r="33" ht="12.75" customHeight="1">
      <c r="A33" s="19">
        <v>1.0</v>
      </c>
      <c r="B33" s="20" t="s">
        <v>27</v>
      </c>
      <c r="C33" s="15"/>
      <c r="D33" s="16"/>
      <c r="E33" s="19">
        <v>256.0</v>
      </c>
      <c r="F33" s="19">
        <v>270.0</v>
      </c>
      <c r="G33" s="19">
        <v>278.0</v>
      </c>
      <c r="H33" s="19">
        <v>225.0</v>
      </c>
      <c r="I33" s="19">
        <v>266.0</v>
      </c>
      <c r="J33" s="19">
        <v>229.0</v>
      </c>
      <c r="K33" s="19">
        <v>206.0</v>
      </c>
      <c r="L33" s="19">
        <v>210.0</v>
      </c>
      <c r="M33" s="13">
        <f t="shared" ref="M33:M36" si="10">SUM(E33:L33)</f>
        <v>1940</v>
      </c>
    </row>
    <row r="34" ht="12.75" customHeight="1">
      <c r="A34" s="19">
        <v>2.0</v>
      </c>
      <c r="B34" s="20" t="s">
        <v>28</v>
      </c>
      <c r="C34" s="15"/>
      <c r="D34" s="16"/>
      <c r="E34" s="13">
        <v>203.0</v>
      </c>
      <c r="F34" s="13">
        <v>217.0</v>
      </c>
      <c r="G34" s="13">
        <v>216.0</v>
      </c>
      <c r="H34" s="13">
        <v>162.0</v>
      </c>
      <c r="I34" s="13">
        <v>215.0</v>
      </c>
      <c r="J34" s="13">
        <v>203.0</v>
      </c>
      <c r="K34" s="13">
        <v>170.0</v>
      </c>
      <c r="L34" s="13">
        <v>190.0</v>
      </c>
      <c r="M34" s="13">
        <f t="shared" si="10"/>
        <v>1576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3">
        <f t="shared" si="10"/>
        <v>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L36" si="11">E33-(E34+E35)</f>
        <v>53</v>
      </c>
      <c r="F36" s="13">
        <f t="shared" si="11"/>
        <v>53</v>
      </c>
      <c r="G36" s="13">
        <f t="shared" si="11"/>
        <v>62</v>
      </c>
      <c r="H36" s="13">
        <f t="shared" si="11"/>
        <v>63</v>
      </c>
      <c r="I36" s="13">
        <f t="shared" si="11"/>
        <v>51</v>
      </c>
      <c r="J36" s="13">
        <f t="shared" si="11"/>
        <v>26</v>
      </c>
      <c r="K36" s="13">
        <f t="shared" si="11"/>
        <v>36</v>
      </c>
      <c r="L36" s="13">
        <f t="shared" si="11"/>
        <v>20</v>
      </c>
      <c r="M36" s="13">
        <f t="shared" si="10"/>
        <v>364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67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67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2.0</v>
      </c>
      <c r="J39" s="19">
        <v>0.0</v>
      </c>
      <c r="K39" s="19">
        <v>0.0</v>
      </c>
      <c r="L39" s="19">
        <v>0.0</v>
      </c>
      <c r="M39" s="13">
        <f t="shared" ref="M39:M41" si="12">SUM(E39:L39)</f>
        <v>2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L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2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2"/>
        <v>2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4.0</v>
      </c>
      <c r="F45" s="19">
        <v>9.0</v>
      </c>
      <c r="G45" s="19">
        <v>6.0</v>
      </c>
      <c r="H45" s="19">
        <v>8.0</v>
      </c>
      <c r="I45" s="19">
        <v>5.0</v>
      </c>
      <c r="J45" s="19">
        <v>10.0</v>
      </c>
      <c r="K45" s="19">
        <v>1.0</v>
      </c>
      <c r="L45" s="19">
        <v>2.0</v>
      </c>
      <c r="M45" s="13">
        <f t="shared" ref="M45:M55" si="14">SUM(E45:L45)</f>
        <v>45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28.0</v>
      </c>
      <c r="F46" s="19">
        <v>18.0</v>
      </c>
      <c r="G46" s="19">
        <v>16.0</v>
      </c>
      <c r="H46" s="19">
        <v>12.0</v>
      </c>
      <c r="I46" s="19">
        <v>8.0</v>
      </c>
      <c r="J46" s="19">
        <v>7.0</v>
      </c>
      <c r="K46" s="19">
        <v>4.0</v>
      </c>
      <c r="L46" s="19">
        <v>13.0</v>
      </c>
      <c r="M46" s="13">
        <f t="shared" si="14"/>
        <v>106</v>
      </c>
    </row>
    <row r="47" ht="12.75" customHeight="1">
      <c r="A47" s="18"/>
      <c r="B47" s="55">
        <v>2.0</v>
      </c>
      <c r="C47" s="50" t="s">
        <v>41</v>
      </c>
      <c r="D47" s="16"/>
      <c r="E47" s="19">
        <v>1.0</v>
      </c>
      <c r="F47" s="19">
        <v>2.0</v>
      </c>
      <c r="G47" s="19">
        <v>0.0</v>
      </c>
      <c r="H47" s="19">
        <v>1.0</v>
      </c>
      <c r="I47" s="19">
        <v>0.0</v>
      </c>
      <c r="J47" s="19">
        <v>0.0</v>
      </c>
      <c r="K47" s="19">
        <v>0.0</v>
      </c>
      <c r="L47" s="19">
        <v>0.0</v>
      </c>
      <c r="M47" s="13">
        <f t="shared" si="14"/>
        <v>4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0.0</v>
      </c>
      <c r="G48" s="19">
        <v>0.0</v>
      </c>
      <c r="H48" s="19">
        <v>1.0</v>
      </c>
      <c r="I48" s="19">
        <v>1.0</v>
      </c>
      <c r="J48" s="19">
        <v>0.0</v>
      </c>
      <c r="K48" s="19">
        <v>0.0</v>
      </c>
      <c r="L48" s="19">
        <v>0.0</v>
      </c>
      <c r="M48" s="13">
        <f t="shared" si="14"/>
        <v>2</v>
      </c>
    </row>
    <row r="49" ht="12.75" customHeight="1">
      <c r="A49" s="18"/>
      <c r="B49" s="55">
        <v>4.0</v>
      </c>
      <c r="C49" s="50" t="s">
        <v>43</v>
      </c>
      <c r="D49" s="16"/>
      <c r="E49" s="19">
        <v>1.0</v>
      </c>
      <c r="F49" s="19">
        <v>0.0</v>
      </c>
      <c r="G49" s="19">
        <v>0.0</v>
      </c>
      <c r="H49" s="19">
        <v>0.0</v>
      </c>
      <c r="I49" s="19">
        <v>0.0</v>
      </c>
      <c r="J49" s="19">
        <v>0.0</v>
      </c>
      <c r="K49" s="19">
        <v>0.0</v>
      </c>
      <c r="L49" s="19">
        <v>0.0</v>
      </c>
      <c r="M49" s="13">
        <f t="shared" si="14"/>
        <v>1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0.0</v>
      </c>
      <c r="H50" s="19">
        <v>0.0</v>
      </c>
      <c r="I50" s="19">
        <v>0.0</v>
      </c>
      <c r="J50" s="19">
        <v>0.0</v>
      </c>
      <c r="K50" s="19">
        <v>0.0</v>
      </c>
      <c r="L50" s="19">
        <v>0.0</v>
      </c>
      <c r="M50" s="13">
        <f t="shared" si="14"/>
        <v>0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3">
        <f t="shared" si="14"/>
        <v>0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3">
        <f t="shared" si="14"/>
        <v>0</v>
      </c>
    </row>
    <row r="53" ht="12.75" customHeight="1">
      <c r="A53" s="18"/>
      <c r="B53" s="68"/>
      <c r="C53" s="69"/>
      <c r="D53" s="70"/>
      <c r="E53" s="19"/>
      <c r="F53" s="19"/>
      <c r="G53" s="19"/>
      <c r="H53" s="19"/>
      <c r="I53" s="19"/>
      <c r="J53" s="19"/>
      <c r="K53" s="19"/>
      <c r="L53" s="19"/>
      <c r="M53" s="13">
        <f t="shared" si="14"/>
        <v>0</v>
      </c>
    </row>
    <row r="54" ht="12.75" customHeight="1">
      <c r="A54" s="18"/>
      <c r="B54" s="68"/>
      <c r="C54" s="69"/>
      <c r="D54" s="70"/>
      <c r="E54" s="19"/>
      <c r="F54" s="19"/>
      <c r="G54" s="19"/>
      <c r="H54" s="19"/>
      <c r="I54" s="19"/>
      <c r="J54" s="19"/>
      <c r="K54" s="19"/>
      <c r="L54" s="19"/>
      <c r="M54" s="13">
        <f t="shared" si="14"/>
        <v>0</v>
      </c>
    </row>
    <row r="55" ht="15.0" customHeight="1">
      <c r="A55" s="19" t="s">
        <v>15</v>
      </c>
      <c r="B55" s="47" t="s">
        <v>47</v>
      </c>
      <c r="C55" s="15"/>
      <c r="D55" s="16"/>
      <c r="E55" s="13">
        <f t="shared" ref="E55:L55" si="15">SUM(E45:E52)</f>
        <v>34</v>
      </c>
      <c r="F55" s="13">
        <f t="shared" si="15"/>
        <v>29</v>
      </c>
      <c r="G55" s="13">
        <f t="shared" si="15"/>
        <v>22</v>
      </c>
      <c r="H55" s="13">
        <f t="shared" si="15"/>
        <v>22</v>
      </c>
      <c r="I55" s="13">
        <f t="shared" si="15"/>
        <v>14</v>
      </c>
      <c r="J55" s="13">
        <f t="shared" si="15"/>
        <v>17</v>
      </c>
      <c r="K55" s="13">
        <f t="shared" si="15"/>
        <v>5</v>
      </c>
      <c r="L55" s="13">
        <f t="shared" si="15"/>
        <v>15</v>
      </c>
      <c r="M55" s="13">
        <f t="shared" si="14"/>
        <v>158</v>
      </c>
    </row>
    <row r="56" ht="12.75" customHeight="1">
      <c r="A56" s="45"/>
      <c r="B56" s="44"/>
      <c r="C56" s="44"/>
      <c r="D56" s="44"/>
      <c r="E56" s="44"/>
      <c r="M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24.0</v>
      </c>
      <c r="F57" s="19">
        <v>15.0</v>
      </c>
      <c r="G57" s="19">
        <v>10.0</v>
      </c>
      <c r="H57" s="19">
        <v>10.0</v>
      </c>
      <c r="I57" s="19">
        <v>20.0</v>
      </c>
      <c r="J57" s="19">
        <v>26.0</v>
      </c>
      <c r="K57" s="19">
        <v>15.0</v>
      </c>
      <c r="L57" s="19">
        <v>17.0</v>
      </c>
      <c r="M57" s="13">
        <f t="shared" ref="M57:M67" si="16">SUM(E57:L57)</f>
        <v>137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13.0</v>
      </c>
      <c r="F58" s="19">
        <v>7.0</v>
      </c>
      <c r="G58" s="19">
        <v>10.0</v>
      </c>
      <c r="H58" s="19">
        <v>3.0</v>
      </c>
      <c r="I58" s="19">
        <v>12.0</v>
      </c>
      <c r="J58" s="19">
        <v>16.0</v>
      </c>
      <c r="K58" s="19">
        <v>5.0</v>
      </c>
      <c r="L58" s="19">
        <v>12.0</v>
      </c>
      <c r="M58" s="13">
        <f t="shared" si="16"/>
        <v>78</v>
      </c>
    </row>
    <row r="59" ht="12.75" customHeight="1">
      <c r="A59" s="18"/>
      <c r="B59" s="55">
        <v>2.0</v>
      </c>
      <c r="C59" s="50" t="s">
        <v>50</v>
      </c>
      <c r="D59" s="56"/>
      <c r="E59" s="19">
        <v>9.0</v>
      </c>
      <c r="F59" s="19">
        <v>22.0</v>
      </c>
      <c r="G59" s="19">
        <v>17.0</v>
      </c>
      <c r="H59" s="19">
        <v>2.0</v>
      </c>
      <c r="I59" s="19">
        <v>16.0</v>
      </c>
      <c r="J59" s="19">
        <v>33.0</v>
      </c>
      <c r="K59" s="19">
        <v>33.0</v>
      </c>
      <c r="L59" s="19">
        <v>42.0</v>
      </c>
      <c r="M59" s="13">
        <f t="shared" si="16"/>
        <v>174</v>
      </c>
    </row>
    <row r="60" ht="12.75" customHeight="1">
      <c r="A60" s="18"/>
      <c r="B60" s="55">
        <v>3.0</v>
      </c>
      <c r="C60" s="50" t="s">
        <v>51</v>
      </c>
      <c r="D60" s="56"/>
      <c r="E60" s="19">
        <v>2.0</v>
      </c>
      <c r="F60" s="19">
        <v>0.0</v>
      </c>
      <c r="G60" s="19">
        <v>3.0</v>
      </c>
      <c r="H60" s="19">
        <v>0.0</v>
      </c>
      <c r="I60" s="19">
        <v>2.0</v>
      </c>
      <c r="J60" s="19">
        <v>1.0</v>
      </c>
      <c r="K60" s="19">
        <v>1.0</v>
      </c>
      <c r="L60" s="19">
        <v>0.0</v>
      </c>
      <c r="M60" s="13">
        <f t="shared" si="16"/>
        <v>9</v>
      </c>
    </row>
    <row r="61" ht="12.75" customHeight="1">
      <c r="A61" s="18"/>
      <c r="B61" s="55">
        <v>4.0</v>
      </c>
      <c r="C61" s="50" t="s">
        <v>52</v>
      </c>
      <c r="D61" s="56"/>
      <c r="E61" s="19">
        <v>1.0</v>
      </c>
      <c r="F61" s="19">
        <v>0.0</v>
      </c>
      <c r="G61" s="19">
        <v>1.0</v>
      </c>
      <c r="H61" s="19">
        <v>0.0</v>
      </c>
      <c r="I61" s="19">
        <v>2.0</v>
      </c>
      <c r="J61" s="19">
        <v>0.0</v>
      </c>
      <c r="K61" s="19">
        <v>2.0</v>
      </c>
      <c r="L61" s="19">
        <v>3.0</v>
      </c>
      <c r="M61" s="13">
        <f t="shared" si="16"/>
        <v>9</v>
      </c>
    </row>
    <row r="62" ht="12.75" customHeight="1">
      <c r="A62" s="18"/>
      <c r="B62" s="55">
        <v>5.0</v>
      </c>
      <c r="C62" s="50" t="s">
        <v>53</v>
      </c>
      <c r="D62" s="56"/>
      <c r="E62" s="19">
        <v>0.0</v>
      </c>
      <c r="F62" s="19">
        <v>0.0</v>
      </c>
      <c r="G62" s="19">
        <v>0.0</v>
      </c>
      <c r="H62" s="19">
        <v>0.0</v>
      </c>
      <c r="I62" s="19">
        <v>0.0</v>
      </c>
      <c r="J62" s="19">
        <v>0.0</v>
      </c>
      <c r="K62" s="19">
        <v>0.0</v>
      </c>
      <c r="L62" s="19">
        <v>0.0</v>
      </c>
      <c r="M62" s="13">
        <f t="shared" si="16"/>
        <v>0</v>
      </c>
    </row>
    <row r="63" ht="12.75" customHeight="1">
      <c r="A63" s="18"/>
      <c r="B63" s="55">
        <v>6.0</v>
      </c>
      <c r="C63" s="50" t="s">
        <v>54</v>
      </c>
      <c r="D63" s="57"/>
      <c r="E63" s="19">
        <v>0.0</v>
      </c>
      <c r="F63" s="19">
        <v>1.0</v>
      </c>
      <c r="G63" s="19">
        <v>0.0</v>
      </c>
      <c r="H63" s="19">
        <v>0.0</v>
      </c>
      <c r="I63" s="19">
        <v>0.0</v>
      </c>
      <c r="J63" s="19">
        <v>0.0</v>
      </c>
      <c r="K63" s="19">
        <v>0.0</v>
      </c>
      <c r="L63" s="19">
        <v>0.0</v>
      </c>
      <c r="M63" s="13">
        <f t="shared" si="16"/>
        <v>1</v>
      </c>
    </row>
    <row r="64" ht="12.75" customHeight="1">
      <c r="A64" s="18"/>
      <c r="B64" s="55">
        <v>7.0</v>
      </c>
      <c r="C64" s="50" t="s">
        <v>55</v>
      </c>
      <c r="D64" s="56"/>
      <c r="E64" s="19">
        <v>0.0</v>
      </c>
      <c r="F64" s="19">
        <v>0.0</v>
      </c>
      <c r="G64" s="19">
        <v>0.0</v>
      </c>
      <c r="H64" s="19">
        <v>0.0</v>
      </c>
      <c r="I64" s="19">
        <v>0.0</v>
      </c>
      <c r="J64" s="19">
        <v>0.0</v>
      </c>
      <c r="K64" s="19">
        <v>0.0</v>
      </c>
      <c r="L64" s="19">
        <v>1.0</v>
      </c>
      <c r="M64" s="13">
        <f t="shared" si="16"/>
        <v>1</v>
      </c>
    </row>
    <row r="65" ht="12.75" customHeight="1">
      <c r="A65" s="18"/>
      <c r="B65" s="68"/>
      <c r="C65" s="69"/>
      <c r="D65" s="70"/>
      <c r="E65" s="19"/>
      <c r="F65" s="19"/>
      <c r="G65" s="19"/>
      <c r="H65" s="19"/>
      <c r="I65" s="19"/>
      <c r="J65" s="19"/>
      <c r="K65" s="19"/>
      <c r="L65" s="19"/>
      <c r="M65" s="13">
        <f t="shared" si="16"/>
        <v>0</v>
      </c>
    </row>
    <row r="66" ht="12.75" customHeight="1">
      <c r="A66" s="18"/>
      <c r="B66" s="68"/>
      <c r="C66" s="69"/>
      <c r="D66" s="70"/>
      <c r="E66" s="19"/>
      <c r="F66" s="19"/>
      <c r="G66" s="19"/>
      <c r="H66" s="19"/>
      <c r="I66" s="19"/>
      <c r="J66" s="19"/>
      <c r="K66" s="19"/>
      <c r="L66" s="19"/>
      <c r="M66" s="13">
        <f t="shared" si="16"/>
        <v>0</v>
      </c>
    </row>
    <row r="67" ht="15.0" customHeight="1">
      <c r="A67" s="19" t="s">
        <v>15</v>
      </c>
      <c r="B67" s="47" t="s">
        <v>47</v>
      </c>
      <c r="C67" s="15"/>
      <c r="D67" s="16"/>
      <c r="E67" s="13">
        <f t="shared" ref="E67:L67" si="17">SUM(E57:E64)</f>
        <v>49</v>
      </c>
      <c r="F67" s="13">
        <f t="shared" si="17"/>
        <v>45</v>
      </c>
      <c r="G67" s="13">
        <f t="shared" si="17"/>
        <v>41</v>
      </c>
      <c r="H67" s="13">
        <f t="shared" si="17"/>
        <v>15</v>
      </c>
      <c r="I67" s="13">
        <f t="shared" si="17"/>
        <v>52</v>
      </c>
      <c r="J67" s="13">
        <f t="shared" si="17"/>
        <v>76</v>
      </c>
      <c r="K67" s="13">
        <f t="shared" si="17"/>
        <v>56</v>
      </c>
      <c r="L67" s="13">
        <f t="shared" si="17"/>
        <v>75</v>
      </c>
      <c r="M67" s="13">
        <f t="shared" si="16"/>
        <v>409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14.0</v>
      </c>
      <c r="F69" s="19">
        <v>18.0</v>
      </c>
      <c r="G69" s="19">
        <v>10.0</v>
      </c>
      <c r="H69" s="19">
        <v>13.0</v>
      </c>
      <c r="I69" s="19">
        <v>16.0</v>
      </c>
      <c r="J69" s="19">
        <v>3.0</v>
      </c>
      <c r="K69" s="19">
        <v>11.0</v>
      </c>
      <c r="L69" s="19">
        <v>6.0</v>
      </c>
      <c r="M69" s="13">
        <f t="shared" ref="M69:M79" si="18">SUM(E69:L69)</f>
        <v>91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7.0</v>
      </c>
      <c r="F70" s="19">
        <v>7.0</v>
      </c>
      <c r="G70" s="19">
        <v>6.0</v>
      </c>
      <c r="H70" s="19">
        <v>12.0</v>
      </c>
      <c r="I70" s="19">
        <v>6.0</v>
      </c>
      <c r="J70" s="19">
        <v>3.0</v>
      </c>
      <c r="K70" s="19">
        <v>3.0</v>
      </c>
      <c r="L70" s="19">
        <v>3.0</v>
      </c>
      <c r="M70" s="13">
        <f t="shared" si="18"/>
        <v>47</v>
      </c>
    </row>
    <row r="71" ht="12.75" customHeight="1">
      <c r="A71" s="18"/>
      <c r="B71" s="55">
        <v>2.0</v>
      </c>
      <c r="C71" s="50" t="s">
        <v>58</v>
      </c>
      <c r="D71" s="57"/>
      <c r="E71" s="19">
        <v>2.0</v>
      </c>
      <c r="F71" s="19">
        <v>2.0</v>
      </c>
      <c r="G71" s="19">
        <v>2.0</v>
      </c>
      <c r="H71" s="19">
        <v>1.0</v>
      </c>
      <c r="I71" s="19">
        <v>3.0</v>
      </c>
      <c r="J71" s="19">
        <v>1.0</v>
      </c>
      <c r="K71" s="19">
        <v>2.0</v>
      </c>
      <c r="L71" s="19">
        <v>2.0</v>
      </c>
      <c r="M71" s="13">
        <f t="shared" si="18"/>
        <v>15</v>
      </c>
    </row>
    <row r="72" ht="12.75" customHeight="1">
      <c r="A72" s="18"/>
      <c r="B72" s="55">
        <v>3.0</v>
      </c>
      <c r="C72" s="50" t="s">
        <v>59</v>
      </c>
      <c r="D72" s="57"/>
      <c r="E72" s="19">
        <v>11.0</v>
      </c>
      <c r="F72" s="19">
        <v>25.0</v>
      </c>
      <c r="G72" s="19">
        <v>41.0</v>
      </c>
      <c r="H72" s="19">
        <v>40.0</v>
      </c>
      <c r="I72" s="19">
        <v>1.0</v>
      </c>
      <c r="J72" s="19">
        <v>2.0</v>
      </c>
      <c r="K72" s="19">
        <v>5.0</v>
      </c>
      <c r="L72" s="19">
        <v>0.0</v>
      </c>
      <c r="M72" s="13">
        <f t="shared" si="18"/>
        <v>125</v>
      </c>
    </row>
    <row r="73" ht="12.75" customHeight="1">
      <c r="A73" s="18"/>
      <c r="B73" s="55">
        <v>4.0</v>
      </c>
      <c r="C73" s="50" t="s">
        <v>60</v>
      </c>
      <c r="D73" s="57"/>
      <c r="E73" s="19">
        <v>1.0</v>
      </c>
      <c r="F73" s="19">
        <v>0.0</v>
      </c>
      <c r="G73" s="19">
        <v>1.0</v>
      </c>
      <c r="H73" s="19">
        <v>0.0</v>
      </c>
      <c r="I73" s="19">
        <v>6.0</v>
      </c>
      <c r="J73" s="19">
        <v>0.0</v>
      </c>
      <c r="K73" s="19">
        <v>5.0</v>
      </c>
      <c r="L73" s="19">
        <v>2.0</v>
      </c>
      <c r="M73" s="13">
        <f t="shared" si="18"/>
        <v>15</v>
      </c>
    </row>
    <row r="74" ht="12.75" customHeight="1">
      <c r="A74" s="18"/>
      <c r="B74" s="55">
        <v>5.0</v>
      </c>
      <c r="C74" s="50" t="s">
        <v>61</v>
      </c>
      <c r="D74" s="57"/>
      <c r="E74" s="19">
        <v>8.0</v>
      </c>
      <c r="F74" s="19">
        <v>8.0</v>
      </c>
      <c r="G74" s="19">
        <v>7.0</v>
      </c>
      <c r="H74" s="19">
        <v>4.0</v>
      </c>
      <c r="I74" s="19">
        <v>5.0</v>
      </c>
      <c r="J74" s="19">
        <v>0.0</v>
      </c>
      <c r="K74" s="19">
        <v>5.0</v>
      </c>
      <c r="L74" s="19">
        <v>0.0</v>
      </c>
      <c r="M74" s="13">
        <f t="shared" si="18"/>
        <v>37</v>
      </c>
    </row>
    <row r="75" ht="12.75" customHeight="1">
      <c r="A75" s="18"/>
      <c r="B75" s="55">
        <v>6.0</v>
      </c>
      <c r="C75" s="50" t="s">
        <v>62</v>
      </c>
      <c r="D75" s="57"/>
      <c r="E75" s="19">
        <v>1.0</v>
      </c>
      <c r="F75" s="19">
        <v>2.0</v>
      </c>
      <c r="G75" s="19">
        <v>0.0</v>
      </c>
      <c r="H75" s="19">
        <v>1.0</v>
      </c>
      <c r="I75" s="19">
        <v>1.0</v>
      </c>
      <c r="J75" s="19">
        <v>0.0</v>
      </c>
      <c r="K75" s="19">
        <v>2.0</v>
      </c>
      <c r="L75" s="19">
        <v>0.0</v>
      </c>
      <c r="M75" s="13">
        <f t="shared" si="18"/>
        <v>7</v>
      </c>
    </row>
    <row r="76" ht="12.75" customHeight="1">
      <c r="A76" s="18"/>
      <c r="B76" s="55">
        <v>7.0</v>
      </c>
      <c r="C76" s="50" t="s">
        <v>63</v>
      </c>
      <c r="D76" s="57"/>
      <c r="E76" s="19">
        <v>0.0</v>
      </c>
      <c r="F76" s="19">
        <v>1.0</v>
      </c>
      <c r="G76" s="19">
        <v>2.0</v>
      </c>
      <c r="H76" s="19">
        <v>0.0</v>
      </c>
      <c r="I76" s="19">
        <v>2.0</v>
      </c>
      <c r="J76" s="19">
        <v>1.0</v>
      </c>
      <c r="K76" s="19">
        <v>17.0</v>
      </c>
      <c r="L76" s="19">
        <v>17.0</v>
      </c>
      <c r="M76" s="13">
        <f t="shared" si="18"/>
        <v>40</v>
      </c>
    </row>
    <row r="77" ht="12.75" customHeight="1">
      <c r="A77" s="18"/>
      <c r="B77" s="68"/>
      <c r="C77" s="69"/>
      <c r="D77" s="71"/>
      <c r="E77" s="19"/>
      <c r="F77" s="19"/>
      <c r="G77" s="19"/>
      <c r="H77" s="19"/>
      <c r="I77" s="19"/>
      <c r="J77" s="19"/>
      <c r="K77" s="19"/>
      <c r="L77" s="19"/>
      <c r="M77" s="13">
        <f t="shared" si="18"/>
        <v>0</v>
      </c>
    </row>
    <row r="78" ht="12.75" customHeight="1">
      <c r="A78" s="18"/>
      <c r="B78" s="68"/>
      <c r="C78" s="69"/>
      <c r="D78" s="71"/>
      <c r="E78" s="19"/>
      <c r="F78" s="19"/>
      <c r="G78" s="19"/>
      <c r="H78" s="19"/>
      <c r="I78" s="19"/>
      <c r="J78" s="19"/>
      <c r="K78" s="19"/>
      <c r="L78" s="19"/>
      <c r="M78" s="13">
        <f t="shared" si="18"/>
        <v>0</v>
      </c>
    </row>
    <row r="79" ht="15.0" customHeight="1">
      <c r="A79" s="19" t="s">
        <v>15</v>
      </c>
      <c r="B79" s="47" t="s">
        <v>47</v>
      </c>
      <c r="C79" s="15"/>
      <c r="D79" s="16"/>
      <c r="E79" s="13">
        <f t="shared" ref="E79:L79" si="19">SUM(E69:E76)</f>
        <v>44</v>
      </c>
      <c r="F79" s="13">
        <f t="shared" si="19"/>
        <v>63</v>
      </c>
      <c r="G79" s="13">
        <f t="shared" si="19"/>
        <v>69</v>
      </c>
      <c r="H79" s="13">
        <f t="shared" si="19"/>
        <v>71</v>
      </c>
      <c r="I79" s="13">
        <f t="shared" si="19"/>
        <v>40</v>
      </c>
      <c r="J79" s="13">
        <f t="shared" si="19"/>
        <v>10</v>
      </c>
      <c r="K79" s="13">
        <f t="shared" si="19"/>
        <v>50</v>
      </c>
      <c r="L79" s="13">
        <f t="shared" si="19"/>
        <v>30</v>
      </c>
      <c r="M79" s="13">
        <f t="shared" si="18"/>
        <v>377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6.0</v>
      </c>
      <c r="F81" s="19">
        <v>13.0</v>
      </c>
      <c r="G81" s="19">
        <v>16.0</v>
      </c>
      <c r="H81" s="19">
        <v>8.0</v>
      </c>
      <c r="I81" s="19">
        <v>14.0</v>
      </c>
      <c r="J81" s="19">
        <v>15.0</v>
      </c>
      <c r="K81" s="19">
        <v>12.0</v>
      </c>
      <c r="L81" s="19">
        <v>5.0</v>
      </c>
      <c r="M81" s="13">
        <f t="shared" ref="M81:M91" si="20">SUM(E81:L81)</f>
        <v>89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7.0</v>
      </c>
      <c r="F82" s="19">
        <v>10.0</v>
      </c>
      <c r="G82" s="19">
        <v>2.0</v>
      </c>
      <c r="H82" s="19">
        <v>2.0</v>
      </c>
      <c r="I82" s="19">
        <v>44.0</v>
      </c>
      <c r="J82" s="19">
        <v>30.0</v>
      </c>
      <c r="K82" s="19">
        <v>5.0</v>
      </c>
      <c r="L82" s="19">
        <v>11.0</v>
      </c>
      <c r="M82" s="13">
        <f t="shared" si="20"/>
        <v>111</v>
      </c>
    </row>
    <row r="83" ht="12.75" customHeight="1">
      <c r="A83" s="18"/>
      <c r="B83" s="55">
        <v>2.0</v>
      </c>
      <c r="C83" s="50" t="s">
        <v>66</v>
      </c>
      <c r="D83" s="57"/>
      <c r="E83" s="19">
        <v>5.0</v>
      </c>
      <c r="F83" s="19">
        <v>3.0</v>
      </c>
      <c r="G83" s="19">
        <v>3.0</v>
      </c>
      <c r="H83" s="19">
        <v>1.0</v>
      </c>
      <c r="I83" s="19">
        <v>2.0</v>
      </c>
      <c r="J83" s="19">
        <v>4.0</v>
      </c>
      <c r="K83" s="19">
        <v>1.0</v>
      </c>
      <c r="L83" s="19">
        <v>7.0</v>
      </c>
      <c r="M83" s="13">
        <f t="shared" si="20"/>
        <v>26</v>
      </c>
    </row>
    <row r="84" ht="12.75" customHeight="1">
      <c r="A84" s="18"/>
      <c r="B84" s="55">
        <v>3.0</v>
      </c>
      <c r="C84" s="50" t="s">
        <v>67</v>
      </c>
      <c r="D84" s="57"/>
      <c r="E84" s="19">
        <v>0.0</v>
      </c>
      <c r="F84" s="19">
        <v>1.0</v>
      </c>
      <c r="G84" s="19">
        <v>1.0</v>
      </c>
      <c r="H84" s="19">
        <v>1.0</v>
      </c>
      <c r="I84" s="19">
        <v>1.0</v>
      </c>
      <c r="J84" s="19">
        <v>2.0</v>
      </c>
      <c r="K84" s="19">
        <v>1.0</v>
      </c>
      <c r="L84" s="19">
        <v>1.0</v>
      </c>
      <c r="M84" s="13">
        <f t="shared" si="20"/>
        <v>8</v>
      </c>
    </row>
    <row r="85" ht="12.75" customHeight="1">
      <c r="A85" s="18"/>
      <c r="B85" s="55">
        <v>4.0</v>
      </c>
      <c r="C85" s="50" t="s">
        <v>68</v>
      </c>
      <c r="D85" s="57"/>
      <c r="E85" s="19">
        <v>1.0</v>
      </c>
      <c r="F85" s="19">
        <v>2.0</v>
      </c>
      <c r="G85" s="19">
        <v>0.0</v>
      </c>
      <c r="H85" s="19">
        <v>0.0</v>
      </c>
      <c r="I85" s="19">
        <v>2.0</v>
      </c>
      <c r="J85" s="19">
        <v>1.0</v>
      </c>
      <c r="K85" s="19">
        <v>1.0</v>
      </c>
      <c r="L85" s="19">
        <v>0.0</v>
      </c>
      <c r="M85" s="13">
        <f t="shared" si="20"/>
        <v>7</v>
      </c>
    </row>
    <row r="86" ht="12.75" customHeight="1">
      <c r="A86" s="18"/>
      <c r="B86" s="55">
        <v>5.0</v>
      </c>
      <c r="C86" s="50" t="s">
        <v>69</v>
      </c>
      <c r="D86" s="57"/>
      <c r="E86" s="19">
        <v>1.0</v>
      </c>
      <c r="F86" s="19">
        <v>1.0</v>
      </c>
      <c r="G86" s="19">
        <v>2.0</v>
      </c>
      <c r="H86" s="19">
        <v>0.0</v>
      </c>
      <c r="I86" s="19">
        <v>3.0</v>
      </c>
      <c r="J86" s="19">
        <v>0.0</v>
      </c>
      <c r="K86" s="19">
        <v>1.0</v>
      </c>
      <c r="L86" s="19">
        <v>1.0</v>
      </c>
      <c r="M86" s="13">
        <f t="shared" si="20"/>
        <v>9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0.0</v>
      </c>
      <c r="G87" s="19">
        <v>0.0</v>
      </c>
      <c r="H87" s="19">
        <v>1.0</v>
      </c>
      <c r="I87" s="19">
        <v>0.0</v>
      </c>
      <c r="J87" s="19">
        <v>0.0</v>
      </c>
      <c r="K87" s="19">
        <v>0.0</v>
      </c>
      <c r="L87" s="19">
        <v>0.0</v>
      </c>
      <c r="M87" s="13">
        <f t="shared" si="20"/>
        <v>1</v>
      </c>
    </row>
    <row r="88" ht="12.75" customHeight="1">
      <c r="A88" s="18"/>
      <c r="B88" s="55">
        <v>7.0</v>
      </c>
      <c r="C88" s="50" t="s">
        <v>71</v>
      </c>
      <c r="D88" s="57"/>
      <c r="E88" s="19">
        <v>1.0</v>
      </c>
      <c r="F88" s="19">
        <v>1.0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1.0</v>
      </c>
      <c r="M88" s="13">
        <f t="shared" si="20"/>
        <v>3</v>
      </c>
    </row>
    <row r="89" ht="12.75" customHeight="1">
      <c r="A89" s="18"/>
      <c r="B89" s="68"/>
      <c r="C89" s="69"/>
      <c r="D89" s="71"/>
      <c r="E89" s="19"/>
      <c r="F89" s="19"/>
      <c r="G89" s="19"/>
      <c r="H89" s="19"/>
      <c r="I89" s="19"/>
      <c r="J89" s="19"/>
      <c r="K89" s="19"/>
      <c r="L89" s="19"/>
      <c r="M89" s="13">
        <f t="shared" si="20"/>
        <v>0</v>
      </c>
    </row>
    <row r="90" ht="12.75" customHeight="1">
      <c r="A90" s="18"/>
      <c r="B90" s="68"/>
      <c r="C90" s="69"/>
      <c r="D90" s="71"/>
      <c r="E90" s="19"/>
      <c r="F90" s="19"/>
      <c r="G90" s="19"/>
      <c r="H90" s="19"/>
      <c r="I90" s="19"/>
      <c r="J90" s="19"/>
      <c r="K90" s="19"/>
      <c r="L90" s="19"/>
      <c r="M90" s="13">
        <f t="shared" si="20"/>
        <v>0</v>
      </c>
    </row>
    <row r="91" ht="15.0" customHeight="1">
      <c r="A91" s="19" t="s">
        <v>15</v>
      </c>
      <c r="B91" s="47" t="s">
        <v>47</v>
      </c>
      <c r="C91" s="15"/>
      <c r="D91" s="16"/>
      <c r="E91" s="13">
        <f t="shared" ref="E91:L91" si="21">SUM(E81:E88)</f>
        <v>21</v>
      </c>
      <c r="F91" s="13">
        <f t="shared" si="21"/>
        <v>31</v>
      </c>
      <c r="G91" s="13">
        <f t="shared" si="21"/>
        <v>24</v>
      </c>
      <c r="H91" s="13">
        <f t="shared" si="21"/>
        <v>13</v>
      </c>
      <c r="I91" s="13">
        <f t="shared" si="21"/>
        <v>66</v>
      </c>
      <c r="J91" s="13">
        <f t="shared" si="21"/>
        <v>52</v>
      </c>
      <c r="K91" s="13">
        <f t="shared" si="21"/>
        <v>21</v>
      </c>
      <c r="L91" s="13">
        <f t="shared" si="21"/>
        <v>26</v>
      </c>
      <c r="M91" s="13">
        <f t="shared" si="20"/>
        <v>254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1.0</v>
      </c>
      <c r="F93" s="19">
        <v>0.0</v>
      </c>
      <c r="G93" s="19">
        <v>0.0</v>
      </c>
      <c r="H93" s="19">
        <v>0.0</v>
      </c>
      <c r="I93" s="19">
        <v>2.0</v>
      </c>
      <c r="J93" s="19">
        <v>0.0</v>
      </c>
      <c r="K93" s="19">
        <v>0.0</v>
      </c>
      <c r="L93" s="19">
        <v>1.0</v>
      </c>
      <c r="M93" s="13">
        <f t="shared" ref="M93:M103" si="22">SUM(E93:L93)</f>
        <v>4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0.0</v>
      </c>
      <c r="F94" s="19">
        <v>2.0</v>
      </c>
      <c r="G94" s="19">
        <v>3.0</v>
      </c>
      <c r="H94" s="19">
        <v>1.0</v>
      </c>
      <c r="I94" s="19">
        <v>0.0</v>
      </c>
      <c r="J94" s="19">
        <v>0.0</v>
      </c>
      <c r="K94" s="19">
        <v>1.0</v>
      </c>
      <c r="L94" s="19">
        <v>0.0</v>
      </c>
      <c r="M94" s="13">
        <f t="shared" si="22"/>
        <v>7</v>
      </c>
    </row>
    <row r="95" ht="12.75" customHeight="1">
      <c r="A95" s="18"/>
      <c r="B95" s="55">
        <v>2.0</v>
      </c>
      <c r="C95" s="50" t="s">
        <v>75</v>
      </c>
      <c r="D95" s="57"/>
      <c r="E95" s="19">
        <v>0.0</v>
      </c>
      <c r="F95" s="19">
        <v>0.0</v>
      </c>
      <c r="G95" s="19">
        <v>0.0</v>
      </c>
      <c r="H95" s="19">
        <v>0.0</v>
      </c>
      <c r="I95" s="19">
        <v>0.0</v>
      </c>
      <c r="J95" s="19">
        <v>0.0</v>
      </c>
      <c r="K95" s="19">
        <v>0.0</v>
      </c>
      <c r="L95" s="19">
        <v>1.0</v>
      </c>
      <c r="M95" s="13">
        <f t="shared" si="22"/>
        <v>1</v>
      </c>
    </row>
    <row r="96" ht="12.75" customHeight="1">
      <c r="A96" s="18"/>
      <c r="B96" s="55">
        <v>3.0</v>
      </c>
      <c r="C96" s="50" t="s">
        <v>76</v>
      </c>
      <c r="D96" s="57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3">
        <f t="shared" si="22"/>
        <v>0</v>
      </c>
    </row>
    <row r="97" ht="12.75" customHeight="1">
      <c r="A97" s="18"/>
      <c r="B97" s="55">
        <v>4.0</v>
      </c>
      <c r="C97" s="50" t="s">
        <v>77</v>
      </c>
      <c r="D97" s="57"/>
      <c r="E97" s="19">
        <v>1.0</v>
      </c>
      <c r="F97" s="19">
        <v>0.0</v>
      </c>
      <c r="G97" s="19">
        <v>0.0</v>
      </c>
      <c r="H97" s="19">
        <v>0.0</v>
      </c>
      <c r="I97" s="19">
        <v>0.0</v>
      </c>
      <c r="J97" s="19">
        <v>0.0</v>
      </c>
      <c r="K97" s="19">
        <v>0.0</v>
      </c>
      <c r="L97" s="19">
        <v>0.0</v>
      </c>
      <c r="M97" s="13">
        <f t="shared" si="22"/>
        <v>1</v>
      </c>
    </row>
    <row r="98" ht="12.75" customHeight="1">
      <c r="A98" s="18"/>
      <c r="B98" s="55">
        <v>5.0</v>
      </c>
      <c r="C98" s="50" t="s">
        <v>78</v>
      </c>
      <c r="D98" s="57"/>
      <c r="E98" s="19">
        <v>0.0</v>
      </c>
      <c r="F98" s="19">
        <v>0.0</v>
      </c>
      <c r="G98" s="19">
        <v>1.0</v>
      </c>
      <c r="H98" s="19">
        <v>1.0</v>
      </c>
      <c r="I98" s="19">
        <v>1.0</v>
      </c>
      <c r="J98" s="19">
        <v>0.0</v>
      </c>
      <c r="K98" s="19">
        <v>0.0</v>
      </c>
      <c r="L98" s="19">
        <v>0.0</v>
      </c>
      <c r="M98" s="13">
        <f t="shared" si="22"/>
        <v>3</v>
      </c>
    </row>
    <row r="99" ht="12.75" customHeight="1">
      <c r="A99" s="18"/>
      <c r="B99" s="55">
        <v>6.0</v>
      </c>
      <c r="C99" s="50" t="s">
        <v>79</v>
      </c>
      <c r="D99" s="57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3">
        <f t="shared" si="22"/>
        <v>0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3">
        <f t="shared" si="22"/>
        <v>0</v>
      </c>
    </row>
    <row r="101" ht="12.75" customHeight="1">
      <c r="A101" s="18"/>
      <c r="B101" s="68"/>
      <c r="C101" s="69"/>
      <c r="D101" s="71"/>
      <c r="E101" s="19"/>
      <c r="F101" s="19"/>
      <c r="G101" s="19"/>
      <c r="H101" s="19"/>
      <c r="I101" s="19"/>
      <c r="J101" s="19"/>
      <c r="K101" s="19"/>
      <c r="L101" s="19"/>
      <c r="M101" s="13">
        <f t="shared" si="22"/>
        <v>0</v>
      </c>
    </row>
    <row r="102" ht="12.75" customHeight="1">
      <c r="A102" s="18"/>
      <c r="B102" s="68"/>
      <c r="C102" s="69"/>
      <c r="D102" s="71"/>
      <c r="E102" s="19"/>
      <c r="F102" s="19"/>
      <c r="G102" s="19"/>
      <c r="H102" s="19"/>
      <c r="I102" s="19"/>
      <c r="J102" s="19"/>
      <c r="K102" s="19"/>
      <c r="L102" s="19"/>
      <c r="M102" s="13">
        <f t="shared" si="22"/>
        <v>0</v>
      </c>
    </row>
    <row r="103" ht="15.0" customHeight="1">
      <c r="A103" s="19" t="s">
        <v>15</v>
      </c>
      <c r="B103" s="47" t="s">
        <v>47</v>
      </c>
      <c r="C103" s="15"/>
      <c r="D103" s="16"/>
      <c r="E103" s="13">
        <f t="shared" ref="E103:L103" si="23">SUM(E93:E100)</f>
        <v>2</v>
      </c>
      <c r="F103" s="13">
        <f t="shared" si="23"/>
        <v>2</v>
      </c>
      <c r="G103" s="13">
        <f t="shared" si="23"/>
        <v>4</v>
      </c>
      <c r="H103" s="13">
        <f t="shared" si="23"/>
        <v>2</v>
      </c>
      <c r="I103" s="13">
        <f t="shared" si="23"/>
        <v>3</v>
      </c>
      <c r="J103" s="13">
        <f t="shared" si="23"/>
        <v>0</v>
      </c>
      <c r="K103" s="13">
        <f t="shared" si="23"/>
        <v>1</v>
      </c>
      <c r="L103" s="13">
        <f t="shared" si="23"/>
        <v>2</v>
      </c>
      <c r="M103" s="13">
        <f t="shared" si="22"/>
        <v>16</v>
      </c>
    </row>
    <row r="104" ht="12.75" customHeight="1">
      <c r="A104" s="45"/>
      <c r="B104" s="44"/>
      <c r="C104" s="44"/>
      <c r="D104" s="44"/>
      <c r="E104" s="44"/>
      <c r="F104" s="72"/>
      <c r="G104" s="72"/>
      <c r="H104" s="72"/>
      <c r="I104" s="72"/>
      <c r="J104" s="72"/>
      <c r="K104" s="72"/>
      <c r="L104" s="72"/>
      <c r="M104" s="72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0.0</v>
      </c>
      <c r="H105" s="19">
        <v>0.0</v>
      </c>
      <c r="I105" s="19">
        <v>0.0</v>
      </c>
      <c r="J105" s="19">
        <v>0.0</v>
      </c>
      <c r="K105" s="19">
        <v>0.0</v>
      </c>
      <c r="L105" s="19">
        <v>0.0</v>
      </c>
      <c r="M105" s="13">
        <f t="shared" ref="M105:M115" si="24">SUM(E105:L105)</f>
        <v>0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3">
        <f t="shared" si="24"/>
        <v>0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3">
        <f t="shared" si="24"/>
        <v>0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3">
        <f t="shared" si="24"/>
        <v>0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3">
        <f t="shared" si="24"/>
        <v>0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1.0</v>
      </c>
      <c r="L111" s="19">
        <v>0.0</v>
      </c>
      <c r="M111" s="13">
        <f t="shared" si="24"/>
        <v>1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3">
        <f t="shared" si="24"/>
        <v>0</v>
      </c>
    </row>
    <row r="113" ht="12.75" customHeight="1">
      <c r="A113" s="18"/>
      <c r="B113" s="68"/>
      <c r="C113" s="69"/>
      <c r="D113" s="71"/>
      <c r="E113" s="19"/>
      <c r="F113" s="19"/>
      <c r="G113" s="19"/>
      <c r="H113" s="19"/>
      <c r="I113" s="19"/>
      <c r="J113" s="19"/>
      <c r="K113" s="19"/>
      <c r="L113" s="19"/>
      <c r="M113" s="13">
        <f t="shared" si="24"/>
        <v>0</v>
      </c>
    </row>
    <row r="114" ht="12.75" customHeight="1">
      <c r="A114" s="18"/>
      <c r="B114" s="68"/>
      <c r="C114" s="69"/>
      <c r="D114" s="71"/>
      <c r="E114" s="19"/>
      <c r="F114" s="19"/>
      <c r="G114" s="19"/>
      <c r="H114" s="19"/>
      <c r="I114" s="19"/>
      <c r="J114" s="19"/>
      <c r="K114" s="19"/>
      <c r="L114" s="19"/>
      <c r="M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L115" si="25">SUM(E105:E112)</f>
        <v>0</v>
      </c>
      <c r="F115" s="13">
        <f t="shared" si="25"/>
        <v>0</v>
      </c>
      <c r="G115" s="13">
        <f t="shared" si="25"/>
        <v>0</v>
      </c>
      <c r="H115" s="13">
        <f t="shared" si="25"/>
        <v>0</v>
      </c>
      <c r="I115" s="13">
        <f t="shared" si="25"/>
        <v>0</v>
      </c>
      <c r="J115" s="13">
        <f t="shared" si="25"/>
        <v>0</v>
      </c>
      <c r="K115" s="13">
        <f t="shared" si="25"/>
        <v>1</v>
      </c>
      <c r="L115" s="13">
        <f t="shared" si="25"/>
        <v>0</v>
      </c>
      <c r="M115" s="13">
        <f t="shared" si="24"/>
        <v>1</v>
      </c>
    </row>
    <row r="116" ht="12.75" customHeight="1">
      <c r="A116" s="24"/>
      <c r="B116" s="15"/>
      <c r="C116" s="15"/>
      <c r="D116" s="15"/>
      <c r="E116" s="16"/>
      <c r="F116" s="72"/>
      <c r="G116" s="72"/>
      <c r="H116" s="72"/>
      <c r="I116" s="72"/>
      <c r="J116" s="72"/>
      <c r="K116" s="72"/>
      <c r="L116" s="72"/>
      <c r="M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1.0</v>
      </c>
      <c r="G117" s="19">
        <v>0.0</v>
      </c>
      <c r="H117" s="19">
        <v>1.0</v>
      </c>
      <c r="I117" s="19">
        <v>4.0</v>
      </c>
      <c r="J117" s="19">
        <v>0.0</v>
      </c>
      <c r="K117" s="19">
        <v>1.0</v>
      </c>
      <c r="L117" s="19">
        <v>1.0</v>
      </c>
      <c r="M117" s="13">
        <f t="shared" ref="M117:M127" si="26">SUM(E117:L117)</f>
        <v>8</v>
      </c>
      <c r="N117" s="5"/>
      <c r="O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1.0</v>
      </c>
      <c r="L118" s="19">
        <v>0.0</v>
      </c>
      <c r="M118" s="13">
        <f t="shared" si="26"/>
        <v>1</v>
      </c>
      <c r="N118" s="5"/>
      <c r="O118" s="5"/>
    </row>
    <row r="119" ht="12.75" customHeight="1">
      <c r="A119" s="18"/>
      <c r="B119" s="55">
        <v>2.0</v>
      </c>
      <c r="C119" s="50" t="s">
        <v>93</v>
      </c>
      <c r="D119" s="57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3">
        <f t="shared" si="26"/>
        <v>0</v>
      </c>
      <c r="N119" s="5"/>
      <c r="O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1.0</v>
      </c>
      <c r="L120" s="19">
        <v>0.0</v>
      </c>
      <c r="M120" s="13">
        <f t="shared" si="26"/>
        <v>1</v>
      </c>
      <c r="N120" s="5"/>
      <c r="O120" s="5"/>
    </row>
    <row r="121" ht="12.75" customHeight="1">
      <c r="A121" s="18"/>
      <c r="B121" s="68"/>
      <c r="C121" s="69"/>
      <c r="D121" s="71"/>
      <c r="E121" s="40"/>
      <c r="F121" s="19"/>
      <c r="G121" s="19"/>
      <c r="H121" s="19"/>
      <c r="I121" s="19"/>
      <c r="J121" s="19"/>
      <c r="K121" s="19"/>
      <c r="L121" s="19"/>
      <c r="M121" s="13">
        <f t="shared" si="26"/>
        <v>0</v>
      </c>
      <c r="N121" s="5"/>
      <c r="O121" s="5"/>
    </row>
    <row r="122" ht="12.75" customHeight="1">
      <c r="A122" s="18"/>
      <c r="B122" s="68"/>
      <c r="C122" s="69"/>
      <c r="D122" s="71"/>
      <c r="E122" s="40"/>
      <c r="F122" s="19"/>
      <c r="G122" s="19"/>
      <c r="H122" s="19"/>
      <c r="I122" s="19"/>
      <c r="J122" s="19"/>
      <c r="K122" s="19"/>
      <c r="L122" s="19"/>
      <c r="M122" s="13">
        <f t="shared" si="26"/>
        <v>0</v>
      </c>
      <c r="N122" s="5"/>
      <c r="O122" s="5"/>
    </row>
    <row r="123" ht="12.75" customHeight="1">
      <c r="A123" s="18"/>
      <c r="B123" s="68"/>
      <c r="C123" s="69"/>
      <c r="D123" s="71"/>
      <c r="E123" s="40"/>
      <c r="F123" s="40"/>
      <c r="G123" s="40"/>
      <c r="H123" s="40"/>
      <c r="I123" s="40"/>
      <c r="J123" s="40"/>
      <c r="K123" s="40"/>
      <c r="L123" s="40"/>
      <c r="M123" s="13">
        <f t="shared" si="26"/>
        <v>0</v>
      </c>
      <c r="N123" s="5"/>
      <c r="O123" s="5"/>
    </row>
    <row r="124" ht="12.75" customHeight="1">
      <c r="A124" s="18"/>
      <c r="B124" s="68"/>
      <c r="C124" s="69"/>
      <c r="D124" s="71"/>
      <c r="E124" s="40"/>
      <c r="F124" s="40"/>
      <c r="G124" s="40"/>
      <c r="H124" s="40"/>
      <c r="I124" s="40"/>
      <c r="J124" s="40"/>
      <c r="K124" s="40"/>
      <c r="L124" s="40"/>
      <c r="M124" s="13">
        <f t="shared" si="26"/>
        <v>0</v>
      </c>
      <c r="N124" s="5"/>
      <c r="O124" s="5"/>
    </row>
    <row r="125" ht="12.75" customHeight="1">
      <c r="A125" s="18"/>
      <c r="B125" s="68"/>
      <c r="C125" s="69"/>
      <c r="D125" s="71"/>
      <c r="E125" s="40"/>
      <c r="F125" s="40"/>
      <c r="G125" s="40"/>
      <c r="H125" s="40"/>
      <c r="I125" s="40"/>
      <c r="J125" s="40"/>
      <c r="K125" s="40"/>
      <c r="L125" s="40"/>
      <c r="M125" s="13">
        <f t="shared" si="26"/>
        <v>0</v>
      </c>
      <c r="N125" s="5"/>
      <c r="O125" s="5"/>
    </row>
    <row r="126" ht="12.75" customHeight="1">
      <c r="A126" s="18"/>
      <c r="B126" s="68"/>
      <c r="C126" s="69"/>
      <c r="D126" s="71"/>
      <c r="E126" s="40"/>
      <c r="F126" s="40"/>
      <c r="G126" s="40"/>
      <c r="H126" s="40"/>
      <c r="I126" s="40"/>
      <c r="J126" s="40"/>
      <c r="K126" s="40"/>
      <c r="L126" s="40"/>
      <c r="M126" s="13">
        <f t="shared" si="26"/>
        <v>0</v>
      </c>
      <c r="N126" s="5"/>
      <c r="O126" s="5"/>
    </row>
    <row r="127" ht="15.0" customHeight="1">
      <c r="A127" s="19" t="s">
        <v>15</v>
      </c>
      <c r="B127" s="47" t="s">
        <v>47</v>
      </c>
      <c r="C127" s="15"/>
      <c r="D127" s="16"/>
      <c r="E127" s="58">
        <f t="shared" ref="E127:L127" si="27">SUM(E117:E120)</f>
        <v>0</v>
      </c>
      <c r="F127" s="58">
        <f t="shared" si="27"/>
        <v>1</v>
      </c>
      <c r="G127" s="58">
        <f t="shared" si="27"/>
        <v>0</v>
      </c>
      <c r="H127" s="58">
        <f t="shared" si="27"/>
        <v>1</v>
      </c>
      <c r="I127" s="58">
        <f t="shared" si="27"/>
        <v>4</v>
      </c>
      <c r="J127" s="58">
        <f t="shared" si="27"/>
        <v>0</v>
      </c>
      <c r="K127" s="58">
        <f t="shared" si="27"/>
        <v>3</v>
      </c>
      <c r="L127" s="58">
        <f t="shared" si="27"/>
        <v>1</v>
      </c>
      <c r="M127" s="13">
        <f t="shared" si="26"/>
        <v>10</v>
      </c>
      <c r="N127" s="5"/>
      <c r="O127" s="5"/>
    </row>
    <row r="128" ht="12.75" customHeight="1">
      <c r="A128" s="24"/>
      <c r="B128" s="15"/>
      <c r="C128" s="15"/>
      <c r="D128" s="15"/>
      <c r="E128" s="16"/>
      <c r="F128" s="72"/>
      <c r="G128" s="72"/>
      <c r="H128" s="72"/>
      <c r="I128" s="72"/>
      <c r="J128" s="72"/>
      <c r="K128" s="72"/>
      <c r="L128" s="72"/>
      <c r="M128" s="72"/>
      <c r="N128" s="5"/>
      <c r="O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1.0</v>
      </c>
      <c r="G129" s="19">
        <v>0.0</v>
      </c>
      <c r="H129" s="19">
        <v>0.0</v>
      </c>
      <c r="I129" s="19">
        <v>0.0</v>
      </c>
      <c r="J129" s="19">
        <v>1.0</v>
      </c>
      <c r="K129" s="19">
        <v>0.0</v>
      </c>
      <c r="L129" s="19">
        <v>0.0</v>
      </c>
      <c r="M129" s="13">
        <f t="shared" ref="M129:M139" si="28">SUM(E129:L129)</f>
        <v>2</v>
      </c>
      <c r="N129" s="5"/>
      <c r="O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1.0</v>
      </c>
      <c r="F130" s="19">
        <v>0.0</v>
      </c>
      <c r="G130" s="19">
        <v>1.0</v>
      </c>
      <c r="H130" s="19">
        <v>0.0</v>
      </c>
      <c r="I130" s="19">
        <v>0.0</v>
      </c>
      <c r="J130" s="19">
        <v>0.0</v>
      </c>
      <c r="K130" s="19">
        <v>0.0</v>
      </c>
      <c r="L130" s="19">
        <v>1.0</v>
      </c>
      <c r="M130" s="13">
        <f t="shared" si="28"/>
        <v>3</v>
      </c>
      <c r="N130" s="1"/>
      <c r="O130" s="1"/>
    </row>
    <row r="131" ht="12.75" customHeight="1">
      <c r="A131" s="18"/>
      <c r="B131" s="55">
        <v>2.0</v>
      </c>
      <c r="C131" s="50" t="s">
        <v>98</v>
      </c>
      <c r="D131" s="56"/>
      <c r="E131" s="19">
        <v>0.0</v>
      </c>
      <c r="F131" s="19">
        <v>0.0</v>
      </c>
      <c r="G131" s="19">
        <v>0.0</v>
      </c>
      <c r="H131" s="19">
        <v>0.0</v>
      </c>
      <c r="I131" s="19">
        <v>0.0</v>
      </c>
      <c r="J131" s="19">
        <v>0.0</v>
      </c>
      <c r="K131" s="19">
        <v>0.0</v>
      </c>
      <c r="L131" s="19">
        <v>0.0</v>
      </c>
      <c r="M131" s="13">
        <f t="shared" si="28"/>
        <v>0</v>
      </c>
      <c r="N131" s="52"/>
      <c r="O131" s="52"/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1.0</v>
      </c>
      <c r="M132" s="13">
        <f t="shared" si="28"/>
        <v>1</v>
      </c>
      <c r="N132" s="5"/>
      <c r="O132" s="5"/>
    </row>
    <row r="133" ht="12.75" customHeight="1">
      <c r="A133" s="18"/>
      <c r="B133" s="55">
        <v>4.0</v>
      </c>
      <c r="C133" s="50" t="s">
        <v>100</v>
      </c>
      <c r="D133" s="56"/>
      <c r="E133" s="19">
        <v>0.0</v>
      </c>
      <c r="F133" s="19">
        <v>0.0</v>
      </c>
      <c r="G133" s="19">
        <v>0.0</v>
      </c>
      <c r="H133" s="19">
        <v>0.0</v>
      </c>
      <c r="I133" s="19">
        <v>1.0</v>
      </c>
      <c r="J133" s="19">
        <v>0.0</v>
      </c>
      <c r="K133" s="19">
        <v>0.0</v>
      </c>
      <c r="L133" s="19">
        <v>0.0</v>
      </c>
      <c r="M133" s="13">
        <f t="shared" si="28"/>
        <v>1</v>
      </c>
      <c r="N133" s="5"/>
      <c r="O133" s="5"/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3">
        <f t="shared" si="28"/>
        <v>0</v>
      </c>
      <c r="N134" s="5"/>
      <c r="O134" s="5"/>
    </row>
    <row r="135" ht="12.75" customHeight="1">
      <c r="A135" s="18"/>
      <c r="B135" s="55">
        <v>6.0</v>
      </c>
      <c r="C135" s="50" t="s">
        <v>102</v>
      </c>
      <c r="D135" s="57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3">
        <f t="shared" si="28"/>
        <v>0</v>
      </c>
      <c r="N135" s="5"/>
      <c r="O135" s="5"/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3">
        <f t="shared" si="28"/>
        <v>0</v>
      </c>
      <c r="N136" s="5"/>
      <c r="O136" s="5"/>
    </row>
    <row r="137" ht="12.75" customHeight="1">
      <c r="A137" s="18"/>
      <c r="B137" s="68"/>
      <c r="C137" s="69"/>
      <c r="D137" s="70"/>
      <c r="E137" s="19"/>
      <c r="F137" s="19"/>
      <c r="G137" s="19"/>
      <c r="H137" s="19"/>
      <c r="I137" s="19"/>
      <c r="J137" s="19"/>
      <c r="K137" s="19"/>
      <c r="L137" s="19"/>
      <c r="M137" s="13">
        <f t="shared" si="28"/>
        <v>0</v>
      </c>
      <c r="N137" s="5"/>
      <c r="O137" s="5"/>
    </row>
    <row r="138" ht="12.75" customHeight="1">
      <c r="A138" s="18"/>
      <c r="B138" s="68"/>
      <c r="C138" s="69"/>
      <c r="D138" s="70"/>
      <c r="E138" s="19"/>
      <c r="F138" s="19"/>
      <c r="G138" s="19"/>
      <c r="H138" s="19"/>
      <c r="I138" s="19"/>
      <c r="J138" s="19"/>
      <c r="K138" s="19"/>
      <c r="L138" s="19"/>
      <c r="M138" s="13">
        <f t="shared" si="28"/>
        <v>0</v>
      </c>
      <c r="N138" s="5"/>
      <c r="O138" s="5"/>
    </row>
    <row r="139" ht="15.0" customHeight="1">
      <c r="A139" s="19" t="s">
        <v>15</v>
      </c>
      <c r="B139" s="47" t="s">
        <v>47</v>
      </c>
      <c r="C139" s="15"/>
      <c r="D139" s="16"/>
      <c r="E139" s="13">
        <f t="shared" ref="E139:L139" si="29">SUM(E129:E136)</f>
        <v>1</v>
      </c>
      <c r="F139" s="13">
        <f t="shared" si="29"/>
        <v>1</v>
      </c>
      <c r="G139" s="13">
        <f t="shared" si="29"/>
        <v>1</v>
      </c>
      <c r="H139" s="13">
        <f t="shared" si="29"/>
        <v>0</v>
      </c>
      <c r="I139" s="13">
        <f t="shared" si="29"/>
        <v>1</v>
      </c>
      <c r="J139" s="13">
        <f t="shared" si="29"/>
        <v>1</v>
      </c>
      <c r="K139" s="13">
        <f t="shared" si="29"/>
        <v>0</v>
      </c>
      <c r="L139" s="13">
        <f t="shared" si="29"/>
        <v>2</v>
      </c>
      <c r="M139" s="13">
        <f t="shared" si="28"/>
        <v>7</v>
      </c>
      <c r="N139" s="5"/>
      <c r="O139" s="5"/>
    </row>
    <row r="140" ht="12.75" customHeight="1">
      <c r="A140" s="24"/>
      <c r="B140" s="15"/>
      <c r="C140" s="15"/>
      <c r="D140" s="15"/>
      <c r="E140" s="16"/>
      <c r="F140" s="72"/>
      <c r="G140" s="72"/>
      <c r="H140" s="72"/>
      <c r="I140" s="72"/>
      <c r="J140" s="72"/>
      <c r="K140" s="72"/>
      <c r="L140" s="72"/>
      <c r="M140" s="72"/>
      <c r="N140" s="5"/>
      <c r="O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3">
        <f t="shared" ref="M141:M151" si="30">SUM(E141:L141)</f>
        <v>0</v>
      </c>
      <c r="N141" s="1"/>
      <c r="O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3">
        <f t="shared" si="30"/>
        <v>0</v>
      </c>
      <c r="N142" s="52"/>
      <c r="O142" s="52"/>
    </row>
    <row r="143" ht="12.75" customHeight="1">
      <c r="A143" s="18"/>
      <c r="B143" s="55">
        <v>2.0</v>
      </c>
      <c r="C143" s="50" t="s">
        <v>107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3">
        <f t="shared" si="30"/>
        <v>0</v>
      </c>
      <c r="N143" s="5"/>
      <c r="O143" s="5"/>
    </row>
    <row r="144" ht="12.75" customHeight="1">
      <c r="A144" s="18"/>
      <c r="B144" s="55">
        <v>3.0</v>
      </c>
      <c r="C144" s="50" t="s">
        <v>108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3">
        <f t="shared" si="30"/>
        <v>0</v>
      </c>
      <c r="N144" s="5"/>
      <c r="O144" s="5"/>
    </row>
    <row r="145" ht="12.75" customHeight="1">
      <c r="A145" s="18"/>
      <c r="B145" s="55">
        <v>4.0</v>
      </c>
      <c r="C145" s="50" t="s">
        <v>109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3">
        <f t="shared" si="30"/>
        <v>0</v>
      </c>
      <c r="N145" s="5"/>
      <c r="O145" s="5"/>
    </row>
    <row r="146" ht="12.75" customHeight="1">
      <c r="A146" s="18"/>
      <c r="B146" s="55">
        <v>5.0</v>
      </c>
      <c r="C146" s="50" t="s">
        <v>110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1.0</v>
      </c>
      <c r="M146" s="13">
        <f t="shared" si="30"/>
        <v>1</v>
      </c>
      <c r="N146" s="5"/>
      <c r="O146" s="5"/>
    </row>
    <row r="147" ht="12.75" customHeight="1">
      <c r="A147" s="18"/>
      <c r="B147" s="55">
        <v>6.0</v>
      </c>
      <c r="C147" s="50" t="s">
        <v>111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3">
        <f t="shared" si="30"/>
        <v>0</v>
      </c>
      <c r="N147" s="5"/>
      <c r="O147" s="5"/>
    </row>
    <row r="148" ht="12.75" customHeight="1">
      <c r="A148" s="18"/>
      <c r="B148" s="55">
        <v>7.0</v>
      </c>
      <c r="C148" s="50" t="s">
        <v>112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3">
        <f t="shared" si="30"/>
        <v>0</v>
      </c>
      <c r="N148" s="5"/>
      <c r="O148" s="5"/>
    </row>
    <row r="149" ht="12.75" customHeight="1">
      <c r="A149" s="18"/>
      <c r="B149" s="68"/>
      <c r="C149" s="69"/>
      <c r="D149" s="71"/>
      <c r="E149" s="19"/>
      <c r="F149" s="19"/>
      <c r="G149" s="19"/>
      <c r="H149" s="19"/>
      <c r="I149" s="19"/>
      <c r="J149" s="19"/>
      <c r="K149" s="19"/>
      <c r="L149" s="19"/>
      <c r="M149" s="13">
        <f t="shared" si="30"/>
        <v>0</v>
      </c>
      <c r="N149" s="5"/>
      <c r="O149" s="5"/>
    </row>
    <row r="150" ht="12.75" customHeight="1">
      <c r="A150" s="18"/>
      <c r="B150" s="68"/>
      <c r="C150" s="69"/>
      <c r="D150" s="71"/>
      <c r="E150" s="19"/>
      <c r="F150" s="19"/>
      <c r="G150" s="19"/>
      <c r="H150" s="19"/>
      <c r="I150" s="19"/>
      <c r="J150" s="19"/>
      <c r="K150" s="19"/>
      <c r="L150" s="19"/>
      <c r="M150" s="13">
        <f t="shared" si="30"/>
        <v>0</v>
      </c>
      <c r="N150" s="5"/>
      <c r="O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L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1</v>
      </c>
      <c r="M151" s="13">
        <f t="shared" si="30"/>
        <v>1</v>
      </c>
      <c r="N151" s="1"/>
      <c r="O151" s="1"/>
    </row>
    <row r="152" ht="12.75" customHeight="1">
      <c r="A152" s="24"/>
      <c r="B152" s="15"/>
      <c r="C152" s="15"/>
      <c r="D152" s="15"/>
      <c r="E152" s="16"/>
      <c r="F152" s="72"/>
      <c r="G152" s="72"/>
      <c r="H152" s="72"/>
      <c r="I152" s="72"/>
      <c r="J152" s="72"/>
      <c r="K152" s="72"/>
      <c r="L152" s="72"/>
      <c r="M152" s="13"/>
      <c r="N152" s="52"/>
      <c r="O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0.0</v>
      </c>
      <c r="F153" s="19">
        <v>0.0</v>
      </c>
      <c r="G153" s="19">
        <v>0.0</v>
      </c>
      <c r="H153" s="19">
        <v>1.0</v>
      </c>
      <c r="I153" s="19">
        <v>0.0</v>
      </c>
      <c r="J153" s="19">
        <v>0.0</v>
      </c>
      <c r="K153" s="19">
        <v>0.0</v>
      </c>
      <c r="L153" s="19">
        <v>0.0</v>
      </c>
      <c r="M153" s="13">
        <f t="shared" ref="M153:M163" si="32">SUM(E153:L153)</f>
        <v>1</v>
      </c>
      <c r="N153" s="5"/>
      <c r="O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3">
        <f t="shared" si="32"/>
        <v>0</v>
      </c>
      <c r="N154" s="5"/>
      <c r="O154" s="5"/>
    </row>
    <row r="155" ht="12.75" customHeight="1">
      <c r="A155" s="18"/>
      <c r="B155" s="55">
        <v>2.0</v>
      </c>
      <c r="C155" s="59" t="s">
        <v>116</v>
      </c>
      <c r="D155" s="57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3">
        <f t="shared" si="32"/>
        <v>0</v>
      </c>
      <c r="N155" s="5"/>
      <c r="O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0.0</v>
      </c>
      <c r="G156" s="19">
        <v>0.0</v>
      </c>
      <c r="H156" s="19">
        <v>0.0</v>
      </c>
      <c r="I156" s="19">
        <v>1.0</v>
      </c>
      <c r="J156" s="19">
        <v>0.0</v>
      </c>
      <c r="K156" s="19">
        <v>0.0</v>
      </c>
      <c r="L156" s="19">
        <v>0.0</v>
      </c>
      <c r="M156" s="13">
        <f t="shared" si="32"/>
        <v>1</v>
      </c>
      <c r="N156" s="5"/>
      <c r="O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3">
        <f t="shared" si="32"/>
        <v>0</v>
      </c>
      <c r="N157" s="5"/>
      <c r="O157" s="5"/>
    </row>
    <row r="158" ht="12.75" customHeight="1">
      <c r="A158" s="18"/>
      <c r="B158" s="68"/>
      <c r="C158" s="73"/>
      <c r="D158" s="71"/>
      <c r="E158" s="19"/>
      <c r="F158" s="19"/>
      <c r="G158" s="19"/>
      <c r="H158" s="19"/>
      <c r="I158" s="19"/>
      <c r="J158" s="19"/>
      <c r="K158" s="19"/>
      <c r="L158" s="19"/>
      <c r="M158" s="13">
        <f t="shared" si="32"/>
        <v>0</v>
      </c>
      <c r="N158" s="5"/>
      <c r="O158" s="5"/>
    </row>
    <row r="159" ht="12.75" customHeight="1">
      <c r="A159" s="18"/>
      <c r="B159" s="68"/>
      <c r="C159" s="73"/>
      <c r="D159" s="71"/>
      <c r="E159" s="19"/>
      <c r="F159" s="19"/>
      <c r="G159" s="19"/>
      <c r="H159" s="19"/>
      <c r="I159" s="19"/>
      <c r="J159" s="19"/>
      <c r="K159" s="19"/>
      <c r="L159" s="19"/>
      <c r="M159" s="13">
        <f t="shared" si="32"/>
        <v>0</v>
      </c>
      <c r="N159" s="5"/>
      <c r="O159" s="5"/>
    </row>
    <row r="160" ht="12.75" customHeight="1">
      <c r="A160" s="18"/>
      <c r="B160" s="68"/>
      <c r="C160" s="73"/>
      <c r="D160" s="71"/>
      <c r="E160" s="19"/>
      <c r="F160" s="19"/>
      <c r="G160" s="19"/>
      <c r="H160" s="19"/>
      <c r="I160" s="19"/>
      <c r="J160" s="19"/>
      <c r="K160" s="19"/>
      <c r="L160" s="19"/>
      <c r="M160" s="13">
        <f t="shared" si="32"/>
        <v>0</v>
      </c>
      <c r="N160" s="5"/>
      <c r="O160" s="5"/>
    </row>
    <row r="161" ht="12.75" customHeight="1">
      <c r="A161" s="18"/>
      <c r="B161" s="68"/>
      <c r="C161" s="73"/>
      <c r="D161" s="71"/>
      <c r="E161" s="19"/>
      <c r="F161" s="19"/>
      <c r="G161" s="19"/>
      <c r="H161" s="19"/>
      <c r="I161" s="19"/>
      <c r="J161" s="19"/>
      <c r="K161" s="19"/>
      <c r="L161" s="19"/>
      <c r="M161" s="13">
        <f t="shared" si="32"/>
        <v>0</v>
      </c>
      <c r="N161" s="5"/>
      <c r="O161" s="5"/>
    </row>
    <row r="162" ht="12.75" customHeight="1">
      <c r="A162" s="18"/>
      <c r="B162" s="68"/>
      <c r="C162" s="73"/>
      <c r="D162" s="71"/>
      <c r="E162" s="19"/>
      <c r="F162" s="19"/>
      <c r="G162" s="19"/>
      <c r="H162" s="19"/>
      <c r="I162" s="19"/>
      <c r="J162" s="19"/>
      <c r="K162" s="19"/>
      <c r="L162" s="19"/>
      <c r="M162" s="13">
        <f t="shared" si="32"/>
        <v>0</v>
      </c>
      <c r="N162" s="5"/>
      <c r="O162" s="5"/>
    </row>
    <row r="163" ht="15.0" customHeight="1">
      <c r="A163" s="19" t="s">
        <v>15</v>
      </c>
      <c r="B163" s="47" t="s">
        <v>47</v>
      </c>
      <c r="C163" s="15"/>
      <c r="D163" s="16"/>
      <c r="E163" s="13">
        <f t="shared" ref="E163:L163" si="33">SUM(E153:E157)</f>
        <v>0</v>
      </c>
      <c r="F163" s="13">
        <f t="shared" si="33"/>
        <v>0</v>
      </c>
      <c r="G163" s="13">
        <f t="shared" si="33"/>
        <v>0</v>
      </c>
      <c r="H163" s="13">
        <f t="shared" si="33"/>
        <v>1</v>
      </c>
      <c r="I163" s="13">
        <f t="shared" si="33"/>
        <v>1</v>
      </c>
      <c r="J163" s="13">
        <f t="shared" si="33"/>
        <v>0</v>
      </c>
      <c r="K163" s="13">
        <f t="shared" si="33"/>
        <v>0</v>
      </c>
      <c r="L163" s="13">
        <f t="shared" si="33"/>
        <v>0</v>
      </c>
      <c r="M163" s="13">
        <f t="shared" si="32"/>
        <v>2</v>
      </c>
      <c r="N163" s="5"/>
      <c r="O163" s="5"/>
    </row>
    <row r="164" ht="12.75" customHeight="1">
      <c r="A164" s="24"/>
      <c r="B164" s="15"/>
      <c r="C164" s="15"/>
      <c r="D164" s="15"/>
      <c r="E164" s="16"/>
      <c r="F164" s="72"/>
      <c r="G164" s="72"/>
      <c r="H164" s="72"/>
      <c r="I164" s="72"/>
      <c r="J164" s="72"/>
      <c r="K164" s="72"/>
      <c r="L164" s="72"/>
      <c r="M164" s="72"/>
      <c r="N164" s="5"/>
      <c r="O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2.0</v>
      </c>
      <c r="K165" s="19">
        <v>0.0</v>
      </c>
      <c r="L165" s="19">
        <v>0.0</v>
      </c>
      <c r="M165" s="13">
        <f t="shared" ref="M165:M175" si="34">SUM(E165:L165)</f>
        <v>2</v>
      </c>
      <c r="N165" s="1"/>
      <c r="O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1.0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3">
        <f t="shared" si="34"/>
        <v>1</v>
      </c>
      <c r="N166" s="52"/>
      <c r="O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3">
        <f t="shared" si="34"/>
        <v>0</v>
      </c>
      <c r="N167" s="5"/>
      <c r="O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3">
        <f t="shared" si="34"/>
        <v>0</v>
      </c>
      <c r="N168" s="5"/>
      <c r="O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3">
        <f t="shared" si="34"/>
        <v>0</v>
      </c>
      <c r="N169" s="5"/>
      <c r="O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3">
        <f t="shared" si="34"/>
        <v>0</v>
      </c>
      <c r="N170" s="5"/>
      <c r="O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3">
        <f t="shared" si="34"/>
        <v>0</v>
      </c>
      <c r="N171" s="5"/>
      <c r="O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3">
        <f t="shared" si="34"/>
        <v>0</v>
      </c>
      <c r="N172" s="5"/>
      <c r="O172" s="5"/>
    </row>
    <row r="173" ht="12.75" customHeight="1">
      <c r="A173" s="18"/>
      <c r="B173" s="68"/>
      <c r="C173" s="69"/>
      <c r="D173" s="71"/>
      <c r="E173" s="19"/>
      <c r="F173" s="19"/>
      <c r="G173" s="19"/>
      <c r="H173" s="19"/>
      <c r="I173" s="19"/>
      <c r="J173" s="19"/>
      <c r="K173" s="19"/>
      <c r="L173" s="19"/>
      <c r="M173" s="13">
        <f t="shared" si="34"/>
        <v>0</v>
      </c>
      <c r="N173" s="5"/>
      <c r="O173" s="5"/>
    </row>
    <row r="174" ht="12.75" customHeight="1">
      <c r="A174" s="18"/>
      <c r="B174" s="68"/>
      <c r="C174" s="69"/>
      <c r="D174" s="71"/>
      <c r="E174" s="19"/>
      <c r="F174" s="19"/>
      <c r="G174" s="19"/>
      <c r="H174" s="19"/>
      <c r="I174" s="19"/>
      <c r="J174" s="19"/>
      <c r="K174" s="19"/>
      <c r="L174" s="19"/>
      <c r="M174" s="13">
        <f t="shared" si="34"/>
        <v>0</v>
      </c>
      <c r="N174" s="5"/>
      <c r="O174" s="5"/>
    </row>
    <row r="175" ht="15.0" customHeight="1">
      <c r="A175" s="19" t="s">
        <v>15</v>
      </c>
      <c r="B175" s="47" t="s">
        <v>47</v>
      </c>
      <c r="C175" s="15"/>
      <c r="D175" s="16"/>
      <c r="E175" s="13">
        <f t="shared" ref="E175:L175" si="35">SUM(E165:E172)</f>
        <v>1</v>
      </c>
      <c r="F175" s="13">
        <f t="shared" si="35"/>
        <v>0</v>
      </c>
      <c r="G175" s="13">
        <f t="shared" si="35"/>
        <v>0</v>
      </c>
      <c r="H175" s="13">
        <f t="shared" si="35"/>
        <v>0</v>
      </c>
      <c r="I175" s="13">
        <f t="shared" si="35"/>
        <v>0</v>
      </c>
      <c r="J175" s="13">
        <f t="shared" si="35"/>
        <v>2</v>
      </c>
      <c r="K175" s="13">
        <f t="shared" si="35"/>
        <v>0</v>
      </c>
      <c r="L175" s="13">
        <f t="shared" si="35"/>
        <v>0</v>
      </c>
      <c r="M175" s="13">
        <f t="shared" si="34"/>
        <v>3</v>
      </c>
      <c r="N175" s="5"/>
      <c r="O175" s="5"/>
    </row>
    <row r="176" ht="12.75" customHeight="1">
      <c r="A176" s="24"/>
      <c r="B176" s="15"/>
      <c r="C176" s="15"/>
      <c r="D176" s="15"/>
      <c r="E176" s="16"/>
      <c r="F176" s="72"/>
      <c r="G176" s="72"/>
      <c r="H176" s="72"/>
      <c r="I176" s="72"/>
      <c r="J176" s="72"/>
      <c r="K176" s="72"/>
      <c r="L176" s="72"/>
      <c r="M176" s="72"/>
      <c r="N176" s="1"/>
      <c r="O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1.0</v>
      </c>
      <c r="F177" s="19">
        <v>2.0</v>
      </c>
      <c r="G177" s="19">
        <v>0.0</v>
      </c>
      <c r="H177" s="19">
        <v>2.0</v>
      </c>
      <c r="I177" s="19">
        <v>2.0</v>
      </c>
      <c r="J177" s="19">
        <v>2.0</v>
      </c>
      <c r="K177" s="19">
        <v>0.0</v>
      </c>
      <c r="L177" s="19">
        <v>2.0</v>
      </c>
      <c r="M177" s="13">
        <f t="shared" ref="M177:M187" si="36">SUM(E177:L177)</f>
        <v>11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2.0</v>
      </c>
      <c r="F178" s="19">
        <v>0.0</v>
      </c>
      <c r="G178" s="19">
        <v>0.0</v>
      </c>
      <c r="H178" s="19">
        <v>4.0</v>
      </c>
      <c r="I178" s="19">
        <v>1.0</v>
      </c>
      <c r="J178" s="19">
        <v>1.0</v>
      </c>
      <c r="K178" s="19">
        <v>0.0</v>
      </c>
      <c r="L178" s="19">
        <v>3.0</v>
      </c>
      <c r="M178" s="13">
        <f t="shared" si="36"/>
        <v>11</v>
      </c>
      <c r="N178" s="5"/>
      <c r="O178" s="5"/>
    </row>
    <row r="179" ht="12.75" customHeight="1">
      <c r="A179" s="18"/>
      <c r="B179" s="55">
        <v>2.0</v>
      </c>
      <c r="C179" s="50" t="s">
        <v>131</v>
      </c>
      <c r="D179" s="57"/>
      <c r="E179" s="19">
        <v>0.0</v>
      </c>
      <c r="F179" s="19">
        <v>1.0</v>
      </c>
      <c r="G179" s="19">
        <v>0.0</v>
      </c>
      <c r="H179" s="19">
        <v>0.0</v>
      </c>
      <c r="I179" s="19">
        <v>0.0</v>
      </c>
      <c r="J179" s="19">
        <v>0.0</v>
      </c>
      <c r="K179" s="19">
        <v>0.0</v>
      </c>
      <c r="L179" s="19">
        <v>0.0</v>
      </c>
      <c r="M179" s="13">
        <f t="shared" si="36"/>
        <v>1</v>
      </c>
      <c r="N179" s="5"/>
      <c r="O179" s="5"/>
    </row>
    <row r="180" ht="12.75" customHeight="1">
      <c r="A180" s="18"/>
      <c r="B180" s="55">
        <v>3.0</v>
      </c>
      <c r="C180" s="50" t="s">
        <v>132</v>
      </c>
      <c r="D180" s="57"/>
      <c r="E180" s="19">
        <v>3.0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3">
        <f t="shared" si="36"/>
        <v>3</v>
      </c>
      <c r="N180" s="5"/>
      <c r="O180" s="5"/>
    </row>
    <row r="181" ht="12.75" customHeight="1">
      <c r="A181" s="18"/>
      <c r="B181" s="55">
        <v>4.0</v>
      </c>
      <c r="C181" s="50" t="s">
        <v>133</v>
      </c>
      <c r="D181" s="57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3">
        <f t="shared" si="36"/>
        <v>0</v>
      </c>
      <c r="N181" s="5"/>
      <c r="O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3">
        <f t="shared" si="36"/>
        <v>0</v>
      </c>
      <c r="N182" s="5"/>
      <c r="O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3">
        <f t="shared" si="36"/>
        <v>0</v>
      </c>
      <c r="N183" s="5"/>
      <c r="O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3">
        <f t="shared" si="36"/>
        <v>0</v>
      </c>
      <c r="N184" s="5"/>
      <c r="O184" s="5"/>
    </row>
    <row r="185" ht="12.75" customHeight="1">
      <c r="A185" s="18"/>
      <c r="B185" s="68"/>
      <c r="C185" s="69"/>
      <c r="D185" s="71"/>
      <c r="E185" s="19"/>
      <c r="F185" s="19"/>
      <c r="G185" s="19"/>
      <c r="H185" s="19"/>
      <c r="I185" s="19"/>
      <c r="J185" s="19"/>
      <c r="K185" s="19"/>
      <c r="L185" s="19"/>
      <c r="M185" s="13">
        <f t="shared" si="36"/>
        <v>0</v>
      </c>
      <c r="N185" s="5"/>
      <c r="O185" s="5"/>
    </row>
    <row r="186" ht="12.75" customHeight="1">
      <c r="A186" s="18"/>
      <c r="B186" s="68"/>
      <c r="C186" s="69"/>
      <c r="D186" s="71"/>
      <c r="E186" s="19"/>
      <c r="F186" s="19"/>
      <c r="G186" s="19"/>
      <c r="H186" s="19"/>
      <c r="I186" s="19"/>
      <c r="J186" s="19"/>
      <c r="K186" s="19"/>
      <c r="L186" s="19"/>
      <c r="M186" s="13">
        <f t="shared" si="36"/>
        <v>0</v>
      </c>
      <c r="N186" s="5"/>
      <c r="O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L187" si="37">SUM(E177:E184)</f>
        <v>6</v>
      </c>
      <c r="F187" s="13">
        <f t="shared" si="37"/>
        <v>3</v>
      </c>
      <c r="G187" s="13">
        <f t="shared" si="37"/>
        <v>0</v>
      </c>
      <c r="H187" s="13">
        <f t="shared" si="37"/>
        <v>6</v>
      </c>
      <c r="I187" s="13">
        <f t="shared" si="37"/>
        <v>3</v>
      </c>
      <c r="J187" s="13">
        <f t="shared" si="37"/>
        <v>3</v>
      </c>
      <c r="K187" s="13">
        <f t="shared" si="37"/>
        <v>0</v>
      </c>
      <c r="L187" s="13">
        <f t="shared" si="37"/>
        <v>5</v>
      </c>
      <c r="M187" s="13">
        <f t="shared" si="36"/>
        <v>26</v>
      </c>
      <c r="N187" s="1"/>
      <c r="O187" s="1"/>
    </row>
    <row r="188" ht="12.75" customHeight="1">
      <c r="A188" s="24"/>
      <c r="B188" s="15"/>
      <c r="C188" s="15"/>
      <c r="D188" s="15"/>
      <c r="E188" s="16"/>
      <c r="F188" s="72"/>
      <c r="G188" s="72"/>
      <c r="H188" s="72"/>
      <c r="I188" s="72"/>
      <c r="J188" s="72"/>
      <c r="K188" s="72"/>
      <c r="L188" s="72"/>
      <c r="M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1.0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3">
        <f t="shared" ref="M189:M199" si="38">SUM(E189:L189)</f>
        <v>1</v>
      </c>
      <c r="N189" s="5"/>
      <c r="O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3">
        <f t="shared" si="38"/>
        <v>0</v>
      </c>
      <c r="N190" s="5"/>
      <c r="O190" s="5"/>
    </row>
    <row r="191" ht="12.75" customHeight="1">
      <c r="A191" s="18"/>
      <c r="B191" s="55">
        <v>2.0</v>
      </c>
      <c r="C191" s="50" t="s">
        <v>140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3">
        <f t="shared" si="38"/>
        <v>0</v>
      </c>
      <c r="N191" s="5"/>
      <c r="O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3">
        <f t="shared" si="38"/>
        <v>0</v>
      </c>
      <c r="N192" s="5"/>
      <c r="O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3">
        <f t="shared" si="38"/>
        <v>0</v>
      </c>
      <c r="N193" s="5"/>
      <c r="O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3">
        <f t="shared" si="38"/>
        <v>0</v>
      </c>
      <c r="N194" s="5"/>
      <c r="O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3">
        <f t="shared" si="38"/>
        <v>0</v>
      </c>
      <c r="N195" s="5"/>
      <c r="O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3">
        <f t="shared" si="38"/>
        <v>0</v>
      </c>
      <c r="N196" s="1"/>
      <c r="O196" s="1"/>
    </row>
    <row r="197" ht="12.75" customHeight="1">
      <c r="A197" s="18"/>
      <c r="B197" s="68"/>
      <c r="C197" s="69"/>
      <c r="D197" s="71"/>
      <c r="E197" s="19"/>
      <c r="F197" s="19"/>
      <c r="G197" s="19"/>
      <c r="H197" s="19"/>
      <c r="I197" s="19"/>
      <c r="J197" s="19"/>
      <c r="K197" s="19"/>
      <c r="L197" s="19"/>
      <c r="M197" s="13">
        <f t="shared" si="38"/>
        <v>0</v>
      </c>
      <c r="N197" s="1"/>
      <c r="O197" s="1"/>
    </row>
    <row r="198" ht="12.75" customHeight="1">
      <c r="A198" s="18"/>
      <c r="B198" s="68"/>
      <c r="C198" s="69"/>
      <c r="D198" s="71"/>
      <c r="E198" s="19"/>
      <c r="F198" s="19"/>
      <c r="G198" s="19"/>
      <c r="H198" s="19"/>
      <c r="I198" s="19"/>
      <c r="J198" s="19"/>
      <c r="K198" s="19"/>
      <c r="L198" s="19"/>
      <c r="M198" s="13">
        <f t="shared" si="38"/>
        <v>0</v>
      </c>
      <c r="N198" s="1"/>
      <c r="O198" s="1"/>
    </row>
    <row r="199" ht="15.0" customHeight="1">
      <c r="A199" s="19" t="s">
        <v>15</v>
      </c>
      <c r="B199" s="47" t="s">
        <v>47</v>
      </c>
      <c r="C199" s="15"/>
      <c r="D199" s="16"/>
      <c r="E199" s="13">
        <f t="shared" ref="E199:L199" si="39">SUM(E189:E196)</f>
        <v>1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8"/>
        <v>1</v>
      </c>
      <c r="N199" s="52"/>
      <c r="O199" s="52"/>
    </row>
    <row r="200" ht="12.75" customHeight="1">
      <c r="A200" s="24"/>
      <c r="B200" s="15"/>
      <c r="C200" s="15"/>
      <c r="D200" s="15"/>
      <c r="E200" s="16"/>
      <c r="F200" s="72"/>
      <c r="G200" s="72"/>
      <c r="H200" s="72"/>
      <c r="I200" s="72"/>
      <c r="J200" s="72"/>
      <c r="K200" s="72"/>
      <c r="L200" s="72"/>
      <c r="M200" s="72"/>
      <c r="N200" s="5"/>
      <c r="O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3.0</v>
      </c>
      <c r="F201" s="19">
        <v>2.0</v>
      </c>
      <c r="G201" s="19">
        <v>2.0</v>
      </c>
      <c r="H201" s="19">
        <v>0.0</v>
      </c>
      <c r="I201" s="19">
        <v>1.0</v>
      </c>
      <c r="J201" s="19">
        <v>1.0</v>
      </c>
      <c r="K201" s="19">
        <v>6.0</v>
      </c>
      <c r="L201" s="19">
        <v>2.0</v>
      </c>
      <c r="M201" s="13">
        <f t="shared" ref="M201:M211" si="40">SUM(E201:L201)</f>
        <v>17</v>
      </c>
      <c r="N201" s="5"/>
      <c r="O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2.0</v>
      </c>
      <c r="F202" s="19">
        <v>1.0</v>
      </c>
      <c r="G202" s="19">
        <v>2.0</v>
      </c>
      <c r="H202" s="19">
        <v>0.0</v>
      </c>
      <c r="I202" s="19">
        <v>0.0</v>
      </c>
      <c r="J202" s="19">
        <v>0.0</v>
      </c>
      <c r="K202" s="19">
        <v>3.0</v>
      </c>
      <c r="L202" s="19">
        <v>0.0</v>
      </c>
      <c r="M202" s="13">
        <f t="shared" si="40"/>
        <v>8</v>
      </c>
      <c r="N202" s="5"/>
      <c r="O202" s="5"/>
    </row>
    <row r="203" ht="12.75" customHeight="1">
      <c r="A203" s="18"/>
      <c r="B203" s="55">
        <v>2.0</v>
      </c>
      <c r="C203" s="50" t="s">
        <v>149</v>
      </c>
      <c r="D203" s="57"/>
      <c r="E203" s="19">
        <v>1.0</v>
      </c>
      <c r="F203" s="19">
        <v>1.0</v>
      </c>
      <c r="G203" s="19">
        <v>1.0</v>
      </c>
      <c r="H203" s="19">
        <v>0.0</v>
      </c>
      <c r="I203" s="19">
        <v>1.0</v>
      </c>
      <c r="J203" s="19">
        <v>0.0</v>
      </c>
      <c r="K203" s="19">
        <v>4.0</v>
      </c>
      <c r="L203" s="19">
        <v>4.0</v>
      </c>
      <c r="M203" s="13">
        <f t="shared" si="40"/>
        <v>12</v>
      </c>
      <c r="N203" s="5"/>
      <c r="O203" s="5"/>
    </row>
    <row r="204" ht="12.75" customHeight="1">
      <c r="A204" s="18"/>
      <c r="B204" s="55">
        <v>3.0</v>
      </c>
      <c r="C204" s="50" t="s">
        <v>150</v>
      </c>
      <c r="D204" s="57"/>
      <c r="E204" s="19">
        <v>0.0</v>
      </c>
      <c r="F204" s="19">
        <v>0.0</v>
      </c>
      <c r="G204" s="19">
        <v>0.0</v>
      </c>
      <c r="H204" s="19">
        <v>0.0</v>
      </c>
      <c r="I204" s="19">
        <v>1.0</v>
      </c>
      <c r="J204" s="19">
        <v>0.0</v>
      </c>
      <c r="K204" s="19">
        <v>0.0</v>
      </c>
      <c r="L204" s="19">
        <v>0.0</v>
      </c>
      <c r="M204" s="13">
        <f t="shared" si="40"/>
        <v>1</v>
      </c>
      <c r="N204" s="5"/>
      <c r="O204" s="5"/>
    </row>
    <row r="205" ht="12.75" customHeight="1">
      <c r="A205" s="18"/>
      <c r="B205" s="55">
        <v>4.0</v>
      </c>
      <c r="C205" s="50" t="s">
        <v>151</v>
      </c>
      <c r="D205" s="57"/>
      <c r="E205" s="19">
        <v>0.0</v>
      </c>
      <c r="F205" s="19">
        <v>0.0</v>
      </c>
      <c r="G205" s="19">
        <v>1.0</v>
      </c>
      <c r="H205" s="19">
        <v>0.0</v>
      </c>
      <c r="I205" s="19">
        <v>0.0</v>
      </c>
      <c r="J205" s="19">
        <v>0.0</v>
      </c>
      <c r="K205" s="19">
        <v>0.0</v>
      </c>
      <c r="L205" s="19">
        <v>0.0</v>
      </c>
      <c r="M205" s="13">
        <f t="shared" si="40"/>
        <v>1</v>
      </c>
      <c r="N205" s="5"/>
      <c r="O205" s="5"/>
    </row>
    <row r="206" ht="12.75" customHeight="1">
      <c r="A206" s="18"/>
      <c r="B206" s="55">
        <v>5.0</v>
      </c>
      <c r="C206" s="50" t="s">
        <v>152</v>
      </c>
      <c r="D206" s="57"/>
      <c r="E206" s="19">
        <v>0.0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3">
        <f t="shared" si="40"/>
        <v>0</v>
      </c>
      <c r="N206" s="5"/>
      <c r="O206" s="5"/>
    </row>
    <row r="207" ht="12.75" customHeight="1">
      <c r="A207" s="18"/>
      <c r="B207" s="55">
        <v>6.0</v>
      </c>
      <c r="C207" s="50" t="s">
        <v>153</v>
      </c>
      <c r="D207" s="57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3">
        <f t="shared" si="40"/>
        <v>0</v>
      </c>
      <c r="N207" s="1"/>
      <c r="O207" s="1"/>
    </row>
    <row r="208" ht="12.75" customHeight="1">
      <c r="A208" s="18"/>
      <c r="B208" s="55">
        <v>7.0</v>
      </c>
      <c r="C208" s="50" t="s">
        <v>154</v>
      </c>
      <c r="D208" s="57"/>
      <c r="E208" s="19">
        <v>0.0</v>
      </c>
      <c r="F208" s="19">
        <v>1.0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1.0</v>
      </c>
      <c r="M208" s="13">
        <f t="shared" si="40"/>
        <v>2</v>
      </c>
      <c r="N208" s="52"/>
      <c r="O208" s="52"/>
    </row>
    <row r="209" ht="12.75" customHeight="1">
      <c r="A209" s="18"/>
      <c r="B209" s="68"/>
      <c r="C209" s="69"/>
      <c r="D209" s="71"/>
      <c r="E209" s="19"/>
      <c r="F209" s="19"/>
      <c r="G209" s="19"/>
      <c r="H209" s="19"/>
      <c r="I209" s="19"/>
      <c r="J209" s="19"/>
      <c r="K209" s="19"/>
      <c r="L209" s="19"/>
      <c r="M209" s="13">
        <f t="shared" si="40"/>
        <v>0</v>
      </c>
      <c r="N209" s="52"/>
      <c r="O209" s="52"/>
    </row>
    <row r="210" ht="12.75" customHeight="1">
      <c r="A210" s="18"/>
      <c r="B210" s="68"/>
      <c r="C210" s="69"/>
      <c r="D210" s="71"/>
      <c r="E210" s="19"/>
      <c r="F210" s="19"/>
      <c r="G210" s="19"/>
      <c r="H210" s="19"/>
      <c r="I210" s="19"/>
      <c r="J210" s="19"/>
      <c r="K210" s="19"/>
      <c r="L210" s="19"/>
      <c r="M210" s="13">
        <f t="shared" si="40"/>
        <v>0</v>
      </c>
      <c r="N210" s="52"/>
      <c r="O210" s="52"/>
    </row>
    <row r="211" ht="15.0" customHeight="1">
      <c r="A211" s="19" t="s">
        <v>15</v>
      </c>
      <c r="B211" s="47" t="s">
        <v>47</v>
      </c>
      <c r="C211" s="15"/>
      <c r="D211" s="16"/>
      <c r="E211" s="13">
        <f t="shared" ref="E211:L211" si="41">SUM(E201:E208)</f>
        <v>6</v>
      </c>
      <c r="F211" s="13">
        <f t="shared" si="41"/>
        <v>5</v>
      </c>
      <c r="G211" s="13">
        <f t="shared" si="41"/>
        <v>6</v>
      </c>
      <c r="H211" s="13">
        <f t="shared" si="41"/>
        <v>0</v>
      </c>
      <c r="I211" s="13">
        <f t="shared" si="41"/>
        <v>3</v>
      </c>
      <c r="J211" s="13">
        <f t="shared" si="41"/>
        <v>1</v>
      </c>
      <c r="K211" s="13">
        <f t="shared" si="41"/>
        <v>13</v>
      </c>
      <c r="L211" s="13">
        <f t="shared" si="41"/>
        <v>7</v>
      </c>
      <c r="M211" s="13">
        <f t="shared" si="40"/>
        <v>41</v>
      </c>
      <c r="N211" s="5"/>
      <c r="O211" s="5"/>
    </row>
    <row r="212" ht="12.75" customHeight="1">
      <c r="A212" s="24"/>
      <c r="B212" s="15"/>
      <c r="C212" s="15"/>
      <c r="D212" s="15"/>
      <c r="E212" s="16"/>
      <c r="F212" s="72"/>
      <c r="G212" s="72"/>
      <c r="H212" s="72"/>
      <c r="I212" s="72"/>
      <c r="J212" s="72"/>
      <c r="K212" s="72"/>
      <c r="L212" s="72"/>
      <c r="M212" s="72"/>
      <c r="N212" s="5"/>
      <c r="O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1.0</v>
      </c>
      <c r="F213" s="19">
        <v>0.0</v>
      </c>
      <c r="G213" s="19">
        <v>0.0</v>
      </c>
      <c r="H213" s="19">
        <v>0.0</v>
      </c>
      <c r="I213" s="19">
        <v>0.0</v>
      </c>
      <c r="J213" s="19">
        <v>2.0</v>
      </c>
      <c r="K213" s="19">
        <v>0.0</v>
      </c>
      <c r="L213" s="19">
        <v>0.0</v>
      </c>
      <c r="M213" s="13">
        <f t="shared" ref="M213:M223" si="42">SUM(E213:L213)</f>
        <v>3</v>
      </c>
      <c r="N213" s="5"/>
      <c r="O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1.0</v>
      </c>
      <c r="F214" s="19">
        <v>2.0</v>
      </c>
      <c r="G214" s="19">
        <v>0.0</v>
      </c>
      <c r="H214" s="19">
        <v>0.0</v>
      </c>
      <c r="I214" s="19">
        <v>2.0</v>
      </c>
      <c r="J214" s="19">
        <v>1.0</v>
      </c>
      <c r="K214" s="19">
        <v>0.0</v>
      </c>
      <c r="L214" s="19">
        <v>1.0</v>
      </c>
      <c r="M214" s="13">
        <f t="shared" si="42"/>
        <v>7</v>
      </c>
      <c r="N214" s="5"/>
      <c r="O214" s="5"/>
    </row>
    <row r="215" ht="12.75" customHeight="1">
      <c r="A215" s="18"/>
      <c r="B215" s="55">
        <v>2.0</v>
      </c>
      <c r="C215" s="50" t="s">
        <v>158</v>
      </c>
      <c r="D215" s="56"/>
      <c r="E215" s="19">
        <v>1.0</v>
      </c>
      <c r="F215" s="19">
        <v>0.0</v>
      </c>
      <c r="G215" s="19">
        <v>1.0</v>
      </c>
      <c r="H215" s="19">
        <v>0.0</v>
      </c>
      <c r="I215" s="19">
        <v>0.0</v>
      </c>
      <c r="J215" s="19">
        <v>0.0</v>
      </c>
      <c r="K215" s="19">
        <v>0.0</v>
      </c>
      <c r="L215" s="19">
        <v>1.0</v>
      </c>
      <c r="M215" s="13">
        <f t="shared" si="42"/>
        <v>3</v>
      </c>
      <c r="N215" s="5"/>
      <c r="O215" s="5"/>
    </row>
    <row r="216" ht="12.75" customHeight="1">
      <c r="A216" s="18"/>
      <c r="B216" s="55">
        <v>3.0</v>
      </c>
      <c r="C216" s="61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1.0</v>
      </c>
      <c r="M216" s="13">
        <f t="shared" si="42"/>
        <v>1</v>
      </c>
      <c r="N216" s="5"/>
      <c r="O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3">
        <f t="shared" si="42"/>
        <v>0</v>
      </c>
      <c r="N217" s="5"/>
      <c r="O217" s="5"/>
    </row>
    <row r="218" ht="12.75" customHeight="1">
      <c r="A218" s="18"/>
      <c r="B218" s="55">
        <v>5.0</v>
      </c>
      <c r="C218" s="50" t="s">
        <v>161</v>
      </c>
      <c r="D218" s="56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3">
        <f t="shared" si="42"/>
        <v>0</v>
      </c>
      <c r="N218" s="1"/>
      <c r="O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3">
        <f t="shared" si="42"/>
        <v>0</v>
      </c>
      <c r="N219" s="52"/>
      <c r="O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3">
        <f t="shared" si="42"/>
        <v>0</v>
      </c>
      <c r="N220" s="5"/>
      <c r="O220" s="5"/>
    </row>
    <row r="221" ht="12.75" customHeight="1">
      <c r="A221" s="18"/>
      <c r="B221" s="68"/>
      <c r="C221" s="69"/>
      <c r="D221" s="70"/>
      <c r="E221" s="19"/>
      <c r="F221" s="19"/>
      <c r="G221" s="19"/>
      <c r="H221" s="19"/>
      <c r="I221" s="19"/>
      <c r="J221" s="19"/>
      <c r="K221" s="19"/>
      <c r="L221" s="19"/>
      <c r="M221" s="13">
        <f t="shared" si="42"/>
        <v>0</v>
      </c>
      <c r="N221" s="5"/>
      <c r="O221" s="5"/>
    </row>
    <row r="222" ht="12.75" customHeight="1">
      <c r="A222" s="18"/>
      <c r="B222" s="68"/>
      <c r="C222" s="69"/>
      <c r="D222" s="70"/>
      <c r="E222" s="19"/>
      <c r="F222" s="19"/>
      <c r="G222" s="19"/>
      <c r="H222" s="19"/>
      <c r="I222" s="19"/>
      <c r="J222" s="19"/>
      <c r="K222" s="19"/>
      <c r="L222" s="19"/>
      <c r="M222" s="13">
        <f t="shared" si="42"/>
        <v>0</v>
      </c>
      <c r="N222" s="5"/>
      <c r="O222" s="5"/>
    </row>
    <row r="223" ht="15.0" customHeight="1">
      <c r="A223" s="19" t="s">
        <v>15</v>
      </c>
      <c r="B223" s="47" t="s">
        <v>47</v>
      </c>
      <c r="C223" s="15"/>
      <c r="D223" s="16"/>
      <c r="E223" s="13">
        <f t="shared" ref="E223:L223" si="43">SUM(E213:E220)</f>
        <v>3</v>
      </c>
      <c r="F223" s="13">
        <f t="shared" si="43"/>
        <v>2</v>
      </c>
      <c r="G223" s="13">
        <f t="shared" si="43"/>
        <v>1</v>
      </c>
      <c r="H223" s="13">
        <f t="shared" si="43"/>
        <v>0</v>
      </c>
      <c r="I223" s="13">
        <f t="shared" si="43"/>
        <v>2</v>
      </c>
      <c r="J223" s="13">
        <f t="shared" si="43"/>
        <v>3</v>
      </c>
      <c r="K223" s="13">
        <f t="shared" si="43"/>
        <v>0</v>
      </c>
      <c r="L223" s="13">
        <f t="shared" si="43"/>
        <v>3</v>
      </c>
      <c r="M223" s="13">
        <f t="shared" si="42"/>
        <v>14</v>
      </c>
      <c r="N223" s="5"/>
      <c r="O223" s="5"/>
    </row>
    <row r="224" ht="12.75" customHeight="1">
      <c r="A224" s="24"/>
      <c r="B224" s="15"/>
      <c r="C224" s="15"/>
      <c r="D224" s="15"/>
      <c r="E224" s="16"/>
      <c r="F224" s="72"/>
      <c r="G224" s="72"/>
      <c r="H224" s="72"/>
      <c r="I224" s="72"/>
      <c r="J224" s="72"/>
      <c r="K224" s="72"/>
      <c r="L224" s="72"/>
      <c r="M224" s="72"/>
      <c r="N224" s="5"/>
      <c r="O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1.0</v>
      </c>
      <c r="H225" s="19">
        <v>0.0</v>
      </c>
      <c r="I225" s="19">
        <v>0.0</v>
      </c>
      <c r="J225" s="19">
        <v>0.0</v>
      </c>
      <c r="K225" s="19">
        <v>0.0</v>
      </c>
      <c r="L225" s="19">
        <v>0.0</v>
      </c>
      <c r="M225" s="13">
        <f t="shared" ref="M225:M235" si="44">SUM(E225:L225)</f>
        <v>1</v>
      </c>
      <c r="N225" s="5"/>
      <c r="O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0.0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0.0</v>
      </c>
      <c r="L226" s="19">
        <v>0.0</v>
      </c>
      <c r="M226" s="13">
        <f t="shared" si="44"/>
        <v>0</v>
      </c>
      <c r="N226" s="5"/>
      <c r="O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3">
        <f t="shared" si="44"/>
        <v>0</v>
      </c>
      <c r="N227" s="5"/>
      <c r="O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3">
        <f t="shared" si="44"/>
        <v>0</v>
      </c>
      <c r="N228" s="5"/>
      <c r="O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3">
        <f t="shared" si="44"/>
        <v>0</v>
      </c>
      <c r="N229" s="1"/>
      <c r="O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3">
        <f t="shared" si="44"/>
        <v>0</v>
      </c>
      <c r="N230" s="52"/>
      <c r="O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3">
        <f t="shared" si="44"/>
        <v>0</v>
      </c>
      <c r="N231" s="5"/>
      <c r="O231" s="5"/>
    </row>
    <row r="232" ht="12.75" customHeight="1">
      <c r="A232" s="18"/>
      <c r="B232" s="55">
        <v>7.0</v>
      </c>
      <c r="C232" s="50" t="s">
        <v>172</v>
      </c>
      <c r="D232" s="57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3">
        <f t="shared" si="44"/>
        <v>0</v>
      </c>
      <c r="N232" s="5"/>
      <c r="O232" s="5"/>
    </row>
    <row r="233" ht="12.75" customHeight="1">
      <c r="A233" s="18"/>
      <c r="B233" s="68"/>
      <c r="C233" s="69"/>
      <c r="D233" s="71"/>
      <c r="E233" s="19"/>
      <c r="F233" s="19"/>
      <c r="G233" s="19"/>
      <c r="H233" s="19"/>
      <c r="I233" s="19"/>
      <c r="J233" s="19"/>
      <c r="K233" s="19"/>
      <c r="L233" s="19"/>
      <c r="M233" s="13">
        <f t="shared" si="44"/>
        <v>0</v>
      </c>
      <c r="N233" s="5"/>
      <c r="O233" s="5"/>
    </row>
    <row r="234" ht="12.75" customHeight="1">
      <c r="A234" s="18"/>
      <c r="B234" s="68"/>
      <c r="C234" s="69"/>
      <c r="D234" s="71"/>
      <c r="E234" s="19"/>
      <c r="F234" s="19"/>
      <c r="G234" s="19"/>
      <c r="H234" s="19"/>
      <c r="I234" s="19"/>
      <c r="J234" s="19"/>
      <c r="K234" s="19"/>
      <c r="L234" s="19"/>
      <c r="M234" s="13">
        <f t="shared" si="44"/>
        <v>0</v>
      </c>
      <c r="N234" s="5"/>
      <c r="O234" s="5"/>
    </row>
    <row r="235" ht="15.0" customHeight="1">
      <c r="A235" s="19" t="s">
        <v>15</v>
      </c>
      <c r="B235" s="47" t="s">
        <v>47</v>
      </c>
      <c r="C235" s="15"/>
      <c r="D235" s="16"/>
      <c r="E235" s="13">
        <f t="shared" ref="E235:L235" si="45">SUM(E225:E232)</f>
        <v>0</v>
      </c>
      <c r="F235" s="13">
        <f t="shared" si="45"/>
        <v>0</v>
      </c>
      <c r="G235" s="13">
        <f t="shared" si="45"/>
        <v>1</v>
      </c>
      <c r="H235" s="13">
        <f t="shared" si="45"/>
        <v>0</v>
      </c>
      <c r="I235" s="13">
        <f t="shared" si="45"/>
        <v>0</v>
      </c>
      <c r="J235" s="13">
        <f t="shared" si="45"/>
        <v>0</v>
      </c>
      <c r="K235" s="13">
        <f t="shared" si="45"/>
        <v>0</v>
      </c>
      <c r="L235" s="13">
        <f t="shared" si="45"/>
        <v>0</v>
      </c>
      <c r="M235" s="13">
        <f t="shared" si="44"/>
        <v>1</v>
      </c>
      <c r="N235" s="5"/>
      <c r="O235" s="5"/>
    </row>
    <row r="236" ht="12.75" customHeight="1">
      <c r="A236" s="24"/>
      <c r="B236" s="15"/>
      <c r="C236" s="15"/>
      <c r="D236" s="15"/>
      <c r="E236" s="16"/>
      <c r="F236" s="72"/>
      <c r="G236" s="72"/>
      <c r="H236" s="72"/>
      <c r="I236" s="72"/>
      <c r="J236" s="72"/>
      <c r="K236" s="72"/>
      <c r="L236" s="72"/>
      <c r="M236" s="72"/>
      <c r="N236" s="5"/>
      <c r="O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6.0</v>
      </c>
      <c r="F237" s="19">
        <v>3.0</v>
      </c>
      <c r="G237" s="19">
        <v>0.0</v>
      </c>
      <c r="H237" s="19">
        <v>3.0</v>
      </c>
      <c r="I237" s="19">
        <v>1.0</v>
      </c>
      <c r="J237" s="19">
        <v>0.0</v>
      </c>
      <c r="K237" s="19">
        <v>0.0</v>
      </c>
      <c r="L237" s="19">
        <v>0.0</v>
      </c>
      <c r="M237" s="13">
        <f t="shared" ref="M237:M247" si="46">SUM(E237:L237)</f>
        <v>13</v>
      </c>
      <c r="N237" s="5"/>
      <c r="O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0.0</v>
      </c>
      <c r="F238" s="19">
        <v>0.0</v>
      </c>
      <c r="G238" s="19">
        <v>0.0</v>
      </c>
      <c r="H238" s="19">
        <v>0.0</v>
      </c>
      <c r="I238" s="19">
        <v>0.0</v>
      </c>
      <c r="J238" s="19">
        <v>0.0</v>
      </c>
      <c r="K238" s="19">
        <v>0.0</v>
      </c>
      <c r="L238" s="19">
        <v>0.0</v>
      </c>
      <c r="M238" s="13">
        <f t="shared" si="46"/>
        <v>0</v>
      </c>
      <c r="N238" s="5"/>
      <c r="O238" s="5"/>
    </row>
    <row r="239" ht="12.75" customHeight="1">
      <c r="A239" s="18"/>
      <c r="B239" s="55">
        <v>2.0</v>
      </c>
      <c r="C239" s="50" t="s">
        <v>176</v>
      </c>
      <c r="D239" s="57"/>
      <c r="E239" s="19">
        <v>0.0</v>
      </c>
      <c r="F239" s="19">
        <v>3.0</v>
      </c>
      <c r="G239" s="19">
        <v>0.0</v>
      </c>
      <c r="H239" s="19">
        <v>1.0</v>
      </c>
      <c r="I239" s="19">
        <v>0.0</v>
      </c>
      <c r="J239" s="19">
        <v>0.0</v>
      </c>
      <c r="K239" s="19">
        <v>0.0</v>
      </c>
      <c r="L239" s="19">
        <v>1.0</v>
      </c>
      <c r="M239" s="13">
        <f t="shared" si="46"/>
        <v>5</v>
      </c>
      <c r="N239" s="5"/>
      <c r="O239" s="5"/>
    </row>
    <row r="240" ht="12.75" customHeight="1">
      <c r="A240" s="18"/>
      <c r="B240" s="55">
        <v>3.0</v>
      </c>
      <c r="C240" s="50" t="s">
        <v>177</v>
      </c>
      <c r="D240" s="57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1.0</v>
      </c>
      <c r="M240" s="13">
        <f t="shared" si="46"/>
        <v>1</v>
      </c>
      <c r="N240" s="1"/>
      <c r="O240" s="1"/>
    </row>
    <row r="241" ht="12.75" customHeight="1">
      <c r="A241" s="18"/>
      <c r="B241" s="55">
        <v>4.0</v>
      </c>
      <c r="C241" s="50" t="s">
        <v>178</v>
      </c>
      <c r="D241" s="57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1.0</v>
      </c>
      <c r="K241" s="19">
        <v>0.0</v>
      </c>
      <c r="L241" s="19">
        <v>0.0</v>
      </c>
      <c r="M241" s="13">
        <f t="shared" si="46"/>
        <v>1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3">
        <f t="shared" si="46"/>
        <v>0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3">
        <f t="shared" si="46"/>
        <v>0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4.0</v>
      </c>
      <c r="F244" s="19">
        <v>2.0</v>
      </c>
      <c r="G244" s="19">
        <v>0.0</v>
      </c>
      <c r="H244" s="19">
        <v>5.0</v>
      </c>
      <c r="I244" s="19">
        <v>0.0</v>
      </c>
      <c r="J244" s="19">
        <v>0.0</v>
      </c>
      <c r="K244" s="19">
        <v>0.0</v>
      </c>
      <c r="L244" s="19">
        <v>1.0</v>
      </c>
      <c r="M244" s="13">
        <f t="shared" si="46"/>
        <v>12</v>
      </c>
    </row>
    <row r="245" ht="12.75" customHeight="1">
      <c r="A245" s="18"/>
      <c r="B245" s="68"/>
      <c r="C245" s="69"/>
      <c r="D245" s="71"/>
      <c r="E245" s="19"/>
      <c r="F245" s="19"/>
      <c r="G245" s="19"/>
      <c r="H245" s="19"/>
      <c r="I245" s="19"/>
      <c r="J245" s="19"/>
      <c r="K245" s="19"/>
      <c r="L245" s="19"/>
      <c r="M245" s="13">
        <f t="shared" si="46"/>
        <v>0</v>
      </c>
    </row>
    <row r="246" ht="12.75" customHeight="1">
      <c r="A246" s="18"/>
      <c r="B246" s="68"/>
      <c r="C246" s="69"/>
      <c r="D246" s="71"/>
      <c r="E246" s="19"/>
      <c r="F246" s="19"/>
      <c r="G246" s="19"/>
      <c r="H246" s="19"/>
      <c r="I246" s="19"/>
      <c r="J246" s="19"/>
      <c r="K246" s="19"/>
      <c r="L246" s="19"/>
      <c r="M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L247" si="47">SUM(E237:E244)</f>
        <v>10</v>
      </c>
      <c r="F247" s="13">
        <f t="shared" si="47"/>
        <v>8</v>
      </c>
      <c r="G247" s="13">
        <f t="shared" si="47"/>
        <v>0</v>
      </c>
      <c r="H247" s="13">
        <f t="shared" si="47"/>
        <v>9</v>
      </c>
      <c r="I247" s="13">
        <f t="shared" si="47"/>
        <v>1</v>
      </c>
      <c r="J247" s="13">
        <f t="shared" si="47"/>
        <v>1</v>
      </c>
      <c r="K247" s="13">
        <f t="shared" si="47"/>
        <v>0</v>
      </c>
      <c r="L247" s="13">
        <f t="shared" si="47"/>
        <v>3</v>
      </c>
      <c r="M247" s="13">
        <f t="shared" si="46"/>
        <v>32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3">
        <f t="shared" ref="M249:M259" si="48">SUM(E249:L249)</f>
        <v>0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1.0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3">
        <f t="shared" si="48"/>
        <v>1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3">
        <f t="shared" si="48"/>
        <v>0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1.0</v>
      </c>
      <c r="J252" s="19">
        <v>0.0</v>
      </c>
      <c r="K252" s="19">
        <v>0.0</v>
      </c>
      <c r="L252" s="19">
        <v>0.0</v>
      </c>
      <c r="M252" s="13">
        <f t="shared" si="48"/>
        <v>1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3">
        <f t="shared" si="48"/>
        <v>0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0.0</v>
      </c>
      <c r="G254" s="19">
        <v>1.0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3">
        <f t="shared" si="48"/>
        <v>1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3">
        <f t="shared" si="48"/>
        <v>0</v>
      </c>
    </row>
    <row r="256" ht="12.75" customHeight="1">
      <c r="A256" s="18"/>
      <c r="B256" s="68"/>
      <c r="C256" s="73"/>
      <c r="D256" s="71"/>
      <c r="E256" s="19"/>
      <c r="F256" s="19"/>
      <c r="G256" s="19"/>
      <c r="H256" s="19"/>
      <c r="I256" s="19"/>
      <c r="J256" s="19"/>
      <c r="K256" s="19"/>
      <c r="L256" s="19"/>
      <c r="M256" s="13">
        <f t="shared" si="48"/>
        <v>0</v>
      </c>
    </row>
    <row r="257" ht="12.75" customHeight="1">
      <c r="A257" s="18"/>
      <c r="B257" s="68"/>
      <c r="C257" s="73"/>
      <c r="D257" s="71"/>
      <c r="E257" s="19"/>
      <c r="F257" s="19"/>
      <c r="G257" s="19"/>
      <c r="H257" s="19"/>
      <c r="I257" s="19"/>
      <c r="J257" s="19"/>
      <c r="K257" s="19"/>
      <c r="L257" s="19"/>
      <c r="M257" s="13">
        <f t="shared" si="48"/>
        <v>0</v>
      </c>
    </row>
    <row r="258" ht="12.75" customHeight="1">
      <c r="A258" s="18"/>
      <c r="B258" s="68"/>
      <c r="C258" s="73"/>
      <c r="D258" s="71"/>
      <c r="E258" s="19"/>
      <c r="F258" s="19"/>
      <c r="G258" s="19"/>
      <c r="H258" s="19"/>
      <c r="I258" s="19"/>
      <c r="J258" s="19"/>
      <c r="K258" s="19"/>
      <c r="L258" s="19"/>
      <c r="M258" s="13">
        <f t="shared" si="48"/>
        <v>0</v>
      </c>
    </row>
    <row r="259" ht="15.0" customHeight="1">
      <c r="A259" s="19" t="s">
        <v>15</v>
      </c>
      <c r="B259" s="47" t="s">
        <v>47</v>
      </c>
      <c r="C259" s="15"/>
      <c r="D259" s="16"/>
      <c r="E259" s="13">
        <f t="shared" ref="E259:L259" si="49">SUM(E249:E255)</f>
        <v>1</v>
      </c>
      <c r="F259" s="13">
        <f t="shared" si="49"/>
        <v>0</v>
      </c>
      <c r="G259" s="13">
        <f t="shared" si="49"/>
        <v>1</v>
      </c>
      <c r="H259" s="13">
        <f t="shared" si="49"/>
        <v>0</v>
      </c>
      <c r="I259" s="13">
        <f t="shared" si="49"/>
        <v>1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 t="shared" si="48"/>
        <v>3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L262" si="50">E55+E67+E79+E91+E103+E115+E127+E139+E151+E163+E175+E187+E199+E211+E223+E235+E247+E259</f>
        <v>179</v>
      </c>
      <c r="F262" s="19">
        <f t="shared" si="50"/>
        <v>190</v>
      </c>
      <c r="G262" s="19">
        <f t="shared" si="50"/>
        <v>170</v>
      </c>
      <c r="H262" s="19">
        <f t="shared" si="50"/>
        <v>140</v>
      </c>
      <c r="I262" s="19">
        <f t="shared" si="50"/>
        <v>191</v>
      </c>
      <c r="J262" s="19">
        <f t="shared" si="50"/>
        <v>166</v>
      </c>
      <c r="K262" s="19">
        <f t="shared" si="50"/>
        <v>150</v>
      </c>
      <c r="L262" s="19">
        <f t="shared" si="50"/>
        <v>170</v>
      </c>
      <c r="M262" s="13">
        <f t="shared" ref="M262:M264" si="51">SUM(E262:L262)</f>
        <v>1356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24.0</v>
      </c>
      <c r="F263" s="19">
        <v>27.0</v>
      </c>
      <c r="G263" s="19">
        <v>46.0</v>
      </c>
      <c r="H263" s="19">
        <v>22.0</v>
      </c>
      <c r="I263" s="19">
        <v>24.0</v>
      </c>
      <c r="J263" s="19">
        <v>37.0</v>
      </c>
      <c r="K263" s="19">
        <v>20.0</v>
      </c>
      <c r="L263" s="19">
        <v>20.0</v>
      </c>
      <c r="M263" s="13">
        <f t="shared" si="51"/>
        <v>220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L264" si="52">SUM(E262:E263)</f>
        <v>203</v>
      </c>
      <c r="F264" s="13">
        <f t="shared" si="52"/>
        <v>217</v>
      </c>
      <c r="G264" s="13">
        <f t="shared" si="52"/>
        <v>216</v>
      </c>
      <c r="H264" s="13">
        <f t="shared" si="52"/>
        <v>162</v>
      </c>
      <c r="I264" s="13">
        <f t="shared" si="52"/>
        <v>215</v>
      </c>
      <c r="J264" s="13">
        <f t="shared" si="52"/>
        <v>203</v>
      </c>
      <c r="K264" s="13">
        <f t="shared" si="52"/>
        <v>170</v>
      </c>
      <c r="L264" s="13">
        <f t="shared" si="52"/>
        <v>190</v>
      </c>
      <c r="M264" s="13">
        <f t="shared" si="51"/>
        <v>1576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L12"/>
    <mergeCell ref="M12:M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L15">
    <cfRule type="containsBlanks" dxfId="1" priority="1">
      <formula>LEN(TRIM(E14))=0</formula>
    </cfRule>
  </conditionalFormatting>
  <conditionalFormatting sqref="E19:L20">
    <cfRule type="containsBlanks" dxfId="1" priority="2">
      <formula>LEN(TRIM(E19))=0</formula>
    </cfRule>
  </conditionalFormatting>
  <conditionalFormatting sqref="E22:L23 E25:L26 E33:L33 E35:L35 E39:L40">
    <cfRule type="containsBlanks" dxfId="1" priority="3">
      <formula>LEN(TRIM(E22))=0</formula>
    </cfRule>
  </conditionalFormatting>
  <conditionalFormatting sqref="E30:L30">
    <cfRule type="expression" dxfId="0" priority="4">
      <formula>E30&lt;&gt;E47</formula>
    </cfRule>
  </conditionalFormatting>
  <conditionalFormatting sqref="E30:L30">
    <cfRule type="expression" dxfId="0" priority="5">
      <formula>E30&lt;&gt;E34</formula>
    </cfRule>
  </conditionalFormatting>
  <conditionalFormatting sqref="E34:L34">
    <cfRule type="expression" dxfId="2" priority="6">
      <formula>E30&lt;&gt;E34</formula>
    </cfRule>
  </conditionalFormatting>
  <conditionalFormatting sqref="E34:L34">
    <cfRule type="expression" dxfId="3" priority="7">
      <formula>E30=E34</formula>
    </cfRule>
  </conditionalFormatting>
  <conditionalFormatting sqref="E34:L34">
    <cfRule type="expression" dxfId="0" priority="8">
      <formula>E34&lt;&gt;E30</formula>
    </cfRule>
  </conditionalFormatting>
  <conditionalFormatting sqref="E34:L34">
    <cfRule type="expression" dxfId="0" priority="9">
      <formula>E34&lt;&gt;E64</formula>
    </cfRule>
  </conditionalFormatting>
  <conditionalFormatting sqref="E45:L54">
    <cfRule type="containsBlanks" dxfId="1" priority="10">
      <formula>LEN(TRIM(E45))=0</formula>
    </cfRule>
  </conditionalFormatting>
  <conditionalFormatting sqref="E57:L66">
    <cfRule type="containsBlanks" dxfId="1" priority="11">
      <formula>LEN(TRIM(E57))=0</formula>
    </cfRule>
  </conditionalFormatting>
  <conditionalFormatting sqref="E69:L78">
    <cfRule type="containsBlanks" dxfId="1" priority="12">
      <formula>LEN(TRIM(E69))=0</formula>
    </cfRule>
  </conditionalFormatting>
  <conditionalFormatting sqref="E81:L90">
    <cfRule type="containsBlanks" dxfId="1" priority="13">
      <formula>LEN(TRIM(E81))=0</formula>
    </cfRule>
  </conditionalFormatting>
  <conditionalFormatting sqref="E93:L102">
    <cfRule type="containsBlanks" dxfId="1" priority="14">
      <formula>LEN(TRIM(E93))=0</formula>
    </cfRule>
  </conditionalFormatting>
  <conditionalFormatting sqref="E105:L114">
    <cfRule type="containsBlanks" dxfId="1" priority="15">
      <formula>LEN(TRIM(E105))=0</formula>
    </cfRule>
  </conditionalFormatting>
  <conditionalFormatting sqref="E117:L126">
    <cfRule type="containsBlanks" dxfId="1" priority="16">
      <formula>LEN(TRIM(E117))=0</formula>
    </cfRule>
  </conditionalFormatting>
  <conditionalFormatting sqref="E129:L138">
    <cfRule type="containsBlanks" dxfId="1" priority="17">
      <formula>LEN(TRIM(E129))=0</formula>
    </cfRule>
  </conditionalFormatting>
  <conditionalFormatting sqref="E141:L150">
    <cfRule type="containsBlanks" dxfId="1" priority="18">
      <formula>LEN(TRIM(E141))=0</formula>
    </cfRule>
  </conditionalFormatting>
  <conditionalFormatting sqref="E153:L162">
    <cfRule type="containsBlanks" dxfId="1" priority="19">
      <formula>LEN(TRIM(E153))=0</formula>
    </cfRule>
  </conditionalFormatting>
  <conditionalFormatting sqref="E165:L174">
    <cfRule type="containsBlanks" dxfId="1" priority="20">
      <formula>LEN(TRIM(E165))=0</formula>
    </cfRule>
  </conditionalFormatting>
  <conditionalFormatting sqref="E177:L186">
    <cfRule type="containsBlanks" dxfId="1" priority="21">
      <formula>LEN(TRIM(E177))=0</formula>
    </cfRule>
  </conditionalFormatting>
  <conditionalFormatting sqref="E189:L198">
    <cfRule type="containsBlanks" dxfId="1" priority="22">
      <formula>LEN(TRIM(E189))=0</formula>
    </cfRule>
  </conditionalFormatting>
  <conditionalFormatting sqref="E201:L210">
    <cfRule type="containsBlanks" dxfId="1" priority="23">
      <formula>LEN(TRIM(E201))=0</formula>
    </cfRule>
  </conditionalFormatting>
  <conditionalFormatting sqref="E213:L222">
    <cfRule type="containsBlanks" dxfId="1" priority="24">
      <formula>LEN(TRIM(E213))=0</formula>
    </cfRule>
  </conditionalFormatting>
  <conditionalFormatting sqref="E225:L234">
    <cfRule type="containsBlanks" dxfId="1" priority="25">
      <formula>LEN(TRIM(E225))=0</formula>
    </cfRule>
  </conditionalFormatting>
  <conditionalFormatting sqref="E237:L246">
    <cfRule type="containsBlanks" dxfId="1" priority="26">
      <formula>LEN(TRIM(E237))=0</formula>
    </cfRule>
  </conditionalFormatting>
  <conditionalFormatting sqref="E249:L259">
    <cfRule type="containsBlanks" dxfId="1" priority="27">
      <formula>LEN(TRIM(E249))=0</formula>
    </cfRule>
  </conditionalFormatting>
  <conditionalFormatting sqref="E262:L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2" width="8.71"/>
    <col customWidth="1" min="13" max="13" width="13.29"/>
    <col customWidth="1" min="14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210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36"/>
    </row>
    <row r="14" ht="12.75" customHeight="1">
      <c r="A14" s="18"/>
      <c r="B14" s="22" t="s">
        <v>11</v>
      </c>
      <c r="C14" s="23"/>
      <c r="D14" s="19" t="s">
        <v>12</v>
      </c>
      <c r="E14" s="19">
        <v>148.0</v>
      </c>
      <c r="F14" s="19">
        <v>107.0</v>
      </c>
      <c r="G14" s="19">
        <v>123.0</v>
      </c>
      <c r="H14" s="19">
        <v>127.0</v>
      </c>
      <c r="I14" s="19">
        <v>129.0</v>
      </c>
      <c r="J14" s="19">
        <v>119.0</v>
      </c>
      <c r="K14" s="19">
        <v>115.0</v>
      </c>
      <c r="L14" s="19">
        <v>110.0</v>
      </c>
      <c r="M14" s="13">
        <f t="shared" ref="M14:M40" si="1">SUM(D14:L14)</f>
        <v>978</v>
      </c>
    </row>
    <row r="15" ht="12.75" customHeight="1">
      <c r="A15" s="18"/>
      <c r="B15" s="26"/>
      <c r="C15" s="27"/>
      <c r="D15" s="19" t="s">
        <v>13</v>
      </c>
      <c r="E15" s="19">
        <v>141.0</v>
      </c>
      <c r="F15" s="19">
        <v>121.0</v>
      </c>
      <c r="G15" s="19">
        <v>105.0</v>
      </c>
      <c r="H15" s="19">
        <v>132.0</v>
      </c>
      <c r="I15" s="19">
        <v>132.0</v>
      </c>
      <c r="J15" s="19">
        <v>134.0</v>
      </c>
      <c r="K15" s="19">
        <v>115.0</v>
      </c>
      <c r="L15" s="19">
        <v>106.0</v>
      </c>
      <c r="M15" s="13">
        <f t="shared" si="1"/>
        <v>986</v>
      </c>
    </row>
    <row r="16" ht="12.75" customHeight="1">
      <c r="A16" s="25"/>
      <c r="B16" s="21"/>
      <c r="C16" s="28"/>
      <c r="D16" s="13" t="s">
        <v>14</v>
      </c>
      <c r="E16" s="13">
        <f t="shared" ref="E16:L16" si="2">SUM(E14:E15)</f>
        <v>289</v>
      </c>
      <c r="F16" s="13">
        <f t="shared" si="2"/>
        <v>228</v>
      </c>
      <c r="G16" s="13">
        <f t="shared" si="2"/>
        <v>228</v>
      </c>
      <c r="H16" s="13">
        <f t="shared" si="2"/>
        <v>259</v>
      </c>
      <c r="I16" s="13">
        <f t="shared" si="2"/>
        <v>261</v>
      </c>
      <c r="J16" s="13">
        <f t="shared" si="2"/>
        <v>253</v>
      </c>
      <c r="K16" s="13">
        <f t="shared" si="2"/>
        <v>230</v>
      </c>
      <c r="L16" s="13">
        <f t="shared" si="2"/>
        <v>216</v>
      </c>
      <c r="M16" s="13">
        <f t="shared" si="1"/>
        <v>1964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3">
        <f t="shared" si="1"/>
        <v>0</v>
      </c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3">
        <f t="shared" si="1"/>
        <v>0</v>
      </c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100.0</v>
      </c>
      <c r="F19" s="19">
        <v>83.0</v>
      </c>
      <c r="G19" s="19">
        <v>101.0</v>
      </c>
      <c r="H19" s="19">
        <v>95.0</v>
      </c>
      <c r="I19" s="19">
        <v>108.0</v>
      </c>
      <c r="J19" s="19">
        <v>95.0</v>
      </c>
      <c r="K19" s="19">
        <v>78.0</v>
      </c>
      <c r="L19" s="19">
        <v>84.0</v>
      </c>
      <c r="M19" s="13">
        <f t="shared" si="1"/>
        <v>744</v>
      </c>
    </row>
    <row r="20" ht="12.75" customHeight="1">
      <c r="A20" s="33"/>
      <c r="B20" s="27"/>
      <c r="C20" s="34"/>
      <c r="D20" s="19" t="s">
        <v>13</v>
      </c>
      <c r="E20" s="19">
        <v>118.0</v>
      </c>
      <c r="F20" s="19">
        <v>100.0</v>
      </c>
      <c r="G20" s="19">
        <v>83.0</v>
      </c>
      <c r="H20" s="19">
        <v>101.0</v>
      </c>
      <c r="I20" s="19">
        <v>114.0</v>
      </c>
      <c r="J20" s="19">
        <v>109.0</v>
      </c>
      <c r="K20" s="19">
        <v>85.0</v>
      </c>
      <c r="L20" s="19">
        <v>78.0</v>
      </c>
      <c r="M20" s="13">
        <f t="shared" si="1"/>
        <v>788</v>
      </c>
    </row>
    <row r="21" ht="12.75" customHeight="1">
      <c r="A21" s="35"/>
      <c r="B21" s="28"/>
      <c r="C21" s="36"/>
      <c r="D21" s="13" t="s">
        <v>14</v>
      </c>
      <c r="E21" s="13">
        <f t="shared" ref="E21:L21" si="3">SUM(E19:E20)</f>
        <v>218</v>
      </c>
      <c r="F21" s="13">
        <f t="shared" si="3"/>
        <v>183</v>
      </c>
      <c r="G21" s="13">
        <f t="shared" si="3"/>
        <v>184</v>
      </c>
      <c r="H21" s="13">
        <f t="shared" si="3"/>
        <v>196</v>
      </c>
      <c r="I21" s="13">
        <f t="shared" si="3"/>
        <v>222</v>
      </c>
      <c r="J21" s="13">
        <f t="shared" si="3"/>
        <v>204</v>
      </c>
      <c r="K21" s="13">
        <f t="shared" si="3"/>
        <v>163</v>
      </c>
      <c r="L21" s="13">
        <f t="shared" si="3"/>
        <v>162</v>
      </c>
      <c r="M21" s="13">
        <f t="shared" si="1"/>
        <v>1532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3">
        <f t="shared" si="1"/>
        <v>0</v>
      </c>
    </row>
    <row r="23" ht="12.75" customHeight="1">
      <c r="A23" s="33"/>
      <c r="B23" s="27"/>
      <c r="C23" s="34"/>
      <c r="D23" s="19" t="s">
        <v>13</v>
      </c>
      <c r="E23" s="19">
        <v>1.0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3">
        <f t="shared" si="1"/>
        <v>1</v>
      </c>
    </row>
    <row r="24" ht="12.75" customHeight="1">
      <c r="A24" s="35"/>
      <c r="B24" s="28"/>
      <c r="C24" s="36"/>
      <c r="D24" s="13" t="s">
        <v>14</v>
      </c>
      <c r="E24" s="13">
        <f t="shared" ref="E24:L24" si="4">SUM(E22:E23)</f>
        <v>1</v>
      </c>
      <c r="F24" s="13">
        <f t="shared" si="4"/>
        <v>0</v>
      </c>
      <c r="G24" s="13">
        <f t="shared" si="4"/>
        <v>0</v>
      </c>
      <c r="H24" s="13">
        <f t="shared" si="4"/>
        <v>0</v>
      </c>
      <c r="I24" s="13">
        <f t="shared" si="4"/>
        <v>0</v>
      </c>
      <c r="J24" s="13">
        <f t="shared" si="4"/>
        <v>0</v>
      </c>
      <c r="K24" s="13">
        <f t="shared" si="4"/>
        <v>0</v>
      </c>
      <c r="L24" s="13">
        <f t="shared" si="4"/>
        <v>0</v>
      </c>
      <c r="M24" s="13">
        <f t="shared" si="1"/>
        <v>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1.0</v>
      </c>
      <c r="J25" s="19">
        <v>0.0</v>
      </c>
      <c r="K25" s="19">
        <v>0.0</v>
      </c>
      <c r="L25" s="19">
        <v>0.0</v>
      </c>
      <c r="M25" s="13">
        <f t="shared" si="1"/>
        <v>1</v>
      </c>
    </row>
    <row r="26" ht="12.75" customHeight="1">
      <c r="A26" s="33"/>
      <c r="B26" s="27"/>
      <c r="C26" s="34"/>
      <c r="D26" s="19" t="s">
        <v>13</v>
      </c>
      <c r="E26" s="19">
        <v>2.0</v>
      </c>
      <c r="F26" s="19">
        <v>0.0</v>
      </c>
      <c r="G26" s="19">
        <v>0.0</v>
      </c>
      <c r="H26" s="19">
        <v>1.0</v>
      </c>
      <c r="I26" s="19">
        <v>0.0</v>
      </c>
      <c r="J26" s="19">
        <v>0.0</v>
      </c>
      <c r="K26" s="19">
        <v>0.0</v>
      </c>
      <c r="L26" s="19">
        <v>0.0</v>
      </c>
      <c r="M26" s="13">
        <f t="shared" si="1"/>
        <v>3</v>
      </c>
    </row>
    <row r="27" ht="12.75" customHeight="1">
      <c r="A27" s="35"/>
      <c r="B27" s="28"/>
      <c r="C27" s="36"/>
      <c r="D27" s="13" t="s">
        <v>14</v>
      </c>
      <c r="E27" s="13">
        <f t="shared" ref="E27:F27" si="5">SUM(E25:E26)</f>
        <v>2</v>
      </c>
      <c r="F27" s="13">
        <f t="shared" si="5"/>
        <v>0</v>
      </c>
      <c r="G27" s="13">
        <v>0.0</v>
      </c>
      <c r="H27" s="13">
        <f t="shared" ref="H27:L27" si="6">SUM(H25:H26)</f>
        <v>1</v>
      </c>
      <c r="I27" s="13">
        <f t="shared" si="6"/>
        <v>1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1"/>
        <v>4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L28" si="7">SUM(E19,E22,E25)</f>
        <v>100</v>
      </c>
      <c r="F28" s="13">
        <f t="shared" si="7"/>
        <v>83</v>
      </c>
      <c r="G28" s="13">
        <f t="shared" si="7"/>
        <v>101</v>
      </c>
      <c r="H28" s="13">
        <f t="shared" si="7"/>
        <v>95</v>
      </c>
      <c r="I28" s="13">
        <f t="shared" si="7"/>
        <v>109</v>
      </c>
      <c r="J28" s="13">
        <f t="shared" si="7"/>
        <v>95</v>
      </c>
      <c r="K28" s="13">
        <f t="shared" si="7"/>
        <v>78</v>
      </c>
      <c r="L28" s="13">
        <f t="shared" si="7"/>
        <v>84</v>
      </c>
      <c r="M28" s="13">
        <f t="shared" si="1"/>
        <v>745</v>
      </c>
    </row>
    <row r="29" ht="12.75" customHeight="1">
      <c r="A29" s="35"/>
      <c r="B29" s="27"/>
      <c r="C29" s="34"/>
      <c r="D29" s="13" t="s">
        <v>13</v>
      </c>
      <c r="E29" s="13">
        <f t="shared" ref="E29:L29" si="8">SUM(E20,E23,E26)</f>
        <v>121</v>
      </c>
      <c r="F29" s="13">
        <f t="shared" si="8"/>
        <v>100</v>
      </c>
      <c r="G29" s="13">
        <f t="shared" si="8"/>
        <v>83</v>
      </c>
      <c r="H29" s="13">
        <f t="shared" si="8"/>
        <v>102</v>
      </c>
      <c r="I29" s="13">
        <f t="shared" si="8"/>
        <v>114</v>
      </c>
      <c r="J29" s="13">
        <f t="shared" si="8"/>
        <v>109</v>
      </c>
      <c r="K29" s="13">
        <f t="shared" si="8"/>
        <v>85</v>
      </c>
      <c r="L29" s="13">
        <f t="shared" si="8"/>
        <v>78</v>
      </c>
      <c r="M29" s="13">
        <f t="shared" si="1"/>
        <v>792</v>
      </c>
    </row>
    <row r="30" ht="12.75" customHeight="1">
      <c r="A30" s="35"/>
      <c r="B30" s="28"/>
      <c r="C30" s="36"/>
      <c r="D30" s="13" t="s">
        <v>14</v>
      </c>
      <c r="E30" s="13">
        <f t="shared" ref="E30:L30" si="9">SUM(E28:E29)</f>
        <v>221</v>
      </c>
      <c r="F30" s="13">
        <f t="shared" si="9"/>
        <v>183</v>
      </c>
      <c r="G30" s="13">
        <f t="shared" si="9"/>
        <v>184</v>
      </c>
      <c r="H30" s="13">
        <f t="shared" si="9"/>
        <v>197</v>
      </c>
      <c r="I30" s="13">
        <f t="shared" si="9"/>
        <v>223</v>
      </c>
      <c r="J30" s="13">
        <f t="shared" si="9"/>
        <v>204</v>
      </c>
      <c r="K30" s="13">
        <f t="shared" si="9"/>
        <v>163</v>
      </c>
      <c r="L30" s="13">
        <f t="shared" si="9"/>
        <v>162</v>
      </c>
      <c r="M30" s="13">
        <f t="shared" si="1"/>
        <v>1537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3">
        <f t="shared" si="1"/>
        <v>0</v>
      </c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>
        <f t="shared" si="1"/>
        <v>0</v>
      </c>
    </row>
    <row r="33" ht="12.75" customHeight="1">
      <c r="A33" s="19">
        <v>1.0</v>
      </c>
      <c r="B33" s="20" t="s">
        <v>27</v>
      </c>
      <c r="C33" s="15"/>
      <c r="D33" s="16"/>
      <c r="E33" s="19">
        <v>296.0</v>
      </c>
      <c r="F33" s="19">
        <v>234.0</v>
      </c>
      <c r="G33" s="19">
        <v>214.0</v>
      </c>
      <c r="H33" s="19">
        <v>265.0</v>
      </c>
      <c r="I33" s="19">
        <v>256.0</v>
      </c>
      <c r="J33" s="19">
        <v>259.0</v>
      </c>
      <c r="K33" s="19">
        <v>235.0</v>
      </c>
      <c r="L33" s="19">
        <v>221.0</v>
      </c>
      <c r="M33" s="13">
        <f t="shared" si="1"/>
        <v>1980</v>
      </c>
    </row>
    <row r="34" ht="12.75" customHeight="1">
      <c r="A34" s="19">
        <v>2.0</v>
      </c>
      <c r="B34" s="20" t="s">
        <v>28</v>
      </c>
      <c r="C34" s="15"/>
      <c r="D34" s="16"/>
      <c r="E34" s="13">
        <v>221.0</v>
      </c>
      <c r="F34" s="13">
        <v>183.0</v>
      </c>
      <c r="G34" s="13">
        <v>184.0</v>
      </c>
      <c r="H34" s="13">
        <v>197.0</v>
      </c>
      <c r="I34" s="13">
        <v>223.0</v>
      </c>
      <c r="J34" s="13">
        <v>204.0</v>
      </c>
      <c r="K34" s="13">
        <v>163.0</v>
      </c>
      <c r="L34" s="13">
        <v>162.0</v>
      </c>
      <c r="M34" s="13">
        <f t="shared" si="1"/>
        <v>1537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1.0</v>
      </c>
      <c r="G35" s="19">
        <v>2.0</v>
      </c>
      <c r="H35" s="19">
        <v>0.0</v>
      </c>
      <c r="I35" s="19">
        <v>0.0</v>
      </c>
      <c r="J35" s="19">
        <v>0.0</v>
      </c>
      <c r="K35" s="19">
        <v>0.0</v>
      </c>
      <c r="L35" s="19">
        <v>0.0</v>
      </c>
      <c r="M35" s="13">
        <f t="shared" si="1"/>
        <v>3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L36" si="10">E33-(E34+E35)</f>
        <v>75</v>
      </c>
      <c r="F36" s="13">
        <f t="shared" si="10"/>
        <v>50</v>
      </c>
      <c r="G36" s="13">
        <f t="shared" si="10"/>
        <v>28</v>
      </c>
      <c r="H36" s="13">
        <f t="shared" si="10"/>
        <v>68</v>
      </c>
      <c r="I36" s="13">
        <f t="shared" si="10"/>
        <v>33</v>
      </c>
      <c r="J36" s="13">
        <f t="shared" si="10"/>
        <v>55</v>
      </c>
      <c r="K36" s="13">
        <f t="shared" si="10"/>
        <v>72</v>
      </c>
      <c r="L36" s="13">
        <f t="shared" si="10"/>
        <v>59</v>
      </c>
      <c r="M36" s="13">
        <f t="shared" si="1"/>
        <v>440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3">
        <f t="shared" si="1"/>
        <v>0</v>
      </c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>
        <f t="shared" si="1"/>
        <v>0</v>
      </c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1.0</v>
      </c>
      <c r="K39" s="19">
        <v>1.0</v>
      </c>
      <c r="L39" s="19">
        <v>0.0</v>
      </c>
      <c r="M39" s="13">
        <f t="shared" si="1"/>
        <v>2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1.0</v>
      </c>
      <c r="K40" s="19">
        <v>0.0</v>
      </c>
      <c r="L40" s="19">
        <v>0.0</v>
      </c>
      <c r="M40" s="13">
        <f t="shared" si="1"/>
        <v>1</v>
      </c>
    </row>
    <row r="41" ht="12.75" customHeight="1">
      <c r="A41" s="41"/>
      <c r="B41" s="44"/>
      <c r="C41" s="28"/>
      <c r="D41" s="13" t="s">
        <v>14</v>
      </c>
      <c r="E41" s="13">
        <f t="shared" ref="E41:L41" si="11">SUM(E39:E40)</f>
        <v>0</v>
      </c>
      <c r="F41" s="13">
        <f t="shared" si="11"/>
        <v>0</v>
      </c>
      <c r="G41" s="13">
        <f t="shared" si="11"/>
        <v>0</v>
      </c>
      <c r="H41" s="13">
        <f t="shared" si="11"/>
        <v>0</v>
      </c>
      <c r="I41" s="13">
        <f t="shared" si="11"/>
        <v>0</v>
      </c>
      <c r="J41" s="13">
        <f t="shared" si="11"/>
        <v>2</v>
      </c>
      <c r="K41" s="13">
        <f t="shared" si="11"/>
        <v>1</v>
      </c>
      <c r="L41" s="13">
        <f t="shared" si="11"/>
        <v>0</v>
      </c>
      <c r="M41" s="13">
        <f>SUM(E41:L41)</f>
        <v>3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7.0</v>
      </c>
      <c r="F45" s="19">
        <v>7.0</v>
      </c>
      <c r="G45" s="19">
        <v>6.0</v>
      </c>
      <c r="H45" s="19">
        <v>6.0</v>
      </c>
      <c r="I45" s="19">
        <v>2.0</v>
      </c>
      <c r="J45" s="19">
        <v>10.0</v>
      </c>
      <c r="K45" s="19">
        <v>7.0</v>
      </c>
      <c r="L45" s="19">
        <v>9.0</v>
      </c>
      <c r="M45" s="13">
        <f t="shared" ref="M45:M55" si="12">SUM(E45:L45)</f>
        <v>54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16.0</v>
      </c>
      <c r="F46" s="19">
        <v>36.0</v>
      </c>
      <c r="G46" s="19">
        <v>19.0</v>
      </c>
      <c r="H46" s="19">
        <v>5.0</v>
      </c>
      <c r="I46" s="19">
        <v>11.0</v>
      </c>
      <c r="J46" s="19">
        <v>4.0</v>
      </c>
      <c r="K46" s="19">
        <v>10.0</v>
      </c>
      <c r="L46" s="19">
        <v>10.0</v>
      </c>
      <c r="M46" s="13">
        <f t="shared" si="12"/>
        <v>111</v>
      </c>
    </row>
    <row r="47" ht="12.75" customHeight="1">
      <c r="A47" s="18"/>
      <c r="B47" s="55">
        <v>2.0</v>
      </c>
      <c r="C47" s="50" t="s">
        <v>41</v>
      </c>
      <c r="D47" s="16"/>
      <c r="E47" s="19">
        <v>0.0</v>
      </c>
      <c r="F47" s="19">
        <v>1.0</v>
      </c>
      <c r="G47" s="19">
        <v>1.0</v>
      </c>
      <c r="H47" s="19">
        <v>1.0</v>
      </c>
      <c r="I47" s="19">
        <v>2.0</v>
      </c>
      <c r="J47" s="19">
        <v>2.0</v>
      </c>
      <c r="K47" s="19">
        <v>1.0</v>
      </c>
      <c r="L47" s="19">
        <v>1.0</v>
      </c>
      <c r="M47" s="13">
        <f t="shared" si="12"/>
        <v>9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0.0</v>
      </c>
      <c r="G48" s="19">
        <v>0.0</v>
      </c>
      <c r="H48" s="19">
        <v>1.0</v>
      </c>
      <c r="I48" s="19">
        <v>0.0</v>
      </c>
      <c r="J48" s="19">
        <v>0.0</v>
      </c>
      <c r="K48" s="19">
        <v>0.0</v>
      </c>
      <c r="L48" s="19">
        <v>1.0</v>
      </c>
      <c r="M48" s="13">
        <f t="shared" si="12"/>
        <v>2</v>
      </c>
    </row>
    <row r="49" ht="12.75" customHeight="1">
      <c r="A49" s="18"/>
      <c r="B49" s="55">
        <v>4.0</v>
      </c>
      <c r="C49" s="50" t="s">
        <v>43</v>
      </c>
      <c r="D49" s="16"/>
      <c r="E49" s="19">
        <v>2.0</v>
      </c>
      <c r="F49" s="19">
        <v>0.0</v>
      </c>
      <c r="G49" s="19">
        <v>0.0</v>
      </c>
      <c r="H49" s="19">
        <v>0.0</v>
      </c>
      <c r="I49" s="19">
        <v>1.0</v>
      </c>
      <c r="J49" s="19">
        <v>0.0</v>
      </c>
      <c r="K49" s="19">
        <v>1.0</v>
      </c>
      <c r="L49" s="19">
        <v>0.0</v>
      </c>
      <c r="M49" s="13">
        <f t="shared" si="12"/>
        <v>4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1.0</v>
      </c>
      <c r="H50" s="19">
        <v>0.0</v>
      </c>
      <c r="I50" s="19">
        <v>1.0</v>
      </c>
      <c r="J50" s="19">
        <v>0.0</v>
      </c>
      <c r="K50" s="19">
        <v>0.0</v>
      </c>
      <c r="L50" s="19">
        <v>0.0</v>
      </c>
      <c r="M50" s="13">
        <f t="shared" si="12"/>
        <v>2</v>
      </c>
    </row>
    <row r="51" ht="12.75" customHeight="1">
      <c r="A51" s="18"/>
      <c r="B51" s="55">
        <v>6.0</v>
      </c>
      <c r="C51" s="50" t="s">
        <v>45</v>
      </c>
      <c r="D51" s="16"/>
      <c r="E51" s="19">
        <v>1.0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3">
        <f t="shared" si="12"/>
        <v>1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3">
        <f t="shared" si="12"/>
        <v>0</v>
      </c>
    </row>
    <row r="53" ht="12.75" customHeight="1">
      <c r="A53" s="18"/>
      <c r="B53" s="68"/>
      <c r="C53" s="69"/>
      <c r="D53" s="70"/>
      <c r="E53" s="19"/>
      <c r="F53" s="19"/>
      <c r="G53" s="19"/>
      <c r="H53" s="19"/>
      <c r="I53" s="19"/>
      <c r="J53" s="19"/>
      <c r="K53" s="19"/>
      <c r="L53" s="19"/>
      <c r="M53" s="13">
        <f t="shared" si="12"/>
        <v>0</v>
      </c>
    </row>
    <row r="54" ht="12.75" customHeight="1">
      <c r="A54" s="18"/>
      <c r="B54" s="68"/>
      <c r="C54" s="69"/>
      <c r="D54" s="70"/>
      <c r="E54" s="19"/>
      <c r="F54" s="19"/>
      <c r="G54" s="19"/>
      <c r="H54" s="19"/>
      <c r="I54" s="19"/>
      <c r="J54" s="19"/>
      <c r="K54" s="19"/>
      <c r="L54" s="19"/>
      <c r="M54" s="13">
        <f t="shared" si="12"/>
        <v>0</v>
      </c>
    </row>
    <row r="55" ht="15.0" customHeight="1">
      <c r="A55" s="19" t="s">
        <v>15</v>
      </c>
      <c r="B55" s="47" t="s">
        <v>47</v>
      </c>
      <c r="C55" s="15"/>
      <c r="D55" s="16"/>
      <c r="E55" s="13">
        <f t="shared" ref="E55:L55" si="13">SUM(E45:E52)</f>
        <v>26</v>
      </c>
      <c r="F55" s="13">
        <f t="shared" si="13"/>
        <v>44</v>
      </c>
      <c r="G55" s="13">
        <f t="shared" si="13"/>
        <v>27</v>
      </c>
      <c r="H55" s="13">
        <f t="shared" si="13"/>
        <v>13</v>
      </c>
      <c r="I55" s="13">
        <f t="shared" si="13"/>
        <v>17</v>
      </c>
      <c r="J55" s="13">
        <f t="shared" si="13"/>
        <v>16</v>
      </c>
      <c r="K55" s="13">
        <f t="shared" si="13"/>
        <v>19</v>
      </c>
      <c r="L55" s="13">
        <f t="shared" si="13"/>
        <v>21</v>
      </c>
      <c r="M55" s="13">
        <f t="shared" si="12"/>
        <v>183</v>
      </c>
    </row>
    <row r="56" ht="12.75" customHeight="1">
      <c r="A56" s="45"/>
      <c r="B56" s="44"/>
      <c r="C56" s="44"/>
      <c r="D56" s="44"/>
      <c r="E56" s="44"/>
      <c r="M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17.0</v>
      </c>
      <c r="F57" s="19">
        <v>11.0</v>
      </c>
      <c r="G57" s="19">
        <v>9.0</v>
      </c>
      <c r="H57" s="19">
        <v>14.0</v>
      </c>
      <c r="I57" s="19">
        <v>15.0</v>
      </c>
      <c r="J57" s="19">
        <v>27.0</v>
      </c>
      <c r="K57" s="19">
        <v>25.0</v>
      </c>
      <c r="L57" s="19">
        <v>19.0</v>
      </c>
      <c r="M57" s="13">
        <f t="shared" ref="M57:M67" si="14">SUM(E57:L57)</f>
        <v>137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16.0</v>
      </c>
      <c r="F58" s="19">
        <v>9.0</v>
      </c>
      <c r="G58" s="19">
        <v>3.0</v>
      </c>
      <c r="H58" s="19">
        <v>6.0</v>
      </c>
      <c r="I58" s="19">
        <v>4.0</v>
      </c>
      <c r="J58" s="19">
        <v>4.0</v>
      </c>
      <c r="K58" s="19">
        <v>11.0</v>
      </c>
      <c r="L58" s="19">
        <v>10.0</v>
      </c>
      <c r="M58" s="13">
        <f t="shared" si="14"/>
        <v>63</v>
      </c>
    </row>
    <row r="59" ht="12.75" customHeight="1">
      <c r="A59" s="18"/>
      <c r="B59" s="55">
        <v>2.0</v>
      </c>
      <c r="C59" s="50" t="s">
        <v>50</v>
      </c>
      <c r="D59" s="56"/>
      <c r="E59" s="19">
        <v>30.0</v>
      </c>
      <c r="F59" s="19">
        <v>30.0</v>
      </c>
      <c r="G59" s="19">
        <v>31.0</v>
      </c>
      <c r="H59" s="19">
        <v>33.0</v>
      </c>
      <c r="I59" s="19">
        <v>29.0</v>
      </c>
      <c r="J59" s="19">
        <v>25.0</v>
      </c>
      <c r="K59" s="19">
        <v>8.0</v>
      </c>
      <c r="L59" s="19">
        <v>3.0</v>
      </c>
      <c r="M59" s="13">
        <f t="shared" si="14"/>
        <v>189</v>
      </c>
    </row>
    <row r="60" ht="12.75" customHeight="1">
      <c r="A60" s="18"/>
      <c r="B60" s="55">
        <v>3.0</v>
      </c>
      <c r="C60" s="50" t="s">
        <v>51</v>
      </c>
      <c r="D60" s="56"/>
      <c r="E60" s="19">
        <v>0.0</v>
      </c>
      <c r="F60" s="19">
        <v>1.0</v>
      </c>
      <c r="G60" s="19">
        <v>3.0</v>
      </c>
      <c r="H60" s="19">
        <v>1.0</v>
      </c>
      <c r="I60" s="19">
        <v>4.0</v>
      </c>
      <c r="J60" s="19">
        <v>0.0</v>
      </c>
      <c r="K60" s="19">
        <v>0.0</v>
      </c>
      <c r="L60" s="19">
        <v>1.0</v>
      </c>
      <c r="M60" s="13">
        <f t="shared" si="14"/>
        <v>10</v>
      </c>
    </row>
    <row r="61" ht="12.75" customHeight="1">
      <c r="A61" s="18"/>
      <c r="B61" s="55">
        <v>4.0</v>
      </c>
      <c r="C61" s="50" t="s">
        <v>52</v>
      </c>
      <c r="D61" s="56"/>
      <c r="E61" s="19">
        <v>1.0</v>
      </c>
      <c r="F61" s="19">
        <v>0.0</v>
      </c>
      <c r="G61" s="19">
        <v>1.0</v>
      </c>
      <c r="H61" s="19">
        <v>1.0</v>
      </c>
      <c r="I61" s="19">
        <v>1.0</v>
      </c>
      <c r="J61" s="19">
        <v>0.0</v>
      </c>
      <c r="K61" s="19">
        <v>1.0</v>
      </c>
      <c r="L61" s="19">
        <v>4.0</v>
      </c>
      <c r="M61" s="13">
        <f t="shared" si="14"/>
        <v>9</v>
      </c>
    </row>
    <row r="62" ht="12.75" customHeight="1">
      <c r="A62" s="18"/>
      <c r="B62" s="55">
        <v>5.0</v>
      </c>
      <c r="C62" s="50" t="s">
        <v>53</v>
      </c>
      <c r="D62" s="56"/>
      <c r="E62" s="19">
        <v>0.0</v>
      </c>
      <c r="F62" s="19">
        <v>0.0</v>
      </c>
      <c r="G62" s="19">
        <v>0.0</v>
      </c>
      <c r="H62" s="19">
        <v>0.0</v>
      </c>
      <c r="I62" s="19">
        <v>0.0</v>
      </c>
      <c r="J62" s="19">
        <v>0.0</v>
      </c>
      <c r="K62" s="19">
        <v>1.0</v>
      </c>
      <c r="L62" s="19">
        <v>1.0</v>
      </c>
      <c r="M62" s="13">
        <f t="shared" si="14"/>
        <v>2</v>
      </c>
    </row>
    <row r="63" ht="12.75" customHeight="1">
      <c r="A63" s="18"/>
      <c r="B63" s="55">
        <v>6.0</v>
      </c>
      <c r="C63" s="50" t="s">
        <v>54</v>
      </c>
      <c r="D63" s="57"/>
      <c r="E63" s="19">
        <v>3.0</v>
      </c>
      <c r="F63" s="19">
        <v>0.0</v>
      </c>
      <c r="G63" s="19">
        <v>1.0</v>
      </c>
      <c r="H63" s="19">
        <v>0.0</v>
      </c>
      <c r="I63" s="19">
        <v>1.0</v>
      </c>
      <c r="J63" s="19">
        <v>1.0</v>
      </c>
      <c r="K63" s="19">
        <v>1.0</v>
      </c>
      <c r="L63" s="19">
        <v>0.0</v>
      </c>
      <c r="M63" s="13">
        <f t="shared" si="14"/>
        <v>7</v>
      </c>
    </row>
    <row r="64" ht="12.75" customHeight="1">
      <c r="A64" s="18"/>
      <c r="B64" s="55">
        <v>7.0</v>
      </c>
      <c r="C64" s="50" t="s">
        <v>55</v>
      </c>
      <c r="D64" s="56"/>
      <c r="E64" s="19">
        <v>1.0</v>
      </c>
      <c r="F64" s="19">
        <v>0.0</v>
      </c>
      <c r="G64" s="19">
        <v>0.0</v>
      </c>
      <c r="H64" s="19">
        <v>0.0</v>
      </c>
      <c r="I64" s="19">
        <v>0.0</v>
      </c>
      <c r="J64" s="19">
        <v>0.0</v>
      </c>
      <c r="K64" s="19">
        <v>0.0</v>
      </c>
      <c r="L64" s="19">
        <v>0.0</v>
      </c>
      <c r="M64" s="13">
        <f t="shared" si="14"/>
        <v>1</v>
      </c>
    </row>
    <row r="65" ht="12.75" customHeight="1">
      <c r="A65" s="18"/>
      <c r="B65" s="68"/>
      <c r="C65" s="69"/>
      <c r="D65" s="70"/>
      <c r="E65" s="19"/>
      <c r="F65" s="19"/>
      <c r="G65" s="19"/>
      <c r="H65" s="19"/>
      <c r="I65" s="19"/>
      <c r="J65" s="19"/>
      <c r="K65" s="19"/>
      <c r="L65" s="19"/>
      <c r="M65" s="13">
        <f t="shared" si="14"/>
        <v>0</v>
      </c>
    </row>
    <row r="66" ht="12.75" customHeight="1">
      <c r="A66" s="18"/>
      <c r="B66" s="68"/>
      <c r="C66" s="69"/>
      <c r="D66" s="70"/>
      <c r="E66" s="19"/>
      <c r="F66" s="19"/>
      <c r="G66" s="19"/>
      <c r="H66" s="19"/>
      <c r="I66" s="19"/>
      <c r="J66" s="19"/>
      <c r="K66" s="19"/>
      <c r="L66" s="19"/>
      <c r="M66" s="13">
        <f t="shared" si="14"/>
        <v>0</v>
      </c>
    </row>
    <row r="67" ht="15.0" customHeight="1">
      <c r="A67" s="19" t="s">
        <v>15</v>
      </c>
      <c r="B67" s="47" t="s">
        <v>47</v>
      </c>
      <c r="C67" s="15"/>
      <c r="D67" s="16"/>
      <c r="E67" s="13">
        <f t="shared" ref="E67:L67" si="15">SUM(E57:E64)</f>
        <v>68</v>
      </c>
      <c r="F67" s="13">
        <f t="shared" si="15"/>
        <v>51</v>
      </c>
      <c r="G67" s="13">
        <f t="shared" si="15"/>
        <v>48</v>
      </c>
      <c r="H67" s="13">
        <f t="shared" si="15"/>
        <v>55</v>
      </c>
      <c r="I67" s="13">
        <f t="shared" si="15"/>
        <v>54</v>
      </c>
      <c r="J67" s="13">
        <f t="shared" si="15"/>
        <v>57</v>
      </c>
      <c r="K67" s="13">
        <f t="shared" si="15"/>
        <v>47</v>
      </c>
      <c r="L67" s="13">
        <f t="shared" si="15"/>
        <v>38</v>
      </c>
      <c r="M67" s="13">
        <f t="shared" si="14"/>
        <v>418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15.0</v>
      </c>
      <c r="F69" s="19">
        <v>6.0</v>
      </c>
      <c r="G69" s="19">
        <v>6.0</v>
      </c>
      <c r="H69" s="19">
        <v>8.0</v>
      </c>
      <c r="I69" s="19">
        <v>9.0</v>
      </c>
      <c r="J69" s="19">
        <v>10.0</v>
      </c>
      <c r="K69" s="19">
        <v>10.0</v>
      </c>
      <c r="L69" s="19">
        <v>9.0</v>
      </c>
      <c r="M69" s="13">
        <f t="shared" ref="M69:M79" si="16">SUM(E69:L69)</f>
        <v>73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14.0</v>
      </c>
      <c r="F70" s="19">
        <v>8.0</v>
      </c>
      <c r="G70" s="19">
        <v>6.0</v>
      </c>
      <c r="H70" s="19">
        <v>7.0</v>
      </c>
      <c r="I70" s="19">
        <v>16.0</v>
      </c>
      <c r="J70" s="19">
        <v>5.0</v>
      </c>
      <c r="K70" s="19">
        <v>8.0</v>
      </c>
      <c r="L70" s="19">
        <v>2.0</v>
      </c>
      <c r="M70" s="13">
        <f t="shared" si="16"/>
        <v>66</v>
      </c>
    </row>
    <row r="71" ht="12.75" customHeight="1">
      <c r="A71" s="18"/>
      <c r="B71" s="55">
        <v>2.0</v>
      </c>
      <c r="C71" s="50" t="s">
        <v>58</v>
      </c>
      <c r="D71" s="57"/>
      <c r="E71" s="19">
        <v>1.0</v>
      </c>
      <c r="F71" s="19">
        <v>1.0</v>
      </c>
      <c r="G71" s="19">
        <v>2.0</v>
      </c>
      <c r="H71" s="19">
        <v>3.0</v>
      </c>
      <c r="I71" s="19">
        <v>2.0</v>
      </c>
      <c r="J71" s="19">
        <v>5.0</v>
      </c>
      <c r="K71" s="19">
        <v>2.0</v>
      </c>
      <c r="L71" s="19">
        <v>8.0</v>
      </c>
      <c r="M71" s="13">
        <f t="shared" si="16"/>
        <v>24</v>
      </c>
    </row>
    <row r="72" ht="12.75" customHeight="1">
      <c r="A72" s="18"/>
      <c r="B72" s="55">
        <v>3.0</v>
      </c>
      <c r="C72" s="50" t="s">
        <v>59</v>
      </c>
      <c r="D72" s="57"/>
      <c r="E72" s="19">
        <v>1.0</v>
      </c>
      <c r="F72" s="19">
        <v>1.0</v>
      </c>
      <c r="G72" s="19">
        <v>10.0</v>
      </c>
      <c r="H72" s="19">
        <v>1.0</v>
      </c>
      <c r="I72" s="19">
        <v>1.0</v>
      </c>
      <c r="J72" s="19">
        <v>1.0</v>
      </c>
      <c r="K72" s="19">
        <v>3.0</v>
      </c>
      <c r="L72" s="19">
        <v>1.0</v>
      </c>
      <c r="M72" s="13">
        <f t="shared" si="16"/>
        <v>19</v>
      </c>
    </row>
    <row r="73" ht="12.75" customHeight="1">
      <c r="A73" s="18"/>
      <c r="B73" s="55">
        <v>4.0</v>
      </c>
      <c r="C73" s="50" t="s">
        <v>60</v>
      </c>
      <c r="D73" s="57"/>
      <c r="E73" s="19">
        <v>2.0</v>
      </c>
      <c r="F73" s="19">
        <v>0.0</v>
      </c>
      <c r="G73" s="19">
        <v>3.0</v>
      </c>
      <c r="H73" s="19">
        <v>2.0</v>
      </c>
      <c r="I73" s="19">
        <v>11.0</v>
      </c>
      <c r="J73" s="19">
        <v>4.0</v>
      </c>
      <c r="K73" s="19">
        <v>8.0</v>
      </c>
      <c r="L73" s="19">
        <v>8.0</v>
      </c>
      <c r="M73" s="13">
        <f t="shared" si="16"/>
        <v>38</v>
      </c>
    </row>
    <row r="74" ht="12.75" customHeight="1">
      <c r="A74" s="18"/>
      <c r="B74" s="55">
        <v>5.0</v>
      </c>
      <c r="C74" s="50" t="s">
        <v>61</v>
      </c>
      <c r="D74" s="57"/>
      <c r="E74" s="19">
        <v>2.0</v>
      </c>
      <c r="F74" s="19">
        <v>1.0</v>
      </c>
      <c r="G74" s="19">
        <v>4.0</v>
      </c>
      <c r="H74" s="19">
        <v>2.0</v>
      </c>
      <c r="I74" s="19">
        <v>6.0</v>
      </c>
      <c r="J74" s="19">
        <v>5.0</v>
      </c>
      <c r="K74" s="19">
        <v>1.0</v>
      </c>
      <c r="L74" s="19">
        <v>11.0</v>
      </c>
      <c r="M74" s="13">
        <f t="shared" si="16"/>
        <v>32</v>
      </c>
    </row>
    <row r="75" ht="12.75" customHeight="1">
      <c r="A75" s="18"/>
      <c r="B75" s="55">
        <v>6.0</v>
      </c>
      <c r="C75" s="50" t="s">
        <v>62</v>
      </c>
      <c r="D75" s="57"/>
      <c r="E75" s="19">
        <v>0.0</v>
      </c>
      <c r="F75" s="19">
        <v>0.0</v>
      </c>
      <c r="G75" s="19">
        <v>0.0</v>
      </c>
      <c r="H75" s="19">
        <v>0.0</v>
      </c>
      <c r="I75" s="19">
        <v>0.0</v>
      </c>
      <c r="J75" s="19">
        <v>0.0</v>
      </c>
      <c r="K75" s="19">
        <v>0.0</v>
      </c>
      <c r="L75" s="19">
        <v>0.0</v>
      </c>
      <c r="M75" s="13">
        <f t="shared" si="16"/>
        <v>0</v>
      </c>
    </row>
    <row r="76" ht="12.75" customHeight="1">
      <c r="A76" s="18"/>
      <c r="B76" s="55">
        <v>7.0</v>
      </c>
      <c r="C76" s="50" t="s">
        <v>63</v>
      </c>
      <c r="D76" s="57"/>
      <c r="E76" s="19">
        <v>0.0</v>
      </c>
      <c r="F76" s="19">
        <v>0.0</v>
      </c>
      <c r="G76" s="19">
        <v>1.0</v>
      </c>
      <c r="H76" s="19">
        <v>6.0</v>
      </c>
      <c r="I76" s="19">
        <v>6.0</v>
      </c>
      <c r="J76" s="19">
        <v>2.0</v>
      </c>
      <c r="K76" s="19">
        <v>0.0</v>
      </c>
      <c r="L76" s="19">
        <v>1.0</v>
      </c>
      <c r="M76" s="13">
        <f t="shared" si="16"/>
        <v>16</v>
      </c>
    </row>
    <row r="77" ht="12.75" customHeight="1">
      <c r="A77" s="18"/>
      <c r="B77" s="68"/>
      <c r="C77" s="69"/>
      <c r="D77" s="71"/>
      <c r="E77" s="19"/>
      <c r="F77" s="19"/>
      <c r="G77" s="19"/>
      <c r="H77" s="19"/>
      <c r="I77" s="19"/>
      <c r="J77" s="19"/>
      <c r="K77" s="19"/>
      <c r="L77" s="19"/>
      <c r="M77" s="13">
        <f t="shared" si="16"/>
        <v>0</v>
      </c>
    </row>
    <row r="78" ht="12.75" customHeight="1">
      <c r="A78" s="18"/>
      <c r="B78" s="68"/>
      <c r="C78" s="69"/>
      <c r="D78" s="71"/>
      <c r="E78" s="19"/>
      <c r="F78" s="19"/>
      <c r="G78" s="19"/>
      <c r="H78" s="19"/>
      <c r="I78" s="19"/>
      <c r="J78" s="19"/>
      <c r="K78" s="19"/>
      <c r="L78" s="19"/>
      <c r="M78" s="13">
        <f t="shared" si="16"/>
        <v>0</v>
      </c>
    </row>
    <row r="79" ht="15.0" customHeight="1">
      <c r="A79" s="19" t="s">
        <v>15</v>
      </c>
      <c r="B79" s="47" t="s">
        <v>47</v>
      </c>
      <c r="C79" s="15"/>
      <c r="D79" s="16"/>
      <c r="E79" s="13">
        <f t="shared" ref="E79:L79" si="17">SUM(E69:E76)</f>
        <v>35</v>
      </c>
      <c r="F79" s="13">
        <f t="shared" si="17"/>
        <v>17</v>
      </c>
      <c r="G79" s="13">
        <f t="shared" si="17"/>
        <v>32</v>
      </c>
      <c r="H79" s="13">
        <f t="shared" si="17"/>
        <v>29</v>
      </c>
      <c r="I79" s="13">
        <f t="shared" si="17"/>
        <v>51</v>
      </c>
      <c r="J79" s="13">
        <f t="shared" si="17"/>
        <v>32</v>
      </c>
      <c r="K79" s="13">
        <f t="shared" si="17"/>
        <v>32</v>
      </c>
      <c r="L79" s="13">
        <f t="shared" si="17"/>
        <v>40</v>
      </c>
      <c r="M79" s="13">
        <f t="shared" si="16"/>
        <v>268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12.0</v>
      </c>
      <c r="F81" s="19">
        <v>3.0</v>
      </c>
      <c r="G81" s="19">
        <v>12.0</v>
      </c>
      <c r="H81" s="19">
        <v>4.0</v>
      </c>
      <c r="I81" s="19">
        <v>5.0</v>
      </c>
      <c r="J81" s="19">
        <v>11.0</v>
      </c>
      <c r="K81" s="19">
        <v>9.0</v>
      </c>
      <c r="L81" s="19">
        <v>10.0</v>
      </c>
      <c r="M81" s="13">
        <f t="shared" ref="M81:M91" si="18">SUM(E81:L81)</f>
        <v>66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19.0</v>
      </c>
      <c r="F82" s="19">
        <v>7.0</v>
      </c>
      <c r="G82" s="19">
        <v>11.0</v>
      </c>
      <c r="H82" s="19">
        <v>8.0</v>
      </c>
      <c r="I82" s="19">
        <v>17.0</v>
      </c>
      <c r="J82" s="19">
        <v>1.0</v>
      </c>
      <c r="K82" s="19">
        <v>10.0</v>
      </c>
      <c r="L82" s="19">
        <v>8.0</v>
      </c>
      <c r="M82" s="13">
        <f t="shared" si="18"/>
        <v>81</v>
      </c>
    </row>
    <row r="83" ht="12.75" customHeight="1">
      <c r="A83" s="18"/>
      <c r="B83" s="55">
        <v>2.0</v>
      </c>
      <c r="C83" s="50" t="s">
        <v>66</v>
      </c>
      <c r="D83" s="57"/>
      <c r="E83" s="19">
        <v>1.0</v>
      </c>
      <c r="F83" s="19">
        <v>3.0</v>
      </c>
      <c r="G83" s="19">
        <v>1.0</v>
      </c>
      <c r="H83" s="19">
        <v>0.0</v>
      </c>
      <c r="I83" s="19">
        <v>3.0</v>
      </c>
      <c r="J83" s="19">
        <v>9.0</v>
      </c>
      <c r="K83" s="19">
        <v>0.0</v>
      </c>
      <c r="L83" s="19">
        <v>1.0</v>
      </c>
      <c r="M83" s="13">
        <f t="shared" si="18"/>
        <v>18</v>
      </c>
    </row>
    <row r="84" ht="12.75" customHeight="1">
      <c r="A84" s="18"/>
      <c r="B84" s="55">
        <v>3.0</v>
      </c>
      <c r="C84" s="50" t="s">
        <v>67</v>
      </c>
      <c r="D84" s="57"/>
      <c r="E84" s="19">
        <v>0.0</v>
      </c>
      <c r="F84" s="19">
        <v>0.0</v>
      </c>
      <c r="G84" s="19">
        <v>0.0</v>
      </c>
      <c r="H84" s="19">
        <v>0.0</v>
      </c>
      <c r="I84" s="19">
        <v>2.0</v>
      </c>
      <c r="J84" s="19">
        <v>2.0</v>
      </c>
      <c r="K84" s="19">
        <v>0.0</v>
      </c>
      <c r="L84" s="19">
        <v>0.0</v>
      </c>
      <c r="M84" s="13">
        <f t="shared" si="18"/>
        <v>4</v>
      </c>
    </row>
    <row r="85" ht="12.75" customHeight="1">
      <c r="A85" s="18"/>
      <c r="B85" s="55">
        <v>4.0</v>
      </c>
      <c r="C85" s="50" t="s">
        <v>68</v>
      </c>
      <c r="D85" s="57"/>
      <c r="E85" s="19">
        <v>1.0</v>
      </c>
      <c r="F85" s="19">
        <v>0.0</v>
      </c>
      <c r="G85" s="19">
        <v>1.0</v>
      </c>
      <c r="H85" s="19">
        <v>0.0</v>
      </c>
      <c r="I85" s="19">
        <v>1.0</v>
      </c>
      <c r="J85" s="19">
        <v>1.0</v>
      </c>
      <c r="K85" s="19">
        <v>2.0</v>
      </c>
      <c r="L85" s="19">
        <v>2.0</v>
      </c>
      <c r="M85" s="13">
        <f t="shared" si="18"/>
        <v>8</v>
      </c>
    </row>
    <row r="86" ht="12.75" customHeight="1">
      <c r="A86" s="18"/>
      <c r="B86" s="55">
        <v>5.0</v>
      </c>
      <c r="C86" s="50" t="s">
        <v>69</v>
      </c>
      <c r="D86" s="57"/>
      <c r="E86" s="19">
        <v>1.0</v>
      </c>
      <c r="F86" s="19">
        <v>0.0</v>
      </c>
      <c r="G86" s="19">
        <v>0.0</v>
      </c>
      <c r="H86" s="19">
        <v>0.0</v>
      </c>
      <c r="I86" s="19">
        <v>0.0</v>
      </c>
      <c r="J86" s="19">
        <v>0.0</v>
      </c>
      <c r="K86" s="19">
        <v>0.0</v>
      </c>
      <c r="L86" s="19">
        <v>1.0</v>
      </c>
      <c r="M86" s="13">
        <f t="shared" si="18"/>
        <v>2</v>
      </c>
    </row>
    <row r="87" ht="12.75" customHeight="1">
      <c r="A87" s="18"/>
      <c r="B87" s="55">
        <v>6.0</v>
      </c>
      <c r="C87" s="50" t="s">
        <v>70</v>
      </c>
      <c r="D87" s="57"/>
      <c r="E87" s="19">
        <v>3.0</v>
      </c>
      <c r="F87" s="19">
        <v>2.0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3">
        <f t="shared" si="18"/>
        <v>5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3">
        <f t="shared" si="18"/>
        <v>0</v>
      </c>
    </row>
    <row r="89" ht="12.75" customHeight="1">
      <c r="A89" s="18"/>
      <c r="B89" s="68"/>
      <c r="C89" s="69"/>
      <c r="D89" s="71"/>
      <c r="E89" s="19"/>
      <c r="F89" s="19"/>
      <c r="G89" s="19"/>
      <c r="H89" s="19"/>
      <c r="I89" s="19"/>
      <c r="J89" s="19"/>
      <c r="K89" s="19"/>
      <c r="L89" s="19"/>
      <c r="M89" s="13">
        <f t="shared" si="18"/>
        <v>0</v>
      </c>
    </row>
    <row r="90" ht="12.75" customHeight="1">
      <c r="A90" s="18"/>
      <c r="B90" s="68"/>
      <c r="C90" s="69"/>
      <c r="D90" s="71"/>
      <c r="E90" s="19"/>
      <c r="F90" s="19"/>
      <c r="G90" s="19"/>
      <c r="H90" s="19"/>
      <c r="I90" s="19"/>
      <c r="J90" s="19"/>
      <c r="K90" s="19"/>
      <c r="L90" s="19"/>
      <c r="M90" s="13">
        <f t="shared" si="18"/>
        <v>0</v>
      </c>
    </row>
    <row r="91" ht="15.0" customHeight="1">
      <c r="A91" s="19" t="s">
        <v>15</v>
      </c>
      <c r="B91" s="47" t="s">
        <v>47</v>
      </c>
      <c r="C91" s="15"/>
      <c r="D91" s="16"/>
      <c r="E91" s="13">
        <f t="shared" ref="E91:L91" si="19">SUM(E81:E88)</f>
        <v>37</v>
      </c>
      <c r="F91" s="13">
        <f t="shared" si="19"/>
        <v>15</v>
      </c>
      <c r="G91" s="13">
        <f t="shared" si="19"/>
        <v>25</v>
      </c>
      <c r="H91" s="13">
        <f t="shared" si="19"/>
        <v>12</v>
      </c>
      <c r="I91" s="13">
        <f t="shared" si="19"/>
        <v>28</v>
      </c>
      <c r="J91" s="13">
        <f t="shared" si="19"/>
        <v>24</v>
      </c>
      <c r="K91" s="13">
        <f t="shared" si="19"/>
        <v>21</v>
      </c>
      <c r="L91" s="13">
        <f t="shared" si="19"/>
        <v>22</v>
      </c>
      <c r="M91" s="13">
        <f t="shared" si="18"/>
        <v>184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6.0</v>
      </c>
      <c r="F93" s="19">
        <v>6.0</v>
      </c>
      <c r="G93" s="19">
        <v>0.0</v>
      </c>
      <c r="H93" s="19">
        <v>1.0</v>
      </c>
      <c r="I93" s="19">
        <v>1.0</v>
      </c>
      <c r="J93" s="19">
        <v>1.0</v>
      </c>
      <c r="K93" s="19">
        <v>0.0</v>
      </c>
      <c r="L93" s="19">
        <v>0.0</v>
      </c>
      <c r="M93" s="13">
        <f t="shared" ref="M93:M103" si="20">SUM(E93:L93)</f>
        <v>15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12.0</v>
      </c>
      <c r="F94" s="19">
        <v>26.0</v>
      </c>
      <c r="G94" s="19">
        <v>3.0</v>
      </c>
      <c r="H94" s="19">
        <v>4.0</v>
      </c>
      <c r="I94" s="19">
        <v>5.0</v>
      </c>
      <c r="J94" s="19">
        <v>2.0</v>
      </c>
      <c r="K94" s="19">
        <v>2.0</v>
      </c>
      <c r="L94" s="19">
        <v>1.0</v>
      </c>
      <c r="M94" s="13">
        <f t="shared" si="20"/>
        <v>55</v>
      </c>
    </row>
    <row r="95" ht="12.75" customHeight="1">
      <c r="A95" s="18"/>
      <c r="B95" s="55">
        <v>2.0</v>
      </c>
      <c r="C95" s="50" t="s">
        <v>75</v>
      </c>
      <c r="D95" s="57"/>
      <c r="E95" s="19">
        <v>0.0</v>
      </c>
      <c r="F95" s="19">
        <v>1.0</v>
      </c>
      <c r="G95" s="19">
        <v>0.0</v>
      </c>
      <c r="H95" s="19">
        <v>0.0</v>
      </c>
      <c r="I95" s="19">
        <v>1.0</v>
      </c>
      <c r="J95" s="19">
        <v>0.0</v>
      </c>
      <c r="K95" s="19">
        <v>0.0</v>
      </c>
      <c r="L95" s="19">
        <v>0.0</v>
      </c>
      <c r="M95" s="13">
        <f t="shared" si="20"/>
        <v>2</v>
      </c>
    </row>
    <row r="96" ht="12.75" customHeight="1">
      <c r="A96" s="18"/>
      <c r="B96" s="55">
        <v>3.0</v>
      </c>
      <c r="C96" s="50" t="s">
        <v>76</v>
      </c>
      <c r="D96" s="57"/>
      <c r="E96" s="19">
        <v>1.0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3">
        <f t="shared" si="20"/>
        <v>1</v>
      </c>
    </row>
    <row r="97" ht="12.75" customHeight="1">
      <c r="A97" s="18"/>
      <c r="B97" s="55">
        <v>4.0</v>
      </c>
      <c r="C97" s="50" t="s">
        <v>77</v>
      </c>
      <c r="D97" s="57"/>
      <c r="E97" s="19">
        <v>0.0</v>
      </c>
      <c r="F97" s="19">
        <v>0.0</v>
      </c>
      <c r="G97" s="19">
        <v>0.0</v>
      </c>
      <c r="H97" s="19">
        <v>0.0</v>
      </c>
      <c r="I97" s="19">
        <v>0.0</v>
      </c>
      <c r="J97" s="19">
        <v>0.0</v>
      </c>
      <c r="K97" s="19">
        <v>0.0</v>
      </c>
      <c r="L97" s="19">
        <v>1.0</v>
      </c>
      <c r="M97" s="13">
        <f t="shared" si="20"/>
        <v>1</v>
      </c>
    </row>
    <row r="98" ht="12.75" customHeight="1">
      <c r="A98" s="18"/>
      <c r="B98" s="55">
        <v>5.0</v>
      </c>
      <c r="C98" s="50" t="s">
        <v>78</v>
      </c>
      <c r="D98" s="57"/>
      <c r="E98" s="19">
        <v>0.0</v>
      </c>
      <c r="F98" s="19">
        <v>0.0</v>
      </c>
      <c r="G98" s="19">
        <v>2.0</v>
      </c>
      <c r="H98" s="19">
        <v>2.0</v>
      </c>
      <c r="I98" s="19">
        <v>0.0</v>
      </c>
      <c r="J98" s="19">
        <v>0.0</v>
      </c>
      <c r="K98" s="19">
        <v>0.0</v>
      </c>
      <c r="L98" s="19">
        <v>0.0</v>
      </c>
      <c r="M98" s="13">
        <f t="shared" si="20"/>
        <v>4</v>
      </c>
    </row>
    <row r="99" ht="12.75" customHeight="1">
      <c r="A99" s="18"/>
      <c r="B99" s="55">
        <v>6.0</v>
      </c>
      <c r="C99" s="50" t="s">
        <v>79</v>
      </c>
      <c r="D99" s="57"/>
      <c r="E99" s="19">
        <v>0.0</v>
      </c>
      <c r="F99" s="19">
        <v>0.0</v>
      </c>
      <c r="G99" s="19">
        <v>2.0</v>
      </c>
      <c r="H99" s="19">
        <v>0.0</v>
      </c>
      <c r="I99" s="19">
        <v>0.0</v>
      </c>
      <c r="J99" s="19">
        <v>2.0</v>
      </c>
      <c r="K99" s="19">
        <v>0.0</v>
      </c>
      <c r="L99" s="19">
        <v>0.0</v>
      </c>
      <c r="M99" s="13">
        <f t="shared" si="20"/>
        <v>4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0.0</v>
      </c>
      <c r="G100" s="19">
        <v>0.0</v>
      </c>
      <c r="H100" s="19">
        <v>0.0</v>
      </c>
      <c r="I100" s="19">
        <v>1.0</v>
      </c>
      <c r="J100" s="19">
        <v>0.0</v>
      </c>
      <c r="K100" s="19">
        <v>0.0</v>
      </c>
      <c r="L100" s="19">
        <v>0.0</v>
      </c>
      <c r="M100" s="13">
        <f t="shared" si="20"/>
        <v>1</v>
      </c>
    </row>
    <row r="101" ht="12.75" customHeight="1">
      <c r="A101" s="18"/>
      <c r="B101" s="68"/>
      <c r="C101" s="69"/>
      <c r="D101" s="71"/>
      <c r="E101" s="19"/>
      <c r="F101" s="19"/>
      <c r="G101" s="19"/>
      <c r="H101" s="19"/>
      <c r="I101" s="19"/>
      <c r="J101" s="19"/>
      <c r="K101" s="19"/>
      <c r="L101" s="19"/>
      <c r="M101" s="13">
        <f t="shared" si="20"/>
        <v>0</v>
      </c>
    </row>
    <row r="102" ht="12.75" customHeight="1">
      <c r="A102" s="18"/>
      <c r="B102" s="68"/>
      <c r="C102" s="69"/>
      <c r="D102" s="71"/>
      <c r="E102" s="19"/>
      <c r="F102" s="19"/>
      <c r="G102" s="19"/>
      <c r="H102" s="19"/>
      <c r="I102" s="19"/>
      <c r="J102" s="19"/>
      <c r="K102" s="19"/>
      <c r="L102" s="19"/>
      <c r="M102" s="13">
        <f t="shared" si="20"/>
        <v>0</v>
      </c>
    </row>
    <row r="103" ht="15.0" customHeight="1">
      <c r="A103" s="19" t="s">
        <v>15</v>
      </c>
      <c r="B103" s="47" t="s">
        <v>47</v>
      </c>
      <c r="C103" s="15"/>
      <c r="D103" s="16"/>
      <c r="E103" s="13">
        <f t="shared" ref="E103:L103" si="21">SUM(E93:E100)</f>
        <v>19</v>
      </c>
      <c r="F103" s="13">
        <f t="shared" si="21"/>
        <v>33</v>
      </c>
      <c r="G103" s="13">
        <f t="shared" si="21"/>
        <v>7</v>
      </c>
      <c r="H103" s="13">
        <f t="shared" si="21"/>
        <v>7</v>
      </c>
      <c r="I103" s="13">
        <f t="shared" si="21"/>
        <v>8</v>
      </c>
      <c r="J103" s="13">
        <f t="shared" si="21"/>
        <v>5</v>
      </c>
      <c r="K103" s="13">
        <f t="shared" si="21"/>
        <v>2</v>
      </c>
      <c r="L103" s="13">
        <f t="shared" si="21"/>
        <v>2</v>
      </c>
      <c r="M103" s="13">
        <f t="shared" si="20"/>
        <v>83</v>
      </c>
    </row>
    <row r="104" ht="12.75" customHeight="1">
      <c r="A104" s="45"/>
      <c r="B104" s="44"/>
      <c r="C104" s="44"/>
      <c r="D104" s="44"/>
      <c r="E104" s="44"/>
      <c r="F104" s="72"/>
      <c r="G104" s="72"/>
      <c r="H104" s="72"/>
      <c r="I104" s="72"/>
      <c r="J104" s="72"/>
      <c r="K104" s="72"/>
      <c r="L104" s="72"/>
      <c r="M104" s="72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1.0</v>
      </c>
      <c r="H105" s="19">
        <v>2.0</v>
      </c>
      <c r="I105" s="19">
        <v>0.0</v>
      </c>
      <c r="J105" s="19">
        <v>0.0</v>
      </c>
      <c r="K105" s="19">
        <v>0.0</v>
      </c>
      <c r="L105" s="19">
        <v>0.0</v>
      </c>
      <c r="M105" s="13">
        <f t="shared" ref="M105:M115" si="22">SUM(E105:L105)</f>
        <v>3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0.0</v>
      </c>
      <c r="F106" s="19">
        <v>0.0</v>
      </c>
      <c r="G106" s="19">
        <v>1.0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3">
        <f t="shared" si="22"/>
        <v>1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3">
        <f t="shared" si="22"/>
        <v>0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3">
        <f t="shared" si="22"/>
        <v>0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3">
        <f t="shared" si="22"/>
        <v>0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3">
        <f t="shared" si="22"/>
        <v>0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3">
        <f t="shared" si="22"/>
        <v>0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3">
        <f t="shared" si="22"/>
        <v>0</v>
      </c>
    </row>
    <row r="113" ht="12.75" customHeight="1">
      <c r="A113" s="18"/>
      <c r="B113" s="68"/>
      <c r="C113" s="69"/>
      <c r="D113" s="71"/>
      <c r="E113" s="19">
        <v>0.0</v>
      </c>
      <c r="F113" s="19">
        <v>0.0</v>
      </c>
      <c r="G113" s="19">
        <v>0.0</v>
      </c>
      <c r="H113" s="19">
        <v>0.0</v>
      </c>
      <c r="I113" s="19">
        <v>0.0</v>
      </c>
      <c r="J113" s="19">
        <v>0.0</v>
      </c>
      <c r="K113" s="19">
        <v>0.0</v>
      </c>
      <c r="L113" s="19">
        <v>0.0</v>
      </c>
      <c r="M113" s="13">
        <f t="shared" si="22"/>
        <v>0</v>
      </c>
    </row>
    <row r="114" ht="12.75" customHeight="1">
      <c r="A114" s="18"/>
      <c r="B114" s="68"/>
      <c r="C114" s="69"/>
      <c r="D114" s="71"/>
      <c r="E114" s="19">
        <v>0.0</v>
      </c>
      <c r="F114" s="19">
        <v>0.0</v>
      </c>
      <c r="G114" s="19">
        <v>0.0</v>
      </c>
      <c r="H114" s="19">
        <v>0.0</v>
      </c>
      <c r="I114" s="19">
        <v>0.0</v>
      </c>
      <c r="J114" s="19">
        <v>0.0</v>
      </c>
      <c r="K114" s="19">
        <v>0.0</v>
      </c>
      <c r="L114" s="19">
        <v>0.0</v>
      </c>
      <c r="M114" s="13">
        <f t="shared" si="22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L115" si="23">SUM(E105:E112)</f>
        <v>0</v>
      </c>
      <c r="F115" s="13">
        <f t="shared" si="23"/>
        <v>0</v>
      </c>
      <c r="G115" s="13">
        <f t="shared" si="23"/>
        <v>2</v>
      </c>
      <c r="H115" s="13">
        <f t="shared" si="23"/>
        <v>2</v>
      </c>
      <c r="I115" s="13">
        <f t="shared" si="23"/>
        <v>0</v>
      </c>
      <c r="J115" s="13">
        <f t="shared" si="23"/>
        <v>0</v>
      </c>
      <c r="K115" s="13">
        <f t="shared" si="23"/>
        <v>0</v>
      </c>
      <c r="L115" s="13">
        <f t="shared" si="23"/>
        <v>0</v>
      </c>
      <c r="M115" s="13">
        <f t="shared" si="22"/>
        <v>4</v>
      </c>
    </row>
    <row r="116" ht="12.75" customHeight="1">
      <c r="A116" s="24"/>
      <c r="B116" s="15"/>
      <c r="C116" s="15"/>
      <c r="D116" s="15"/>
      <c r="E116" s="16"/>
      <c r="F116" s="72"/>
      <c r="G116" s="72"/>
      <c r="H116" s="72"/>
      <c r="I116" s="72"/>
      <c r="J116" s="72"/>
      <c r="K116" s="72"/>
      <c r="L116" s="72"/>
      <c r="M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0.0</v>
      </c>
      <c r="G117" s="19">
        <v>1.0</v>
      </c>
      <c r="H117" s="19">
        <v>0.0</v>
      </c>
      <c r="I117" s="19">
        <v>3.0</v>
      </c>
      <c r="J117" s="19">
        <v>0.0</v>
      </c>
      <c r="K117" s="19">
        <v>1.0</v>
      </c>
      <c r="L117" s="19">
        <v>1.0</v>
      </c>
      <c r="M117" s="13">
        <f t="shared" ref="M117:M122" si="24">SUM(E117:L117)</f>
        <v>6</v>
      </c>
      <c r="N117" s="5"/>
      <c r="O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1.0</v>
      </c>
      <c r="K118" s="19">
        <v>0.0</v>
      </c>
      <c r="L118" s="19">
        <v>0.0</v>
      </c>
      <c r="M118" s="13">
        <f t="shared" si="24"/>
        <v>1</v>
      </c>
      <c r="N118" s="5"/>
      <c r="O118" s="5"/>
    </row>
    <row r="119" ht="12.75" customHeight="1">
      <c r="A119" s="18"/>
      <c r="B119" s="55">
        <v>2.0</v>
      </c>
      <c r="C119" s="50" t="s">
        <v>93</v>
      </c>
      <c r="D119" s="57"/>
      <c r="E119" s="19">
        <v>0.0</v>
      </c>
      <c r="F119" s="19">
        <v>0.0</v>
      </c>
      <c r="G119" s="19">
        <v>0.0</v>
      </c>
      <c r="H119" s="19">
        <v>1.0</v>
      </c>
      <c r="I119" s="19">
        <v>0.0</v>
      </c>
      <c r="J119" s="19">
        <v>0.0</v>
      </c>
      <c r="K119" s="19">
        <v>1.0</v>
      </c>
      <c r="L119" s="19">
        <v>0.0</v>
      </c>
      <c r="M119" s="13">
        <f t="shared" si="24"/>
        <v>2</v>
      </c>
      <c r="N119" s="5"/>
      <c r="O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3">
        <f t="shared" si="24"/>
        <v>0</v>
      </c>
      <c r="N120" s="5"/>
      <c r="O120" s="5"/>
    </row>
    <row r="121" ht="12.75" customHeight="1">
      <c r="A121" s="18"/>
      <c r="B121" s="68"/>
      <c r="C121" s="69"/>
      <c r="D121" s="71"/>
      <c r="E121" s="40"/>
      <c r="F121" s="19"/>
      <c r="G121" s="19"/>
      <c r="H121" s="19"/>
      <c r="I121" s="19"/>
      <c r="J121" s="19"/>
      <c r="K121" s="19"/>
      <c r="L121" s="19"/>
      <c r="M121" s="13">
        <f t="shared" si="24"/>
        <v>0</v>
      </c>
      <c r="N121" s="5"/>
      <c r="O121" s="5"/>
    </row>
    <row r="122" ht="12.75" customHeight="1">
      <c r="A122" s="18"/>
      <c r="B122" s="68"/>
      <c r="C122" s="69"/>
      <c r="D122" s="71"/>
      <c r="E122" s="40"/>
      <c r="F122" s="19"/>
      <c r="G122" s="19"/>
      <c r="H122" s="19"/>
      <c r="I122" s="19"/>
      <c r="J122" s="19"/>
      <c r="K122" s="19"/>
      <c r="L122" s="19"/>
      <c r="M122" s="13">
        <f t="shared" si="24"/>
        <v>0</v>
      </c>
      <c r="N122" s="5"/>
      <c r="O122" s="5"/>
    </row>
    <row r="123" ht="12.75" customHeight="1">
      <c r="A123" s="18"/>
      <c r="B123" s="68"/>
      <c r="C123" s="69"/>
      <c r="D123" s="71"/>
      <c r="E123" s="40"/>
      <c r="F123" s="40"/>
      <c r="G123" s="40"/>
      <c r="H123" s="40"/>
      <c r="I123" s="40"/>
      <c r="J123" s="40"/>
      <c r="K123" s="40"/>
      <c r="L123" s="40"/>
      <c r="M123" s="74"/>
      <c r="N123" s="5"/>
      <c r="O123" s="5"/>
    </row>
    <row r="124" ht="12.75" customHeight="1">
      <c r="A124" s="18"/>
      <c r="B124" s="68"/>
      <c r="C124" s="69"/>
      <c r="D124" s="71"/>
      <c r="E124" s="40"/>
      <c r="F124" s="40"/>
      <c r="G124" s="40"/>
      <c r="H124" s="40"/>
      <c r="I124" s="40"/>
      <c r="J124" s="40"/>
      <c r="K124" s="40"/>
      <c r="L124" s="40"/>
      <c r="M124" s="74"/>
      <c r="N124" s="5"/>
      <c r="O124" s="5"/>
    </row>
    <row r="125" ht="12.75" customHeight="1">
      <c r="A125" s="18"/>
      <c r="B125" s="68"/>
      <c r="C125" s="69"/>
      <c r="D125" s="71"/>
      <c r="E125" s="40"/>
      <c r="F125" s="40"/>
      <c r="G125" s="40"/>
      <c r="H125" s="40"/>
      <c r="I125" s="40"/>
      <c r="J125" s="40"/>
      <c r="K125" s="40"/>
      <c r="L125" s="40"/>
      <c r="M125" s="74"/>
      <c r="N125" s="5"/>
      <c r="O125" s="5"/>
    </row>
    <row r="126" ht="12.75" customHeight="1">
      <c r="A126" s="18"/>
      <c r="B126" s="68"/>
      <c r="C126" s="69"/>
      <c r="D126" s="71"/>
      <c r="E126" s="40"/>
      <c r="F126" s="40"/>
      <c r="G126" s="40"/>
      <c r="H126" s="40"/>
      <c r="I126" s="40"/>
      <c r="J126" s="40"/>
      <c r="K126" s="40"/>
      <c r="L126" s="40"/>
      <c r="M126" s="74"/>
      <c r="N126" s="5"/>
      <c r="O126" s="5"/>
    </row>
    <row r="127" ht="15.0" customHeight="1">
      <c r="A127" s="19" t="s">
        <v>15</v>
      </c>
      <c r="B127" s="47" t="s">
        <v>47</v>
      </c>
      <c r="C127" s="15"/>
      <c r="D127" s="16"/>
      <c r="E127" s="58">
        <f t="shared" ref="E127:L127" si="25">SUM(E117:E120)</f>
        <v>0</v>
      </c>
      <c r="F127" s="58">
        <f t="shared" si="25"/>
        <v>0</v>
      </c>
      <c r="G127" s="58">
        <f t="shared" si="25"/>
        <v>1</v>
      </c>
      <c r="H127" s="58">
        <f t="shared" si="25"/>
        <v>1</v>
      </c>
      <c r="I127" s="58">
        <f t="shared" si="25"/>
        <v>3</v>
      </c>
      <c r="J127" s="58">
        <f t="shared" si="25"/>
        <v>1</v>
      </c>
      <c r="K127" s="58">
        <f t="shared" si="25"/>
        <v>2</v>
      </c>
      <c r="L127" s="58">
        <f t="shared" si="25"/>
        <v>1</v>
      </c>
      <c r="M127" s="13">
        <f>SUM(E127:L127)</f>
        <v>9</v>
      </c>
      <c r="N127" s="5"/>
      <c r="O127" s="5"/>
    </row>
    <row r="128" ht="12.75" customHeight="1">
      <c r="A128" s="24"/>
      <c r="B128" s="15"/>
      <c r="C128" s="15"/>
      <c r="D128" s="15"/>
      <c r="E128" s="16"/>
      <c r="F128" s="72"/>
      <c r="G128" s="72"/>
      <c r="H128" s="72"/>
      <c r="I128" s="72"/>
      <c r="J128" s="72"/>
      <c r="K128" s="72"/>
      <c r="L128" s="72"/>
      <c r="M128" s="72"/>
      <c r="N128" s="5"/>
      <c r="O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0.0</v>
      </c>
      <c r="G129" s="19">
        <v>0.0</v>
      </c>
      <c r="H129" s="19">
        <v>1.0</v>
      </c>
      <c r="I129" s="19">
        <v>2.0</v>
      </c>
      <c r="J129" s="19">
        <v>1.0</v>
      </c>
      <c r="K129" s="19">
        <v>2.0</v>
      </c>
      <c r="L129" s="19">
        <v>0.0</v>
      </c>
      <c r="M129" s="13">
        <f t="shared" ref="M129:M139" si="26">SUM(E129:L129)</f>
        <v>6</v>
      </c>
      <c r="N129" s="5"/>
      <c r="O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0.0</v>
      </c>
      <c r="F130" s="19">
        <v>0.0</v>
      </c>
      <c r="G130" s="19">
        <v>0.0</v>
      </c>
      <c r="H130" s="19">
        <v>1.0</v>
      </c>
      <c r="I130" s="19">
        <v>0.0</v>
      </c>
      <c r="J130" s="19">
        <v>0.0</v>
      </c>
      <c r="K130" s="19">
        <v>1.0</v>
      </c>
      <c r="L130" s="19">
        <v>0.0</v>
      </c>
      <c r="M130" s="13">
        <f t="shared" si="26"/>
        <v>2</v>
      </c>
      <c r="N130" s="1"/>
      <c r="O130" s="1"/>
    </row>
    <row r="131" ht="12.75" customHeight="1">
      <c r="A131" s="18"/>
      <c r="B131" s="55">
        <v>2.0</v>
      </c>
      <c r="C131" s="50" t="s">
        <v>98</v>
      </c>
      <c r="D131" s="56"/>
      <c r="E131" s="19">
        <v>0.0</v>
      </c>
      <c r="F131" s="19">
        <v>0.0</v>
      </c>
      <c r="G131" s="19">
        <v>0.0</v>
      </c>
      <c r="H131" s="19">
        <v>1.0</v>
      </c>
      <c r="I131" s="19">
        <v>0.0</v>
      </c>
      <c r="J131" s="19">
        <v>0.0</v>
      </c>
      <c r="K131" s="19">
        <v>0.0</v>
      </c>
      <c r="L131" s="19">
        <v>0.0</v>
      </c>
      <c r="M131" s="13">
        <f t="shared" si="26"/>
        <v>1</v>
      </c>
      <c r="N131" s="52"/>
      <c r="O131" s="52"/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3">
        <f t="shared" si="26"/>
        <v>0</v>
      </c>
      <c r="N132" s="5"/>
      <c r="O132" s="5"/>
    </row>
    <row r="133" ht="12.75" customHeight="1">
      <c r="A133" s="18"/>
      <c r="B133" s="55">
        <v>4.0</v>
      </c>
      <c r="C133" s="50" t="s">
        <v>100</v>
      </c>
      <c r="D133" s="56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1.0</v>
      </c>
      <c r="M133" s="13">
        <f t="shared" si="26"/>
        <v>1</v>
      </c>
      <c r="N133" s="5"/>
      <c r="O133" s="5"/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3">
        <f t="shared" si="26"/>
        <v>0</v>
      </c>
      <c r="N134" s="5"/>
      <c r="O134" s="5"/>
    </row>
    <row r="135" ht="12.75" customHeight="1">
      <c r="A135" s="18"/>
      <c r="B135" s="55">
        <v>6.0</v>
      </c>
      <c r="C135" s="50" t="s">
        <v>102</v>
      </c>
      <c r="D135" s="57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3">
        <f t="shared" si="26"/>
        <v>0</v>
      </c>
      <c r="N135" s="5"/>
      <c r="O135" s="5"/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1.0</v>
      </c>
      <c r="K136" s="19">
        <v>0.0</v>
      </c>
      <c r="L136" s="19">
        <v>0.0</v>
      </c>
      <c r="M136" s="13">
        <f t="shared" si="26"/>
        <v>1</v>
      </c>
      <c r="N136" s="5"/>
      <c r="O136" s="5"/>
    </row>
    <row r="137" ht="12.75" customHeight="1">
      <c r="A137" s="18"/>
      <c r="B137" s="68"/>
      <c r="C137" s="69"/>
      <c r="D137" s="70"/>
      <c r="E137" s="19"/>
      <c r="F137" s="19"/>
      <c r="G137" s="19"/>
      <c r="H137" s="19"/>
      <c r="I137" s="19"/>
      <c r="J137" s="19"/>
      <c r="K137" s="19"/>
      <c r="L137" s="19"/>
      <c r="M137" s="13">
        <f t="shared" si="26"/>
        <v>0</v>
      </c>
      <c r="N137" s="5"/>
      <c r="O137" s="5"/>
    </row>
    <row r="138" ht="12.75" customHeight="1">
      <c r="A138" s="18"/>
      <c r="B138" s="68"/>
      <c r="C138" s="69"/>
      <c r="D138" s="70"/>
      <c r="E138" s="19"/>
      <c r="F138" s="19"/>
      <c r="G138" s="19"/>
      <c r="H138" s="19"/>
      <c r="I138" s="19"/>
      <c r="J138" s="19"/>
      <c r="K138" s="19"/>
      <c r="L138" s="19"/>
      <c r="M138" s="13">
        <f t="shared" si="26"/>
        <v>0</v>
      </c>
      <c r="N138" s="5"/>
      <c r="O138" s="5"/>
    </row>
    <row r="139" ht="15.0" customHeight="1">
      <c r="A139" s="19" t="s">
        <v>15</v>
      </c>
      <c r="B139" s="47" t="s">
        <v>47</v>
      </c>
      <c r="C139" s="15"/>
      <c r="D139" s="16"/>
      <c r="E139" s="13">
        <f t="shared" ref="E139:L139" si="27">SUM(E129:E136)</f>
        <v>0</v>
      </c>
      <c r="F139" s="13">
        <f t="shared" si="27"/>
        <v>0</v>
      </c>
      <c r="G139" s="13">
        <f t="shared" si="27"/>
        <v>0</v>
      </c>
      <c r="H139" s="13">
        <f t="shared" si="27"/>
        <v>3</v>
      </c>
      <c r="I139" s="13">
        <f t="shared" si="27"/>
        <v>2</v>
      </c>
      <c r="J139" s="13">
        <f t="shared" si="27"/>
        <v>2</v>
      </c>
      <c r="K139" s="13">
        <f t="shared" si="27"/>
        <v>3</v>
      </c>
      <c r="L139" s="13">
        <f t="shared" si="27"/>
        <v>1</v>
      </c>
      <c r="M139" s="13">
        <f t="shared" si="26"/>
        <v>11</v>
      </c>
      <c r="N139" s="5"/>
      <c r="O139" s="5"/>
    </row>
    <row r="140" ht="12.75" customHeight="1">
      <c r="A140" s="24"/>
      <c r="B140" s="15"/>
      <c r="C140" s="15"/>
      <c r="D140" s="15"/>
      <c r="E140" s="16"/>
      <c r="F140" s="72"/>
      <c r="G140" s="72"/>
      <c r="H140" s="72"/>
      <c r="I140" s="72"/>
      <c r="J140" s="72"/>
      <c r="K140" s="72"/>
      <c r="L140" s="72"/>
      <c r="M140" s="72"/>
      <c r="N140" s="5"/>
      <c r="O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3">
        <f t="shared" ref="M141:M148" si="28">SUM(E141:L141)</f>
        <v>0</v>
      </c>
      <c r="N141" s="1"/>
      <c r="O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3">
        <f t="shared" si="28"/>
        <v>0</v>
      </c>
      <c r="N142" s="52"/>
      <c r="O142" s="52"/>
    </row>
    <row r="143" ht="12.75" customHeight="1">
      <c r="A143" s="18"/>
      <c r="B143" s="55">
        <v>2.0</v>
      </c>
      <c r="C143" s="50" t="s">
        <v>107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3">
        <f t="shared" si="28"/>
        <v>0</v>
      </c>
      <c r="N143" s="5"/>
      <c r="O143" s="5"/>
    </row>
    <row r="144" ht="12.75" customHeight="1">
      <c r="A144" s="18"/>
      <c r="B144" s="55">
        <v>3.0</v>
      </c>
      <c r="C144" s="50" t="s">
        <v>108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3">
        <f t="shared" si="28"/>
        <v>0</v>
      </c>
      <c r="N144" s="5"/>
      <c r="O144" s="5"/>
    </row>
    <row r="145" ht="12.75" customHeight="1">
      <c r="A145" s="18"/>
      <c r="B145" s="55">
        <v>4.0</v>
      </c>
      <c r="C145" s="50" t="s">
        <v>109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3">
        <f t="shared" si="28"/>
        <v>0</v>
      </c>
      <c r="N145" s="5"/>
      <c r="O145" s="5"/>
    </row>
    <row r="146" ht="12.75" customHeight="1">
      <c r="A146" s="18"/>
      <c r="B146" s="55">
        <v>5.0</v>
      </c>
      <c r="C146" s="50" t="s">
        <v>110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3">
        <f t="shared" si="28"/>
        <v>0</v>
      </c>
      <c r="N146" s="5"/>
      <c r="O146" s="5"/>
    </row>
    <row r="147" ht="12.75" customHeight="1">
      <c r="A147" s="18"/>
      <c r="B147" s="55">
        <v>6.0</v>
      </c>
      <c r="C147" s="50" t="s">
        <v>111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3">
        <f t="shared" si="28"/>
        <v>0</v>
      </c>
      <c r="N147" s="5"/>
      <c r="O147" s="5"/>
    </row>
    <row r="148" ht="12.75" customHeight="1">
      <c r="A148" s="18"/>
      <c r="B148" s="55">
        <v>7.0</v>
      </c>
      <c r="C148" s="50" t="s">
        <v>112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3">
        <f t="shared" si="28"/>
        <v>0</v>
      </c>
      <c r="N148" s="5"/>
      <c r="O148" s="5"/>
    </row>
    <row r="149" ht="12.75" customHeight="1">
      <c r="A149" s="18"/>
      <c r="B149" s="68"/>
      <c r="C149" s="69"/>
      <c r="D149" s="71"/>
      <c r="E149" s="19"/>
      <c r="F149" s="19"/>
      <c r="G149" s="19"/>
      <c r="H149" s="19"/>
      <c r="I149" s="19"/>
      <c r="J149" s="19"/>
      <c r="K149" s="19"/>
      <c r="L149" s="19"/>
      <c r="M149" s="74"/>
      <c r="N149" s="5"/>
      <c r="O149" s="5"/>
    </row>
    <row r="150" ht="12.75" customHeight="1">
      <c r="A150" s="18"/>
      <c r="B150" s="68"/>
      <c r="C150" s="69"/>
      <c r="D150" s="71"/>
      <c r="E150" s="19"/>
      <c r="F150" s="19"/>
      <c r="G150" s="19"/>
      <c r="H150" s="19"/>
      <c r="I150" s="19"/>
      <c r="J150" s="19"/>
      <c r="K150" s="19"/>
      <c r="L150" s="19"/>
      <c r="M150" s="74"/>
      <c r="N150" s="5"/>
      <c r="O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L151" si="29">SUM(E141:E148)</f>
        <v>0</v>
      </c>
      <c r="F151" s="13">
        <f t="shared" si="29"/>
        <v>0</v>
      </c>
      <c r="G151" s="13">
        <f t="shared" si="29"/>
        <v>0</v>
      </c>
      <c r="H151" s="13">
        <f t="shared" si="29"/>
        <v>0</v>
      </c>
      <c r="I151" s="13">
        <f t="shared" si="29"/>
        <v>0</v>
      </c>
      <c r="J151" s="13">
        <f t="shared" si="29"/>
        <v>0</v>
      </c>
      <c r="K151" s="13">
        <f t="shared" si="29"/>
        <v>0</v>
      </c>
      <c r="L151" s="13">
        <f t="shared" si="29"/>
        <v>0</v>
      </c>
      <c r="M151" s="13">
        <f>SUM(E151:L151)</f>
        <v>0</v>
      </c>
      <c r="N151" s="1"/>
      <c r="O151" s="1"/>
    </row>
    <row r="152" ht="12.75" customHeight="1">
      <c r="A152" s="24"/>
      <c r="B152" s="15"/>
      <c r="C152" s="15"/>
      <c r="D152" s="15"/>
      <c r="E152" s="16"/>
      <c r="F152" s="72"/>
      <c r="G152" s="72"/>
      <c r="H152" s="72"/>
      <c r="I152" s="72"/>
      <c r="J152" s="72"/>
      <c r="K152" s="72"/>
      <c r="L152" s="72"/>
      <c r="M152" s="13"/>
      <c r="N152" s="52"/>
      <c r="O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3">
        <f t="shared" ref="M153:M154" si="30">SUM(E153:L153)</f>
        <v>0</v>
      </c>
      <c r="N153" s="5"/>
      <c r="O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0.0</v>
      </c>
      <c r="F154" s="19">
        <v>1.0</v>
      </c>
      <c r="G154" s="19">
        <v>0.0</v>
      </c>
      <c r="H154" s="19">
        <v>0.0</v>
      </c>
      <c r="I154" s="19">
        <v>0.0</v>
      </c>
      <c r="J154" s="19">
        <v>0.0</v>
      </c>
      <c r="K154" s="19">
        <v>0.0</v>
      </c>
      <c r="L154" s="19">
        <v>1.0</v>
      </c>
      <c r="M154" s="13">
        <f t="shared" si="30"/>
        <v>2</v>
      </c>
      <c r="N154" s="5"/>
      <c r="O154" s="5"/>
    </row>
    <row r="155" ht="12.75" customHeight="1">
      <c r="A155" s="18"/>
      <c r="B155" s="55">
        <v>2.0</v>
      </c>
      <c r="C155" s="59" t="s">
        <v>116</v>
      </c>
      <c r="D155" s="57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3">
        <f t="shared" ref="M155:M157" si="31">SUM(E156:L156)</f>
        <v>0</v>
      </c>
      <c r="N155" s="5"/>
      <c r="O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3">
        <f t="shared" si="31"/>
        <v>0</v>
      </c>
      <c r="N156" s="5"/>
      <c r="O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3">
        <f t="shared" si="31"/>
        <v>0</v>
      </c>
      <c r="N157" s="5"/>
      <c r="O157" s="5"/>
    </row>
    <row r="158" ht="12.75" customHeight="1">
      <c r="A158" s="18"/>
      <c r="B158" s="68"/>
      <c r="C158" s="73"/>
      <c r="D158" s="71"/>
      <c r="E158" s="19"/>
      <c r="F158" s="19"/>
      <c r="G158" s="19"/>
      <c r="H158" s="19"/>
      <c r="I158" s="19"/>
      <c r="J158" s="19"/>
      <c r="K158" s="19"/>
      <c r="L158" s="19"/>
      <c r="M158" s="19"/>
      <c r="N158" s="5"/>
      <c r="O158" s="5"/>
    </row>
    <row r="159" ht="12.75" customHeight="1">
      <c r="A159" s="18"/>
      <c r="B159" s="68"/>
      <c r="C159" s="73"/>
      <c r="D159" s="71"/>
      <c r="E159" s="19"/>
      <c r="F159" s="19"/>
      <c r="G159" s="19"/>
      <c r="H159" s="19"/>
      <c r="I159" s="19"/>
      <c r="J159" s="19"/>
      <c r="K159" s="19"/>
      <c r="L159" s="19"/>
      <c r="M159" s="19"/>
      <c r="N159" s="5"/>
      <c r="O159" s="5"/>
    </row>
    <row r="160" ht="12.75" customHeight="1">
      <c r="A160" s="18"/>
      <c r="B160" s="68"/>
      <c r="C160" s="73"/>
      <c r="D160" s="71"/>
      <c r="E160" s="19"/>
      <c r="F160" s="19"/>
      <c r="G160" s="19"/>
      <c r="H160" s="19"/>
      <c r="I160" s="19"/>
      <c r="J160" s="19"/>
      <c r="K160" s="19"/>
      <c r="L160" s="19"/>
      <c r="M160" s="19"/>
      <c r="N160" s="5"/>
      <c r="O160" s="5"/>
    </row>
    <row r="161" ht="12.75" customHeight="1">
      <c r="A161" s="18"/>
      <c r="B161" s="68"/>
      <c r="C161" s="73"/>
      <c r="D161" s="71"/>
      <c r="E161" s="19"/>
      <c r="F161" s="19"/>
      <c r="G161" s="19"/>
      <c r="H161" s="19"/>
      <c r="I161" s="19"/>
      <c r="J161" s="19"/>
      <c r="K161" s="19"/>
      <c r="L161" s="19"/>
      <c r="M161" s="74"/>
      <c r="N161" s="5"/>
      <c r="O161" s="5"/>
    </row>
    <row r="162" ht="12.75" customHeight="1">
      <c r="A162" s="18"/>
      <c r="B162" s="68"/>
      <c r="C162" s="73"/>
      <c r="D162" s="71"/>
      <c r="E162" s="19"/>
      <c r="F162" s="19"/>
      <c r="G162" s="19"/>
      <c r="H162" s="19"/>
      <c r="I162" s="19"/>
      <c r="J162" s="19"/>
      <c r="K162" s="19"/>
      <c r="L162" s="19"/>
      <c r="M162" s="74"/>
      <c r="N162" s="5"/>
      <c r="O162" s="5"/>
    </row>
    <row r="163" ht="15.0" customHeight="1">
      <c r="A163" s="19" t="s">
        <v>15</v>
      </c>
      <c r="B163" s="47" t="s">
        <v>47</v>
      </c>
      <c r="C163" s="15"/>
      <c r="D163" s="16"/>
      <c r="E163" s="13">
        <f t="shared" ref="E163:L163" si="32">SUM(E153:E157)</f>
        <v>0</v>
      </c>
      <c r="F163" s="13">
        <f t="shared" si="32"/>
        <v>1</v>
      </c>
      <c r="G163" s="13">
        <f t="shared" si="32"/>
        <v>0</v>
      </c>
      <c r="H163" s="13">
        <f t="shared" si="32"/>
        <v>0</v>
      </c>
      <c r="I163" s="13">
        <f t="shared" si="32"/>
        <v>0</v>
      </c>
      <c r="J163" s="13">
        <f t="shared" si="32"/>
        <v>0</v>
      </c>
      <c r="K163" s="13">
        <f t="shared" si="32"/>
        <v>0</v>
      </c>
      <c r="L163" s="13">
        <f t="shared" si="32"/>
        <v>1</v>
      </c>
      <c r="M163" s="13">
        <f>SUM(M151:M157)</f>
        <v>2</v>
      </c>
      <c r="N163" s="5"/>
      <c r="O163" s="5"/>
    </row>
    <row r="164" ht="12.75" customHeight="1">
      <c r="A164" s="24"/>
      <c r="B164" s="15"/>
      <c r="C164" s="15"/>
      <c r="D164" s="15"/>
      <c r="E164" s="16"/>
      <c r="F164" s="72"/>
      <c r="G164" s="72"/>
      <c r="H164" s="72"/>
      <c r="I164" s="72"/>
      <c r="J164" s="72"/>
      <c r="K164" s="72"/>
      <c r="L164" s="72"/>
      <c r="M164" s="72"/>
      <c r="N164" s="5"/>
      <c r="O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1.0</v>
      </c>
      <c r="F165" s="19">
        <v>0.0</v>
      </c>
      <c r="G165" s="19">
        <v>0.0</v>
      </c>
      <c r="H165" s="19">
        <v>0.0</v>
      </c>
      <c r="I165" s="19">
        <v>0.0</v>
      </c>
      <c r="J165" s="19">
        <v>1.0</v>
      </c>
      <c r="K165" s="19">
        <v>0.0</v>
      </c>
      <c r="L165" s="19">
        <v>0.0</v>
      </c>
      <c r="M165" s="13">
        <f t="shared" ref="M165:M172" si="33">SUM(E165:L165)</f>
        <v>2</v>
      </c>
      <c r="N165" s="1"/>
      <c r="O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1.0</v>
      </c>
      <c r="M166" s="13">
        <f t="shared" si="33"/>
        <v>1</v>
      </c>
      <c r="N166" s="52"/>
      <c r="O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3">
        <f t="shared" si="33"/>
        <v>0</v>
      </c>
      <c r="N167" s="5"/>
      <c r="O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3">
        <f t="shared" si="33"/>
        <v>0</v>
      </c>
      <c r="N168" s="5"/>
      <c r="O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1.0</v>
      </c>
      <c r="L169" s="19">
        <v>0.0</v>
      </c>
      <c r="M169" s="13">
        <f t="shared" si="33"/>
        <v>1</v>
      </c>
      <c r="N169" s="5"/>
      <c r="O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3">
        <f t="shared" si="33"/>
        <v>0</v>
      </c>
      <c r="N170" s="5"/>
      <c r="O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3">
        <f t="shared" si="33"/>
        <v>0</v>
      </c>
      <c r="N171" s="5"/>
      <c r="O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3">
        <f t="shared" si="33"/>
        <v>0</v>
      </c>
      <c r="N172" s="5"/>
      <c r="O172" s="5"/>
    </row>
    <row r="173" ht="12.75" customHeight="1">
      <c r="A173" s="18"/>
      <c r="B173" s="68"/>
      <c r="C173" s="69"/>
      <c r="D173" s="71"/>
      <c r="E173" s="19"/>
      <c r="F173" s="19"/>
      <c r="G173" s="19"/>
      <c r="H173" s="19"/>
      <c r="I173" s="19"/>
      <c r="J173" s="19"/>
      <c r="K173" s="19"/>
      <c r="L173" s="19"/>
      <c r="M173" s="74"/>
      <c r="N173" s="5"/>
      <c r="O173" s="5"/>
    </row>
    <row r="174" ht="12.75" customHeight="1">
      <c r="A174" s="18"/>
      <c r="B174" s="68"/>
      <c r="C174" s="69"/>
      <c r="D174" s="71"/>
      <c r="E174" s="19"/>
      <c r="F174" s="19"/>
      <c r="G174" s="19"/>
      <c r="H174" s="19"/>
      <c r="I174" s="19"/>
      <c r="J174" s="19"/>
      <c r="K174" s="19"/>
      <c r="L174" s="19"/>
      <c r="M174" s="74"/>
      <c r="N174" s="5"/>
      <c r="O174" s="5"/>
    </row>
    <row r="175" ht="15.0" customHeight="1">
      <c r="A175" s="19" t="s">
        <v>15</v>
      </c>
      <c r="B175" s="47" t="s">
        <v>47</v>
      </c>
      <c r="C175" s="15"/>
      <c r="D175" s="16"/>
      <c r="E175" s="13">
        <f t="shared" ref="E175:L175" si="34">SUM(E165:E172)</f>
        <v>1</v>
      </c>
      <c r="F175" s="13">
        <f t="shared" si="34"/>
        <v>0</v>
      </c>
      <c r="G175" s="13">
        <f t="shared" si="34"/>
        <v>0</v>
      </c>
      <c r="H175" s="13">
        <f t="shared" si="34"/>
        <v>0</v>
      </c>
      <c r="I175" s="13">
        <f t="shared" si="34"/>
        <v>0</v>
      </c>
      <c r="J175" s="13">
        <f t="shared" si="34"/>
        <v>1</v>
      </c>
      <c r="K175" s="13">
        <f t="shared" si="34"/>
        <v>1</v>
      </c>
      <c r="L175" s="13">
        <f t="shared" si="34"/>
        <v>1</v>
      </c>
      <c r="M175" s="13">
        <f>SUM(E175:L175)</f>
        <v>4</v>
      </c>
      <c r="N175" s="5"/>
      <c r="O175" s="5"/>
    </row>
    <row r="176" ht="12.75" customHeight="1">
      <c r="A176" s="24"/>
      <c r="B176" s="15"/>
      <c r="C176" s="15"/>
      <c r="D176" s="15"/>
      <c r="E176" s="16"/>
      <c r="F176" s="72"/>
      <c r="G176" s="72"/>
      <c r="H176" s="72"/>
      <c r="I176" s="72"/>
      <c r="J176" s="72"/>
      <c r="K176" s="72"/>
      <c r="L176" s="72"/>
      <c r="M176" s="72"/>
      <c r="N176" s="1"/>
      <c r="O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2.0</v>
      </c>
      <c r="F177" s="19">
        <v>0.0</v>
      </c>
      <c r="G177" s="19">
        <v>0.0</v>
      </c>
      <c r="H177" s="19">
        <v>2.0</v>
      </c>
      <c r="I177" s="19">
        <v>0.0</v>
      </c>
      <c r="J177" s="19">
        <v>1.0</v>
      </c>
      <c r="K177" s="19">
        <v>5.0</v>
      </c>
      <c r="L177" s="19">
        <v>2.0</v>
      </c>
      <c r="M177" s="13">
        <f t="shared" ref="M177:M184" si="35">SUM(E177:L177)</f>
        <v>12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0.0</v>
      </c>
      <c r="F178" s="19">
        <v>0.0</v>
      </c>
      <c r="G178" s="19">
        <v>0.0</v>
      </c>
      <c r="H178" s="19">
        <v>1.0</v>
      </c>
      <c r="I178" s="19">
        <v>0.0</v>
      </c>
      <c r="J178" s="19">
        <v>1.0</v>
      </c>
      <c r="K178" s="19">
        <v>0.0</v>
      </c>
      <c r="L178" s="19">
        <v>0.0</v>
      </c>
      <c r="M178" s="13">
        <f t="shared" si="35"/>
        <v>2</v>
      </c>
      <c r="N178" s="5"/>
      <c r="O178" s="5"/>
    </row>
    <row r="179" ht="12.75" customHeight="1">
      <c r="A179" s="18"/>
      <c r="B179" s="55">
        <v>2.0</v>
      </c>
      <c r="C179" s="50" t="s">
        <v>131</v>
      </c>
      <c r="D179" s="57"/>
      <c r="E179" s="19">
        <v>0.0</v>
      </c>
      <c r="F179" s="19">
        <v>0.0</v>
      </c>
      <c r="G179" s="19">
        <v>0.0</v>
      </c>
      <c r="H179" s="19">
        <v>0.0</v>
      </c>
      <c r="I179" s="19">
        <v>0.0</v>
      </c>
      <c r="J179" s="19">
        <v>0.0</v>
      </c>
      <c r="K179" s="19">
        <v>0.0</v>
      </c>
      <c r="L179" s="19">
        <v>0.0</v>
      </c>
      <c r="M179" s="13">
        <f t="shared" si="35"/>
        <v>0</v>
      </c>
      <c r="N179" s="5"/>
      <c r="O179" s="5"/>
    </row>
    <row r="180" ht="12.75" customHeight="1">
      <c r="A180" s="18"/>
      <c r="B180" s="55">
        <v>3.0</v>
      </c>
      <c r="C180" s="50" t="s">
        <v>132</v>
      </c>
      <c r="D180" s="57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3">
        <f t="shared" si="35"/>
        <v>0</v>
      </c>
      <c r="N180" s="5"/>
      <c r="O180" s="5"/>
    </row>
    <row r="181" ht="12.75" customHeight="1">
      <c r="A181" s="18"/>
      <c r="B181" s="55">
        <v>4.0</v>
      </c>
      <c r="C181" s="50" t="s">
        <v>133</v>
      </c>
      <c r="D181" s="57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1.0</v>
      </c>
      <c r="L181" s="19">
        <v>0.0</v>
      </c>
      <c r="M181" s="13">
        <f t="shared" si="35"/>
        <v>1</v>
      </c>
      <c r="N181" s="5"/>
      <c r="O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3">
        <f t="shared" si="35"/>
        <v>0</v>
      </c>
      <c r="N182" s="5"/>
      <c r="O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3">
        <f t="shared" si="35"/>
        <v>0</v>
      </c>
      <c r="N183" s="5"/>
      <c r="O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3">
        <f t="shared" si="35"/>
        <v>0</v>
      </c>
      <c r="N184" s="5"/>
      <c r="O184" s="5"/>
    </row>
    <row r="185" ht="12.75" customHeight="1">
      <c r="A185" s="18"/>
      <c r="B185" s="68"/>
      <c r="C185" s="69"/>
      <c r="D185" s="71"/>
      <c r="E185" s="19"/>
      <c r="F185" s="19"/>
      <c r="G185" s="19"/>
      <c r="H185" s="19"/>
      <c r="I185" s="19"/>
      <c r="J185" s="19"/>
      <c r="K185" s="19"/>
      <c r="L185" s="19"/>
      <c r="M185" s="19"/>
      <c r="N185" s="5"/>
      <c r="O185" s="5"/>
    </row>
    <row r="186" ht="12.75" customHeight="1">
      <c r="A186" s="18"/>
      <c r="B186" s="68"/>
      <c r="C186" s="69"/>
      <c r="D186" s="71"/>
      <c r="E186" s="19"/>
      <c r="F186" s="19"/>
      <c r="G186" s="19"/>
      <c r="H186" s="19"/>
      <c r="I186" s="19"/>
      <c r="J186" s="19"/>
      <c r="K186" s="19"/>
      <c r="L186" s="19"/>
      <c r="M186" s="19"/>
      <c r="N186" s="5"/>
      <c r="O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L187" si="36">SUM(E177:E184)</f>
        <v>2</v>
      </c>
      <c r="F187" s="13">
        <f t="shared" si="36"/>
        <v>0</v>
      </c>
      <c r="G187" s="13">
        <f t="shared" si="36"/>
        <v>0</v>
      </c>
      <c r="H187" s="13">
        <f t="shared" si="36"/>
        <v>3</v>
      </c>
      <c r="I187" s="13">
        <f t="shared" si="36"/>
        <v>0</v>
      </c>
      <c r="J187" s="13">
        <f t="shared" si="36"/>
        <v>2</v>
      </c>
      <c r="K187" s="13">
        <f t="shared" si="36"/>
        <v>6</v>
      </c>
      <c r="L187" s="13">
        <f t="shared" si="36"/>
        <v>2</v>
      </c>
      <c r="M187" s="13">
        <f>SUM(E187:L187)</f>
        <v>15</v>
      </c>
      <c r="N187" s="1"/>
      <c r="O187" s="1"/>
    </row>
    <row r="188" ht="12.75" customHeight="1">
      <c r="A188" s="24"/>
      <c r="B188" s="15"/>
      <c r="C188" s="15"/>
      <c r="D188" s="15"/>
      <c r="E188" s="16"/>
      <c r="F188" s="72"/>
      <c r="G188" s="72"/>
      <c r="H188" s="72"/>
      <c r="I188" s="72"/>
      <c r="J188" s="72"/>
      <c r="K188" s="72"/>
      <c r="L188" s="72"/>
      <c r="M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1.0</v>
      </c>
      <c r="K189" s="19">
        <v>0.0</v>
      </c>
      <c r="L189" s="19">
        <v>0.0</v>
      </c>
      <c r="M189" s="13">
        <f t="shared" ref="M189:M199" si="37">SUM(E189:L189)</f>
        <v>1</v>
      </c>
      <c r="N189" s="5"/>
      <c r="O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0.0</v>
      </c>
      <c r="F190" s="19">
        <v>0.0</v>
      </c>
      <c r="G190" s="19">
        <v>1.0</v>
      </c>
      <c r="H190" s="19">
        <v>0.0</v>
      </c>
      <c r="I190" s="19">
        <v>0.0</v>
      </c>
      <c r="J190" s="19">
        <v>0.0</v>
      </c>
      <c r="K190" s="19">
        <v>0.0</v>
      </c>
      <c r="L190" s="19">
        <v>1.0</v>
      </c>
      <c r="M190" s="13">
        <f t="shared" si="37"/>
        <v>2</v>
      </c>
      <c r="N190" s="5"/>
      <c r="O190" s="5"/>
    </row>
    <row r="191" ht="12.75" customHeight="1">
      <c r="A191" s="18"/>
      <c r="B191" s="55">
        <v>2.0</v>
      </c>
      <c r="C191" s="50" t="s">
        <v>140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3">
        <f t="shared" si="37"/>
        <v>0</v>
      </c>
      <c r="N191" s="5"/>
      <c r="O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3">
        <f t="shared" si="37"/>
        <v>0</v>
      </c>
      <c r="N192" s="5"/>
      <c r="O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3">
        <f t="shared" si="37"/>
        <v>0</v>
      </c>
      <c r="N193" s="5"/>
      <c r="O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3">
        <f t="shared" si="37"/>
        <v>0</v>
      </c>
      <c r="N194" s="5"/>
      <c r="O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3">
        <f t="shared" si="37"/>
        <v>0</v>
      </c>
      <c r="N195" s="5"/>
      <c r="O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3">
        <f t="shared" si="37"/>
        <v>0</v>
      </c>
      <c r="N196" s="1"/>
      <c r="O196" s="1"/>
    </row>
    <row r="197" ht="12.75" customHeight="1">
      <c r="A197" s="18"/>
      <c r="B197" s="68"/>
      <c r="C197" s="69"/>
      <c r="D197" s="71"/>
      <c r="E197" s="19"/>
      <c r="F197" s="19"/>
      <c r="G197" s="19"/>
      <c r="H197" s="19"/>
      <c r="I197" s="19"/>
      <c r="J197" s="19"/>
      <c r="K197" s="19"/>
      <c r="L197" s="19"/>
      <c r="M197" s="13">
        <f t="shared" si="37"/>
        <v>0</v>
      </c>
      <c r="N197" s="1"/>
      <c r="O197" s="1"/>
    </row>
    <row r="198" ht="12.75" customHeight="1">
      <c r="A198" s="18"/>
      <c r="B198" s="68"/>
      <c r="C198" s="69"/>
      <c r="D198" s="71"/>
      <c r="E198" s="19"/>
      <c r="F198" s="19"/>
      <c r="G198" s="19"/>
      <c r="H198" s="19"/>
      <c r="I198" s="19"/>
      <c r="J198" s="19"/>
      <c r="K198" s="19"/>
      <c r="L198" s="19"/>
      <c r="M198" s="13">
        <f t="shared" si="37"/>
        <v>0</v>
      </c>
      <c r="N198" s="1"/>
      <c r="O198" s="1"/>
    </row>
    <row r="199" ht="15.0" customHeight="1">
      <c r="A199" s="19" t="s">
        <v>15</v>
      </c>
      <c r="B199" s="47" t="s">
        <v>47</v>
      </c>
      <c r="C199" s="15"/>
      <c r="D199" s="16"/>
      <c r="E199" s="13">
        <f t="shared" ref="E199:L199" si="38">SUM(E189:E196)</f>
        <v>0</v>
      </c>
      <c r="F199" s="13">
        <f t="shared" si="38"/>
        <v>0</v>
      </c>
      <c r="G199" s="13">
        <f t="shared" si="38"/>
        <v>1</v>
      </c>
      <c r="H199" s="13">
        <f t="shared" si="38"/>
        <v>0</v>
      </c>
      <c r="I199" s="13">
        <f t="shared" si="38"/>
        <v>0</v>
      </c>
      <c r="J199" s="13">
        <f t="shared" si="38"/>
        <v>1</v>
      </c>
      <c r="K199" s="13">
        <f t="shared" si="38"/>
        <v>0</v>
      </c>
      <c r="L199" s="13">
        <f t="shared" si="38"/>
        <v>1</v>
      </c>
      <c r="M199" s="13">
        <f t="shared" si="37"/>
        <v>3</v>
      </c>
      <c r="N199" s="52"/>
      <c r="O199" s="52"/>
    </row>
    <row r="200" ht="12.75" customHeight="1">
      <c r="A200" s="24"/>
      <c r="B200" s="15"/>
      <c r="C200" s="15"/>
      <c r="D200" s="15"/>
      <c r="E200" s="16"/>
      <c r="F200" s="72"/>
      <c r="G200" s="72"/>
      <c r="H200" s="72"/>
      <c r="I200" s="72"/>
      <c r="J200" s="72"/>
      <c r="K200" s="72"/>
      <c r="L200" s="72"/>
      <c r="M200" s="72"/>
      <c r="N200" s="5"/>
      <c r="O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3.0</v>
      </c>
      <c r="F201" s="19">
        <v>2.0</v>
      </c>
      <c r="G201" s="75">
        <v>2.0</v>
      </c>
      <c r="H201" s="19">
        <v>1.0</v>
      </c>
      <c r="I201" s="19">
        <v>2.0</v>
      </c>
      <c r="J201" s="19">
        <v>1.0</v>
      </c>
      <c r="K201" s="19">
        <v>1.0</v>
      </c>
      <c r="L201" s="19">
        <v>3.0</v>
      </c>
      <c r="M201" s="13">
        <f t="shared" ref="M201:M211" si="39">SUM(E201:L201)</f>
        <v>15</v>
      </c>
      <c r="N201" s="5"/>
      <c r="O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2.0</v>
      </c>
      <c r="F202" s="19">
        <v>0.0</v>
      </c>
      <c r="G202" s="75">
        <v>0.0</v>
      </c>
      <c r="H202" s="19">
        <v>1.0</v>
      </c>
      <c r="I202" s="19">
        <v>3.0</v>
      </c>
      <c r="J202" s="19">
        <v>0.0</v>
      </c>
      <c r="K202" s="19">
        <v>1.0</v>
      </c>
      <c r="L202" s="19">
        <v>0.0</v>
      </c>
      <c r="M202" s="13">
        <f t="shared" si="39"/>
        <v>7</v>
      </c>
      <c r="N202" s="5"/>
      <c r="O202" s="5"/>
    </row>
    <row r="203" ht="12.75" customHeight="1">
      <c r="A203" s="18"/>
      <c r="B203" s="55">
        <v>2.0</v>
      </c>
      <c r="C203" s="50" t="s">
        <v>149</v>
      </c>
      <c r="D203" s="57"/>
      <c r="E203" s="19">
        <v>0.0</v>
      </c>
      <c r="F203" s="19">
        <v>1.0</v>
      </c>
      <c r="G203" s="75">
        <v>2.0</v>
      </c>
      <c r="H203" s="19">
        <v>1.0</v>
      </c>
      <c r="I203" s="19">
        <v>0.0</v>
      </c>
      <c r="J203" s="19">
        <v>1.0</v>
      </c>
      <c r="K203" s="19">
        <v>0.0</v>
      </c>
      <c r="L203" s="19">
        <v>6.0</v>
      </c>
      <c r="M203" s="13">
        <f t="shared" si="39"/>
        <v>11</v>
      </c>
      <c r="N203" s="5"/>
      <c r="O203" s="5"/>
    </row>
    <row r="204" ht="12.75" customHeight="1">
      <c r="A204" s="18"/>
      <c r="B204" s="55">
        <v>3.0</v>
      </c>
      <c r="C204" s="50" t="s">
        <v>150</v>
      </c>
      <c r="D204" s="57"/>
      <c r="E204" s="19">
        <v>0.0</v>
      </c>
      <c r="F204" s="19">
        <v>0.0</v>
      </c>
      <c r="G204" s="75">
        <v>1.0</v>
      </c>
      <c r="H204" s="19">
        <v>0.0</v>
      </c>
      <c r="I204" s="19">
        <v>0.0</v>
      </c>
      <c r="J204" s="19">
        <v>0.0</v>
      </c>
      <c r="K204" s="19">
        <v>0.0</v>
      </c>
      <c r="L204" s="19">
        <v>0.0</v>
      </c>
      <c r="M204" s="13">
        <f t="shared" si="39"/>
        <v>1</v>
      </c>
      <c r="N204" s="5"/>
      <c r="O204" s="5"/>
    </row>
    <row r="205" ht="12.75" customHeight="1">
      <c r="A205" s="18"/>
      <c r="B205" s="55">
        <v>4.0</v>
      </c>
      <c r="C205" s="50" t="s">
        <v>151</v>
      </c>
      <c r="D205" s="57"/>
      <c r="E205" s="19">
        <v>0.0</v>
      </c>
      <c r="F205" s="19">
        <v>0.0</v>
      </c>
      <c r="G205" s="75">
        <v>1.0</v>
      </c>
      <c r="H205" s="19">
        <v>0.0</v>
      </c>
      <c r="I205" s="19">
        <v>0.0</v>
      </c>
      <c r="J205" s="19">
        <v>0.0</v>
      </c>
      <c r="K205" s="19">
        <v>0.0</v>
      </c>
      <c r="L205" s="19">
        <v>0.0</v>
      </c>
      <c r="M205" s="13">
        <f t="shared" si="39"/>
        <v>1</v>
      </c>
      <c r="N205" s="5"/>
      <c r="O205" s="5"/>
    </row>
    <row r="206" ht="12.75" customHeight="1">
      <c r="A206" s="18"/>
      <c r="B206" s="55">
        <v>5.0</v>
      </c>
      <c r="C206" s="50" t="s">
        <v>152</v>
      </c>
      <c r="D206" s="57"/>
      <c r="E206" s="19">
        <v>0.0</v>
      </c>
      <c r="F206" s="19">
        <v>0.0</v>
      </c>
      <c r="G206" s="75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3">
        <f t="shared" si="39"/>
        <v>0</v>
      </c>
      <c r="N206" s="5"/>
      <c r="O206" s="5"/>
    </row>
    <row r="207" ht="12.75" customHeight="1">
      <c r="A207" s="18"/>
      <c r="B207" s="55">
        <v>6.0</v>
      </c>
      <c r="C207" s="50" t="s">
        <v>153</v>
      </c>
      <c r="D207" s="57"/>
      <c r="E207" s="19">
        <v>0.0</v>
      </c>
      <c r="F207" s="19">
        <v>0.0</v>
      </c>
      <c r="G207" s="75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3">
        <f t="shared" si="39"/>
        <v>0</v>
      </c>
      <c r="N207" s="1"/>
      <c r="O207" s="1"/>
    </row>
    <row r="208" ht="12.75" customHeight="1">
      <c r="A208" s="18"/>
      <c r="B208" s="55">
        <v>7.0</v>
      </c>
      <c r="C208" s="50" t="s">
        <v>154</v>
      </c>
      <c r="D208" s="57"/>
      <c r="E208" s="19">
        <v>0.0</v>
      </c>
      <c r="F208" s="19">
        <v>1.0</v>
      </c>
      <c r="G208" s="75">
        <v>0.0</v>
      </c>
      <c r="H208" s="19">
        <v>1.0</v>
      </c>
      <c r="I208" s="19">
        <v>1.0</v>
      </c>
      <c r="J208" s="19">
        <v>0.0</v>
      </c>
      <c r="K208" s="19">
        <v>0.0</v>
      </c>
      <c r="L208" s="19">
        <v>1.0</v>
      </c>
      <c r="M208" s="13">
        <f t="shared" si="39"/>
        <v>4</v>
      </c>
      <c r="N208" s="52"/>
      <c r="O208" s="52"/>
    </row>
    <row r="209" ht="12.75" customHeight="1">
      <c r="A209" s="18"/>
      <c r="B209" s="68"/>
      <c r="C209" s="69"/>
      <c r="D209" s="71"/>
      <c r="E209" s="19"/>
      <c r="F209" s="19"/>
      <c r="G209" s="19"/>
      <c r="H209" s="19"/>
      <c r="I209" s="19"/>
      <c r="J209" s="19"/>
      <c r="K209" s="19"/>
      <c r="L209" s="19"/>
      <c r="M209" s="13">
        <f t="shared" si="39"/>
        <v>0</v>
      </c>
      <c r="N209" s="52"/>
      <c r="O209" s="52"/>
    </row>
    <row r="210" ht="12.75" customHeight="1">
      <c r="A210" s="18"/>
      <c r="B210" s="68"/>
      <c r="C210" s="69"/>
      <c r="D210" s="71"/>
      <c r="E210" s="19"/>
      <c r="F210" s="19"/>
      <c r="G210" s="19"/>
      <c r="H210" s="19"/>
      <c r="I210" s="19"/>
      <c r="J210" s="19"/>
      <c r="K210" s="19"/>
      <c r="L210" s="19"/>
      <c r="M210" s="13">
        <f t="shared" si="39"/>
        <v>0</v>
      </c>
      <c r="N210" s="52"/>
      <c r="O210" s="52"/>
    </row>
    <row r="211" ht="15.0" customHeight="1">
      <c r="A211" s="19" t="s">
        <v>15</v>
      </c>
      <c r="B211" s="47" t="s">
        <v>47</v>
      </c>
      <c r="C211" s="15"/>
      <c r="D211" s="16"/>
      <c r="E211" s="13">
        <f t="shared" ref="E211:L211" si="40">SUM(E201:E208)</f>
        <v>5</v>
      </c>
      <c r="F211" s="13">
        <f t="shared" si="40"/>
        <v>4</v>
      </c>
      <c r="G211" s="13">
        <f t="shared" si="40"/>
        <v>6</v>
      </c>
      <c r="H211" s="13">
        <f t="shared" si="40"/>
        <v>4</v>
      </c>
      <c r="I211" s="13">
        <f t="shared" si="40"/>
        <v>6</v>
      </c>
      <c r="J211" s="13">
        <f t="shared" si="40"/>
        <v>2</v>
      </c>
      <c r="K211" s="13">
        <f t="shared" si="40"/>
        <v>2</v>
      </c>
      <c r="L211" s="13">
        <f t="shared" si="40"/>
        <v>10</v>
      </c>
      <c r="M211" s="13">
        <f t="shared" si="39"/>
        <v>39</v>
      </c>
      <c r="N211" s="5"/>
      <c r="O211" s="5"/>
    </row>
    <row r="212" ht="12.75" customHeight="1">
      <c r="A212" s="24"/>
      <c r="B212" s="15"/>
      <c r="C212" s="15"/>
      <c r="D212" s="15"/>
      <c r="E212" s="16"/>
      <c r="F212" s="72"/>
      <c r="G212" s="72"/>
      <c r="H212" s="72"/>
      <c r="I212" s="72"/>
      <c r="J212" s="72"/>
      <c r="K212" s="72"/>
      <c r="L212" s="72"/>
      <c r="M212" s="72"/>
      <c r="N212" s="5"/>
      <c r="O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0.0</v>
      </c>
      <c r="F213" s="19">
        <v>2.0</v>
      </c>
      <c r="G213" s="19">
        <v>1.0</v>
      </c>
      <c r="H213" s="19">
        <v>0.0</v>
      </c>
      <c r="I213" s="19">
        <v>3.0</v>
      </c>
      <c r="J213" s="19">
        <v>1.0</v>
      </c>
      <c r="K213" s="19">
        <v>0.0</v>
      </c>
      <c r="L213" s="19">
        <v>1.0</v>
      </c>
      <c r="M213" s="13">
        <f t="shared" ref="M213:M223" si="41">SUM(E213:L213)</f>
        <v>8</v>
      </c>
      <c r="N213" s="5"/>
      <c r="O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0.0</v>
      </c>
      <c r="F214" s="19">
        <v>0.0</v>
      </c>
      <c r="G214" s="19">
        <v>2.0</v>
      </c>
      <c r="H214" s="19">
        <v>0.0</v>
      </c>
      <c r="I214" s="19">
        <v>0.0</v>
      </c>
      <c r="J214" s="19">
        <v>0.0</v>
      </c>
      <c r="K214" s="19">
        <v>1.0</v>
      </c>
      <c r="L214" s="19">
        <v>0.0</v>
      </c>
      <c r="M214" s="13">
        <f t="shared" si="41"/>
        <v>3</v>
      </c>
      <c r="N214" s="5"/>
      <c r="O214" s="5"/>
    </row>
    <row r="215" ht="12.75" customHeight="1">
      <c r="A215" s="18"/>
      <c r="B215" s="55">
        <v>2.0</v>
      </c>
      <c r="C215" s="50" t="s">
        <v>158</v>
      </c>
      <c r="D215" s="56"/>
      <c r="E215" s="19">
        <v>0.0</v>
      </c>
      <c r="F215" s="19">
        <v>0.0</v>
      </c>
      <c r="G215" s="19">
        <v>2.0</v>
      </c>
      <c r="H215" s="19">
        <v>1.0</v>
      </c>
      <c r="I215" s="19">
        <v>0.0</v>
      </c>
      <c r="J215" s="19">
        <v>0.0</v>
      </c>
      <c r="K215" s="19">
        <v>0.0</v>
      </c>
      <c r="L215" s="19">
        <v>0.0</v>
      </c>
      <c r="M215" s="13">
        <f t="shared" si="41"/>
        <v>3</v>
      </c>
      <c r="N215" s="5"/>
      <c r="O215" s="5"/>
    </row>
    <row r="216" ht="12.75" customHeight="1">
      <c r="A216" s="18"/>
      <c r="B216" s="55">
        <v>3.0</v>
      </c>
      <c r="C216" s="61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1.0</v>
      </c>
      <c r="J216" s="19">
        <v>1.0</v>
      </c>
      <c r="K216" s="19">
        <v>0.0</v>
      </c>
      <c r="L216" s="19">
        <v>0.0</v>
      </c>
      <c r="M216" s="13">
        <f t="shared" si="41"/>
        <v>2</v>
      </c>
      <c r="N216" s="5"/>
      <c r="O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1.0</v>
      </c>
      <c r="K217" s="19">
        <v>0.0</v>
      </c>
      <c r="L217" s="19">
        <v>0.0</v>
      </c>
      <c r="M217" s="13">
        <f t="shared" si="41"/>
        <v>1</v>
      </c>
      <c r="N217" s="5"/>
      <c r="O217" s="5"/>
    </row>
    <row r="218" ht="12.75" customHeight="1">
      <c r="A218" s="18"/>
      <c r="B218" s="55">
        <v>5.0</v>
      </c>
      <c r="C218" s="50" t="s">
        <v>161</v>
      </c>
      <c r="D218" s="56"/>
      <c r="E218" s="19">
        <v>0.0</v>
      </c>
      <c r="F218" s="19">
        <v>0.0</v>
      </c>
      <c r="G218" s="19">
        <v>0.0</v>
      </c>
      <c r="H218" s="19">
        <v>0.0</v>
      </c>
      <c r="I218" s="19">
        <v>1.0</v>
      </c>
      <c r="J218" s="19">
        <v>0.0</v>
      </c>
      <c r="K218" s="19">
        <v>0.0</v>
      </c>
      <c r="L218" s="19">
        <v>0.0</v>
      </c>
      <c r="M218" s="13">
        <f t="shared" si="41"/>
        <v>1</v>
      </c>
      <c r="N218" s="1"/>
      <c r="O218" s="1"/>
    </row>
    <row r="219" ht="12.75" customHeight="1">
      <c r="A219" s="18"/>
      <c r="B219" s="55">
        <v>6.0</v>
      </c>
      <c r="C219" s="50" t="s">
        <v>162</v>
      </c>
      <c r="D219" s="56"/>
      <c r="E219" s="19">
        <v>1.0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3">
        <f t="shared" si="41"/>
        <v>1</v>
      </c>
      <c r="N219" s="52"/>
      <c r="O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3">
        <f t="shared" si="41"/>
        <v>0</v>
      </c>
      <c r="N220" s="5"/>
      <c r="O220" s="5"/>
    </row>
    <row r="221" ht="12.75" customHeight="1">
      <c r="A221" s="18"/>
      <c r="B221" s="68"/>
      <c r="C221" s="69"/>
      <c r="D221" s="70"/>
      <c r="E221" s="19"/>
      <c r="F221" s="19"/>
      <c r="G221" s="19"/>
      <c r="H221" s="19"/>
      <c r="I221" s="19"/>
      <c r="J221" s="19"/>
      <c r="K221" s="19"/>
      <c r="L221" s="19"/>
      <c r="M221" s="13">
        <f t="shared" si="41"/>
        <v>0</v>
      </c>
      <c r="N221" s="5"/>
      <c r="O221" s="5"/>
    </row>
    <row r="222" ht="12.75" customHeight="1">
      <c r="A222" s="18"/>
      <c r="B222" s="68"/>
      <c r="C222" s="69"/>
      <c r="D222" s="70"/>
      <c r="E222" s="19"/>
      <c r="F222" s="19"/>
      <c r="G222" s="19"/>
      <c r="H222" s="19"/>
      <c r="I222" s="19"/>
      <c r="J222" s="19"/>
      <c r="K222" s="19"/>
      <c r="L222" s="19"/>
      <c r="M222" s="13">
        <f t="shared" si="41"/>
        <v>0</v>
      </c>
      <c r="N222" s="5"/>
      <c r="O222" s="5"/>
    </row>
    <row r="223" ht="15.0" customHeight="1">
      <c r="A223" s="19" t="s">
        <v>15</v>
      </c>
      <c r="B223" s="47" t="s">
        <v>47</v>
      </c>
      <c r="C223" s="15"/>
      <c r="D223" s="16"/>
      <c r="E223" s="13">
        <f t="shared" ref="E223:L223" si="42">SUM(E213:E220)</f>
        <v>1</v>
      </c>
      <c r="F223" s="13">
        <f t="shared" si="42"/>
        <v>2</v>
      </c>
      <c r="G223" s="13">
        <f t="shared" si="42"/>
        <v>5</v>
      </c>
      <c r="H223" s="13">
        <f t="shared" si="42"/>
        <v>1</v>
      </c>
      <c r="I223" s="13">
        <f t="shared" si="42"/>
        <v>5</v>
      </c>
      <c r="J223" s="13">
        <f t="shared" si="42"/>
        <v>3</v>
      </c>
      <c r="K223" s="13">
        <f t="shared" si="42"/>
        <v>1</v>
      </c>
      <c r="L223" s="13">
        <f t="shared" si="42"/>
        <v>1</v>
      </c>
      <c r="M223" s="13">
        <f t="shared" si="41"/>
        <v>19</v>
      </c>
      <c r="N223" s="5"/>
      <c r="O223" s="5"/>
    </row>
    <row r="224" ht="12.75" customHeight="1">
      <c r="A224" s="24"/>
      <c r="B224" s="15"/>
      <c r="C224" s="15"/>
      <c r="D224" s="15"/>
      <c r="E224" s="16"/>
      <c r="F224" s="72"/>
      <c r="G224" s="72"/>
      <c r="H224" s="72"/>
      <c r="I224" s="72"/>
      <c r="J224" s="72"/>
      <c r="K224" s="72"/>
      <c r="L224" s="72"/>
      <c r="M224" s="72"/>
      <c r="N224" s="5"/>
      <c r="O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1.0</v>
      </c>
      <c r="I225" s="19">
        <v>0.0</v>
      </c>
      <c r="J225" s="19">
        <v>1.0</v>
      </c>
      <c r="K225" s="19">
        <v>1.0</v>
      </c>
      <c r="L225" s="19">
        <v>0.0</v>
      </c>
      <c r="M225" s="13">
        <f t="shared" ref="M225:M235" si="43">SUM(E225:L225)</f>
        <v>3</v>
      </c>
      <c r="N225" s="5"/>
      <c r="O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0.0</v>
      </c>
      <c r="F226" s="19">
        <v>0.0</v>
      </c>
      <c r="G226" s="19">
        <v>0.0</v>
      </c>
      <c r="H226" s="19">
        <v>2.0</v>
      </c>
      <c r="I226" s="19">
        <v>0.0</v>
      </c>
      <c r="J226" s="19">
        <v>0.0</v>
      </c>
      <c r="K226" s="19">
        <v>0.0</v>
      </c>
      <c r="L226" s="19">
        <v>0.0</v>
      </c>
      <c r="M226" s="13">
        <f t="shared" si="43"/>
        <v>2</v>
      </c>
      <c r="N226" s="5"/>
      <c r="O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3">
        <f t="shared" si="43"/>
        <v>0</v>
      </c>
      <c r="N227" s="5"/>
      <c r="O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3">
        <f t="shared" si="43"/>
        <v>0</v>
      </c>
      <c r="N228" s="5"/>
      <c r="O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3">
        <f t="shared" si="43"/>
        <v>0</v>
      </c>
      <c r="N229" s="1"/>
      <c r="O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3">
        <f t="shared" si="43"/>
        <v>0</v>
      </c>
      <c r="N230" s="52"/>
      <c r="O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1.0</v>
      </c>
      <c r="J231" s="19">
        <v>0.0</v>
      </c>
      <c r="K231" s="19">
        <v>0.0</v>
      </c>
      <c r="L231" s="19">
        <v>0.0</v>
      </c>
      <c r="M231" s="13">
        <f t="shared" si="43"/>
        <v>1</v>
      </c>
      <c r="N231" s="5"/>
      <c r="O231" s="5"/>
    </row>
    <row r="232" ht="12.75" customHeight="1">
      <c r="A232" s="18"/>
      <c r="B232" s="55">
        <v>7.0</v>
      </c>
      <c r="C232" s="50" t="s">
        <v>172</v>
      </c>
      <c r="D232" s="57"/>
      <c r="E232" s="19">
        <v>0.0</v>
      </c>
      <c r="F232" s="19">
        <v>2.0</v>
      </c>
      <c r="G232" s="19">
        <v>2.0</v>
      </c>
      <c r="H232" s="19">
        <v>22.0</v>
      </c>
      <c r="I232" s="19">
        <v>13.0</v>
      </c>
      <c r="J232" s="19">
        <v>2.0</v>
      </c>
      <c r="K232" s="19">
        <v>0.0</v>
      </c>
      <c r="L232" s="19">
        <v>0.0</v>
      </c>
      <c r="M232" s="13">
        <f t="shared" si="43"/>
        <v>41</v>
      </c>
      <c r="N232" s="5"/>
      <c r="O232" s="5"/>
    </row>
    <row r="233" ht="12.75" customHeight="1">
      <c r="A233" s="18"/>
      <c r="B233" s="68"/>
      <c r="C233" s="69"/>
      <c r="D233" s="71"/>
      <c r="E233" s="19"/>
      <c r="F233" s="19"/>
      <c r="G233" s="19"/>
      <c r="H233" s="19"/>
      <c r="I233" s="19"/>
      <c r="J233" s="19"/>
      <c r="K233" s="19"/>
      <c r="L233" s="19"/>
      <c r="M233" s="13">
        <f t="shared" si="43"/>
        <v>0</v>
      </c>
      <c r="N233" s="5"/>
      <c r="O233" s="5"/>
    </row>
    <row r="234" ht="12.75" customHeight="1">
      <c r="A234" s="18"/>
      <c r="B234" s="68"/>
      <c r="C234" s="69"/>
      <c r="D234" s="71"/>
      <c r="E234" s="19"/>
      <c r="F234" s="19"/>
      <c r="G234" s="19"/>
      <c r="H234" s="19"/>
      <c r="I234" s="19"/>
      <c r="J234" s="19"/>
      <c r="K234" s="19"/>
      <c r="L234" s="19"/>
      <c r="M234" s="13">
        <f t="shared" si="43"/>
        <v>0</v>
      </c>
      <c r="N234" s="5"/>
      <c r="O234" s="5"/>
    </row>
    <row r="235" ht="15.0" customHeight="1">
      <c r="A235" s="19" t="s">
        <v>15</v>
      </c>
      <c r="B235" s="47" t="s">
        <v>47</v>
      </c>
      <c r="C235" s="15"/>
      <c r="D235" s="16"/>
      <c r="E235" s="13">
        <f t="shared" ref="E235:L235" si="44">SUM(E225:E232)</f>
        <v>0</v>
      </c>
      <c r="F235" s="13">
        <f t="shared" si="44"/>
        <v>2</v>
      </c>
      <c r="G235" s="13">
        <f t="shared" si="44"/>
        <v>2</v>
      </c>
      <c r="H235" s="13">
        <f t="shared" si="44"/>
        <v>25</v>
      </c>
      <c r="I235" s="13">
        <f t="shared" si="44"/>
        <v>14</v>
      </c>
      <c r="J235" s="13">
        <f t="shared" si="44"/>
        <v>3</v>
      </c>
      <c r="K235" s="13">
        <f t="shared" si="44"/>
        <v>1</v>
      </c>
      <c r="L235" s="13">
        <f t="shared" si="44"/>
        <v>0</v>
      </c>
      <c r="M235" s="13">
        <f t="shared" si="43"/>
        <v>47</v>
      </c>
      <c r="N235" s="5"/>
      <c r="O235" s="5"/>
    </row>
    <row r="236" ht="12.75" customHeight="1">
      <c r="A236" s="24"/>
      <c r="B236" s="15"/>
      <c r="C236" s="15"/>
      <c r="D236" s="15"/>
      <c r="E236" s="16"/>
      <c r="F236" s="72"/>
      <c r="G236" s="72"/>
      <c r="H236" s="72"/>
      <c r="I236" s="72"/>
      <c r="J236" s="72"/>
      <c r="K236" s="72"/>
      <c r="L236" s="72"/>
      <c r="M236" s="72"/>
      <c r="N236" s="5"/>
      <c r="O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0.0</v>
      </c>
      <c r="G237" s="19">
        <v>0.0</v>
      </c>
      <c r="H237" s="19">
        <v>1.0</v>
      </c>
      <c r="I237" s="19">
        <v>0.0</v>
      </c>
      <c r="J237" s="19">
        <v>2.0</v>
      </c>
      <c r="K237" s="19">
        <v>0.0</v>
      </c>
      <c r="L237" s="19">
        <v>2.0</v>
      </c>
      <c r="M237" s="13">
        <f t="shared" ref="M237:M247" si="45">SUM(E237:L237)</f>
        <v>5</v>
      </c>
      <c r="N237" s="5"/>
      <c r="O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0.0</v>
      </c>
      <c r="F238" s="19">
        <v>0.0</v>
      </c>
      <c r="G238" s="19">
        <v>0.0</v>
      </c>
      <c r="H238" s="19">
        <v>1.0</v>
      </c>
      <c r="I238" s="19">
        <v>0.0</v>
      </c>
      <c r="J238" s="19">
        <v>0.0</v>
      </c>
      <c r="K238" s="19">
        <v>0.0</v>
      </c>
      <c r="L238" s="19">
        <v>0.0</v>
      </c>
      <c r="M238" s="13">
        <f t="shared" si="45"/>
        <v>1</v>
      </c>
      <c r="N238" s="5"/>
      <c r="O238" s="5"/>
    </row>
    <row r="239" ht="12.75" customHeight="1">
      <c r="A239" s="18"/>
      <c r="B239" s="55">
        <v>2.0</v>
      </c>
      <c r="C239" s="50" t="s">
        <v>176</v>
      </c>
      <c r="D239" s="57"/>
      <c r="E239" s="19">
        <v>2.0</v>
      </c>
      <c r="F239" s="19">
        <v>0.0</v>
      </c>
      <c r="G239" s="19">
        <v>1.0</v>
      </c>
      <c r="H239" s="19">
        <v>1.0</v>
      </c>
      <c r="I239" s="19">
        <v>0.0</v>
      </c>
      <c r="J239" s="19">
        <v>2.0</v>
      </c>
      <c r="K239" s="19">
        <v>0.0</v>
      </c>
      <c r="L239" s="19">
        <v>1.0</v>
      </c>
      <c r="M239" s="13">
        <f t="shared" si="45"/>
        <v>7</v>
      </c>
      <c r="N239" s="5"/>
      <c r="O239" s="5"/>
    </row>
    <row r="240" ht="12.75" customHeight="1">
      <c r="A240" s="18"/>
      <c r="B240" s="55">
        <v>3.0</v>
      </c>
      <c r="C240" s="50" t="s">
        <v>177</v>
      </c>
      <c r="D240" s="57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1.0</v>
      </c>
      <c r="L240" s="19">
        <v>0.0</v>
      </c>
      <c r="M240" s="13">
        <f t="shared" si="45"/>
        <v>1</v>
      </c>
      <c r="N240" s="1"/>
      <c r="O240" s="1"/>
    </row>
    <row r="241" ht="12.75" customHeight="1">
      <c r="A241" s="18"/>
      <c r="B241" s="55">
        <v>4.0</v>
      </c>
      <c r="C241" s="50" t="s">
        <v>178</v>
      </c>
      <c r="D241" s="57"/>
      <c r="E241" s="19">
        <v>0.0</v>
      </c>
      <c r="F241" s="19">
        <v>0.0</v>
      </c>
      <c r="G241" s="19">
        <v>0.0</v>
      </c>
      <c r="H241" s="19">
        <v>0.0</v>
      </c>
      <c r="I241" s="19">
        <v>1.0</v>
      </c>
      <c r="J241" s="19">
        <v>0.0</v>
      </c>
      <c r="K241" s="19">
        <v>0.0</v>
      </c>
      <c r="L241" s="19">
        <v>0.0</v>
      </c>
      <c r="M241" s="13">
        <f t="shared" si="45"/>
        <v>1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3">
        <f t="shared" si="45"/>
        <v>0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3">
        <f t="shared" si="45"/>
        <v>0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0.0</v>
      </c>
      <c r="F244" s="19">
        <v>0.0</v>
      </c>
      <c r="G244" s="19">
        <v>0.0</v>
      </c>
      <c r="H244" s="19">
        <v>0.0</v>
      </c>
      <c r="I244" s="19">
        <v>0.0</v>
      </c>
      <c r="J244" s="19">
        <v>1.0</v>
      </c>
      <c r="K244" s="19">
        <v>0.0</v>
      </c>
      <c r="L244" s="19">
        <v>0.0</v>
      </c>
      <c r="M244" s="13">
        <f t="shared" si="45"/>
        <v>1</v>
      </c>
    </row>
    <row r="245" ht="12.75" customHeight="1">
      <c r="A245" s="18"/>
      <c r="B245" s="68"/>
      <c r="C245" s="69"/>
      <c r="D245" s="71"/>
      <c r="E245" s="19"/>
      <c r="F245" s="19"/>
      <c r="G245" s="19"/>
      <c r="H245" s="19"/>
      <c r="I245" s="19"/>
      <c r="J245" s="19"/>
      <c r="K245" s="19"/>
      <c r="L245" s="19"/>
      <c r="M245" s="13">
        <f t="shared" si="45"/>
        <v>0</v>
      </c>
    </row>
    <row r="246" ht="12.75" customHeight="1">
      <c r="A246" s="18"/>
      <c r="B246" s="68"/>
      <c r="C246" s="69"/>
      <c r="D246" s="71"/>
      <c r="E246" s="19"/>
      <c r="F246" s="19"/>
      <c r="G246" s="19"/>
      <c r="H246" s="19"/>
      <c r="I246" s="19"/>
      <c r="J246" s="19"/>
      <c r="K246" s="19"/>
      <c r="L246" s="19"/>
      <c r="M246" s="13">
        <f t="shared" si="45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L247" si="46">SUM(E237:E244)</f>
        <v>2</v>
      </c>
      <c r="F247" s="13">
        <f t="shared" si="46"/>
        <v>0</v>
      </c>
      <c r="G247" s="13">
        <f t="shared" si="46"/>
        <v>1</v>
      </c>
      <c r="H247" s="13">
        <f t="shared" si="46"/>
        <v>3</v>
      </c>
      <c r="I247" s="13">
        <f t="shared" si="46"/>
        <v>1</v>
      </c>
      <c r="J247" s="13">
        <f t="shared" si="46"/>
        <v>5</v>
      </c>
      <c r="K247" s="13">
        <f t="shared" si="46"/>
        <v>1</v>
      </c>
      <c r="L247" s="13">
        <f t="shared" si="46"/>
        <v>3</v>
      </c>
      <c r="M247" s="13">
        <f t="shared" si="45"/>
        <v>16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1.0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1.0</v>
      </c>
      <c r="M249" s="13">
        <f t="shared" ref="M249:M255" si="47">SUM(E249:L249)</f>
        <v>2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3">
        <f t="shared" si="47"/>
        <v>0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3">
        <f t="shared" si="47"/>
        <v>0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3">
        <f t="shared" si="47"/>
        <v>0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3">
        <f t="shared" si="47"/>
        <v>0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3">
        <f t="shared" si="47"/>
        <v>0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3">
        <f t="shared" si="47"/>
        <v>0</v>
      </c>
    </row>
    <row r="256" ht="12.75" customHeight="1">
      <c r="A256" s="18"/>
      <c r="B256" s="68"/>
      <c r="C256" s="73"/>
      <c r="D256" s="71"/>
      <c r="E256" s="19"/>
      <c r="F256" s="19"/>
      <c r="G256" s="19"/>
      <c r="H256" s="19"/>
      <c r="I256" s="19"/>
      <c r="J256" s="19"/>
      <c r="K256" s="19"/>
      <c r="L256" s="19"/>
      <c r="M256" s="74"/>
    </row>
    <row r="257" ht="12.75" customHeight="1">
      <c r="A257" s="18"/>
      <c r="B257" s="68"/>
      <c r="C257" s="73"/>
      <c r="D257" s="71"/>
      <c r="E257" s="19"/>
      <c r="F257" s="19"/>
      <c r="G257" s="19"/>
      <c r="H257" s="19"/>
      <c r="I257" s="19"/>
      <c r="J257" s="19"/>
      <c r="K257" s="19"/>
      <c r="L257" s="19"/>
      <c r="M257" s="74"/>
    </row>
    <row r="258" ht="12.75" customHeight="1">
      <c r="A258" s="18"/>
      <c r="B258" s="68"/>
      <c r="C258" s="73"/>
      <c r="D258" s="71"/>
      <c r="E258" s="19"/>
      <c r="F258" s="19"/>
      <c r="G258" s="19"/>
      <c r="H258" s="19"/>
      <c r="I258" s="19"/>
      <c r="J258" s="19"/>
      <c r="K258" s="19"/>
      <c r="L258" s="19"/>
      <c r="M258" s="74"/>
    </row>
    <row r="259" ht="15.0" customHeight="1">
      <c r="A259" s="19" t="s">
        <v>15</v>
      </c>
      <c r="B259" s="47" t="s">
        <v>47</v>
      </c>
      <c r="C259" s="15"/>
      <c r="D259" s="16"/>
      <c r="E259" s="13">
        <f t="shared" ref="E259:L259" si="48">SUM(E249:E255)</f>
        <v>1</v>
      </c>
      <c r="F259" s="13">
        <f t="shared" si="48"/>
        <v>0</v>
      </c>
      <c r="G259" s="13">
        <f t="shared" si="48"/>
        <v>0</v>
      </c>
      <c r="H259" s="13">
        <f t="shared" si="48"/>
        <v>0</v>
      </c>
      <c r="I259" s="13">
        <f t="shared" si="48"/>
        <v>0</v>
      </c>
      <c r="J259" s="13">
        <f t="shared" si="48"/>
        <v>0</v>
      </c>
      <c r="K259" s="13">
        <f t="shared" si="48"/>
        <v>0</v>
      </c>
      <c r="L259" s="13">
        <f t="shared" si="48"/>
        <v>1</v>
      </c>
      <c r="M259" s="13">
        <f>SUM(E259:L259)</f>
        <v>2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L262" si="49">E55+E67+E79+E91+E103+E115+E127+E139+E151+E163+E175+E187+E199+E211+E223+E235+E247+E259</f>
        <v>197</v>
      </c>
      <c r="F262" s="19">
        <f t="shared" si="49"/>
        <v>169</v>
      </c>
      <c r="G262" s="19">
        <f t="shared" si="49"/>
        <v>157</v>
      </c>
      <c r="H262" s="19">
        <f t="shared" si="49"/>
        <v>158</v>
      </c>
      <c r="I262" s="19">
        <f t="shared" si="49"/>
        <v>189</v>
      </c>
      <c r="J262" s="19">
        <f t="shared" si="49"/>
        <v>154</v>
      </c>
      <c r="K262" s="19">
        <f t="shared" si="49"/>
        <v>138</v>
      </c>
      <c r="L262" s="19">
        <f t="shared" si="49"/>
        <v>145</v>
      </c>
      <c r="M262" s="13">
        <f t="shared" ref="M262:M264" si="50">SUM(E262:L262)</f>
        <v>1307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24.0</v>
      </c>
      <c r="F263" s="19">
        <v>14.0</v>
      </c>
      <c r="G263" s="19">
        <v>27.0</v>
      </c>
      <c r="H263" s="19">
        <v>39.0</v>
      </c>
      <c r="I263" s="19">
        <v>34.0</v>
      </c>
      <c r="J263" s="19">
        <v>50.0</v>
      </c>
      <c r="K263" s="19">
        <v>25.0</v>
      </c>
      <c r="L263" s="19">
        <v>17.0</v>
      </c>
      <c r="M263" s="13">
        <f t="shared" si="50"/>
        <v>230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L264" si="51">SUM(E262:E263)</f>
        <v>221</v>
      </c>
      <c r="F264" s="13">
        <f t="shared" si="51"/>
        <v>183</v>
      </c>
      <c r="G264" s="13">
        <f t="shared" si="51"/>
        <v>184</v>
      </c>
      <c r="H264" s="13">
        <f t="shared" si="51"/>
        <v>197</v>
      </c>
      <c r="I264" s="13">
        <f t="shared" si="51"/>
        <v>223</v>
      </c>
      <c r="J264" s="13">
        <f t="shared" si="51"/>
        <v>204</v>
      </c>
      <c r="K264" s="13">
        <f t="shared" si="51"/>
        <v>163</v>
      </c>
      <c r="L264" s="13">
        <f t="shared" si="51"/>
        <v>162</v>
      </c>
      <c r="M264" s="13">
        <f t="shared" si="50"/>
        <v>1537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L12"/>
    <mergeCell ref="M12:M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L15">
    <cfRule type="containsBlanks" dxfId="1" priority="1">
      <formula>LEN(TRIM(E14))=0</formula>
    </cfRule>
  </conditionalFormatting>
  <conditionalFormatting sqref="E19:L20">
    <cfRule type="containsBlanks" dxfId="1" priority="2">
      <formula>LEN(TRIM(E19))=0</formula>
    </cfRule>
  </conditionalFormatting>
  <conditionalFormatting sqref="E22:L23 E25:L26 E33:L33 E35:L35 E39:L40">
    <cfRule type="containsBlanks" dxfId="1" priority="3">
      <formula>LEN(TRIM(E22))=0</formula>
    </cfRule>
  </conditionalFormatting>
  <conditionalFormatting sqref="E30:L30">
    <cfRule type="expression" dxfId="0" priority="4">
      <formula>E30&lt;&gt;E47</formula>
    </cfRule>
  </conditionalFormatting>
  <conditionalFormatting sqref="E30:L30">
    <cfRule type="expression" dxfId="0" priority="5">
      <formula>E30&lt;&gt;E34</formula>
    </cfRule>
  </conditionalFormatting>
  <conditionalFormatting sqref="E34:L34">
    <cfRule type="expression" dxfId="2" priority="6">
      <formula>E30&lt;&gt;E34</formula>
    </cfRule>
  </conditionalFormatting>
  <conditionalFormatting sqref="E34:L34">
    <cfRule type="expression" dxfId="3" priority="7">
      <formula>E30=E34</formula>
    </cfRule>
  </conditionalFormatting>
  <conditionalFormatting sqref="E34:L34">
    <cfRule type="expression" dxfId="0" priority="8">
      <formula>E34&lt;&gt;E30</formula>
    </cfRule>
  </conditionalFormatting>
  <conditionalFormatting sqref="E34:L34">
    <cfRule type="expression" dxfId="0" priority="9">
      <formula>E34&lt;&gt;E64</formula>
    </cfRule>
  </conditionalFormatting>
  <conditionalFormatting sqref="E45:L54">
    <cfRule type="containsBlanks" dxfId="1" priority="10">
      <formula>LEN(TRIM(E45))=0</formula>
    </cfRule>
  </conditionalFormatting>
  <conditionalFormatting sqref="E57:L66">
    <cfRule type="containsBlanks" dxfId="1" priority="11">
      <formula>LEN(TRIM(E57))=0</formula>
    </cfRule>
  </conditionalFormatting>
  <conditionalFormatting sqref="E69:L78">
    <cfRule type="containsBlanks" dxfId="1" priority="12">
      <formula>LEN(TRIM(E69))=0</formula>
    </cfRule>
  </conditionalFormatting>
  <conditionalFormatting sqref="E81:L90">
    <cfRule type="containsBlanks" dxfId="1" priority="13">
      <formula>LEN(TRIM(E81))=0</formula>
    </cfRule>
  </conditionalFormatting>
  <conditionalFormatting sqref="E93:L102">
    <cfRule type="containsBlanks" dxfId="1" priority="14">
      <formula>LEN(TRIM(E93))=0</formula>
    </cfRule>
  </conditionalFormatting>
  <conditionalFormatting sqref="E105:L114">
    <cfRule type="containsBlanks" dxfId="1" priority="15">
      <formula>LEN(TRIM(E105))=0</formula>
    </cfRule>
  </conditionalFormatting>
  <conditionalFormatting sqref="E117:L126">
    <cfRule type="containsBlanks" dxfId="1" priority="16">
      <formula>LEN(TRIM(E117))=0</formula>
    </cfRule>
  </conditionalFormatting>
  <conditionalFormatting sqref="E129:L138">
    <cfRule type="containsBlanks" dxfId="1" priority="17">
      <formula>LEN(TRIM(E129))=0</formula>
    </cfRule>
  </conditionalFormatting>
  <conditionalFormatting sqref="E141:L150">
    <cfRule type="containsBlanks" dxfId="1" priority="18">
      <formula>LEN(TRIM(E141))=0</formula>
    </cfRule>
  </conditionalFormatting>
  <conditionalFormatting sqref="E153:L162 M158:M160">
    <cfRule type="containsBlanks" dxfId="1" priority="19">
      <formula>LEN(TRIM(E153))=0</formula>
    </cfRule>
  </conditionalFormatting>
  <conditionalFormatting sqref="E165:L174">
    <cfRule type="containsBlanks" dxfId="1" priority="20">
      <formula>LEN(TRIM(E165))=0</formula>
    </cfRule>
  </conditionalFormatting>
  <conditionalFormatting sqref="E177:L186 M185:M186">
    <cfRule type="containsBlanks" dxfId="1" priority="21">
      <formula>LEN(TRIM(E177))=0</formula>
    </cfRule>
  </conditionalFormatting>
  <conditionalFormatting sqref="E189:L198">
    <cfRule type="containsBlanks" dxfId="1" priority="22">
      <formula>LEN(TRIM(E189))=0</formula>
    </cfRule>
  </conditionalFormatting>
  <conditionalFormatting sqref="E201:L210">
    <cfRule type="containsBlanks" dxfId="1" priority="23">
      <formula>LEN(TRIM(E201))=0</formula>
    </cfRule>
  </conditionalFormatting>
  <conditionalFormatting sqref="E213:L222">
    <cfRule type="containsBlanks" dxfId="1" priority="24">
      <formula>LEN(TRIM(E213))=0</formula>
    </cfRule>
  </conditionalFormatting>
  <conditionalFormatting sqref="E225:L234">
    <cfRule type="containsBlanks" dxfId="1" priority="25">
      <formula>LEN(TRIM(E225))=0</formula>
    </cfRule>
  </conditionalFormatting>
  <conditionalFormatting sqref="E237:L246">
    <cfRule type="containsBlanks" dxfId="1" priority="26">
      <formula>LEN(TRIM(E237))=0</formula>
    </cfRule>
  </conditionalFormatting>
  <conditionalFormatting sqref="E249:L259">
    <cfRule type="containsBlanks" dxfId="1" priority="27">
      <formula>LEN(TRIM(E249))=0</formula>
    </cfRule>
  </conditionalFormatting>
  <conditionalFormatting sqref="E262:L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4" width="8.71"/>
    <col customWidth="1" min="15" max="15" width="13.29"/>
    <col customWidth="1" min="16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211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212</v>
      </c>
      <c r="O13" s="36"/>
    </row>
    <row r="14" ht="12.75" customHeight="1">
      <c r="A14" s="18"/>
      <c r="B14" s="22" t="s">
        <v>11</v>
      </c>
      <c r="C14" s="23"/>
      <c r="D14" s="19" t="s">
        <v>12</v>
      </c>
      <c r="E14" s="19">
        <v>124.0</v>
      </c>
      <c r="F14" s="19">
        <v>106.0</v>
      </c>
      <c r="G14" s="19">
        <v>134.0</v>
      </c>
      <c r="H14" s="19">
        <v>146.0</v>
      </c>
      <c r="I14" s="19">
        <v>146.0</v>
      </c>
      <c r="J14" s="19">
        <v>132.0</v>
      </c>
      <c r="K14" s="19">
        <v>138.0</v>
      </c>
      <c r="L14" s="19">
        <v>116.0</v>
      </c>
      <c r="M14" s="19">
        <v>145.0</v>
      </c>
      <c r="N14" s="19">
        <v>148.0</v>
      </c>
      <c r="O14" s="13">
        <f t="shared" ref="O14:O16" si="1">SUM(E14:N14)</f>
        <v>1335</v>
      </c>
    </row>
    <row r="15" ht="12.75" customHeight="1">
      <c r="A15" s="18"/>
      <c r="B15" s="26"/>
      <c r="C15" s="27"/>
      <c r="D15" s="19" t="s">
        <v>13</v>
      </c>
      <c r="E15" s="19">
        <v>136.0</v>
      </c>
      <c r="F15" s="19">
        <v>108.0</v>
      </c>
      <c r="G15" s="19">
        <v>147.0</v>
      </c>
      <c r="H15" s="19">
        <v>145.0</v>
      </c>
      <c r="I15" s="19">
        <v>136.0</v>
      </c>
      <c r="J15" s="19">
        <v>134.0</v>
      </c>
      <c r="K15" s="19">
        <v>144.0</v>
      </c>
      <c r="L15" s="19">
        <v>105.0</v>
      </c>
      <c r="M15" s="19">
        <v>138.0</v>
      </c>
      <c r="N15" s="19">
        <v>128.0</v>
      </c>
      <c r="O15" s="13">
        <f t="shared" si="1"/>
        <v>1321</v>
      </c>
    </row>
    <row r="16" ht="12.75" customHeight="1">
      <c r="A16" s="25"/>
      <c r="B16" s="21"/>
      <c r="C16" s="28"/>
      <c r="D16" s="13" t="s">
        <v>14</v>
      </c>
      <c r="E16" s="13">
        <f t="shared" ref="E16:N16" si="2">SUM(E14:E15)</f>
        <v>260</v>
      </c>
      <c r="F16" s="13">
        <f t="shared" si="2"/>
        <v>214</v>
      </c>
      <c r="G16" s="13">
        <f t="shared" si="2"/>
        <v>281</v>
      </c>
      <c r="H16" s="13">
        <f t="shared" si="2"/>
        <v>291</v>
      </c>
      <c r="I16" s="13">
        <f t="shared" si="2"/>
        <v>282</v>
      </c>
      <c r="J16" s="13">
        <f t="shared" si="2"/>
        <v>266</v>
      </c>
      <c r="K16" s="13">
        <f t="shared" si="2"/>
        <v>282</v>
      </c>
      <c r="L16" s="13">
        <f t="shared" si="2"/>
        <v>221</v>
      </c>
      <c r="M16" s="13">
        <f t="shared" si="2"/>
        <v>283</v>
      </c>
      <c r="N16" s="13">
        <f t="shared" si="2"/>
        <v>276</v>
      </c>
      <c r="O16" s="13">
        <f t="shared" si="1"/>
        <v>2656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6"/>
      <c r="O17" s="67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6"/>
      <c r="O18" s="67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90.0</v>
      </c>
      <c r="F19" s="19">
        <v>83.0</v>
      </c>
      <c r="G19" s="19">
        <v>120.0</v>
      </c>
      <c r="H19" s="19">
        <v>112.0</v>
      </c>
      <c r="I19" s="19">
        <v>114.0</v>
      </c>
      <c r="J19" s="19">
        <v>110.0</v>
      </c>
      <c r="K19" s="19">
        <v>111.0</v>
      </c>
      <c r="L19" s="19">
        <v>96.0</v>
      </c>
      <c r="M19" s="19">
        <v>113.0</v>
      </c>
      <c r="N19" s="19">
        <v>115.0</v>
      </c>
      <c r="O19" s="13">
        <f t="shared" ref="O19:O30" si="3">SUM(E19:N19)</f>
        <v>1064</v>
      </c>
    </row>
    <row r="20" ht="12.75" customHeight="1">
      <c r="A20" s="33"/>
      <c r="B20" s="27"/>
      <c r="C20" s="34"/>
      <c r="D20" s="19" t="s">
        <v>13</v>
      </c>
      <c r="E20" s="19">
        <v>116.0</v>
      </c>
      <c r="F20" s="19">
        <v>97.0</v>
      </c>
      <c r="G20" s="19">
        <v>126.0</v>
      </c>
      <c r="H20" s="19">
        <v>125.0</v>
      </c>
      <c r="I20" s="19">
        <v>115.0</v>
      </c>
      <c r="J20" s="19">
        <v>112.0</v>
      </c>
      <c r="K20" s="19">
        <v>130.0</v>
      </c>
      <c r="L20" s="19">
        <v>93.0</v>
      </c>
      <c r="M20" s="19">
        <v>123.0</v>
      </c>
      <c r="N20" s="19">
        <v>100.0</v>
      </c>
      <c r="O20" s="13">
        <f t="shared" si="3"/>
        <v>1137</v>
      </c>
    </row>
    <row r="21" ht="12.75" customHeight="1">
      <c r="A21" s="35"/>
      <c r="B21" s="28"/>
      <c r="C21" s="36"/>
      <c r="D21" s="13" t="s">
        <v>14</v>
      </c>
      <c r="E21" s="13">
        <f t="shared" ref="E21:K21" si="4">SUM(E19:E20)</f>
        <v>206</v>
      </c>
      <c r="F21" s="13">
        <f t="shared" si="4"/>
        <v>180</v>
      </c>
      <c r="G21" s="13">
        <f t="shared" si="4"/>
        <v>246</v>
      </c>
      <c r="H21" s="13">
        <f t="shared" si="4"/>
        <v>237</v>
      </c>
      <c r="I21" s="13">
        <f t="shared" si="4"/>
        <v>229</v>
      </c>
      <c r="J21" s="13">
        <f t="shared" si="4"/>
        <v>222</v>
      </c>
      <c r="K21" s="13">
        <f t="shared" si="4"/>
        <v>241</v>
      </c>
      <c r="L21" s="13">
        <v>189.0</v>
      </c>
      <c r="M21" s="13">
        <f t="shared" ref="M21:N21" si="5">SUM(M19:M20)</f>
        <v>236</v>
      </c>
      <c r="N21" s="13">
        <f t="shared" si="5"/>
        <v>215</v>
      </c>
      <c r="O21" s="13">
        <f t="shared" si="3"/>
        <v>2201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1.0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13">
        <f t="shared" ref="E24:L24" si="6">SUM(E22:E23)</f>
        <v>0</v>
      </c>
      <c r="F24" s="13">
        <f t="shared" si="6"/>
        <v>0</v>
      </c>
      <c r="G24" s="13">
        <f t="shared" si="6"/>
        <v>0</v>
      </c>
      <c r="H24" s="13">
        <f t="shared" si="6"/>
        <v>1</v>
      </c>
      <c r="I24" s="13">
        <f t="shared" si="6"/>
        <v>0</v>
      </c>
      <c r="J24" s="13">
        <f t="shared" si="6"/>
        <v>0</v>
      </c>
      <c r="K24" s="13">
        <f t="shared" si="6"/>
        <v>0</v>
      </c>
      <c r="L24" s="13">
        <f t="shared" si="6"/>
        <v>0</v>
      </c>
      <c r="M24" s="13">
        <v>0.0</v>
      </c>
      <c r="N24" s="13">
        <f>SUM(N22:N23)</f>
        <v>0</v>
      </c>
      <c r="O24" s="13">
        <f t="shared" si="3"/>
        <v>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3.0</v>
      </c>
      <c r="K25" s="19">
        <v>0.0</v>
      </c>
      <c r="L25" s="19">
        <v>0.0</v>
      </c>
      <c r="M25" s="19">
        <v>0.0</v>
      </c>
      <c r="N25" s="19">
        <v>0.0</v>
      </c>
      <c r="O25" s="13">
        <f t="shared" si="3"/>
        <v>3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1.0</v>
      </c>
      <c r="K26" s="19">
        <v>0.0</v>
      </c>
      <c r="L26" s="19">
        <v>0.0</v>
      </c>
      <c r="M26" s="19">
        <v>0.0</v>
      </c>
      <c r="N26" s="19">
        <v>0.0</v>
      </c>
      <c r="O26" s="13">
        <f t="shared" si="3"/>
        <v>1</v>
      </c>
    </row>
    <row r="27" ht="12.75" customHeight="1">
      <c r="A27" s="35"/>
      <c r="B27" s="28"/>
      <c r="C27" s="36"/>
      <c r="D27" s="13" t="s">
        <v>14</v>
      </c>
      <c r="E27" s="13">
        <f t="shared" ref="E27:H27" si="7">SUM(E25:E26)</f>
        <v>0</v>
      </c>
      <c r="F27" s="13">
        <f t="shared" si="7"/>
        <v>0</v>
      </c>
      <c r="G27" s="13">
        <f t="shared" si="7"/>
        <v>0</v>
      </c>
      <c r="H27" s="13">
        <f t="shared" si="7"/>
        <v>0</v>
      </c>
      <c r="I27" s="13">
        <v>0.0</v>
      </c>
      <c r="J27" s="13">
        <f t="shared" ref="J27:N27" si="8">SUM(J25:J26)</f>
        <v>4</v>
      </c>
      <c r="K27" s="13">
        <f t="shared" si="8"/>
        <v>0</v>
      </c>
      <c r="L27" s="13">
        <f t="shared" si="8"/>
        <v>0</v>
      </c>
      <c r="M27" s="13">
        <f t="shared" si="8"/>
        <v>0</v>
      </c>
      <c r="N27" s="13">
        <f t="shared" si="8"/>
        <v>0</v>
      </c>
      <c r="O27" s="13">
        <f t="shared" si="3"/>
        <v>4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N28" si="9">SUM(E19,E22,E25)</f>
        <v>90</v>
      </c>
      <c r="F28" s="13">
        <f t="shared" si="9"/>
        <v>83</v>
      </c>
      <c r="G28" s="13">
        <f t="shared" si="9"/>
        <v>120</v>
      </c>
      <c r="H28" s="13">
        <f t="shared" si="9"/>
        <v>112</v>
      </c>
      <c r="I28" s="13">
        <f t="shared" si="9"/>
        <v>114</v>
      </c>
      <c r="J28" s="13">
        <f t="shared" si="9"/>
        <v>113</v>
      </c>
      <c r="K28" s="13">
        <f t="shared" si="9"/>
        <v>111</v>
      </c>
      <c r="L28" s="13">
        <f t="shared" si="9"/>
        <v>96</v>
      </c>
      <c r="M28" s="13">
        <f t="shared" si="9"/>
        <v>113</v>
      </c>
      <c r="N28" s="13">
        <f t="shared" si="9"/>
        <v>115</v>
      </c>
      <c r="O28" s="13">
        <f t="shared" si="3"/>
        <v>1067</v>
      </c>
    </row>
    <row r="29" ht="12.75" customHeight="1">
      <c r="A29" s="35"/>
      <c r="B29" s="27"/>
      <c r="C29" s="34"/>
      <c r="D29" s="13" t="s">
        <v>13</v>
      </c>
      <c r="E29" s="13">
        <f t="shared" ref="E29:N29" si="10">SUM(E20,E23,E26)</f>
        <v>116</v>
      </c>
      <c r="F29" s="13">
        <f t="shared" si="10"/>
        <v>97</v>
      </c>
      <c r="G29" s="13">
        <f t="shared" si="10"/>
        <v>126</v>
      </c>
      <c r="H29" s="13">
        <f t="shared" si="10"/>
        <v>126</v>
      </c>
      <c r="I29" s="13">
        <f t="shared" si="10"/>
        <v>115</v>
      </c>
      <c r="J29" s="13">
        <f t="shared" si="10"/>
        <v>113</v>
      </c>
      <c r="K29" s="13">
        <f t="shared" si="10"/>
        <v>130</v>
      </c>
      <c r="L29" s="13">
        <f t="shared" si="10"/>
        <v>93</v>
      </c>
      <c r="M29" s="13">
        <f t="shared" si="10"/>
        <v>123</v>
      </c>
      <c r="N29" s="13">
        <f t="shared" si="10"/>
        <v>100</v>
      </c>
      <c r="O29" s="13">
        <f t="shared" si="3"/>
        <v>1139</v>
      </c>
    </row>
    <row r="30" ht="12.75" customHeight="1">
      <c r="A30" s="35"/>
      <c r="B30" s="28"/>
      <c r="C30" s="36"/>
      <c r="D30" s="13" t="s">
        <v>14</v>
      </c>
      <c r="E30" s="13">
        <f t="shared" ref="E30:N30" si="11">SUM(E28:E29)</f>
        <v>206</v>
      </c>
      <c r="F30" s="13">
        <f t="shared" si="11"/>
        <v>180</v>
      </c>
      <c r="G30" s="13">
        <f t="shared" si="11"/>
        <v>246</v>
      </c>
      <c r="H30" s="13">
        <f t="shared" si="11"/>
        <v>238</v>
      </c>
      <c r="I30" s="13">
        <f t="shared" si="11"/>
        <v>229</v>
      </c>
      <c r="J30" s="13">
        <f t="shared" si="11"/>
        <v>226</v>
      </c>
      <c r="K30" s="13">
        <f t="shared" si="11"/>
        <v>241</v>
      </c>
      <c r="L30" s="13">
        <f t="shared" si="11"/>
        <v>189</v>
      </c>
      <c r="M30" s="13">
        <f t="shared" si="11"/>
        <v>236</v>
      </c>
      <c r="N30" s="13">
        <f t="shared" si="11"/>
        <v>215</v>
      </c>
      <c r="O30" s="13">
        <f t="shared" si="3"/>
        <v>2206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6"/>
      <c r="O31" s="67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67"/>
    </row>
    <row r="33" ht="12.75" customHeight="1">
      <c r="A33" s="19">
        <v>1.0</v>
      </c>
      <c r="B33" s="20" t="s">
        <v>27</v>
      </c>
      <c r="C33" s="15"/>
      <c r="D33" s="16"/>
      <c r="E33" s="19">
        <v>265.0</v>
      </c>
      <c r="F33" s="19">
        <v>218.0</v>
      </c>
      <c r="G33" s="19">
        <v>289.0</v>
      </c>
      <c r="H33" s="19">
        <v>298.0</v>
      </c>
      <c r="I33" s="19">
        <v>289.0</v>
      </c>
      <c r="J33" s="19">
        <v>272.0</v>
      </c>
      <c r="K33" s="19">
        <v>288.0</v>
      </c>
      <c r="L33" s="19">
        <v>225.0</v>
      </c>
      <c r="M33" s="19">
        <v>279.0</v>
      </c>
      <c r="N33" s="19">
        <v>283.0</v>
      </c>
      <c r="O33" s="13">
        <f t="shared" ref="O33:O36" si="12">SUM(E33:N33)</f>
        <v>2706</v>
      </c>
    </row>
    <row r="34" ht="12.75" customHeight="1">
      <c r="A34" s="19">
        <v>2.0</v>
      </c>
      <c r="B34" s="20" t="s">
        <v>28</v>
      </c>
      <c r="C34" s="15"/>
      <c r="D34" s="16"/>
      <c r="E34" s="13">
        <v>206.0</v>
      </c>
      <c r="F34" s="13">
        <v>180.0</v>
      </c>
      <c r="G34" s="13">
        <v>246.0</v>
      </c>
      <c r="H34" s="13">
        <v>238.0</v>
      </c>
      <c r="I34" s="13">
        <v>229.0</v>
      </c>
      <c r="J34" s="13">
        <v>226.0</v>
      </c>
      <c r="K34" s="13">
        <v>241.0</v>
      </c>
      <c r="L34" s="13">
        <v>189.0</v>
      </c>
      <c r="M34" s="13">
        <v>236.0</v>
      </c>
      <c r="N34" s="13">
        <v>215.0</v>
      </c>
      <c r="O34" s="13">
        <f t="shared" si="12"/>
        <v>2206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1.0</v>
      </c>
      <c r="G35" s="19">
        <v>0.0</v>
      </c>
      <c r="H35" s="19">
        <v>0.0</v>
      </c>
      <c r="I35" s="19">
        <v>0.0</v>
      </c>
      <c r="J35" s="19">
        <v>0.0</v>
      </c>
      <c r="K35" s="19">
        <v>1.0</v>
      </c>
      <c r="L35" s="19">
        <v>1.0</v>
      </c>
      <c r="M35" s="19"/>
      <c r="N35" s="19">
        <v>2.0</v>
      </c>
      <c r="O35" s="13">
        <f t="shared" si="12"/>
        <v>5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N36" si="13">E33-(E34+E35)</f>
        <v>59</v>
      </c>
      <c r="F36" s="13">
        <f t="shared" si="13"/>
        <v>37</v>
      </c>
      <c r="G36" s="13">
        <f t="shared" si="13"/>
        <v>43</v>
      </c>
      <c r="H36" s="13">
        <f t="shared" si="13"/>
        <v>60</v>
      </c>
      <c r="I36" s="13">
        <f t="shared" si="13"/>
        <v>60</v>
      </c>
      <c r="J36" s="13">
        <f t="shared" si="13"/>
        <v>46</v>
      </c>
      <c r="K36" s="13">
        <f t="shared" si="13"/>
        <v>46</v>
      </c>
      <c r="L36" s="13">
        <f t="shared" si="13"/>
        <v>35</v>
      </c>
      <c r="M36" s="13">
        <f t="shared" si="13"/>
        <v>43</v>
      </c>
      <c r="N36" s="13">
        <f t="shared" si="13"/>
        <v>66</v>
      </c>
      <c r="O36" s="13">
        <f t="shared" si="12"/>
        <v>495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6"/>
      <c r="O37" s="67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67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1.0</v>
      </c>
      <c r="L39" s="19">
        <v>0.0</v>
      </c>
      <c r="M39" s="19">
        <v>0.0</v>
      </c>
      <c r="N39" s="19">
        <v>0.0</v>
      </c>
      <c r="O39" s="13">
        <f t="shared" ref="O39:O41" si="14">SUM(E39:N39)</f>
        <v>1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3">
        <f t="shared" si="14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N41" si="15">SUM(E39:E40)</f>
        <v>0</v>
      </c>
      <c r="F41" s="13">
        <f t="shared" si="15"/>
        <v>0</v>
      </c>
      <c r="G41" s="13">
        <f t="shared" si="15"/>
        <v>0</v>
      </c>
      <c r="H41" s="13">
        <f t="shared" si="15"/>
        <v>0</v>
      </c>
      <c r="I41" s="13">
        <f t="shared" si="15"/>
        <v>0</v>
      </c>
      <c r="J41" s="13">
        <f t="shared" si="15"/>
        <v>0</v>
      </c>
      <c r="K41" s="13">
        <f t="shared" si="15"/>
        <v>1</v>
      </c>
      <c r="L41" s="13">
        <f t="shared" si="15"/>
        <v>0</v>
      </c>
      <c r="M41" s="13">
        <f t="shared" si="15"/>
        <v>0</v>
      </c>
      <c r="N41" s="13">
        <f t="shared" si="15"/>
        <v>0</v>
      </c>
      <c r="O41" s="13">
        <f t="shared" si="14"/>
        <v>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6"/>
      <c r="O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6"/>
      <c r="O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10.0</v>
      </c>
      <c r="F45" s="19">
        <v>6.0</v>
      </c>
      <c r="G45" s="19">
        <v>15.0</v>
      </c>
      <c r="H45" s="19">
        <v>6.0</v>
      </c>
      <c r="I45" s="19">
        <v>13.0</v>
      </c>
      <c r="J45" s="19">
        <v>3.0</v>
      </c>
      <c r="K45" s="19">
        <v>3.0</v>
      </c>
      <c r="L45" s="19">
        <v>6.0</v>
      </c>
      <c r="M45" s="19">
        <v>6.0</v>
      </c>
      <c r="N45" s="19">
        <v>7.0</v>
      </c>
      <c r="O45" s="13">
        <f t="shared" ref="O45:O55" si="16">SUM(E45:N45)</f>
        <v>75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25.0</v>
      </c>
      <c r="F46" s="19">
        <v>6.0</v>
      </c>
      <c r="G46" s="19">
        <v>38.0</v>
      </c>
      <c r="H46" s="19">
        <v>18.0</v>
      </c>
      <c r="I46" s="19">
        <v>18.0</v>
      </c>
      <c r="J46" s="19">
        <v>4.0</v>
      </c>
      <c r="K46" s="19">
        <v>1.0</v>
      </c>
      <c r="L46" s="19">
        <v>12.0</v>
      </c>
      <c r="M46" s="19">
        <v>15.0</v>
      </c>
      <c r="N46" s="19">
        <v>15.0</v>
      </c>
      <c r="O46" s="13">
        <f t="shared" si="16"/>
        <v>152</v>
      </c>
    </row>
    <row r="47" ht="12.75" customHeight="1">
      <c r="A47" s="18"/>
      <c r="B47" s="55">
        <v>2.0</v>
      </c>
      <c r="C47" s="50" t="s">
        <v>41</v>
      </c>
      <c r="D47" s="16"/>
      <c r="E47" s="19">
        <v>5.0</v>
      </c>
      <c r="F47" s="19">
        <v>1.0</v>
      </c>
      <c r="G47" s="19">
        <v>0.0</v>
      </c>
      <c r="H47" s="19">
        <v>1.0</v>
      </c>
      <c r="I47" s="19">
        <v>2.0</v>
      </c>
      <c r="J47" s="19">
        <v>2.0</v>
      </c>
      <c r="K47" s="19">
        <v>1.0</v>
      </c>
      <c r="L47" s="19">
        <v>3.0</v>
      </c>
      <c r="M47" s="19">
        <v>1.0</v>
      </c>
      <c r="N47" s="19">
        <v>4.0</v>
      </c>
      <c r="O47" s="13">
        <f t="shared" si="16"/>
        <v>20</v>
      </c>
    </row>
    <row r="48" ht="12.75" customHeight="1">
      <c r="A48" s="18"/>
      <c r="B48" s="55">
        <v>3.0</v>
      </c>
      <c r="C48" s="50" t="s">
        <v>42</v>
      </c>
      <c r="D48" s="16"/>
      <c r="E48" s="19">
        <v>1.0</v>
      </c>
      <c r="F48" s="19">
        <v>0.0</v>
      </c>
      <c r="G48" s="19">
        <v>0.0</v>
      </c>
      <c r="H48" s="19">
        <v>1.0</v>
      </c>
      <c r="I48" s="19">
        <v>3.0</v>
      </c>
      <c r="J48" s="19">
        <v>0.0</v>
      </c>
      <c r="K48" s="19">
        <v>0.0</v>
      </c>
      <c r="L48" s="19">
        <v>0.0</v>
      </c>
      <c r="M48" s="19">
        <v>0.0</v>
      </c>
      <c r="N48" s="19">
        <v>1.0</v>
      </c>
      <c r="O48" s="13">
        <f t="shared" si="16"/>
        <v>6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0.0</v>
      </c>
      <c r="G49" s="19">
        <v>1.0</v>
      </c>
      <c r="H49" s="19">
        <v>0.0</v>
      </c>
      <c r="I49" s="19">
        <v>1.0</v>
      </c>
      <c r="J49" s="19">
        <v>0.0</v>
      </c>
      <c r="K49" s="19">
        <v>2.0</v>
      </c>
      <c r="L49" s="19">
        <v>0.0</v>
      </c>
      <c r="M49" s="19">
        <v>1.0</v>
      </c>
      <c r="N49" s="19">
        <v>0.0</v>
      </c>
      <c r="O49" s="13">
        <f t="shared" si="16"/>
        <v>5</v>
      </c>
    </row>
    <row r="50" ht="12.75" customHeight="1">
      <c r="A50" s="18"/>
      <c r="B50" s="55">
        <v>5.0</v>
      </c>
      <c r="C50" s="50" t="s">
        <v>44</v>
      </c>
      <c r="D50" s="16"/>
      <c r="E50" s="19">
        <v>1.0</v>
      </c>
      <c r="F50" s="19">
        <v>0.0</v>
      </c>
      <c r="G50" s="19">
        <v>0.0</v>
      </c>
      <c r="H50" s="19">
        <v>0.0</v>
      </c>
      <c r="I50" s="19">
        <v>1.0</v>
      </c>
      <c r="J50" s="19">
        <v>0.0</v>
      </c>
      <c r="K50" s="19">
        <v>0.0</v>
      </c>
      <c r="L50" s="19">
        <v>0.0</v>
      </c>
      <c r="M50" s="19">
        <v>0.0</v>
      </c>
      <c r="N50" s="19">
        <v>0.0</v>
      </c>
      <c r="O50" s="13">
        <f t="shared" si="16"/>
        <v>2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1.0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9">
        <v>0.0</v>
      </c>
      <c r="O51" s="13">
        <f t="shared" si="16"/>
        <v>1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3">
        <f t="shared" si="16"/>
        <v>0</v>
      </c>
    </row>
    <row r="53" ht="12.75" customHeight="1">
      <c r="A53" s="18"/>
      <c r="B53" s="68"/>
      <c r="C53" s="69"/>
      <c r="D53" s="70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3">
        <f t="shared" si="16"/>
        <v>0</v>
      </c>
    </row>
    <row r="54" ht="12.75" customHeight="1">
      <c r="A54" s="18"/>
      <c r="B54" s="68"/>
      <c r="C54" s="69"/>
      <c r="D54" s="70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3">
        <f t="shared" si="16"/>
        <v>0</v>
      </c>
    </row>
    <row r="55" ht="15.0" customHeight="1">
      <c r="A55" s="19" t="s">
        <v>15</v>
      </c>
      <c r="B55" s="47" t="s">
        <v>47</v>
      </c>
      <c r="C55" s="15"/>
      <c r="D55" s="16"/>
      <c r="E55" s="13">
        <f t="shared" ref="E55:N55" si="17">SUM(E45:E52)</f>
        <v>42</v>
      </c>
      <c r="F55" s="13">
        <f t="shared" si="17"/>
        <v>13</v>
      </c>
      <c r="G55" s="13">
        <f t="shared" si="17"/>
        <v>54</v>
      </c>
      <c r="H55" s="13">
        <f t="shared" si="17"/>
        <v>27</v>
      </c>
      <c r="I55" s="13">
        <f t="shared" si="17"/>
        <v>38</v>
      </c>
      <c r="J55" s="13">
        <f t="shared" si="17"/>
        <v>9</v>
      </c>
      <c r="K55" s="13">
        <f t="shared" si="17"/>
        <v>7</v>
      </c>
      <c r="L55" s="13">
        <f t="shared" si="17"/>
        <v>21</v>
      </c>
      <c r="M55" s="13">
        <f t="shared" si="17"/>
        <v>23</v>
      </c>
      <c r="N55" s="13">
        <f t="shared" si="17"/>
        <v>27</v>
      </c>
      <c r="O55" s="13">
        <f t="shared" si="16"/>
        <v>261</v>
      </c>
    </row>
    <row r="56" ht="12.75" customHeight="1">
      <c r="A56" s="45"/>
      <c r="B56" s="44"/>
      <c r="C56" s="44"/>
      <c r="D56" s="44"/>
      <c r="E56" s="44"/>
      <c r="O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9.0</v>
      </c>
      <c r="F57" s="19">
        <v>23.0</v>
      </c>
      <c r="G57" s="19">
        <v>23.0</v>
      </c>
      <c r="H57" s="19">
        <v>18.0</v>
      </c>
      <c r="I57" s="19">
        <v>12.0</v>
      </c>
      <c r="J57" s="19">
        <v>3.0</v>
      </c>
      <c r="K57" s="19">
        <v>16.0</v>
      </c>
      <c r="L57" s="19">
        <v>9.0</v>
      </c>
      <c r="M57" s="19">
        <v>29.0</v>
      </c>
      <c r="N57" s="19">
        <v>16.0</v>
      </c>
      <c r="O57" s="13">
        <f t="shared" ref="O57:O67" si="18">SUM(E57:N57)</f>
        <v>158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19.0</v>
      </c>
      <c r="F58" s="19">
        <v>17.0</v>
      </c>
      <c r="G58" s="19">
        <v>11.0</v>
      </c>
      <c r="H58" s="19">
        <v>16.0</v>
      </c>
      <c r="I58" s="19">
        <v>11.0</v>
      </c>
      <c r="J58" s="19">
        <v>2.0</v>
      </c>
      <c r="K58" s="19">
        <v>16.0</v>
      </c>
      <c r="L58" s="19">
        <v>5.0</v>
      </c>
      <c r="M58" s="19">
        <v>20.0</v>
      </c>
      <c r="N58" s="19">
        <v>10.0</v>
      </c>
      <c r="O58" s="13">
        <f t="shared" si="18"/>
        <v>127</v>
      </c>
    </row>
    <row r="59" ht="12.75" customHeight="1">
      <c r="A59" s="18"/>
      <c r="B59" s="55">
        <v>2.0</v>
      </c>
      <c r="C59" s="50" t="s">
        <v>50</v>
      </c>
      <c r="D59" s="56"/>
      <c r="E59" s="19">
        <v>4.0</v>
      </c>
      <c r="F59" s="19">
        <v>9.0</v>
      </c>
      <c r="G59" s="19">
        <v>17.0</v>
      </c>
      <c r="H59" s="19">
        <v>10.0</v>
      </c>
      <c r="I59" s="19">
        <v>18.0</v>
      </c>
      <c r="J59" s="19">
        <v>17.0</v>
      </c>
      <c r="K59" s="19">
        <v>10.0</v>
      </c>
      <c r="L59" s="19">
        <v>24.0</v>
      </c>
      <c r="M59" s="19">
        <v>2.0</v>
      </c>
      <c r="N59" s="19">
        <v>5.0</v>
      </c>
      <c r="O59" s="13">
        <f t="shared" si="18"/>
        <v>116</v>
      </c>
    </row>
    <row r="60" ht="12.75" customHeight="1">
      <c r="A60" s="18"/>
      <c r="B60" s="55">
        <v>3.0</v>
      </c>
      <c r="C60" s="50" t="s">
        <v>51</v>
      </c>
      <c r="D60" s="56"/>
      <c r="E60" s="19">
        <v>5.0</v>
      </c>
      <c r="F60" s="19">
        <v>2.0</v>
      </c>
      <c r="G60" s="19">
        <v>1.0</v>
      </c>
      <c r="H60" s="19">
        <v>1.0</v>
      </c>
      <c r="I60" s="19">
        <v>0.0</v>
      </c>
      <c r="J60" s="19">
        <v>0.0</v>
      </c>
      <c r="K60" s="19">
        <v>1.0</v>
      </c>
      <c r="L60" s="19">
        <v>1.0</v>
      </c>
      <c r="M60" s="19">
        <v>1.0</v>
      </c>
      <c r="N60" s="19">
        <v>2.0</v>
      </c>
      <c r="O60" s="13">
        <f t="shared" si="18"/>
        <v>14</v>
      </c>
    </row>
    <row r="61" ht="12.75" customHeight="1">
      <c r="A61" s="18"/>
      <c r="B61" s="55">
        <v>4.0</v>
      </c>
      <c r="C61" s="50" t="s">
        <v>52</v>
      </c>
      <c r="D61" s="56"/>
      <c r="E61" s="19">
        <v>0.0</v>
      </c>
      <c r="F61" s="19">
        <v>2.0</v>
      </c>
      <c r="G61" s="19">
        <v>0.0</v>
      </c>
      <c r="H61" s="19">
        <v>0.0</v>
      </c>
      <c r="I61" s="19">
        <v>0.0</v>
      </c>
      <c r="J61" s="19">
        <v>0.0</v>
      </c>
      <c r="K61" s="19">
        <v>1.0</v>
      </c>
      <c r="L61" s="19">
        <v>0.0</v>
      </c>
      <c r="M61" s="19">
        <v>1.0</v>
      </c>
      <c r="N61" s="19">
        <v>0.0</v>
      </c>
      <c r="O61" s="13">
        <f t="shared" si="18"/>
        <v>4</v>
      </c>
    </row>
    <row r="62" ht="12.75" customHeight="1">
      <c r="A62" s="18"/>
      <c r="B62" s="55">
        <v>5.0</v>
      </c>
      <c r="C62" s="50" t="s">
        <v>53</v>
      </c>
      <c r="D62" s="56"/>
      <c r="E62" s="19">
        <v>0.0</v>
      </c>
      <c r="F62" s="19">
        <v>0.0</v>
      </c>
      <c r="G62" s="19">
        <v>0.0</v>
      </c>
      <c r="H62" s="19">
        <v>0.0</v>
      </c>
      <c r="I62" s="19">
        <v>0.0</v>
      </c>
      <c r="J62" s="19">
        <v>0.0</v>
      </c>
      <c r="K62" s="19">
        <v>0.0</v>
      </c>
      <c r="L62" s="19">
        <v>0.0</v>
      </c>
      <c r="M62" s="19">
        <v>1.0</v>
      </c>
      <c r="N62" s="19">
        <v>0.0</v>
      </c>
      <c r="O62" s="13">
        <f t="shared" si="18"/>
        <v>1</v>
      </c>
    </row>
    <row r="63" ht="12.75" customHeight="1">
      <c r="A63" s="18"/>
      <c r="B63" s="55">
        <v>6.0</v>
      </c>
      <c r="C63" s="50" t="s">
        <v>54</v>
      </c>
      <c r="D63" s="57"/>
      <c r="E63" s="19">
        <v>0.0</v>
      </c>
      <c r="F63" s="19">
        <v>0.0</v>
      </c>
      <c r="G63" s="19">
        <v>0.0</v>
      </c>
      <c r="H63" s="19">
        <v>0.0</v>
      </c>
      <c r="I63" s="19">
        <v>1.0</v>
      </c>
      <c r="J63" s="19">
        <v>0.0</v>
      </c>
      <c r="K63" s="19">
        <v>0.0</v>
      </c>
      <c r="L63" s="19">
        <v>0.0</v>
      </c>
      <c r="M63" s="19">
        <v>3.0</v>
      </c>
      <c r="N63" s="19">
        <v>0.0</v>
      </c>
      <c r="O63" s="13">
        <f t="shared" si="18"/>
        <v>4</v>
      </c>
    </row>
    <row r="64" ht="12.75" customHeight="1">
      <c r="A64" s="18"/>
      <c r="B64" s="55">
        <v>7.0</v>
      </c>
      <c r="C64" s="50" t="s">
        <v>55</v>
      </c>
      <c r="D64" s="56"/>
      <c r="E64" s="19">
        <v>0.0</v>
      </c>
      <c r="F64" s="19">
        <v>0.0</v>
      </c>
      <c r="G64" s="19">
        <v>0.0</v>
      </c>
      <c r="H64" s="19">
        <v>0.0</v>
      </c>
      <c r="I64" s="19">
        <v>0.0</v>
      </c>
      <c r="J64" s="19">
        <v>0.0</v>
      </c>
      <c r="K64" s="19">
        <v>0.0</v>
      </c>
      <c r="L64" s="19">
        <v>0.0</v>
      </c>
      <c r="M64" s="19">
        <v>0.0</v>
      </c>
      <c r="N64" s="19">
        <v>0.0</v>
      </c>
      <c r="O64" s="13">
        <f t="shared" si="18"/>
        <v>0</v>
      </c>
    </row>
    <row r="65" ht="12.75" customHeight="1">
      <c r="A65" s="18"/>
      <c r="B65" s="68"/>
      <c r="C65" s="69"/>
      <c r="D65" s="70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3">
        <f t="shared" si="18"/>
        <v>0</v>
      </c>
    </row>
    <row r="66" ht="12.75" customHeight="1">
      <c r="A66" s="18"/>
      <c r="B66" s="68"/>
      <c r="C66" s="69"/>
      <c r="D66" s="70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3">
        <f t="shared" si="18"/>
        <v>0</v>
      </c>
    </row>
    <row r="67" ht="15.0" customHeight="1">
      <c r="A67" s="19" t="s">
        <v>15</v>
      </c>
      <c r="B67" s="47" t="s">
        <v>47</v>
      </c>
      <c r="C67" s="15"/>
      <c r="D67" s="16"/>
      <c r="E67" s="13">
        <f t="shared" ref="E67:N67" si="19">SUM(E57:E64)</f>
        <v>37</v>
      </c>
      <c r="F67" s="13">
        <f t="shared" si="19"/>
        <v>53</v>
      </c>
      <c r="G67" s="13">
        <f t="shared" si="19"/>
        <v>52</v>
      </c>
      <c r="H67" s="13">
        <f t="shared" si="19"/>
        <v>45</v>
      </c>
      <c r="I67" s="13">
        <f t="shared" si="19"/>
        <v>42</v>
      </c>
      <c r="J67" s="13">
        <f t="shared" si="19"/>
        <v>22</v>
      </c>
      <c r="K67" s="13">
        <f t="shared" si="19"/>
        <v>44</v>
      </c>
      <c r="L67" s="13">
        <f t="shared" si="19"/>
        <v>39</v>
      </c>
      <c r="M67" s="13">
        <f t="shared" si="19"/>
        <v>57</v>
      </c>
      <c r="N67" s="13">
        <f t="shared" si="19"/>
        <v>33</v>
      </c>
      <c r="O67" s="13">
        <f t="shared" si="18"/>
        <v>424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16.0</v>
      </c>
      <c r="F69" s="19">
        <v>5.0</v>
      </c>
      <c r="G69" s="19">
        <v>6.0</v>
      </c>
      <c r="H69" s="19">
        <v>1.0</v>
      </c>
      <c r="I69" s="19">
        <v>4.0</v>
      </c>
      <c r="J69" s="19">
        <v>6.0</v>
      </c>
      <c r="K69" s="19">
        <v>13.0</v>
      </c>
      <c r="L69" s="19">
        <v>3.0</v>
      </c>
      <c r="M69" s="19">
        <v>6.0</v>
      </c>
      <c r="N69" s="19">
        <v>3.0</v>
      </c>
      <c r="O69" s="13">
        <f t="shared" ref="O69:O79" si="20">SUM(E69:N69)</f>
        <v>63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20.0</v>
      </c>
      <c r="F70" s="19">
        <v>1.0</v>
      </c>
      <c r="G70" s="19">
        <v>3.0</v>
      </c>
      <c r="H70" s="19">
        <v>8.0</v>
      </c>
      <c r="I70" s="19">
        <v>1.0</v>
      </c>
      <c r="J70" s="19">
        <v>3.0</v>
      </c>
      <c r="K70" s="19">
        <v>12.0</v>
      </c>
      <c r="L70" s="19">
        <v>14.0</v>
      </c>
      <c r="M70" s="19">
        <v>2.0</v>
      </c>
      <c r="N70" s="19">
        <v>3.0</v>
      </c>
      <c r="O70" s="13">
        <f t="shared" si="20"/>
        <v>67</v>
      </c>
    </row>
    <row r="71" ht="12.75" customHeight="1">
      <c r="A71" s="18"/>
      <c r="B71" s="55">
        <v>2.0</v>
      </c>
      <c r="C71" s="50" t="s">
        <v>58</v>
      </c>
      <c r="D71" s="57"/>
      <c r="E71" s="19">
        <v>1.0</v>
      </c>
      <c r="F71" s="19">
        <v>7.0</v>
      </c>
      <c r="G71" s="19">
        <v>3.0</v>
      </c>
      <c r="H71" s="19">
        <v>16.0</v>
      </c>
      <c r="I71" s="19">
        <v>1.0</v>
      </c>
      <c r="J71" s="19">
        <v>8.0</v>
      </c>
      <c r="K71" s="19">
        <v>8.0</v>
      </c>
      <c r="L71" s="19">
        <v>0.0</v>
      </c>
      <c r="M71" s="19">
        <v>2.0</v>
      </c>
      <c r="N71" s="19">
        <v>4.0</v>
      </c>
      <c r="O71" s="13">
        <f t="shared" si="20"/>
        <v>50</v>
      </c>
    </row>
    <row r="72" ht="12.75" customHeight="1">
      <c r="A72" s="18"/>
      <c r="B72" s="55">
        <v>3.0</v>
      </c>
      <c r="C72" s="50" t="s">
        <v>59</v>
      </c>
      <c r="D72" s="57"/>
      <c r="E72" s="19">
        <v>7.0</v>
      </c>
      <c r="F72" s="19">
        <v>0.0</v>
      </c>
      <c r="G72" s="19">
        <v>15.0</v>
      </c>
      <c r="H72" s="19">
        <v>9.0</v>
      </c>
      <c r="I72" s="19">
        <v>1.0</v>
      </c>
      <c r="J72" s="19">
        <v>2.0</v>
      </c>
      <c r="K72" s="19">
        <v>1.0</v>
      </c>
      <c r="L72" s="19">
        <v>1.0</v>
      </c>
      <c r="M72" s="19">
        <v>8.0</v>
      </c>
      <c r="N72" s="19">
        <v>4.0</v>
      </c>
      <c r="O72" s="13">
        <f t="shared" si="20"/>
        <v>48</v>
      </c>
    </row>
    <row r="73" ht="12.75" customHeight="1">
      <c r="A73" s="18"/>
      <c r="B73" s="55">
        <v>4.0</v>
      </c>
      <c r="C73" s="50" t="s">
        <v>60</v>
      </c>
      <c r="D73" s="57"/>
      <c r="E73" s="19">
        <v>0.0</v>
      </c>
      <c r="F73" s="19">
        <v>0.0</v>
      </c>
      <c r="G73" s="19">
        <v>0.0</v>
      </c>
      <c r="H73" s="19">
        <v>3.0</v>
      </c>
      <c r="I73" s="19">
        <v>0.0</v>
      </c>
      <c r="J73" s="19">
        <v>1.0</v>
      </c>
      <c r="K73" s="19">
        <v>0.0</v>
      </c>
      <c r="L73" s="19">
        <v>0.0</v>
      </c>
      <c r="M73" s="19">
        <v>0.0</v>
      </c>
      <c r="N73" s="19">
        <v>1.0</v>
      </c>
      <c r="O73" s="13">
        <f t="shared" si="20"/>
        <v>5</v>
      </c>
    </row>
    <row r="74" ht="12.75" customHeight="1">
      <c r="A74" s="18"/>
      <c r="B74" s="55">
        <v>5.0</v>
      </c>
      <c r="C74" s="50" t="s">
        <v>61</v>
      </c>
      <c r="D74" s="57"/>
      <c r="E74" s="19">
        <v>1.0</v>
      </c>
      <c r="F74" s="19">
        <v>1.0</v>
      </c>
      <c r="G74" s="19">
        <v>1.0</v>
      </c>
      <c r="H74" s="19">
        <v>6.0</v>
      </c>
      <c r="I74" s="19">
        <v>0.0</v>
      </c>
      <c r="J74" s="19">
        <v>3.0</v>
      </c>
      <c r="K74" s="19">
        <v>0.0</v>
      </c>
      <c r="L74" s="19">
        <v>1.0</v>
      </c>
      <c r="M74" s="19">
        <v>0.0</v>
      </c>
      <c r="N74" s="19">
        <v>0.0</v>
      </c>
      <c r="O74" s="13">
        <f t="shared" si="20"/>
        <v>13</v>
      </c>
    </row>
    <row r="75" ht="12.75" customHeight="1">
      <c r="A75" s="18"/>
      <c r="B75" s="55">
        <v>6.0</v>
      </c>
      <c r="C75" s="50" t="s">
        <v>62</v>
      </c>
      <c r="D75" s="57"/>
      <c r="E75" s="19">
        <v>1.0</v>
      </c>
      <c r="F75" s="19">
        <v>0.0</v>
      </c>
      <c r="G75" s="19">
        <v>1.0</v>
      </c>
      <c r="H75" s="19">
        <v>1.0</v>
      </c>
      <c r="I75" s="19">
        <v>0.0</v>
      </c>
      <c r="J75" s="19">
        <v>0.0</v>
      </c>
      <c r="K75" s="19">
        <v>1.0</v>
      </c>
      <c r="L75" s="19">
        <v>1.0</v>
      </c>
      <c r="M75" s="19">
        <v>1.0</v>
      </c>
      <c r="N75" s="19">
        <v>0.0</v>
      </c>
      <c r="O75" s="13">
        <f t="shared" si="20"/>
        <v>6</v>
      </c>
    </row>
    <row r="76" ht="12.75" customHeight="1">
      <c r="A76" s="18"/>
      <c r="B76" s="55">
        <v>7.0</v>
      </c>
      <c r="C76" s="50" t="s">
        <v>63</v>
      </c>
      <c r="D76" s="57"/>
      <c r="E76" s="19">
        <v>0.0</v>
      </c>
      <c r="F76" s="19">
        <v>0.0</v>
      </c>
      <c r="G76" s="19">
        <v>0.0</v>
      </c>
      <c r="H76" s="19">
        <v>1.0</v>
      </c>
      <c r="I76" s="19">
        <v>1.0</v>
      </c>
      <c r="J76" s="19">
        <v>0.0</v>
      </c>
      <c r="K76" s="19">
        <v>0.0</v>
      </c>
      <c r="L76" s="19">
        <v>0.0</v>
      </c>
      <c r="M76" s="19">
        <v>0.0</v>
      </c>
      <c r="N76" s="19">
        <v>0.0</v>
      </c>
      <c r="O76" s="13">
        <f t="shared" si="20"/>
        <v>2</v>
      </c>
    </row>
    <row r="77" ht="12.75" customHeight="1">
      <c r="A77" s="18"/>
      <c r="B77" s="68"/>
      <c r="C77" s="69"/>
      <c r="D77" s="71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3">
        <f t="shared" si="20"/>
        <v>0</v>
      </c>
    </row>
    <row r="78" ht="12.75" customHeight="1">
      <c r="A78" s="18"/>
      <c r="B78" s="68"/>
      <c r="C78" s="69"/>
      <c r="D78" s="71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3">
        <f t="shared" si="20"/>
        <v>0</v>
      </c>
    </row>
    <row r="79" ht="15.0" customHeight="1">
      <c r="A79" s="19" t="s">
        <v>15</v>
      </c>
      <c r="B79" s="47" t="s">
        <v>47</v>
      </c>
      <c r="C79" s="15"/>
      <c r="D79" s="16"/>
      <c r="E79" s="13">
        <f t="shared" ref="E79:N79" si="21">SUM(E69:E76)</f>
        <v>46</v>
      </c>
      <c r="F79" s="13">
        <f t="shared" si="21"/>
        <v>14</v>
      </c>
      <c r="G79" s="13">
        <f t="shared" si="21"/>
        <v>29</v>
      </c>
      <c r="H79" s="13">
        <f t="shared" si="21"/>
        <v>45</v>
      </c>
      <c r="I79" s="13">
        <f t="shared" si="21"/>
        <v>8</v>
      </c>
      <c r="J79" s="13">
        <f t="shared" si="21"/>
        <v>23</v>
      </c>
      <c r="K79" s="13">
        <f t="shared" si="21"/>
        <v>35</v>
      </c>
      <c r="L79" s="13">
        <f t="shared" si="21"/>
        <v>20</v>
      </c>
      <c r="M79" s="13">
        <f t="shared" si="21"/>
        <v>19</v>
      </c>
      <c r="N79" s="13">
        <f t="shared" si="21"/>
        <v>15</v>
      </c>
      <c r="O79" s="13">
        <f t="shared" si="20"/>
        <v>254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4.0</v>
      </c>
      <c r="F81" s="19">
        <v>4.0</v>
      </c>
      <c r="G81" s="19">
        <v>8.0</v>
      </c>
      <c r="H81" s="19">
        <v>6.0</v>
      </c>
      <c r="I81" s="19">
        <v>9.0</v>
      </c>
      <c r="J81" s="19">
        <v>0.0</v>
      </c>
      <c r="K81" s="19">
        <v>9.0</v>
      </c>
      <c r="L81" s="19">
        <v>7.0</v>
      </c>
      <c r="M81" s="19">
        <v>8.0</v>
      </c>
      <c r="N81" s="19">
        <v>0.0</v>
      </c>
      <c r="O81" s="13">
        <f t="shared" ref="O81:O91" si="22">SUM(E81:N81)</f>
        <v>55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6.0</v>
      </c>
      <c r="F82" s="19">
        <v>2.0</v>
      </c>
      <c r="G82" s="19">
        <v>5.0</v>
      </c>
      <c r="H82" s="19">
        <v>9.0</v>
      </c>
      <c r="I82" s="19">
        <v>22.0</v>
      </c>
      <c r="J82" s="19">
        <v>4.0</v>
      </c>
      <c r="K82" s="19">
        <v>66.0</v>
      </c>
      <c r="L82" s="19">
        <v>41.0</v>
      </c>
      <c r="M82" s="19">
        <v>5.0</v>
      </c>
      <c r="N82" s="19">
        <v>2.0</v>
      </c>
      <c r="O82" s="13">
        <f t="shared" si="22"/>
        <v>162</v>
      </c>
    </row>
    <row r="83" ht="12.75" customHeight="1">
      <c r="A83" s="18"/>
      <c r="B83" s="55">
        <v>2.0</v>
      </c>
      <c r="C83" s="50" t="s">
        <v>66</v>
      </c>
      <c r="D83" s="57"/>
      <c r="E83" s="19">
        <v>0.0</v>
      </c>
      <c r="F83" s="19">
        <v>5.0</v>
      </c>
      <c r="G83" s="19">
        <v>13.0</v>
      </c>
      <c r="H83" s="19">
        <v>2.0</v>
      </c>
      <c r="I83" s="19">
        <v>0.0</v>
      </c>
      <c r="J83" s="19">
        <v>1.0</v>
      </c>
      <c r="K83" s="19">
        <v>3.0</v>
      </c>
      <c r="L83" s="19">
        <v>10.0</v>
      </c>
      <c r="M83" s="19">
        <v>1.0</v>
      </c>
      <c r="N83" s="19">
        <v>5.0</v>
      </c>
      <c r="O83" s="13">
        <f t="shared" si="22"/>
        <v>40</v>
      </c>
    </row>
    <row r="84" ht="12.75" customHeight="1">
      <c r="A84" s="18"/>
      <c r="B84" s="55">
        <v>3.0</v>
      </c>
      <c r="C84" s="50" t="s">
        <v>67</v>
      </c>
      <c r="D84" s="57"/>
      <c r="E84" s="19">
        <v>0.0</v>
      </c>
      <c r="F84" s="19">
        <v>0.0</v>
      </c>
      <c r="G84" s="19">
        <v>3.0</v>
      </c>
      <c r="H84" s="19">
        <v>4.0</v>
      </c>
      <c r="I84" s="19">
        <v>1.0</v>
      </c>
      <c r="J84" s="19">
        <v>0.0</v>
      </c>
      <c r="K84" s="19">
        <v>1.0</v>
      </c>
      <c r="L84" s="19">
        <v>0.0</v>
      </c>
      <c r="M84" s="19">
        <v>1.0</v>
      </c>
      <c r="N84" s="19">
        <v>0.0</v>
      </c>
      <c r="O84" s="13">
        <f t="shared" si="22"/>
        <v>10</v>
      </c>
    </row>
    <row r="85" ht="12.75" customHeight="1">
      <c r="A85" s="18"/>
      <c r="B85" s="55">
        <v>4.0</v>
      </c>
      <c r="C85" s="50" t="s">
        <v>68</v>
      </c>
      <c r="D85" s="57"/>
      <c r="E85" s="19">
        <v>0.0</v>
      </c>
      <c r="F85" s="19">
        <v>1.0</v>
      </c>
      <c r="G85" s="19">
        <v>0.0</v>
      </c>
      <c r="H85" s="19">
        <v>0.0</v>
      </c>
      <c r="I85" s="19">
        <v>1.0</v>
      </c>
      <c r="J85" s="19">
        <v>0.0</v>
      </c>
      <c r="K85" s="19">
        <v>0.0</v>
      </c>
      <c r="L85" s="19">
        <v>0.0</v>
      </c>
      <c r="M85" s="19">
        <v>1.0</v>
      </c>
      <c r="N85" s="19">
        <v>0.0</v>
      </c>
      <c r="O85" s="13">
        <f t="shared" si="22"/>
        <v>3</v>
      </c>
    </row>
    <row r="86" ht="12.75" customHeight="1">
      <c r="A86" s="18"/>
      <c r="B86" s="55">
        <v>5.0</v>
      </c>
      <c r="C86" s="50" t="s">
        <v>69</v>
      </c>
      <c r="D86" s="57"/>
      <c r="E86" s="19">
        <v>0.0</v>
      </c>
      <c r="F86" s="19">
        <v>0.0</v>
      </c>
      <c r="G86" s="19">
        <v>1.0</v>
      </c>
      <c r="H86" s="19">
        <v>0.0</v>
      </c>
      <c r="I86" s="19">
        <v>0.0</v>
      </c>
      <c r="J86" s="19">
        <v>1.0</v>
      </c>
      <c r="K86" s="19">
        <v>0.0</v>
      </c>
      <c r="L86" s="19">
        <v>0.0</v>
      </c>
      <c r="M86" s="19">
        <v>0.0</v>
      </c>
      <c r="N86" s="19">
        <v>0.0</v>
      </c>
      <c r="O86" s="13">
        <f t="shared" si="22"/>
        <v>2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0.0</v>
      </c>
      <c r="G87" s="19">
        <v>1.0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0.0</v>
      </c>
      <c r="O87" s="13">
        <f t="shared" si="22"/>
        <v>1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3">
        <f t="shared" si="22"/>
        <v>0</v>
      </c>
    </row>
    <row r="89" ht="12.75" customHeight="1">
      <c r="A89" s="18"/>
      <c r="B89" s="68"/>
      <c r="C89" s="69"/>
      <c r="D89" s="71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3">
        <f t="shared" si="22"/>
        <v>0</v>
      </c>
    </row>
    <row r="90" ht="12.75" customHeight="1">
      <c r="A90" s="18"/>
      <c r="B90" s="68"/>
      <c r="C90" s="69"/>
      <c r="D90" s="71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3">
        <f t="shared" si="22"/>
        <v>0</v>
      </c>
    </row>
    <row r="91" ht="15.0" customHeight="1">
      <c r="A91" s="19" t="s">
        <v>15</v>
      </c>
      <c r="B91" s="47" t="s">
        <v>47</v>
      </c>
      <c r="C91" s="15"/>
      <c r="D91" s="16"/>
      <c r="E91" s="13">
        <f t="shared" ref="E91:N91" si="23">SUM(E81:E88)</f>
        <v>10</v>
      </c>
      <c r="F91" s="13">
        <f t="shared" si="23"/>
        <v>12</v>
      </c>
      <c r="G91" s="13">
        <f t="shared" si="23"/>
        <v>31</v>
      </c>
      <c r="H91" s="13">
        <f t="shared" si="23"/>
        <v>21</v>
      </c>
      <c r="I91" s="13">
        <f t="shared" si="23"/>
        <v>33</v>
      </c>
      <c r="J91" s="13">
        <f t="shared" si="23"/>
        <v>6</v>
      </c>
      <c r="K91" s="13">
        <f t="shared" si="23"/>
        <v>79</v>
      </c>
      <c r="L91" s="13">
        <f t="shared" si="23"/>
        <v>58</v>
      </c>
      <c r="M91" s="13">
        <f t="shared" si="23"/>
        <v>16</v>
      </c>
      <c r="N91" s="13">
        <f t="shared" si="23"/>
        <v>7</v>
      </c>
      <c r="O91" s="13">
        <f t="shared" si="22"/>
        <v>273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2.0</v>
      </c>
      <c r="F93" s="19">
        <v>0.0</v>
      </c>
      <c r="G93" s="19">
        <v>4.0</v>
      </c>
      <c r="H93" s="19">
        <v>4.0</v>
      </c>
      <c r="I93" s="19">
        <v>5.0</v>
      </c>
      <c r="J93" s="19">
        <v>0.0</v>
      </c>
      <c r="K93" s="19">
        <v>0.0</v>
      </c>
      <c r="L93" s="19">
        <v>0.0</v>
      </c>
      <c r="M93" s="19">
        <v>0.0</v>
      </c>
      <c r="N93" s="19">
        <v>1.0</v>
      </c>
      <c r="O93" s="13">
        <f t="shared" ref="O93:O103" si="24">SUM(E93:N93)</f>
        <v>16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6.0</v>
      </c>
      <c r="F94" s="19">
        <v>5.0</v>
      </c>
      <c r="G94" s="19">
        <v>14.0</v>
      </c>
      <c r="H94" s="19">
        <v>23.0</v>
      </c>
      <c r="I94" s="19">
        <v>27.0</v>
      </c>
      <c r="J94" s="19">
        <v>0.0</v>
      </c>
      <c r="K94" s="19">
        <v>1.0</v>
      </c>
      <c r="L94" s="19">
        <v>7.0</v>
      </c>
      <c r="M94" s="19">
        <v>0.0</v>
      </c>
      <c r="N94" s="19">
        <v>1.0</v>
      </c>
      <c r="O94" s="13">
        <f t="shared" si="24"/>
        <v>84</v>
      </c>
    </row>
    <row r="95" ht="12.75" customHeight="1">
      <c r="A95" s="18"/>
      <c r="B95" s="55">
        <v>2.0</v>
      </c>
      <c r="C95" s="50" t="s">
        <v>75</v>
      </c>
      <c r="D95" s="57"/>
      <c r="E95" s="19">
        <v>0.0</v>
      </c>
      <c r="F95" s="19">
        <v>0.0</v>
      </c>
      <c r="G95" s="19">
        <v>2.0</v>
      </c>
      <c r="H95" s="19">
        <v>0.0</v>
      </c>
      <c r="I95" s="19">
        <v>0.0</v>
      </c>
      <c r="J95" s="19">
        <v>0.0</v>
      </c>
      <c r="K95" s="19">
        <v>1.0</v>
      </c>
      <c r="L95" s="19">
        <v>0.0</v>
      </c>
      <c r="M95" s="19">
        <v>0.0</v>
      </c>
      <c r="N95" s="19">
        <v>0.0</v>
      </c>
      <c r="O95" s="13">
        <f t="shared" si="24"/>
        <v>3</v>
      </c>
    </row>
    <row r="96" ht="12.75" customHeight="1">
      <c r="A96" s="18"/>
      <c r="B96" s="55">
        <v>3.0</v>
      </c>
      <c r="C96" s="50" t="s">
        <v>76</v>
      </c>
      <c r="D96" s="57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3">
        <f t="shared" si="24"/>
        <v>0</v>
      </c>
    </row>
    <row r="97" ht="12.75" customHeight="1">
      <c r="A97" s="18"/>
      <c r="B97" s="55">
        <v>4.0</v>
      </c>
      <c r="C97" s="50" t="s">
        <v>77</v>
      </c>
      <c r="D97" s="57"/>
      <c r="E97" s="19">
        <v>1.0</v>
      </c>
      <c r="F97" s="19">
        <v>0.0</v>
      </c>
      <c r="G97" s="19">
        <v>0.0</v>
      </c>
      <c r="H97" s="19">
        <v>1.0</v>
      </c>
      <c r="I97" s="19">
        <v>0.0</v>
      </c>
      <c r="J97" s="19">
        <v>0.0</v>
      </c>
      <c r="K97" s="19">
        <v>0.0</v>
      </c>
      <c r="L97" s="19">
        <v>0.0</v>
      </c>
      <c r="M97" s="19">
        <v>0.0</v>
      </c>
      <c r="N97" s="19">
        <v>0.0</v>
      </c>
      <c r="O97" s="13">
        <f t="shared" si="24"/>
        <v>2</v>
      </c>
    </row>
    <row r="98" ht="12.75" customHeight="1">
      <c r="A98" s="18"/>
      <c r="B98" s="55">
        <v>5.0</v>
      </c>
      <c r="C98" s="50" t="s">
        <v>78</v>
      </c>
      <c r="D98" s="57"/>
      <c r="E98" s="19">
        <v>0.0</v>
      </c>
      <c r="F98" s="19">
        <v>0.0</v>
      </c>
      <c r="G98" s="19">
        <v>0.0</v>
      </c>
      <c r="H98" s="19">
        <v>1.0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3">
        <f t="shared" si="24"/>
        <v>1</v>
      </c>
    </row>
    <row r="99" ht="12.75" customHeight="1">
      <c r="A99" s="18"/>
      <c r="B99" s="55">
        <v>6.0</v>
      </c>
      <c r="C99" s="50" t="s">
        <v>79</v>
      </c>
      <c r="D99" s="57"/>
      <c r="E99" s="19">
        <v>1.0</v>
      </c>
      <c r="F99" s="19">
        <v>0.0</v>
      </c>
      <c r="G99" s="19">
        <v>0.0</v>
      </c>
      <c r="H99" s="19">
        <v>1.0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3">
        <f t="shared" si="24"/>
        <v>2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0.0</v>
      </c>
      <c r="G100" s="19">
        <v>0.0</v>
      </c>
      <c r="H100" s="19">
        <v>1.0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3">
        <f t="shared" si="24"/>
        <v>1</v>
      </c>
    </row>
    <row r="101" ht="12.75" customHeight="1">
      <c r="A101" s="18"/>
      <c r="B101" s="68"/>
      <c r="C101" s="69"/>
      <c r="D101" s="71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3">
        <f t="shared" si="24"/>
        <v>0</v>
      </c>
    </row>
    <row r="102" ht="12.75" customHeight="1">
      <c r="A102" s="18"/>
      <c r="B102" s="68"/>
      <c r="C102" s="69"/>
      <c r="D102" s="71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3">
        <f t="shared" si="24"/>
        <v>0</v>
      </c>
    </row>
    <row r="103" ht="15.0" customHeight="1">
      <c r="A103" s="19" t="s">
        <v>15</v>
      </c>
      <c r="B103" s="47" t="s">
        <v>47</v>
      </c>
      <c r="C103" s="15"/>
      <c r="D103" s="16"/>
      <c r="E103" s="13">
        <f t="shared" ref="E103:N103" si="25">SUM(E93:E100)</f>
        <v>10</v>
      </c>
      <c r="F103" s="13">
        <f t="shared" si="25"/>
        <v>5</v>
      </c>
      <c r="G103" s="13">
        <f t="shared" si="25"/>
        <v>20</v>
      </c>
      <c r="H103" s="13">
        <f t="shared" si="25"/>
        <v>31</v>
      </c>
      <c r="I103" s="13">
        <f t="shared" si="25"/>
        <v>32</v>
      </c>
      <c r="J103" s="13">
        <f t="shared" si="25"/>
        <v>0</v>
      </c>
      <c r="K103" s="13">
        <f t="shared" si="25"/>
        <v>2</v>
      </c>
      <c r="L103" s="13">
        <f t="shared" si="25"/>
        <v>7</v>
      </c>
      <c r="M103" s="13">
        <f t="shared" si="25"/>
        <v>0</v>
      </c>
      <c r="N103" s="13">
        <f t="shared" si="25"/>
        <v>2</v>
      </c>
      <c r="O103" s="13">
        <f t="shared" si="24"/>
        <v>109</v>
      </c>
    </row>
    <row r="104" ht="12.75" customHeight="1">
      <c r="A104" s="45"/>
      <c r="B104" s="44"/>
      <c r="C104" s="44"/>
      <c r="D104" s="44"/>
      <c r="E104" s="44"/>
      <c r="F104" s="72"/>
      <c r="G104" s="72"/>
      <c r="H104" s="72"/>
      <c r="I104" s="72"/>
      <c r="J104" s="72"/>
      <c r="K104" s="72"/>
      <c r="L104" s="72"/>
      <c r="M104" s="72"/>
      <c r="N104" s="72"/>
      <c r="O104" s="72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1.0</v>
      </c>
      <c r="G105" s="19">
        <v>1.0</v>
      </c>
      <c r="H105" s="19">
        <v>1.0</v>
      </c>
      <c r="I105" s="19">
        <v>0.0</v>
      </c>
      <c r="J105" s="19">
        <v>0.0</v>
      </c>
      <c r="K105" s="19">
        <v>0.0</v>
      </c>
      <c r="L105" s="19">
        <v>0.0</v>
      </c>
      <c r="M105" s="19">
        <v>2.0</v>
      </c>
      <c r="N105" s="19">
        <v>10.0</v>
      </c>
      <c r="O105" s="13">
        <f t="shared" ref="O105:O115" si="26">SUM(E105:N105)</f>
        <v>15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0.0</v>
      </c>
      <c r="F106" s="19">
        <v>0.0</v>
      </c>
      <c r="G106" s="19">
        <v>0.0</v>
      </c>
      <c r="H106" s="19">
        <v>0.0</v>
      </c>
      <c r="I106" s="19">
        <v>1.0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3">
        <f t="shared" si="26"/>
        <v>1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1.0</v>
      </c>
      <c r="F107" s="19">
        <v>0.0</v>
      </c>
      <c r="G107" s="19">
        <v>0.0</v>
      </c>
      <c r="H107" s="19">
        <v>1.0</v>
      </c>
      <c r="I107" s="19">
        <v>0.0</v>
      </c>
      <c r="J107" s="19">
        <v>0.0</v>
      </c>
      <c r="K107" s="19">
        <v>0.0</v>
      </c>
      <c r="L107" s="19">
        <v>0.0</v>
      </c>
      <c r="M107" s="19">
        <v>1.0</v>
      </c>
      <c r="N107" s="19">
        <v>0.0</v>
      </c>
      <c r="O107" s="13">
        <f t="shared" si="26"/>
        <v>3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3">
        <f t="shared" si="26"/>
        <v>0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1.0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3">
        <f t="shared" si="26"/>
        <v>1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3">
        <f t="shared" si="26"/>
        <v>0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3">
        <f t="shared" si="26"/>
        <v>0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3">
        <f t="shared" si="26"/>
        <v>0</v>
      </c>
    </row>
    <row r="113" ht="12.75" customHeight="1">
      <c r="A113" s="18"/>
      <c r="B113" s="68"/>
      <c r="C113" s="69"/>
      <c r="D113" s="71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3">
        <f t="shared" si="26"/>
        <v>0</v>
      </c>
    </row>
    <row r="114" ht="12.75" customHeight="1">
      <c r="A114" s="18"/>
      <c r="B114" s="68"/>
      <c r="C114" s="69"/>
      <c r="D114" s="71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3">
        <f t="shared" si="26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N115" si="27">SUM(E105:E112)</f>
        <v>1</v>
      </c>
      <c r="F115" s="13">
        <f t="shared" si="27"/>
        <v>1</v>
      </c>
      <c r="G115" s="13">
        <f t="shared" si="27"/>
        <v>1</v>
      </c>
      <c r="H115" s="13">
        <f t="shared" si="27"/>
        <v>3</v>
      </c>
      <c r="I115" s="13">
        <f t="shared" si="27"/>
        <v>1</v>
      </c>
      <c r="J115" s="13">
        <f t="shared" si="27"/>
        <v>0</v>
      </c>
      <c r="K115" s="13">
        <f t="shared" si="27"/>
        <v>0</v>
      </c>
      <c r="L115" s="13">
        <f t="shared" si="27"/>
        <v>0</v>
      </c>
      <c r="M115" s="13">
        <f t="shared" si="27"/>
        <v>3</v>
      </c>
      <c r="N115" s="13">
        <f t="shared" si="27"/>
        <v>10</v>
      </c>
      <c r="O115" s="13">
        <f t="shared" si="26"/>
        <v>20</v>
      </c>
    </row>
    <row r="116" ht="12.75" customHeight="1">
      <c r="A116" s="24"/>
      <c r="B116" s="15"/>
      <c r="C116" s="15"/>
      <c r="D116" s="15"/>
      <c r="E116" s="16"/>
      <c r="F116" s="72"/>
      <c r="G116" s="72"/>
      <c r="H116" s="72"/>
      <c r="I116" s="72"/>
      <c r="J116" s="72"/>
      <c r="K116" s="72"/>
      <c r="L116" s="72"/>
      <c r="M116" s="72"/>
      <c r="N116" s="72"/>
      <c r="O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0.0</v>
      </c>
      <c r="G117" s="19">
        <v>0.0</v>
      </c>
      <c r="H117" s="19">
        <v>2.0</v>
      </c>
      <c r="I117" s="19">
        <v>0.0</v>
      </c>
      <c r="J117" s="19">
        <v>0.0</v>
      </c>
      <c r="K117" s="19">
        <v>0.0</v>
      </c>
      <c r="L117" s="19">
        <v>0.0</v>
      </c>
      <c r="M117" s="19">
        <v>10.0</v>
      </c>
      <c r="N117" s="19">
        <v>7.0</v>
      </c>
      <c r="O117" s="13">
        <f t="shared" ref="O117:O127" si="28">SUM(E117:N117)</f>
        <v>19</v>
      </c>
      <c r="P117" s="5"/>
      <c r="Q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0.0</v>
      </c>
      <c r="F118" s="19">
        <v>0.0</v>
      </c>
      <c r="G118" s="19">
        <v>0.0</v>
      </c>
      <c r="H118" s="19">
        <v>0.0</v>
      </c>
      <c r="I118" s="19">
        <v>1.0</v>
      </c>
      <c r="J118" s="19">
        <v>0.0</v>
      </c>
      <c r="K118" s="19">
        <v>0.0</v>
      </c>
      <c r="L118" s="19">
        <v>0.0</v>
      </c>
      <c r="M118" s="19">
        <v>30.0</v>
      </c>
      <c r="N118" s="19">
        <v>3.0</v>
      </c>
      <c r="O118" s="13">
        <f t="shared" si="28"/>
        <v>34</v>
      </c>
      <c r="P118" s="5"/>
      <c r="Q118" s="5"/>
    </row>
    <row r="119" ht="12.75" customHeight="1">
      <c r="A119" s="18"/>
      <c r="B119" s="55">
        <v>2.0</v>
      </c>
      <c r="C119" s="50" t="s">
        <v>93</v>
      </c>
      <c r="D119" s="57"/>
      <c r="E119" s="19">
        <v>0.0</v>
      </c>
      <c r="F119" s="19">
        <v>1.0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1.0</v>
      </c>
      <c r="M119" s="19">
        <v>0.0</v>
      </c>
      <c r="N119" s="19">
        <v>0.0</v>
      </c>
      <c r="O119" s="13">
        <f t="shared" si="28"/>
        <v>2</v>
      </c>
      <c r="P119" s="5"/>
      <c r="Q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5.0</v>
      </c>
      <c r="N120" s="19">
        <v>0.0</v>
      </c>
      <c r="O120" s="13">
        <f t="shared" si="28"/>
        <v>5</v>
      </c>
      <c r="P120" s="5"/>
      <c r="Q120" s="5"/>
    </row>
    <row r="121" ht="12.75" customHeight="1">
      <c r="A121" s="18"/>
      <c r="B121" s="68"/>
      <c r="C121" s="69"/>
      <c r="D121" s="71"/>
      <c r="E121" s="40"/>
      <c r="F121" s="19"/>
      <c r="G121" s="19"/>
      <c r="H121" s="19"/>
      <c r="I121" s="19"/>
      <c r="J121" s="19"/>
      <c r="K121" s="19"/>
      <c r="L121" s="19"/>
      <c r="M121" s="19"/>
      <c r="N121" s="19"/>
      <c r="O121" s="13">
        <f t="shared" si="28"/>
        <v>0</v>
      </c>
      <c r="P121" s="5"/>
      <c r="Q121" s="5"/>
    </row>
    <row r="122" ht="12.75" customHeight="1">
      <c r="A122" s="18"/>
      <c r="B122" s="68"/>
      <c r="C122" s="69"/>
      <c r="D122" s="71"/>
      <c r="E122" s="40"/>
      <c r="F122" s="19"/>
      <c r="G122" s="19"/>
      <c r="H122" s="19"/>
      <c r="I122" s="19"/>
      <c r="J122" s="19"/>
      <c r="K122" s="19"/>
      <c r="L122" s="19"/>
      <c r="M122" s="19"/>
      <c r="N122" s="19"/>
      <c r="O122" s="13">
        <f t="shared" si="28"/>
        <v>0</v>
      </c>
      <c r="P122" s="5"/>
      <c r="Q122" s="5"/>
    </row>
    <row r="123" ht="12.75" customHeight="1">
      <c r="A123" s="18"/>
      <c r="B123" s="68"/>
      <c r="C123" s="69"/>
      <c r="D123" s="71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13">
        <f t="shared" si="28"/>
        <v>0</v>
      </c>
      <c r="P123" s="5"/>
      <c r="Q123" s="5"/>
    </row>
    <row r="124" ht="12.75" customHeight="1">
      <c r="A124" s="18"/>
      <c r="B124" s="68"/>
      <c r="C124" s="69"/>
      <c r="D124" s="71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13">
        <f t="shared" si="28"/>
        <v>0</v>
      </c>
      <c r="P124" s="5"/>
      <c r="Q124" s="5"/>
    </row>
    <row r="125" ht="12.75" customHeight="1">
      <c r="A125" s="18"/>
      <c r="B125" s="68"/>
      <c r="C125" s="69"/>
      <c r="D125" s="71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13">
        <f t="shared" si="28"/>
        <v>0</v>
      </c>
      <c r="P125" s="5"/>
      <c r="Q125" s="5"/>
    </row>
    <row r="126" ht="12.75" customHeight="1">
      <c r="A126" s="18"/>
      <c r="B126" s="68"/>
      <c r="C126" s="69"/>
      <c r="D126" s="71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13">
        <f t="shared" si="28"/>
        <v>0</v>
      </c>
      <c r="P126" s="5"/>
      <c r="Q126" s="5"/>
    </row>
    <row r="127" ht="15.0" customHeight="1">
      <c r="A127" s="19" t="s">
        <v>15</v>
      </c>
      <c r="B127" s="47" t="s">
        <v>47</v>
      </c>
      <c r="C127" s="15"/>
      <c r="D127" s="16"/>
      <c r="E127" s="58">
        <f t="shared" ref="E127:N127" si="29">SUM(E117:E120)</f>
        <v>0</v>
      </c>
      <c r="F127" s="58">
        <f t="shared" si="29"/>
        <v>1</v>
      </c>
      <c r="G127" s="58">
        <f t="shared" si="29"/>
        <v>0</v>
      </c>
      <c r="H127" s="58">
        <f t="shared" si="29"/>
        <v>2</v>
      </c>
      <c r="I127" s="58">
        <f t="shared" si="29"/>
        <v>1</v>
      </c>
      <c r="J127" s="58">
        <f t="shared" si="29"/>
        <v>0</v>
      </c>
      <c r="K127" s="58">
        <f t="shared" si="29"/>
        <v>0</v>
      </c>
      <c r="L127" s="58">
        <f t="shared" si="29"/>
        <v>1</v>
      </c>
      <c r="M127" s="58">
        <f t="shared" si="29"/>
        <v>45</v>
      </c>
      <c r="N127" s="58">
        <f t="shared" si="29"/>
        <v>10</v>
      </c>
      <c r="O127" s="13">
        <f t="shared" si="28"/>
        <v>60</v>
      </c>
      <c r="P127" s="5"/>
      <c r="Q127" s="5"/>
    </row>
    <row r="128" ht="12.75" customHeight="1">
      <c r="A128" s="24"/>
      <c r="B128" s="15"/>
      <c r="C128" s="15"/>
      <c r="D128" s="15"/>
      <c r="E128" s="16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5"/>
      <c r="Q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0.0</v>
      </c>
      <c r="G129" s="19">
        <v>0.0</v>
      </c>
      <c r="H129" s="19">
        <v>0.0</v>
      </c>
      <c r="I129" s="19">
        <v>0.0</v>
      </c>
      <c r="J129" s="19">
        <v>1.0</v>
      </c>
      <c r="K129" s="19">
        <v>3.0</v>
      </c>
      <c r="L129" s="19">
        <v>0.0</v>
      </c>
      <c r="M129" s="19">
        <v>0.0</v>
      </c>
      <c r="N129" s="19">
        <v>7.0</v>
      </c>
      <c r="O129" s="13">
        <f t="shared" ref="O129:O139" si="30">SUM(E129:N129)</f>
        <v>11</v>
      </c>
      <c r="P129" s="5"/>
      <c r="Q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0.0</v>
      </c>
      <c r="F130" s="19">
        <v>0.0</v>
      </c>
      <c r="G130" s="19">
        <v>0.0</v>
      </c>
      <c r="H130" s="19">
        <v>0.0</v>
      </c>
      <c r="I130" s="19">
        <v>0.0</v>
      </c>
      <c r="J130" s="19">
        <v>3.0</v>
      </c>
      <c r="K130" s="19">
        <v>3.0</v>
      </c>
      <c r="L130" s="19">
        <v>0.0</v>
      </c>
      <c r="M130" s="19">
        <v>1.0</v>
      </c>
      <c r="N130" s="19">
        <v>18.0</v>
      </c>
      <c r="O130" s="13">
        <f t="shared" si="30"/>
        <v>25</v>
      </c>
      <c r="P130" s="1"/>
      <c r="Q130" s="1"/>
    </row>
    <row r="131" ht="12.75" customHeight="1">
      <c r="A131" s="18"/>
      <c r="B131" s="55">
        <v>2.0</v>
      </c>
      <c r="C131" s="50" t="s">
        <v>98</v>
      </c>
      <c r="D131" s="56"/>
      <c r="E131" s="19">
        <v>0.0</v>
      </c>
      <c r="F131" s="19">
        <v>2.0</v>
      </c>
      <c r="G131" s="19">
        <v>0.0</v>
      </c>
      <c r="H131" s="19">
        <v>0.0</v>
      </c>
      <c r="I131" s="19">
        <v>0.0</v>
      </c>
      <c r="J131" s="19">
        <v>0.0</v>
      </c>
      <c r="K131" s="19">
        <v>0.0</v>
      </c>
      <c r="L131" s="19">
        <v>0.0</v>
      </c>
      <c r="M131" s="19">
        <v>0.0</v>
      </c>
      <c r="N131" s="19">
        <v>1.0</v>
      </c>
      <c r="O131" s="13">
        <f t="shared" si="30"/>
        <v>3</v>
      </c>
      <c r="P131" s="52"/>
      <c r="Q131" s="52"/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1.0</v>
      </c>
      <c r="L132" s="19">
        <v>0.0</v>
      </c>
      <c r="M132" s="19">
        <v>0.0</v>
      </c>
      <c r="N132" s="19">
        <v>1.0</v>
      </c>
      <c r="O132" s="13">
        <f t="shared" si="30"/>
        <v>2</v>
      </c>
      <c r="P132" s="5"/>
      <c r="Q132" s="5"/>
    </row>
    <row r="133" ht="12.75" customHeight="1">
      <c r="A133" s="18"/>
      <c r="B133" s="55">
        <v>4.0</v>
      </c>
      <c r="C133" s="50" t="s">
        <v>100</v>
      </c>
      <c r="D133" s="56"/>
      <c r="E133" s="19">
        <v>0.0</v>
      </c>
      <c r="F133" s="19">
        <v>0.0</v>
      </c>
      <c r="G133" s="19">
        <v>0.0</v>
      </c>
      <c r="H133" s="19">
        <v>0.0</v>
      </c>
      <c r="I133" s="19">
        <v>1.0</v>
      </c>
      <c r="J133" s="19">
        <v>0.0</v>
      </c>
      <c r="K133" s="19">
        <v>0.0</v>
      </c>
      <c r="L133" s="19">
        <v>1.0</v>
      </c>
      <c r="M133" s="19">
        <v>0.0</v>
      </c>
      <c r="N133" s="19">
        <v>1.0</v>
      </c>
      <c r="O133" s="13">
        <f t="shared" si="30"/>
        <v>3</v>
      </c>
      <c r="P133" s="5"/>
      <c r="Q133" s="5"/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1.0</v>
      </c>
      <c r="K134" s="19">
        <v>0.0</v>
      </c>
      <c r="L134" s="19">
        <v>0.0</v>
      </c>
      <c r="M134" s="19">
        <v>0.0</v>
      </c>
      <c r="N134" s="19">
        <v>2.0</v>
      </c>
      <c r="O134" s="13">
        <f t="shared" si="30"/>
        <v>3</v>
      </c>
      <c r="P134" s="5"/>
      <c r="Q134" s="5"/>
    </row>
    <row r="135" ht="12.75" customHeight="1">
      <c r="A135" s="18"/>
      <c r="B135" s="55">
        <v>6.0</v>
      </c>
      <c r="C135" s="50" t="s">
        <v>102</v>
      </c>
      <c r="D135" s="57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1.0</v>
      </c>
      <c r="L135" s="19">
        <v>0.0</v>
      </c>
      <c r="M135" s="19">
        <v>0.0</v>
      </c>
      <c r="N135" s="19">
        <v>9.0</v>
      </c>
      <c r="O135" s="13">
        <f t="shared" si="30"/>
        <v>10</v>
      </c>
      <c r="P135" s="5"/>
      <c r="Q135" s="5"/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3">
        <f t="shared" si="30"/>
        <v>0</v>
      </c>
      <c r="P136" s="5"/>
      <c r="Q136" s="5"/>
    </row>
    <row r="137" ht="12.75" customHeight="1">
      <c r="A137" s="18"/>
      <c r="B137" s="68"/>
      <c r="C137" s="69"/>
      <c r="D137" s="70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3">
        <f t="shared" si="30"/>
        <v>0</v>
      </c>
      <c r="P137" s="5"/>
      <c r="Q137" s="5"/>
    </row>
    <row r="138" ht="12.75" customHeight="1">
      <c r="A138" s="18"/>
      <c r="B138" s="68"/>
      <c r="C138" s="69"/>
      <c r="D138" s="70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3">
        <f t="shared" si="30"/>
        <v>0</v>
      </c>
      <c r="P138" s="5"/>
      <c r="Q138" s="5"/>
    </row>
    <row r="139" ht="15.0" customHeight="1">
      <c r="A139" s="19" t="s">
        <v>15</v>
      </c>
      <c r="B139" s="47" t="s">
        <v>47</v>
      </c>
      <c r="C139" s="15"/>
      <c r="D139" s="16"/>
      <c r="E139" s="13">
        <f t="shared" ref="E139:N139" si="31">SUM(E129:E136)</f>
        <v>0</v>
      </c>
      <c r="F139" s="13">
        <f t="shared" si="31"/>
        <v>2</v>
      </c>
      <c r="G139" s="13">
        <f t="shared" si="31"/>
        <v>0</v>
      </c>
      <c r="H139" s="13">
        <f t="shared" si="31"/>
        <v>0</v>
      </c>
      <c r="I139" s="13">
        <f t="shared" si="31"/>
        <v>1</v>
      </c>
      <c r="J139" s="13">
        <f t="shared" si="31"/>
        <v>5</v>
      </c>
      <c r="K139" s="13">
        <f t="shared" si="31"/>
        <v>8</v>
      </c>
      <c r="L139" s="13">
        <f t="shared" si="31"/>
        <v>1</v>
      </c>
      <c r="M139" s="13">
        <f t="shared" si="31"/>
        <v>1</v>
      </c>
      <c r="N139" s="13">
        <f t="shared" si="31"/>
        <v>39</v>
      </c>
      <c r="O139" s="13">
        <f t="shared" si="30"/>
        <v>57</v>
      </c>
      <c r="P139" s="5"/>
      <c r="Q139" s="5"/>
    </row>
    <row r="140" ht="12.75" customHeight="1">
      <c r="A140" s="24"/>
      <c r="B140" s="15"/>
      <c r="C140" s="15"/>
      <c r="D140" s="15"/>
      <c r="E140" s="16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5"/>
      <c r="Q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1.0</v>
      </c>
      <c r="I141" s="19">
        <v>1.0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3">
        <f t="shared" ref="O141:O151" si="32">SUM(E141:N141)</f>
        <v>2</v>
      </c>
      <c r="P141" s="1"/>
      <c r="Q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1.0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3">
        <f t="shared" si="32"/>
        <v>1</v>
      </c>
      <c r="P142" s="52"/>
      <c r="Q142" s="52"/>
    </row>
    <row r="143" ht="12.75" customHeight="1">
      <c r="A143" s="18"/>
      <c r="B143" s="55">
        <v>2.0</v>
      </c>
      <c r="C143" s="50" t="s">
        <v>107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1.0</v>
      </c>
      <c r="M143" s="19">
        <v>0.0</v>
      </c>
      <c r="N143" s="19">
        <v>0.0</v>
      </c>
      <c r="O143" s="13">
        <f t="shared" si="32"/>
        <v>1</v>
      </c>
      <c r="P143" s="5"/>
      <c r="Q143" s="5"/>
    </row>
    <row r="144" ht="12.75" customHeight="1">
      <c r="A144" s="18"/>
      <c r="B144" s="55">
        <v>3.0</v>
      </c>
      <c r="C144" s="50" t="s">
        <v>108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3">
        <f t="shared" si="32"/>
        <v>0</v>
      </c>
      <c r="P144" s="5"/>
      <c r="Q144" s="5"/>
    </row>
    <row r="145" ht="12.75" customHeight="1">
      <c r="A145" s="18"/>
      <c r="B145" s="55">
        <v>4.0</v>
      </c>
      <c r="C145" s="50" t="s">
        <v>109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3">
        <f t="shared" si="32"/>
        <v>0</v>
      </c>
      <c r="P145" s="5"/>
      <c r="Q145" s="5"/>
    </row>
    <row r="146" ht="12.75" customHeight="1">
      <c r="A146" s="18"/>
      <c r="B146" s="55">
        <v>5.0</v>
      </c>
      <c r="C146" s="50" t="s">
        <v>110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1.0</v>
      </c>
      <c r="L146" s="19">
        <v>0.0</v>
      </c>
      <c r="M146" s="19">
        <v>0.0</v>
      </c>
      <c r="N146" s="19">
        <v>0.0</v>
      </c>
      <c r="O146" s="13">
        <f t="shared" si="32"/>
        <v>1</v>
      </c>
      <c r="P146" s="5"/>
      <c r="Q146" s="5"/>
    </row>
    <row r="147" ht="12.75" customHeight="1">
      <c r="A147" s="18"/>
      <c r="B147" s="55">
        <v>6.0</v>
      </c>
      <c r="C147" s="50" t="s">
        <v>111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3">
        <f t="shared" si="32"/>
        <v>0</v>
      </c>
      <c r="P147" s="5"/>
      <c r="Q147" s="5"/>
    </row>
    <row r="148" ht="12.75" customHeight="1">
      <c r="A148" s="18"/>
      <c r="B148" s="55">
        <v>7.0</v>
      </c>
      <c r="C148" s="50" t="s">
        <v>112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3">
        <f t="shared" si="32"/>
        <v>0</v>
      </c>
      <c r="P148" s="5"/>
      <c r="Q148" s="5"/>
    </row>
    <row r="149" ht="12.75" customHeight="1">
      <c r="A149" s="18"/>
      <c r="B149" s="68"/>
      <c r="C149" s="69"/>
      <c r="D149" s="71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3">
        <f t="shared" si="32"/>
        <v>0</v>
      </c>
      <c r="P149" s="5"/>
      <c r="Q149" s="5"/>
    </row>
    <row r="150" ht="12.75" customHeight="1">
      <c r="A150" s="18"/>
      <c r="B150" s="68"/>
      <c r="C150" s="69"/>
      <c r="D150" s="71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3">
        <f t="shared" si="32"/>
        <v>0</v>
      </c>
      <c r="P150" s="5"/>
      <c r="Q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N151" si="33">SUM(E141:E148)</f>
        <v>0</v>
      </c>
      <c r="F151" s="13">
        <f t="shared" si="33"/>
        <v>0</v>
      </c>
      <c r="G151" s="13">
        <f t="shared" si="33"/>
        <v>0</v>
      </c>
      <c r="H151" s="13">
        <f t="shared" si="33"/>
        <v>1</v>
      </c>
      <c r="I151" s="13">
        <f t="shared" si="33"/>
        <v>2</v>
      </c>
      <c r="J151" s="13">
        <f t="shared" si="33"/>
        <v>0</v>
      </c>
      <c r="K151" s="13">
        <f t="shared" si="33"/>
        <v>1</v>
      </c>
      <c r="L151" s="13">
        <f t="shared" si="33"/>
        <v>1</v>
      </c>
      <c r="M151" s="13">
        <f t="shared" si="33"/>
        <v>0</v>
      </c>
      <c r="N151" s="13">
        <f t="shared" si="33"/>
        <v>0</v>
      </c>
      <c r="O151" s="13">
        <f t="shared" si="32"/>
        <v>5</v>
      </c>
      <c r="P151" s="1"/>
      <c r="Q151" s="1"/>
    </row>
    <row r="152" ht="12.75" customHeight="1">
      <c r="A152" s="24"/>
      <c r="B152" s="15"/>
      <c r="C152" s="15"/>
      <c r="D152" s="15"/>
      <c r="E152" s="16"/>
      <c r="F152" s="72"/>
      <c r="G152" s="72"/>
      <c r="H152" s="72"/>
      <c r="I152" s="72"/>
      <c r="J152" s="72"/>
      <c r="K152" s="72"/>
      <c r="L152" s="72"/>
      <c r="M152" s="72"/>
      <c r="N152" s="72"/>
      <c r="O152" s="13"/>
      <c r="P152" s="52"/>
      <c r="Q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1.0</v>
      </c>
      <c r="F153" s="19">
        <v>5.0</v>
      </c>
      <c r="G153" s="19">
        <v>1.0</v>
      </c>
      <c r="H153" s="19">
        <v>1.0</v>
      </c>
      <c r="I153" s="19">
        <v>0.0</v>
      </c>
      <c r="J153" s="19">
        <v>0.0</v>
      </c>
      <c r="K153" s="19">
        <v>0.0</v>
      </c>
      <c r="L153" s="19">
        <v>0.0</v>
      </c>
      <c r="M153" s="19">
        <v>6.0</v>
      </c>
      <c r="N153" s="19">
        <v>0.0</v>
      </c>
      <c r="O153" s="13">
        <f t="shared" ref="O153:O163" si="34">SUM(E153:N153)</f>
        <v>14</v>
      </c>
      <c r="P153" s="5"/>
      <c r="Q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0.0</v>
      </c>
      <c r="F154" s="19">
        <v>6.0</v>
      </c>
      <c r="G154" s="19">
        <v>1.0</v>
      </c>
      <c r="H154" s="19">
        <v>0.0</v>
      </c>
      <c r="I154" s="19">
        <v>0.0</v>
      </c>
      <c r="J154" s="19">
        <v>0.0</v>
      </c>
      <c r="K154" s="19">
        <v>0.0</v>
      </c>
      <c r="L154" s="19">
        <v>0.0</v>
      </c>
      <c r="M154" s="19">
        <v>9.0</v>
      </c>
      <c r="N154" s="19">
        <v>1.0</v>
      </c>
      <c r="O154" s="13">
        <f t="shared" si="34"/>
        <v>17</v>
      </c>
      <c r="P154" s="5"/>
      <c r="Q154" s="5"/>
    </row>
    <row r="155" ht="12.75" customHeight="1">
      <c r="A155" s="18"/>
      <c r="B155" s="55">
        <v>2.0</v>
      </c>
      <c r="C155" s="59" t="s">
        <v>116</v>
      </c>
      <c r="D155" s="57"/>
      <c r="E155" s="19">
        <v>0.0</v>
      </c>
      <c r="F155" s="19">
        <v>0.0</v>
      </c>
      <c r="G155" s="19">
        <v>2.0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4.0</v>
      </c>
      <c r="N155" s="19">
        <v>0.0</v>
      </c>
      <c r="O155" s="13">
        <f t="shared" si="34"/>
        <v>6</v>
      </c>
      <c r="P155" s="5"/>
      <c r="Q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0.0</v>
      </c>
      <c r="G156" s="19">
        <v>0.0</v>
      </c>
      <c r="H156" s="19">
        <v>1.0</v>
      </c>
      <c r="I156" s="19">
        <v>0.0</v>
      </c>
      <c r="J156" s="19">
        <v>1.0</v>
      </c>
      <c r="K156" s="19">
        <v>0.0</v>
      </c>
      <c r="L156" s="19">
        <v>0.0</v>
      </c>
      <c r="M156" s="19">
        <v>0.0</v>
      </c>
      <c r="N156" s="19">
        <v>0.0</v>
      </c>
      <c r="O156" s="13">
        <f t="shared" si="34"/>
        <v>2</v>
      </c>
      <c r="P156" s="5"/>
      <c r="Q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0.0</v>
      </c>
      <c r="H157" s="19">
        <v>1.0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3">
        <f t="shared" si="34"/>
        <v>1</v>
      </c>
      <c r="P157" s="5"/>
      <c r="Q157" s="5"/>
    </row>
    <row r="158" ht="12.75" customHeight="1">
      <c r="A158" s="18"/>
      <c r="B158" s="68"/>
      <c r="C158" s="73"/>
      <c r="D158" s="71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3">
        <f t="shared" si="34"/>
        <v>0</v>
      </c>
      <c r="P158" s="5"/>
      <c r="Q158" s="5"/>
    </row>
    <row r="159" ht="12.75" customHeight="1">
      <c r="A159" s="18"/>
      <c r="B159" s="68"/>
      <c r="C159" s="73"/>
      <c r="D159" s="71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3">
        <f t="shared" si="34"/>
        <v>0</v>
      </c>
      <c r="P159" s="5"/>
      <c r="Q159" s="5"/>
    </row>
    <row r="160" ht="12.75" customHeight="1">
      <c r="A160" s="18"/>
      <c r="B160" s="68"/>
      <c r="C160" s="73"/>
      <c r="D160" s="71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3">
        <f t="shared" si="34"/>
        <v>0</v>
      </c>
      <c r="P160" s="5"/>
      <c r="Q160" s="5"/>
    </row>
    <row r="161" ht="12.75" customHeight="1">
      <c r="A161" s="18"/>
      <c r="B161" s="68"/>
      <c r="C161" s="73"/>
      <c r="D161" s="71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3">
        <f t="shared" si="34"/>
        <v>0</v>
      </c>
      <c r="P161" s="5"/>
      <c r="Q161" s="5"/>
    </row>
    <row r="162" ht="12.75" customHeight="1">
      <c r="A162" s="18"/>
      <c r="B162" s="68"/>
      <c r="C162" s="73"/>
      <c r="D162" s="71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3">
        <f t="shared" si="34"/>
        <v>0</v>
      </c>
      <c r="P162" s="5"/>
      <c r="Q162" s="5"/>
    </row>
    <row r="163" ht="15.0" customHeight="1">
      <c r="A163" s="19" t="s">
        <v>15</v>
      </c>
      <c r="B163" s="47" t="s">
        <v>47</v>
      </c>
      <c r="C163" s="15"/>
      <c r="D163" s="16"/>
      <c r="E163" s="13">
        <f t="shared" ref="E163:N163" si="35">SUM(E153:E157)</f>
        <v>1</v>
      </c>
      <c r="F163" s="13">
        <f t="shared" si="35"/>
        <v>11</v>
      </c>
      <c r="G163" s="13">
        <f t="shared" si="35"/>
        <v>4</v>
      </c>
      <c r="H163" s="13">
        <f t="shared" si="35"/>
        <v>3</v>
      </c>
      <c r="I163" s="13">
        <f t="shared" si="35"/>
        <v>0</v>
      </c>
      <c r="J163" s="13">
        <f t="shared" si="35"/>
        <v>1</v>
      </c>
      <c r="K163" s="13">
        <f t="shared" si="35"/>
        <v>0</v>
      </c>
      <c r="L163" s="13">
        <f t="shared" si="35"/>
        <v>0</v>
      </c>
      <c r="M163" s="13">
        <f t="shared" si="35"/>
        <v>19</v>
      </c>
      <c r="N163" s="13">
        <f t="shared" si="35"/>
        <v>1</v>
      </c>
      <c r="O163" s="13">
        <f t="shared" si="34"/>
        <v>40</v>
      </c>
      <c r="P163" s="5"/>
      <c r="Q163" s="5"/>
    </row>
    <row r="164" ht="12.75" customHeight="1">
      <c r="A164" s="24"/>
      <c r="B164" s="15"/>
      <c r="C164" s="15"/>
      <c r="D164" s="15"/>
      <c r="E164" s="16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5"/>
      <c r="Q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3">
        <f t="shared" ref="O165:O175" si="36">SUM(E165:N165)</f>
        <v>0</v>
      </c>
      <c r="P165" s="1"/>
      <c r="Q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1.0</v>
      </c>
      <c r="K166" s="19">
        <v>0.0</v>
      </c>
      <c r="L166" s="19">
        <v>0.0</v>
      </c>
      <c r="M166" s="19">
        <v>0.0</v>
      </c>
      <c r="N166" s="19">
        <v>0.0</v>
      </c>
      <c r="O166" s="13">
        <f t="shared" si="36"/>
        <v>1</v>
      </c>
      <c r="P166" s="52"/>
      <c r="Q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3">
        <f t="shared" si="36"/>
        <v>0</v>
      </c>
      <c r="P167" s="5"/>
      <c r="Q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3">
        <f t="shared" si="36"/>
        <v>0</v>
      </c>
      <c r="P168" s="5"/>
      <c r="Q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3">
        <f t="shared" si="36"/>
        <v>0</v>
      </c>
      <c r="P169" s="5"/>
      <c r="Q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3">
        <f t="shared" si="36"/>
        <v>0</v>
      </c>
      <c r="P170" s="5"/>
      <c r="Q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3">
        <f t="shared" si="36"/>
        <v>0</v>
      </c>
      <c r="P171" s="5"/>
      <c r="Q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3">
        <f t="shared" si="36"/>
        <v>0</v>
      </c>
      <c r="P172" s="5"/>
      <c r="Q172" s="5"/>
    </row>
    <row r="173" ht="12.75" customHeight="1">
      <c r="A173" s="18"/>
      <c r="B173" s="68"/>
      <c r="C173" s="69"/>
      <c r="D173" s="71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3">
        <f t="shared" si="36"/>
        <v>0</v>
      </c>
      <c r="P173" s="5"/>
      <c r="Q173" s="5"/>
    </row>
    <row r="174" ht="12.75" customHeight="1">
      <c r="A174" s="18"/>
      <c r="B174" s="68"/>
      <c r="C174" s="69"/>
      <c r="D174" s="71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3">
        <f t="shared" si="36"/>
        <v>0</v>
      </c>
      <c r="P174" s="5"/>
      <c r="Q174" s="5"/>
    </row>
    <row r="175" ht="15.0" customHeight="1">
      <c r="A175" s="19" t="s">
        <v>15</v>
      </c>
      <c r="B175" s="47" t="s">
        <v>47</v>
      </c>
      <c r="C175" s="15"/>
      <c r="D175" s="16"/>
      <c r="E175" s="13">
        <f t="shared" ref="E175:N175" si="37">SUM(E165:E172)</f>
        <v>0</v>
      </c>
      <c r="F175" s="13">
        <f t="shared" si="37"/>
        <v>0</v>
      </c>
      <c r="G175" s="13">
        <f t="shared" si="37"/>
        <v>0</v>
      </c>
      <c r="H175" s="13">
        <f t="shared" si="37"/>
        <v>0</v>
      </c>
      <c r="I175" s="13">
        <f t="shared" si="37"/>
        <v>0</v>
      </c>
      <c r="J175" s="13">
        <f t="shared" si="37"/>
        <v>1</v>
      </c>
      <c r="K175" s="13">
        <f t="shared" si="37"/>
        <v>0</v>
      </c>
      <c r="L175" s="13">
        <f t="shared" si="37"/>
        <v>0</v>
      </c>
      <c r="M175" s="13">
        <f t="shared" si="37"/>
        <v>0</v>
      </c>
      <c r="N175" s="13">
        <f t="shared" si="37"/>
        <v>0</v>
      </c>
      <c r="O175" s="13">
        <f t="shared" si="36"/>
        <v>1</v>
      </c>
      <c r="P175" s="5"/>
      <c r="Q175" s="5"/>
    </row>
    <row r="176" ht="12.75" customHeight="1">
      <c r="A176" s="24"/>
      <c r="B176" s="15"/>
      <c r="C176" s="15"/>
      <c r="D176" s="15"/>
      <c r="E176" s="16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1"/>
      <c r="Q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3.0</v>
      </c>
      <c r="G177" s="19">
        <v>2.0</v>
      </c>
      <c r="H177" s="19">
        <v>0.0</v>
      </c>
      <c r="I177" s="19">
        <v>1.0</v>
      </c>
      <c r="J177" s="19">
        <v>0.0</v>
      </c>
      <c r="K177" s="19">
        <v>0.0</v>
      </c>
      <c r="L177" s="19">
        <v>0.0</v>
      </c>
      <c r="M177" s="19">
        <v>2.0</v>
      </c>
      <c r="N177" s="19">
        <v>0.0</v>
      </c>
      <c r="O177" s="13">
        <f t="shared" ref="O177:O187" si="38">SUM(E177:N177)</f>
        <v>8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0.0</v>
      </c>
      <c r="F178" s="19">
        <v>2.0</v>
      </c>
      <c r="G178" s="19">
        <v>2.0</v>
      </c>
      <c r="H178" s="19">
        <v>0.0</v>
      </c>
      <c r="I178" s="19">
        <v>0.0</v>
      </c>
      <c r="J178" s="19">
        <v>0.0</v>
      </c>
      <c r="K178" s="19">
        <v>0.0</v>
      </c>
      <c r="L178" s="19">
        <v>0.0</v>
      </c>
      <c r="M178" s="19">
        <v>0.0</v>
      </c>
      <c r="N178" s="19">
        <v>0.0</v>
      </c>
      <c r="O178" s="13">
        <f t="shared" si="38"/>
        <v>4</v>
      </c>
      <c r="P178" s="5"/>
      <c r="Q178" s="5"/>
    </row>
    <row r="179" ht="12.75" customHeight="1">
      <c r="A179" s="18"/>
      <c r="B179" s="55">
        <v>2.0</v>
      </c>
      <c r="C179" s="50" t="s">
        <v>131</v>
      </c>
      <c r="D179" s="57"/>
      <c r="E179" s="19">
        <v>0.0</v>
      </c>
      <c r="F179" s="19">
        <v>0.0</v>
      </c>
      <c r="G179" s="19">
        <v>0.0</v>
      </c>
      <c r="H179" s="19">
        <v>0.0</v>
      </c>
      <c r="I179" s="19">
        <v>0.0</v>
      </c>
      <c r="J179" s="19">
        <v>0.0</v>
      </c>
      <c r="K179" s="19">
        <v>0.0</v>
      </c>
      <c r="L179" s="19">
        <v>0.0</v>
      </c>
      <c r="M179" s="19">
        <v>0.0</v>
      </c>
      <c r="N179" s="19">
        <v>0.0</v>
      </c>
      <c r="O179" s="13">
        <f t="shared" si="38"/>
        <v>0</v>
      </c>
      <c r="P179" s="5"/>
      <c r="Q179" s="5"/>
    </row>
    <row r="180" ht="12.75" customHeight="1">
      <c r="A180" s="18"/>
      <c r="B180" s="55">
        <v>3.0</v>
      </c>
      <c r="C180" s="50" t="s">
        <v>132</v>
      </c>
      <c r="D180" s="57"/>
      <c r="E180" s="19">
        <v>0.0</v>
      </c>
      <c r="F180" s="19">
        <v>0.0</v>
      </c>
      <c r="G180" s="19">
        <v>1.0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3">
        <f t="shared" si="38"/>
        <v>1</v>
      </c>
      <c r="P180" s="5"/>
      <c r="Q180" s="5"/>
    </row>
    <row r="181" ht="12.75" customHeight="1">
      <c r="A181" s="18"/>
      <c r="B181" s="55">
        <v>4.0</v>
      </c>
      <c r="C181" s="50" t="s">
        <v>133</v>
      </c>
      <c r="D181" s="57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1.0</v>
      </c>
      <c r="N181" s="19">
        <v>0.0</v>
      </c>
      <c r="O181" s="13">
        <f t="shared" si="38"/>
        <v>1</v>
      </c>
      <c r="P181" s="5"/>
      <c r="Q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1.0</v>
      </c>
      <c r="N182" s="19">
        <v>0.0</v>
      </c>
      <c r="O182" s="13">
        <f t="shared" si="38"/>
        <v>1</v>
      </c>
      <c r="P182" s="5"/>
      <c r="Q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0.0</v>
      </c>
      <c r="H183" s="19">
        <v>1.0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3">
        <f t="shared" si="38"/>
        <v>1</v>
      </c>
      <c r="P183" s="5"/>
      <c r="Q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0.0</v>
      </c>
      <c r="G184" s="19">
        <v>0.0</v>
      </c>
      <c r="H184" s="19">
        <v>1.0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3">
        <f t="shared" si="38"/>
        <v>1</v>
      </c>
      <c r="P184" s="5"/>
      <c r="Q184" s="5"/>
    </row>
    <row r="185" ht="12.75" customHeight="1">
      <c r="A185" s="18"/>
      <c r="B185" s="68"/>
      <c r="C185" s="69"/>
      <c r="D185" s="71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3">
        <f t="shared" si="38"/>
        <v>0</v>
      </c>
      <c r="P185" s="5"/>
      <c r="Q185" s="5"/>
    </row>
    <row r="186" ht="12.75" customHeight="1">
      <c r="A186" s="18"/>
      <c r="B186" s="68"/>
      <c r="C186" s="69"/>
      <c r="D186" s="71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3">
        <f t="shared" si="38"/>
        <v>0</v>
      </c>
      <c r="P186" s="5"/>
      <c r="Q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N187" si="39">SUM(E177:E184)</f>
        <v>0</v>
      </c>
      <c r="F187" s="13">
        <f t="shared" si="39"/>
        <v>5</v>
      </c>
      <c r="G187" s="13">
        <f t="shared" si="39"/>
        <v>5</v>
      </c>
      <c r="H187" s="13">
        <f t="shared" si="39"/>
        <v>2</v>
      </c>
      <c r="I187" s="13">
        <f t="shared" si="39"/>
        <v>1</v>
      </c>
      <c r="J187" s="13">
        <f t="shared" si="39"/>
        <v>0</v>
      </c>
      <c r="K187" s="13">
        <f t="shared" si="39"/>
        <v>0</v>
      </c>
      <c r="L187" s="13">
        <f t="shared" si="39"/>
        <v>0</v>
      </c>
      <c r="M187" s="13">
        <f t="shared" si="39"/>
        <v>4</v>
      </c>
      <c r="N187" s="13">
        <f t="shared" si="39"/>
        <v>0</v>
      </c>
      <c r="O187" s="13">
        <f t="shared" si="38"/>
        <v>17</v>
      </c>
      <c r="P187" s="1"/>
      <c r="Q187" s="1"/>
    </row>
    <row r="188" ht="12.75" customHeight="1">
      <c r="A188" s="24"/>
      <c r="B188" s="15"/>
      <c r="C188" s="15"/>
      <c r="D188" s="15"/>
      <c r="E188" s="16"/>
      <c r="F188" s="72"/>
      <c r="G188" s="72"/>
      <c r="H188" s="72"/>
      <c r="I188" s="72"/>
      <c r="J188" s="72"/>
      <c r="K188" s="72"/>
      <c r="L188" s="72"/>
      <c r="M188" s="72"/>
      <c r="N188" s="72"/>
      <c r="O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1.0</v>
      </c>
      <c r="F189" s="19">
        <v>2.0</v>
      </c>
      <c r="G189" s="19">
        <v>0.0</v>
      </c>
      <c r="H189" s="19">
        <v>0.0</v>
      </c>
      <c r="I189" s="19">
        <v>0.0</v>
      </c>
      <c r="J189" s="19">
        <v>0.0</v>
      </c>
      <c r="K189" s="19">
        <v>6.0</v>
      </c>
      <c r="L189" s="19">
        <v>0.0</v>
      </c>
      <c r="M189" s="19">
        <v>0.0</v>
      </c>
      <c r="N189" s="19">
        <v>0.0</v>
      </c>
      <c r="O189" s="13">
        <f t="shared" ref="O189:O199" si="40">SUM(E189:N189)</f>
        <v>9</v>
      </c>
      <c r="P189" s="5"/>
      <c r="Q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2.0</v>
      </c>
      <c r="L190" s="19">
        <v>1.0</v>
      </c>
      <c r="M190" s="19">
        <v>0.0</v>
      </c>
      <c r="N190" s="19">
        <v>0.0</v>
      </c>
      <c r="O190" s="13">
        <f t="shared" si="40"/>
        <v>3</v>
      </c>
      <c r="P190" s="5"/>
      <c r="Q190" s="5"/>
    </row>
    <row r="191" ht="12.75" customHeight="1">
      <c r="A191" s="18"/>
      <c r="B191" s="55">
        <v>2.0</v>
      </c>
      <c r="C191" s="50" t="s">
        <v>140</v>
      </c>
      <c r="D191" s="57"/>
      <c r="E191" s="19">
        <v>1.0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6.0</v>
      </c>
      <c r="L191" s="19">
        <v>1.0</v>
      </c>
      <c r="M191" s="19">
        <v>0.0</v>
      </c>
      <c r="N191" s="19">
        <v>0.0</v>
      </c>
      <c r="O191" s="13">
        <f t="shared" si="40"/>
        <v>8</v>
      </c>
      <c r="P191" s="5"/>
      <c r="Q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1.0</v>
      </c>
      <c r="L192" s="19">
        <v>0.0</v>
      </c>
      <c r="M192" s="19">
        <v>0.0</v>
      </c>
      <c r="N192" s="19">
        <v>0.0</v>
      </c>
      <c r="O192" s="13">
        <f t="shared" si="40"/>
        <v>1</v>
      </c>
      <c r="P192" s="5"/>
      <c r="Q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3">
        <f t="shared" si="40"/>
        <v>0</v>
      </c>
      <c r="P193" s="5"/>
      <c r="Q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3">
        <f t="shared" si="40"/>
        <v>0</v>
      </c>
      <c r="P194" s="5"/>
      <c r="Q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3">
        <f t="shared" si="40"/>
        <v>0</v>
      </c>
      <c r="P195" s="5"/>
      <c r="Q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3">
        <f t="shared" si="40"/>
        <v>0</v>
      </c>
      <c r="P196" s="1"/>
      <c r="Q196" s="1"/>
    </row>
    <row r="197" ht="12.75" customHeight="1">
      <c r="A197" s="18"/>
      <c r="B197" s="68"/>
      <c r="C197" s="69"/>
      <c r="D197" s="71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3">
        <f t="shared" si="40"/>
        <v>0</v>
      </c>
      <c r="P197" s="1"/>
      <c r="Q197" s="1"/>
    </row>
    <row r="198" ht="12.75" customHeight="1">
      <c r="A198" s="18"/>
      <c r="B198" s="68"/>
      <c r="C198" s="69"/>
      <c r="D198" s="71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3">
        <f t="shared" si="40"/>
        <v>0</v>
      </c>
      <c r="P198" s="1"/>
      <c r="Q198" s="1"/>
    </row>
    <row r="199" ht="15.0" customHeight="1">
      <c r="A199" s="19" t="s">
        <v>15</v>
      </c>
      <c r="B199" s="47" t="s">
        <v>47</v>
      </c>
      <c r="C199" s="15"/>
      <c r="D199" s="16"/>
      <c r="E199" s="13">
        <f t="shared" ref="E199:N199" si="41">SUM(E189:E196)</f>
        <v>2</v>
      </c>
      <c r="F199" s="13">
        <f t="shared" si="41"/>
        <v>2</v>
      </c>
      <c r="G199" s="13">
        <f t="shared" si="41"/>
        <v>0</v>
      </c>
      <c r="H199" s="13">
        <f t="shared" si="41"/>
        <v>0</v>
      </c>
      <c r="I199" s="13">
        <f t="shared" si="41"/>
        <v>0</v>
      </c>
      <c r="J199" s="13">
        <f t="shared" si="41"/>
        <v>0</v>
      </c>
      <c r="K199" s="13">
        <f t="shared" si="41"/>
        <v>15</v>
      </c>
      <c r="L199" s="13">
        <f t="shared" si="41"/>
        <v>2</v>
      </c>
      <c r="M199" s="13">
        <f t="shared" si="41"/>
        <v>0</v>
      </c>
      <c r="N199" s="13">
        <f t="shared" si="41"/>
        <v>0</v>
      </c>
      <c r="O199" s="13">
        <f t="shared" si="40"/>
        <v>21</v>
      </c>
      <c r="P199" s="52"/>
      <c r="Q199" s="52"/>
    </row>
    <row r="200" ht="12.75" customHeight="1">
      <c r="A200" s="24"/>
      <c r="B200" s="15"/>
      <c r="C200" s="15"/>
      <c r="D200" s="15"/>
      <c r="E200" s="16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5"/>
      <c r="Q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1.0</v>
      </c>
      <c r="F201" s="19">
        <v>10.0</v>
      </c>
      <c r="G201" s="19">
        <v>7.0</v>
      </c>
      <c r="H201" s="19">
        <v>0.0</v>
      </c>
      <c r="I201" s="19">
        <v>2.0</v>
      </c>
      <c r="J201" s="19">
        <v>0.0</v>
      </c>
      <c r="K201" s="19">
        <v>0.0</v>
      </c>
      <c r="L201" s="19">
        <v>4.0</v>
      </c>
      <c r="M201" s="19">
        <v>2.0</v>
      </c>
      <c r="N201" s="19">
        <v>1.0</v>
      </c>
      <c r="O201" s="13">
        <f t="shared" ref="O201:O211" si="42">SUM(E201:N201)</f>
        <v>27</v>
      </c>
      <c r="P201" s="5"/>
      <c r="Q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0.0</v>
      </c>
      <c r="F202" s="19">
        <v>1.0</v>
      </c>
      <c r="G202" s="19">
        <v>3.0</v>
      </c>
      <c r="H202" s="19">
        <v>1.0</v>
      </c>
      <c r="I202" s="19">
        <v>0.0</v>
      </c>
      <c r="J202" s="19">
        <v>0.0</v>
      </c>
      <c r="K202" s="19">
        <v>0.0</v>
      </c>
      <c r="L202" s="19">
        <v>3.0</v>
      </c>
      <c r="M202" s="19">
        <v>1.0</v>
      </c>
      <c r="N202" s="19">
        <v>1.0</v>
      </c>
      <c r="O202" s="13">
        <f t="shared" si="42"/>
        <v>10</v>
      </c>
      <c r="P202" s="5"/>
      <c r="Q202" s="5"/>
    </row>
    <row r="203" ht="12.75" customHeight="1">
      <c r="A203" s="18"/>
      <c r="B203" s="55">
        <v>2.0</v>
      </c>
      <c r="C203" s="50" t="s">
        <v>149</v>
      </c>
      <c r="D203" s="57"/>
      <c r="E203" s="19">
        <v>3.0</v>
      </c>
      <c r="F203" s="19">
        <v>5.0</v>
      </c>
      <c r="G203" s="19">
        <v>1.0</v>
      </c>
      <c r="H203" s="19">
        <v>1.0</v>
      </c>
      <c r="I203" s="19">
        <v>2.0</v>
      </c>
      <c r="J203" s="19">
        <v>0.0</v>
      </c>
      <c r="K203" s="19">
        <v>2.0</v>
      </c>
      <c r="L203" s="19">
        <v>3.0</v>
      </c>
      <c r="M203" s="19">
        <v>5.0</v>
      </c>
      <c r="N203" s="19">
        <v>0.0</v>
      </c>
      <c r="O203" s="13">
        <f t="shared" si="42"/>
        <v>22</v>
      </c>
      <c r="P203" s="5"/>
      <c r="Q203" s="5"/>
    </row>
    <row r="204" ht="12.75" customHeight="1">
      <c r="A204" s="18"/>
      <c r="B204" s="55">
        <v>3.0</v>
      </c>
      <c r="C204" s="50" t="s">
        <v>150</v>
      </c>
      <c r="D204" s="57"/>
      <c r="E204" s="19">
        <v>0.0</v>
      </c>
      <c r="F204" s="19">
        <v>2.0</v>
      </c>
      <c r="G204" s="19">
        <v>0.0</v>
      </c>
      <c r="H204" s="19">
        <v>0.0</v>
      </c>
      <c r="I204" s="19">
        <v>0.0</v>
      </c>
      <c r="J204" s="19">
        <v>0.0</v>
      </c>
      <c r="K204" s="19">
        <v>0.0</v>
      </c>
      <c r="L204" s="19">
        <v>0.0</v>
      </c>
      <c r="M204" s="19">
        <v>0.0</v>
      </c>
      <c r="N204" s="19">
        <v>0.0</v>
      </c>
      <c r="O204" s="13">
        <f t="shared" si="42"/>
        <v>2</v>
      </c>
      <c r="P204" s="5"/>
      <c r="Q204" s="5"/>
    </row>
    <row r="205" ht="12.75" customHeight="1">
      <c r="A205" s="18"/>
      <c r="B205" s="55">
        <v>4.0</v>
      </c>
      <c r="C205" s="50" t="s">
        <v>151</v>
      </c>
      <c r="D205" s="57"/>
      <c r="E205" s="19">
        <v>0.0</v>
      </c>
      <c r="F205" s="19">
        <v>0.0</v>
      </c>
      <c r="G205" s="19">
        <v>0.0</v>
      </c>
      <c r="H205" s="19">
        <v>1.0</v>
      </c>
      <c r="I205" s="19">
        <v>0.0</v>
      </c>
      <c r="J205" s="19">
        <v>0.0</v>
      </c>
      <c r="K205" s="19">
        <v>0.0</v>
      </c>
      <c r="L205" s="19">
        <v>1.0</v>
      </c>
      <c r="M205" s="19">
        <v>0.0</v>
      </c>
      <c r="N205" s="19">
        <v>0.0</v>
      </c>
      <c r="O205" s="13">
        <f t="shared" si="42"/>
        <v>2</v>
      </c>
      <c r="P205" s="5"/>
      <c r="Q205" s="5"/>
    </row>
    <row r="206" ht="12.75" customHeight="1">
      <c r="A206" s="18"/>
      <c r="B206" s="55">
        <v>5.0</v>
      </c>
      <c r="C206" s="50" t="s">
        <v>152</v>
      </c>
      <c r="D206" s="57"/>
      <c r="E206" s="19">
        <v>0.0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0.0</v>
      </c>
      <c r="N206" s="19">
        <v>0.0</v>
      </c>
      <c r="O206" s="13">
        <f t="shared" si="42"/>
        <v>0</v>
      </c>
      <c r="P206" s="5"/>
      <c r="Q206" s="5"/>
    </row>
    <row r="207" ht="12.75" customHeight="1">
      <c r="A207" s="18"/>
      <c r="B207" s="55">
        <v>6.0</v>
      </c>
      <c r="C207" s="50" t="s">
        <v>153</v>
      </c>
      <c r="D207" s="57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3">
        <f t="shared" si="42"/>
        <v>0</v>
      </c>
      <c r="P207" s="1"/>
      <c r="Q207" s="1"/>
    </row>
    <row r="208" ht="12.75" customHeight="1">
      <c r="A208" s="18"/>
      <c r="B208" s="55">
        <v>7.0</v>
      </c>
      <c r="C208" s="50" t="s">
        <v>154</v>
      </c>
      <c r="D208" s="57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0.0</v>
      </c>
      <c r="M208" s="19">
        <v>2.0</v>
      </c>
      <c r="N208" s="19">
        <v>0.0</v>
      </c>
      <c r="O208" s="13">
        <f t="shared" si="42"/>
        <v>2</v>
      </c>
      <c r="P208" s="52"/>
      <c r="Q208" s="52"/>
    </row>
    <row r="209" ht="12.75" customHeight="1">
      <c r="A209" s="18"/>
      <c r="B209" s="68"/>
      <c r="C209" s="69"/>
      <c r="D209" s="71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3">
        <f t="shared" si="42"/>
        <v>0</v>
      </c>
      <c r="P209" s="52"/>
      <c r="Q209" s="52"/>
    </row>
    <row r="210" ht="12.75" customHeight="1">
      <c r="A210" s="18"/>
      <c r="B210" s="68"/>
      <c r="C210" s="69"/>
      <c r="D210" s="71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3">
        <f t="shared" si="42"/>
        <v>0</v>
      </c>
      <c r="P210" s="52"/>
      <c r="Q210" s="52"/>
    </row>
    <row r="211" ht="15.0" customHeight="1">
      <c r="A211" s="19" t="s">
        <v>15</v>
      </c>
      <c r="B211" s="47" t="s">
        <v>47</v>
      </c>
      <c r="C211" s="15"/>
      <c r="D211" s="16"/>
      <c r="E211" s="13">
        <f t="shared" ref="E211:N211" si="43">SUM(E201:E208)</f>
        <v>4</v>
      </c>
      <c r="F211" s="13">
        <f t="shared" si="43"/>
        <v>18</v>
      </c>
      <c r="G211" s="13">
        <f t="shared" si="43"/>
        <v>11</v>
      </c>
      <c r="H211" s="13">
        <f t="shared" si="43"/>
        <v>3</v>
      </c>
      <c r="I211" s="13">
        <f t="shared" si="43"/>
        <v>4</v>
      </c>
      <c r="J211" s="13">
        <f t="shared" si="43"/>
        <v>0</v>
      </c>
      <c r="K211" s="13">
        <f t="shared" si="43"/>
        <v>2</v>
      </c>
      <c r="L211" s="13">
        <f t="shared" si="43"/>
        <v>11</v>
      </c>
      <c r="M211" s="13">
        <f t="shared" si="43"/>
        <v>10</v>
      </c>
      <c r="N211" s="13">
        <f t="shared" si="43"/>
        <v>2</v>
      </c>
      <c r="O211" s="13">
        <f t="shared" si="42"/>
        <v>65</v>
      </c>
      <c r="P211" s="5"/>
      <c r="Q211" s="5"/>
    </row>
    <row r="212" ht="12.75" customHeight="1">
      <c r="A212" s="24"/>
      <c r="B212" s="15"/>
      <c r="C212" s="15"/>
      <c r="D212" s="15"/>
      <c r="E212" s="16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5"/>
      <c r="Q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3.0</v>
      </c>
      <c r="F213" s="19">
        <v>1.0</v>
      </c>
      <c r="G213" s="19">
        <v>0.0</v>
      </c>
      <c r="H213" s="19">
        <v>1.0</v>
      </c>
      <c r="I213" s="19">
        <v>2.0</v>
      </c>
      <c r="J213" s="19">
        <v>1.0</v>
      </c>
      <c r="K213" s="19">
        <v>1.0</v>
      </c>
      <c r="L213" s="19">
        <v>0.0</v>
      </c>
      <c r="M213" s="19">
        <v>2.0</v>
      </c>
      <c r="N213" s="19">
        <v>3.0</v>
      </c>
      <c r="O213" s="13">
        <f t="shared" ref="O213:O223" si="44">SUM(E213:N213)</f>
        <v>14</v>
      </c>
      <c r="P213" s="5"/>
      <c r="Q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0.0</v>
      </c>
      <c r="F214" s="19">
        <v>2.0</v>
      </c>
      <c r="G214" s="19">
        <v>0.0</v>
      </c>
      <c r="H214" s="19">
        <v>3.0</v>
      </c>
      <c r="I214" s="19">
        <v>2.0</v>
      </c>
      <c r="J214" s="19">
        <v>6.0</v>
      </c>
      <c r="K214" s="19">
        <v>1.0</v>
      </c>
      <c r="L214" s="19">
        <v>0.0</v>
      </c>
      <c r="M214" s="19">
        <v>0.0</v>
      </c>
      <c r="N214" s="19">
        <v>3.0</v>
      </c>
      <c r="O214" s="13">
        <f t="shared" si="44"/>
        <v>17</v>
      </c>
      <c r="P214" s="5"/>
      <c r="Q214" s="5"/>
    </row>
    <row r="215" ht="12.75" customHeight="1">
      <c r="A215" s="18"/>
      <c r="B215" s="55">
        <v>2.0</v>
      </c>
      <c r="C215" s="50" t="s">
        <v>158</v>
      </c>
      <c r="D215" s="56"/>
      <c r="E215" s="19">
        <v>2.0</v>
      </c>
      <c r="F215" s="19">
        <v>0.0</v>
      </c>
      <c r="G215" s="19">
        <v>0.0</v>
      </c>
      <c r="H215" s="19">
        <v>0.0</v>
      </c>
      <c r="I215" s="19">
        <v>1.0</v>
      </c>
      <c r="J215" s="19">
        <v>0.0</v>
      </c>
      <c r="K215" s="19">
        <v>2.0</v>
      </c>
      <c r="L215" s="19">
        <v>0.0</v>
      </c>
      <c r="M215" s="19">
        <v>1.0</v>
      </c>
      <c r="N215" s="19">
        <v>1.0</v>
      </c>
      <c r="O215" s="13">
        <f t="shared" si="44"/>
        <v>7</v>
      </c>
      <c r="P215" s="5"/>
      <c r="Q215" s="5"/>
    </row>
    <row r="216" ht="12.75" customHeight="1">
      <c r="A216" s="18"/>
      <c r="B216" s="55">
        <v>3.0</v>
      </c>
      <c r="C216" s="61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1.0</v>
      </c>
      <c r="N216" s="19">
        <v>0.0</v>
      </c>
      <c r="O216" s="13">
        <f t="shared" si="44"/>
        <v>1</v>
      </c>
      <c r="P216" s="5"/>
      <c r="Q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3">
        <f t="shared" si="44"/>
        <v>0</v>
      </c>
      <c r="P217" s="5"/>
      <c r="Q217" s="5"/>
    </row>
    <row r="218" ht="12.75" customHeight="1">
      <c r="A218" s="18"/>
      <c r="B218" s="55">
        <v>5.0</v>
      </c>
      <c r="C218" s="50" t="s">
        <v>161</v>
      </c>
      <c r="D218" s="56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3">
        <f t="shared" si="44"/>
        <v>0</v>
      </c>
      <c r="P218" s="1"/>
      <c r="Q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3">
        <f t="shared" si="44"/>
        <v>0</v>
      </c>
      <c r="P219" s="52"/>
      <c r="Q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3">
        <f t="shared" si="44"/>
        <v>0</v>
      </c>
      <c r="P220" s="5"/>
      <c r="Q220" s="5"/>
    </row>
    <row r="221" ht="12.75" customHeight="1">
      <c r="A221" s="18"/>
      <c r="B221" s="68"/>
      <c r="C221" s="69"/>
      <c r="D221" s="70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3">
        <f t="shared" si="44"/>
        <v>0</v>
      </c>
      <c r="P221" s="5"/>
      <c r="Q221" s="5"/>
    </row>
    <row r="222" ht="12.75" customHeight="1">
      <c r="A222" s="18"/>
      <c r="B222" s="68"/>
      <c r="C222" s="69"/>
      <c r="D222" s="70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3">
        <f t="shared" si="44"/>
        <v>0</v>
      </c>
      <c r="P222" s="5"/>
      <c r="Q222" s="5"/>
    </row>
    <row r="223" ht="15.0" customHeight="1">
      <c r="A223" s="19" t="s">
        <v>15</v>
      </c>
      <c r="B223" s="47" t="s">
        <v>47</v>
      </c>
      <c r="C223" s="15"/>
      <c r="D223" s="16"/>
      <c r="E223" s="13">
        <f t="shared" ref="E223:N223" si="45">SUM(E213:E220)</f>
        <v>5</v>
      </c>
      <c r="F223" s="13">
        <f t="shared" si="45"/>
        <v>3</v>
      </c>
      <c r="G223" s="13">
        <f t="shared" si="45"/>
        <v>0</v>
      </c>
      <c r="H223" s="13">
        <f t="shared" si="45"/>
        <v>4</v>
      </c>
      <c r="I223" s="13">
        <f t="shared" si="45"/>
        <v>5</v>
      </c>
      <c r="J223" s="13">
        <f t="shared" si="45"/>
        <v>7</v>
      </c>
      <c r="K223" s="13">
        <f t="shared" si="45"/>
        <v>4</v>
      </c>
      <c r="L223" s="13">
        <f t="shared" si="45"/>
        <v>0</v>
      </c>
      <c r="M223" s="13">
        <f t="shared" si="45"/>
        <v>4</v>
      </c>
      <c r="N223" s="13">
        <f t="shared" si="45"/>
        <v>7</v>
      </c>
      <c r="O223" s="13">
        <f t="shared" si="44"/>
        <v>39</v>
      </c>
      <c r="P223" s="5"/>
      <c r="Q223" s="5"/>
    </row>
    <row r="224" ht="12.75" customHeight="1">
      <c r="A224" s="24"/>
      <c r="B224" s="15"/>
      <c r="C224" s="15"/>
      <c r="D224" s="15"/>
      <c r="E224" s="16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5"/>
      <c r="Q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1.0</v>
      </c>
      <c r="J225" s="19">
        <v>0.0</v>
      </c>
      <c r="K225" s="19">
        <v>0.0</v>
      </c>
      <c r="L225" s="19">
        <v>0.0</v>
      </c>
      <c r="M225" s="19">
        <v>0.0</v>
      </c>
      <c r="N225" s="19">
        <v>2.0</v>
      </c>
      <c r="O225" s="13">
        <f t="shared" ref="O225:O235" si="46">SUM(E225:N225)</f>
        <v>3</v>
      </c>
      <c r="P225" s="5"/>
      <c r="Q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1.0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1.0</v>
      </c>
      <c r="L226" s="19">
        <v>0.0</v>
      </c>
      <c r="M226" s="19">
        <v>0.0</v>
      </c>
      <c r="N226" s="19">
        <v>0.0</v>
      </c>
      <c r="O226" s="13">
        <f t="shared" si="46"/>
        <v>2</v>
      </c>
      <c r="P226" s="5"/>
      <c r="Q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1.0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3">
        <f t="shared" si="46"/>
        <v>1</v>
      </c>
      <c r="P227" s="5"/>
      <c r="Q227" s="5"/>
    </row>
    <row r="228" ht="12.75" customHeight="1">
      <c r="A228" s="18"/>
      <c r="B228" s="55">
        <v>3.0</v>
      </c>
      <c r="C228" s="50" t="s">
        <v>168</v>
      </c>
      <c r="D228" s="57"/>
      <c r="E228" s="19">
        <v>1.0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3">
        <f t="shared" si="46"/>
        <v>1</v>
      </c>
      <c r="P228" s="5"/>
      <c r="Q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3">
        <f t="shared" si="46"/>
        <v>0</v>
      </c>
      <c r="P229" s="1"/>
      <c r="Q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3">
        <f t="shared" si="46"/>
        <v>0</v>
      </c>
      <c r="P230" s="52"/>
      <c r="Q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3">
        <f t="shared" si="46"/>
        <v>0</v>
      </c>
      <c r="P231" s="5"/>
      <c r="Q231" s="5"/>
    </row>
    <row r="232" ht="12.75" customHeight="1">
      <c r="A232" s="18"/>
      <c r="B232" s="55">
        <v>7.0</v>
      </c>
      <c r="C232" s="50" t="s">
        <v>172</v>
      </c>
      <c r="D232" s="57"/>
      <c r="E232" s="19">
        <v>1.0</v>
      </c>
      <c r="F232" s="19">
        <v>0.0</v>
      </c>
      <c r="G232" s="19">
        <v>0.0</v>
      </c>
      <c r="H232" s="19">
        <v>0.0</v>
      </c>
      <c r="I232" s="19">
        <v>2.0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3">
        <f t="shared" si="46"/>
        <v>3</v>
      </c>
      <c r="P232" s="5"/>
      <c r="Q232" s="5"/>
    </row>
    <row r="233" ht="12.75" customHeight="1">
      <c r="A233" s="18"/>
      <c r="B233" s="68"/>
      <c r="C233" s="69"/>
      <c r="D233" s="71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3">
        <f t="shared" si="46"/>
        <v>0</v>
      </c>
      <c r="P233" s="5"/>
      <c r="Q233" s="5"/>
    </row>
    <row r="234" ht="12.75" customHeight="1">
      <c r="A234" s="18"/>
      <c r="B234" s="68"/>
      <c r="C234" s="69"/>
      <c r="D234" s="71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3">
        <f t="shared" si="46"/>
        <v>0</v>
      </c>
      <c r="P234" s="5"/>
      <c r="Q234" s="5"/>
    </row>
    <row r="235" ht="15.0" customHeight="1">
      <c r="A235" s="19" t="s">
        <v>15</v>
      </c>
      <c r="B235" s="47" t="s">
        <v>47</v>
      </c>
      <c r="C235" s="15"/>
      <c r="D235" s="16"/>
      <c r="E235" s="13">
        <f t="shared" ref="E235:N235" si="47">SUM(E225:E232)</f>
        <v>3</v>
      </c>
      <c r="F235" s="13">
        <f t="shared" si="47"/>
        <v>1</v>
      </c>
      <c r="G235" s="13">
        <f t="shared" si="47"/>
        <v>0</v>
      </c>
      <c r="H235" s="13">
        <f t="shared" si="47"/>
        <v>0</v>
      </c>
      <c r="I235" s="13">
        <f t="shared" si="47"/>
        <v>3</v>
      </c>
      <c r="J235" s="13">
        <f t="shared" si="47"/>
        <v>0</v>
      </c>
      <c r="K235" s="13">
        <f t="shared" si="47"/>
        <v>1</v>
      </c>
      <c r="L235" s="13">
        <f t="shared" si="47"/>
        <v>0</v>
      </c>
      <c r="M235" s="13">
        <f t="shared" si="47"/>
        <v>0</v>
      </c>
      <c r="N235" s="13">
        <f t="shared" si="47"/>
        <v>2</v>
      </c>
      <c r="O235" s="13">
        <f t="shared" si="46"/>
        <v>10</v>
      </c>
      <c r="P235" s="5"/>
      <c r="Q235" s="5"/>
    </row>
    <row r="236" ht="12.75" customHeight="1">
      <c r="A236" s="24"/>
      <c r="B236" s="15"/>
      <c r="C236" s="15"/>
      <c r="D236" s="15"/>
      <c r="E236" s="16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5"/>
      <c r="Q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5.0</v>
      </c>
      <c r="F237" s="19">
        <v>1.0</v>
      </c>
      <c r="G237" s="19">
        <v>3.0</v>
      </c>
      <c r="H237" s="19">
        <v>1.0</v>
      </c>
      <c r="I237" s="19">
        <v>3.0</v>
      </c>
      <c r="J237" s="19">
        <v>3.0</v>
      </c>
      <c r="K237" s="19">
        <v>3.0</v>
      </c>
      <c r="L237" s="19">
        <v>1.0</v>
      </c>
      <c r="M237" s="19">
        <v>0.0</v>
      </c>
      <c r="N237" s="19">
        <v>3.0</v>
      </c>
      <c r="O237" s="13">
        <f t="shared" ref="O237:O247" si="48">SUM(E237:N237)</f>
        <v>23</v>
      </c>
      <c r="P237" s="5"/>
      <c r="Q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0.0</v>
      </c>
      <c r="F238" s="19">
        <v>0.0</v>
      </c>
      <c r="G238" s="19">
        <v>1.0</v>
      </c>
      <c r="H238" s="19">
        <v>0.0</v>
      </c>
      <c r="I238" s="19">
        <v>2.0</v>
      </c>
      <c r="J238" s="19">
        <v>1.0</v>
      </c>
      <c r="K238" s="19">
        <v>2.0</v>
      </c>
      <c r="L238" s="19">
        <v>0.0</v>
      </c>
      <c r="M238" s="19">
        <v>1.0</v>
      </c>
      <c r="N238" s="19">
        <v>3.0</v>
      </c>
      <c r="O238" s="13">
        <f t="shared" si="48"/>
        <v>10</v>
      </c>
      <c r="P238" s="5"/>
      <c r="Q238" s="5"/>
    </row>
    <row r="239" ht="12.75" customHeight="1">
      <c r="A239" s="18"/>
      <c r="B239" s="55">
        <v>2.0</v>
      </c>
      <c r="C239" s="50" t="s">
        <v>176</v>
      </c>
      <c r="D239" s="57"/>
      <c r="E239" s="19">
        <v>17.0</v>
      </c>
      <c r="F239" s="19">
        <v>8.0</v>
      </c>
      <c r="G239" s="19">
        <v>17.0</v>
      </c>
      <c r="H239" s="19">
        <v>11.0</v>
      </c>
      <c r="I239" s="19">
        <v>29.0</v>
      </c>
      <c r="J239" s="19">
        <v>129.0</v>
      </c>
      <c r="K239" s="19">
        <v>21.0</v>
      </c>
      <c r="L239" s="19">
        <v>14.0</v>
      </c>
      <c r="M239" s="19">
        <v>4.0</v>
      </c>
      <c r="N239" s="19">
        <v>29.0</v>
      </c>
      <c r="O239" s="13">
        <f t="shared" si="48"/>
        <v>279</v>
      </c>
      <c r="P239" s="5"/>
      <c r="Q239" s="5"/>
    </row>
    <row r="240" ht="12.75" customHeight="1">
      <c r="A240" s="18"/>
      <c r="B240" s="55">
        <v>3.0</v>
      </c>
      <c r="C240" s="50" t="s">
        <v>177</v>
      </c>
      <c r="D240" s="57"/>
      <c r="E240" s="19">
        <v>0.0</v>
      </c>
      <c r="F240" s="19">
        <v>0.0</v>
      </c>
      <c r="G240" s="19">
        <v>0.0</v>
      </c>
      <c r="H240" s="19">
        <v>0.0</v>
      </c>
      <c r="I240" s="19">
        <v>1.0</v>
      </c>
      <c r="J240" s="19">
        <v>1.0</v>
      </c>
      <c r="K240" s="19">
        <v>1.0</v>
      </c>
      <c r="L240" s="19">
        <v>0.0</v>
      </c>
      <c r="M240" s="19">
        <v>0.0</v>
      </c>
      <c r="N240" s="19">
        <v>0.0</v>
      </c>
      <c r="O240" s="13">
        <f t="shared" si="48"/>
        <v>3</v>
      </c>
      <c r="P240" s="1"/>
      <c r="Q240" s="1"/>
    </row>
    <row r="241" ht="12.75" customHeight="1">
      <c r="A241" s="18"/>
      <c r="B241" s="55">
        <v>4.0</v>
      </c>
      <c r="C241" s="50" t="s">
        <v>178</v>
      </c>
      <c r="D241" s="57"/>
      <c r="E241" s="19">
        <v>0.0</v>
      </c>
      <c r="F241" s="19">
        <v>1.0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3">
        <f t="shared" si="48"/>
        <v>1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3">
        <f t="shared" si="48"/>
        <v>0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1.0</v>
      </c>
      <c r="L243" s="19">
        <v>0.0</v>
      </c>
      <c r="M243" s="19">
        <v>0.0</v>
      </c>
      <c r="N243" s="19">
        <v>0.0</v>
      </c>
      <c r="O243" s="13">
        <f t="shared" si="48"/>
        <v>1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0.0</v>
      </c>
      <c r="F244" s="19">
        <v>0.0</v>
      </c>
      <c r="G244" s="19">
        <v>0.0</v>
      </c>
      <c r="H244" s="19">
        <v>0.0</v>
      </c>
      <c r="I244" s="19">
        <v>0.0</v>
      </c>
      <c r="J244" s="19">
        <v>0.0</v>
      </c>
      <c r="K244" s="19">
        <v>0.0</v>
      </c>
      <c r="L244" s="19">
        <v>0.0</v>
      </c>
      <c r="M244" s="19">
        <v>0.0</v>
      </c>
      <c r="N244" s="19">
        <v>1.0</v>
      </c>
      <c r="O244" s="13">
        <f t="shared" si="48"/>
        <v>1</v>
      </c>
    </row>
    <row r="245" ht="12.75" customHeight="1">
      <c r="A245" s="18"/>
      <c r="B245" s="68"/>
      <c r="C245" s="69"/>
      <c r="D245" s="71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3">
        <f t="shared" si="48"/>
        <v>0</v>
      </c>
    </row>
    <row r="246" ht="12.75" customHeight="1">
      <c r="A246" s="18"/>
      <c r="B246" s="68"/>
      <c r="C246" s="69"/>
      <c r="D246" s="71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3">
        <f t="shared" si="48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N247" si="49">SUM(E237:E244)</f>
        <v>22</v>
      </c>
      <c r="F247" s="13">
        <f t="shared" si="49"/>
        <v>10</v>
      </c>
      <c r="G247" s="13">
        <f t="shared" si="49"/>
        <v>21</v>
      </c>
      <c r="H247" s="13">
        <f t="shared" si="49"/>
        <v>12</v>
      </c>
      <c r="I247" s="13">
        <f t="shared" si="49"/>
        <v>35</v>
      </c>
      <c r="J247" s="13">
        <f t="shared" si="49"/>
        <v>134</v>
      </c>
      <c r="K247" s="13">
        <f t="shared" si="49"/>
        <v>28</v>
      </c>
      <c r="L247" s="13">
        <f t="shared" si="49"/>
        <v>15</v>
      </c>
      <c r="M247" s="13">
        <f t="shared" si="49"/>
        <v>5</v>
      </c>
      <c r="N247" s="13">
        <f t="shared" si="49"/>
        <v>36</v>
      </c>
      <c r="O247" s="13">
        <f t="shared" si="48"/>
        <v>318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2.0</v>
      </c>
      <c r="L249" s="19">
        <v>1.0</v>
      </c>
      <c r="M249" s="19">
        <v>0.0</v>
      </c>
      <c r="N249" s="19">
        <v>1.0</v>
      </c>
      <c r="O249" s="13">
        <f t="shared" ref="O249:O259" si="50">SUM(E249:N249)</f>
        <v>4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1.0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3">
        <f t="shared" si="50"/>
        <v>1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3">
        <f t="shared" si="50"/>
        <v>0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3">
        <f t="shared" si="50"/>
        <v>0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3">
        <f t="shared" si="50"/>
        <v>0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1.0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3">
        <f t="shared" si="50"/>
        <v>1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1.0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3">
        <f t="shared" si="50"/>
        <v>1</v>
      </c>
    </row>
    <row r="256" ht="12.75" customHeight="1">
      <c r="A256" s="18"/>
      <c r="B256" s="68"/>
      <c r="C256" s="73"/>
      <c r="D256" s="71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3">
        <f t="shared" si="50"/>
        <v>0</v>
      </c>
    </row>
    <row r="257" ht="12.75" customHeight="1">
      <c r="A257" s="18"/>
      <c r="B257" s="68"/>
      <c r="C257" s="73"/>
      <c r="D257" s="71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3">
        <f t="shared" si="50"/>
        <v>0</v>
      </c>
    </row>
    <row r="258" ht="12.75" customHeight="1">
      <c r="A258" s="18"/>
      <c r="B258" s="68"/>
      <c r="C258" s="73"/>
      <c r="D258" s="71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3">
        <f t="shared" si="50"/>
        <v>0</v>
      </c>
    </row>
    <row r="259" ht="15.0" customHeight="1">
      <c r="A259" s="19" t="s">
        <v>15</v>
      </c>
      <c r="B259" s="47" t="s">
        <v>47</v>
      </c>
      <c r="C259" s="15"/>
      <c r="D259" s="16"/>
      <c r="E259" s="13">
        <f t="shared" ref="E259:N259" si="51">SUM(E249:E255)</f>
        <v>1</v>
      </c>
      <c r="F259" s="13">
        <f t="shared" si="51"/>
        <v>2</v>
      </c>
      <c r="G259" s="13">
        <f t="shared" si="51"/>
        <v>0</v>
      </c>
      <c r="H259" s="13">
        <f t="shared" si="51"/>
        <v>0</v>
      </c>
      <c r="I259" s="13">
        <f t="shared" si="51"/>
        <v>0</v>
      </c>
      <c r="J259" s="13">
        <f t="shared" si="51"/>
        <v>0</v>
      </c>
      <c r="K259" s="13">
        <f t="shared" si="51"/>
        <v>2</v>
      </c>
      <c r="L259" s="13">
        <f t="shared" si="51"/>
        <v>1</v>
      </c>
      <c r="M259" s="13">
        <f t="shared" si="51"/>
        <v>0</v>
      </c>
      <c r="N259" s="13">
        <f t="shared" si="51"/>
        <v>1</v>
      </c>
      <c r="O259" s="13">
        <f t="shared" si="50"/>
        <v>7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N262" si="52">E55+E67+E79+E91+E103+E115+E127+E139+E151+E163+E175+E187+E199+E211+E223+E235+E247+E259</f>
        <v>184</v>
      </c>
      <c r="F262" s="19">
        <f t="shared" si="52"/>
        <v>153</v>
      </c>
      <c r="G262" s="19">
        <f t="shared" si="52"/>
        <v>228</v>
      </c>
      <c r="H262" s="19">
        <f t="shared" si="52"/>
        <v>199</v>
      </c>
      <c r="I262" s="19">
        <f t="shared" si="52"/>
        <v>206</v>
      </c>
      <c r="J262" s="19">
        <f t="shared" si="52"/>
        <v>208</v>
      </c>
      <c r="K262" s="19">
        <f t="shared" si="52"/>
        <v>228</v>
      </c>
      <c r="L262" s="19">
        <f t="shared" si="52"/>
        <v>177</v>
      </c>
      <c r="M262" s="19">
        <f t="shared" si="52"/>
        <v>206</v>
      </c>
      <c r="N262" s="19">
        <f t="shared" si="52"/>
        <v>192</v>
      </c>
      <c r="O262" s="13">
        <f t="shared" ref="O262:O264" si="53">SUM(E262:N262)</f>
        <v>1981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22.0</v>
      </c>
      <c r="F263" s="19">
        <v>27.0</v>
      </c>
      <c r="G263" s="19">
        <v>18.0</v>
      </c>
      <c r="H263" s="19">
        <v>39.0</v>
      </c>
      <c r="I263" s="19">
        <v>23.0</v>
      </c>
      <c r="J263" s="19">
        <v>18.0</v>
      </c>
      <c r="K263" s="19">
        <v>13.0</v>
      </c>
      <c r="L263" s="19">
        <v>12.0</v>
      </c>
      <c r="M263" s="19">
        <v>30.0</v>
      </c>
      <c r="N263" s="19">
        <v>23.0</v>
      </c>
      <c r="O263" s="13">
        <f t="shared" si="53"/>
        <v>225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N264" si="54">SUM(E262:E263)</f>
        <v>206</v>
      </c>
      <c r="F264" s="13">
        <f t="shared" si="54"/>
        <v>180</v>
      </c>
      <c r="G264" s="13">
        <f t="shared" si="54"/>
        <v>246</v>
      </c>
      <c r="H264" s="13">
        <f t="shared" si="54"/>
        <v>238</v>
      </c>
      <c r="I264" s="13">
        <f t="shared" si="54"/>
        <v>229</v>
      </c>
      <c r="J264" s="13">
        <f t="shared" si="54"/>
        <v>226</v>
      </c>
      <c r="K264" s="13">
        <f t="shared" si="54"/>
        <v>241</v>
      </c>
      <c r="L264" s="13">
        <f t="shared" si="54"/>
        <v>189</v>
      </c>
      <c r="M264" s="13">
        <f t="shared" si="54"/>
        <v>236</v>
      </c>
      <c r="N264" s="13">
        <f t="shared" si="54"/>
        <v>215</v>
      </c>
      <c r="O264" s="13">
        <f t="shared" si="53"/>
        <v>2206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N12"/>
    <mergeCell ref="O12:O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N15">
    <cfRule type="containsBlanks" dxfId="1" priority="1">
      <formula>LEN(TRIM(E14))=0</formula>
    </cfRule>
  </conditionalFormatting>
  <conditionalFormatting sqref="E19:N20">
    <cfRule type="containsBlanks" dxfId="1" priority="2">
      <formula>LEN(TRIM(E19))=0</formula>
    </cfRule>
  </conditionalFormatting>
  <conditionalFormatting sqref="E22:N23 E25:N26 E33:N33 E35:N35 E39:N40">
    <cfRule type="containsBlanks" dxfId="1" priority="3">
      <formula>LEN(TRIM(E22))=0</formula>
    </cfRule>
  </conditionalFormatting>
  <conditionalFormatting sqref="E30:N30">
    <cfRule type="expression" dxfId="0" priority="4">
      <formula>E30&lt;&gt;E47</formula>
    </cfRule>
  </conditionalFormatting>
  <conditionalFormatting sqref="E30:N30">
    <cfRule type="expression" dxfId="0" priority="5">
      <formula>E30&lt;&gt;E34</formula>
    </cfRule>
  </conditionalFormatting>
  <conditionalFormatting sqref="E34:N34">
    <cfRule type="expression" dxfId="2" priority="6">
      <formula>E30&lt;&gt;E34</formula>
    </cfRule>
  </conditionalFormatting>
  <conditionalFormatting sqref="E34:N34">
    <cfRule type="expression" dxfId="3" priority="7">
      <formula>E30=E34</formula>
    </cfRule>
  </conditionalFormatting>
  <conditionalFormatting sqref="E34:N34">
    <cfRule type="expression" dxfId="0" priority="8">
      <formula>E34&lt;&gt;E30</formula>
    </cfRule>
  </conditionalFormatting>
  <conditionalFormatting sqref="E34:N34">
    <cfRule type="expression" dxfId="0" priority="9">
      <formula>E34&lt;&gt;E64</formula>
    </cfRule>
  </conditionalFormatting>
  <conditionalFormatting sqref="E45:N54">
    <cfRule type="containsBlanks" dxfId="1" priority="10">
      <formula>LEN(TRIM(E45))=0</formula>
    </cfRule>
  </conditionalFormatting>
  <conditionalFormatting sqref="E57:N66">
    <cfRule type="containsBlanks" dxfId="1" priority="11">
      <formula>LEN(TRIM(E57))=0</formula>
    </cfRule>
  </conditionalFormatting>
  <conditionalFormatting sqref="E69:N78">
    <cfRule type="containsBlanks" dxfId="1" priority="12">
      <formula>LEN(TRIM(E69))=0</formula>
    </cfRule>
  </conditionalFormatting>
  <conditionalFormatting sqref="E81:N90">
    <cfRule type="containsBlanks" dxfId="1" priority="13">
      <formula>LEN(TRIM(E81))=0</formula>
    </cfRule>
  </conditionalFormatting>
  <conditionalFormatting sqref="E93:N102">
    <cfRule type="containsBlanks" dxfId="1" priority="14">
      <formula>LEN(TRIM(E93))=0</formula>
    </cfRule>
  </conditionalFormatting>
  <conditionalFormatting sqref="E105:N114">
    <cfRule type="containsBlanks" dxfId="1" priority="15">
      <formula>LEN(TRIM(E105))=0</formula>
    </cfRule>
  </conditionalFormatting>
  <conditionalFormatting sqref="E117:N126">
    <cfRule type="containsBlanks" dxfId="1" priority="16">
      <formula>LEN(TRIM(E117))=0</formula>
    </cfRule>
  </conditionalFormatting>
  <conditionalFormatting sqref="E129:N138">
    <cfRule type="containsBlanks" dxfId="1" priority="17">
      <formula>LEN(TRIM(E129))=0</formula>
    </cfRule>
  </conditionalFormatting>
  <conditionalFormatting sqref="E141:N150">
    <cfRule type="containsBlanks" dxfId="1" priority="18">
      <formula>LEN(TRIM(E141))=0</formula>
    </cfRule>
  </conditionalFormatting>
  <conditionalFormatting sqref="E153:N162">
    <cfRule type="containsBlanks" dxfId="1" priority="19">
      <formula>LEN(TRIM(E153))=0</formula>
    </cfRule>
  </conditionalFormatting>
  <conditionalFormatting sqref="E165:N174">
    <cfRule type="containsBlanks" dxfId="1" priority="20">
      <formula>LEN(TRIM(E165))=0</formula>
    </cfRule>
  </conditionalFormatting>
  <conditionalFormatting sqref="E177:N186">
    <cfRule type="containsBlanks" dxfId="1" priority="21">
      <formula>LEN(TRIM(E177))=0</formula>
    </cfRule>
  </conditionalFormatting>
  <conditionalFormatting sqref="E189:N198">
    <cfRule type="containsBlanks" dxfId="1" priority="22">
      <formula>LEN(TRIM(E189))=0</formula>
    </cfRule>
  </conditionalFormatting>
  <conditionalFormatting sqref="E201:N210">
    <cfRule type="containsBlanks" dxfId="1" priority="23">
      <formula>LEN(TRIM(E201))=0</formula>
    </cfRule>
  </conditionalFormatting>
  <conditionalFormatting sqref="E213:N222">
    <cfRule type="containsBlanks" dxfId="1" priority="24">
      <formula>LEN(TRIM(E213))=0</formula>
    </cfRule>
  </conditionalFormatting>
  <conditionalFormatting sqref="E225:N234">
    <cfRule type="containsBlanks" dxfId="1" priority="25">
      <formula>LEN(TRIM(E225))=0</formula>
    </cfRule>
  </conditionalFormatting>
  <conditionalFormatting sqref="E237:N246">
    <cfRule type="containsBlanks" dxfId="1" priority="26">
      <formula>LEN(TRIM(E237))=0</formula>
    </cfRule>
  </conditionalFormatting>
  <conditionalFormatting sqref="E249:N259">
    <cfRule type="containsBlanks" dxfId="1" priority="27">
      <formula>LEN(TRIM(E249))=0</formula>
    </cfRule>
  </conditionalFormatting>
  <conditionalFormatting sqref="E262:N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9" width="8.71"/>
    <col customWidth="1" min="20" max="20" width="13.29"/>
    <col customWidth="1" min="21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1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212</v>
      </c>
      <c r="O13" s="13" t="s">
        <v>213</v>
      </c>
      <c r="P13" s="13" t="s">
        <v>214</v>
      </c>
      <c r="Q13" s="13" t="s">
        <v>215</v>
      </c>
      <c r="R13" s="13" t="s">
        <v>216</v>
      </c>
      <c r="S13" s="13" t="s">
        <v>217</v>
      </c>
      <c r="T13" s="36"/>
    </row>
    <row r="14" ht="12.75" customHeight="1">
      <c r="A14" s="18"/>
      <c r="B14" s="22" t="s">
        <v>11</v>
      </c>
      <c r="C14" s="23"/>
      <c r="D14" s="19" t="s">
        <v>12</v>
      </c>
      <c r="E14" s="19">
        <v>104.0</v>
      </c>
      <c r="F14" s="19">
        <v>118.0</v>
      </c>
      <c r="G14" s="19">
        <v>112.0</v>
      </c>
      <c r="H14" s="19">
        <v>124.0</v>
      </c>
      <c r="I14" s="19">
        <v>139.0</v>
      </c>
      <c r="J14" s="19">
        <v>110.0</v>
      </c>
      <c r="K14" s="19">
        <v>87.0</v>
      </c>
      <c r="L14" s="19">
        <v>82.0</v>
      </c>
      <c r="M14" s="19">
        <v>117.0</v>
      </c>
      <c r="N14" s="19">
        <v>84.0</v>
      </c>
      <c r="O14" s="19">
        <v>87.0</v>
      </c>
      <c r="P14" s="19">
        <v>83.0</v>
      </c>
      <c r="Q14" s="19">
        <v>74.0</v>
      </c>
      <c r="R14" s="19">
        <v>124.0</v>
      </c>
      <c r="S14" s="19">
        <v>99.0</v>
      </c>
      <c r="T14" s="13">
        <f t="shared" ref="T14:T16" si="1">SUM(E14:S14)</f>
        <v>1544</v>
      </c>
    </row>
    <row r="15" ht="12.75" customHeight="1">
      <c r="A15" s="18"/>
      <c r="B15" s="26"/>
      <c r="C15" s="27"/>
      <c r="D15" s="19" t="s">
        <v>13</v>
      </c>
      <c r="E15" s="19">
        <v>104.0</v>
      </c>
      <c r="F15" s="19">
        <v>135.0</v>
      </c>
      <c r="G15" s="19">
        <v>116.0</v>
      </c>
      <c r="H15" s="19">
        <v>152.0</v>
      </c>
      <c r="I15" s="19">
        <v>131.0</v>
      </c>
      <c r="J15" s="19">
        <v>131.0</v>
      </c>
      <c r="K15" s="19">
        <v>94.0</v>
      </c>
      <c r="L15" s="19">
        <v>92.0</v>
      </c>
      <c r="M15" s="19">
        <v>111.0</v>
      </c>
      <c r="N15" s="19">
        <v>88.0</v>
      </c>
      <c r="O15" s="19">
        <v>91.0</v>
      </c>
      <c r="P15" s="19">
        <v>75.0</v>
      </c>
      <c r="Q15" s="19">
        <v>80.0</v>
      </c>
      <c r="R15" s="19">
        <v>122.0</v>
      </c>
      <c r="S15" s="19">
        <v>90.0</v>
      </c>
      <c r="T15" s="13">
        <f t="shared" si="1"/>
        <v>1612</v>
      </c>
    </row>
    <row r="16" ht="12.75" customHeight="1">
      <c r="A16" s="25"/>
      <c r="B16" s="21"/>
      <c r="C16" s="28"/>
      <c r="D16" s="13" t="s">
        <v>14</v>
      </c>
      <c r="E16" s="13">
        <f t="shared" ref="E16:S16" si="2">SUM(E14:E15)</f>
        <v>208</v>
      </c>
      <c r="F16" s="13">
        <f t="shared" si="2"/>
        <v>253</v>
      </c>
      <c r="G16" s="13">
        <f t="shared" si="2"/>
        <v>228</v>
      </c>
      <c r="H16" s="13">
        <f t="shared" si="2"/>
        <v>276</v>
      </c>
      <c r="I16" s="13">
        <f t="shared" si="2"/>
        <v>270</v>
      </c>
      <c r="J16" s="13">
        <f t="shared" si="2"/>
        <v>241</v>
      </c>
      <c r="K16" s="13">
        <f t="shared" si="2"/>
        <v>181</v>
      </c>
      <c r="L16" s="13">
        <f t="shared" si="2"/>
        <v>174</v>
      </c>
      <c r="M16" s="13">
        <f t="shared" si="2"/>
        <v>228</v>
      </c>
      <c r="N16" s="13">
        <f t="shared" si="2"/>
        <v>172</v>
      </c>
      <c r="O16" s="13">
        <f t="shared" si="2"/>
        <v>178</v>
      </c>
      <c r="P16" s="13">
        <f t="shared" si="2"/>
        <v>158</v>
      </c>
      <c r="Q16" s="13">
        <f t="shared" si="2"/>
        <v>154</v>
      </c>
      <c r="R16" s="13">
        <f t="shared" si="2"/>
        <v>246</v>
      </c>
      <c r="S16" s="13">
        <f t="shared" si="2"/>
        <v>189</v>
      </c>
      <c r="T16" s="13">
        <f t="shared" si="1"/>
        <v>3156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6"/>
      <c r="O17" s="19"/>
      <c r="P17" s="19"/>
      <c r="Q17" s="19"/>
      <c r="R17" s="19"/>
      <c r="S17" s="76"/>
      <c r="T17" s="67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6"/>
      <c r="O18" s="19"/>
      <c r="P18" s="19"/>
      <c r="Q18" s="19"/>
      <c r="R18" s="19"/>
      <c r="S18" s="76"/>
      <c r="T18" s="67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80.0</v>
      </c>
      <c r="F19" s="19">
        <v>86.0</v>
      </c>
      <c r="G19" s="19">
        <v>85.0</v>
      </c>
      <c r="H19" s="19">
        <v>102.0</v>
      </c>
      <c r="I19" s="19">
        <v>99.0</v>
      </c>
      <c r="J19" s="19">
        <v>85.0</v>
      </c>
      <c r="K19" s="19">
        <v>64.0</v>
      </c>
      <c r="L19" s="19">
        <v>66.0</v>
      </c>
      <c r="M19" s="19">
        <v>90.0</v>
      </c>
      <c r="N19" s="19">
        <v>67.0</v>
      </c>
      <c r="O19" s="19">
        <v>62.0</v>
      </c>
      <c r="P19" s="19">
        <v>69.0</v>
      </c>
      <c r="Q19" s="19">
        <v>60.0</v>
      </c>
      <c r="R19" s="19">
        <v>107.0</v>
      </c>
      <c r="S19" s="19">
        <v>86.0</v>
      </c>
      <c r="T19" s="13">
        <f t="shared" ref="T19:T30" si="3">SUM(E19:S19)</f>
        <v>1208</v>
      </c>
    </row>
    <row r="20" ht="12.75" customHeight="1">
      <c r="A20" s="33"/>
      <c r="B20" s="27"/>
      <c r="C20" s="34"/>
      <c r="D20" s="19" t="s">
        <v>13</v>
      </c>
      <c r="E20" s="19">
        <v>81.0</v>
      </c>
      <c r="F20" s="19">
        <v>102.0</v>
      </c>
      <c r="G20" s="19">
        <v>89.0</v>
      </c>
      <c r="H20" s="19">
        <v>126.0</v>
      </c>
      <c r="I20" s="19">
        <v>114.0</v>
      </c>
      <c r="J20" s="19">
        <v>102.0</v>
      </c>
      <c r="K20" s="19">
        <v>76.0</v>
      </c>
      <c r="L20" s="19">
        <v>79.0</v>
      </c>
      <c r="M20" s="19">
        <v>96.0</v>
      </c>
      <c r="N20" s="19">
        <v>76.0</v>
      </c>
      <c r="O20" s="19">
        <v>60.0</v>
      </c>
      <c r="P20" s="19">
        <v>67.0</v>
      </c>
      <c r="Q20" s="19">
        <v>71.0</v>
      </c>
      <c r="R20" s="19">
        <v>110.0</v>
      </c>
      <c r="S20" s="19">
        <v>80.0</v>
      </c>
      <c r="T20" s="13">
        <f t="shared" si="3"/>
        <v>1329</v>
      </c>
    </row>
    <row r="21" ht="12.75" customHeight="1">
      <c r="A21" s="35"/>
      <c r="B21" s="28"/>
      <c r="C21" s="36"/>
      <c r="D21" s="13" t="s">
        <v>14</v>
      </c>
      <c r="E21" s="13">
        <f t="shared" ref="E21:S21" si="4">SUM(E19:E20)</f>
        <v>161</v>
      </c>
      <c r="F21" s="13">
        <f t="shared" si="4"/>
        <v>188</v>
      </c>
      <c r="G21" s="13">
        <f t="shared" si="4"/>
        <v>174</v>
      </c>
      <c r="H21" s="13">
        <f t="shared" si="4"/>
        <v>228</v>
      </c>
      <c r="I21" s="13">
        <f t="shared" si="4"/>
        <v>213</v>
      </c>
      <c r="J21" s="13">
        <f t="shared" si="4"/>
        <v>187</v>
      </c>
      <c r="K21" s="13">
        <f t="shared" si="4"/>
        <v>140</v>
      </c>
      <c r="L21" s="13">
        <f t="shared" si="4"/>
        <v>145</v>
      </c>
      <c r="M21" s="13">
        <f t="shared" si="4"/>
        <v>186</v>
      </c>
      <c r="N21" s="13">
        <f t="shared" si="4"/>
        <v>143</v>
      </c>
      <c r="O21" s="13">
        <f t="shared" si="4"/>
        <v>122</v>
      </c>
      <c r="P21" s="13">
        <f t="shared" si="4"/>
        <v>136</v>
      </c>
      <c r="Q21" s="13">
        <f t="shared" si="4"/>
        <v>131</v>
      </c>
      <c r="R21" s="13">
        <f t="shared" si="4"/>
        <v>217</v>
      </c>
      <c r="S21" s="13">
        <f t="shared" si="4"/>
        <v>166</v>
      </c>
      <c r="T21" s="13">
        <f t="shared" si="3"/>
        <v>2537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1.0</v>
      </c>
      <c r="P22" s="19">
        <v>0.0</v>
      </c>
      <c r="Q22" s="19">
        <v>0.0</v>
      </c>
      <c r="R22" s="19">
        <v>0.0</v>
      </c>
      <c r="S22" s="19">
        <v>0.0</v>
      </c>
      <c r="T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2.0</v>
      </c>
      <c r="P23" s="19">
        <v>0.0</v>
      </c>
      <c r="Q23" s="19">
        <v>0.0</v>
      </c>
      <c r="R23" s="19">
        <v>0.0</v>
      </c>
      <c r="S23" s="19">
        <v>0.0</v>
      </c>
      <c r="T23" s="13">
        <f t="shared" si="3"/>
        <v>2</v>
      </c>
    </row>
    <row r="24" ht="12.75" customHeight="1">
      <c r="A24" s="35"/>
      <c r="B24" s="28"/>
      <c r="C24" s="36"/>
      <c r="D24" s="13" t="s">
        <v>14</v>
      </c>
      <c r="E24" s="13">
        <f t="shared" ref="E24:S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0</v>
      </c>
      <c r="M24" s="13">
        <f t="shared" si="5"/>
        <v>0</v>
      </c>
      <c r="N24" s="13">
        <f t="shared" si="5"/>
        <v>0</v>
      </c>
      <c r="O24" s="13">
        <f t="shared" si="5"/>
        <v>3</v>
      </c>
      <c r="P24" s="13">
        <f t="shared" si="5"/>
        <v>0</v>
      </c>
      <c r="Q24" s="13">
        <f t="shared" si="5"/>
        <v>0</v>
      </c>
      <c r="R24" s="13">
        <f t="shared" si="5"/>
        <v>0</v>
      </c>
      <c r="S24" s="13">
        <f t="shared" si="5"/>
        <v>0</v>
      </c>
      <c r="T24" s="13">
        <f t="shared" si="3"/>
        <v>3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0.0</v>
      </c>
      <c r="H25" s="19">
        <v>0.0</v>
      </c>
      <c r="I25" s="19">
        <v>0.0</v>
      </c>
      <c r="J25" s="19">
        <v>0.0</v>
      </c>
      <c r="K25" s="19">
        <v>0.0</v>
      </c>
      <c r="L25" s="19">
        <v>1.0</v>
      </c>
      <c r="M25" s="19">
        <v>0.0</v>
      </c>
      <c r="N25" s="19">
        <v>0.0</v>
      </c>
      <c r="O25" s="19">
        <v>0.0</v>
      </c>
      <c r="P25" s="19">
        <v>0.0</v>
      </c>
      <c r="Q25" s="19">
        <v>0.0</v>
      </c>
      <c r="R25" s="19">
        <v>0.0</v>
      </c>
      <c r="S25" s="19">
        <v>0.0</v>
      </c>
      <c r="T25" s="13">
        <f t="shared" si="3"/>
        <v>1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0.0</v>
      </c>
      <c r="H26" s="19">
        <v>0.0</v>
      </c>
      <c r="I26" s="19">
        <v>0.0</v>
      </c>
      <c r="J26" s="19">
        <v>0.0</v>
      </c>
      <c r="K26" s="19">
        <v>3.0</v>
      </c>
      <c r="L26" s="19">
        <v>1.0</v>
      </c>
      <c r="M26" s="19">
        <v>0.0</v>
      </c>
      <c r="N26" s="19">
        <v>0.0</v>
      </c>
      <c r="O26" s="19">
        <v>0.0</v>
      </c>
      <c r="P26" s="19">
        <v>2.0</v>
      </c>
      <c r="Q26" s="19">
        <v>0.0</v>
      </c>
      <c r="R26" s="19">
        <v>0.0</v>
      </c>
      <c r="S26" s="19">
        <v>0.0</v>
      </c>
      <c r="T26" s="13">
        <f t="shared" si="3"/>
        <v>6</v>
      </c>
    </row>
    <row r="27" ht="12.75" customHeight="1">
      <c r="A27" s="35"/>
      <c r="B27" s="28"/>
      <c r="C27" s="36"/>
      <c r="D27" s="13" t="s">
        <v>14</v>
      </c>
      <c r="E27" s="13">
        <f t="shared" ref="E27:S27" si="6">SUM(E25:E26)</f>
        <v>0</v>
      </c>
      <c r="F27" s="13">
        <f t="shared" si="6"/>
        <v>0</v>
      </c>
      <c r="G27" s="13">
        <f t="shared" si="6"/>
        <v>0</v>
      </c>
      <c r="H27" s="13">
        <f t="shared" si="6"/>
        <v>0</v>
      </c>
      <c r="I27" s="13">
        <f t="shared" si="6"/>
        <v>0</v>
      </c>
      <c r="J27" s="13">
        <f t="shared" si="6"/>
        <v>0</v>
      </c>
      <c r="K27" s="13">
        <f t="shared" si="6"/>
        <v>3</v>
      </c>
      <c r="L27" s="13">
        <f t="shared" si="6"/>
        <v>2</v>
      </c>
      <c r="M27" s="13">
        <f t="shared" si="6"/>
        <v>0</v>
      </c>
      <c r="N27" s="13">
        <f t="shared" si="6"/>
        <v>0</v>
      </c>
      <c r="O27" s="13">
        <f t="shared" si="6"/>
        <v>0</v>
      </c>
      <c r="P27" s="13">
        <f t="shared" si="6"/>
        <v>2</v>
      </c>
      <c r="Q27" s="13">
        <f t="shared" si="6"/>
        <v>0</v>
      </c>
      <c r="R27" s="13">
        <f t="shared" si="6"/>
        <v>0</v>
      </c>
      <c r="S27" s="13">
        <f t="shared" si="6"/>
        <v>0</v>
      </c>
      <c r="T27" s="13">
        <f t="shared" si="3"/>
        <v>7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S28" si="7">SUM(E19,E22,E25)</f>
        <v>80</v>
      </c>
      <c r="F28" s="13">
        <f t="shared" si="7"/>
        <v>86</v>
      </c>
      <c r="G28" s="13">
        <f t="shared" si="7"/>
        <v>85</v>
      </c>
      <c r="H28" s="13">
        <f t="shared" si="7"/>
        <v>102</v>
      </c>
      <c r="I28" s="13">
        <f t="shared" si="7"/>
        <v>99</v>
      </c>
      <c r="J28" s="13">
        <f t="shared" si="7"/>
        <v>85</v>
      </c>
      <c r="K28" s="13">
        <f t="shared" si="7"/>
        <v>64</v>
      </c>
      <c r="L28" s="13">
        <f t="shared" si="7"/>
        <v>67</v>
      </c>
      <c r="M28" s="13">
        <f t="shared" si="7"/>
        <v>90</v>
      </c>
      <c r="N28" s="13">
        <f t="shared" si="7"/>
        <v>67</v>
      </c>
      <c r="O28" s="13">
        <f t="shared" si="7"/>
        <v>63</v>
      </c>
      <c r="P28" s="13">
        <f t="shared" si="7"/>
        <v>69</v>
      </c>
      <c r="Q28" s="13">
        <f t="shared" si="7"/>
        <v>60</v>
      </c>
      <c r="R28" s="13">
        <f t="shared" si="7"/>
        <v>107</v>
      </c>
      <c r="S28" s="13">
        <f t="shared" si="7"/>
        <v>86</v>
      </c>
      <c r="T28" s="13">
        <f t="shared" si="3"/>
        <v>1210</v>
      </c>
    </row>
    <row r="29" ht="12.75" customHeight="1">
      <c r="A29" s="35"/>
      <c r="B29" s="27"/>
      <c r="C29" s="34"/>
      <c r="D29" s="13" t="s">
        <v>13</v>
      </c>
      <c r="E29" s="13">
        <f t="shared" ref="E29:S29" si="8">SUM(E20,E23,E26)</f>
        <v>81</v>
      </c>
      <c r="F29" s="13">
        <f t="shared" si="8"/>
        <v>102</v>
      </c>
      <c r="G29" s="13">
        <f t="shared" si="8"/>
        <v>89</v>
      </c>
      <c r="H29" s="13">
        <f t="shared" si="8"/>
        <v>126</v>
      </c>
      <c r="I29" s="13">
        <f t="shared" si="8"/>
        <v>114</v>
      </c>
      <c r="J29" s="13">
        <f t="shared" si="8"/>
        <v>102</v>
      </c>
      <c r="K29" s="13">
        <f t="shared" si="8"/>
        <v>79</v>
      </c>
      <c r="L29" s="13">
        <f t="shared" si="8"/>
        <v>80</v>
      </c>
      <c r="M29" s="13">
        <f t="shared" si="8"/>
        <v>96</v>
      </c>
      <c r="N29" s="13">
        <f t="shared" si="8"/>
        <v>76</v>
      </c>
      <c r="O29" s="13">
        <f t="shared" si="8"/>
        <v>62</v>
      </c>
      <c r="P29" s="13">
        <f t="shared" si="8"/>
        <v>69</v>
      </c>
      <c r="Q29" s="13">
        <f t="shared" si="8"/>
        <v>71</v>
      </c>
      <c r="R29" s="13">
        <f t="shared" si="8"/>
        <v>110</v>
      </c>
      <c r="S29" s="13">
        <f t="shared" si="8"/>
        <v>80</v>
      </c>
      <c r="T29" s="13">
        <f t="shared" si="3"/>
        <v>1337</v>
      </c>
    </row>
    <row r="30" ht="12.75" customHeight="1">
      <c r="A30" s="35"/>
      <c r="B30" s="28"/>
      <c r="C30" s="36"/>
      <c r="D30" s="13" t="s">
        <v>14</v>
      </c>
      <c r="E30" s="13">
        <f t="shared" ref="E30:S30" si="9">SUM(E28:E29)</f>
        <v>161</v>
      </c>
      <c r="F30" s="13">
        <f t="shared" si="9"/>
        <v>188</v>
      </c>
      <c r="G30" s="13">
        <f t="shared" si="9"/>
        <v>174</v>
      </c>
      <c r="H30" s="13">
        <f t="shared" si="9"/>
        <v>228</v>
      </c>
      <c r="I30" s="13">
        <f t="shared" si="9"/>
        <v>213</v>
      </c>
      <c r="J30" s="13">
        <f t="shared" si="9"/>
        <v>187</v>
      </c>
      <c r="K30" s="13">
        <f t="shared" si="9"/>
        <v>143</v>
      </c>
      <c r="L30" s="13">
        <f t="shared" si="9"/>
        <v>147</v>
      </c>
      <c r="M30" s="13">
        <f t="shared" si="9"/>
        <v>186</v>
      </c>
      <c r="N30" s="13">
        <f t="shared" si="9"/>
        <v>143</v>
      </c>
      <c r="O30" s="13">
        <f t="shared" si="9"/>
        <v>125</v>
      </c>
      <c r="P30" s="13">
        <f t="shared" si="9"/>
        <v>138</v>
      </c>
      <c r="Q30" s="13">
        <f t="shared" si="9"/>
        <v>131</v>
      </c>
      <c r="R30" s="13">
        <f t="shared" si="9"/>
        <v>217</v>
      </c>
      <c r="S30" s="13">
        <f t="shared" si="9"/>
        <v>166</v>
      </c>
      <c r="T30" s="13">
        <f t="shared" si="3"/>
        <v>2547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6"/>
      <c r="O31" s="19"/>
      <c r="P31" s="19"/>
      <c r="Q31" s="19"/>
      <c r="R31" s="19"/>
      <c r="S31" s="76"/>
      <c r="T31" s="67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13"/>
      <c r="P32" s="13"/>
      <c r="Q32" s="13"/>
      <c r="R32" s="13"/>
      <c r="S32" s="77"/>
      <c r="T32" s="67"/>
    </row>
    <row r="33" ht="12.75" customHeight="1">
      <c r="A33" s="19">
        <v>1.0</v>
      </c>
      <c r="B33" s="20" t="s">
        <v>27</v>
      </c>
      <c r="C33" s="15"/>
      <c r="D33" s="16"/>
      <c r="E33" s="19">
        <v>213.0</v>
      </c>
      <c r="F33" s="19">
        <v>259.0</v>
      </c>
      <c r="G33" s="19">
        <v>233.0</v>
      </c>
      <c r="H33" s="19">
        <v>282.0</v>
      </c>
      <c r="I33" s="19">
        <v>276.0</v>
      </c>
      <c r="J33" s="19">
        <v>246.0</v>
      </c>
      <c r="K33" s="19">
        <v>185.0</v>
      </c>
      <c r="L33" s="19">
        <v>178.0</v>
      </c>
      <c r="M33" s="19">
        <v>233.0</v>
      </c>
      <c r="N33" s="19">
        <v>176.0</v>
      </c>
      <c r="O33" s="19">
        <v>182.0</v>
      </c>
      <c r="P33" s="19">
        <v>162.0</v>
      </c>
      <c r="Q33" s="19">
        <v>158.0</v>
      </c>
      <c r="R33" s="19">
        <v>252.0</v>
      </c>
      <c r="S33" s="19">
        <v>193.0</v>
      </c>
      <c r="T33" s="13">
        <f t="shared" ref="T33:T36" si="10">SUM(E33:S33)</f>
        <v>3228</v>
      </c>
    </row>
    <row r="34" ht="12.75" customHeight="1">
      <c r="A34" s="19">
        <v>2.0</v>
      </c>
      <c r="B34" s="20" t="s">
        <v>28</v>
      </c>
      <c r="C34" s="15"/>
      <c r="D34" s="16"/>
      <c r="E34" s="13">
        <v>161.0</v>
      </c>
      <c r="F34" s="13">
        <v>188.0</v>
      </c>
      <c r="G34" s="13">
        <v>174.0</v>
      </c>
      <c r="H34" s="13">
        <v>228.0</v>
      </c>
      <c r="I34" s="13">
        <v>213.0</v>
      </c>
      <c r="J34" s="13">
        <v>187.0</v>
      </c>
      <c r="K34" s="13">
        <v>143.0</v>
      </c>
      <c r="L34" s="13">
        <v>147.0</v>
      </c>
      <c r="M34" s="13">
        <v>186.0</v>
      </c>
      <c r="N34" s="13">
        <v>143.0</v>
      </c>
      <c r="O34" s="13">
        <v>125.0</v>
      </c>
      <c r="P34" s="13">
        <v>138.0</v>
      </c>
      <c r="Q34" s="13">
        <v>131.0</v>
      </c>
      <c r="R34" s="13">
        <v>217.0</v>
      </c>
      <c r="S34" s="13">
        <v>166.0</v>
      </c>
      <c r="T34" s="13">
        <f t="shared" si="10"/>
        <v>2547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1.0</v>
      </c>
      <c r="I35" s="19">
        <v>0.0</v>
      </c>
      <c r="J35" s="19">
        <v>1.0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0.0</v>
      </c>
      <c r="S35" s="19">
        <v>0.0</v>
      </c>
      <c r="T35" s="13">
        <f t="shared" si="10"/>
        <v>2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S36" si="11">E33-(E34+E35)</f>
        <v>52</v>
      </c>
      <c r="F36" s="13">
        <f t="shared" si="11"/>
        <v>71</v>
      </c>
      <c r="G36" s="13">
        <f t="shared" si="11"/>
        <v>59</v>
      </c>
      <c r="H36" s="13">
        <f t="shared" si="11"/>
        <v>53</v>
      </c>
      <c r="I36" s="13">
        <f t="shared" si="11"/>
        <v>63</v>
      </c>
      <c r="J36" s="13">
        <f t="shared" si="11"/>
        <v>58</v>
      </c>
      <c r="K36" s="13">
        <f t="shared" si="11"/>
        <v>42</v>
      </c>
      <c r="L36" s="13">
        <f t="shared" si="11"/>
        <v>31</v>
      </c>
      <c r="M36" s="13">
        <f t="shared" si="11"/>
        <v>47</v>
      </c>
      <c r="N36" s="13">
        <f t="shared" si="11"/>
        <v>33</v>
      </c>
      <c r="O36" s="13">
        <f t="shared" si="11"/>
        <v>57</v>
      </c>
      <c r="P36" s="13">
        <f t="shared" si="11"/>
        <v>24</v>
      </c>
      <c r="Q36" s="13">
        <f t="shared" si="11"/>
        <v>27</v>
      </c>
      <c r="R36" s="13">
        <f t="shared" si="11"/>
        <v>35</v>
      </c>
      <c r="S36" s="13">
        <f t="shared" si="11"/>
        <v>27</v>
      </c>
      <c r="T36" s="13">
        <f t="shared" si="10"/>
        <v>679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6"/>
      <c r="O37" s="19"/>
      <c r="P37" s="19"/>
      <c r="Q37" s="19"/>
      <c r="R37" s="19"/>
      <c r="S37" s="76"/>
      <c r="T37" s="67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13"/>
      <c r="P38" s="13"/>
      <c r="Q38" s="13"/>
      <c r="R38" s="13"/>
      <c r="S38" s="77"/>
      <c r="T38" s="67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1.0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1.0</v>
      </c>
      <c r="Q39" s="19">
        <v>0.0</v>
      </c>
      <c r="R39" s="19">
        <v>0.0</v>
      </c>
      <c r="S39" s="19">
        <v>1.0</v>
      </c>
      <c r="T39" s="13">
        <f t="shared" ref="T39:T41" si="12">SUM(E39:S39)</f>
        <v>3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1.0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1.0</v>
      </c>
      <c r="P40" s="19">
        <v>3.0</v>
      </c>
      <c r="Q40" s="19">
        <v>0.0</v>
      </c>
      <c r="R40" s="19">
        <v>3.0</v>
      </c>
      <c r="S40" s="19">
        <v>0.0</v>
      </c>
      <c r="T40" s="13">
        <f t="shared" si="12"/>
        <v>8</v>
      </c>
    </row>
    <row r="41" ht="12.75" customHeight="1">
      <c r="A41" s="41"/>
      <c r="B41" s="44"/>
      <c r="C41" s="28"/>
      <c r="D41" s="13" t="s">
        <v>14</v>
      </c>
      <c r="E41" s="13">
        <f t="shared" ref="E41:S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2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3"/>
        <v>0</v>
      </c>
      <c r="O41" s="13">
        <f t="shared" si="13"/>
        <v>1</v>
      </c>
      <c r="P41" s="13">
        <f t="shared" si="13"/>
        <v>4</v>
      </c>
      <c r="Q41" s="13">
        <f t="shared" si="13"/>
        <v>0</v>
      </c>
      <c r="R41" s="13">
        <f t="shared" si="13"/>
        <v>3</v>
      </c>
      <c r="S41" s="13">
        <f t="shared" si="13"/>
        <v>1</v>
      </c>
      <c r="T41" s="13">
        <f t="shared" si="12"/>
        <v>11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6"/>
      <c r="O42" s="19"/>
      <c r="P42" s="19"/>
      <c r="Q42" s="19"/>
      <c r="R42" s="19"/>
      <c r="S42" s="76"/>
      <c r="T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13"/>
      <c r="Q43" s="13"/>
      <c r="R43" s="13"/>
      <c r="S43" s="77"/>
      <c r="T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6"/>
      <c r="O44" s="19"/>
      <c r="P44" s="19"/>
      <c r="Q44" s="19"/>
      <c r="R44" s="19"/>
      <c r="S44" s="76"/>
      <c r="T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10.0</v>
      </c>
      <c r="F45" s="19">
        <v>10.0</v>
      </c>
      <c r="G45" s="19">
        <v>13.0</v>
      </c>
      <c r="H45" s="19">
        <v>20.0</v>
      </c>
      <c r="I45" s="19">
        <v>12.0</v>
      </c>
      <c r="J45" s="19">
        <v>16.0</v>
      </c>
      <c r="K45" s="19">
        <v>6.0</v>
      </c>
      <c r="L45" s="19">
        <v>6.0</v>
      </c>
      <c r="M45" s="19">
        <v>7.0</v>
      </c>
      <c r="N45" s="19">
        <v>11.0</v>
      </c>
      <c r="O45" s="19">
        <v>7.0</v>
      </c>
      <c r="P45" s="19">
        <v>3.0</v>
      </c>
      <c r="Q45" s="19">
        <v>6.0</v>
      </c>
      <c r="R45" s="19">
        <v>6.0</v>
      </c>
      <c r="S45" s="19">
        <v>5.0</v>
      </c>
      <c r="T45" s="13">
        <f t="shared" ref="T45:T55" si="14">SUM(E45:S45)</f>
        <v>138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15.0</v>
      </c>
      <c r="F46" s="19">
        <v>49.0</v>
      </c>
      <c r="G46" s="19">
        <v>28.0</v>
      </c>
      <c r="H46" s="19">
        <v>68.0</v>
      </c>
      <c r="I46" s="19">
        <v>35.0</v>
      </c>
      <c r="J46" s="19">
        <v>42.0</v>
      </c>
      <c r="K46" s="19">
        <v>10.0</v>
      </c>
      <c r="L46" s="19">
        <v>21.0</v>
      </c>
      <c r="M46" s="19">
        <v>17.0</v>
      </c>
      <c r="N46" s="19">
        <v>14.0</v>
      </c>
      <c r="O46" s="19">
        <v>18.0</v>
      </c>
      <c r="P46" s="19">
        <v>11.0</v>
      </c>
      <c r="Q46" s="19">
        <v>3.0</v>
      </c>
      <c r="R46" s="19">
        <v>12.0</v>
      </c>
      <c r="S46" s="19">
        <v>39.0</v>
      </c>
      <c r="T46" s="13">
        <f t="shared" si="14"/>
        <v>382</v>
      </c>
    </row>
    <row r="47" ht="12.75" customHeight="1">
      <c r="A47" s="18"/>
      <c r="B47" s="55">
        <v>2.0</v>
      </c>
      <c r="C47" s="50" t="s">
        <v>41</v>
      </c>
      <c r="D47" s="16"/>
      <c r="E47" s="19">
        <v>1.0</v>
      </c>
      <c r="F47" s="19">
        <v>1.0</v>
      </c>
      <c r="G47" s="19">
        <v>1.0</v>
      </c>
      <c r="H47" s="19">
        <v>2.0</v>
      </c>
      <c r="I47" s="19">
        <v>1.0</v>
      </c>
      <c r="J47" s="19">
        <v>1.0</v>
      </c>
      <c r="K47" s="19">
        <v>1.0</v>
      </c>
      <c r="L47" s="19">
        <v>0.0</v>
      </c>
      <c r="M47" s="19">
        <v>0.0</v>
      </c>
      <c r="N47" s="19">
        <v>1.0</v>
      </c>
      <c r="O47" s="19">
        <v>0.0</v>
      </c>
      <c r="P47" s="19">
        <v>1.0</v>
      </c>
      <c r="Q47" s="19">
        <v>0.0</v>
      </c>
      <c r="R47" s="19">
        <v>0.0</v>
      </c>
      <c r="S47" s="19">
        <v>5.0</v>
      </c>
      <c r="T47" s="13">
        <f t="shared" si="14"/>
        <v>15</v>
      </c>
    </row>
    <row r="48" ht="12.75" customHeight="1">
      <c r="A48" s="18"/>
      <c r="B48" s="55">
        <v>3.0</v>
      </c>
      <c r="C48" s="50" t="s">
        <v>42</v>
      </c>
      <c r="D48" s="16"/>
      <c r="E48" s="19">
        <v>1.0</v>
      </c>
      <c r="F48" s="19">
        <v>2.0</v>
      </c>
      <c r="G48" s="19">
        <v>2.0</v>
      </c>
      <c r="H48" s="19">
        <v>0.0</v>
      </c>
      <c r="I48" s="19">
        <v>0.0</v>
      </c>
      <c r="J48" s="19">
        <v>2.0</v>
      </c>
      <c r="K48" s="19">
        <v>0.0</v>
      </c>
      <c r="L48" s="19">
        <v>1.0</v>
      </c>
      <c r="M48" s="19">
        <v>1.0</v>
      </c>
      <c r="N48" s="19">
        <v>1.0</v>
      </c>
      <c r="O48" s="19">
        <v>0.0</v>
      </c>
      <c r="P48" s="19">
        <v>0.0</v>
      </c>
      <c r="Q48" s="19">
        <v>0.0</v>
      </c>
      <c r="R48" s="19">
        <v>0.0</v>
      </c>
      <c r="S48" s="19">
        <v>1.0</v>
      </c>
      <c r="T48" s="13">
        <f t="shared" si="14"/>
        <v>11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0.0</v>
      </c>
      <c r="G49" s="19">
        <v>0.0</v>
      </c>
      <c r="H49" s="19">
        <v>1.0</v>
      </c>
      <c r="I49" s="19">
        <v>0.0</v>
      </c>
      <c r="J49" s="19">
        <v>1.0</v>
      </c>
      <c r="K49" s="19">
        <v>0.0</v>
      </c>
      <c r="L49" s="19">
        <v>0.0</v>
      </c>
      <c r="M49" s="19">
        <v>0.0</v>
      </c>
      <c r="N49" s="19">
        <v>0.0</v>
      </c>
      <c r="O49" s="19">
        <v>1.0</v>
      </c>
      <c r="P49" s="19">
        <v>0.0</v>
      </c>
      <c r="Q49" s="19">
        <v>0.0</v>
      </c>
      <c r="R49" s="19">
        <v>2.0</v>
      </c>
      <c r="S49" s="19">
        <v>1.0</v>
      </c>
      <c r="T49" s="13">
        <f t="shared" si="14"/>
        <v>6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1.0</v>
      </c>
      <c r="G50" s="19">
        <v>2.0</v>
      </c>
      <c r="H50" s="19">
        <v>0.0</v>
      </c>
      <c r="I50" s="19">
        <v>0.0</v>
      </c>
      <c r="J50" s="19">
        <v>1.0</v>
      </c>
      <c r="K50" s="19">
        <v>0.0</v>
      </c>
      <c r="L50" s="19">
        <v>0.0</v>
      </c>
      <c r="M50" s="19">
        <v>0.0</v>
      </c>
      <c r="N50" s="19">
        <v>0.0</v>
      </c>
      <c r="O50" s="19">
        <v>0.0</v>
      </c>
      <c r="P50" s="19">
        <v>0.0</v>
      </c>
      <c r="Q50" s="19">
        <v>0.0</v>
      </c>
      <c r="R50" s="19">
        <v>0.0</v>
      </c>
      <c r="S50" s="19">
        <v>0.0</v>
      </c>
      <c r="T50" s="13">
        <f t="shared" si="14"/>
        <v>4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9">
        <v>0.0</v>
      </c>
      <c r="O51" s="19">
        <v>0.0</v>
      </c>
      <c r="P51" s="19">
        <v>0.0</v>
      </c>
      <c r="Q51" s="19">
        <v>0.0</v>
      </c>
      <c r="R51" s="19">
        <v>1.0</v>
      </c>
      <c r="S51" s="19">
        <v>0.0</v>
      </c>
      <c r="T51" s="13">
        <f t="shared" si="14"/>
        <v>1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3">
        <f t="shared" si="14"/>
        <v>0</v>
      </c>
    </row>
    <row r="53" ht="12.75" customHeight="1">
      <c r="A53" s="18"/>
      <c r="B53" s="68"/>
      <c r="C53" s="69"/>
      <c r="D53" s="70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3">
        <f t="shared" si="14"/>
        <v>0</v>
      </c>
    </row>
    <row r="54" ht="12.75" customHeight="1">
      <c r="A54" s="18"/>
      <c r="B54" s="68"/>
      <c r="C54" s="69"/>
      <c r="D54" s="70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3">
        <f t="shared" si="14"/>
        <v>0</v>
      </c>
    </row>
    <row r="55" ht="15.0" customHeight="1">
      <c r="A55" s="19" t="s">
        <v>15</v>
      </c>
      <c r="B55" s="47" t="s">
        <v>47</v>
      </c>
      <c r="C55" s="15"/>
      <c r="D55" s="16"/>
      <c r="E55" s="13">
        <f t="shared" ref="E55:S55" si="15">SUM(E45:E52)</f>
        <v>27</v>
      </c>
      <c r="F55" s="13">
        <f t="shared" si="15"/>
        <v>63</v>
      </c>
      <c r="G55" s="13">
        <f t="shared" si="15"/>
        <v>46</v>
      </c>
      <c r="H55" s="13">
        <f t="shared" si="15"/>
        <v>91</v>
      </c>
      <c r="I55" s="13">
        <f t="shared" si="15"/>
        <v>48</v>
      </c>
      <c r="J55" s="13">
        <f t="shared" si="15"/>
        <v>63</v>
      </c>
      <c r="K55" s="13">
        <f t="shared" si="15"/>
        <v>17</v>
      </c>
      <c r="L55" s="13">
        <f t="shared" si="15"/>
        <v>28</v>
      </c>
      <c r="M55" s="13">
        <f t="shared" si="15"/>
        <v>25</v>
      </c>
      <c r="N55" s="13">
        <f t="shared" si="15"/>
        <v>27</v>
      </c>
      <c r="O55" s="13">
        <f t="shared" si="15"/>
        <v>26</v>
      </c>
      <c r="P55" s="13">
        <f t="shared" si="15"/>
        <v>15</v>
      </c>
      <c r="Q55" s="13">
        <f t="shared" si="15"/>
        <v>9</v>
      </c>
      <c r="R55" s="13">
        <f t="shared" si="15"/>
        <v>21</v>
      </c>
      <c r="S55" s="13">
        <f t="shared" si="15"/>
        <v>51</v>
      </c>
      <c r="T55" s="13">
        <f t="shared" si="14"/>
        <v>557</v>
      </c>
    </row>
    <row r="56" ht="12.75" customHeight="1">
      <c r="A56" s="45"/>
      <c r="B56" s="44"/>
      <c r="C56" s="44"/>
      <c r="D56" s="44"/>
      <c r="E56" s="44"/>
      <c r="T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10.0</v>
      </c>
      <c r="F57" s="19">
        <v>4.0</v>
      </c>
      <c r="G57" s="19">
        <v>9.0</v>
      </c>
      <c r="H57" s="19">
        <v>4.0</v>
      </c>
      <c r="I57" s="19">
        <v>15.0</v>
      </c>
      <c r="J57" s="19">
        <v>7.0</v>
      </c>
      <c r="K57" s="19">
        <v>10.0</v>
      </c>
      <c r="L57" s="19">
        <v>13.0</v>
      </c>
      <c r="M57" s="19">
        <v>19.0</v>
      </c>
      <c r="N57" s="19">
        <v>8.0</v>
      </c>
      <c r="O57" s="19">
        <v>10.0</v>
      </c>
      <c r="P57" s="19">
        <v>14.0</v>
      </c>
      <c r="Q57" s="19">
        <v>5.0</v>
      </c>
      <c r="R57" s="19">
        <v>12.0</v>
      </c>
      <c r="S57" s="19">
        <v>4.0</v>
      </c>
      <c r="T57" s="13">
        <f t="shared" ref="T57:T67" si="16">SUM(E57:S57)</f>
        <v>144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6.0</v>
      </c>
      <c r="F58" s="19">
        <v>14.0</v>
      </c>
      <c r="G58" s="19">
        <v>23.0</v>
      </c>
      <c r="H58" s="19">
        <v>22.0</v>
      </c>
      <c r="I58" s="19">
        <v>18.0</v>
      </c>
      <c r="J58" s="19">
        <v>23.0</v>
      </c>
      <c r="K58" s="19">
        <v>28.0</v>
      </c>
      <c r="L58" s="19">
        <v>17.0</v>
      </c>
      <c r="M58" s="19">
        <v>21.0</v>
      </c>
      <c r="N58" s="19">
        <v>4.0</v>
      </c>
      <c r="O58" s="19">
        <v>13.0</v>
      </c>
      <c r="P58" s="19">
        <v>26.0</v>
      </c>
      <c r="Q58" s="19">
        <v>20.0</v>
      </c>
      <c r="R58" s="19">
        <v>72.0</v>
      </c>
      <c r="S58" s="19">
        <v>13.0</v>
      </c>
      <c r="T58" s="13">
        <f t="shared" si="16"/>
        <v>320</v>
      </c>
    </row>
    <row r="59" ht="12.75" customHeight="1">
      <c r="A59" s="18"/>
      <c r="B59" s="55">
        <v>2.0</v>
      </c>
      <c r="C59" s="50" t="s">
        <v>50</v>
      </c>
      <c r="D59" s="56"/>
      <c r="E59" s="19">
        <v>2.0</v>
      </c>
      <c r="F59" s="19">
        <v>0.0</v>
      </c>
      <c r="G59" s="19">
        <v>2.0</v>
      </c>
      <c r="H59" s="19">
        <v>4.0</v>
      </c>
      <c r="I59" s="19">
        <v>0.0</v>
      </c>
      <c r="J59" s="19">
        <v>2.0</v>
      </c>
      <c r="K59" s="19">
        <v>2.0</v>
      </c>
      <c r="L59" s="19">
        <v>3.0</v>
      </c>
      <c r="M59" s="19">
        <v>3.0</v>
      </c>
      <c r="N59" s="19">
        <v>3.0</v>
      </c>
      <c r="O59" s="19">
        <v>1.0</v>
      </c>
      <c r="P59" s="19">
        <v>2.0</v>
      </c>
      <c r="Q59" s="19">
        <v>1.0</v>
      </c>
      <c r="R59" s="19">
        <v>2.0</v>
      </c>
      <c r="S59" s="19">
        <v>5.0</v>
      </c>
      <c r="T59" s="13">
        <f t="shared" si="16"/>
        <v>32</v>
      </c>
    </row>
    <row r="60" ht="12.75" customHeight="1">
      <c r="A60" s="18"/>
      <c r="B60" s="55">
        <v>3.0</v>
      </c>
      <c r="C60" s="50" t="s">
        <v>51</v>
      </c>
      <c r="D60" s="56"/>
      <c r="E60" s="19">
        <v>1.0</v>
      </c>
      <c r="F60" s="19">
        <v>1.0</v>
      </c>
      <c r="G60" s="19">
        <v>0.0</v>
      </c>
      <c r="H60" s="19">
        <v>0.0</v>
      </c>
      <c r="I60" s="19">
        <v>3.0</v>
      </c>
      <c r="J60" s="19">
        <v>0.0</v>
      </c>
      <c r="K60" s="19">
        <v>2.0</v>
      </c>
      <c r="L60" s="19">
        <v>0.0</v>
      </c>
      <c r="M60" s="19">
        <v>0.0</v>
      </c>
      <c r="N60" s="19">
        <v>0.0</v>
      </c>
      <c r="O60" s="19">
        <v>0.0</v>
      </c>
      <c r="P60" s="19">
        <v>0.0</v>
      </c>
      <c r="Q60" s="19">
        <v>0.0</v>
      </c>
      <c r="R60" s="19">
        <v>3.0</v>
      </c>
      <c r="S60" s="19">
        <v>0.0</v>
      </c>
      <c r="T60" s="13">
        <f t="shared" si="16"/>
        <v>10</v>
      </c>
    </row>
    <row r="61" ht="12.75" customHeight="1">
      <c r="A61" s="18"/>
      <c r="B61" s="55">
        <v>4.0</v>
      </c>
      <c r="C61" s="50" t="s">
        <v>52</v>
      </c>
      <c r="D61" s="56"/>
      <c r="E61" s="19">
        <v>0.0</v>
      </c>
      <c r="F61" s="19">
        <v>0.0</v>
      </c>
      <c r="G61" s="19">
        <v>1.0</v>
      </c>
      <c r="H61" s="19">
        <v>0.0</v>
      </c>
      <c r="I61" s="19">
        <v>1.0</v>
      </c>
      <c r="J61" s="19">
        <v>0.0</v>
      </c>
      <c r="K61" s="19">
        <v>0.0</v>
      </c>
      <c r="L61" s="19">
        <v>0.0</v>
      </c>
      <c r="M61" s="19">
        <v>0.0</v>
      </c>
      <c r="N61" s="19">
        <v>0.0</v>
      </c>
      <c r="O61" s="19">
        <v>0.0</v>
      </c>
      <c r="P61" s="19">
        <v>0.0</v>
      </c>
      <c r="Q61" s="19">
        <v>2.0</v>
      </c>
      <c r="R61" s="19">
        <v>0.0</v>
      </c>
      <c r="S61" s="19">
        <v>0.0</v>
      </c>
      <c r="T61" s="13">
        <f t="shared" si="16"/>
        <v>4</v>
      </c>
    </row>
    <row r="62" ht="12.75" customHeight="1">
      <c r="A62" s="18"/>
      <c r="B62" s="55">
        <v>5.0</v>
      </c>
      <c r="C62" s="50" t="s">
        <v>53</v>
      </c>
      <c r="D62" s="56"/>
      <c r="E62" s="19">
        <v>0.0</v>
      </c>
      <c r="F62" s="19">
        <v>0.0</v>
      </c>
      <c r="G62" s="19">
        <v>0.0</v>
      </c>
      <c r="H62" s="19">
        <v>0.0</v>
      </c>
      <c r="I62" s="19">
        <v>0.0</v>
      </c>
      <c r="J62" s="19">
        <v>0.0</v>
      </c>
      <c r="K62" s="19">
        <v>0.0</v>
      </c>
      <c r="L62" s="19">
        <v>0.0</v>
      </c>
      <c r="M62" s="19">
        <v>1.0</v>
      </c>
      <c r="N62" s="19">
        <v>0.0</v>
      </c>
      <c r="O62" s="19">
        <v>0.0</v>
      </c>
      <c r="P62" s="19">
        <v>0.0</v>
      </c>
      <c r="Q62" s="19">
        <v>0.0</v>
      </c>
      <c r="R62" s="19">
        <v>0.0</v>
      </c>
      <c r="S62" s="19">
        <v>0.0</v>
      </c>
      <c r="T62" s="13">
        <f t="shared" si="16"/>
        <v>1</v>
      </c>
    </row>
    <row r="63" ht="12.75" customHeight="1">
      <c r="A63" s="18"/>
      <c r="B63" s="55">
        <v>6.0</v>
      </c>
      <c r="C63" s="50" t="s">
        <v>54</v>
      </c>
      <c r="D63" s="57"/>
      <c r="E63" s="19">
        <v>0.0</v>
      </c>
      <c r="F63" s="19">
        <v>1.0</v>
      </c>
      <c r="G63" s="19">
        <v>0.0</v>
      </c>
      <c r="H63" s="19">
        <v>0.0</v>
      </c>
      <c r="I63" s="19">
        <v>1.0</v>
      </c>
      <c r="J63" s="19">
        <v>0.0</v>
      </c>
      <c r="K63" s="19">
        <v>0.0</v>
      </c>
      <c r="L63" s="19">
        <v>0.0</v>
      </c>
      <c r="M63" s="19">
        <v>1.0</v>
      </c>
      <c r="N63" s="19">
        <v>0.0</v>
      </c>
      <c r="O63" s="19">
        <v>0.0</v>
      </c>
      <c r="P63" s="19">
        <v>1.0</v>
      </c>
      <c r="Q63" s="19">
        <v>0.0</v>
      </c>
      <c r="R63" s="19">
        <v>0.0</v>
      </c>
      <c r="S63" s="19">
        <v>0.0</v>
      </c>
      <c r="T63" s="13">
        <f t="shared" si="16"/>
        <v>4</v>
      </c>
    </row>
    <row r="64" ht="12.75" customHeight="1">
      <c r="A64" s="18"/>
      <c r="B64" s="55">
        <v>7.0</v>
      </c>
      <c r="C64" s="50" t="s">
        <v>55</v>
      </c>
      <c r="D64" s="56"/>
      <c r="E64" s="19">
        <v>0.0</v>
      </c>
      <c r="F64" s="19">
        <v>0.0</v>
      </c>
      <c r="G64" s="19">
        <v>0.0</v>
      </c>
      <c r="H64" s="19">
        <v>0.0</v>
      </c>
      <c r="I64" s="19">
        <v>2.0</v>
      </c>
      <c r="J64" s="19">
        <v>0.0</v>
      </c>
      <c r="K64" s="19">
        <v>1.0</v>
      </c>
      <c r="L64" s="19">
        <v>0.0</v>
      </c>
      <c r="M64" s="19">
        <v>0.0</v>
      </c>
      <c r="N64" s="19">
        <v>0.0</v>
      </c>
      <c r="O64" s="19">
        <v>0.0</v>
      </c>
      <c r="P64" s="19">
        <v>0.0</v>
      </c>
      <c r="Q64" s="19">
        <v>0.0</v>
      </c>
      <c r="R64" s="19">
        <v>0.0</v>
      </c>
      <c r="S64" s="19">
        <v>0.0</v>
      </c>
      <c r="T64" s="13">
        <f t="shared" si="16"/>
        <v>3</v>
      </c>
    </row>
    <row r="65" ht="12.75" customHeight="1">
      <c r="A65" s="18"/>
      <c r="B65" s="68"/>
      <c r="C65" s="69"/>
      <c r="D65" s="70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3">
        <f t="shared" si="16"/>
        <v>0</v>
      </c>
    </row>
    <row r="66" ht="12.75" customHeight="1">
      <c r="A66" s="18"/>
      <c r="B66" s="68"/>
      <c r="C66" s="69"/>
      <c r="D66" s="70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3">
        <f t="shared" si="16"/>
        <v>0</v>
      </c>
    </row>
    <row r="67" ht="15.0" customHeight="1">
      <c r="A67" s="19" t="s">
        <v>15</v>
      </c>
      <c r="B67" s="47" t="s">
        <v>47</v>
      </c>
      <c r="C67" s="15"/>
      <c r="D67" s="16"/>
      <c r="E67" s="13">
        <f t="shared" ref="E67:S67" si="17">SUM(E57:E64)</f>
        <v>19</v>
      </c>
      <c r="F67" s="13">
        <f t="shared" si="17"/>
        <v>20</v>
      </c>
      <c r="G67" s="13">
        <f t="shared" si="17"/>
        <v>35</v>
      </c>
      <c r="H67" s="13">
        <f t="shared" si="17"/>
        <v>30</v>
      </c>
      <c r="I67" s="13">
        <f t="shared" si="17"/>
        <v>40</v>
      </c>
      <c r="J67" s="13">
        <f t="shared" si="17"/>
        <v>32</v>
      </c>
      <c r="K67" s="13">
        <f t="shared" si="17"/>
        <v>43</v>
      </c>
      <c r="L67" s="13">
        <f t="shared" si="17"/>
        <v>33</v>
      </c>
      <c r="M67" s="13">
        <f t="shared" si="17"/>
        <v>45</v>
      </c>
      <c r="N67" s="13">
        <f t="shared" si="17"/>
        <v>15</v>
      </c>
      <c r="O67" s="13">
        <f t="shared" si="17"/>
        <v>24</v>
      </c>
      <c r="P67" s="13">
        <f t="shared" si="17"/>
        <v>43</v>
      </c>
      <c r="Q67" s="13">
        <f t="shared" si="17"/>
        <v>28</v>
      </c>
      <c r="R67" s="13">
        <f t="shared" si="17"/>
        <v>89</v>
      </c>
      <c r="S67" s="13">
        <f t="shared" si="17"/>
        <v>22</v>
      </c>
      <c r="T67" s="13">
        <f t="shared" si="16"/>
        <v>518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5.0</v>
      </c>
      <c r="F69" s="19">
        <v>6.0</v>
      </c>
      <c r="G69" s="19">
        <v>5.0</v>
      </c>
      <c r="H69" s="19">
        <v>9.0</v>
      </c>
      <c r="I69" s="19">
        <v>8.0</v>
      </c>
      <c r="J69" s="19">
        <v>6.0</v>
      </c>
      <c r="K69" s="19">
        <v>6.0</v>
      </c>
      <c r="L69" s="19">
        <v>5.0</v>
      </c>
      <c r="M69" s="19">
        <v>7.0</v>
      </c>
      <c r="N69" s="19">
        <v>7.0</v>
      </c>
      <c r="O69" s="19">
        <v>7.0</v>
      </c>
      <c r="P69" s="19">
        <v>17.0</v>
      </c>
      <c r="Q69" s="19">
        <v>12.0</v>
      </c>
      <c r="R69" s="19">
        <v>16.0</v>
      </c>
      <c r="S69" s="19">
        <v>7.0</v>
      </c>
      <c r="T69" s="13">
        <f t="shared" ref="T69:T79" si="18">SUM(E69:S69)</f>
        <v>123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3.0</v>
      </c>
      <c r="F70" s="19">
        <v>7.0</v>
      </c>
      <c r="G70" s="19">
        <v>2.0</v>
      </c>
      <c r="H70" s="19">
        <v>7.0</v>
      </c>
      <c r="I70" s="19">
        <v>3.0</v>
      </c>
      <c r="J70" s="19">
        <v>10.0</v>
      </c>
      <c r="K70" s="19">
        <v>0.0</v>
      </c>
      <c r="L70" s="19">
        <v>3.0</v>
      </c>
      <c r="M70" s="19">
        <v>4.0</v>
      </c>
      <c r="N70" s="19">
        <v>0.0</v>
      </c>
      <c r="O70" s="19">
        <v>4.0</v>
      </c>
      <c r="P70" s="19">
        <v>4.0</v>
      </c>
      <c r="Q70" s="19">
        <v>6.0</v>
      </c>
      <c r="R70" s="19">
        <v>5.0</v>
      </c>
      <c r="S70" s="19">
        <v>10.0</v>
      </c>
      <c r="T70" s="13">
        <f t="shared" si="18"/>
        <v>68</v>
      </c>
    </row>
    <row r="71" ht="12.75" customHeight="1">
      <c r="A71" s="18"/>
      <c r="B71" s="55">
        <v>2.0</v>
      </c>
      <c r="C71" s="50" t="s">
        <v>58</v>
      </c>
      <c r="D71" s="57"/>
      <c r="E71" s="19">
        <v>2.0</v>
      </c>
      <c r="F71" s="19">
        <v>2.0</v>
      </c>
      <c r="G71" s="19">
        <v>0.0</v>
      </c>
      <c r="H71" s="19">
        <v>4.0</v>
      </c>
      <c r="I71" s="19">
        <v>1.0</v>
      </c>
      <c r="J71" s="19">
        <v>0.0</v>
      </c>
      <c r="K71" s="19">
        <v>4.0</v>
      </c>
      <c r="L71" s="19">
        <v>0.0</v>
      </c>
      <c r="M71" s="19">
        <v>2.0</v>
      </c>
      <c r="N71" s="19">
        <v>1.0</v>
      </c>
      <c r="O71" s="19">
        <v>1.0</v>
      </c>
      <c r="P71" s="19">
        <v>1.0</v>
      </c>
      <c r="Q71" s="19">
        <v>3.0</v>
      </c>
      <c r="R71" s="19">
        <v>1.0</v>
      </c>
      <c r="S71" s="19">
        <v>3.0</v>
      </c>
      <c r="T71" s="13">
        <f t="shared" si="18"/>
        <v>25</v>
      </c>
    </row>
    <row r="72" ht="12.75" customHeight="1">
      <c r="A72" s="18"/>
      <c r="B72" s="55">
        <v>3.0</v>
      </c>
      <c r="C72" s="50" t="s">
        <v>59</v>
      </c>
      <c r="D72" s="57"/>
      <c r="E72" s="19">
        <v>10.0</v>
      </c>
      <c r="F72" s="19">
        <v>15.0</v>
      </c>
      <c r="G72" s="19">
        <v>9.0</v>
      </c>
      <c r="H72" s="19">
        <v>1.0</v>
      </c>
      <c r="I72" s="19">
        <v>14.0</v>
      </c>
      <c r="J72" s="19">
        <v>3.0</v>
      </c>
      <c r="K72" s="19">
        <v>9.0</v>
      </c>
      <c r="L72" s="19">
        <v>20.0</v>
      </c>
      <c r="M72" s="19">
        <v>44.0</v>
      </c>
      <c r="N72" s="19">
        <v>0.0</v>
      </c>
      <c r="O72" s="19">
        <v>2.0</v>
      </c>
      <c r="P72" s="19">
        <v>24.0</v>
      </c>
      <c r="Q72" s="19">
        <v>32.0</v>
      </c>
      <c r="R72" s="19">
        <v>47.0</v>
      </c>
      <c r="S72" s="19">
        <v>11.0</v>
      </c>
      <c r="T72" s="13">
        <f t="shared" si="18"/>
        <v>241</v>
      </c>
    </row>
    <row r="73" ht="12.75" customHeight="1">
      <c r="A73" s="18"/>
      <c r="B73" s="55">
        <v>4.0</v>
      </c>
      <c r="C73" s="50" t="s">
        <v>60</v>
      </c>
      <c r="D73" s="57"/>
      <c r="E73" s="19">
        <v>1.0</v>
      </c>
      <c r="F73" s="19">
        <v>0.0</v>
      </c>
      <c r="G73" s="19">
        <v>1.0</v>
      </c>
      <c r="H73" s="19">
        <v>0.0</v>
      </c>
      <c r="I73" s="19">
        <v>0.0</v>
      </c>
      <c r="J73" s="19">
        <v>0.0</v>
      </c>
      <c r="K73" s="19">
        <v>2.0</v>
      </c>
      <c r="L73" s="19">
        <v>1.0</v>
      </c>
      <c r="M73" s="19">
        <v>2.0</v>
      </c>
      <c r="N73" s="19">
        <v>1.0</v>
      </c>
      <c r="O73" s="19">
        <v>0.0</v>
      </c>
      <c r="P73" s="19">
        <v>3.0</v>
      </c>
      <c r="Q73" s="19">
        <v>4.0</v>
      </c>
      <c r="R73" s="19">
        <v>8.0</v>
      </c>
      <c r="S73" s="19">
        <v>5.0</v>
      </c>
      <c r="T73" s="13">
        <f t="shared" si="18"/>
        <v>28</v>
      </c>
    </row>
    <row r="74" ht="12.75" customHeight="1">
      <c r="A74" s="18"/>
      <c r="B74" s="55">
        <v>5.0</v>
      </c>
      <c r="C74" s="50" t="s">
        <v>61</v>
      </c>
      <c r="D74" s="57"/>
      <c r="E74" s="19">
        <v>8.0</v>
      </c>
      <c r="F74" s="19">
        <v>10.0</v>
      </c>
      <c r="G74" s="19">
        <v>7.0</v>
      </c>
      <c r="H74" s="19">
        <v>6.0</v>
      </c>
      <c r="I74" s="19">
        <v>14.0</v>
      </c>
      <c r="J74" s="19">
        <v>6.0</v>
      </c>
      <c r="K74" s="19">
        <v>9.0</v>
      </c>
      <c r="L74" s="19">
        <v>16.0</v>
      </c>
      <c r="M74" s="19">
        <v>5.0</v>
      </c>
      <c r="N74" s="19">
        <v>4.0</v>
      </c>
      <c r="O74" s="19">
        <v>5.0</v>
      </c>
      <c r="P74" s="19">
        <v>0.0</v>
      </c>
      <c r="Q74" s="19">
        <v>3.0</v>
      </c>
      <c r="R74" s="19">
        <v>9.0</v>
      </c>
      <c r="S74" s="19">
        <v>18.0</v>
      </c>
      <c r="T74" s="13">
        <f t="shared" si="18"/>
        <v>120</v>
      </c>
    </row>
    <row r="75" ht="12.75" customHeight="1">
      <c r="A75" s="18"/>
      <c r="B75" s="55">
        <v>6.0</v>
      </c>
      <c r="C75" s="50" t="s">
        <v>62</v>
      </c>
      <c r="D75" s="57"/>
      <c r="E75" s="19">
        <v>0.0</v>
      </c>
      <c r="F75" s="19">
        <v>1.0</v>
      </c>
      <c r="G75" s="19">
        <v>0.0</v>
      </c>
      <c r="H75" s="19">
        <v>1.0</v>
      </c>
      <c r="I75" s="19">
        <v>1.0</v>
      </c>
      <c r="J75" s="19">
        <v>0.0</v>
      </c>
      <c r="K75" s="19">
        <v>2.0</v>
      </c>
      <c r="L75" s="19">
        <v>0.0</v>
      </c>
      <c r="M75" s="19">
        <v>1.0</v>
      </c>
      <c r="N75" s="19">
        <v>0.0</v>
      </c>
      <c r="O75" s="19">
        <v>0.0</v>
      </c>
      <c r="P75" s="19">
        <v>0.0</v>
      </c>
      <c r="Q75" s="19">
        <v>0.0</v>
      </c>
      <c r="R75" s="19">
        <v>1.0</v>
      </c>
      <c r="S75" s="19">
        <v>0.0</v>
      </c>
      <c r="T75" s="13">
        <f t="shared" si="18"/>
        <v>7</v>
      </c>
    </row>
    <row r="76" ht="12.75" customHeight="1">
      <c r="A76" s="18"/>
      <c r="B76" s="55">
        <v>7.0</v>
      </c>
      <c r="C76" s="50" t="s">
        <v>63</v>
      </c>
      <c r="D76" s="57"/>
      <c r="E76" s="19">
        <v>0.0</v>
      </c>
      <c r="F76" s="19">
        <v>2.0</v>
      </c>
      <c r="G76" s="19">
        <v>0.0</v>
      </c>
      <c r="H76" s="19">
        <v>0.0</v>
      </c>
      <c r="I76" s="19">
        <v>3.0</v>
      </c>
      <c r="J76" s="19">
        <v>2.0</v>
      </c>
      <c r="K76" s="19">
        <v>0.0</v>
      </c>
      <c r="L76" s="19">
        <v>0.0</v>
      </c>
      <c r="M76" s="19">
        <v>0.0</v>
      </c>
      <c r="N76" s="19">
        <v>2.0</v>
      </c>
      <c r="O76" s="19">
        <v>1.0</v>
      </c>
      <c r="P76" s="19">
        <v>0.0</v>
      </c>
      <c r="Q76" s="19">
        <v>0.0</v>
      </c>
      <c r="R76" s="19">
        <v>2.0</v>
      </c>
      <c r="S76" s="19">
        <v>0.0</v>
      </c>
      <c r="T76" s="13">
        <f t="shared" si="18"/>
        <v>12</v>
      </c>
    </row>
    <row r="77" ht="12.75" customHeight="1">
      <c r="A77" s="18"/>
      <c r="B77" s="68"/>
      <c r="C77" s="69"/>
      <c r="D77" s="71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3">
        <f t="shared" si="18"/>
        <v>0</v>
      </c>
    </row>
    <row r="78" ht="12.75" customHeight="1">
      <c r="A78" s="18"/>
      <c r="B78" s="68"/>
      <c r="C78" s="69"/>
      <c r="D78" s="71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3">
        <f t="shared" si="18"/>
        <v>0</v>
      </c>
    </row>
    <row r="79" ht="15.0" customHeight="1">
      <c r="A79" s="19" t="s">
        <v>15</v>
      </c>
      <c r="B79" s="47" t="s">
        <v>47</v>
      </c>
      <c r="C79" s="15"/>
      <c r="D79" s="16"/>
      <c r="E79" s="13">
        <f t="shared" ref="E79:S79" si="19">SUM(E69:E76)</f>
        <v>29</v>
      </c>
      <c r="F79" s="13">
        <f t="shared" si="19"/>
        <v>43</v>
      </c>
      <c r="G79" s="13">
        <f t="shared" si="19"/>
        <v>24</v>
      </c>
      <c r="H79" s="13">
        <f t="shared" si="19"/>
        <v>28</v>
      </c>
      <c r="I79" s="13">
        <f t="shared" si="19"/>
        <v>44</v>
      </c>
      <c r="J79" s="13">
        <f t="shared" si="19"/>
        <v>27</v>
      </c>
      <c r="K79" s="13">
        <f t="shared" si="19"/>
        <v>32</v>
      </c>
      <c r="L79" s="13">
        <f t="shared" si="19"/>
        <v>45</v>
      </c>
      <c r="M79" s="13">
        <f t="shared" si="19"/>
        <v>65</v>
      </c>
      <c r="N79" s="13">
        <f t="shared" si="19"/>
        <v>15</v>
      </c>
      <c r="O79" s="13">
        <f t="shared" si="19"/>
        <v>20</v>
      </c>
      <c r="P79" s="13">
        <f t="shared" si="19"/>
        <v>49</v>
      </c>
      <c r="Q79" s="13">
        <f t="shared" si="19"/>
        <v>60</v>
      </c>
      <c r="R79" s="13">
        <f t="shared" si="19"/>
        <v>89</v>
      </c>
      <c r="S79" s="13">
        <f t="shared" si="19"/>
        <v>54</v>
      </c>
      <c r="T79" s="13">
        <f t="shared" si="18"/>
        <v>624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6.0</v>
      </c>
      <c r="F81" s="19">
        <v>5.0</v>
      </c>
      <c r="G81" s="19">
        <v>5.0</v>
      </c>
      <c r="H81" s="19">
        <v>1.0</v>
      </c>
      <c r="I81" s="19">
        <v>2.0</v>
      </c>
      <c r="J81" s="19">
        <v>1.0</v>
      </c>
      <c r="K81" s="19">
        <v>4.0</v>
      </c>
      <c r="L81" s="19">
        <v>1.0</v>
      </c>
      <c r="M81" s="19">
        <v>5.0</v>
      </c>
      <c r="N81" s="19">
        <v>11.0</v>
      </c>
      <c r="O81" s="19">
        <v>1.0</v>
      </c>
      <c r="P81" s="19">
        <v>0.0</v>
      </c>
      <c r="Q81" s="19">
        <v>2.0</v>
      </c>
      <c r="R81" s="19">
        <v>4.0</v>
      </c>
      <c r="S81" s="19">
        <v>2.0</v>
      </c>
      <c r="T81" s="13">
        <f t="shared" ref="T81:T91" si="20">SUM(E81:S81)</f>
        <v>50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15.0</v>
      </c>
      <c r="F82" s="19">
        <v>5.0</v>
      </c>
      <c r="G82" s="19">
        <v>6.0</v>
      </c>
      <c r="H82" s="19">
        <v>3.0</v>
      </c>
      <c r="I82" s="19">
        <v>6.0</v>
      </c>
      <c r="J82" s="19">
        <v>4.0</v>
      </c>
      <c r="K82" s="19">
        <v>1.0</v>
      </c>
      <c r="L82" s="19">
        <v>0.0</v>
      </c>
      <c r="M82" s="19">
        <v>0.0</v>
      </c>
      <c r="N82" s="19">
        <v>40.0</v>
      </c>
      <c r="O82" s="19">
        <v>23.0</v>
      </c>
      <c r="P82" s="19">
        <v>3.0</v>
      </c>
      <c r="Q82" s="19">
        <v>1.0</v>
      </c>
      <c r="R82" s="19">
        <v>2.0</v>
      </c>
      <c r="S82" s="19">
        <v>2.0</v>
      </c>
      <c r="T82" s="13">
        <f t="shared" si="20"/>
        <v>111</v>
      </c>
    </row>
    <row r="83" ht="12.75" customHeight="1">
      <c r="A83" s="18"/>
      <c r="B83" s="55">
        <v>2.0</v>
      </c>
      <c r="C83" s="50" t="s">
        <v>66</v>
      </c>
      <c r="D83" s="57"/>
      <c r="E83" s="19">
        <v>1.0</v>
      </c>
      <c r="F83" s="19">
        <v>2.0</v>
      </c>
      <c r="G83" s="19">
        <v>2.0</v>
      </c>
      <c r="H83" s="19">
        <v>0.0</v>
      </c>
      <c r="I83" s="19">
        <v>0.0</v>
      </c>
      <c r="J83" s="19">
        <v>1.0</v>
      </c>
      <c r="K83" s="19">
        <v>1.0</v>
      </c>
      <c r="L83" s="19">
        <v>2.0</v>
      </c>
      <c r="M83" s="19">
        <v>0.0</v>
      </c>
      <c r="N83" s="19">
        <v>3.0</v>
      </c>
      <c r="O83" s="19">
        <v>1.0</v>
      </c>
      <c r="P83" s="19">
        <v>0.0</v>
      </c>
      <c r="Q83" s="19">
        <v>2.0</v>
      </c>
      <c r="R83" s="19">
        <v>1.0</v>
      </c>
      <c r="S83" s="19">
        <v>1.0</v>
      </c>
      <c r="T83" s="13">
        <f t="shared" si="20"/>
        <v>17</v>
      </c>
    </row>
    <row r="84" ht="12.75" customHeight="1">
      <c r="A84" s="18"/>
      <c r="B84" s="55">
        <v>3.0</v>
      </c>
      <c r="C84" s="50" t="s">
        <v>67</v>
      </c>
      <c r="D84" s="57"/>
      <c r="E84" s="19">
        <v>0.0</v>
      </c>
      <c r="F84" s="19">
        <v>0.0</v>
      </c>
      <c r="G84" s="19">
        <v>0.0</v>
      </c>
      <c r="H84" s="19">
        <v>0.0</v>
      </c>
      <c r="I84" s="19">
        <v>0.0</v>
      </c>
      <c r="J84" s="19">
        <v>3.0</v>
      </c>
      <c r="K84" s="19">
        <v>0.0</v>
      </c>
      <c r="L84" s="19">
        <v>1.0</v>
      </c>
      <c r="M84" s="19">
        <v>0.0</v>
      </c>
      <c r="N84" s="19">
        <v>0.0</v>
      </c>
      <c r="O84" s="19">
        <v>0.0</v>
      </c>
      <c r="P84" s="19">
        <v>0.0</v>
      </c>
      <c r="Q84" s="19">
        <v>0.0</v>
      </c>
      <c r="R84" s="19">
        <v>1.0</v>
      </c>
      <c r="S84" s="19">
        <v>1.0</v>
      </c>
      <c r="T84" s="13">
        <f t="shared" si="20"/>
        <v>6</v>
      </c>
    </row>
    <row r="85" ht="12.75" customHeight="1">
      <c r="A85" s="18"/>
      <c r="B85" s="55">
        <v>4.0</v>
      </c>
      <c r="C85" s="50" t="s">
        <v>68</v>
      </c>
      <c r="D85" s="57"/>
      <c r="E85" s="19">
        <v>1.0</v>
      </c>
      <c r="F85" s="19">
        <v>0.0</v>
      </c>
      <c r="G85" s="19">
        <v>0.0</v>
      </c>
      <c r="H85" s="19">
        <v>0.0</v>
      </c>
      <c r="I85" s="19">
        <v>2.0</v>
      </c>
      <c r="J85" s="19">
        <v>2.0</v>
      </c>
      <c r="K85" s="19">
        <v>0.0</v>
      </c>
      <c r="L85" s="19">
        <v>0.0</v>
      </c>
      <c r="M85" s="19">
        <v>0.0</v>
      </c>
      <c r="N85" s="19">
        <v>0.0</v>
      </c>
      <c r="O85" s="19">
        <v>0.0</v>
      </c>
      <c r="P85" s="19">
        <v>0.0</v>
      </c>
      <c r="Q85" s="19">
        <v>0.0</v>
      </c>
      <c r="R85" s="19">
        <v>0.0</v>
      </c>
      <c r="S85" s="19">
        <v>0.0</v>
      </c>
      <c r="T85" s="13">
        <f t="shared" si="20"/>
        <v>5</v>
      </c>
    </row>
    <row r="86" ht="12.75" customHeight="1">
      <c r="A86" s="18"/>
      <c r="B86" s="55">
        <v>5.0</v>
      </c>
      <c r="C86" s="50" t="s">
        <v>69</v>
      </c>
      <c r="D86" s="57"/>
      <c r="E86" s="19">
        <v>0.0</v>
      </c>
      <c r="F86" s="19">
        <v>0.0</v>
      </c>
      <c r="G86" s="19">
        <v>0.0</v>
      </c>
      <c r="H86" s="19">
        <v>0.0</v>
      </c>
      <c r="I86" s="19">
        <v>0.0</v>
      </c>
      <c r="J86" s="19">
        <v>0.0</v>
      </c>
      <c r="K86" s="19">
        <v>0.0</v>
      </c>
      <c r="L86" s="19">
        <v>1.0</v>
      </c>
      <c r="M86" s="19">
        <v>0.0</v>
      </c>
      <c r="N86" s="19">
        <v>0.0</v>
      </c>
      <c r="O86" s="19">
        <v>0.0</v>
      </c>
      <c r="P86" s="19">
        <v>0.0</v>
      </c>
      <c r="Q86" s="19">
        <v>0.0</v>
      </c>
      <c r="R86" s="19">
        <v>0.0</v>
      </c>
      <c r="S86" s="19">
        <v>0.0</v>
      </c>
      <c r="T86" s="13">
        <f t="shared" si="20"/>
        <v>1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1.0</v>
      </c>
      <c r="K87" s="19">
        <v>0.0</v>
      </c>
      <c r="L87" s="19">
        <v>0.0</v>
      </c>
      <c r="M87" s="19">
        <v>0.0</v>
      </c>
      <c r="N87" s="19">
        <v>0.0</v>
      </c>
      <c r="O87" s="19">
        <v>0.0</v>
      </c>
      <c r="P87" s="19">
        <v>0.0</v>
      </c>
      <c r="Q87" s="19">
        <v>0.0</v>
      </c>
      <c r="R87" s="19">
        <v>0.0</v>
      </c>
      <c r="S87" s="19">
        <v>1.0</v>
      </c>
      <c r="T87" s="13">
        <f t="shared" si="20"/>
        <v>2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0.0</v>
      </c>
      <c r="S88" s="19">
        <v>0.0</v>
      </c>
      <c r="T88" s="13">
        <f t="shared" si="20"/>
        <v>0</v>
      </c>
    </row>
    <row r="89" ht="12.75" customHeight="1">
      <c r="A89" s="18"/>
      <c r="B89" s="68"/>
      <c r="C89" s="69"/>
      <c r="D89" s="71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3">
        <f t="shared" si="20"/>
        <v>0</v>
      </c>
    </row>
    <row r="90" ht="12.75" customHeight="1">
      <c r="A90" s="18"/>
      <c r="B90" s="68"/>
      <c r="C90" s="69"/>
      <c r="D90" s="71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3">
        <f t="shared" si="20"/>
        <v>0</v>
      </c>
    </row>
    <row r="91" ht="15.0" customHeight="1">
      <c r="A91" s="19" t="s">
        <v>15</v>
      </c>
      <c r="B91" s="47" t="s">
        <v>47</v>
      </c>
      <c r="C91" s="15"/>
      <c r="D91" s="16"/>
      <c r="E91" s="13">
        <f t="shared" ref="E91:S91" si="21">SUM(E81:E88)</f>
        <v>23</v>
      </c>
      <c r="F91" s="13">
        <f t="shared" si="21"/>
        <v>12</v>
      </c>
      <c r="G91" s="13">
        <f t="shared" si="21"/>
        <v>13</v>
      </c>
      <c r="H91" s="13">
        <f t="shared" si="21"/>
        <v>4</v>
      </c>
      <c r="I91" s="13">
        <f t="shared" si="21"/>
        <v>10</v>
      </c>
      <c r="J91" s="13">
        <f t="shared" si="21"/>
        <v>12</v>
      </c>
      <c r="K91" s="13">
        <f t="shared" si="21"/>
        <v>6</v>
      </c>
      <c r="L91" s="13">
        <f t="shared" si="21"/>
        <v>5</v>
      </c>
      <c r="M91" s="13">
        <f t="shared" si="21"/>
        <v>5</v>
      </c>
      <c r="N91" s="13">
        <f t="shared" si="21"/>
        <v>54</v>
      </c>
      <c r="O91" s="13">
        <f t="shared" si="21"/>
        <v>25</v>
      </c>
      <c r="P91" s="13">
        <f t="shared" si="21"/>
        <v>3</v>
      </c>
      <c r="Q91" s="13">
        <f t="shared" si="21"/>
        <v>5</v>
      </c>
      <c r="R91" s="13">
        <f t="shared" si="21"/>
        <v>8</v>
      </c>
      <c r="S91" s="13">
        <f t="shared" si="21"/>
        <v>7</v>
      </c>
      <c r="T91" s="13">
        <f t="shared" si="20"/>
        <v>192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2.0</v>
      </c>
      <c r="F93" s="19">
        <v>4.0</v>
      </c>
      <c r="G93" s="19">
        <v>1.0</v>
      </c>
      <c r="H93" s="19">
        <v>2.0</v>
      </c>
      <c r="I93" s="19">
        <v>1.0</v>
      </c>
      <c r="J93" s="19">
        <v>2.0</v>
      </c>
      <c r="K93" s="19">
        <v>0.0</v>
      </c>
      <c r="L93" s="19">
        <v>1.0</v>
      </c>
      <c r="M93" s="19">
        <v>0.0</v>
      </c>
      <c r="N93" s="19">
        <v>0.0</v>
      </c>
      <c r="O93" s="19">
        <v>1.0</v>
      </c>
      <c r="P93" s="19">
        <v>2.0</v>
      </c>
      <c r="Q93" s="19">
        <v>2.0</v>
      </c>
      <c r="R93" s="19">
        <v>1.0</v>
      </c>
      <c r="S93" s="19">
        <v>1.0</v>
      </c>
      <c r="T93" s="13">
        <f t="shared" ref="T93:T103" si="22">SUM(E93:S93)</f>
        <v>20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1.0</v>
      </c>
      <c r="F94" s="19">
        <v>2.0</v>
      </c>
      <c r="G94" s="19">
        <v>1.0</v>
      </c>
      <c r="H94" s="19">
        <v>1.0</v>
      </c>
      <c r="I94" s="19">
        <v>0.0</v>
      </c>
      <c r="J94" s="19">
        <v>0.0</v>
      </c>
      <c r="K94" s="19">
        <v>1.0</v>
      </c>
      <c r="L94" s="19">
        <v>4.0</v>
      </c>
      <c r="M94" s="19">
        <v>1.0</v>
      </c>
      <c r="N94" s="19">
        <v>0.0</v>
      </c>
      <c r="O94" s="19">
        <v>1.0</v>
      </c>
      <c r="P94" s="19">
        <v>7.0</v>
      </c>
      <c r="Q94" s="19">
        <v>11.0</v>
      </c>
      <c r="R94" s="19">
        <v>1.0</v>
      </c>
      <c r="S94" s="19">
        <v>1.0</v>
      </c>
      <c r="T94" s="13">
        <f t="shared" si="22"/>
        <v>32</v>
      </c>
    </row>
    <row r="95" ht="12.75" customHeight="1">
      <c r="A95" s="18"/>
      <c r="B95" s="55">
        <v>2.0</v>
      </c>
      <c r="C95" s="50" t="s">
        <v>75</v>
      </c>
      <c r="D95" s="57"/>
      <c r="E95" s="19">
        <v>0.0</v>
      </c>
      <c r="F95" s="19">
        <v>0.0</v>
      </c>
      <c r="G95" s="19">
        <v>0.0</v>
      </c>
      <c r="H95" s="19">
        <v>0.0</v>
      </c>
      <c r="I95" s="19">
        <v>0.0</v>
      </c>
      <c r="J95" s="19">
        <v>0.0</v>
      </c>
      <c r="K95" s="19">
        <v>0.0</v>
      </c>
      <c r="L95" s="19">
        <v>0.0</v>
      </c>
      <c r="M95" s="19">
        <v>0.0</v>
      </c>
      <c r="N95" s="19">
        <v>0.0</v>
      </c>
      <c r="O95" s="19">
        <v>0.0</v>
      </c>
      <c r="P95" s="19">
        <v>0.0</v>
      </c>
      <c r="Q95" s="19">
        <v>1.0</v>
      </c>
      <c r="R95" s="19">
        <v>0.0</v>
      </c>
      <c r="S95" s="19">
        <v>0.0</v>
      </c>
      <c r="T95" s="13">
        <f t="shared" si="22"/>
        <v>1</v>
      </c>
    </row>
    <row r="96" ht="12.75" customHeight="1">
      <c r="A96" s="18"/>
      <c r="B96" s="55">
        <v>3.0</v>
      </c>
      <c r="C96" s="50" t="s">
        <v>76</v>
      </c>
      <c r="D96" s="57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1.0</v>
      </c>
      <c r="K96" s="19">
        <v>1.0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0.0</v>
      </c>
      <c r="R96" s="19">
        <v>0.0</v>
      </c>
      <c r="S96" s="19">
        <v>1.0</v>
      </c>
      <c r="T96" s="13">
        <f t="shared" si="22"/>
        <v>3</v>
      </c>
    </row>
    <row r="97" ht="12.75" customHeight="1">
      <c r="A97" s="18"/>
      <c r="B97" s="55">
        <v>4.0</v>
      </c>
      <c r="C97" s="50" t="s">
        <v>77</v>
      </c>
      <c r="D97" s="57"/>
      <c r="E97" s="19">
        <v>0.0</v>
      </c>
      <c r="F97" s="19">
        <v>1.0</v>
      </c>
      <c r="G97" s="19">
        <v>0.0</v>
      </c>
      <c r="H97" s="19">
        <v>0.0</v>
      </c>
      <c r="I97" s="19">
        <v>0.0</v>
      </c>
      <c r="J97" s="19">
        <v>0.0</v>
      </c>
      <c r="K97" s="19">
        <v>1.0</v>
      </c>
      <c r="L97" s="19">
        <v>0.0</v>
      </c>
      <c r="M97" s="19">
        <v>0.0</v>
      </c>
      <c r="N97" s="19">
        <v>0.0</v>
      </c>
      <c r="O97" s="19">
        <v>0.0</v>
      </c>
      <c r="P97" s="19">
        <v>0.0</v>
      </c>
      <c r="Q97" s="19">
        <v>0.0</v>
      </c>
      <c r="R97" s="19">
        <v>0.0</v>
      </c>
      <c r="S97" s="19">
        <v>0.0</v>
      </c>
      <c r="T97" s="13">
        <f t="shared" si="22"/>
        <v>2</v>
      </c>
    </row>
    <row r="98" ht="12.75" customHeight="1">
      <c r="A98" s="18"/>
      <c r="B98" s="55">
        <v>5.0</v>
      </c>
      <c r="C98" s="50" t="s">
        <v>78</v>
      </c>
      <c r="D98" s="57"/>
      <c r="E98" s="19">
        <v>1.0</v>
      </c>
      <c r="F98" s="19">
        <v>2.0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1.0</v>
      </c>
      <c r="O98" s="19">
        <v>1.0</v>
      </c>
      <c r="P98" s="19">
        <v>0.0</v>
      </c>
      <c r="Q98" s="19">
        <v>0.0</v>
      </c>
      <c r="R98" s="19">
        <v>0.0</v>
      </c>
      <c r="S98" s="19">
        <v>0.0</v>
      </c>
      <c r="T98" s="13">
        <f t="shared" si="22"/>
        <v>5</v>
      </c>
    </row>
    <row r="99" ht="12.75" customHeight="1">
      <c r="A99" s="18"/>
      <c r="B99" s="55">
        <v>6.0</v>
      </c>
      <c r="C99" s="50" t="s">
        <v>79</v>
      </c>
      <c r="D99" s="57"/>
      <c r="E99" s="19">
        <v>0.0</v>
      </c>
      <c r="F99" s="19">
        <v>4.0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9">
        <v>0.0</v>
      </c>
      <c r="O99" s="19">
        <v>1.0</v>
      </c>
      <c r="P99" s="19">
        <v>0.0</v>
      </c>
      <c r="Q99" s="19">
        <v>0.0</v>
      </c>
      <c r="R99" s="19">
        <v>0.0</v>
      </c>
      <c r="S99" s="19">
        <v>1.0</v>
      </c>
      <c r="T99" s="13">
        <f t="shared" si="22"/>
        <v>6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1.0</v>
      </c>
      <c r="G100" s="19">
        <v>0.0</v>
      </c>
      <c r="H100" s="19">
        <v>1.0</v>
      </c>
      <c r="I100" s="19">
        <v>0.0</v>
      </c>
      <c r="J100" s="19">
        <v>0.0</v>
      </c>
      <c r="K100" s="19">
        <v>0.0</v>
      </c>
      <c r="L100" s="19">
        <v>0.0</v>
      </c>
      <c r="M100" s="19">
        <v>2.0</v>
      </c>
      <c r="N100" s="19">
        <v>0.0</v>
      </c>
      <c r="O100" s="19">
        <v>0.0</v>
      </c>
      <c r="P100" s="19">
        <v>0.0</v>
      </c>
      <c r="Q100" s="19">
        <v>0.0</v>
      </c>
      <c r="R100" s="19">
        <v>0.0</v>
      </c>
      <c r="S100" s="19">
        <v>0.0</v>
      </c>
      <c r="T100" s="13">
        <f t="shared" si="22"/>
        <v>4</v>
      </c>
    </row>
    <row r="101" ht="12.75" customHeight="1">
      <c r="A101" s="18"/>
      <c r="B101" s="68"/>
      <c r="C101" s="69"/>
      <c r="D101" s="71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3">
        <f t="shared" si="22"/>
        <v>0</v>
      </c>
    </row>
    <row r="102" ht="12.75" customHeight="1">
      <c r="A102" s="18"/>
      <c r="B102" s="68"/>
      <c r="C102" s="69"/>
      <c r="D102" s="71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3">
        <f t="shared" si="22"/>
        <v>0</v>
      </c>
    </row>
    <row r="103" ht="15.0" customHeight="1">
      <c r="A103" s="19" t="s">
        <v>15</v>
      </c>
      <c r="B103" s="47" t="s">
        <v>47</v>
      </c>
      <c r="C103" s="15"/>
      <c r="D103" s="16"/>
      <c r="E103" s="13">
        <f t="shared" ref="E103:S103" si="23">SUM(E93:E100)</f>
        <v>4</v>
      </c>
      <c r="F103" s="13">
        <f t="shared" si="23"/>
        <v>14</v>
      </c>
      <c r="G103" s="13">
        <f t="shared" si="23"/>
        <v>2</v>
      </c>
      <c r="H103" s="13">
        <f t="shared" si="23"/>
        <v>4</v>
      </c>
      <c r="I103" s="13">
        <f t="shared" si="23"/>
        <v>1</v>
      </c>
      <c r="J103" s="13">
        <f t="shared" si="23"/>
        <v>3</v>
      </c>
      <c r="K103" s="13">
        <f t="shared" si="23"/>
        <v>3</v>
      </c>
      <c r="L103" s="13">
        <f t="shared" si="23"/>
        <v>5</v>
      </c>
      <c r="M103" s="13">
        <f t="shared" si="23"/>
        <v>3</v>
      </c>
      <c r="N103" s="13">
        <f t="shared" si="23"/>
        <v>1</v>
      </c>
      <c r="O103" s="13">
        <f t="shared" si="23"/>
        <v>4</v>
      </c>
      <c r="P103" s="13">
        <f t="shared" si="23"/>
        <v>9</v>
      </c>
      <c r="Q103" s="13">
        <f t="shared" si="23"/>
        <v>14</v>
      </c>
      <c r="R103" s="13">
        <f t="shared" si="23"/>
        <v>2</v>
      </c>
      <c r="S103" s="13">
        <f t="shared" si="23"/>
        <v>4</v>
      </c>
      <c r="T103" s="13">
        <f t="shared" si="22"/>
        <v>73</v>
      </c>
    </row>
    <row r="104" ht="12.75" customHeight="1">
      <c r="A104" s="45"/>
      <c r="B104" s="44"/>
      <c r="C104" s="44"/>
      <c r="D104" s="44"/>
      <c r="E104" s="44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2.0</v>
      </c>
      <c r="H105" s="19">
        <v>2.0</v>
      </c>
      <c r="I105" s="19">
        <v>0.0</v>
      </c>
      <c r="J105" s="19">
        <v>0.0</v>
      </c>
      <c r="K105" s="19">
        <v>0.0</v>
      </c>
      <c r="L105" s="19">
        <v>1.0</v>
      </c>
      <c r="M105" s="19">
        <v>1.0</v>
      </c>
      <c r="N105" s="19">
        <v>0.0</v>
      </c>
      <c r="O105" s="19">
        <v>0.0</v>
      </c>
      <c r="P105" s="19">
        <v>0.0</v>
      </c>
      <c r="Q105" s="19">
        <v>0.0</v>
      </c>
      <c r="R105" s="19">
        <v>0.0</v>
      </c>
      <c r="S105" s="19">
        <v>1.0</v>
      </c>
      <c r="T105" s="13">
        <f t="shared" ref="T105:T115" si="24">SUM(E105:S105)</f>
        <v>7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0.0</v>
      </c>
      <c r="F106" s="19">
        <v>0.0</v>
      </c>
      <c r="G106" s="19">
        <v>0.0</v>
      </c>
      <c r="H106" s="19">
        <v>0.0</v>
      </c>
      <c r="I106" s="19">
        <v>1.0</v>
      </c>
      <c r="J106" s="19">
        <v>0.0</v>
      </c>
      <c r="K106" s="19">
        <v>0.0</v>
      </c>
      <c r="L106" s="19">
        <v>0.0</v>
      </c>
      <c r="M106" s="19">
        <v>0.0</v>
      </c>
      <c r="N106" s="19">
        <v>1.0</v>
      </c>
      <c r="O106" s="19">
        <v>0.0</v>
      </c>
      <c r="P106" s="19">
        <v>1.0</v>
      </c>
      <c r="Q106" s="19">
        <v>0.0</v>
      </c>
      <c r="R106" s="19">
        <v>0.0</v>
      </c>
      <c r="S106" s="19">
        <v>0.0</v>
      </c>
      <c r="T106" s="13">
        <f t="shared" si="24"/>
        <v>3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1.0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1.0</v>
      </c>
      <c r="R107" s="19">
        <v>0.0</v>
      </c>
      <c r="S107" s="19">
        <v>0.0</v>
      </c>
      <c r="T107" s="13">
        <f t="shared" si="24"/>
        <v>2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3">
        <f t="shared" si="24"/>
        <v>0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0.0</v>
      </c>
      <c r="R109" s="19">
        <v>0.0</v>
      </c>
      <c r="S109" s="19">
        <v>0.0</v>
      </c>
      <c r="T109" s="13">
        <f t="shared" si="24"/>
        <v>0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1.0</v>
      </c>
      <c r="R111" s="19">
        <v>0.0</v>
      </c>
      <c r="S111" s="19">
        <v>0.0</v>
      </c>
      <c r="T111" s="13">
        <f t="shared" si="24"/>
        <v>1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3">
        <f t="shared" si="24"/>
        <v>0</v>
      </c>
    </row>
    <row r="113" ht="12.75" customHeight="1">
      <c r="A113" s="18"/>
      <c r="B113" s="68"/>
      <c r="C113" s="69"/>
      <c r="D113" s="71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3">
        <f t="shared" si="24"/>
        <v>0</v>
      </c>
    </row>
    <row r="114" ht="12.75" customHeight="1">
      <c r="A114" s="18"/>
      <c r="B114" s="68"/>
      <c r="C114" s="69"/>
      <c r="D114" s="71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S115" si="25">SUM(E105:E112)</f>
        <v>0</v>
      </c>
      <c r="F115" s="13">
        <f t="shared" si="25"/>
        <v>1</v>
      </c>
      <c r="G115" s="13">
        <f t="shared" si="25"/>
        <v>2</v>
      </c>
      <c r="H115" s="13">
        <f t="shared" si="25"/>
        <v>2</v>
      </c>
      <c r="I115" s="13">
        <f t="shared" si="25"/>
        <v>1</v>
      </c>
      <c r="J115" s="13">
        <f t="shared" si="25"/>
        <v>0</v>
      </c>
      <c r="K115" s="13">
        <f t="shared" si="25"/>
        <v>0</v>
      </c>
      <c r="L115" s="13">
        <f t="shared" si="25"/>
        <v>1</v>
      </c>
      <c r="M115" s="13">
        <f t="shared" si="25"/>
        <v>1</v>
      </c>
      <c r="N115" s="13">
        <f t="shared" si="25"/>
        <v>1</v>
      </c>
      <c r="O115" s="13">
        <f t="shared" si="25"/>
        <v>0</v>
      </c>
      <c r="P115" s="13">
        <f t="shared" si="25"/>
        <v>1</v>
      </c>
      <c r="Q115" s="13">
        <f t="shared" si="25"/>
        <v>2</v>
      </c>
      <c r="R115" s="13">
        <f t="shared" si="25"/>
        <v>0</v>
      </c>
      <c r="S115" s="13">
        <f t="shared" si="25"/>
        <v>1</v>
      </c>
      <c r="T115" s="13">
        <f t="shared" si="24"/>
        <v>13</v>
      </c>
    </row>
    <row r="116" ht="12.75" customHeight="1">
      <c r="A116" s="24"/>
      <c r="B116" s="15"/>
      <c r="C116" s="15"/>
      <c r="D116" s="15"/>
      <c r="E116" s="16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1.0</v>
      </c>
      <c r="G117" s="19">
        <v>0.0</v>
      </c>
      <c r="H117" s="19">
        <v>2.0</v>
      </c>
      <c r="I117" s="19">
        <v>1.0</v>
      </c>
      <c r="J117" s="19">
        <v>0.0</v>
      </c>
      <c r="K117" s="19">
        <v>0.0</v>
      </c>
      <c r="L117" s="19">
        <v>2.0</v>
      </c>
      <c r="M117" s="19">
        <v>2.0</v>
      </c>
      <c r="N117" s="19">
        <v>0.0</v>
      </c>
      <c r="O117" s="19">
        <v>0.0</v>
      </c>
      <c r="P117" s="19">
        <v>0.0</v>
      </c>
      <c r="Q117" s="19">
        <v>1.0</v>
      </c>
      <c r="R117" s="19">
        <v>0.0</v>
      </c>
      <c r="S117" s="19">
        <v>1.0</v>
      </c>
      <c r="T117" s="13">
        <f t="shared" ref="T117:T122" si="26">SUM(E117:S117)</f>
        <v>10</v>
      </c>
      <c r="U117" s="5"/>
      <c r="V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1.0</v>
      </c>
      <c r="T118" s="13">
        <f t="shared" si="26"/>
        <v>1</v>
      </c>
      <c r="U118" s="5"/>
      <c r="V118" s="5"/>
    </row>
    <row r="119" ht="12.75" customHeight="1">
      <c r="A119" s="18"/>
      <c r="B119" s="55">
        <v>2.0</v>
      </c>
      <c r="C119" s="50" t="s">
        <v>93</v>
      </c>
      <c r="D119" s="57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3">
        <f t="shared" si="26"/>
        <v>0</v>
      </c>
      <c r="U119" s="5"/>
      <c r="V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1.0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3">
        <f t="shared" si="26"/>
        <v>1</v>
      </c>
      <c r="U120" s="5"/>
      <c r="V120" s="5"/>
    </row>
    <row r="121" ht="12.75" customHeight="1">
      <c r="A121" s="18"/>
      <c r="B121" s="68"/>
      <c r="C121" s="69"/>
      <c r="D121" s="71"/>
      <c r="E121" s="40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3">
        <f t="shared" si="26"/>
        <v>0</v>
      </c>
      <c r="U121" s="5"/>
      <c r="V121" s="5"/>
    </row>
    <row r="122" ht="12.75" customHeight="1">
      <c r="A122" s="18"/>
      <c r="B122" s="68"/>
      <c r="C122" s="69"/>
      <c r="D122" s="71"/>
      <c r="E122" s="40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3">
        <f t="shared" si="26"/>
        <v>0</v>
      </c>
      <c r="U122" s="5"/>
      <c r="V122" s="5"/>
    </row>
    <row r="123" ht="12.75" customHeight="1">
      <c r="A123" s="18"/>
      <c r="B123" s="68"/>
      <c r="C123" s="69"/>
      <c r="D123" s="71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74"/>
      <c r="U123" s="5"/>
      <c r="V123" s="5"/>
    </row>
    <row r="124" ht="12.75" customHeight="1">
      <c r="A124" s="18"/>
      <c r="B124" s="68"/>
      <c r="C124" s="69"/>
      <c r="D124" s="71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74"/>
      <c r="U124" s="5"/>
      <c r="V124" s="5"/>
    </row>
    <row r="125" ht="12.75" customHeight="1">
      <c r="A125" s="18"/>
      <c r="B125" s="68"/>
      <c r="C125" s="69"/>
      <c r="D125" s="71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74"/>
      <c r="U125" s="5"/>
      <c r="V125" s="5"/>
    </row>
    <row r="126" ht="12.75" customHeight="1">
      <c r="A126" s="18"/>
      <c r="B126" s="68"/>
      <c r="C126" s="69"/>
      <c r="D126" s="71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74"/>
      <c r="U126" s="5"/>
      <c r="V126" s="5"/>
    </row>
    <row r="127" ht="15.0" customHeight="1">
      <c r="A127" s="19" t="s">
        <v>15</v>
      </c>
      <c r="B127" s="47" t="s">
        <v>47</v>
      </c>
      <c r="C127" s="15"/>
      <c r="D127" s="16"/>
      <c r="E127" s="58">
        <f t="shared" ref="E127:S127" si="27">SUM(E117:E120)</f>
        <v>0</v>
      </c>
      <c r="F127" s="58">
        <f t="shared" si="27"/>
        <v>1</v>
      </c>
      <c r="G127" s="58">
        <f t="shared" si="27"/>
        <v>0</v>
      </c>
      <c r="H127" s="58">
        <f t="shared" si="27"/>
        <v>2</v>
      </c>
      <c r="I127" s="58">
        <f t="shared" si="27"/>
        <v>1</v>
      </c>
      <c r="J127" s="58">
        <f t="shared" si="27"/>
        <v>1</v>
      </c>
      <c r="K127" s="58">
        <f t="shared" si="27"/>
        <v>0</v>
      </c>
      <c r="L127" s="58">
        <f t="shared" si="27"/>
        <v>2</v>
      </c>
      <c r="M127" s="58">
        <f t="shared" si="27"/>
        <v>2</v>
      </c>
      <c r="N127" s="58">
        <f t="shared" si="27"/>
        <v>0</v>
      </c>
      <c r="O127" s="58">
        <f t="shared" si="27"/>
        <v>0</v>
      </c>
      <c r="P127" s="58">
        <f t="shared" si="27"/>
        <v>0</v>
      </c>
      <c r="Q127" s="58">
        <f t="shared" si="27"/>
        <v>1</v>
      </c>
      <c r="R127" s="58">
        <f t="shared" si="27"/>
        <v>0</v>
      </c>
      <c r="S127" s="58">
        <f t="shared" si="27"/>
        <v>2</v>
      </c>
      <c r="T127" s="13">
        <f>SUM(E127:S127)</f>
        <v>12</v>
      </c>
      <c r="U127" s="5"/>
      <c r="V127" s="5"/>
    </row>
    <row r="128" ht="12.75" customHeight="1">
      <c r="A128" s="24"/>
      <c r="B128" s="15"/>
      <c r="C128" s="15"/>
      <c r="D128" s="15"/>
      <c r="E128" s="16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5"/>
      <c r="V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1.0</v>
      </c>
      <c r="F129" s="19">
        <v>3.0</v>
      </c>
      <c r="G129" s="19">
        <v>0.0</v>
      </c>
      <c r="H129" s="19">
        <v>1.0</v>
      </c>
      <c r="I129" s="19">
        <v>2.0</v>
      </c>
      <c r="J129" s="19">
        <v>1.0</v>
      </c>
      <c r="K129" s="19">
        <v>2.0</v>
      </c>
      <c r="L129" s="19">
        <v>0.0</v>
      </c>
      <c r="M129" s="19">
        <v>0.0</v>
      </c>
      <c r="N129" s="19">
        <v>1.0</v>
      </c>
      <c r="O129" s="19">
        <v>1.0</v>
      </c>
      <c r="P129" s="19">
        <v>0.0</v>
      </c>
      <c r="Q129" s="19">
        <v>0.0</v>
      </c>
      <c r="R129" s="19">
        <v>0.0</v>
      </c>
      <c r="S129" s="19">
        <v>0.0</v>
      </c>
      <c r="T129" s="13">
        <f t="shared" ref="T129:T139" si="28">SUM(E129:S129)</f>
        <v>12</v>
      </c>
      <c r="U129" s="5"/>
      <c r="V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0.0</v>
      </c>
      <c r="F130" s="19">
        <v>0.0</v>
      </c>
      <c r="G130" s="19">
        <v>0.0</v>
      </c>
      <c r="H130" s="19">
        <v>1.0</v>
      </c>
      <c r="I130" s="19">
        <v>1.0</v>
      </c>
      <c r="J130" s="19">
        <v>0.0</v>
      </c>
      <c r="K130" s="19">
        <v>0.0</v>
      </c>
      <c r="L130" s="19">
        <v>0.0</v>
      </c>
      <c r="M130" s="19">
        <v>1.0</v>
      </c>
      <c r="N130" s="19">
        <v>0.0</v>
      </c>
      <c r="O130" s="19">
        <v>0.0</v>
      </c>
      <c r="P130" s="19">
        <v>0.0</v>
      </c>
      <c r="Q130" s="19">
        <v>1.0</v>
      </c>
      <c r="R130" s="19">
        <v>0.0</v>
      </c>
      <c r="S130" s="19">
        <v>2.0</v>
      </c>
      <c r="T130" s="13">
        <f t="shared" si="28"/>
        <v>6</v>
      </c>
      <c r="U130" s="1"/>
      <c r="V130" s="1"/>
    </row>
    <row r="131" ht="12.75" customHeight="1">
      <c r="A131" s="18"/>
      <c r="B131" s="55">
        <v>2.0</v>
      </c>
      <c r="C131" s="50" t="s">
        <v>98</v>
      </c>
      <c r="D131" s="56"/>
      <c r="E131" s="19">
        <v>1.0</v>
      </c>
      <c r="F131" s="19">
        <v>2.0</v>
      </c>
      <c r="G131" s="19">
        <v>1.0</v>
      </c>
      <c r="H131" s="19">
        <v>1.0</v>
      </c>
      <c r="I131" s="19">
        <v>1.0</v>
      </c>
      <c r="J131" s="19">
        <v>0.0</v>
      </c>
      <c r="K131" s="19">
        <v>0.0</v>
      </c>
      <c r="L131" s="19">
        <v>0.0</v>
      </c>
      <c r="M131" s="19">
        <v>1.0</v>
      </c>
      <c r="N131" s="19">
        <v>0.0</v>
      </c>
      <c r="O131" s="19">
        <v>1.0</v>
      </c>
      <c r="P131" s="19">
        <v>0.0</v>
      </c>
      <c r="Q131" s="19">
        <v>0.0</v>
      </c>
      <c r="R131" s="19">
        <v>0.0</v>
      </c>
      <c r="S131" s="19">
        <v>0.0</v>
      </c>
      <c r="T131" s="13">
        <f t="shared" si="28"/>
        <v>8</v>
      </c>
      <c r="U131" s="52"/>
      <c r="V131" s="52"/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0.0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3">
        <f t="shared" si="28"/>
        <v>0</v>
      </c>
      <c r="U132" s="5"/>
      <c r="V132" s="5"/>
    </row>
    <row r="133" ht="12.75" customHeight="1">
      <c r="A133" s="18"/>
      <c r="B133" s="55">
        <v>4.0</v>
      </c>
      <c r="C133" s="50" t="s">
        <v>100</v>
      </c>
      <c r="D133" s="56"/>
      <c r="E133" s="19">
        <v>1.0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1.0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0.0</v>
      </c>
      <c r="S133" s="19">
        <v>0.0</v>
      </c>
      <c r="T133" s="13">
        <f t="shared" si="28"/>
        <v>2</v>
      </c>
      <c r="U133" s="5"/>
      <c r="V133" s="5"/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1.0</v>
      </c>
      <c r="Q134" s="19">
        <v>0.0</v>
      </c>
      <c r="R134" s="19">
        <v>0.0</v>
      </c>
      <c r="S134" s="19">
        <v>0.0</v>
      </c>
      <c r="T134" s="13">
        <f t="shared" si="28"/>
        <v>1</v>
      </c>
      <c r="U134" s="5"/>
      <c r="V134" s="5"/>
    </row>
    <row r="135" ht="12.75" customHeight="1">
      <c r="A135" s="18"/>
      <c r="B135" s="55">
        <v>6.0</v>
      </c>
      <c r="C135" s="50" t="s">
        <v>102</v>
      </c>
      <c r="D135" s="57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1.0</v>
      </c>
      <c r="N135" s="19">
        <v>0.0</v>
      </c>
      <c r="O135" s="19">
        <v>0.0</v>
      </c>
      <c r="P135" s="19">
        <v>0.0</v>
      </c>
      <c r="Q135" s="19">
        <v>0.0</v>
      </c>
      <c r="R135" s="19">
        <v>0.0</v>
      </c>
      <c r="S135" s="19">
        <v>0.0</v>
      </c>
      <c r="T135" s="13">
        <f t="shared" si="28"/>
        <v>1</v>
      </c>
      <c r="U135" s="5"/>
      <c r="V135" s="5"/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3">
        <f t="shared" si="28"/>
        <v>0</v>
      </c>
      <c r="U136" s="5"/>
      <c r="V136" s="5"/>
    </row>
    <row r="137" ht="12.75" customHeight="1">
      <c r="A137" s="18"/>
      <c r="B137" s="68"/>
      <c r="C137" s="69"/>
      <c r="D137" s="70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3">
        <f t="shared" si="28"/>
        <v>0</v>
      </c>
      <c r="U137" s="5"/>
      <c r="V137" s="5"/>
    </row>
    <row r="138" ht="12.75" customHeight="1">
      <c r="A138" s="18"/>
      <c r="B138" s="68"/>
      <c r="C138" s="69"/>
      <c r="D138" s="70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3">
        <f t="shared" si="28"/>
        <v>0</v>
      </c>
      <c r="U138" s="5"/>
      <c r="V138" s="5"/>
    </row>
    <row r="139" ht="15.0" customHeight="1">
      <c r="A139" s="19" t="s">
        <v>15</v>
      </c>
      <c r="B139" s="47" t="s">
        <v>47</v>
      </c>
      <c r="C139" s="15"/>
      <c r="D139" s="16"/>
      <c r="E139" s="13">
        <f t="shared" ref="E139:S139" si="29">SUM(E129:E136)</f>
        <v>3</v>
      </c>
      <c r="F139" s="13">
        <f t="shared" si="29"/>
        <v>5</v>
      </c>
      <c r="G139" s="13">
        <f t="shared" si="29"/>
        <v>1</v>
      </c>
      <c r="H139" s="13">
        <f t="shared" si="29"/>
        <v>3</v>
      </c>
      <c r="I139" s="13">
        <f t="shared" si="29"/>
        <v>4</v>
      </c>
      <c r="J139" s="13">
        <f t="shared" si="29"/>
        <v>1</v>
      </c>
      <c r="K139" s="13">
        <f t="shared" si="29"/>
        <v>2</v>
      </c>
      <c r="L139" s="13">
        <f t="shared" si="29"/>
        <v>1</v>
      </c>
      <c r="M139" s="13">
        <f t="shared" si="29"/>
        <v>3</v>
      </c>
      <c r="N139" s="13">
        <f t="shared" si="29"/>
        <v>1</v>
      </c>
      <c r="O139" s="13">
        <f t="shared" si="29"/>
        <v>2</v>
      </c>
      <c r="P139" s="13">
        <f t="shared" si="29"/>
        <v>1</v>
      </c>
      <c r="Q139" s="13">
        <f t="shared" si="29"/>
        <v>1</v>
      </c>
      <c r="R139" s="13">
        <f t="shared" si="29"/>
        <v>0</v>
      </c>
      <c r="S139" s="13">
        <f t="shared" si="29"/>
        <v>2</v>
      </c>
      <c r="T139" s="13">
        <f t="shared" si="28"/>
        <v>30</v>
      </c>
      <c r="U139" s="5"/>
      <c r="V139" s="5"/>
    </row>
    <row r="140" ht="12.75" customHeight="1">
      <c r="A140" s="24"/>
      <c r="B140" s="15"/>
      <c r="C140" s="15"/>
      <c r="D140" s="15"/>
      <c r="E140" s="16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5"/>
      <c r="V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1.0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3">
        <f t="shared" ref="T141:T151" si="30">SUM(E141:S141)</f>
        <v>1</v>
      </c>
      <c r="U141" s="1"/>
      <c r="V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1.0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3">
        <f t="shared" si="30"/>
        <v>1</v>
      </c>
      <c r="U142" s="52"/>
      <c r="V142" s="52"/>
    </row>
    <row r="143" ht="12.75" customHeight="1">
      <c r="A143" s="18"/>
      <c r="B143" s="55">
        <v>2.0</v>
      </c>
      <c r="C143" s="50" t="s">
        <v>107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3">
        <f t="shared" si="30"/>
        <v>0</v>
      </c>
      <c r="U143" s="5"/>
      <c r="V143" s="5"/>
    </row>
    <row r="144" ht="12.75" customHeight="1">
      <c r="A144" s="18"/>
      <c r="B144" s="55">
        <v>3.0</v>
      </c>
      <c r="C144" s="50" t="s">
        <v>108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3">
        <f t="shared" si="30"/>
        <v>0</v>
      </c>
      <c r="U144" s="5"/>
      <c r="V144" s="5"/>
    </row>
    <row r="145" ht="12.75" customHeight="1">
      <c r="A145" s="18"/>
      <c r="B145" s="55">
        <v>4.0</v>
      </c>
      <c r="C145" s="50" t="s">
        <v>109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3">
        <f t="shared" si="30"/>
        <v>0</v>
      </c>
      <c r="U145" s="5"/>
      <c r="V145" s="5"/>
    </row>
    <row r="146" ht="12.75" customHeight="1">
      <c r="A146" s="18"/>
      <c r="B146" s="55">
        <v>5.0</v>
      </c>
      <c r="C146" s="50" t="s">
        <v>110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3">
        <f t="shared" si="30"/>
        <v>0</v>
      </c>
      <c r="U146" s="5"/>
      <c r="V146" s="5"/>
    </row>
    <row r="147" ht="12.75" customHeight="1">
      <c r="A147" s="18"/>
      <c r="B147" s="55">
        <v>6.0</v>
      </c>
      <c r="C147" s="50" t="s">
        <v>111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3">
        <f t="shared" si="30"/>
        <v>0</v>
      </c>
      <c r="U147" s="5"/>
      <c r="V147" s="5"/>
    </row>
    <row r="148" ht="12.75" customHeight="1">
      <c r="A148" s="18"/>
      <c r="B148" s="55">
        <v>7.0</v>
      </c>
      <c r="C148" s="50" t="s">
        <v>112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3">
        <f t="shared" si="30"/>
        <v>0</v>
      </c>
      <c r="U148" s="5"/>
      <c r="V148" s="5"/>
    </row>
    <row r="149" ht="12.75" customHeight="1">
      <c r="A149" s="18"/>
      <c r="B149" s="68"/>
      <c r="C149" s="69"/>
      <c r="D149" s="71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3">
        <f t="shared" si="30"/>
        <v>0</v>
      </c>
      <c r="U149" s="5"/>
      <c r="V149" s="5"/>
    </row>
    <row r="150" ht="12.75" customHeight="1">
      <c r="A150" s="18"/>
      <c r="B150" s="68"/>
      <c r="C150" s="69"/>
      <c r="D150" s="71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3">
        <f t="shared" si="30"/>
        <v>0</v>
      </c>
      <c r="U150" s="5"/>
      <c r="V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S151" si="31">SUM(E141:E148)</f>
        <v>0</v>
      </c>
      <c r="F151" s="13">
        <f t="shared" si="31"/>
        <v>0</v>
      </c>
      <c r="G151" s="13">
        <f t="shared" si="31"/>
        <v>1</v>
      </c>
      <c r="H151" s="13">
        <f t="shared" si="31"/>
        <v>0</v>
      </c>
      <c r="I151" s="13">
        <f t="shared" si="31"/>
        <v>0</v>
      </c>
      <c r="J151" s="13">
        <f t="shared" si="31"/>
        <v>1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1"/>
        <v>0</v>
      </c>
      <c r="O151" s="13">
        <f t="shared" si="31"/>
        <v>0</v>
      </c>
      <c r="P151" s="13">
        <f t="shared" si="31"/>
        <v>0</v>
      </c>
      <c r="Q151" s="13">
        <f t="shared" si="31"/>
        <v>0</v>
      </c>
      <c r="R151" s="13">
        <f t="shared" si="31"/>
        <v>0</v>
      </c>
      <c r="S151" s="13">
        <f t="shared" si="31"/>
        <v>0</v>
      </c>
      <c r="T151" s="13">
        <f t="shared" si="30"/>
        <v>2</v>
      </c>
      <c r="U151" s="1"/>
      <c r="V151" s="1"/>
    </row>
    <row r="152" ht="12.75" customHeight="1">
      <c r="A152" s="24"/>
      <c r="B152" s="15"/>
      <c r="C152" s="15"/>
      <c r="D152" s="15"/>
      <c r="E152" s="16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13"/>
      <c r="U152" s="52"/>
      <c r="V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0.0</v>
      </c>
      <c r="N153" s="19">
        <v>1.0</v>
      </c>
      <c r="O153" s="19">
        <v>0.0</v>
      </c>
      <c r="P153" s="19">
        <v>0.0</v>
      </c>
      <c r="Q153" s="19">
        <v>0.0</v>
      </c>
      <c r="R153" s="19">
        <v>1.0</v>
      </c>
      <c r="S153" s="19">
        <v>0.0</v>
      </c>
      <c r="T153" s="13">
        <f t="shared" ref="T153:T163" si="32">sum(E153:S153)</f>
        <v>2</v>
      </c>
      <c r="U153" s="5"/>
      <c r="V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1.0</v>
      </c>
      <c r="F154" s="19">
        <v>0.0</v>
      </c>
      <c r="G154" s="19">
        <v>0.0</v>
      </c>
      <c r="H154" s="19">
        <v>1.0</v>
      </c>
      <c r="I154" s="19">
        <v>0.0</v>
      </c>
      <c r="J154" s="19">
        <v>3.0</v>
      </c>
      <c r="K154" s="19">
        <v>0.0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1.0</v>
      </c>
      <c r="T154" s="13">
        <f t="shared" si="32"/>
        <v>6</v>
      </c>
      <c r="U154" s="5"/>
      <c r="V154" s="5"/>
    </row>
    <row r="155" ht="12.75" customHeight="1">
      <c r="A155" s="18"/>
      <c r="B155" s="55">
        <v>2.0</v>
      </c>
      <c r="C155" s="59" t="s">
        <v>116</v>
      </c>
      <c r="D155" s="57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1.0</v>
      </c>
      <c r="P155" s="19">
        <v>0.0</v>
      </c>
      <c r="Q155" s="19">
        <v>0.0</v>
      </c>
      <c r="R155" s="19">
        <v>0.0</v>
      </c>
      <c r="S155" s="19">
        <v>0.0</v>
      </c>
      <c r="T155" s="13">
        <f t="shared" si="32"/>
        <v>1</v>
      </c>
      <c r="U155" s="5"/>
      <c r="V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3">
        <f t="shared" si="32"/>
        <v>0</v>
      </c>
      <c r="U156" s="5"/>
      <c r="V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1.0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1.0</v>
      </c>
      <c r="S157" s="19">
        <v>0.0</v>
      </c>
      <c r="T157" s="13">
        <f t="shared" si="32"/>
        <v>2</v>
      </c>
      <c r="U157" s="5"/>
      <c r="V157" s="5"/>
    </row>
    <row r="158" ht="12.75" customHeight="1">
      <c r="A158" s="18"/>
      <c r="B158" s="68"/>
      <c r="C158" s="73"/>
      <c r="D158" s="71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3">
        <f t="shared" si="32"/>
        <v>0</v>
      </c>
      <c r="U158" s="5"/>
      <c r="V158" s="5"/>
    </row>
    <row r="159" ht="12.75" customHeight="1">
      <c r="A159" s="18"/>
      <c r="B159" s="68"/>
      <c r="C159" s="73"/>
      <c r="D159" s="71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3">
        <f t="shared" si="32"/>
        <v>0</v>
      </c>
      <c r="U159" s="5"/>
      <c r="V159" s="5"/>
    </row>
    <row r="160" ht="12.75" customHeight="1">
      <c r="A160" s="18"/>
      <c r="B160" s="68"/>
      <c r="C160" s="73"/>
      <c r="D160" s="71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3">
        <f t="shared" si="32"/>
        <v>0</v>
      </c>
      <c r="U160" s="5"/>
      <c r="V160" s="5"/>
    </row>
    <row r="161" ht="12.75" customHeight="1">
      <c r="A161" s="18"/>
      <c r="B161" s="68"/>
      <c r="C161" s="73"/>
      <c r="D161" s="71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3">
        <f t="shared" si="32"/>
        <v>0</v>
      </c>
      <c r="U161" s="5"/>
      <c r="V161" s="5"/>
    </row>
    <row r="162" ht="12.75" customHeight="1">
      <c r="A162" s="18"/>
      <c r="B162" s="68"/>
      <c r="C162" s="73"/>
      <c r="D162" s="71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3">
        <f t="shared" si="32"/>
        <v>0</v>
      </c>
      <c r="U162" s="5"/>
      <c r="V162" s="5"/>
    </row>
    <row r="163" ht="15.0" customHeight="1">
      <c r="A163" s="19" t="s">
        <v>15</v>
      </c>
      <c r="B163" s="47" t="s">
        <v>47</v>
      </c>
      <c r="C163" s="15"/>
      <c r="D163" s="16"/>
      <c r="E163" s="13">
        <f t="shared" ref="E163:S163" si="33">SUM(E153:E157)</f>
        <v>1</v>
      </c>
      <c r="F163" s="13">
        <f t="shared" si="33"/>
        <v>0</v>
      </c>
      <c r="G163" s="13">
        <f t="shared" si="33"/>
        <v>1</v>
      </c>
      <c r="H163" s="13">
        <f t="shared" si="33"/>
        <v>1</v>
      </c>
      <c r="I163" s="13">
        <f t="shared" si="33"/>
        <v>0</v>
      </c>
      <c r="J163" s="13">
        <f t="shared" si="33"/>
        <v>3</v>
      </c>
      <c r="K163" s="13">
        <f t="shared" si="33"/>
        <v>0</v>
      </c>
      <c r="L163" s="13">
        <f t="shared" si="33"/>
        <v>0</v>
      </c>
      <c r="M163" s="13">
        <f t="shared" si="33"/>
        <v>0</v>
      </c>
      <c r="N163" s="13">
        <f t="shared" si="33"/>
        <v>1</v>
      </c>
      <c r="O163" s="13">
        <f t="shared" si="33"/>
        <v>1</v>
      </c>
      <c r="P163" s="13">
        <f t="shared" si="33"/>
        <v>0</v>
      </c>
      <c r="Q163" s="13">
        <f t="shared" si="33"/>
        <v>0</v>
      </c>
      <c r="R163" s="13">
        <f t="shared" si="33"/>
        <v>2</v>
      </c>
      <c r="S163" s="13">
        <f t="shared" si="33"/>
        <v>1</v>
      </c>
      <c r="T163" s="13">
        <f t="shared" si="32"/>
        <v>11</v>
      </c>
      <c r="U163" s="5"/>
      <c r="V163" s="5"/>
    </row>
    <row r="164" ht="12.75" customHeight="1">
      <c r="A164" s="24"/>
      <c r="B164" s="15"/>
      <c r="C164" s="15"/>
      <c r="D164" s="15"/>
      <c r="E164" s="16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5"/>
      <c r="V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2.0</v>
      </c>
      <c r="J165" s="19">
        <v>0.0</v>
      </c>
      <c r="K165" s="19">
        <v>0.0</v>
      </c>
      <c r="L165" s="19">
        <v>0.0</v>
      </c>
      <c r="M165" s="19">
        <v>0.0</v>
      </c>
      <c r="N165" s="19">
        <v>1.0</v>
      </c>
      <c r="O165" s="19">
        <v>0.0</v>
      </c>
      <c r="P165" s="19">
        <v>0.0</v>
      </c>
      <c r="Q165" s="19">
        <v>0.0</v>
      </c>
      <c r="R165" s="19">
        <v>0.0</v>
      </c>
      <c r="S165" s="19">
        <v>1.0</v>
      </c>
      <c r="T165" s="13">
        <f t="shared" ref="T165:T172" si="34">SUM(E165:S165)</f>
        <v>4</v>
      </c>
      <c r="U165" s="1"/>
      <c r="V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3">
        <f t="shared" si="34"/>
        <v>0</v>
      </c>
      <c r="U166" s="52"/>
      <c r="V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3">
        <f t="shared" si="34"/>
        <v>0</v>
      </c>
      <c r="U167" s="5"/>
      <c r="V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3">
        <f t="shared" si="34"/>
        <v>0</v>
      </c>
      <c r="U168" s="5"/>
      <c r="V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3">
        <f t="shared" si="34"/>
        <v>0</v>
      </c>
      <c r="U169" s="5"/>
      <c r="V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1.0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3">
        <f t="shared" si="34"/>
        <v>1</v>
      </c>
      <c r="U170" s="5"/>
      <c r="V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3">
        <f t="shared" si="34"/>
        <v>0</v>
      </c>
      <c r="U171" s="5"/>
      <c r="V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3">
        <f t="shared" si="34"/>
        <v>0</v>
      </c>
      <c r="U172" s="5"/>
      <c r="V172" s="5"/>
    </row>
    <row r="173" ht="12.75" customHeight="1">
      <c r="A173" s="18"/>
      <c r="B173" s="68"/>
      <c r="C173" s="69"/>
      <c r="D173" s="71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74"/>
      <c r="U173" s="5"/>
      <c r="V173" s="5"/>
    </row>
    <row r="174" ht="12.75" customHeight="1">
      <c r="A174" s="18"/>
      <c r="B174" s="68"/>
      <c r="C174" s="69"/>
      <c r="D174" s="71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74"/>
      <c r="U174" s="5"/>
      <c r="V174" s="5"/>
    </row>
    <row r="175" ht="15.0" customHeight="1">
      <c r="A175" s="19" t="s">
        <v>15</v>
      </c>
      <c r="B175" s="47" t="s">
        <v>47</v>
      </c>
      <c r="C175" s="15"/>
      <c r="D175" s="16"/>
      <c r="E175" s="13">
        <f t="shared" ref="E175:S175" si="35">SUM(E165:E172)</f>
        <v>0</v>
      </c>
      <c r="F175" s="13">
        <f t="shared" si="35"/>
        <v>1</v>
      </c>
      <c r="G175" s="13">
        <f t="shared" si="35"/>
        <v>0</v>
      </c>
      <c r="H175" s="13">
        <f t="shared" si="35"/>
        <v>0</v>
      </c>
      <c r="I175" s="13">
        <f t="shared" si="35"/>
        <v>2</v>
      </c>
      <c r="J175" s="13">
        <f t="shared" si="35"/>
        <v>0</v>
      </c>
      <c r="K175" s="13">
        <f t="shared" si="35"/>
        <v>0</v>
      </c>
      <c r="L175" s="13">
        <f t="shared" si="35"/>
        <v>0</v>
      </c>
      <c r="M175" s="13">
        <f t="shared" si="35"/>
        <v>0</v>
      </c>
      <c r="N175" s="13">
        <f t="shared" si="35"/>
        <v>1</v>
      </c>
      <c r="O175" s="13">
        <f t="shared" si="35"/>
        <v>0</v>
      </c>
      <c r="P175" s="13">
        <f t="shared" si="35"/>
        <v>0</v>
      </c>
      <c r="Q175" s="13">
        <f t="shared" si="35"/>
        <v>0</v>
      </c>
      <c r="R175" s="13">
        <f t="shared" si="35"/>
        <v>0</v>
      </c>
      <c r="S175" s="13">
        <f t="shared" si="35"/>
        <v>1</v>
      </c>
      <c r="T175" s="13">
        <f>SUM(E175:S175)</f>
        <v>5</v>
      </c>
      <c r="U175" s="5"/>
      <c r="V175" s="5"/>
    </row>
    <row r="176" ht="12.75" customHeight="1">
      <c r="A176" s="24"/>
      <c r="B176" s="15"/>
      <c r="C176" s="15"/>
      <c r="D176" s="15"/>
      <c r="E176" s="16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1"/>
      <c r="V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1.0</v>
      </c>
      <c r="G177" s="19">
        <v>3.0</v>
      </c>
      <c r="H177" s="19">
        <v>0.0</v>
      </c>
      <c r="I177" s="19">
        <v>2.0</v>
      </c>
      <c r="J177" s="19">
        <v>1.0</v>
      </c>
      <c r="K177" s="19">
        <v>3.0</v>
      </c>
      <c r="L177" s="19">
        <v>0.0</v>
      </c>
      <c r="M177" s="19">
        <v>1.0</v>
      </c>
      <c r="N177" s="19">
        <v>0.0</v>
      </c>
      <c r="O177" s="19">
        <v>1.0</v>
      </c>
      <c r="P177" s="19">
        <v>0.0</v>
      </c>
      <c r="Q177" s="19">
        <v>0.0</v>
      </c>
      <c r="R177" s="19">
        <v>0.0</v>
      </c>
      <c r="S177" s="19">
        <v>0.0</v>
      </c>
      <c r="T177" s="13">
        <f t="shared" ref="T177:T187" si="36">SUM(E177:S177)</f>
        <v>12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1.0</v>
      </c>
      <c r="F178" s="19">
        <v>0.0</v>
      </c>
      <c r="G178" s="19">
        <v>0.0</v>
      </c>
      <c r="H178" s="19">
        <v>0.0</v>
      </c>
      <c r="I178" s="19">
        <v>0.0</v>
      </c>
      <c r="J178" s="19">
        <v>0.0</v>
      </c>
      <c r="K178" s="19">
        <v>3.0</v>
      </c>
      <c r="L178" s="19">
        <v>2.0</v>
      </c>
      <c r="M178" s="19">
        <v>0.0</v>
      </c>
      <c r="N178" s="19">
        <v>0.0</v>
      </c>
      <c r="O178" s="19">
        <v>1.0</v>
      </c>
      <c r="P178" s="19">
        <v>0.0</v>
      </c>
      <c r="Q178" s="19">
        <v>0.0</v>
      </c>
      <c r="R178" s="19">
        <v>0.0</v>
      </c>
      <c r="S178" s="19">
        <v>0.0</v>
      </c>
      <c r="T178" s="13">
        <f t="shared" si="36"/>
        <v>7</v>
      </c>
      <c r="U178" s="5"/>
      <c r="V178" s="5"/>
    </row>
    <row r="179" ht="12.75" customHeight="1">
      <c r="A179" s="18"/>
      <c r="B179" s="55">
        <v>2.0</v>
      </c>
      <c r="C179" s="50" t="s">
        <v>131</v>
      </c>
      <c r="D179" s="57"/>
      <c r="E179" s="19">
        <v>0.0</v>
      </c>
      <c r="F179" s="19">
        <v>0.0</v>
      </c>
      <c r="G179" s="19">
        <v>0.0</v>
      </c>
      <c r="H179" s="19">
        <v>1.0</v>
      </c>
      <c r="I179" s="19">
        <v>0.0</v>
      </c>
      <c r="J179" s="19">
        <v>0.0</v>
      </c>
      <c r="K179" s="19">
        <v>0.0</v>
      </c>
      <c r="L179" s="19">
        <v>0.0</v>
      </c>
      <c r="M179" s="19">
        <v>0.0</v>
      </c>
      <c r="N179" s="19">
        <v>0.0</v>
      </c>
      <c r="O179" s="19">
        <v>0.0</v>
      </c>
      <c r="P179" s="19">
        <v>1.0</v>
      </c>
      <c r="Q179" s="19">
        <v>0.0</v>
      </c>
      <c r="R179" s="19">
        <v>0.0</v>
      </c>
      <c r="S179" s="19">
        <v>0.0</v>
      </c>
      <c r="T179" s="13">
        <f t="shared" si="36"/>
        <v>2</v>
      </c>
      <c r="U179" s="5"/>
      <c r="V179" s="5"/>
    </row>
    <row r="180" ht="12.75" customHeight="1">
      <c r="A180" s="18"/>
      <c r="B180" s="55">
        <v>3.0</v>
      </c>
      <c r="C180" s="50" t="s">
        <v>132</v>
      </c>
      <c r="D180" s="57"/>
      <c r="E180" s="19">
        <v>0.0</v>
      </c>
      <c r="F180" s="19">
        <v>0.0</v>
      </c>
      <c r="G180" s="19">
        <v>1.0</v>
      </c>
      <c r="H180" s="19">
        <v>0.0</v>
      </c>
      <c r="I180" s="19">
        <v>1.0</v>
      </c>
      <c r="J180" s="19">
        <v>0.0</v>
      </c>
      <c r="K180" s="19">
        <v>0.0</v>
      </c>
      <c r="L180" s="19">
        <v>1.0</v>
      </c>
      <c r="M180" s="19">
        <v>0.0</v>
      </c>
      <c r="N180" s="19">
        <v>0.0</v>
      </c>
      <c r="O180" s="19">
        <v>1.0</v>
      </c>
      <c r="P180" s="19">
        <v>0.0</v>
      </c>
      <c r="Q180" s="19">
        <v>0.0</v>
      </c>
      <c r="R180" s="19">
        <v>0.0</v>
      </c>
      <c r="S180" s="19">
        <v>0.0</v>
      </c>
      <c r="T180" s="13">
        <f t="shared" si="36"/>
        <v>4</v>
      </c>
      <c r="U180" s="5"/>
      <c r="V180" s="5"/>
    </row>
    <row r="181" ht="12.75" customHeight="1">
      <c r="A181" s="18"/>
      <c r="B181" s="55">
        <v>4.0</v>
      </c>
      <c r="C181" s="50" t="s">
        <v>133</v>
      </c>
      <c r="D181" s="57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1.0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3">
        <f t="shared" si="36"/>
        <v>1</v>
      </c>
      <c r="U181" s="5"/>
      <c r="V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0.0</v>
      </c>
      <c r="G182" s="19">
        <v>0.0</v>
      </c>
      <c r="H182" s="19">
        <v>1.0</v>
      </c>
      <c r="I182" s="19">
        <v>6.0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3">
        <f t="shared" si="36"/>
        <v>7</v>
      </c>
      <c r="U182" s="5"/>
      <c r="V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3">
        <f t="shared" si="36"/>
        <v>0</v>
      </c>
      <c r="U183" s="5"/>
      <c r="V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0.0</v>
      </c>
      <c r="G184" s="19">
        <v>0.0</v>
      </c>
      <c r="H184" s="19">
        <v>0.0</v>
      </c>
      <c r="I184" s="19">
        <v>2.0</v>
      </c>
      <c r="J184" s="19">
        <v>0.0</v>
      </c>
      <c r="K184" s="19">
        <v>1.0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3">
        <f t="shared" si="36"/>
        <v>3</v>
      </c>
      <c r="U184" s="5"/>
      <c r="V184" s="5"/>
    </row>
    <row r="185" ht="12.75" customHeight="1">
      <c r="A185" s="18"/>
      <c r="B185" s="68"/>
      <c r="C185" s="69"/>
      <c r="D185" s="71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3">
        <f t="shared" si="36"/>
        <v>0</v>
      </c>
      <c r="U185" s="5"/>
      <c r="V185" s="5"/>
    </row>
    <row r="186" ht="12.75" customHeight="1">
      <c r="A186" s="18"/>
      <c r="B186" s="68"/>
      <c r="C186" s="69"/>
      <c r="D186" s="71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3">
        <f t="shared" si="36"/>
        <v>0</v>
      </c>
      <c r="U186" s="5"/>
      <c r="V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S187" si="37">SUM(E177:E184)</f>
        <v>1</v>
      </c>
      <c r="F187" s="13">
        <f t="shared" si="37"/>
        <v>1</v>
      </c>
      <c r="G187" s="13">
        <f t="shared" si="37"/>
        <v>4</v>
      </c>
      <c r="H187" s="13">
        <f t="shared" si="37"/>
        <v>2</v>
      </c>
      <c r="I187" s="13">
        <f t="shared" si="37"/>
        <v>11</v>
      </c>
      <c r="J187" s="13">
        <f t="shared" si="37"/>
        <v>1</v>
      </c>
      <c r="K187" s="13">
        <f t="shared" si="37"/>
        <v>8</v>
      </c>
      <c r="L187" s="13">
        <f t="shared" si="37"/>
        <v>3</v>
      </c>
      <c r="M187" s="13">
        <f t="shared" si="37"/>
        <v>1</v>
      </c>
      <c r="N187" s="13">
        <f t="shared" si="37"/>
        <v>0</v>
      </c>
      <c r="O187" s="13">
        <f t="shared" si="37"/>
        <v>3</v>
      </c>
      <c r="P187" s="13">
        <f t="shared" si="37"/>
        <v>1</v>
      </c>
      <c r="Q187" s="13">
        <f t="shared" si="37"/>
        <v>0</v>
      </c>
      <c r="R187" s="13">
        <f t="shared" si="37"/>
        <v>0</v>
      </c>
      <c r="S187" s="13">
        <f t="shared" si="37"/>
        <v>0</v>
      </c>
      <c r="T187" s="13">
        <f t="shared" si="36"/>
        <v>36</v>
      </c>
      <c r="U187" s="1"/>
      <c r="V187" s="1"/>
    </row>
    <row r="188" ht="12.75" customHeight="1">
      <c r="A188" s="24"/>
      <c r="B188" s="15"/>
      <c r="C188" s="15"/>
      <c r="D188" s="15"/>
      <c r="E188" s="16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1.0</v>
      </c>
      <c r="Q189" s="19">
        <v>0.0</v>
      </c>
      <c r="R189" s="19">
        <v>0.0</v>
      </c>
      <c r="S189" s="19">
        <v>0.0</v>
      </c>
      <c r="T189" s="13">
        <f t="shared" ref="T189:T199" si="38">SUM(E189:S189)</f>
        <v>1</v>
      </c>
      <c r="U189" s="5"/>
      <c r="V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1.0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3">
        <f t="shared" si="38"/>
        <v>1</v>
      </c>
      <c r="U190" s="5"/>
      <c r="V190" s="5"/>
    </row>
    <row r="191" ht="12.75" customHeight="1">
      <c r="A191" s="18"/>
      <c r="B191" s="55">
        <v>2.0</v>
      </c>
      <c r="C191" s="50" t="s">
        <v>140</v>
      </c>
      <c r="D191" s="57"/>
      <c r="E191" s="19">
        <v>0.0</v>
      </c>
      <c r="F191" s="19">
        <v>0.0</v>
      </c>
      <c r="G191" s="19">
        <v>0.0</v>
      </c>
      <c r="H191" s="19">
        <v>0.0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0.0</v>
      </c>
      <c r="R191" s="19">
        <v>0.0</v>
      </c>
      <c r="S191" s="19">
        <v>0.0</v>
      </c>
      <c r="T191" s="13">
        <f t="shared" si="38"/>
        <v>0</v>
      </c>
      <c r="U191" s="5"/>
      <c r="V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1.0</v>
      </c>
      <c r="Q192" s="19">
        <v>0.0</v>
      </c>
      <c r="R192" s="19">
        <v>0.0</v>
      </c>
      <c r="S192" s="19">
        <v>0.0</v>
      </c>
      <c r="T192" s="13">
        <f t="shared" si="38"/>
        <v>1</v>
      </c>
      <c r="U192" s="5"/>
      <c r="V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3">
        <f t="shared" si="38"/>
        <v>0</v>
      </c>
      <c r="U193" s="5"/>
      <c r="V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3">
        <f t="shared" si="38"/>
        <v>0</v>
      </c>
      <c r="U194" s="5"/>
      <c r="V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3">
        <f t="shared" si="38"/>
        <v>0</v>
      </c>
      <c r="U195" s="5"/>
      <c r="V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3">
        <f t="shared" si="38"/>
        <v>0</v>
      </c>
      <c r="U196" s="1"/>
      <c r="V196" s="1"/>
    </row>
    <row r="197" ht="12.75" customHeight="1">
      <c r="A197" s="18"/>
      <c r="B197" s="68"/>
      <c r="C197" s="69"/>
      <c r="D197" s="71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3">
        <f t="shared" si="38"/>
        <v>0</v>
      </c>
      <c r="U197" s="1"/>
      <c r="V197" s="1"/>
    </row>
    <row r="198" ht="12.75" customHeight="1">
      <c r="A198" s="18"/>
      <c r="B198" s="68"/>
      <c r="C198" s="69"/>
      <c r="D198" s="71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3">
        <f t="shared" si="38"/>
        <v>0</v>
      </c>
      <c r="U198" s="1"/>
      <c r="V198" s="1"/>
    </row>
    <row r="199" ht="15.0" customHeight="1">
      <c r="A199" s="19" t="s">
        <v>15</v>
      </c>
      <c r="B199" s="47" t="s">
        <v>47</v>
      </c>
      <c r="C199" s="15"/>
      <c r="D199" s="16"/>
      <c r="E199" s="13">
        <f t="shared" ref="E199:S199" si="39">SUM(E189:E196)</f>
        <v>0</v>
      </c>
      <c r="F199" s="13">
        <f t="shared" si="39"/>
        <v>0</v>
      </c>
      <c r="G199" s="13">
        <f t="shared" si="39"/>
        <v>0</v>
      </c>
      <c r="H199" s="13">
        <f t="shared" si="39"/>
        <v>0</v>
      </c>
      <c r="I199" s="13">
        <f t="shared" si="39"/>
        <v>0</v>
      </c>
      <c r="J199" s="13">
        <f t="shared" si="39"/>
        <v>0</v>
      </c>
      <c r="K199" s="13">
        <f t="shared" si="39"/>
        <v>1</v>
      </c>
      <c r="L199" s="13">
        <f t="shared" si="39"/>
        <v>0</v>
      </c>
      <c r="M199" s="13">
        <f t="shared" si="39"/>
        <v>0</v>
      </c>
      <c r="N199" s="13">
        <f t="shared" si="39"/>
        <v>0</v>
      </c>
      <c r="O199" s="13">
        <f t="shared" si="39"/>
        <v>0</v>
      </c>
      <c r="P199" s="13">
        <f t="shared" si="39"/>
        <v>2</v>
      </c>
      <c r="Q199" s="13">
        <f t="shared" si="39"/>
        <v>0</v>
      </c>
      <c r="R199" s="13">
        <f t="shared" si="39"/>
        <v>0</v>
      </c>
      <c r="S199" s="13">
        <f t="shared" si="39"/>
        <v>0</v>
      </c>
      <c r="T199" s="13">
        <f t="shared" si="38"/>
        <v>3</v>
      </c>
      <c r="U199" s="52"/>
      <c r="V199" s="52"/>
    </row>
    <row r="200" ht="12.75" customHeight="1">
      <c r="A200" s="24"/>
      <c r="B200" s="15"/>
      <c r="C200" s="15"/>
      <c r="D200" s="15"/>
      <c r="E200" s="16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5"/>
      <c r="V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1.0</v>
      </c>
      <c r="F201" s="19">
        <v>1.0</v>
      </c>
      <c r="G201" s="19">
        <v>2.0</v>
      </c>
      <c r="H201" s="19">
        <v>4.0</v>
      </c>
      <c r="I201" s="19">
        <v>2.0</v>
      </c>
      <c r="J201" s="19">
        <v>6.0</v>
      </c>
      <c r="K201" s="19">
        <v>0.0</v>
      </c>
      <c r="L201" s="19">
        <v>1.0</v>
      </c>
      <c r="M201" s="19">
        <v>2.0</v>
      </c>
      <c r="N201" s="19">
        <v>2.0</v>
      </c>
      <c r="O201" s="19">
        <v>1.0</v>
      </c>
      <c r="P201" s="19">
        <v>1.0</v>
      </c>
      <c r="Q201" s="19">
        <v>1.0</v>
      </c>
      <c r="R201" s="19">
        <v>1.0</v>
      </c>
      <c r="S201" s="19">
        <v>2.0</v>
      </c>
      <c r="T201" s="13">
        <f t="shared" ref="T201:T211" si="40">SUM(E201:S201)</f>
        <v>27</v>
      </c>
      <c r="U201" s="5"/>
      <c r="V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2.0</v>
      </c>
      <c r="F202" s="19">
        <v>0.0</v>
      </c>
      <c r="G202" s="19">
        <v>3.0</v>
      </c>
      <c r="H202" s="19">
        <v>4.0</v>
      </c>
      <c r="I202" s="19">
        <v>2.0</v>
      </c>
      <c r="J202" s="19">
        <v>5.0</v>
      </c>
      <c r="K202" s="19">
        <v>1.0</v>
      </c>
      <c r="L202" s="19">
        <v>0.0</v>
      </c>
      <c r="M202" s="19">
        <v>0.0</v>
      </c>
      <c r="N202" s="19">
        <v>0.0</v>
      </c>
      <c r="O202" s="19">
        <v>1.0</v>
      </c>
      <c r="P202" s="19">
        <v>0.0</v>
      </c>
      <c r="Q202" s="19">
        <v>0.0</v>
      </c>
      <c r="R202" s="19">
        <v>0.0</v>
      </c>
      <c r="S202" s="19">
        <v>1.0</v>
      </c>
      <c r="T202" s="13">
        <f t="shared" si="40"/>
        <v>19</v>
      </c>
      <c r="U202" s="5"/>
      <c r="V202" s="5"/>
    </row>
    <row r="203" ht="12.75" customHeight="1">
      <c r="A203" s="18"/>
      <c r="B203" s="55">
        <v>2.0</v>
      </c>
      <c r="C203" s="50" t="s">
        <v>149</v>
      </c>
      <c r="D203" s="57"/>
      <c r="E203" s="19">
        <v>1.0</v>
      </c>
      <c r="F203" s="19">
        <v>2.0</v>
      </c>
      <c r="G203" s="19">
        <v>2.0</v>
      </c>
      <c r="H203" s="19">
        <v>2.0</v>
      </c>
      <c r="I203" s="19">
        <v>0.0</v>
      </c>
      <c r="J203" s="19">
        <v>4.0</v>
      </c>
      <c r="K203" s="19">
        <v>1.0</v>
      </c>
      <c r="L203" s="19">
        <v>1.0</v>
      </c>
      <c r="M203" s="19">
        <v>0.0</v>
      </c>
      <c r="N203" s="19">
        <v>1.0</v>
      </c>
      <c r="O203" s="19">
        <v>1.0</v>
      </c>
      <c r="P203" s="19">
        <v>1.0</v>
      </c>
      <c r="Q203" s="19">
        <v>0.0</v>
      </c>
      <c r="R203" s="19">
        <v>0.0</v>
      </c>
      <c r="S203" s="19">
        <v>4.0</v>
      </c>
      <c r="T203" s="13">
        <f t="shared" si="40"/>
        <v>20</v>
      </c>
      <c r="U203" s="5"/>
      <c r="V203" s="5"/>
    </row>
    <row r="204" ht="12.75" customHeight="1">
      <c r="A204" s="18"/>
      <c r="B204" s="55">
        <v>3.0</v>
      </c>
      <c r="C204" s="50" t="s">
        <v>150</v>
      </c>
      <c r="D204" s="57"/>
      <c r="E204" s="19">
        <v>0.0</v>
      </c>
      <c r="F204" s="19">
        <v>0.0</v>
      </c>
      <c r="G204" s="19">
        <v>0.0</v>
      </c>
      <c r="H204" s="19">
        <v>0.0</v>
      </c>
      <c r="I204" s="19">
        <v>0.0</v>
      </c>
      <c r="J204" s="19">
        <v>0.0</v>
      </c>
      <c r="K204" s="19">
        <v>0.0</v>
      </c>
      <c r="L204" s="19">
        <v>0.0</v>
      </c>
      <c r="M204" s="19">
        <v>0.0</v>
      </c>
      <c r="N204" s="19">
        <v>0.0</v>
      </c>
      <c r="O204" s="19">
        <v>0.0</v>
      </c>
      <c r="P204" s="19">
        <v>0.0</v>
      </c>
      <c r="Q204" s="19">
        <v>0.0</v>
      </c>
      <c r="R204" s="19">
        <v>0.0</v>
      </c>
      <c r="S204" s="19">
        <v>0.0</v>
      </c>
      <c r="T204" s="13">
        <f t="shared" si="40"/>
        <v>0</v>
      </c>
      <c r="U204" s="5"/>
      <c r="V204" s="5"/>
    </row>
    <row r="205" ht="12.75" customHeight="1">
      <c r="A205" s="18"/>
      <c r="B205" s="55">
        <v>4.0</v>
      </c>
      <c r="C205" s="50" t="s">
        <v>151</v>
      </c>
      <c r="D205" s="57"/>
      <c r="E205" s="19">
        <v>0.0</v>
      </c>
      <c r="F205" s="19">
        <v>0.0</v>
      </c>
      <c r="G205" s="19">
        <v>0.0</v>
      </c>
      <c r="H205" s="19">
        <v>1.0</v>
      </c>
      <c r="I205" s="19">
        <v>0.0</v>
      </c>
      <c r="J205" s="19">
        <v>0.0</v>
      </c>
      <c r="K205" s="19">
        <v>0.0</v>
      </c>
      <c r="L205" s="19">
        <v>0.0</v>
      </c>
      <c r="M205" s="19">
        <v>0.0</v>
      </c>
      <c r="N205" s="19">
        <v>0.0</v>
      </c>
      <c r="O205" s="19">
        <v>1.0</v>
      </c>
      <c r="P205" s="19">
        <v>0.0</v>
      </c>
      <c r="Q205" s="19">
        <v>0.0</v>
      </c>
      <c r="R205" s="19">
        <v>1.0</v>
      </c>
      <c r="S205" s="19">
        <v>2.0</v>
      </c>
      <c r="T205" s="13">
        <f t="shared" si="40"/>
        <v>5</v>
      </c>
      <c r="U205" s="5"/>
      <c r="V205" s="5"/>
    </row>
    <row r="206" ht="12.75" customHeight="1">
      <c r="A206" s="18"/>
      <c r="B206" s="55">
        <v>5.0</v>
      </c>
      <c r="C206" s="50" t="s">
        <v>152</v>
      </c>
      <c r="D206" s="57"/>
      <c r="E206" s="19">
        <v>0.0</v>
      </c>
      <c r="F206" s="19">
        <v>0.0</v>
      </c>
      <c r="G206" s="19">
        <v>0.0</v>
      </c>
      <c r="H206" s="19">
        <v>0.0</v>
      </c>
      <c r="I206" s="19">
        <v>0.0</v>
      </c>
      <c r="J206" s="19">
        <v>1.0</v>
      </c>
      <c r="K206" s="19">
        <v>0.0</v>
      </c>
      <c r="L206" s="19">
        <v>0.0</v>
      </c>
      <c r="M206" s="19">
        <v>0.0</v>
      </c>
      <c r="N206" s="19">
        <v>0.0</v>
      </c>
      <c r="O206" s="19">
        <v>0.0</v>
      </c>
      <c r="P206" s="19">
        <v>0.0</v>
      </c>
      <c r="Q206" s="19">
        <v>1.0</v>
      </c>
      <c r="R206" s="19">
        <v>0.0</v>
      </c>
      <c r="S206" s="19">
        <v>0.0</v>
      </c>
      <c r="T206" s="13">
        <f t="shared" si="40"/>
        <v>2</v>
      </c>
      <c r="U206" s="5"/>
      <c r="V206" s="5"/>
    </row>
    <row r="207" ht="12.75" customHeight="1">
      <c r="A207" s="18"/>
      <c r="B207" s="55">
        <v>6.0</v>
      </c>
      <c r="C207" s="50" t="s">
        <v>153</v>
      </c>
      <c r="D207" s="57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3">
        <f t="shared" si="40"/>
        <v>0</v>
      </c>
      <c r="U207" s="1"/>
      <c r="V207" s="1"/>
    </row>
    <row r="208" ht="12.75" customHeight="1">
      <c r="A208" s="18"/>
      <c r="B208" s="55">
        <v>7.0</v>
      </c>
      <c r="C208" s="50" t="s">
        <v>154</v>
      </c>
      <c r="D208" s="57"/>
      <c r="E208" s="19">
        <v>0.0</v>
      </c>
      <c r="F208" s="19">
        <v>0.0</v>
      </c>
      <c r="G208" s="19">
        <v>0.0</v>
      </c>
      <c r="H208" s="19">
        <v>0.0</v>
      </c>
      <c r="I208" s="19">
        <v>1.0</v>
      </c>
      <c r="J208" s="19">
        <v>0.0</v>
      </c>
      <c r="K208" s="19">
        <v>0.0</v>
      </c>
      <c r="L208" s="19">
        <v>0.0</v>
      </c>
      <c r="M208" s="19">
        <v>0.0</v>
      </c>
      <c r="N208" s="19">
        <v>0.0</v>
      </c>
      <c r="O208" s="19">
        <v>0.0</v>
      </c>
      <c r="P208" s="19">
        <v>0.0</v>
      </c>
      <c r="Q208" s="19">
        <v>0.0</v>
      </c>
      <c r="R208" s="19">
        <v>0.0</v>
      </c>
      <c r="S208" s="19">
        <v>0.0</v>
      </c>
      <c r="T208" s="13">
        <f t="shared" si="40"/>
        <v>1</v>
      </c>
      <c r="U208" s="52"/>
      <c r="V208" s="52"/>
    </row>
    <row r="209" ht="12.75" customHeight="1">
      <c r="A209" s="18"/>
      <c r="B209" s="68"/>
      <c r="C209" s="69"/>
      <c r="D209" s="71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3">
        <f t="shared" si="40"/>
        <v>0</v>
      </c>
      <c r="U209" s="52"/>
      <c r="V209" s="52"/>
    </row>
    <row r="210" ht="12.75" customHeight="1">
      <c r="A210" s="18"/>
      <c r="B210" s="68"/>
      <c r="C210" s="69"/>
      <c r="D210" s="71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3">
        <f t="shared" si="40"/>
        <v>0</v>
      </c>
      <c r="U210" s="52"/>
      <c r="V210" s="52"/>
    </row>
    <row r="211" ht="15.0" customHeight="1">
      <c r="A211" s="19" t="s">
        <v>15</v>
      </c>
      <c r="B211" s="47" t="s">
        <v>47</v>
      </c>
      <c r="C211" s="15"/>
      <c r="D211" s="16"/>
      <c r="E211" s="13">
        <f t="shared" ref="E211:S211" si="41">SUM(E201:E208)</f>
        <v>4</v>
      </c>
      <c r="F211" s="13">
        <f t="shared" si="41"/>
        <v>3</v>
      </c>
      <c r="G211" s="13">
        <f t="shared" si="41"/>
        <v>7</v>
      </c>
      <c r="H211" s="13">
        <f t="shared" si="41"/>
        <v>11</v>
      </c>
      <c r="I211" s="13">
        <f t="shared" si="41"/>
        <v>5</v>
      </c>
      <c r="J211" s="13">
        <f t="shared" si="41"/>
        <v>16</v>
      </c>
      <c r="K211" s="13">
        <f t="shared" si="41"/>
        <v>2</v>
      </c>
      <c r="L211" s="13">
        <f t="shared" si="41"/>
        <v>2</v>
      </c>
      <c r="M211" s="13">
        <f t="shared" si="41"/>
        <v>2</v>
      </c>
      <c r="N211" s="13">
        <f t="shared" si="41"/>
        <v>3</v>
      </c>
      <c r="O211" s="13">
        <f t="shared" si="41"/>
        <v>4</v>
      </c>
      <c r="P211" s="13">
        <f t="shared" si="41"/>
        <v>2</v>
      </c>
      <c r="Q211" s="13">
        <f t="shared" si="41"/>
        <v>2</v>
      </c>
      <c r="R211" s="13">
        <f t="shared" si="41"/>
        <v>2</v>
      </c>
      <c r="S211" s="13">
        <f t="shared" si="41"/>
        <v>9</v>
      </c>
      <c r="T211" s="13">
        <f t="shared" si="40"/>
        <v>74</v>
      </c>
      <c r="U211" s="5"/>
      <c r="V211" s="5"/>
    </row>
    <row r="212" ht="12.75" customHeight="1">
      <c r="A212" s="24"/>
      <c r="B212" s="15"/>
      <c r="C212" s="15"/>
      <c r="D212" s="15"/>
      <c r="E212" s="16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5"/>
      <c r="V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7.0</v>
      </c>
      <c r="F213" s="19">
        <v>2.0</v>
      </c>
      <c r="G213" s="19">
        <v>0.0</v>
      </c>
      <c r="H213" s="19">
        <v>8.0</v>
      </c>
      <c r="I213" s="19">
        <v>3.0</v>
      </c>
      <c r="J213" s="19">
        <v>2.0</v>
      </c>
      <c r="K213" s="19">
        <v>1.0</v>
      </c>
      <c r="L213" s="19">
        <v>1.0</v>
      </c>
      <c r="M213" s="19">
        <v>0.0</v>
      </c>
      <c r="N213" s="19">
        <v>1.0</v>
      </c>
      <c r="O213" s="19">
        <v>0.0</v>
      </c>
      <c r="P213" s="19">
        <v>1.0</v>
      </c>
      <c r="Q213" s="19">
        <v>1.0</v>
      </c>
      <c r="R213" s="19">
        <v>1.0</v>
      </c>
      <c r="S213" s="19">
        <v>3.0</v>
      </c>
      <c r="T213" s="13">
        <f t="shared" ref="T213:T223" si="42">SUM(E213:S213)</f>
        <v>31</v>
      </c>
      <c r="U213" s="5"/>
      <c r="V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19.0</v>
      </c>
      <c r="F214" s="19">
        <v>1.0</v>
      </c>
      <c r="G214" s="19">
        <v>2.0</v>
      </c>
      <c r="H214" s="19">
        <v>6.0</v>
      </c>
      <c r="I214" s="19">
        <v>1.0</v>
      </c>
      <c r="J214" s="19">
        <v>2.0</v>
      </c>
      <c r="K214" s="19">
        <v>5.0</v>
      </c>
      <c r="L214" s="19">
        <v>0.0</v>
      </c>
      <c r="M214" s="19">
        <v>4.0</v>
      </c>
      <c r="N214" s="19">
        <v>0.0</v>
      </c>
      <c r="O214" s="19">
        <v>1.0</v>
      </c>
      <c r="P214" s="19">
        <v>0.0</v>
      </c>
      <c r="Q214" s="19">
        <v>0.0</v>
      </c>
      <c r="R214" s="19">
        <v>0.0</v>
      </c>
      <c r="S214" s="19">
        <v>2.0</v>
      </c>
      <c r="T214" s="13">
        <f t="shared" si="42"/>
        <v>43</v>
      </c>
      <c r="U214" s="5"/>
      <c r="V214" s="5"/>
    </row>
    <row r="215" ht="12.75" customHeight="1">
      <c r="A215" s="18"/>
      <c r="B215" s="55">
        <v>2.0</v>
      </c>
      <c r="C215" s="50" t="s">
        <v>158</v>
      </c>
      <c r="D215" s="56"/>
      <c r="E215" s="19">
        <v>3.0</v>
      </c>
      <c r="F215" s="19">
        <v>1.0</v>
      </c>
      <c r="G215" s="19">
        <v>1.0</v>
      </c>
      <c r="H215" s="19">
        <v>0.0</v>
      </c>
      <c r="I215" s="19">
        <v>0.0</v>
      </c>
      <c r="J215" s="19">
        <v>2.0</v>
      </c>
      <c r="K215" s="19">
        <v>2.0</v>
      </c>
      <c r="L215" s="19">
        <v>0.0</v>
      </c>
      <c r="M215" s="19">
        <v>0.0</v>
      </c>
      <c r="N215" s="19">
        <v>2.0</v>
      </c>
      <c r="O215" s="19">
        <v>1.0</v>
      </c>
      <c r="P215" s="19">
        <v>2.0</v>
      </c>
      <c r="Q215" s="19">
        <v>0.0</v>
      </c>
      <c r="R215" s="19">
        <v>0.0</v>
      </c>
      <c r="S215" s="19">
        <v>0.0</v>
      </c>
      <c r="T215" s="13">
        <f t="shared" si="42"/>
        <v>14</v>
      </c>
      <c r="U215" s="5"/>
      <c r="V215" s="5"/>
    </row>
    <row r="216" ht="12.75" customHeight="1">
      <c r="A216" s="18"/>
      <c r="B216" s="55">
        <v>3.0</v>
      </c>
      <c r="C216" s="61" t="s">
        <v>159</v>
      </c>
      <c r="E216" s="19">
        <v>2.0</v>
      </c>
      <c r="F216" s="19">
        <v>0.0</v>
      </c>
      <c r="G216" s="19">
        <v>0.0</v>
      </c>
      <c r="H216" s="19">
        <v>0.0</v>
      </c>
      <c r="I216" s="19">
        <v>0.0</v>
      </c>
      <c r="J216" s="19">
        <v>1.0</v>
      </c>
      <c r="K216" s="19">
        <v>0.0</v>
      </c>
      <c r="L216" s="19">
        <v>0.0</v>
      </c>
      <c r="M216" s="19">
        <v>1.0</v>
      </c>
      <c r="N216" s="19">
        <v>0.0</v>
      </c>
      <c r="O216" s="19">
        <v>0.0</v>
      </c>
      <c r="P216" s="19">
        <v>1.0</v>
      </c>
      <c r="Q216" s="19">
        <v>0.0</v>
      </c>
      <c r="R216" s="19">
        <v>0.0</v>
      </c>
      <c r="S216" s="19">
        <v>0.0</v>
      </c>
      <c r="T216" s="13">
        <f t="shared" si="42"/>
        <v>5</v>
      </c>
      <c r="U216" s="5"/>
      <c r="V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0.0</v>
      </c>
      <c r="G217" s="19">
        <v>0.0</v>
      </c>
      <c r="H217" s="19">
        <v>1.0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3">
        <f t="shared" si="42"/>
        <v>1</v>
      </c>
      <c r="U217" s="5"/>
      <c r="V217" s="5"/>
    </row>
    <row r="218" ht="12.75" customHeight="1">
      <c r="A218" s="18"/>
      <c r="B218" s="55">
        <v>5.0</v>
      </c>
      <c r="C218" s="50" t="s">
        <v>161</v>
      </c>
      <c r="D218" s="56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1.0</v>
      </c>
      <c r="K218" s="19">
        <v>0.0</v>
      </c>
      <c r="L218" s="19">
        <v>1.0</v>
      </c>
      <c r="M218" s="19">
        <v>1.0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3">
        <f t="shared" si="42"/>
        <v>3</v>
      </c>
      <c r="U218" s="1"/>
      <c r="V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0.0</v>
      </c>
      <c r="G219" s="19">
        <v>0.0</v>
      </c>
      <c r="H219" s="19">
        <v>0.0</v>
      </c>
      <c r="I219" s="19">
        <v>1.0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3">
        <f t="shared" si="42"/>
        <v>1</v>
      </c>
      <c r="U219" s="52"/>
      <c r="V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1.0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3">
        <f t="shared" si="42"/>
        <v>1</v>
      </c>
      <c r="U220" s="5"/>
      <c r="V220" s="5"/>
    </row>
    <row r="221" ht="12.75" customHeight="1">
      <c r="A221" s="18"/>
      <c r="B221" s="68"/>
      <c r="C221" s="69"/>
      <c r="D221" s="70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3">
        <f t="shared" si="42"/>
        <v>0</v>
      </c>
      <c r="U221" s="5"/>
      <c r="V221" s="5"/>
    </row>
    <row r="222" ht="12.75" customHeight="1">
      <c r="A222" s="18"/>
      <c r="B222" s="68"/>
      <c r="C222" s="69"/>
      <c r="D222" s="70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3">
        <f t="shared" si="42"/>
        <v>0</v>
      </c>
      <c r="U222" s="5"/>
      <c r="V222" s="5"/>
    </row>
    <row r="223" ht="15.0" customHeight="1">
      <c r="A223" s="19" t="s">
        <v>15</v>
      </c>
      <c r="B223" s="47" t="s">
        <v>47</v>
      </c>
      <c r="C223" s="15"/>
      <c r="D223" s="16"/>
      <c r="E223" s="13">
        <f t="shared" ref="E223:S223" si="43">SUM(E213:E220)</f>
        <v>31</v>
      </c>
      <c r="F223" s="13">
        <f t="shared" si="43"/>
        <v>4</v>
      </c>
      <c r="G223" s="13">
        <f t="shared" si="43"/>
        <v>3</v>
      </c>
      <c r="H223" s="13">
        <f t="shared" si="43"/>
        <v>15</v>
      </c>
      <c r="I223" s="13">
        <f t="shared" si="43"/>
        <v>5</v>
      </c>
      <c r="J223" s="13">
        <f t="shared" si="43"/>
        <v>8</v>
      </c>
      <c r="K223" s="13">
        <f t="shared" si="43"/>
        <v>8</v>
      </c>
      <c r="L223" s="13">
        <f t="shared" si="43"/>
        <v>2</v>
      </c>
      <c r="M223" s="13">
        <f t="shared" si="43"/>
        <v>6</v>
      </c>
      <c r="N223" s="13">
        <f t="shared" si="43"/>
        <v>4</v>
      </c>
      <c r="O223" s="13">
        <f t="shared" si="43"/>
        <v>2</v>
      </c>
      <c r="P223" s="13">
        <f t="shared" si="43"/>
        <v>4</v>
      </c>
      <c r="Q223" s="13">
        <f t="shared" si="43"/>
        <v>1</v>
      </c>
      <c r="R223" s="13">
        <f t="shared" si="43"/>
        <v>1</v>
      </c>
      <c r="S223" s="13">
        <f t="shared" si="43"/>
        <v>5</v>
      </c>
      <c r="T223" s="13">
        <f t="shared" si="42"/>
        <v>99</v>
      </c>
      <c r="U223" s="5"/>
      <c r="V223" s="5"/>
    </row>
    <row r="224" ht="12.75" customHeight="1">
      <c r="A224" s="24"/>
      <c r="B224" s="15"/>
      <c r="C224" s="15"/>
      <c r="D224" s="15"/>
      <c r="E224" s="16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5"/>
      <c r="V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1.0</v>
      </c>
      <c r="I225" s="19">
        <v>3.0</v>
      </c>
      <c r="J225" s="19">
        <v>0.0</v>
      </c>
      <c r="K225" s="19">
        <v>0.0</v>
      </c>
      <c r="L225" s="19">
        <v>0.0</v>
      </c>
      <c r="M225" s="19">
        <v>0.0</v>
      </c>
      <c r="N225" s="19">
        <v>1.0</v>
      </c>
      <c r="O225" s="19">
        <v>0.0</v>
      </c>
      <c r="P225" s="19">
        <v>0.0</v>
      </c>
      <c r="Q225" s="19">
        <v>0.0</v>
      </c>
      <c r="R225" s="19">
        <v>0.0</v>
      </c>
      <c r="S225" s="19">
        <v>0.0</v>
      </c>
      <c r="T225" s="13">
        <f t="shared" ref="T225:T235" si="44">SUM(E225:S225)</f>
        <v>5</v>
      </c>
      <c r="U225" s="5"/>
      <c r="V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1.0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0.0</v>
      </c>
      <c r="L226" s="19">
        <v>0.0</v>
      </c>
      <c r="M226" s="19">
        <v>0.0</v>
      </c>
      <c r="N226" s="19">
        <v>0.0</v>
      </c>
      <c r="O226" s="19">
        <v>1.0</v>
      </c>
      <c r="P226" s="19">
        <v>0.0</v>
      </c>
      <c r="Q226" s="19">
        <v>0.0</v>
      </c>
      <c r="R226" s="19">
        <v>0.0</v>
      </c>
      <c r="S226" s="19">
        <v>0.0</v>
      </c>
      <c r="T226" s="13">
        <f t="shared" si="44"/>
        <v>2</v>
      </c>
      <c r="U226" s="5"/>
      <c r="V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1.0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3">
        <f t="shared" si="44"/>
        <v>1</v>
      </c>
      <c r="U227" s="5"/>
      <c r="V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3">
        <f t="shared" si="44"/>
        <v>0</v>
      </c>
      <c r="U228" s="5"/>
      <c r="V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3">
        <f t="shared" si="44"/>
        <v>0</v>
      </c>
      <c r="U229" s="1"/>
      <c r="V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3">
        <f t="shared" si="44"/>
        <v>0</v>
      </c>
      <c r="U230" s="52"/>
      <c r="V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3">
        <f t="shared" si="44"/>
        <v>0</v>
      </c>
      <c r="U231" s="5"/>
      <c r="V231" s="5"/>
    </row>
    <row r="232" ht="12.75" customHeight="1">
      <c r="A232" s="18"/>
      <c r="B232" s="55">
        <v>7.0</v>
      </c>
      <c r="C232" s="50" t="s">
        <v>172</v>
      </c>
      <c r="D232" s="57"/>
      <c r="E232" s="19">
        <v>0.0</v>
      </c>
      <c r="F232" s="19">
        <v>1.0</v>
      </c>
      <c r="G232" s="19">
        <v>0.0</v>
      </c>
      <c r="H232" s="19">
        <v>0.0</v>
      </c>
      <c r="I232" s="19">
        <v>2.0</v>
      </c>
      <c r="J232" s="19">
        <v>0.0</v>
      </c>
      <c r="K232" s="19">
        <v>0.0</v>
      </c>
      <c r="L232" s="19">
        <v>0.0</v>
      </c>
      <c r="M232" s="19">
        <v>0.0</v>
      </c>
      <c r="N232" s="19">
        <v>1.0</v>
      </c>
      <c r="O232" s="19">
        <v>0.0</v>
      </c>
      <c r="P232" s="19">
        <v>0.0</v>
      </c>
      <c r="Q232" s="19">
        <v>0.0</v>
      </c>
      <c r="R232" s="19">
        <v>0.0</v>
      </c>
      <c r="S232" s="19">
        <v>0.0</v>
      </c>
      <c r="T232" s="13">
        <f t="shared" si="44"/>
        <v>4</v>
      </c>
      <c r="U232" s="5"/>
      <c r="V232" s="5"/>
    </row>
    <row r="233" ht="12.75" customHeight="1">
      <c r="A233" s="18"/>
      <c r="B233" s="68"/>
      <c r="C233" s="69"/>
      <c r="D233" s="71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3">
        <f t="shared" si="44"/>
        <v>0</v>
      </c>
      <c r="U233" s="5"/>
      <c r="V233" s="5"/>
    </row>
    <row r="234" ht="12.75" customHeight="1">
      <c r="A234" s="18"/>
      <c r="B234" s="68"/>
      <c r="C234" s="69"/>
      <c r="D234" s="71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3">
        <f t="shared" si="44"/>
        <v>0</v>
      </c>
      <c r="U234" s="5"/>
      <c r="V234" s="5"/>
    </row>
    <row r="235" ht="15.0" customHeight="1">
      <c r="A235" s="19" t="s">
        <v>15</v>
      </c>
      <c r="B235" s="47" t="s">
        <v>47</v>
      </c>
      <c r="C235" s="15"/>
      <c r="D235" s="16"/>
      <c r="E235" s="13">
        <f t="shared" ref="E235:S235" si="45">SUM(E225:E232)</f>
        <v>1</v>
      </c>
      <c r="F235" s="13">
        <f t="shared" si="45"/>
        <v>1</v>
      </c>
      <c r="G235" s="13">
        <f t="shared" si="45"/>
        <v>0</v>
      </c>
      <c r="H235" s="13">
        <f t="shared" si="45"/>
        <v>1</v>
      </c>
      <c r="I235" s="13">
        <f t="shared" si="45"/>
        <v>5</v>
      </c>
      <c r="J235" s="13">
        <f t="shared" si="45"/>
        <v>1</v>
      </c>
      <c r="K235" s="13">
        <f t="shared" si="45"/>
        <v>0</v>
      </c>
      <c r="L235" s="13">
        <f t="shared" si="45"/>
        <v>0</v>
      </c>
      <c r="M235" s="13">
        <f t="shared" si="45"/>
        <v>0</v>
      </c>
      <c r="N235" s="13">
        <f t="shared" si="45"/>
        <v>2</v>
      </c>
      <c r="O235" s="13">
        <f t="shared" si="45"/>
        <v>1</v>
      </c>
      <c r="P235" s="13">
        <f t="shared" si="45"/>
        <v>0</v>
      </c>
      <c r="Q235" s="13">
        <f t="shared" si="45"/>
        <v>0</v>
      </c>
      <c r="R235" s="13">
        <f t="shared" si="45"/>
        <v>0</v>
      </c>
      <c r="S235" s="13">
        <f t="shared" si="45"/>
        <v>0</v>
      </c>
      <c r="T235" s="13">
        <f t="shared" si="44"/>
        <v>12</v>
      </c>
      <c r="U235" s="5"/>
      <c r="V235" s="5"/>
    </row>
    <row r="236" ht="12.75" customHeight="1">
      <c r="A236" s="24"/>
      <c r="B236" s="15"/>
      <c r="C236" s="15"/>
      <c r="D236" s="15"/>
      <c r="E236" s="16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5"/>
      <c r="V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0.0</v>
      </c>
      <c r="G237" s="19">
        <v>0.0</v>
      </c>
      <c r="H237" s="19">
        <v>0.0</v>
      </c>
      <c r="I237" s="19">
        <v>0.0</v>
      </c>
      <c r="J237" s="19">
        <v>0.0</v>
      </c>
      <c r="K237" s="19">
        <v>0.0</v>
      </c>
      <c r="L237" s="19">
        <v>0.0</v>
      </c>
      <c r="M237" s="19">
        <v>0.0</v>
      </c>
      <c r="N237" s="19">
        <v>0.0</v>
      </c>
      <c r="O237" s="19">
        <v>0.0</v>
      </c>
      <c r="P237" s="19">
        <v>0.0</v>
      </c>
      <c r="Q237" s="19">
        <v>0.0</v>
      </c>
      <c r="R237" s="19">
        <v>0.0</v>
      </c>
      <c r="S237" s="19">
        <v>0.0</v>
      </c>
      <c r="T237" s="13">
        <f t="shared" ref="T237:T247" si="46">SUM(E237:S237)</f>
        <v>0</v>
      </c>
      <c r="U237" s="5"/>
      <c r="V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1.0</v>
      </c>
      <c r="F238" s="19">
        <v>0.0</v>
      </c>
      <c r="G238" s="19">
        <v>1.0</v>
      </c>
      <c r="H238" s="19">
        <v>0.0</v>
      </c>
      <c r="I238" s="19">
        <v>0.0</v>
      </c>
      <c r="J238" s="19">
        <v>0.0</v>
      </c>
      <c r="K238" s="19">
        <v>0.0</v>
      </c>
      <c r="L238" s="19">
        <v>0.0</v>
      </c>
      <c r="M238" s="19">
        <v>0.0</v>
      </c>
      <c r="N238" s="19">
        <v>0.0</v>
      </c>
      <c r="O238" s="19">
        <v>0.0</v>
      </c>
      <c r="P238" s="19">
        <v>0.0</v>
      </c>
      <c r="Q238" s="19">
        <v>0.0</v>
      </c>
      <c r="R238" s="19">
        <v>0.0</v>
      </c>
      <c r="S238" s="19">
        <v>0.0</v>
      </c>
      <c r="T238" s="13">
        <f t="shared" si="46"/>
        <v>2</v>
      </c>
      <c r="U238" s="5"/>
      <c r="V238" s="5"/>
    </row>
    <row r="239" ht="12.75" customHeight="1">
      <c r="A239" s="18"/>
      <c r="B239" s="55">
        <v>2.0</v>
      </c>
      <c r="C239" s="50" t="s">
        <v>176</v>
      </c>
      <c r="D239" s="57"/>
      <c r="E239" s="19">
        <v>0.0</v>
      </c>
      <c r="F239" s="19">
        <v>1.0</v>
      </c>
      <c r="G239" s="19">
        <v>2.0</v>
      </c>
      <c r="H239" s="19">
        <v>0.0</v>
      </c>
      <c r="I239" s="19">
        <v>0.0</v>
      </c>
      <c r="J239" s="19">
        <v>1.0</v>
      </c>
      <c r="K239" s="19">
        <v>0.0</v>
      </c>
      <c r="L239" s="19">
        <v>0.0</v>
      </c>
      <c r="M239" s="19">
        <v>0.0</v>
      </c>
      <c r="N239" s="19">
        <v>0.0</v>
      </c>
      <c r="O239" s="19">
        <v>0.0</v>
      </c>
      <c r="P239" s="19">
        <v>0.0</v>
      </c>
      <c r="Q239" s="19">
        <v>0.0</v>
      </c>
      <c r="R239" s="19">
        <v>0.0</v>
      </c>
      <c r="S239" s="19">
        <v>0.0</v>
      </c>
      <c r="T239" s="13">
        <f t="shared" si="46"/>
        <v>4</v>
      </c>
      <c r="U239" s="5"/>
      <c r="V239" s="5"/>
    </row>
    <row r="240" ht="12.75" customHeight="1">
      <c r="A240" s="18"/>
      <c r="B240" s="55">
        <v>3.0</v>
      </c>
      <c r="C240" s="50" t="s">
        <v>177</v>
      </c>
      <c r="D240" s="57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0.0</v>
      </c>
      <c r="T240" s="13">
        <f t="shared" si="46"/>
        <v>0</v>
      </c>
      <c r="U240" s="1"/>
      <c r="V240" s="1"/>
    </row>
    <row r="241" ht="12.75" customHeight="1">
      <c r="A241" s="18"/>
      <c r="B241" s="55">
        <v>4.0</v>
      </c>
      <c r="C241" s="50" t="s">
        <v>178</v>
      </c>
      <c r="D241" s="57"/>
      <c r="E241" s="19">
        <v>0.0</v>
      </c>
      <c r="F241" s="19">
        <v>0.0</v>
      </c>
      <c r="G241" s="19">
        <v>1.0</v>
      </c>
      <c r="H241" s="19">
        <v>3.0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0.0</v>
      </c>
      <c r="O241" s="19">
        <v>0.0</v>
      </c>
      <c r="P241" s="19">
        <v>0.0</v>
      </c>
      <c r="Q241" s="19">
        <v>0.0</v>
      </c>
      <c r="R241" s="19">
        <v>0.0</v>
      </c>
      <c r="S241" s="19">
        <v>0.0</v>
      </c>
      <c r="T241" s="13">
        <f t="shared" si="46"/>
        <v>4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1.0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3">
        <f t="shared" si="46"/>
        <v>1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3">
        <f t="shared" si="46"/>
        <v>0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0.0</v>
      </c>
      <c r="F244" s="19">
        <v>0.0</v>
      </c>
      <c r="G244" s="19">
        <v>0.0</v>
      </c>
      <c r="H244" s="19">
        <v>0.0</v>
      </c>
      <c r="I244" s="19">
        <v>0.0</v>
      </c>
      <c r="J244" s="19">
        <v>0.0</v>
      </c>
      <c r="K244" s="19">
        <v>0.0</v>
      </c>
      <c r="L244" s="19">
        <v>0.0</v>
      </c>
      <c r="M244" s="19">
        <v>1.0</v>
      </c>
      <c r="N244" s="19">
        <v>0.0</v>
      </c>
      <c r="O244" s="19">
        <v>0.0</v>
      </c>
      <c r="P244" s="19">
        <v>0.0</v>
      </c>
      <c r="Q244" s="19">
        <v>0.0</v>
      </c>
      <c r="R244" s="19">
        <v>0.0</v>
      </c>
      <c r="S244" s="19">
        <v>0.0</v>
      </c>
      <c r="T244" s="13">
        <f t="shared" si="46"/>
        <v>1</v>
      </c>
    </row>
    <row r="245" ht="12.75" customHeight="1">
      <c r="A245" s="18"/>
      <c r="B245" s="68"/>
      <c r="C245" s="69"/>
      <c r="D245" s="71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3">
        <f t="shared" si="46"/>
        <v>0</v>
      </c>
    </row>
    <row r="246" ht="12.75" customHeight="1">
      <c r="A246" s="18"/>
      <c r="B246" s="68"/>
      <c r="C246" s="69"/>
      <c r="D246" s="71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S247" si="47">SUM(E237:E244)</f>
        <v>1</v>
      </c>
      <c r="F247" s="13">
        <f t="shared" si="47"/>
        <v>1</v>
      </c>
      <c r="G247" s="13">
        <f t="shared" si="47"/>
        <v>4</v>
      </c>
      <c r="H247" s="13">
        <f t="shared" si="47"/>
        <v>3</v>
      </c>
      <c r="I247" s="13">
        <f t="shared" si="47"/>
        <v>0</v>
      </c>
      <c r="J247" s="13">
        <f t="shared" si="47"/>
        <v>2</v>
      </c>
      <c r="K247" s="13">
        <f t="shared" si="47"/>
        <v>0</v>
      </c>
      <c r="L247" s="13">
        <f t="shared" si="47"/>
        <v>0</v>
      </c>
      <c r="M247" s="13">
        <f t="shared" si="47"/>
        <v>1</v>
      </c>
      <c r="N247" s="13">
        <f t="shared" si="47"/>
        <v>0</v>
      </c>
      <c r="O247" s="13">
        <f t="shared" si="47"/>
        <v>0</v>
      </c>
      <c r="P247" s="13">
        <f t="shared" si="47"/>
        <v>0</v>
      </c>
      <c r="Q247" s="13">
        <f t="shared" si="47"/>
        <v>0</v>
      </c>
      <c r="R247" s="13">
        <f t="shared" si="47"/>
        <v>0</v>
      </c>
      <c r="S247" s="13">
        <f t="shared" si="47"/>
        <v>0</v>
      </c>
      <c r="T247" s="13">
        <f t="shared" si="46"/>
        <v>12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1.0</v>
      </c>
      <c r="G249" s="19">
        <v>0.0</v>
      </c>
      <c r="H249" s="19">
        <v>3.0</v>
      </c>
      <c r="I249" s="19">
        <v>1.0</v>
      </c>
      <c r="J249" s="19">
        <v>0.0</v>
      </c>
      <c r="K249" s="19">
        <v>0.0</v>
      </c>
      <c r="L249" s="19">
        <v>0.0</v>
      </c>
      <c r="M249" s="19">
        <v>0.0</v>
      </c>
      <c r="N249" s="19">
        <v>0.0</v>
      </c>
      <c r="O249" s="19">
        <v>0.0</v>
      </c>
      <c r="P249" s="19">
        <v>0.0</v>
      </c>
      <c r="Q249" s="19">
        <v>0.0</v>
      </c>
      <c r="R249" s="19">
        <v>0.0</v>
      </c>
      <c r="S249" s="19">
        <v>0.0</v>
      </c>
      <c r="T249" s="13">
        <f t="shared" ref="T249:T259" si="48">SUM(E249:S249)</f>
        <v>5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0.0</v>
      </c>
      <c r="F250" s="19">
        <v>0.0</v>
      </c>
      <c r="G250" s="19">
        <v>0.0</v>
      </c>
      <c r="H250" s="19">
        <v>0.0</v>
      </c>
      <c r="I250" s="19">
        <v>1.0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0.0</v>
      </c>
      <c r="R250" s="19">
        <v>0.0</v>
      </c>
      <c r="S250" s="19">
        <v>0.0</v>
      </c>
      <c r="T250" s="13">
        <f t="shared" si="48"/>
        <v>1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1.0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3">
        <f t="shared" si="48"/>
        <v>1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3">
        <f t="shared" si="48"/>
        <v>0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3">
        <f t="shared" si="48"/>
        <v>0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0.0</v>
      </c>
      <c r="G254" s="19">
        <v>8.0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1.0</v>
      </c>
      <c r="Q254" s="19">
        <v>0.0</v>
      </c>
      <c r="R254" s="19">
        <v>0.0</v>
      </c>
      <c r="S254" s="19">
        <v>0.0</v>
      </c>
      <c r="T254" s="13">
        <f t="shared" si="48"/>
        <v>9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3">
        <f t="shared" si="48"/>
        <v>0</v>
      </c>
    </row>
    <row r="256" ht="12.75" customHeight="1">
      <c r="A256" s="18"/>
      <c r="B256" s="68"/>
      <c r="C256" s="73"/>
      <c r="D256" s="71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3">
        <f t="shared" si="48"/>
        <v>0</v>
      </c>
    </row>
    <row r="257" ht="12.75" customHeight="1">
      <c r="A257" s="18"/>
      <c r="B257" s="68"/>
      <c r="C257" s="73"/>
      <c r="D257" s="71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3">
        <f t="shared" si="48"/>
        <v>0</v>
      </c>
    </row>
    <row r="258" ht="12.75" customHeight="1">
      <c r="A258" s="18"/>
      <c r="B258" s="68"/>
      <c r="C258" s="73"/>
      <c r="D258" s="71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3">
        <f t="shared" si="48"/>
        <v>0</v>
      </c>
    </row>
    <row r="259" ht="15.0" customHeight="1">
      <c r="A259" s="19" t="s">
        <v>15</v>
      </c>
      <c r="B259" s="47" t="s">
        <v>47</v>
      </c>
      <c r="C259" s="15"/>
      <c r="D259" s="16"/>
      <c r="E259" s="13">
        <f t="shared" ref="E259:S259" si="49">SUM(E249:E255)</f>
        <v>0</v>
      </c>
      <c r="F259" s="13">
        <f t="shared" si="49"/>
        <v>1</v>
      </c>
      <c r="G259" s="13">
        <f t="shared" si="49"/>
        <v>8</v>
      </c>
      <c r="H259" s="13">
        <f t="shared" si="49"/>
        <v>3</v>
      </c>
      <c r="I259" s="13">
        <f t="shared" si="49"/>
        <v>2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9"/>
        <v>1</v>
      </c>
      <c r="O259" s="13">
        <f t="shared" si="49"/>
        <v>0</v>
      </c>
      <c r="P259" s="13">
        <f t="shared" si="49"/>
        <v>1</v>
      </c>
      <c r="Q259" s="13">
        <f t="shared" si="49"/>
        <v>0</v>
      </c>
      <c r="R259" s="13">
        <f t="shared" si="49"/>
        <v>0</v>
      </c>
      <c r="S259" s="13">
        <f t="shared" si="49"/>
        <v>0</v>
      </c>
      <c r="T259" s="13">
        <f t="shared" si="48"/>
        <v>16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13"/>
      <c r="P261" s="13"/>
      <c r="Q261" s="13"/>
      <c r="R261" s="13"/>
      <c r="S261" s="77"/>
      <c r="T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S262" si="50">E55+E67+E79+E91+E103+E115+E127+E139+E151+E163+E175+E187+E199+E211+E223+E235+E247+E259</f>
        <v>144</v>
      </c>
      <c r="F262" s="19">
        <f t="shared" si="50"/>
        <v>171</v>
      </c>
      <c r="G262" s="19">
        <f t="shared" si="50"/>
        <v>151</v>
      </c>
      <c r="H262" s="19">
        <f t="shared" si="50"/>
        <v>200</v>
      </c>
      <c r="I262" s="19">
        <f t="shared" si="50"/>
        <v>179</v>
      </c>
      <c r="J262" s="19">
        <f t="shared" si="50"/>
        <v>171</v>
      </c>
      <c r="K262" s="19">
        <f t="shared" si="50"/>
        <v>122</v>
      </c>
      <c r="L262" s="19">
        <f t="shared" si="50"/>
        <v>127</v>
      </c>
      <c r="M262" s="19">
        <f t="shared" si="50"/>
        <v>159</v>
      </c>
      <c r="N262" s="19">
        <f t="shared" si="50"/>
        <v>126</v>
      </c>
      <c r="O262" s="19">
        <f t="shared" si="50"/>
        <v>112</v>
      </c>
      <c r="P262" s="19">
        <f t="shared" si="50"/>
        <v>131</v>
      </c>
      <c r="Q262" s="19">
        <f t="shared" si="50"/>
        <v>123</v>
      </c>
      <c r="R262" s="19">
        <f t="shared" si="50"/>
        <v>214</v>
      </c>
      <c r="S262" s="19">
        <f t="shared" si="50"/>
        <v>159</v>
      </c>
      <c r="T262" s="13">
        <f t="shared" ref="T262:T264" si="51">SUM(E262:S262)</f>
        <v>2289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17.0</v>
      </c>
      <c r="F263" s="19">
        <v>17.0</v>
      </c>
      <c r="G263" s="19">
        <v>31.0</v>
      </c>
      <c r="H263" s="19">
        <v>28.0</v>
      </c>
      <c r="I263" s="19">
        <v>34.0</v>
      </c>
      <c r="J263" s="19">
        <v>16.0</v>
      </c>
      <c r="K263" s="19">
        <v>21.0</v>
      </c>
      <c r="L263" s="19">
        <v>20.0</v>
      </c>
      <c r="M263" s="19">
        <v>27.0</v>
      </c>
      <c r="N263" s="19">
        <v>17.0</v>
      </c>
      <c r="O263" s="19">
        <v>13.0</v>
      </c>
      <c r="P263" s="19">
        <v>7.0</v>
      </c>
      <c r="Q263" s="19">
        <v>8.0</v>
      </c>
      <c r="R263" s="19">
        <v>3.0</v>
      </c>
      <c r="S263" s="19">
        <v>7.0</v>
      </c>
      <c r="T263" s="13">
        <f t="shared" si="51"/>
        <v>266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S264" si="52">SUM(E262:E263)</f>
        <v>161</v>
      </c>
      <c r="F264" s="13">
        <f t="shared" si="52"/>
        <v>188</v>
      </c>
      <c r="G264" s="13">
        <f t="shared" si="52"/>
        <v>182</v>
      </c>
      <c r="H264" s="13">
        <f t="shared" si="52"/>
        <v>228</v>
      </c>
      <c r="I264" s="13">
        <f t="shared" si="52"/>
        <v>213</v>
      </c>
      <c r="J264" s="13">
        <f t="shared" si="52"/>
        <v>187</v>
      </c>
      <c r="K264" s="13">
        <f t="shared" si="52"/>
        <v>143</v>
      </c>
      <c r="L264" s="13">
        <f t="shared" si="52"/>
        <v>147</v>
      </c>
      <c r="M264" s="13">
        <f t="shared" si="52"/>
        <v>186</v>
      </c>
      <c r="N264" s="13">
        <f t="shared" si="52"/>
        <v>143</v>
      </c>
      <c r="O264" s="13">
        <f t="shared" si="52"/>
        <v>125</v>
      </c>
      <c r="P264" s="13">
        <f t="shared" si="52"/>
        <v>138</v>
      </c>
      <c r="Q264" s="13">
        <f t="shared" si="52"/>
        <v>131</v>
      </c>
      <c r="R264" s="13">
        <f t="shared" si="52"/>
        <v>217</v>
      </c>
      <c r="S264" s="13">
        <f t="shared" si="52"/>
        <v>166</v>
      </c>
      <c r="T264" s="13">
        <f t="shared" si="51"/>
        <v>2555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S12"/>
    <mergeCell ref="T12:T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S15">
    <cfRule type="containsBlanks" dxfId="1" priority="1">
      <formula>LEN(TRIM(E14))=0</formula>
    </cfRule>
  </conditionalFormatting>
  <conditionalFormatting sqref="E19:S20">
    <cfRule type="containsBlanks" dxfId="1" priority="2">
      <formula>LEN(TRIM(E19))=0</formula>
    </cfRule>
  </conditionalFormatting>
  <conditionalFormatting sqref="E22:S23 E25:S26 E33:S33 E35:S35 E39:S40">
    <cfRule type="containsBlanks" dxfId="1" priority="3">
      <formula>LEN(TRIM(E22))=0</formula>
    </cfRule>
  </conditionalFormatting>
  <conditionalFormatting sqref="E30:S30">
    <cfRule type="expression" dxfId="0" priority="4">
      <formula>E30&lt;&gt;E47</formula>
    </cfRule>
  </conditionalFormatting>
  <conditionalFormatting sqref="E30:S30">
    <cfRule type="expression" dxfId="0" priority="5">
      <formula>E30&lt;&gt;E34</formula>
    </cfRule>
  </conditionalFormatting>
  <conditionalFormatting sqref="E34:S34">
    <cfRule type="expression" dxfId="2" priority="6">
      <formula>E30&lt;&gt;E34</formula>
    </cfRule>
  </conditionalFormatting>
  <conditionalFormatting sqref="E34:S34">
    <cfRule type="expression" dxfId="3" priority="7">
      <formula>E30=E34</formula>
    </cfRule>
  </conditionalFormatting>
  <conditionalFormatting sqref="E34:S34">
    <cfRule type="expression" dxfId="0" priority="8">
      <formula>E34&lt;&gt;E30</formula>
    </cfRule>
  </conditionalFormatting>
  <conditionalFormatting sqref="E34:S34">
    <cfRule type="expression" dxfId="0" priority="9">
      <formula>E34&lt;&gt;E64</formula>
    </cfRule>
  </conditionalFormatting>
  <conditionalFormatting sqref="E45:S54">
    <cfRule type="containsBlanks" dxfId="1" priority="10">
      <formula>LEN(TRIM(E45))=0</formula>
    </cfRule>
  </conditionalFormatting>
  <conditionalFormatting sqref="E57:S66">
    <cfRule type="containsBlanks" dxfId="1" priority="11">
      <formula>LEN(TRIM(E57))=0</formula>
    </cfRule>
  </conditionalFormatting>
  <conditionalFormatting sqref="E69:S78">
    <cfRule type="containsBlanks" dxfId="1" priority="12">
      <formula>LEN(TRIM(E69))=0</formula>
    </cfRule>
  </conditionalFormatting>
  <conditionalFormatting sqref="E81:S90">
    <cfRule type="containsBlanks" dxfId="1" priority="13">
      <formula>LEN(TRIM(E81))=0</formula>
    </cfRule>
  </conditionalFormatting>
  <conditionalFormatting sqref="E93:S102">
    <cfRule type="containsBlanks" dxfId="1" priority="14">
      <formula>LEN(TRIM(E93))=0</formula>
    </cfRule>
  </conditionalFormatting>
  <conditionalFormatting sqref="E105:S114">
    <cfRule type="containsBlanks" dxfId="1" priority="15">
      <formula>LEN(TRIM(E105))=0</formula>
    </cfRule>
  </conditionalFormatting>
  <conditionalFormatting sqref="E117:S126">
    <cfRule type="containsBlanks" dxfId="1" priority="16">
      <formula>LEN(TRIM(E117))=0</formula>
    </cfRule>
  </conditionalFormatting>
  <conditionalFormatting sqref="E129:S138">
    <cfRule type="containsBlanks" dxfId="1" priority="17">
      <formula>LEN(TRIM(E129))=0</formula>
    </cfRule>
  </conditionalFormatting>
  <conditionalFormatting sqref="E141:S150">
    <cfRule type="containsBlanks" dxfId="1" priority="18">
      <formula>LEN(TRIM(E141))=0</formula>
    </cfRule>
  </conditionalFormatting>
  <conditionalFormatting sqref="E153:S162">
    <cfRule type="containsBlanks" dxfId="1" priority="19">
      <formula>LEN(TRIM(E153))=0</formula>
    </cfRule>
  </conditionalFormatting>
  <conditionalFormatting sqref="E165:S174">
    <cfRule type="containsBlanks" dxfId="1" priority="20">
      <formula>LEN(TRIM(E165))=0</formula>
    </cfRule>
  </conditionalFormatting>
  <conditionalFormatting sqref="E177:S186">
    <cfRule type="containsBlanks" dxfId="1" priority="21">
      <formula>LEN(TRIM(E177))=0</formula>
    </cfRule>
  </conditionalFormatting>
  <conditionalFormatting sqref="E189:S198">
    <cfRule type="containsBlanks" dxfId="1" priority="22">
      <formula>LEN(TRIM(E189))=0</formula>
    </cfRule>
  </conditionalFormatting>
  <conditionalFormatting sqref="E201:S210">
    <cfRule type="containsBlanks" dxfId="1" priority="23">
      <formula>LEN(TRIM(E201))=0</formula>
    </cfRule>
  </conditionalFormatting>
  <conditionalFormatting sqref="E213:S222">
    <cfRule type="containsBlanks" dxfId="1" priority="24">
      <formula>LEN(TRIM(E213))=0</formula>
    </cfRule>
  </conditionalFormatting>
  <conditionalFormatting sqref="E225:S234">
    <cfRule type="containsBlanks" dxfId="1" priority="25">
      <formula>LEN(TRIM(E225))=0</formula>
    </cfRule>
  </conditionalFormatting>
  <conditionalFormatting sqref="E237:S246">
    <cfRule type="containsBlanks" dxfId="1" priority="26">
      <formula>LEN(TRIM(E237))=0</formula>
    </cfRule>
  </conditionalFormatting>
  <conditionalFormatting sqref="E249:S259">
    <cfRule type="containsBlanks" dxfId="1" priority="27">
      <formula>LEN(TRIM(E249))=0</formula>
    </cfRule>
  </conditionalFormatting>
  <conditionalFormatting sqref="E262:S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13" width="8.71"/>
    <col customWidth="1" min="14" max="14" width="13.29"/>
    <col customWidth="1" min="15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218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36"/>
    </row>
    <row r="14" ht="12.75" customHeight="1">
      <c r="A14" s="18"/>
      <c r="B14" s="22" t="s">
        <v>11</v>
      </c>
      <c r="C14" s="23"/>
      <c r="D14" s="19" t="s">
        <v>12</v>
      </c>
      <c r="E14" s="19">
        <v>126.0</v>
      </c>
      <c r="F14" s="19">
        <v>128.0</v>
      </c>
      <c r="G14" s="19">
        <v>135.0</v>
      </c>
      <c r="H14" s="19">
        <v>133.0</v>
      </c>
      <c r="I14" s="19">
        <v>128.0</v>
      </c>
      <c r="J14" s="19">
        <v>97.0</v>
      </c>
      <c r="K14" s="19">
        <v>97.0</v>
      </c>
      <c r="L14" s="19">
        <v>106.0</v>
      </c>
      <c r="M14" s="19">
        <v>98.0</v>
      </c>
      <c r="N14" s="13">
        <f t="shared" ref="N14:N16" si="1">SUM(E14:M14)</f>
        <v>1048</v>
      </c>
    </row>
    <row r="15" ht="12.75" customHeight="1">
      <c r="A15" s="18"/>
      <c r="B15" s="26"/>
      <c r="C15" s="27"/>
      <c r="D15" s="19" t="s">
        <v>13</v>
      </c>
      <c r="E15" s="19">
        <v>131.0</v>
      </c>
      <c r="F15" s="19">
        <v>129.0</v>
      </c>
      <c r="G15" s="19">
        <v>133.0</v>
      </c>
      <c r="H15" s="19">
        <v>142.0</v>
      </c>
      <c r="I15" s="19">
        <v>133.0</v>
      </c>
      <c r="J15" s="19">
        <v>105.0</v>
      </c>
      <c r="K15" s="19">
        <v>103.0</v>
      </c>
      <c r="L15" s="19">
        <v>96.0</v>
      </c>
      <c r="M15" s="19">
        <v>107.0</v>
      </c>
      <c r="N15" s="13">
        <f t="shared" si="1"/>
        <v>1079</v>
      </c>
    </row>
    <row r="16" ht="12.75" customHeight="1">
      <c r="A16" s="25"/>
      <c r="B16" s="21"/>
      <c r="C16" s="28"/>
      <c r="D16" s="13" t="s">
        <v>14</v>
      </c>
      <c r="E16" s="13">
        <f t="shared" ref="E16:M16" si="2">SUM(E14:E15)</f>
        <v>257</v>
      </c>
      <c r="F16" s="13">
        <f t="shared" si="2"/>
        <v>257</v>
      </c>
      <c r="G16" s="13">
        <f t="shared" si="2"/>
        <v>268</v>
      </c>
      <c r="H16" s="13">
        <f t="shared" si="2"/>
        <v>275</v>
      </c>
      <c r="I16" s="13">
        <f t="shared" si="2"/>
        <v>261</v>
      </c>
      <c r="J16" s="13">
        <f t="shared" si="2"/>
        <v>202</v>
      </c>
      <c r="K16" s="13">
        <f t="shared" si="2"/>
        <v>200</v>
      </c>
      <c r="L16" s="13">
        <f t="shared" si="2"/>
        <v>202</v>
      </c>
      <c r="M16" s="13">
        <f t="shared" si="2"/>
        <v>205</v>
      </c>
      <c r="N16" s="13">
        <f t="shared" si="1"/>
        <v>2127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67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67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89.0</v>
      </c>
      <c r="F19" s="19">
        <v>91.0</v>
      </c>
      <c r="G19" s="19">
        <v>102.0</v>
      </c>
      <c r="H19" s="19">
        <v>91.0</v>
      </c>
      <c r="I19" s="19">
        <v>94.0</v>
      </c>
      <c r="J19" s="19">
        <v>74.0</v>
      </c>
      <c r="K19" s="19">
        <v>72.0</v>
      </c>
      <c r="L19" s="19">
        <v>76.0</v>
      </c>
      <c r="M19" s="19">
        <v>71.0</v>
      </c>
      <c r="N19" s="13">
        <f t="shared" ref="N19:N30" si="3">SUM(E19:M19)</f>
        <v>760</v>
      </c>
    </row>
    <row r="20" ht="12.75" customHeight="1">
      <c r="A20" s="33"/>
      <c r="B20" s="27"/>
      <c r="C20" s="34"/>
      <c r="D20" s="19" t="s">
        <v>13</v>
      </c>
      <c r="E20" s="19">
        <v>110.0</v>
      </c>
      <c r="F20" s="19">
        <v>97.0</v>
      </c>
      <c r="G20" s="19">
        <v>104.0</v>
      </c>
      <c r="H20" s="19">
        <v>111.0</v>
      </c>
      <c r="I20" s="19">
        <v>104.0</v>
      </c>
      <c r="J20" s="19">
        <v>88.0</v>
      </c>
      <c r="K20" s="19">
        <v>82.0</v>
      </c>
      <c r="L20" s="19">
        <v>76.0</v>
      </c>
      <c r="M20" s="19">
        <v>76.0</v>
      </c>
      <c r="N20" s="13">
        <f t="shared" si="3"/>
        <v>848</v>
      </c>
    </row>
    <row r="21" ht="12.75" customHeight="1">
      <c r="A21" s="35"/>
      <c r="B21" s="28"/>
      <c r="C21" s="36"/>
      <c r="D21" s="13" t="s">
        <v>14</v>
      </c>
      <c r="E21" s="13">
        <f t="shared" ref="E21:M21" si="4">SUM(E19:E20)</f>
        <v>199</v>
      </c>
      <c r="F21" s="13">
        <f t="shared" si="4"/>
        <v>188</v>
      </c>
      <c r="G21" s="13">
        <f t="shared" si="4"/>
        <v>206</v>
      </c>
      <c r="H21" s="13">
        <f t="shared" si="4"/>
        <v>202</v>
      </c>
      <c r="I21" s="13">
        <f t="shared" si="4"/>
        <v>198</v>
      </c>
      <c r="J21" s="13">
        <f t="shared" si="4"/>
        <v>162</v>
      </c>
      <c r="K21" s="13">
        <f t="shared" si="4"/>
        <v>154</v>
      </c>
      <c r="L21" s="13">
        <f t="shared" si="4"/>
        <v>152</v>
      </c>
      <c r="M21" s="13">
        <f t="shared" si="4"/>
        <v>147</v>
      </c>
      <c r="N21" s="13">
        <f t="shared" si="3"/>
        <v>1608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3">
        <f t="shared" si="3"/>
        <v>0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1.0</v>
      </c>
      <c r="M23" s="19">
        <v>0.0</v>
      </c>
      <c r="N23" s="13">
        <f t="shared" si="3"/>
        <v>1</v>
      </c>
    </row>
    <row r="24" ht="12.75" customHeight="1">
      <c r="A24" s="35"/>
      <c r="B24" s="28"/>
      <c r="C24" s="36"/>
      <c r="D24" s="13" t="s">
        <v>14</v>
      </c>
      <c r="E24" s="13">
        <f t="shared" ref="E24:M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f t="shared" si="5"/>
        <v>0</v>
      </c>
      <c r="L24" s="13">
        <f t="shared" si="5"/>
        <v>1</v>
      </c>
      <c r="M24" s="13">
        <f t="shared" si="5"/>
        <v>0</v>
      </c>
      <c r="N24" s="13">
        <f t="shared" si="3"/>
        <v>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1.0</v>
      </c>
      <c r="G25" s="19">
        <v>2.0</v>
      </c>
      <c r="H25" s="19">
        <v>0.0</v>
      </c>
      <c r="I25" s="19">
        <v>1.0</v>
      </c>
      <c r="J25" s="19">
        <v>0.0</v>
      </c>
      <c r="K25" s="19">
        <v>0.0</v>
      </c>
      <c r="L25" s="19">
        <v>0.0</v>
      </c>
      <c r="M25" s="19">
        <v>0.0</v>
      </c>
      <c r="N25" s="13">
        <f t="shared" si="3"/>
        <v>4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1.0</v>
      </c>
      <c r="G26" s="19">
        <v>0.0</v>
      </c>
      <c r="H26" s="19">
        <v>0.0</v>
      </c>
      <c r="I26" s="19">
        <v>0.0</v>
      </c>
      <c r="J26" s="19">
        <v>0.0</v>
      </c>
      <c r="K26" s="19">
        <v>0.0</v>
      </c>
      <c r="L26" s="19">
        <v>0.0</v>
      </c>
      <c r="M26" s="19">
        <v>0.0</v>
      </c>
      <c r="N26" s="13">
        <f t="shared" si="3"/>
        <v>1</v>
      </c>
    </row>
    <row r="27" ht="12.75" customHeight="1">
      <c r="A27" s="35"/>
      <c r="B27" s="28"/>
      <c r="C27" s="36"/>
      <c r="D27" s="13" t="s">
        <v>14</v>
      </c>
      <c r="E27" s="13">
        <f t="shared" ref="E27:M27" si="6">SUM(E25:E26)</f>
        <v>0</v>
      </c>
      <c r="F27" s="13">
        <f t="shared" si="6"/>
        <v>2</v>
      </c>
      <c r="G27" s="13">
        <f t="shared" si="6"/>
        <v>2</v>
      </c>
      <c r="H27" s="13">
        <f t="shared" si="6"/>
        <v>0</v>
      </c>
      <c r="I27" s="13">
        <f t="shared" si="6"/>
        <v>1</v>
      </c>
      <c r="J27" s="13">
        <f t="shared" si="6"/>
        <v>0</v>
      </c>
      <c r="K27" s="13">
        <f t="shared" si="6"/>
        <v>0</v>
      </c>
      <c r="L27" s="13">
        <f t="shared" si="6"/>
        <v>0</v>
      </c>
      <c r="M27" s="13">
        <f t="shared" si="6"/>
        <v>0</v>
      </c>
      <c r="N27" s="13">
        <f t="shared" si="3"/>
        <v>5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M28" si="7">SUM(E19,E22,E25)</f>
        <v>89</v>
      </c>
      <c r="F28" s="13">
        <f t="shared" si="7"/>
        <v>92</v>
      </c>
      <c r="G28" s="13">
        <f t="shared" si="7"/>
        <v>104</v>
      </c>
      <c r="H28" s="13">
        <f t="shared" si="7"/>
        <v>91</v>
      </c>
      <c r="I28" s="13">
        <f t="shared" si="7"/>
        <v>95</v>
      </c>
      <c r="J28" s="13">
        <f t="shared" si="7"/>
        <v>74</v>
      </c>
      <c r="K28" s="13">
        <f t="shared" si="7"/>
        <v>72</v>
      </c>
      <c r="L28" s="13">
        <f t="shared" si="7"/>
        <v>76</v>
      </c>
      <c r="M28" s="13">
        <f t="shared" si="7"/>
        <v>71</v>
      </c>
      <c r="N28" s="13">
        <f t="shared" si="3"/>
        <v>764</v>
      </c>
    </row>
    <row r="29" ht="12.75" customHeight="1">
      <c r="A29" s="35"/>
      <c r="B29" s="27"/>
      <c r="C29" s="34"/>
      <c r="D29" s="13" t="s">
        <v>13</v>
      </c>
      <c r="E29" s="13">
        <f t="shared" ref="E29:M29" si="8">SUM(E20,E23,E26)</f>
        <v>110</v>
      </c>
      <c r="F29" s="13">
        <f t="shared" si="8"/>
        <v>98</v>
      </c>
      <c r="G29" s="13">
        <f t="shared" si="8"/>
        <v>104</v>
      </c>
      <c r="H29" s="13">
        <f t="shared" si="8"/>
        <v>111</v>
      </c>
      <c r="I29" s="13">
        <f t="shared" si="8"/>
        <v>104</v>
      </c>
      <c r="J29" s="13">
        <f t="shared" si="8"/>
        <v>88</v>
      </c>
      <c r="K29" s="13">
        <f t="shared" si="8"/>
        <v>82</v>
      </c>
      <c r="L29" s="13">
        <f t="shared" si="8"/>
        <v>77</v>
      </c>
      <c r="M29" s="13">
        <f t="shared" si="8"/>
        <v>76</v>
      </c>
      <c r="N29" s="13">
        <f t="shared" si="3"/>
        <v>850</v>
      </c>
    </row>
    <row r="30" ht="12.75" customHeight="1">
      <c r="A30" s="35"/>
      <c r="B30" s="28"/>
      <c r="C30" s="36"/>
      <c r="D30" s="13" t="s">
        <v>14</v>
      </c>
      <c r="E30" s="13">
        <f t="shared" ref="E30:M30" si="9">SUM(E28:E29)</f>
        <v>199</v>
      </c>
      <c r="F30" s="13">
        <f t="shared" si="9"/>
        <v>190</v>
      </c>
      <c r="G30" s="13">
        <f t="shared" si="9"/>
        <v>208</v>
      </c>
      <c r="H30" s="13">
        <f t="shared" si="9"/>
        <v>202</v>
      </c>
      <c r="I30" s="13">
        <f t="shared" si="9"/>
        <v>199</v>
      </c>
      <c r="J30" s="13">
        <f t="shared" si="9"/>
        <v>162</v>
      </c>
      <c r="K30" s="13">
        <f t="shared" si="9"/>
        <v>154</v>
      </c>
      <c r="L30" s="13">
        <f t="shared" si="9"/>
        <v>153</v>
      </c>
      <c r="M30" s="13">
        <f t="shared" si="9"/>
        <v>147</v>
      </c>
      <c r="N30" s="13">
        <f t="shared" si="3"/>
        <v>1614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67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67"/>
    </row>
    <row r="33" ht="12.75" customHeight="1">
      <c r="A33" s="19">
        <v>1.0</v>
      </c>
      <c r="B33" s="20" t="s">
        <v>27</v>
      </c>
      <c r="C33" s="15"/>
      <c r="D33" s="16"/>
      <c r="E33" s="19">
        <v>263.0</v>
      </c>
      <c r="F33" s="19">
        <v>263.0</v>
      </c>
      <c r="G33" s="19">
        <v>273.0</v>
      </c>
      <c r="H33" s="19">
        <v>281.0</v>
      </c>
      <c r="I33" s="19">
        <v>267.0</v>
      </c>
      <c r="J33" s="19">
        <v>207.0</v>
      </c>
      <c r="K33" s="19">
        <v>204.0</v>
      </c>
      <c r="L33" s="19">
        <v>207.0</v>
      </c>
      <c r="M33" s="19">
        <v>209.0</v>
      </c>
      <c r="N33" s="13">
        <f t="shared" ref="N33:N36" si="10">SUM(E33:M33)</f>
        <v>2174</v>
      </c>
    </row>
    <row r="34" ht="12.75" customHeight="1">
      <c r="A34" s="19">
        <v>2.0</v>
      </c>
      <c r="B34" s="20" t="s">
        <v>28</v>
      </c>
      <c r="C34" s="15"/>
      <c r="D34" s="16"/>
      <c r="E34" s="13">
        <v>199.0</v>
      </c>
      <c r="F34" s="13">
        <v>190.0</v>
      </c>
      <c r="G34" s="13">
        <v>208.0</v>
      </c>
      <c r="H34" s="13">
        <v>202.0</v>
      </c>
      <c r="I34" s="13">
        <v>199.0</v>
      </c>
      <c r="J34" s="13">
        <v>162.0</v>
      </c>
      <c r="K34" s="13">
        <v>154.0</v>
      </c>
      <c r="L34" s="13">
        <v>153.0</v>
      </c>
      <c r="M34" s="13">
        <v>147.0</v>
      </c>
      <c r="N34" s="13">
        <f t="shared" si="10"/>
        <v>1614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2.0</v>
      </c>
      <c r="H35" s="19"/>
      <c r="I35" s="19">
        <v>0.0</v>
      </c>
      <c r="J35" s="19">
        <v>0.0</v>
      </c>
      <c r="K35" s="19">
        <v>0.0</v>
      </c>
      <c r="L35" s="19">
        <v>2.0</v>
      </c>
      <c r="M35" s="19">
        <v>0.0</v>
      </c>
      <c r="N35" s="13">
        <f t="shared" si="10"/>
        <v>4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M36" si="11">E33-(E34+E35)</f>
        <v>64</v>
      </c>
      <c r="F36" s="13">
        <f t="shared" si="11"/>
        <v>73</v>
      </c>
      <c r="G36" s="13">
        <f t="shared" si="11"/>
        <v>63</v>
      </c>
      <c r="H36" s="13">
        <f t="shared" si="11"/>
        <v>79</v>
      </c>
      <c r="I36" s="13">
        <f t="shared" si="11"/>
        <v>68</v>
      </c>
      <c r="J36" s="13">
        <f t="shared" si="11"/>
        <v>45</v>
      </c>
      <c r="K36" s="13">
        <f t="shared" si="11"/>
        <v>50</v>
      </c>
      <c r="L36" s="13">
        <f t="shared" si="11"/>
        <v>52</v>
      </c>
      <c r="M36" s="13">
        <f t="shared" si="11"/>
        <v>62</v>
      </c>
      <c r="N36" s="13">
        <f t="shared" si="10"/>
        <v>556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67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67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0.0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3">
        <f t="shared" ref="N39:N41" si="12">SUM(E39:M39)</f>
        <v>0</v>
      </c>
    </row>
    <row r="40" ht="12.75" customHeight="1">
      <c r="A40" s="33"/>
      <c r="C40" s="27"/>
      <c r="D40" s="19" t="s">
        <v>13</v>
      </c>
      <c r="E40" s="19">
        <v>0.0</v>
      </c>
      <c r="F40" s="19">
        <v>0.0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0.0</v>
      </c>
      <c r="N40" s="13">
        <f t="shared" si="12"/>
        <v>0</v>
      </c>
    </row>
    <row r="41" ht="12.75" customHeight="1">
      <c r="A41" s="41"/>
      <c r="B41" s="44"/>
      <c r="C41" s="28"/>
      <c r="D41" s="13" t="s">
        <v>14</v>
      </c>
      <c r="E41" s="13">
        <f t="shared" ref="E41:M41" si="13">SUM(E39:E40)</f>
        <v>0</v>
      </c>
      <c r="F41" s="13">
        <f t="shared" si="13"/>
        <v>0</v>
      </c>
      <c r="G41" s="13">
        <f t="shared" si="13"/>
        <v>0</v>
      </c>
      <c r="H41" s="13">
        <f t="shared" si="13"/>
        <v>0</v>
      </c>
      <c r="I41" s="13">
        <f t="shared" si="13"/>
        <v>0</v>
      </c>
      <c r="J41" s="13">
        <f t="shared" si="13"/>
        <v>0</v>
      </c>
      <c r="K41" s="13">
        <f t="shared" si="13"/>
        <v>0</v>
      </c>
      <c r="L41" s="13">
        <f t="shared" si="13"/>
        <v>0</v>
      </c>
      <c r="M41" s="13">
        <f t="shared" si="13"/>
        <v>0</v>
      </c>
      <c r="N41" s="13">
        <f t="shared" si="12"/>
        <v>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3.0</v>
      </c>
      <c r="F45" s="19">
        <v>21.0</v>
      </c>
      <c r="G45" s="19">
        <v>10.0</v>
      </c>
      <c r="H45" s="19">
        <v>0.0</v>
      </c>
      <c r="I45" s="19">
        <v>12.0</v>
      </c>
      <c r="J45" s="19">
        <v>4.0</v>
      </c>
      <c r="K45" s="19">
        <v>5.0</v>
      </c>
      <c r="L45" s="19">
        <v>4.0</v>
      </c>
      <c r="M45" s="19">
        <v>5.0</v>
      </c>
      <c r="N45" s="13">
        <f t="shared" ref="N45:N55" si="14">SUM(E45:M45)</f>
        <v>64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4.0</v>
      </c>
      <c r="F46" s="19">
        <v>6.0</v>
      </c>
      <c r="G46" s="19">
        <v>9.0</v>
      </c>
      <c r="H46" s="19">
        <v>21.0</v>
      </c>
      <c r="I46" s="19">
        <v>15.0</v>
      </c>
      <c r="J46" s="19">
        <v>8.0</v>
      </c>
      <c r="K46" s="19">
        <v>12.0</v>
      </c>
      <c r="L46" s="19">
        <v>6.0</v>
      </c>
      <c r="M46" s="19">
        <v>9.0</v>
      </c>
      <c r="N46" s="13">
        <f t="shared" si="14"/>
        <v>90</v>
      </c>
    </row>
    <row r="47" ht="12.75" customHeight="1">
      <c r="A47" s="18"/>
      <c r="B47" s="55">
        <v>2.0</v>
      </c>
      <c r="C47" s="50" t="s">
        <v>41</v>
      </c>
      <c r="D47" s="16"/>
      <c r="E47" s="19">
        <v>3.0</v>
      </c>
      <c r="F47" s="19">
        <v>1.0</v>
      </c>
      <c r="G47" s="19">
        <v>2.0</v>
      </c>
      <c r="H47" s="19">
        <v>2.0</v>
      </c>
      <c r="I47" s="19">
        <v>3.0</v>
      </c>
      <c r="J47" s="19">
        <v>1.0</v>
      </c>
      <c r="K47" s="19">
        <v>0.0</v>
      </c>
      <c r="L47" s="19">
        <v>4.0</v>
      </c>
      <c r="M47" s="19">
        <v>4.0</v>
      </c>
      <c r="N47" s="13">
        <f t="shared" si="14"/>
        <v>20</v>
      </c>
    </row>
    <row r="48" ht="12.75" customHeight="1">
      <c r="A48" s="18"/>
      <c r="B48" s="55">
        <v>3.0</v>
      </c>
      <c r="C48" s="50" t="s">
        <v>42</v>
      </c>
      <c r="D48" s="16"/>
      <c r="E48" s="19">
        <v>0.0</v>
      </c>
      <c r="F48" s="19">
        <v>1.0</v>
      </c>
      <c r="G48" s="19">
        <v>0.0</v>
      </c>
      <c r="H48" s="19">
        <v>0.0</v>
      </c>
      <c r="I48" s="19">
        <v>1.0</v>
      </c>
      <c r="J48" s="19">
        <v>3.0</v>
      </c>
      <c r="K48" s="19">
        <v>0.0</v>
      </c>
      <c r="L48" s="19">
        <v>0.0</v>
      </c>
      <c r="M48" s="19">
        <v>1.0</v>
      </c>
      <c r="N48" s="13">
        <f t="shared" si="14"/>
        <v>6</v>
      </c>
    </row>
    <row r="49" ht="12.75" customHeight="1">
      <c r="A49" s="18"/>
      <c r="B49" s="55">
        <v>4.0</v>
      </c>
      <c r="C49" s="50" t="s">
        <v>43</v>
      </c>
      <c r="D49" s="16"/>
      <c r="E49" s="19">
        <v>18.0</v>
      </c>
      <c r="F49" s="19">
        <v>40.0</v>
      </c>
      <c r="G49" s="19">
        <v>30.0</v>
      </c>
      <c r="H49" s="19">
        <v>14.0</v>
      </c>
      <c r="I49" s="19">
        <v>5.0</v>
      </c>
      <c r="J49" s="19">
        <v>37.0</v>
      </c>
      <c r="K49" s="19">
        <v>38.0</v>
      </c>
      <c r="L49" s="19">
        <v>17.0</v>
      </c>
      <c r="M49" s="19">
        <v>41.0</v>
      </c>
      <c r="N49" s="13">
        <f t="shared" si="14"/>
        <v>240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0.0</v>
      </c>
      <c r="H50" s="19">
        <v>0.0</v>
      </c>
      <c r="I50" s="19">
        <v>0.0</v>
      </c>
      <c r="J50" s="19">
        <v>0.0</v>
      </c>
      <c r="K50" s="19">
        <v>0.0</v>
      </c>
      <c r="L50" s="19">
        <v>0.0</v>
      </c>
      <c r="M50" s="19">
        <v>0.0</v>
      </c>
      <c r="N50" s="13">
        <f t="shared" si="14"/>
        <v>0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1.0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3">
        <f t="shared" si="14"/>
        <v>1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1.0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3">
        <f t="shared" si="14"/>
        <v>1</v>
      </c>
    </row>
    <row r="53" ht="12.75" customHeight="1">
      <c r="A53" s="18"/>
      <c r="B53" s="68"/>
      <c r="C53" s="69"/>
      <c r="D53" s="70"/>
      <c r="E53" s="19"/>
      <c r="F53" s="19"/>
      <c r="G53" s="19"/>
      <c r="H53" s="19"/>
      <c r="I53" s="19"/>
      <c r="J53" s="19"/>
      <c r="K53" s="19"/>
      <c r="L53" s="19"/>
      <c r="M53" s="19"/>
      <c r="N53" s="13">
        <f t="shared" si="14"/>
        <v>0</v>
      </c>
    </row>
    <row r="54" ht="12.75" customHeight="1">
      <c r="A54" s="18"/>
      <c r="B54" s="68"/>
      <c r="C54" s="69"/>
      <c r="D54" s="70"/>
      <c r="E54" s="19"/>
      <c r="F54" s="19"/>
      <c r="G54" s="19"/>
      <c r="H54" s="19"/>
      <c r="I54" s="19"/>
      <c r="J54" s="19"/>
      <c r="K54" s="19"/>
      <c r="L54" s="19"/>
      <c r="M54" s="19"/>
      <c r="N54" s="13">
        <f t="shared" si="14"/>
        <v>0</v>
      </c>
    </row>
    <row r="55" ht="15.0" customHeight="1">
      <c r="A55" s="19" t="s">
        <v>15</v>
      </c>
      <c r="B55" s="47" t="s">
        <v>47</v>
      </c>
      <c r="C55" s="15"/>
      <c r="D55" s="16"/>
      <c r="E55" s="13">
        <f t="shared" ref="E55:M55" si="15">SUM(E45:E52)</f>
        <v>28</v>
      </c>
      <c r="F55" s="13">
        <f t="shared" si="15"/>
        <v>70</v>
      </c>
      <c r="G55" s="13">
        <f t="shared" si="15"/>
        <v>51</v>
      </c>
      <c r="H55" s="13">
        <f t="shared" si="15"/>
        <v>38</v>
      </c>
      <c r="I55" s="13">
        <f t="shared" si="15"/>
        <v>36</v>
      </c>
      <c r="J55" s="13">
        <f t="shared" si="15"/>
        <v>53</v>
      </c>
      <c r="K55" s="13">
        <f t="shared" si="15"/>
        <v>55</v>
      </c>
      <c r="L55" s="13">
        <f t="shared" si="15"/>
        <v>31</v>
      </c>
      <c r="M55" s="13">
        <f t="shared" si="15"/>
        <v>60</v>
      </c>
      <c r="N55" s="13">
        <f t="shared" si="14"/>
        <v>422</v>
      </c>
    </row>
    <row r="56" ht="12.75" customHeight="1">
      <c r="A56" s="45"/>
      <c r="B56" s="44"/>
      <c r="C56" s="44"/>
      <c r="D56" s="44"/>
      <c r="E56" s="44"/>
      <c r="N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13.0</v>
      </c>
      <c r="F57" s="19">
        <v>3.0</v>
      </c>
      <c r="G57" s="19">
        <v>5.0</v>
      </c>
      <c r="H57" s="19">
        <v>9.0</v>
      </c>
      <c r="I57" s="19">
        <v>13.0</v>
      </c>
      <c r="J57" s="19">
        <v>5.0</v>
      </c>
      <c r="K57" s="19">
        <v>13.0</v>
      </c>
      <c r="L57" s="19">
        <v>3.0</v>
      </c>
      <c r="M57" s="19">
        <v>5.0</v>
      </c>
      <c r="N57" s="13">
        <f t="shared" ref="N57:N67" si="16">SUM(E57:M57)</f>
        <v>69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10.0</v>
      </c>
      <c r="F58" s="19">
        <v>3.0</v>
      </c>
      <c r="G58" s="19">
        <v>10.0</v>
      </c>
      <c r="H58" s="19">
        <v>6.0</v>
      </c>
      <c r="I58" s="19">
        <v>7.0</v>
      </c>
      <c r="J58" s="19">
        <v>12.0</v>
      </c>
      <c r="K58" s="19">
        <v>3.0</v>
      </c>
      <c r="L58" s="19">
        <v>8.0</v>
      </c>
      <c r="M58" s="19">
        <v>2.0</v>
      </c>
      <c r="N58" s="13">
        <f t="shared" si="16"/>
        <v>61</v>
      </c>
    </row>
    <row r="59" ht="12.75" customHeight="1">
      <c r="A59" s="18"/>
      <c r="B59" s="55">
        <v>2.0</v>
      </c>
      <c r="C59" s="50" t="s">
        <v>50</v>
      </c>
      <c r="D59" s="56"/>
      <c r="E59" s="19">
        <v>1.0</v>
      </c>
      <c r="F59" s="19">
        <v>4.0</v>
      </c>
      <c r="G59" s="19">
        <v>2.0</v>
      </c>
      <c r="H59" s="19">
        <v>3.0</v>
      </c>
      <c r="I59" s="19">
        <v>2.0</v>
      </c>
      <c r="J59" s="19">
        <v>2.0</v>
      </c>
      <c r="K59" s="19">
        <v>4.0</v>
      </c>
      <c r="L59" s="19">
        <v>1.0</v>
      </c>
      <c r="M59" s="19">
        <v>4.0</v>
      </c>
      <c r="N59" s="13">
        <f t="shared" si="16"/>
        <v>23</v>
      </c>
    </row>
    <row r="60" ht="12.75" customHeight="1">
      <c r="A60" s="18"/>
      <c r="B60" s="55">
        <v>3.0</v>
      </c>
      <c r="C60" s="50" t="s">
        <v>51</v>
      </c>
      <c r="D60" s="56"/>
      <c r="E60" s="19">
        <v>2.0</v>
      </c>
      <c r="F60" s="19">
        <v>0.0</v>
      </c>
      <c r="G60" s="19">
        <v>2.0</v>
      </c>
      <c r="H60" s="19">
        <v>1.0</v>
      </c>
      <c r="I60" s="19">
        <v>2.0</v>
      </c>
      <c r="J60" s="19">
        <v>0.0</v>
      </c>
      <c r="K60" s="19">
        <v>1.0</v>
      </c>
      <c r="L60" s="19">
        <v>0.0</v>
      </c>
      <c r="M60" s="19">
        <v>1.0</v>
      </c>
      <c r="N60" s="13">
        <f t="shared" si="16"/>
        <v>9</v>
      </c>
    </row>
    <row r="61" ht="12.75" customHeight="1">
      <c r="A61" s="18"/>
      <c r="B61" s="55">
        <v>4.0</v>
      </c>
      <c r="C61" s="50" t="s">
        <v>52</v>
      </c>
      <c r="D61" s="56"/>
      <c r="E61" s="19">
        <v>0.0</v>
      </c>
      <c r="F61" s="19">
        <v>0.0</v>
      </c>
      <c r="G61" s="19">
        <v>1.0</v>
      </c>
      <c r="H61" s="19">
        <v>0.0</v>
      </c>
      <c r="I61" s="19">
        <v>0.0</v>
      </c>
      <c r="J61" s="19">
        <v>0.0</v>
      </c>
      <c r="K61" s="19">
        <v>0.0</v>
      </c>
      <c r="L61" s="19">
        <v>0.0</v>
      </c>
      <c r="M61" s="19">
        <v>0.0</v>
      </c>
      <c r="N61" s="13">
        <f t="shared" si="16"/>
        <v>1</v>
      </c>
    </row>
    <row r="62" ht="12.75" customHeight="1">
      <c r="A62" s="18"/>
      <c r="B62" s="55">
        <v>5.0</v>
      </c>
      <c r="C62" s="50" t="s">
        <v>53</v>
      </c>
      <c r="D62" s="56"/>
      <c r="E62" s="19">
        <v>0.0</v>
      </c>
      <c r="F62" s="19">
        <v>0.0</v>
      </c>
      <c r="G62" s="19">
        <v>0.0</v>
      </c>
      <c r="H62" s="19">
        <v>0.0</v>
      </c>
      <c r="I62" s="19">
        <v>0.0</v>
      </c>
      <c r="J62" s="19">
        <v>0.0</v>
      </c>
      <c r="K62" s="19">
        <v>0.0</v>
      </c>
      <c r="L62" s="19">
        <v>0.0</v>
      </c>
      <c r="M62" s="19">
        <v>0.0</v>
      </c>
      <c r="N62" s="13">
        <f t="shared" si="16"/>
        <v>0</v>
      </c>
    </row>
    <row r="63" ht="12.75" customHeight="1">
      <c r="A63" s="18"/>
      <c r="B63" s="55">
        <v>6.0</v>
      </c>
      <c r="C63" s="50" t="s">
        <v>54</v>
      </c>
      <c r="D63" s="57"/>
      <c r="E63" s="19">
        <v>0.0</v>
      </c>
      <c r="F63" s="19">
        <v>0.0</v>
      </c>
      <c r="G63" s="19">
        <v>0.0</v>
      </c>
      <c r="H63" s="19">
        <v>0.0</v>
      </c>
      <c r="I63" s="19">
        <v>0.0</v>
      </c>
      <c r="J63" s="19">
        <v>0.0</v>
      </c>
      <c r="K63" s="19">
        <v>0.0</v>
      </c>
      <c r="L63" s="19">
        <v>0.0</v>
      </c>
      <c r="M63" s="19">
        <v>3.0</v>
      </c>
      <c r="N63" s="13">
        <f t="shared" si="16"/>
        <v>3</v>
      </c>
    </row>
    <row r="64" ht="12.75" customHeight="1">
      <c r="A64" s="18"/>
      <c r="B64" s="55">
        <v>7.0</v>
      </c>
      <c r="C64" s="50" t="s">
        <v>55</v>
      </c>
      <c r="D64" s="56"/>
      <c r="E64" s="19">
        <v>0.0</v>
      </c>
      <c r="F64" s="19">
        <v>0.0</v>
      </c>
      <c r="G64" s="19">
        <v>0.0</v>
      </c>
      <c r="H64" s="19">
        <v>0.0</v>
      </c>
      <c r="I64" s="19">
        <v>0.0</v>
      </c>
      <c r="J64" s="19">
        <v>0.0</v>
      </c>
      <c r="K64" s="19">
        <v>0.0</v>
      </c>
      <c r="L64" s="19">
        <v>0.0</v>
      </c>
      <c r="M64" s="19">
        <v>0.0</v>
      </c>
      <c r="N64" s="13">
        <f t="shared" si="16"/>
        <v>0</v>
      </c>
    </row>
    <row r="65" ht="12.75" customHeight="1">
      <c r="A65" s="18"/>
      <c r="B65" s="68"/>
      <c r="C65" s="69"/>
      <c r="D65" s="70"/>
      <c r="E65" s="19"/>
      <c r="F65" s="19"/>
      <c r="G65" s="19"/>
      <c r="H65" s="19"/>
      <c r="I65" s="19"/>
      <c r="J65" s="19"/>
      <c r="K65" s="19"/>
      <c r="L65" s="19"/>
      <c r="M65" s="19"/>
      <c r="N65" s="13">
        <f t="shared" si="16"/>
        <v>0</v>
      </c>
    </row>
    <row r="66" ht="12.75" customHeight="1">
      <c r="A66" s="18"/>
      <c r="B66" s="68"/>
      <c r="C66" s="69"/>
      <c r="D66" s="70"/>
      <c r="E66" s="19"/>
      <c r="F66" s="19"/>
      <c r="G66" s="19"/>
      <c r="H66" s="19"/>
      <c r="I66" s="19"/>
      <c r="J66" s="19"/>
      <c r="K66" s="19"/>
      <c r="L66" s="19"/>
      <c r="M66" s="19"/>
      <c r="N66" s="13">
        <f t="shared" si="16"/>
        <v>0</v>
      </c>
    </row>
    <row r="67" ht="15.0" customHeight="1">
      <c r="A67" s="19" t="s">
        <v>15</v>
      </c>
      <c r="B67" s="47" t="s">
        <v>47</v>
      </c>
      <c r="C67" s="15"/>
      <c r="D67" s="16"/>
      <c r="E67" s="13">
        <f t="shared" ref="E67:M67" si="17">SUM(E57:E64)</f>
        <v>26</v>
      </c>
      <c r="F67" s="13">
        <f t="shared" si="17"/>
        <v>10</v>
      </c>
      <c r="G67" s="13">
        <f t="shared" si="17"/>
        <v>20</v>
      </c>
      <c r="H67" s="13">
        <f t="shared" si="17"/>
        <v>19</v>
      </c>
      <c r="I67" s="13">
        <f t="shared" si="17"/>
        <v>24</v>
      </c>
      <c r="J67" s="13">
        <f t="shared" si="17"/>
        <v>19</v>
      </c>
      <c r="K67" s="13">
        <f t="shared" si="17"/>
        <v>21</v>
      </c>
      <c r="L67" s="13">
        <f t="shared" si="17"/>
        <v>12</v>
      </c>
      <c r="M67" s="13">
        <f t="shared" si="17"/>
        <v>15</v>
      </c>
      <c r="N67" s="13">
        <f t="shared" si="16"/>
        <v>166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5.0</v>
      </c>
      <c r="F69" s="19">
        <v>16.0</v>
      </c>
      <c r="G69" s="19">
        <v>7.0</v>
      </c>
      <c r="H69" s="19">
        <v>8.0</v>
      </c>
      <c r="I69" s="19">
        <v>13.0</v>
      </c>
      <c r="J69" s="19">
        <v>5.0</v>
      </c>
      <c r="K69" s="19">
        <v>4.0</v>
      </c>
      <c r="L69" s="19">
        <v>3.0</v>
      </c>
      <c r="M69" s="19">
        <v>2.0</v>
      </c>
      <c r="N69" s="13">
        <f t="shared" ref="N69:N79" si="18">SUM(E69:M69)</f>
        <v>63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5.0</v>
      </c>
      <c r="F70" s="19">
        <v>6.0</v>
      </c>
      <c r="G70" s="19">
        <v>1.0</v>
      </c>
      <c r="H70" s="19">
        <v>6.0</v>
      </c>
      <c r="I70" s="19">
        <v>0.0</v>
      </c>
      <c r="J70" s="19">
        <v>11.0</v>
      </c>
      <c r="K70" s="19">
        <v>3.0</v>
      </c>
      <c r="L70" s="19">
        <v>8.0</v>
      </c>
      <c r="M70" s="19">
        <v>3.0</v>
      </c>
      <c r="N70" s="13">
        <f t="shared" si="18"/>
        <v>43</v>
      </c>
    </row>
    <row r="71" ht="12.75" customHeight="1">
      <c r="A71" s="18"/>
      <c r="B71" s="55">
        <v>2.0</v>
      </c>
      <c r="C71" s="50" t="s">
        <v>58</v>
      </c>
      <c r="D71" s="57"/>
      <c r="E71" s="19">
        <v>3.0</v>
      </c>
      <c r="F71" s="19">
        <v>7.0</v>
      </c>
      <c r="G71" s="19">
        <v>0.0</v>
      </c>
      <c r="H71" s="19">
        <v>4.0</v>
      </c>
      <c r="I71" s="19">
        <v>3.0</v>
      </c>
      <c r="J71" s="19">
        <v>2.0</v>
      </c>
      <c r="K71" s="19">
        <v>1.0</v>
      </c>
      <c r="L71" s="19">
        <v>0.0</v>
      </c>
      <c r="M71" s="19">
        <v>0.0</v>
      </c>
      <c r="N71" s="13">
        <f t="shared" si="18"/>
        <v>20</v>
      </c>
    </row>
    <row r="72" ht="12.75" customHeight="1">
      <c r="A72" s="18"/>
      <c r="B72" s="55">
        <v>3.0</v>
      </c>
      <c r="C72" s="50" t="s">
        <v>59</v>
      </c>
      <c r="D72" s="57"/>
      <c r="E72" s="19">
        <v>5.0</v>
      </c>
      <c r="F72" s="19">
        <v>0.0</v>
      </c>
      <c r="G72" s="19">
        <v>6.0</v>
      </c>
      <c r="H72" s="19">
        <v>1.0</v>
      </c>
      <c r="I72" s="19">
        <v>3.0</v>
      </c>
      <c r="J72" s="19">
        <v>0.0</v>
      </c>
      <c r="K72" s="19">
        <v>4.0</v>
      </c>
      <c r="L72" s="19">
        <v>1.0</v>
      </c>
      <c r="M72" s="19">
        <v>3.0</v>
      </c>
      <c r="N72" s="13">
        <f t="shared" si="18"/>
        <v>23</v>
      </c>
    </row>
    <row r="73" ht="12.75" customHeight="1">
      <c r="A73" s="18"/>
      <c r="B73" s="55">
        <v>4.0</v>
      </c>
      <c r="C73" s="50" t="s">
        <v>60</v>
      </c>
      <c r="D73" s="57"/>
      <c r="E73" s="19">
        <v>0.0</v>
      </c>
      <c r="F73" s="19">
        <v>0.0</v>
      </c>
      <c r="G73" s="19">
        <v>2.0</v>
      </c>
      <c r="H73" s="19">
        <v>1.0</v>
      </c>
      <c r="I73" s="19">
        <v>0.0</v>
      </c>
      <c r="J73" s="19">
        <v>0.0</v>
      </c>
      <c r="K73" s="19">
        <v>0.0</v>
      </c>
      <c r="L73" s="19">
        <v>0.0</v>
      </c>
      <c r="M73" s="19">
        <v>0.0</v>
      </c>
      <c r="N73" s="13">
        <f t="shared" si="18"/>
        <v>3</v>
      </c>
    </row>
    <row r="74" ht="12.75" customHeight="1">
      <c r="A74" s="18"/>
      <c r="B74" s="55">
        <v>5.0</v>
      </c>
      <c r="C74" s="50" t="s">
        <v>61</v>
      </c>
      <c r="D74" s="57"/>
      <c r="E74" s="19">
        <v>1.0</v>
      </c>
      <c r="F74" s="19">
        <v>0.0</v>
      </c>
      <c r="G74" s="19">
        <v>4.0</v>
      </c>
      <c r="H74" s="19">
        <v>4.0</v>
      </c>
      <c r="I74" s="19">
        <v>4.0</v>
      </c>
      <c r="J74" s="19">
        <v>0.0</v>
      </c>
      <c r="K74" s="19">
        <v>2.0</v>
      </c>
      <c r="L74" s="19">
        <v>0.0</v>
      </c>
      <c r="M74" s="19">
        <v>4.0</v>
      </c>
      <c r="N74" s="13">
        <f t="shared" si="18"/>
        <v>19</v>
      </c>
    </row>
    <row r="75" ht="12.75" customHeight="1">
      <c r="A75" s="18"/>
      <c r="B75" s="55">
        <v>6.0</v>
      </c>
      <c r="C75" s="50" t="s">
        <v>62</v>
      </c>
      <c r="D75" s="57"/>
      <c r="E75" s="19">
        <v>0.0</v>
      </c>
      <c r="F75" s="19">
        <v>0.0</v>
      </c>
      <c r="G75" s="19">
        <v>0.0</v>
      </c>
      <c r="H75" s="19">
        <v>0.0</v>
      </c>
      <c r="I75" s="19">
        <v>0.0</v>
      </c>
      <c r="J75" s="19">
        <v>0.0</v>
      </c>
      <c r="K75" s="19">
        <v>0.0</v>
      </c>
      <c r="L75" s="19">
        <v>0.0</v>
      </c>
      <c r="M75" s="19">
        <v>1.0</v>
      </c>
      <c r="N75" s="13">
        <f t="shared" si="18"/>
        <v>1</v>
      </c>
    </row>
    <row r="76" ht="12.75" customHeight="1">
      <c r="A76" s="18"/>
      <c r="B76" s="55">
        <v>7.0</v>
      </c>
      <c r="C76" s="50" t="s">
        <v>63</v>
      </c>
      <c r="D76" s="57"/>
      <c r="E76" s="19">
        <v>0.0</v>
      </c>
      <c r="F76" s="19">
        <v>0.0</v>
      </c>
      <c r="G76" s="19">
        <v>0.0</v>
      </c>
      <c r="H76" s="19">
        <v>0.0</v>
      </c>
      <c r="I76" s="19">
        <v>0.0</v>
      </c>
      <c r="J76" s="19">
        <v>0.0</v>
      </c>
      <c r="K76" s="19">
        <v>0.0</v>
      </c>
      <c r="L76" s="19">
        <v>0.0</v>
      </c>
      <c r="M76" s="19">
        <v>0.0</v>
      </c>
      <c r="N76" s="13">
        <f t="shared" si="18"/>
        <v>0</v>
      </c>
    </row>
    <row r="77" ht="12.75" customHeight="1">
      <c r="A77" s="18"/>
      <c r="B77" s="68"/>
      <c r="C77" s="69"/>
      <c r="D77" s="71"/>
      <c r="E77" s="19"/>
      <c r="F77" s="19"/>
      <c r="G77" s="19"/>
      <c r="H77" s="19"/>
      <c r="I77" s="19"/>
      <c r="J77" s="19"/>
      <c r="K77" s="19"/>
      <c r="L77" s="19"/>
      <c r="M77" s="19"/>
      <c r="N77" s="13">
        <f t="shared" si="18"/>
        <v>0</v>
      </c>
    </row>
    <row r="78" ht="12.75" customHeight="1">
      <c r="A78" s="18"/>
      <c r="B78" s="68"/>
      <c r="C78" s="69"/>
      <c r="D78" s="71"/>
      <c r="E78" s="19"/>
      <c r="F78" s="19"/>
      <c r="G78" s="19"/>
      <c r="H78" s="19"/>
      <c r="I78" s="19"/>
      <c r="J78" s="19"/>
      <c r="K78" s="19"/>
      <c r="L78" s="19"/>
      <c r="M78" s="19"/>
      <c r="N78" s="13">
        <f t="shared" si="18"/>
        <v>0</v>
      </c>
    </row>
    <row r="79" ht="15.0" customHeight="1">
      <c r="A79" s="19" t="s">
        <v>15</v>
      </c>
      <c r="B79" s="47" t="s">
        <v>47</v>
      </c>
      <c r="C79" s="15"/>
      <c r="D79" s="16"/>
      <c r="E79" s="13">
        <f t="shared" ref="E79:M79" si="19">SUM(E69:E76)</f>
        <v>19</v>
      </c>
      <c r="F79" s="13">
        <f t="shared" si="19"/>
        <v>29</v>
      </c>
      <c r="G79" s="13">
        <f t="shared" si="19"/>
        <v>20</v>
      </c>
      <c r="H79" s="13">
        <f t="shared" si="19"/>
        <v>24</v>
      </c>
      <c r="I79" s="13">
        <f t="shared" si="19"/>
        <v>23</v>
      </c>
      <c r="J79" s="13">
        <f t="shared" si="19"/>
        <v>18</v>
      </c>
      <c r="K79" s="13">
        <f t="shared" si="19"/>
        <v>14</v>
      </c>
      <c r="L79" s="13">
        <f t="shared" si="19"/>
        <v>12</v>
      </c>
      <c r="M79" s="13">
        <f t="shared" si="19"/>
        <v>13</v>
      </c>
      <c r="N79" s="13">
        <f t="shared" si="18"/>
        <v>172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14.0</v>
      </c>
      <c r="F81" s="19">
        <v>9.0</v>
      </c>
      <c r="G81" s="19">
        <v>6.0</v>
      </c>
      <c r="H81" s="19">
        <v>2.0</v>
      </c>
      <c r="I81" s="19">
        <v>4.0</v>
      </c>
      <c r="J81" s="19">
        <v>6.0</v>
      </c>
      <c r="K81" s="19">
        <v>3.0</v>
      </c>
      <c r="L81" s="19">
        <v>3.0</v>
      </c>
      <c r="M81" s="19">
        <v>7.0</v>
      </c>
      <c r="N81" s="13">
        <f t="shared" ref="N81:N91" si="20">SUM(E81:M81)</f>
        <v>54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10.0</v>
      </c>
      <c r="F82" s="19">
        <v>5.0</v>
      </c>
      <c r="G82" s="19">
        <v>1.0</v>
      </c>
      <c r="H82" s="19">
        <v>5.0</v>
      </c>
      <c r="I82" s="19">
        <v>2.0</v>
      </c>
      <c r="J82" s="19">
        <v>13.0</v>
      </c>
      <c r="K82" s="19">
        <v>2.0</v>
      </c>
      <c r="L82" s="19">
        <v>1.0</v>
      </c>
      <c r="M82" s="19">
        <v>1.0</v>
      </c>
      <c r="N82" s="13">
        <f t="shared" si="20"/>
        <v>40</v>
      </c>
    </row>
    <row r="83" ht="12.75" customHeight="1">
      <c r="A83" s="18"/>
      <c r="B83" s="55">
        <v>2.0</v>
      </c>
      <c r="C83" s="50" t="s">
        <v>66</v>
      </c>
      <c r="D83" s="57"/>
      <c r="E83" s="19">
        <v>3.0</v>
      </c>
      <c r="F83" s="19">
        <v>0.0</v>
      </c>
      <c r="G83" s="19">
        <v>2.0</v>
      </c>
      <c r="H83" s="19">
        <v>1.0</v>
      </c>
      <c r="I83" s="19">
        <v>1.0</v>
      </c>
      <c r="J83" s="19">
        <v>1.0</v>
      </c>
      <c r="K83" s="19">
        <v>1.0</v>
      </c>
      <c r="L83" s="19">
        <v>5.0</v>
      </c>
      <c r="M83" s="19">
        <v>4.0</v>
      </c>
      <c r="N83" s="13">
        <f t="shared" si="20"/>
        <v>18</v>
      </c>
    </row>
    <row r="84" ht="12.75" customHeight="1">
      <c r="A84" s="18"/>
      <c r="B84" s="55">
        <v>3.0</v>
      </c>
      <c r="C84" s="50" t="s">
        <v>67</v>
      </c>
      <c r="D84" s="57"/>
      <c r="E84" s="19">
        <v>1.0</v>
      </c>
      <c r="F84" s="19">
        <v>0.0</v>
      </c>
      <c r="G84" s="19">
        <v>0.0</v>
      </c>
      <c r="H84" s="19">
        <v>0.0</v>
      </c>
      <c r="I84" s="19">
        <v>1.0</v>
      </c>
      <c r="J84" s="19">
        <v>0.0</v>
      </c>
      <c r="K84" s="19">
        <v>1.0</v>
      </c>
      <c r="L84" s="19">
        <v>0.0</v>
      </c>
      <c r="M84" s="19">
        <v>0.0</v>
      </c>
      <c r="N84" s="13">
        <f t="shared" si="20"/>
        <v>3</v>
      </c>
    </row>
    <row r="85" ht="12.75" customHeight="1">
      <c r="A85" s="18"/>
      <c r="B85" s="55">
        <v>4.0</v>
      </c>
      <c r="C85" s="50" t="s">
        <v>68</v>
      </c>
      <c r="D85" s="57"/>
      <c r="E85" s="19">
        <v>1.0</v>
      </c>
      <c r="F85" s="19">
        <v>0.0</v>
      </c>
      <c r="G85" s="19">
        <v>1.0</v>
      </c>
      <c r="H85" s="19">
        <v>0.0</v>
      </c>
      <c r="I85" s="19">
        <v>1.0</v>
      </c>
      <c r="J85" s="19">
        <v>1.0</v>
      </c>
      <c r="K85" s="19">
        <v>1.0</v>
      </c>
      <c r="L85" s="19">
        <v>0.0</v>
      </c>
      <c r="M85" s="19">
        <v>0.0</v>
      </c>
      <c r="N85" s="13">
        <f t="shared" si="20"/>
        <v>5</v>
      </c>
    </row>
    <row r="86" ht="12.75" customHeight="1">
      <c r="A86" s="18"/>
      <c r="B86" s="55">
        <v>5.0</v>
      </c>
      <c r="C86" s="50" t="s">
        <v>69</v>
      </c>
      <c r="D86" s="57"/>
      <c r="E86" s="19">
        <v>0.0</v>
      </c>
      <c r="F86" s="19">
        <v>0.0</v>
      </c>
      <c r="G86" s="19">
        <v>0.0</v>
      </c>
      <c r="H86" s="19">
        <v>0.0</v>
      </c>
      <c r="I86" s="19">
        <v>1.0</v>
      </c>
      <c r="J86" s="19">
        <v>0.0</v>
      </c>
      <c r="K86" s="19">
        <v>0.0</v>
      </c>
      <c r="L86" s="19">
        <v>0.0</v>
      </c>
      <c r="M86" s="19">
        <v>0.0</v>
      </c>
      <c r="N86" s="13">
        <f t="shared" si="20"/>
        <v>1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3">
        <f t="shared" si="20"/>
        <v>0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3">
        <f t="shared" si="20"/>
        <v>0</v>
      </c>
    </row>
    <row r="89" ht="12.75" customHeight="1">
      <c r="A89" s="18"/>
      <c r="B89" s="68"/>
      <c r="C89" s="69"/>
      <c r="D89" s="71"/>
      <c r="E89" s="19"/>
      <c r="F89" s="19"/>
      <c r="G89" s="19"/>
      <c r="H89" s="19"/>
      <c r="I89" s="19"/>
      <c r="J89" s="19"/>
      <c r="K89" s="19"/>
      <c r="L89" s="19"/>
      <c r="M89" s="19"/>
      <c r="N89" s="13">
        <f t="shared" si="20"/>
        <v>0</v>
      </c>
    </row>
    <row r="90" ht="12.75" customHeight="1">
      <c r="A90" s="18"/>
      <c r="B90" s="68"/>
      <c r="C90" s="69"/>
      <c r="D90" s="71"/>
      <c r="E90" s="19"/>
      <c r="F90" s="19"/>
      <c r="G90" s="19"/>
      <c r="H90" s="19"/>
      <c r="I90" s="19"/>
      <c r="J90" s="19"/>
      <c r="K90" s="19"/>
      <c r="L90" s="19"/>
      <c r="M90" s="19"/>
      <c r="N90" s="13">
        <f t="shared" si="20"/>
        <v>0</v>
      </c>
    </row>
    <row r="91" ht="15.0" customHeight="1">
      <c r="A91" s="19" t="s">
        <v>15</v>
      </c>
      <c r="B91" s="47" t="s">
        <v>47</v>
      </c>
      <c r="C91" s="15"/>
      <c r="D91" s="16"/>
      <c r="E91" s="13">
        <f t="shared" ref="E91:M91" si="21">SUM(E81:E88)</f>
        <v>29</v>
      </c>
      <c r="F91" s="13">
        <f t="shared" si="21"/>
        <v>14</v>
      </c>
      <c r="G91" s="13">
        <f t="shared" si="21"/>
        <v>10</v>
      </c>
      <c r="H91" s="13">
        <f t="shared" si="21"/>
        <v>8</v>
      </c>
      <c r="I91" s="13">
        <f t="shared" si="21"/>
        <v>10</v>
      </c>
      <c r="J91" s="13">
        <f t="shared" si="21"/>
        <v>21</v>
      </c>
      <c r="K91" s="13">
        <f t="shared" si="21"/>
        <v>8</v>
      </c>
      <c r="L91" s="13">
        <f t="shared" si="21"/>
        <v>9</v>
      </c>
      <c r="M91" s="13">
        <f t="shared" si="21"/>
        <v>12</v>
      </c>
      <c r="N91" s="13">
        <f t="shared" si="20"/>
        <v>121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0.0</v>
      </c>
      <c r="F93" s="19">
        <v>0.0</v>
      </c>
      <c r="G93" s="19">
        <v>0.0</v>
      </c>
      <c r="H93" s="19">
        <v>0.0</v>
      </c>
      <c r="I93" s="19">
        <v>1.0</v>
      </c>
      <c r="J93" s="19">
        <v>0.0</v>
      </c>
      <c r="K93" s="19">
        <v>0.0</v>
      </c>
      <c r="L93" s="19">
        <v>0.0</v>
      </c>
      <c r="M93" s="19">
        <v>0.0</v>
      </c>
      <c r="N93" s="13">
        <f t="shared" ref="N93:N103" si="22">SUM(E93:M93)</f>
        <v>1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12.0</v>
      </c>
      <c r="F94" s="19">
        <v>0.0</v>
      </c>
      <c r="G94" s="19">
        <v>0.0</v>
      </c>
      <c r="H94" s="19">
        <v>0.0</v>
      </c>
      <c r="I94" s="19">
        <v>0.0</v>
      </c>
      <c r="J94" s="19">
        <v>0.0</v>
      </c>
      <c r="K94" s="19">
        <v>2.0</v>
      </c>
      <c r="L94" s="19">
        <v>0.0</v>
      </c>
      <c r="M94" s="19">
        <v>0.0</v>
      </c>
      <c r="N94" s="13">
        <f t="shared" si="22"/>
        <v>14</v>
      </c>
    </row>
    <row r="95" ht="12.75" customHeight="1">
      <c r="A95" s="18"/>
      <c r="B95" s="55">
        <v>2.0</v>
      </c>
      <c r="C95" s="50" t="s">
        <v>75</v>
      </c>
      <c r="D95" s="57"/>
      <c r="E95" s="19">
        <v>0.0</v>
      </c>
      <c r="F95" s="19">
        <v>0.0</v>
      </c>
      <c r="G95" s="19">
        <v>0.0</v>
      </c>
      <c r="H95" s="19">
        <v>0.0</v>
      </c>
      <c r="I95" s="19">
        <v>0.0</v>
      </c>
      <c r="J95" s="19">
        <v>0.0</v>
      </c>
      <c r="K95" s="19">
        <v>0.0</v>
      </c>
      <c r="L95" s="19">
        <v>0.0</v>
      </c>
      <c r="M95" s="19">
        <v>0.0</v>
      </c>
      <c r="N95" s="13">
        <f t="shared" si="22"/>
        <v>0</v>
      </c>
    </row>
    <row r="96" ht="12.75" customHeight="1">
      <c r="A96" s="18"/>
      <c r="B96" s="55">
        <v>3.0</v>
      </c>
      <c r="C96" s="50" t="s">
        <v>76</v>
      </c>
      <c r="D96" s="57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1.0</v>
      </c>
      <c r="K96" s="19">
        <v>0.0</v>
      </c>
      <c r="L96" s="19">
        <v>0.0</v>
      </c>
      <c r="M96" s="19">
        <v>1.0</v>
      </c>
      <c r="N96" s="13">
        <f t="shared" si="22"/>
        <v>2</v>
      </c>
    </row>
    <row r="97" ht="12.75" customHeight="1">
      <c r="A97" s="18"/>
      <c r="B97" s="55">
        <v>4.0</v>
      </c>
      <c r="C97" s="50" t="s">
        <v>77</v>
      </c>
      <c r="D97" s="57"/>
      <c r="E97" s="19">
        <v>0.0</v>
      </c>
      <c r="F97" s="19">
        <v>0.0</v>
      </c>
      <c r="G97" s="19">
        <v>0.0</v>
      </c>
      <c r="H97" s="19">
        <v>0.0</v>
      </c>
      <c r="I97" s="19">
        <v>1.0</v>
      </c>
      <c r="J97" s="19">
        <v>0.0</v>
      </c>
      <c r="K97" s="19">
        <v>0.0</v>
      </c>
      <c r="L97" s="19">
        <v>0.0</v>
      </c>
      <c r="M97" s="19">
        <v>0.0</v>
      </c>
      <c r="N97" s="13">
        <f t="shared" si="22"/>
        <v>1</v>
      </c>
    </row>
    <row r="98" ht="12.75" customHeight="1">
      <c r="A98" s="18"/>
      <c r="B98" s="55">
        <v>5.0</v>
      </c>
      <c r="C98" s="50" t="s">
        <v>78</v>
      </c>
      <c r="D98" s="57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2.0</v>
      </c>
      <c r="K98" s="19">
        <v>0.0</v>
      </c>
      <c r="L98" s="19">
        <v>0.0</v>
      </c>
      <c r="M98" s="19">
        <v>0.0</v>
      </c>
      <c r="N98" s="13">
        <f t="shared" si="22"/>
        <v>2</v>
      </c>
    </row>
    <row r="99" ht="12.75" customHeight="1">
      <c r="A99" s="18"/>
      <c r="B99" s="55">
        <v>6.0</v>
      </c>
      <c r="C99" s="50" t="s">
        <v>79</v>
      </c>
      <c r="D99" s="57"/>
      <c r="E99" s="19">
        <v>0.0</v>
      </c>
      <c r="F99" s="19">
        <v>1.0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0.0</v>
      </c>
      <c r="N99" s="13">
        <f t="shared" si="22"/>
        <v>1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3">
        <f t="shared" si="22"/>
        <v>0</v>
      </c>
    </row>
    <row r="101" ht="12.75" customHeight="1">
      <c r="A101" s="18"/>
      <c r="B101" s="68"/>
      <c r="C101" s="69"/>
      <c r="D101" s="71"/>
      <c r="E101" s="19"/>
      <c r="F101" s="19"/>
      <c r="G101" s="19"/>
      <c r="H101" s="19"/>
      <c r="I101" s="19"/>
      <c r="J101" s="19"/>
      <c r="K101" s="19"/>
      <c r="L101" s="19"/>
      <c r="M101" s="19"/>
      <c r="N101" s="13">
        <f t="shared" si="22"/>
        <v>0</v>
      </c>
    </row>
    <row r="102" ht="12.75" customHeight="1">
      <c r="A102" s="18"/>
      <c r="B102" s="68"/>
      <c r="C102" s="69"/>
      <c r="D102" s="71"/>
      <c r="E102" s="19"/>
      <c r="F102" s="19"/>
      <c r="G102" s="19"/>
      <c r="H102" s="19"/>
      <c r="I102" s="19"/>
      <c r="J102" s="19"/>
      <c r="K102" s="19"/>
      <c r="L102" s="19"/>
      <c r="M102" s="19"/>
      <c r="N102" s="13">
        <f t="shared" si="22"/>
        <v>0</v>
      </c>
    </row>
    <row r="103" ht="15.0" customHeight="1">
      <c r="A103" s="19" t="s">
        <v>15</v>
      </c>
      <c r="B103" s="47" t="s">
        <v>47</v>
      </c>
      <c r="C103" s="15"/>
      <c r="D103" s="16"/>
      <c r="E103" s="13">
        <f t="shared" ref="E103:M103" si="23">SUM(E93:E100)</f>
        <v>12</v>
      </c>
      <c r="F103" s="13">
        <f t="shared" si="23"/>
        <v>1</v>
      </c>
      <c r="G103" s="13">
        <f t="shared" si="23"/>
        <v>0</v>
      </c>
      <c r="H103" s="13">
        <f t="shared" si="23"/>
        <v>0</v>
      </c>
      <c r="I103" s="13">
        <f t="shared" si="23"/>
        <v>2</v>
      </c>
      <c r="J103" s="13">
        <f t="shared" si="23"/>
        <v>3</v>
      </c>
      <c r="K103" s="13">
        <f t="shared" si="23"/>
        <v>2</v>
      </c>
      <c r="L103" s="13">
        <f t="shared" si="23"/>
        <v>0</v>
      </c>
      <c r="M103" s="13">
        <f t="shared" si="23"/>
        <v>1</v>
      </c>
      <c r="N103" s="13">
        <f t="shared" si="22"/>
        <v>21</v>
      </c>
    </row>
    <row r="104" ht="12.75" customHeight="1">
      <c r="A104" s="45"/>
      <c r="B104" s="44"/>
      <c r="C104" s="44"/>
      <c r="D104" s="44"/>
      <c r="E104" s="44"/>
      <c r="F104" s="72"/>
      <c r="G104" s="72"/>
      <c r="H104" s="72"/>
      <c r="I104" s="72"/>
      <c r="J104" s="72"/>
      <c r="K104" s="72"/>
      <c r="L104" s="72"/>
      <c r="M104" s="72"/>
      <c r="N104" s="72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1.0</v>
      </c>
      <c r="G105" s="19">
        <v>2.0</v>
      </c>
      <c r="H105" s="19">
        <v>2.0</v>
      </c>
      <c r="I105" s="19">
        <v>0.0</v>
      </c>
      <c r="J105" s="19">
        <v>0.0</v>
      </c>
      <c r="K105" s="19">
        <v>1.0</v>
      </c>
      <c r="L105" s="19">
        <v>0.0</v>
      </c>
      <c r="M105" s="19">
        <v>0.0</v>
      </c>
      <c r="N105" s="13">
        <f t="shared" ref="N105:N115" si="24">SUM(E105:M105)</f>
        <v>6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0.0</v>
      </c>
      <c r="F106" s="19">
        <v>0.0</v>
      </c>
      <c r="G106" s="19">
        <v>0.0</v>
      </c>
      <c r="H106" s="19">
        <v>0.0</v>
      </c>
      <c r="I106" s="19">
        <v>0.0</v>
      </c>
      <c r="J106" s="19">
        <v>0.0</v>
      </c>
      <c r="K106" s="19">
        <v>0.0</v>
      </c>
      <c r="L106" s="19">
        <v>0.0</v>
      </c>
      <c r="M106" s="19">
        <v>0.0</v>
      </c>
      <c r="N106" s="13">
        <f t="shared" si="24"/>
        <v>0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1.0</v>
      </c>
      <c r="G107" s="19">
        <v>0.0</v>
      </c>
      <c r="H107" s="19">
        <v>0.0</v>
      </c>
      <c r="I107" s="19">
        <v>0.0</v>
      </c>
      <c r="J107" s="19">
        <v>1.0</v>
      </c>
      <c r="K107" s="19">
        <v>0.0</v>
      </c>
      <c r="L107" s="19">
        <v>0.0</v>
      </c>
      <c r="M107" s="19">
        <v>0.0</v>
      </c>
      <c r="N107" s="13">
        <f t="shared" si="24"/>
        <v>2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3">
        <f t="shared" si="24"/>
        <v>0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3">
        <f t="shared" si="24"/>
        <v>0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3">
        <f t="shared" si="24"/>
        <v>0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3">
        <f t="shared" si="24"/>
        <v>0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3">
        <f t="shared" si="24"/>
        <v>0</v>
      </c>
    </row>
    <row r="113" ht="12.75" customHeight="1">
      <c r="A113" s="18"/>
      <c r="B113" s="68"/>
      <c r="C113" s="69"/>
      <c r="D113" s="71"/>
      <c r="E113" s="19"/>
      <c r="F113" s="19"/>
      <c r="G113" s="19"/>
      <c r="H113" s="19"/>
      <c r="I113" s="19"/>
      <c r="J113" s="19"/>
      <c r="K113" s="19"/>
      <c r="L113" s="19"/>
      <c r="M113" s="19"/>
      <c r="N113" s="13">
        <f t="shared" si="24"/>
        <v>0</v>
      </c>
    </row>
    <row r="114" ht="12.75" customHeight="1">
      <c r="A114" s="18"/>
      <c r="B114" s="68"/>
      <c r="C114" s="69"/>
      <c r="D114" s="71"/>
      <c r="E114" s="19"/>
      <c r="F114" s="19"/>
      <c r="G114" s="19"/>
      <c r="H114" s="19"/>
      <c r="I114" s="19"/>
      <c r="J114" s="19"/>
      <c r="K114" s="19"/>
      <c r="L114" s="19"/>
      <c r="M114" s="19"/>
      <c r="N114" s="13">
        <f t="shared" si="24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M115" si="25">SUM(E105:E112)</f>
        <v>0</v>
      </c>
      <c r="F115" s="13">
        <f t="shared" si="25"/>
        <v>2</v>
      </c>
      <c r="G115" s="13">
        <f t="shared" si="25"/>
        <v>2</v>
      </c>
      <c r="H115" s="13">
        <f t="shared" si="25"/>
        <v>2</v>
      </c>
      <c r="I115" s="13">
        <f t="shared" si="25"/>
        <v>0</v>
      </c>
      <c r="J115" s="13">
        <f t="shared" si="25"/>
        <v>1</v>
      </c>
      <c r="K115" s="13">
        <f t="shared" si="25"/>
        <v>1</v>
      </c>
      <c r="L115" s="13">
        <f t="shared" si="25"/>
        <v>0</v>
      </c>
      <c r="M115" s="13">
        <f t="shared" si="25"/>
        <v>0</v>
      </c>
      <c r="N115" s="13">
        <f t="shared" si="24"/>
        <v>8</v>
      </c>
    </row>
    <row r="116" ht="12.75" customHeight="1">
      <c r="A116" s="24"/>
      <c r="B116" s="15"/>
      <c r="C116" s="15"/>
      <c r="D116" s="15"/>
      <c r="E116" s="16"/>
      <c r="F116" s="72"/>
      <c r="G116" s="72"/>
      <c r="H116" s="72"/>
      <c r="I116" s="72"/>
      <c r="J116" s="72"/>
      <c r="K116" s="72"/>
      <c r="L116" s="72"/>
      <c r="M116" s="72"/>
      <c r="N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1.0</v>
      </c>
      <c r="F117" s="19">
        <v>0.0</v>
      </c>
      <c r="G117" s="19">
        <v>0.0</v>
      </c>
      <c r="H117" s="19">
        <v>0.0</v>
      </c>
      <c r="I117" s="19">
        <v>0.0</v>
      </c>
      <c r="J117" s="19">
        <v>1.0</v>
      </c>
      <c r="K117" s="19">
        <v>0.0</v>
      </c>
      <c r="L117" s="19">
        <v>0.0</v>
      </c>
      <c r="M117" s="19">
        <v>0.0</v>
      </c>
      <c r="N117" s="13">
        <f t="shared" ref="N117:N127" si="26">SUM(E117:M117)</f>
        <v>2</v>
      </c>
      <c r="O117" s="5"/>
      <c r="P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0.0</v>
      </c>
      <c r="F118" s="19">
        <v>0.0</v>
      </c>
      <c r="G118" s="19">
        <v>0.0</v>
      </c>
      <c r="H118" s="19">
        <v>0.0</v>
      </c>
      <c r="I118" s="19">
        <v>1.0</v>
      </c>
      <c r="J118" s="19">
        <v>0.0</v>
      </c>
      <c r="K118" s="19">
        <v>0.0</v>
      </c>
      <c r="L118" s="19">
        <v>0.0</v>
      </c>
      <c r="M118" s="19">
        <v>0.0</v>
      </c>
      <c r="N118" s="13">
        <f t="shared" si="26"/>
        <v>1</v>
      </c>
      <c r="O118" s="5"/>
      <c r="P118" s="5"/>
    </row>
    <row r="119" ht="12.75" customHeight="1">
      <c r="A119" s="18"/>
      <c r="B119" s="55">
        <v>2.0</v>
      </c>
      <c r="C119" s="50" t="s">
        <v>93</v>
      </c>
      <c r="D119" s="57"/>
      <c r="E119" s="19">
        <v>1.0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3">
        <f t="shared" si="26"/>
        <v>1</v>
      </c>
      <c r="O119" s="5"/>
      <c r="P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1.0</v>
      </c>
      <c r="L120" s="19">
        <v>0.0</v>
      </c>
      <c r="M120" s="19">
        <v>0.0</v>
      </c>
      <c r="N120" s="13">
        <f t="shared" si="26"/>
        <v>1</v>
      </c>
      <c r="O120" s="5"/>
      <c r="P120" s="5"/>
    </row>
    <row r="121" ht="12.75" customHeight="1">
      <c r="A121" s="18"/>
      <c r="B121" s="68"/>
      <c r="C121" s="69"/>
      <c r="D121" s="71"/>
      <c r="E121" s="40"/>
      <c r="F121" s="19"/>
      <c r="G121" s="19"/>
      <c r="H121" s="19"/>
      <c r="I121" s="19"/>
      <c r="J121" s="19"/>
      <c r="K121" s="19"/>
      <c r="L121" s="19"/>
      <c r="M121" s="19"/>
      <c r="N121" s="13">
        <f t="shared" si="26"/>
        <v>0</v>
      </c>
      <c r="O121" s="5"/>
      <c r="P121" s="5"/>
    </row>
    <row r="122" ht="12.75" customHeight="1">
      <c r="A122" s="18"/>
      <c r="B122" s="68"/>
      <c r="C122" s="69"/>
      <c r="D122" s="71"/>
      <c r="E122" s="40"/>
      <c r="F122" s="19"/>
      <c r="G122" s="19"/>
      <c r="H122" s="19"/>
      <c r="I122" s="19"/>
      <c r="J122" s="19"/>
      <c r="K122" s="19"/>
      <c r="L122" s="19"/>
      <c r="M122" s="19"/>
      <c r="N122" s="13">
        <f t="shared" si="26"/>
        <v>0</v>
      </c>
      <c r="O122" s="5"/>
      <c r="P122" s="5"/>
    </row>
    <row r="123" ht="12.75" customHeight="1">
      <c r="A123" s="18"/>
      <c r="B123" s="68"/>
      <c r="C123" s="69"/>
      <c r="D123" s="71"/>
      <c r="E123" s="40"/>
      <c r="F123" s="40"/>
      <c r="G123" s="40"/>
      <c r="H123" s="40"/>
      <c r="I123" s="40"/>
      <c r="J123" s="40"/>
      <c r="K123" s="40"/>
      <c r="L123" s="40"/>
      <c r="M123" s="40"/>
      <c r="N123" s="13">
        <f t="shared" si="26"/>
        <v>0</v>
      </c>
      <c r="O123" s="5"/>
      <c r="P123" s="5"/>
    </row>
    <row r="124" ht="12.75" customHeight="1">
      <c r="A124" s="18"/>
      <c r="B124" s="68"/>
      <c r="C124" s="69"/>
      <c r="D124" s="71"/>
      <c r="E124" s="40"/>
      <c r="F124" s="40"/>
      <c r="G124" s="40"/>
      <c r="H124" s="40"/>
      <c r="I124" s="40"/>
      <c r="J124" s="40"/>
      <c r="K124" s="40"/>
      <c r="L124" s="40"/>
      <c r="M124" s="40"/>
      <c r="N124" s="13">
        <f t="shared" si="26"/>
        <v>0</v>
      </c>
      <c r="O124" s="5"/>
      <c r="P124" s="5"/>
    </row>
    <row r="125" ht="12.75" customHeight="1">
      <c r="A125" s="18"/>
      <c r="B125" s="68"/>
      <c r="C125" s="69"/>
      <c r="D125" s="71"/>
      <c r="E125" s="40"/>
      <c r="F125" s="40"/>
      <c r="G125" s="40"/>
      <c r="H125" s="40"/>
      <c r="I125" s="40"/>
      <c r="J125" s="40"/>
      <c r="K125" s="40"/>
      <c r="L125" s="40"/>
      <c r="M125" s="40"/>
      <c r="N125" s="13">
        <f t="shared" si="26"/>
        <v>0</v>
      </c>
      <c r="O125" s="5"/>
      <c r="P125" s="5"/>
    </row>
    <row r="126" ht="12.75" customHeight="1">
      <c r="A126" s="18"/>
      <c r="B126" s="68"/>
      <c r="C126" s="69"/>
      <c r="D126" s="71"/>
      <c r="E126" s="40"/>
      <c r="F126" s="40"/>
      <c r="G126" s="40"/>
      <c r="H126" s="40"/>
      <c r="I126" s="40"/>
      <c r="J126" s="40"/>
      <c r="K126" s="40"/>
      <c r="L126" s="40"/>
      <c r="M126" s="40"/>
      <c r="N126" s="13">
        <f t="shared" si="26"/>
        <v>0</v>
      </c>
      <c r="O126" s="5"/>
      <c r="P126" s="5"/>
    </row>
    <row r="127" ht="15.0" customHeight="1">
      <c r="A127" s="19" t="s">
        <v>15</v>
      </c>
      <c r="B127" s="47" t="s">
        <v>47</v>
      </c>
      <c r="C127" s="15"/>
      <c r="D127" s="16"/>
      <c r="E127" s="58">
        <f t="shared" ref="E127:M127" si="27">SUM(E117:E120)</f>
        <v>2</v>
      </c>
      <c r="F127" s="58">
        <f t="shared" si="27"/>
        <v>0</v>
      </c>
      <c r="G127" s="58">
        <f t="shared" si="27"/>
        <v>0</v>
      </c>
      <c r="H127" s="58">
        <f t="shared" si="27"/>
        <v>0</v>
      </c>
      <c r="I127" s="58">
        <f t="shared" si="27"/>
        <v>1</v>
      </c>
      <c r="J127" s="58">
        <f t="shared" si="27"/>
        <v>1</v>
      </c>
      <c r="K127" s="58">
        <f t="shared" si="27"/>
        <v>1</v>
      </c>
      <c r="L127" s="58">
        <f t="shared" si="27"/>
        <v>0</v>
      </c>
      <c r="M127" s="58">
        <f t="shared" si="27"/>
        <v>0</v>
      </c>
      <c r="N127" s="13">
        <f t="shared" si="26"/>
        <v>5</v>
      </c>
      <c r="O127" s="5"/>
      <c r="P127" s="5"/>
    </row>
    <row r="128" ht="12.75" customHeight="1">
      <c r="A128" s="24"/>
      <c r="B128" s="15"/>
      <c r="C128" s="15"/>
      <c r="D128" s="15"/>
      <c r="E128" s="16"/>
      <c r="F128" s="72"/>
      <c r="G128" s="72"/>
      <c r="H128" s="72"/>
      <c r="I128" s="72"/>
      <c r="J128" s="72"/>
      <c r="K128" s="72"/>
      <c r="L128" s="72"/>
      <c r="M128" s="72"/>
      <c r="N128" s="72"/>
      <c r="O128" s="5"/>
      <c r="P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4.0</v>
      </c>
      <c r="G129" s="19">
        <v>1.0</v>
      </c>
      <c r="H129" s="19">
        <v>0.0</v>
      </c>
      <c r="I129" s="19">
        <v>0.0</v>
      </c>
      <c r="J129" s="19">
        <v>0.0</v>
      </c>
      <c r="K129" s="19">
        <v>0.0</v>
      </c>
      <c r="L129" s="19">
        <v>0.0</v>
      </c>
      <c r="M129" s="19">
        <v>0.0</v>
      </c>
      <c r="N129" s="13">
        <f t="shared" ref="N129:N139" si="28">SUM(E129:M129)</f>
        <v>5</v>
      </c>
      <c r="O129" s="5"/>
      <c r="P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1.0</v>
      </c>
      <c r="F130" s="19">
        <v>4.0</v>
      </c>
      <c r="G130" s="19">
        <v>0.0</v>
      </c>
      <c r="H130" s="19">
        <v>0.0</v>
      </c>
      <c r="I130" s="19">
        <v>0.0</v>
      </c>
      <c r="J130" s="19">
        <v>0.0</v>
      </c>
      <c r="K130" s="19">
        <v>3.0</v>
      </c>
      <c r="L130" s="19">
        <v>0.0</v>
      </c>
      <c r="M130" s="19">
        <v>0.0</v>
      </c>
      <c r="N130" s="13">
        <f t="shared" si="28"/>
        <v>8</v>
      </c>
      <c r="O130" s="1"/>
      <c r="P130" s="1"/>
    </row>
    <row r="131" ht="12.75" customHeight="1">
      <c r="A131" s="18"/>
      <c r="B131" s="55">
        <v>2.0</v>
      </c>
      <c r="C131" s="50" t="s">
        <v>98</v>
      </c>
      <c r="D131" s="56"/>
      <c r="E131" s="19">
        <v>0.0</v>
      </c>
      <c r="F131" s="19">
        <v>0.0</v>
      </c>
      <c r="G131" s="19">
        <v>0.0</v>
      </c>
      <c r="H131" s="19">
        <v>1.0</v>
      </c>
      <c r="I131" s="19">
        <v>0.0</v>
      </c>
      <c r="J131" s="19">
        <v>0.0</v>
      </c>
      <c r="K131" s="19">
        <v>0.0</v>
      </c>
      <c r="L131" s="19">
        <v>0.0</v>
      </c>
      <c r="M131" s="19">
        <v>1.0</v>
      </c>
      <c r="N131" s="13">
        <f t="shared" si="28"/>
        <v>2</v>
      </c>
      <c r="O131" s="52"/>
      <c r="P131" s="52"/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3">
        <f t="shared" si="28"/>
        <v>0</v>
      </c>
      <c r="O132" s="5"/>
      <c r="P132" s="5"/>
    </row>
    <row r="133" ht="12.75" customHeight="1">
      <c r="A133" s="18"/>
      <c r="B133" s="55">
        <v>4.0</v>
      </c>
      <c r="C133" s="50" t="s">
        <v>100</v>
      </c>
      <c r="D133" s="56"/>
      <c r="E133" s="19">
        <v>0.0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3">
        <f t="shared" si="28"/>
        <v>0</v>
      </c>
      <c r="O133" s="5"/>
      <c r="P133" s="5"/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3">
        <f t="shared" si="28"/>
        <v>0</v>
      </c>
      <c r="O134" s="5"/>
      <c r="P134" s="5"/>
    </row>
    <row r="135" ht="12.75" customHeight="1">
      <c r="A135" s="18"/>
      <c r="B135" s="55">
        <v>6.0</v>
      </c>
      <c r="C135" s="50" t="s">
        <v>102</v>
      </c>
      <c r="D135" s="57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0.0</v>
      </c>
      <c r="K135" s="19">
        <v>0.0</v>
      </c>
      <c r="L135" s="19">
        <v>0.0</v>
      </c>
      <c r="M135" s="19">
        <v>0.0</v>
      </c>
      <c r="N135" s="13">
        <f t="shared" si="28"/>
        <v>0</v>
      </c>
      <c r="O135" s="5"/>
      <c r="P135" s="5"/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3">
        <f t="shared" si="28"/>
        <v>0</v>
      </c>
      <c r="O136" s="5"/>
      <c r="P136" s="5"/>
    </row>
    <row r="137" ht="12.75" customHeight="1">
      <c r="A137" s="18"/>
      <c r="B137" s="68"/>
      <c r="C137" s="69"/>
      <c r="D137" s="70"/>
      <c r="E137" s="19"/>
      <c r="F137" s="19"/>
      <c r="G137" s="19"/>
      <c r="H137" s="19"/>
      <c r="I137" s="19"/>
      <c r="J137" s="19"/>
      <c r="K137" s="19"/>
      <c r="L137" s="19"/>
      <c r="M137" s="19"/>
      <c r="N137" s="13">
        <f t="shared" si="28"/>
        <v>0</v>
      </c>
      <c r="O137" s="5"/>
      <c r="P137" s="5"/>
    </row>
    <row r="138" ht="12.75" customHeight="1">
      <c r="A138" s="18"/>
      <c r="B138" s="68"/>
      <c r="C138" s="69"/>
      <c r="D138" s="70"/>
      <c r="E138" s="19"/>
      <c r="F138" s="19"/>
      <c r="G138" s="19"/>
      <c r="H138" s="19"/>
      <c r="I138" s="19"/>
      <c r="J138" s="19"/>
      <c r="K138" s="19"/>
      <c r="L138" s="19"/>
      <c r="M138" s="19"/>
      <c r="N138" s="13">
        <f t="shared" si="28"/>
        <v>0</v>
      </c>
      <c r="O138" s="5"/>
      <c r="P138" s="5"/>
    </row>
    <row r="139" ht="15.0" customHeight="1">
      <c r="A139" s="19" t="s">
        <v>15</v>
      </c>
      <c r="B139" s="47" t="s">
        <v>47</v>
      </c>
      <c r="C139" s="15"/>
      <c r="D139" s="16"/>
      <c r="E139" s="13">
        <f t="shared" ref="E139:M139" si="29">SUM(E129:E136)</f>
        <v>1</v>
      </c>
      <c r="F139" s="13">
        <f t="shared" si="29"/>
        <v>8</v>
      </c>
      <c r="G139" s="13">
        <f t="shared" si="29"/>
        <v>1</v>
      </c>
      <c r="H139" s="13">
        <f t="shared" si="29"/>
        <v>1</v>
      </c>
      <c r="I139" s="13">
        <f t="shared" si="29"/>
        <v>0</v>
      </c>
      <c r="J139" s="13">
        <f t="shared" si="29"/>
        <v>0</v>
      </c>
      <c r="K139" s="13">
        <f t="shared" si="29"/>
        <v>3</v>
      </c>
      <c r="L139" s="13">
        <f t="shared" si="29"/>
        <v>0</v>
      </c>
      <c r="M139" s="13">
        <f t="shared" si="29"/>
        <v>1</v>
      </c>
      <c r="N139" s="13">
        <f t="shared" si="28"/>
        <v>15</v>
      </c>
      <c r="O139" s="5"/>
      <c r="P139" s="5"/>
    </row>
    <row r="140" ht="12.75" customHeight="1">
      <c r="A140" s="24"/>
      <c r="B140" s="15"/>
      <c r="C140" s="15"/>
      <c r="D140" s="15"/>
      <c r="E140" s="16"/>
      <c r="F140" s="72"/>
      <c r="G140" s="72"/>
      <c r="H140" s="72"/>
      <c r="I140" s="72"/>
      <c r="J140" s="72"/>
      <c r="K140" s="72"/>
      <c r="L140" s="72"/>
      <c r="M140" s="72"/>
      <c r="N140" s="72"/>
      <c r="O140" s="5"/>
      <c r="P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3">
        <f t="shared" ref="N141:N151" si="30">SUM(E141:M141)</f>
        <v>0</v>
      </c>
      <c r="O141" s="1"/>
      <c r="P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3">
        <f t="shared" si="30"/>
        <v>0</v>
      </c>
      <c r="O142" s="52"/>
      <c r="P142" s="52"/>
    </row>
    <row r="143" ht="12.75" customHeight="1">
      <c r="A143" s="18"/>
      <c r="B143" s="55">
        <v>2.0</v>
      </c>
      <c r="C143" s="50" t="s">
        <v>107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3">
        <f t="shared" si="30"/>
        <v>0</v>
      </c>
      <c r="O143" s="5"/>
      <c r="P143" s="5"/>
    </row>
    <row r="144" ht="12.75" customHeight="1">
      <c r="A144" s="18"/>
      <c r="B144" s="55">
        <v>3.0</v>
      </c>
      <c r="C144" s="50" t="s">
        <v>108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3">
        <f t="shared" si="30"/>
        <v>0</v>
      </c>
      <c r="O144" s="5"/>
      <c r="P144" s="5"/>
    </row>
    <row r="145" ht="12.75" customHeight="1">
      <c r="A145" s="18"/>
      <c r="B145" s="55">
        <v>4.0</v>
      </c>
      <c r="C145" s="50" t="s">
        <v>109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3">
        <f t="shared" si="30"/>
        <v>0</v>
      </c>
      <c r="O145" s="5"/>
      <c r="P145" s="5"/>
    </row>
    <row r="146" ht="12.75" customHeight="1">
      <c r="A146" s="18"/>
      <c r="B146" s="55">
        <v>5.0</v>
      </c>
      <c r="C146" s="50" t="s">
        <v>110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3">
        <f t="shared" si="30"/>
        <v>0</v>
      </c>
      <c r="O146" s="5"/>
      <c r="P146" s="5"/>
    </row>
    <row r="147" ht="12.75" customHeight="1">
      <c r="A147" s="18"/>
      <c r="B147" s="55">
        <v>6.0</v>
      </c>
      <c r="C147" s="50" t="s">
        <v>111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3">
        <f t="shared" si="30"/>
        <v>0</v>
      </c>
      <c r="O147" s="5"/>
      <c r="P147" s="5"/>
    </row>
    <row r="148" ht="12.75" customHeight="1">
      <c r="A148" s="18"/>
      <c r="B148" s="55">
        <v>7.0</v>
      </c>
      <c r="C148" s="50" t="s">
        <v>112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3">
        <f t="shared" si="30"/>
        <v>0</v>
      </c>
      <c r="O148" s="5"/>
      <c r="P148" s="5"/>
    </row>
    <row r="149" ht="12.75" customHeight="1">
      <c r="A149" s="18"/>
      <c r="B149" s="68"/>
      <c r="C149" s="69"/>
      <c r="D149" s="71"/>
      <c r="E149" s="19"/>
      <c r="F149" s="19"/>
      <c r="G149" s="19"/>
      <c r="H149" s="19"/>
      <c r="I149" s="19"/>
      <c r="J149" s="19"/>
      <c r="K149" s="19"/>
      <c r="L149" s="19"/>
      <c r="M149" s="19"/>
      <c r="N149" s="13">
        <f t="shared" si="30"/>
        <v>0</v>
      </c>
      <c r="O149" s="5"/>
      <c r="P149" s="5"/>
    </row>
    <row r="150" ht="12.75" customHeight="1">
      <c r="A150" s="18"/>
      <c r="B150" s="68"/>
      <c r="C150" s="69"/>
      <c r="D150" s="71"/>
      <c r="E150" s="19"/>
      <c r="F150" s="19"/>
      <c r="G150" s="19"/>
      <c r="H150" s="19"/>
      <c r="I150" s="19"/>
      <c r="J150" s="19"/>
      <c r="K150" s="19"/>
      <c r="L150" s="19"/>
      <c r="M150" s="19"/>
      <c r="N150" s="13">
        <f t="shared" si="30"/>
        <v>0</v>
      </c>
      <c r="O150" s="5"/>
      <c r="P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M151" si="31">SUM(E141:E148)</f>
        <v>0</v>
      </c>
      <c r="F151" s="13">
        <f t="shared" si="31"/>
        <v>0</v>
      </c>
      <c r="G151" s="13">
        <f t="shared" si="31"/>
        <v>0</v>
      </c>
      <c r="H151" s="13">
        <f t="shared" si="31"/>
        <v>0</v>
      </c>
      <c r="I151" s="13">
        <f t="shared" si="31"/>
        <v>0</v>
      </c>
      <c r="J151" s="13">
        <f t="shared" si="31"/>
        <v>0</v>
      </c>
      <c r="K151" s="13">
        <f t="shared" si="31"/>
        <v>0</v>
      </c>
      <c r="L151" s="13">
        <f t="shared" si="31"/>
        <v>0</v>
      </c>
      <c r="M151" s="13">
        <f t="shared" si="31"/>
        <v>0</v>
      </c>
      <c r="N151" s="13">
        <f t="shared" si="30"/>
        <v>0</v>
      </c>
      <c r="O151" s="1"/>
      <c r="P151" s="1"/>
    </row>
    <row r="152" ht="12.75" customHeight="1">
      <c r="A152" s="24"/>
      <c r="B152" s="15"/>
      <c r="C152" s="15"/>
      <c r="D152" s="15"/>
      <c r="E152" s="16"/>
      <c r="F152" s="72"/>
      <c r="G152" s="72"/>
      <c r="H152" s="72"/>
      <c r="I152" s="72"/>
      <c r="J152" s="72"/>
      <c r="K152" s="72"/>
      <c r="L152" s="72"/>
      <c r="M152" s="72"/>
      <c r="N152" s="13"/>
      <c r="O152" s="52"/>
      <c r="P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0.0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0.0</v>
      </c>
      <c r="L153" s="19">
        <v>0.0</v>
      </c>
      <c r="M153" s="19">
        <v>1.0</v>
      </c>
      <c r="N153" s="13">
        <f t="shared" ref="N153:N163" si="32">sum(E153:M153)</f>
        <v>1</v>
      </c>
      <c r="O153" s="5"/>
      <c r="P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0.0</v>
      </c>
      <c r="F154" s="19">
        <v>0.0</v>
      </c>
      <c r="G154" s="19">
        <v>0.0</v>
      </c>
      <c r="H154" s="19">
        <v>0.0</v>
      </c>
      <c r="I154" s="19">
        <v>1.0</v>
      </c>
      <c r="J154" s="19">
        <v>0.0</v>
      </c>
      <c r="K154" s="19">
        <v>0.0</v>
      </c>
      <c r="L154" s="19">
        <v>0.0</v>
      </c>
      <c r="M154" s="19">
        <v>0.0</v>
      </c>
      <c r="N154" s="13">
        <f t="shared" si="32"/>
        <v>1</v>
      </c>
      <c r="O154" s="5"/>
      <c r="P154" s="5"/>
    </row>
    <row r="155" ht="12.75" customHeight="1">
      <c r="A155" s="18"/>
      <c r="B155" s="55">
        <v>2.0</v>
      </c>
      <c r="C155" s="59" t="s">
        <v>116</v>
      </c>
      <c r="D155" s="57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0.0</v>
      </c>
      <c r="K155" s="19">
        <v>1.0</v>
      </c>
      <c r="L155" s="19">
        <v>0.0</v>
      </c>
      <c r="M155" s="19">
        <v>0.0</v>
      </c>
      <c r="N155" s="13">
        <f t="shared" si="32"/>
        <v>1</v>
      </c>
      <c r="O155" s="5"/>
      <c r="P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3">
        <f t="shared" si="32"/>
        <v>0</v>
      </c>
      <c r="O156" s="5"/>
      <c r="P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3">
        <f t="shared" si="32"/>
        <v>0</v>
      </c>
      <c r="O157" s="5"/>
      <c r="P157" s="5"/>
    </row>
    <row r="158" ht="12.75" customHeight="1">
      <c r="A158" s="18"/>
      <c r="B158" s="68"/>
      <c r="C158" s="73"/>
      <c r="D158" s="71"/>
      <c r="E158" s="19"/>
      <c r="F158" s="19"/>
      <c r="G158" s="19"/>
      <c r="H158" s="19"/>
      <c r="I158" s="19"/>
      <c r="J158" s="19"/>
      <c r="K158" s="19"/>
      <c r="L158" s="19"/>
      <c r="M158" s="19"/>
      <c r="N158" s="13">
        <f t="shared" si="32"/>
        <v>0</v>
      </c>
      <c r="O158" s="5"/>
      <c r="P158" s="5"/>
    </row>
    <row r="159" ht="12.75" customHeight="1">
      <c r="A159" s="18"/>
      <c r="B159" s="68"/>
      <c r="C159" s="73"/>
      <c r="D159" s="71"/>
      <c r="E159" s="19"/>
      <c r="F159" s="19"/>
      <c r="G159" s="19"/>
      <c r="H159" s="19"/>
      <c r="I159" s="19"/>
      <c r="J159" s="19"/>
      <c r="K159" s="19"/>
      <c r="L159" s="19"/>
      <c r="M159" s="19"/>
      <c r="N159" s="13">
        <f t="shared" si="32"/>
        <v>0</v>
      </c>
      <c r="O159" s="5"/>
      <c r="P159" s="5"/>
    </row>
    <row r="160" ht="12.75" customHeight="1">
      <c r="A160" s="18"/>
      <c r="B160" s="68"/>
      <c r="C160" s="73"/>
      <c r="D160" s="71"/>
      <c r="E160" s="19"/>
      <c r="F160" s="19"/>
      <c r="G160" s="19"/>
      <c r="H160" s="19"/>
      <c r="I160" s="19"/>
      <c r="J160" s="19"/>
      <c r="K160" s="19"/>
      <c r="L160" s="19"/>
      <c r="M160" s="19"/>
      <c r="N160" s="13">
        <f t="shared" si="32"/>
        <v>0</v>
      </c>
      <c r="O160" s="5"/>
      <c r="P160" s="5"/>
    </row>
    <row r="161" ht="12.75" customHeight="1">
      <c r="A161" s="18"/>
      <c r="B161" s="68"/>
      <c r="C161" s="73"/>
      <c r="D161" s="71"/>
      <c r="E161" s="19"/>
      <c r="F161" s="19"/>
      <c r="G161" s="19"/>
      <c r="H161" s="19"/>
      <c r="I161" s="19"/>
      <c r="J161" s="19"/>
      <c r="K161" s="19"/>
      <c r="L161" s="19"/>
      <c r="M161" s="19"/>
      <c r="N161" s="13">
        <f t="shared" si="32"/>
        <v>0</v>
      </c>
      <c r="O161" s="5"/>
      <c r="P161" s="5"/>
    </row>
    <row r="162" ht="12.75" customHeight="1">
      <c r="A162" s="18"/>
      <c r="B162" s="68"/>
      <c r="C162" s="73"/>
      <c r="D162" s="71"/>
      <c r="E162" s="19"/>
      <c r="F162" s="19"/>
      <c r="G162" s="19"/>
      <c r="H162" s="19"/>
      <c r="I162" s="19"/>
      <c r="J162" s="19"/>
      <c r="K162" s="19"/>
      <c r="L162" s="19"/>
      <c r="M162" s="19"/>
      <c r="N162" s="13">
        <f t="shared" si="32"/>
        <v>0</v>
      </c>
      <c r="O162" s="5"/>
      <c r="P162" s="5"/>
    </row>
    <row r="163" ht="15.0" customHeight="1">
      <c r="A163" s="19" t="s">
        <v>15</v>
      </c>
      <c r="B163" s="47" t="s">
        <v>47</v>
      </c>
      <c r="C163" s="15"/>
      <c r="D163" s="16"/>
      <c r="E163" s="13">
        <f t="shared" ref="E163:M163" si="33">SUM(E153:E157)</f>
        <v>0</v>
      </c>
      <c r="F163" s="13">
        <f t="shared" si="33"/>
        <v>0</v>
      </c>
      <c r="G163" s="13">
        <f t="shared" si="33"/>
        <v>0</v>
      </c>
      <c r="H163" s="13">
        <f t="shared" si="33"/>
        <v>0</v>
      </c>
      <c r="I163" s="13">
        <f t="shared" si="33"/>
        <v>1</v>
      </c>
      <c r="J163" s="13">
        <f t="shared" si="33"/>
        <v>0</v>
      </c>
      <c r="K163" s="13">
        <f t="shared" si="33"/>
        <v>1</v>
      </c>
      <c r="L163" s="13">
        <f t="shared" si="33"/>
        <v>0</v>
      </c>
      <c r="M163" s="13">
        <f t="shared" si="33"/>
        <v>1</v>
      </c>
      <c r="N163" s="13">
        <f t="shared" si="32"/>
        <v>3</v>
      </c>
      <c r="O163" s="5"/>
      <c r="P163" s="5"/>
    </row>
    <row r="164" ht="12.75" customHeight="1">
      <c r="A164" s="24"/>
      <c r="B164" s="15"/>
      <c r="C164" s="15"/>
      <c r="D164" s="15"/>
      <c r="E164" s="16"/>
      <c r="F164" s="72"/>
      <c r="G164" s="72"/>
      <c r="H164" s="72"/>
      <c r="I164" s="72"/>
      <c r="J164" s="72"/>
      <c r="K164" s="72"/>
      <c r="L164" s="72"/>
      <c r="M164" s="72"/>
      <c r="N164" s="72"/>
      <c r="O164" s="5"/>
      <c r="P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1.0</v>
      </c>
      <c r="M165" s="19">
        <v>0.0</v>
      </c>
      <c r="N165" s="13">
        <f t="shared" ref="N165:N175" si="34">SUM(E165:M165)</f>
        <v>1</v>
      </c>
      <c r="O165" s="1"/>
      <c r="P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0.0</v>
      </c>
      <c r="F166" s="19">
        <v>0.0</v>
      </c>
      <c r="G166" s="19">
        <v>0.0</v>
      </c>
      <c r="H166" s="19">
        <v>1.0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3">
        <f t="shared" si="34"/>
        <v>1</v>
      </c>
      <c r="O166" s="52"/>
      <c r="P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1.0</v>
      </c>
      <c r="F167" s="19">
        <v>0.0</v>
      </c>
      <c r="G167" s="19">
        <v>0.0</v>
      </c>
      <c r="H167" s="19">
        <v>0.0</v>
      </c>
      <c r="I167" s="19">
        <v>1.0</v>
      </c>
      <c r="J167" s="19">
        <v>0.0</v>
      </c>
      <c r="K167" s="19">
        <v>0.0</v>
      </c>
      <c r="L167" s="19">
        <v>0.0</v>
      </c>
      <c r="M167" s="19">
        <v>0.0</v>
      </c>
      <c r="N167" s="13">
        <f t="shared" si="34"/>
        <v>2</v>
      </c>
      <c r="O167" s="5"/>
      <c r="P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0.0</v>
      </c>
      <c r="G168" s="19">
        <v>0.0</v>
      </c>
      <c r="H168" s="19">
        <v>1.0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3">
        <f t="shared" si="34"/>
        <v>1</v>
      </c>
      <c r="O168" s="5"/>
      <c r="P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3">
        <f t="shared" si="34"/>
        <v>0</v>
      </c>
      <c r="O169" s="5"/>
      <c r="P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3">
        <f t="shared" si="34"/>
        <v>0</v>
      </c>
      <c r="O170" s="5"/>
      <c r="P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3">
        <f t="shared" si="34"/>
        <v>0</v>
      </c>
      <c r="O171" s="5"/>
      <c r="P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3">
        <f t="shared" si="34"/>
        <v>0</v>
      </c>
      <c r="O172" s="5"/>
      <c r="P172" s="5"/>
    </row>
    <row r="173" ht="12.75" customHeight="1">
      <c r="A173" s="18"/>
      <c r="B173" s="68"/>
      <c r="C173" s="69"/>
      <c r="D173" s="71"/>
      <c r="E173" s="19"/>
      <c r="F173" s="19"/>
      <c r="G173" s="19"/>
      <c r="H173" s="19"/>
      <c r="I173" s="19"/>
      <c r="J173" s="19"/>
      <c r="K173" s="19"/>
      <c r="L173" s="19"/>
      <c r="M173" s="19"/>
      <c r="N173" s="13">
        <f t="shared" si="34"/>
        <v>0</v>
      </c>
      <c r="O173" s="5"/>
      <c r="P173" s="5"/>
    </row>
    <row r="174" ht="12.75" customHeight="1">
      <c r="A174" s="18"/>
      <c r="B174" s="68"/>
      <c r="C174" s="69"/>
      <c r="D174" s="71"/>
      <c r="E174" s="19"/>
      <c r="F174" s="19"/>
      <c r="G174" s="19"/>
      <c r="H174" s="19"/>
      <c r="I174" s="19"/>
      <c r="J174" s="19"/>
      <c r="K174" s="19"/>
      <c r="L174" s="19"/>
      <c r="M174" s="19"/>
      <c r="N174" s="13">
        <f t="shared" si="34"/>
        <v>0</v>
      </c>
      <c r="O174" s="5"/>
      <c r="P174" s="5"/>
    </row>
    <row r="175" ht="15.0" customHeight="1">
      <c r="A175" s="19" t="s">
        <v>15</v>
      </c>
      <c r="B175" s="47" t="s">
        <v>47</v>
      </c>
      <c r="C175" s="15"/>
      <c r="D175" s="16"/>
      <c r="E175" s="13">
        <f t="shared" ref="E175:M175" si="35">SUM(E165:E172)</f>
        <v>1</v>
      </c>
      <c r="F175" s="13">
        <f t="shared" si="35"/>
        <v>0</v>
      </c>
      <c r="G175" s="13">
        <f t="shared" si="35"/>
        <v>0</v>
      </c>
      <c r="H175" s="13">
        <f t="shared" si="35"/>
        <v>2</v>
      </c>
      <c r="I175" s="13">
        <f t="shared" si="35"/>
        <v>1</v>
      </c>
      <c r="J175" s="13">
        <f t="shared" si="35"/>
        <v>0</v>
      </c>
      <c r="K175" s="13">
        <f t="shared" si="35"/>
        <v>0</v>
      </c>
      <c r="L175" s="13">
        <f t="shared" si="35"/>
        <v>1</v>
      </c>
      <c r="M175" s="13">
        <f t="shared" si="35"/>
        <v>0</v>
      </c>
      <c r="N175" s="13">
        <f t="shared" si="34"/>
        <v>5</v>
      </c>
      <c r="O175" s="5"/>
      <c r="P175" s="5"/>
    </row>
    <row r="176" ht="12.75" customHeight="1">
      <c r="A176" s="24"/>
      <c r="B176" s="15"/>
      <c r="C176" s="15"/>
      <c r="D176" s="15"/>
      <c r="E176" s="16"/>
      <c r="F176" s="72"/>
      <c r="G176" s="72"/>
      <c r="H176" s="72"/>
      <c r="I176" s="72"/>
      <c r="J176" s="72"/>
      <c r="K176" s="72"/>
      <c r="L176" s="72"/>
      <c r="M176" s="72"/>
      <c r="N176" s="72"/>
      <c r="O176" s="1"/>
      <c r="P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0.0</v>
      </c>
      <c r="G177" s="19">
        <v>0.0</v>
      </c>
      <c r="H177" s="19">
        <v>1.0</v>
      </c>
      <c r="I177" s="19">
        <v>0.0</v>
      </c>
      <c r="J177" s="19">
        <v>1.0</v>
      </c>
      <c r="K177" s="19">
        <v>0.0</v>
      </c>
      <c r="L177" s="19">
        <v>0.0</v>
      </c>
      <c r="M177" s="19">
        <v>0.0</v>
      </c>
      <c r="N177" s="13">
        <f t="shared" ref="N177:N187" si="36">SUM(E177:M177)</f>
        <v>2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1.0</v>
      </c>
      <c r="F178" s="19">
        <v>0.0</v>
      </c>
      <c r="G178" s="19">
        <v>0.0</v>
      </c>
      <c r="H178" s="19">
        <v>1.0</v>
      </c>
      <c r="I178" s="19">
        <v>0.0</v>
      </c>
      <c r="J178" s="19">
        <v>0.0</v>
      </c>
      <c r="K178" s="19">
        <v>1.0</v>
      </c>
      <c r="L178" s="19">
        <v>0.0</v>
      </c>
      <c r="M178" s="19">
        <v>0.0</v>
      </c>
      <c r="N178" s="13">
        <f t="shared" si="36"/>
        <v>3</v>
      </c>
      <c r="O178" s="5"/>
      <c r="P178" s="5"/>
    </row>
    <row r="179" ht="12.75" customHeight="1">
      <c r="A179" s="18"/>
      <c r="B179" s="55">
        <v>2.0</v>
      </c>
      <c r="C179" s="50" t="s">
        <v>131</v>
      </c>
      <c r="D179" s="57"/>
      <c r="E179" s="19">
        <v>0.0</v>
      </c>
      <c r="F179" s="19">
        <v>0.0</v>
      </c>
      <c r="G179" s="19">
        <v>0.0</v>
      </c>
      <c r="H179" s="19">
        <v>0.0</v>
      </c>
      <c r="I179" s="19">
        <v>1.0</v>
      </c>
      <c r="J179" s="19">
        <v>0.0</v>
      </c>
      <c r="K179" s="19">
        <v>0.0</v>
      </c>
      <c r="L179" s="19">
        <v>0.0</v>
      </c>
      <c r="M179" s="19">
        <v>0.0</v>
      </c>
      <c r="N179" s="13">
        <f t="shared" si="36"/>
        <v>1</v>
      </c>
      <c r="O179" s="5"/>
      <c r="P179" s="5"/>
    </row>
    <row r="180" ht="12.75" customHeight="1">
      <c r="A180" s="18"/>
      <c r="B180" s="55">
        <v>3.0</v>
      </c>
      <c r="C180" s="50" t="s">
        <v>132</v>
      </c>
      <c r="D180" s="57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3">
        <f t="shared" si="36"/>
        <v>0</v>
      </c>
      <c r="O180" s="5"/>
      <c r="P180" s="5"/>
    </row>
    <row r="181" ht="12.75" customHeight="1">
      <c r="A181" s="18"/>
      <c r="B181" s="55">
        <v>4.0</v>
      </c>
      <c r="C181" s="50" t="s">
        <v>133</v>
      </c>
      <c r="D181" s="57"/>
      <c r="E181" s="19">
        <v>0.0</v>
      </c>
      <c r="F181" s="19">
        <v>0.0</v>
      </c>
      <c r="G181" s="19">
        <v>0.0</v>
      </c>
      <c r="H181" s="19">
        <v>1.0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3">
        <f t="shared" si="36"/>
        <v>1</v>
      </c>
      <c r="O181" s="5"/>
      <c r="P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3">
        <f t="shared" si="36"/>
        <v>0</v>
      </c>
      <c r="O182" s="5"/>
      <c r="P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3">
        <f t="shared" si="36"/>
        <v>0</v>
      </c>
      <c r="O183" s="5"/>
      <c r="P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3">
        <f t="shared" si="36"/>
        <v>0</v>
      </c>
      <c r="O184" s="5"/>
      <c r="P184" s="5"/>
    </row>
    <row r="185" ht="12.75" customHeight="1">
      <c r="A185" s="18"/>
      <c r="B185" s="68"/>
      <c r="C185" s="69"/>
      <c r="D185" s="71"/>
      <c r="E185" s="19"/>
      <c r="F185" s="19"/>
      <c r="G185" s="19"/>
      <c r="H185" s="19"/>
      <c r="I185" s="19"/>
      <c r="J185" s="19"/>
      <c r="K185" s="19"/>
      <c r="L185" s="19"/>
      <c r="M185" s="19"/>
      <c r="N185" s="13">
        <f t="shared" si="36"/>
        <v>0</v>
      </c>
      <c r="O185" s="5"/>
      <c r="P185" s="5"/>
    </row>
    <row r="186" ht="12.75" customHeight="1">
      <c r="A186" s="18"/>
      <c r="B186" s="68"/>
      <c r="C186" s="69"/>
      <c r="D186" s="71"/>
      <c r="E186" s="19"/>
      <c r="F186" s="19"/>
      <c r="G186" s="19"/>
      <c r="H186" s="19"/>
      <c r="I186" s="19"/>
      <c r="J186" s="19"/>
      <c r="K186" s="19"/>
      <c r="L186" s="19"/>
      <c r="M186" s="19"/>
      <c r="N186" s="13">
        <f t="shared" si="36"/>
        <v>0</v>
      </c>
      <c r="O186" s="5"/>
      <c r="P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M187" si="37">SUM(E177:E184)</f>
        <v>1</v>
      </c>
      <c r="F187" s="13">
        <f t="shared" si="37"/>
        <v>0</v>
      </c>
      <c r="G187" s="13">
        <f t="shared" si="37"/>
        <v>0</v>
      </c>
      <c r="H187" s="13">
        <f t="shared" si="37"/>
        <v>3</v>
      </c>
      <c r="I187" s="13">
        <f t="shared" si="37"/>
        <v>1</v>
      </c>
      <c r="J187" s="13">
        <f t="shared" si="37"/>
        <v>1</v>
      </c>
      <c r="K187" s="13">
        <f t="shared" si="37"/>
        <v>1</v>
      </c>
      <c r="L187" s="13">
        <f t="shared" si="37"/>
        <v>0</v>
      </c>
      <c r="M187" s="13">
        <f t="shared" si="37"/>
        <v>0</v>
      </c>
      <c r="N187" s="13">
        <f t="shared" si="36"/>
        <v>7</v>
      </c>
      <c r="O187" s="1"/>
      <c r="P187" s="1"/>
    </row>
    <row r="188" ht="12.75" customHeight="1">
      <c r="A188" s="24"/>
      <c r="B188" s="15"/>
      <c r="C188" s="15"/>
      <c r="D188" s="15"/>
      <c r="E188" s="16"/>
      <c r="F188" s="72"/>
      <c r="G188" s="72"/>
      <c r="H188" s="72"/>
      <c r="I188" s="72"/>
      <c r="J188" s="72"/>
      <c r="K188" s="72"/>
      <c r="L188" s="72"/>
      <c r="M188" s="72"/>
      <c r="N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1.0</v>
      </c>
      <c r="F189" s="19">
        <v>0.0</v>
      </c>
      <c r="G189" s="19">
        <v>0.0</v>
      </c>
      <c r="H189" s="19">
        <v>1.0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3">
        <f t="shared" ref="N189:N199" si="38">SUM(E189:M189)</f>
        <v>2</v>
      </c>
      <c r="O189" s="5"/>
      <c r="P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3">
        <f t="shared" si="38"/>
        <v>0</v>
      </c>
      <c r="O190" s="5"/>
      <c r="P190" s="5"/>
    </row>
    <row r="191" ht="12.75" customHeight="1">
      <c r="A191" s="18"/>
      <c r="B191" s="55">
        <v>2.0</v>
      </c>
      <c r="C191" s="50" t="s">
        <v>140</v>
      </c>
      <c r="D191" s="57"/>
      <c r="E191" s="19">
        <v>0.0</v>
      </c>
      <c r="F191" s="19">
        <v>0.0</v>
      </c>
      <c r="G191" s="19">
        <v>2.0</v>
      </c>
      <c r="H191" s="19">
        <v>2.0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3">
        <f t="shared" si="38"/>
        <v>4</v>
      </c>
      <c r="O191" s="5"/>
      <c r="P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3">
        <f t="shared" si="38"/>
        <v>0</v>
      </c>
      <c r="O192" s="5"/>
      <c r="P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3">
        <f t="shared" si="38"/>
        <v>0</v>
      </c>
      <c r="O193" s="5"/>
      <c r="P193" s="5"/>
    </row>
    <row r="194" ht="12.75" customHeight="1">
      <c r="A194" s="18"/>
      <c r="B194" s="55">
        <v>5.0</v>
      </c>
      <c r="C194" s="50" t="s">
        <v>143</v>
      </c>
      <c r="D194" s="57"/>
      <c r="E194" s="19">
        <v>1.0</v>
      </c>
      <c r="F194" s="19">
        <v>1.0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3">
        <f t="shared" si="38"/>
        <v>2</v>
      </c>
      <c r="O194" s="5"/>
      <c r="P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3">
        <f t="shared" si="38"/>
        <v>0</v>
      </c>
      <c r="O195" s="5"/>
      <c r="P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3">
        <f t="shared" si="38"/>
        <v>0</v>
      </c>
      <c r="O196" s="1"/>
      <c r="P196" s="1"/>
    </row>
    <row r="197" ht="12.75" customHeight="1">
      <c r="A197" s="18"/>
      <c r="B197" s="68"/>
      <c r="C197" s="69"/>
      <c r="D197" s="71"/>
      <c r="E197" s="19"/>
      <c r="F197" s="19"/>
      <c r="G197" s="19"/>
      <c r="H197" s="19"/>
      <c r="I197" s="19"/>
      <c r="J197" s="19"/>
      <c r="K197" s="19"/>
      <c r="L197" s="19"/>
      <c r="M197" s="19"/>
      <c r="N197" s="13">
        <f t="shared" si="38"/>
        <v>0</v>
      </c>
      <c r="O197" s="1"/>
      <c r="P197" s="1"/>
    </row>
    <row r="198" ht="12.75" customHeight="1">
      <c r="A198" s="18"/>
      <c r="B198" s="68"/>
      <c r="C198" s="69"/>
      <c r="D198" s="71"/>
      <c r="E198" s="19"/>
      <c r="F198" s="19"/>
      <c r="G198" s="19"/>
      <c r="H198" s="19"/>
      <c r="I198" s="19"/>
      <c r="J198" s="19"/>
      <c r="K198" s="19"/>
      <c r="L198" s="19"/>
      <c r="M198" s="19"/>
      <c r="N198" s="13">
        <f t="shared" si="38"/>
        <v>0</v>
      </c>
      <c r="O198" s="1"/>
      <c r="P198" s="1"/>
    </row>
    <row r="199" ht="15.0" customHeight="1">
      <c r="A199" s="19" t="s">
        <v>15</v>
      </c>
      <c r="B199" s="47" t="s">
        <v>47</v>
      </c>
      <c r="C199" s="15"/>
      <c r="D199" s="16"/>
      <c r="E199" s="13">
        <f t="shared" ref="E199:M199" si="39">SUM(E189:E196)</f>
        <v>2</v>
      </c>
      <c r="F199" s="13">
        <f t="shared" si="39"/>
        <v>1</v>
      </c>
      <c r="G199" s="13">
        <f t="shared" si="39"/>
        <v>2</v>
      </c>
      <c r="H199" s="13">
        <f t="shared" si="39"/>
        <v>3</v>
      </c>
      <c r="I199" s="13">
        <f t="shared" si="39"/>
        <v>0</v>
      </c>
      <c r="J199" s="13">
        <f t="shared" si="39"/>
        <v>0</v>
      </c>
      <c r="K199" s="13">
        <f t="shared" si="39"/>
        <v>0</v>
      </c>
      <c r="L199" s="13">
        <f t="shared" si="39"/>
        <v>0</v>
      </c>
      <c r="M199" s="13">
        <f t="shared" si="39"/>
        <v>0</v>
      </c>
      <c r="N199" s="13">
        <f t="shared" si="38"/>
        <v>8</v>
      </c>
      <c r="O199" s="52"/>
      <c r="P199" s="52"/>
    </row>
    <row r="200" ht="12.75" customHeight="1">
      <c r="A200" s="24"/>
      <c r="B200" s="15"/>
      <c r="C200" s="15"/>
      <c r="D200" s="15"/>
      <c r="E200" s="16"/>
      <c r="F200" s="72"/>
      <c r="G200" s="72"/>
      <c r="H200" s="72"/>
      <c r="I200" s="72"/>
      <c r="J200" s="72"/>
      <c r="K200" s="72"/>
      <c r="L200" s="72"/>
      <c r="M200" s="72"/>
      <c r="N200" s="72"/>
      <c r="O200" s="5"/>
      <c r="P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0.0</v>
      </c>
      <c r="F201" s="19">
        <v>0.0</v>
      </c>
      <c r="G201" s="19">
        <v>2.0</v>
      </c>
      <c r="H201" s="19">
        <v>3.0</v>
      </c>
      <c r="I201" s="19">
        <v>2.0</v>
      </c>
      <c r="J201" s="19">
        <v>5.0</v>
      </c>
      <c r="K201" s="19">
        <v>0.0</v>
      </c>
      <c r="L201" s="19">
        <v>1.0</v>
      </c>
      <c r="M201" s="19">
        <v>1.0</v>
      </c>
      <c r="N201" s="13">
        <f t="shared" ref="N201:N211" si="40">SUM(E201:M201)</f>
        <v>14</v>
      </c>
      <c r="O201" s="5"/>
      <c r="P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0.0</v>
      </c>
      <c r="F202" s="19">
        <v>0.0</v>
      </c>
      <c r="G202" s="19">
        <v>0.0</v>
      </c>
      <c r="H202" s="19">
        <v>1.0</v>
      </c>
      <c r="I202" s="19">
        <v>0.0</v>
      </c>
      <c r="J202" s="19">
        <v>0.0</v>
      </c>
      <c r="K202" s="19">
        <v>2.0</v>
      </c>
      <c r="L202" s="19">
        <v>1.0</v>
      </c>
      <c r="M202" s="19">
        <v>0.0</v>
      </c>
      <c r="N202" s="13">
        <f t="shared" si="40"/>
        <v>4</v>
      </c>
      <c r="O202" s="5"/>
      <c r="P202" s="5"/>
    </row>
    <row r="203" ht="12.75" customHeight="1">
      <c r="A203" s="18"/>
      <c r="B203" s="55">
        <v>2.0</v>
      </c>
      <c r="C203" s="50" t="s">
        <v>149</v>
      </c>
      <c r="D203" s="57"/>
      <c r="E203" s="19">
        <v>1.0</v>
      </c>
      <c r="F203" s="19">
        <v>0.0</v>
      </c>
      <c r="G203" s="19">
        <v>1.0</v>
      </c>
      <c r="H203" s="19">
        <v>1.0</v>
      </c>
      <c r="I203" s="19">
        <v>1.0</v>
      </c>
      <c r="J203" s="19">
        <v>3.0</v>
      </c>
      <c r="K203" s="19">
        <v>1.0</v>
      </c>
      <c r="L203" s="19">
        <v>1.0</v>
      </c>
      <c r="M203" s="19">
        <v>0.0</v>
      </c>
      <c r="N203" s="13">
        <f t="shared" si="40"/>
        <v>9</v>
      </c>
      <c r="O203" s="5"/>
      <c r="P203" s="5"/>
    </row>
    <row r="204" ht="12.75" customHeight="1">
      <c r="A204" s="18"/>
      <c r="B204" s="55">
        <v>3.0</v>
      </c>
      <c r="C204" s="50" t="s">
        <v>150</v>
      </c>
      <c r="D204" s="57"/>
      <c r="E204" s="19">
        <v>0.0</v>
      </c>
      <c r="F204" s="19">
        <v>0.0</v>
      </c>
      <c r="G204" s="19">
        <v>0.0</v>
      </c>
      <c r="H204" s="19">
        <v>0.0</v>
      </c>
      <c r="I204" s="19">
        <v>0.0</v>
      </c>
      <c r="J204" s="19">
        <v>0.0</v>
      </c>
      <c r="K204" s="19">
        <v>1.0</v>
      </c>
      <c r="L204" s="19">
        <v>0.0</v>
      </c>
      <c r="M204" s="19">
        <v>1.0</v>
      </c>
      <c r="N204" s="13">
        <f t="shared" si="40"/>
        <v>2</v>
      </c>
      <c r="O204" s="5"/>
      <c r="P204" s="5"/>
    </row>
    <row r="205" ht="12.75" customHeight="1">
      <c r="A205" s="18"/>
      <c r="B205" s="55">
        <v>4.0</v>
      </c>
      <c r="C205" s="50" t="s">
        <v>151</v>
      </c>
      <c r="D205" s="57"/>
      <c r="E205" s="19">
        <v>0.0</v>
      </c>
      <c r="F205" s="19">
        <v>0.0</v>
      </c>
      <c r="G205" s="19">
        <v>0.0</v>
      </c>
      <c r="H205" s="19">
        <v>0.0</v>
      </c>
      <c r="I205" s="19">
        <v>0.0</v>
      </c>
      <c r="J205" s="19">
        <v>1.0</v>
      </c>
      <c r="K205" s="19">
        <v>0.0</v>
      </c>
      <c r="L205" s="19">
        <v>0.0</v>
      </c>
      <c r="M205" s="19">
        <v>0.0</v>
      </c>
      <c r="N205" s="13">
        <f t="shared" si="40"/>
        <v>1</v>
      </c>
      <c r="O205" s="5"/>
      <c r="P205" s="5"/>
    </row>
    <row r="206" ht="12.75" customHeight="1">
      <c r="A206" s="18"/>
      <c r="B206" s="55">
        <v>5.0</v>
      </c>
      <c r="C206" s="50" t="s">
        <v>152</v>
      </c>
      <c r="D206" s="57"/>
      <c r="E206" s="19">
        <v>0.0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0.0</v>
      </c>
      <c r="N206" s="13">
        <f t="shared" si="40"/>
        <v>0</v>
      </c>
      <c r="O206" s="5"/>
      <c r="P206" s="5"/>
    </row>
    <row r="207" ht="12.75" customHeight="1">
      <c r="A207" s="18"/>
      <c r="B207" s="55">
        <v>6.0</v>
      </c>
      <c r="C207" s="50" t="s">
        <v>153</v>
      </c>
      <c r="D207" s="57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3">
        <f t="shared" si="40"/>
        <v>0</v>
      </c>
      <c r="O207" s="1"/>
      <c r="P207" s="1"/>
    </row>
    <row r="208" ht="12.75" customHeight="1">
      <c r="A208" s="18"/>
      <c r="B208" s="55">
        <v>7.0</v>
      </c>
      <c r="C208" s="50" t="s">
        <v>154</v>
      </c>
      <c r="D208" s="57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0.0</v>
      </c>
      <c r="M208" s="19">
        <v>0.0</v>
      </c>
      <c r="N208" s="13">
        <f t="shared" si="40"/>
        <v>0</v>
      </c>
      <c r="O208" s="52"/>
      <c r="P208" s="52"/>
    </row>
    <row r="209" ht="12.75" customHeight="1">
      <c r="A209" s="18"/>
      <c r="B209" s="68"/>
      <c r="C209" s="69"/>
      <c r="D209" s="71"/>
      <c r="E209" s="19"/>
      <c r="F209" s="19"/>
      <c r="G209" s="19"/>
      <c r="H209" s="19"/>
      <c r="I209" s="19"/>
      <c r="J209" s="19"/>
      <c r="K209" s="19"/>
      <c r="L209" s="19"/>
      <c r="M209" s="19"/>
      <c r="N209" s="13">
        <f t="shared" si="40"/>
        <v>0</v>
      </c>
      <c r="O209" s="52"/>
      <c r="P209" s="52"/>
    </row>
    <row r="210" ht="12.75" customHeight="1">
      <c r="A210" s="18"/>
      <c r="B210" s="68"/>
      <c r="C210" s="69"/>
      <c r="D210" s="71"/>
      <c r="E210" s="19"/>
      <c r="F210" s="19"/>
      <c r="G210" s="19"/>
      <c r="H210" s="19"/>
      <c r="I210" s="19"/>
      <c r="J210" s="19"/>
      <c r="K210" s="19"/>
      <c r="L210" s="19"/>
      <c r="M210" s="19"/>
      <c r="N210" s="13">
        <f t="shared" si="40"/>
        <v>0</v>
      </c>
      <c r="O210" s="52"/>
      <c r="P210" s="52"/>
    </row>
    <row r="211" ht="15.0" customHeight="1">
      <c r="A211" s="19" t="s">
        <v>15</v>
      </c>
      <c r="B211" s="47" t="s">
        <v>47</v>
      </c>
      <c r="C211" s="15"/>
      <c r="D211" s="16"/>
      <c r="E211" s="13">
        <f t="shared" ref="E211:M211" si="41">SUM(E201:E208)</f>
        <v>1</v>
      </c>
      <c r="F211" s="13">
        <f t="shared" si="41"/>
        <v>0</v>
      </c>
      <c r="G211" s="13">
        <f t="shared" si="41"/>
        <v>3</v>
      </c>
      <c r="H211" s="13">
        <f t="shared" si="41"/>
        <v>5</v>
      </c>
      <c r="I211" s="13">
        <f t="shared" si="41"/>
        <v>3</v>
      </c>
      <c r="J211" s="13">
        <f t="shared" si="41"/>
        <v>9</v>
      </c>
      <c r="K211" s="13">
        <f t="shared" si="41"/>
        <v>4</v>
      </c>
      <c r="L211" s="13">
        <f t="shared" si="41"/>
        <v>3</v>
      </c>
      <c r="M211" s="13">
        <f t="shared" si="41"/>
        <v>2</v>
      </c>
      <c r="N211" s="13">
        <f t="shared" si="40"/>
        <v>30</v>
      </c>
      <c r="O211" s="5"/>
      <c r="P211" s="5"/>
    </row>
    <row r="212" ht="12.75" customHeight="1">
      <c r="A212" s="24"/>
      <c r="B212" s="15"/>
      <c r="C212" s="15"/>
      <c r="D212" s="15"/>
      <c r="E212" s="16"/>
      <c r="F212" s="72"/>
      <c r="G212" s="72"/>
      <c r="H212" s="72"/>
      <c r="I212" s="72"/>
      <c r="J212" s="72"/>
      <c r="K212" s="72"/>
      <c r="L212" s="72"/>
      <c r="M212" s="72"/>
      <c r="N212" s="72"/>
      <c r="O212" s="5"/>
      <c r="P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0.0</v>
      </c>
      <c r="F213" s="19">
        <v>0.0</v>
      </c>
      <c r="G213" s="19">
        <v>0.0</v>
      </c>
      <c r="H213" s="19">
        <v>0.0</v>
      </c>
      <c r="I213" s="19">
        <v>3.0</v>
      </c>
      <c r="J213" s="19">
        <v>0.0</v>
      </c>
      <c r="K213" s="19">
        <v>0.0</v>
      </c>
      <c r="L213" s="19">
        <v>0.0</v>
      </c>
      <c r="M213" s="19">
        <v>0.0</v>
      </c>
      <c r="N213" s="13">
        <f t="shared" ref="N213:N223" si="42">SUM(E213:M213)</f>
        <v>3</v>
      </c>
      <c r="O213" s="5"/>
      <c r="P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2.0</v>
      </c>
      <c r="F214" s="19">
        <v>2.0</v>
      </c>
      <c r="G214" s="19">
        <v>0.0</v>
      </c>
      <c r="H214" s="19">
        <v>1.0</v>
      </c>
      <c r="I214" s="19">
        <v>0.0</v>
      </c>
      <c r="J214" s="19">
        <v>0.0</v>
      </c>
      <c r="K214" s="19">
        <v>1.0</v>
      </c>
      <c r="L214" s="19">
        <v>0.0</v>
      </c>
      <c r="M214" s="19">
        <v>1.0</v>
      </c>
      <c r="N214" s="13">
        <f t="shared" si="42"/>
        <v>7</v>
      </c>
      <c r="O214" s="5"/>
      <c r="P214" s="5"/>
    </row>
    <row r="215" ht="12.75" customHeight="1">
      <c r="A215" s="18"/>
      <c r="B215" s="55">
        <v>2.0</v>
      </c>
      <c r="C215" s="50" t="s">
        <v>158</v>
      </c>
      <c r="D215" s="56"/>
      <c r="E215" s="19">
        <v>0.0</v>
      </c>
      <c r="F215" s="19">
        <v>0.0</v>
      </c>
      <c r="G215" s="19">
        <v>0.0</v>
      </c>
      <c r="H215" s="19">
        <v>0.0</v>
      </c>
      <c r="I215" s="19">
        <v>0.0</v>
      </c>
      <c r="J215" s="19">
        <v>1.0</v>
      </c>
      <c r="K215" s="19">
        <v>1.0</v>
      </c>
      <c r="L215" s="19">
        <v>9.0</v>
      </c>
      <c r="M215" s="19">
        <v>0.0</v>
      </c>
      <c r="N215" s="13">
        <f t="shared" si="42"/>
        <v>11</v>
      </c>
      <c r="O215" s="5"/>
      <c r="P215" s="5"/>
    </row>
    <row r="216" ht="12.75" customHeight="1">
      <c r="A216" s="18"/>
      <c r="B216" s="55">
        <v>3.0</v>
      </c>
      <c r="C216" s="61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0.0</v>
      </c>
      <c r="N216" s="13">
        <f t="shared" si="42"/>
        <v>0</v>
      </c>
      <c r="O216" s="5"/>
      <c r="P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0.0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3">
        <f t="shared" si="42"/>
        <v>0</v>
      </c>
      <c r="O217" s="5"/>
      <c r="P217" s="5"/>
    </row>
    <row r="218" ht="12.75" customHeight="1">
      <c r="A218" s="18"/>
      <c r="B218" s="55">
        <v>5.0</v>
      </c>
      <c r="C218" s="50" t="s">
        <v>161</v>
      </c>
      <c r="D218" s="56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3">
        <f t="shared" si="42"/>
        <v>0</v>
      </c>
      <c r="O218" s="1"/>
      <c r="P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0.0</v>
      </c>
      <c r="G219" s="19">
        <v>0.0</v>
      </c>
      <c r="H219" s="19">
        <v>1.0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3">
        <f t="shared" si="42"/>
        <v>1</v>
      </c>
      <c r="O219" s="52"/>
      <c r="P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3">
        <f t="shared" si="42"/>
        <v>0</v>
      </c>
      <c r="O220" s="5"/>
      <c r="P220" s="5"/>
    </row>
    <row r="221" ht="12.75" customHeight="1">
      <c r="A221" s="18"/>
      <c r="B221" s="68"/>
      <c r="C221" s="69"/>
      <c r="D221" s="70"/>
      <c r="E221" s="19"/>
      <c r="F221" s="19"/>
      <c r="G221" s="19"/>
      <c r="H221" s="19"/>
      <c r="I221" s="19"/>
      <c r="J221" s="19"/>
      <c r="K221" s="19"/>
      <c r="L221" s="19"/>
      <c r="M221" s="19"/>
      <c r="N221" s="13">
        <f t="shared" si="42"/>
        <v>0</v>
      </c>
      <c r="O221" s="5"/>
      <c r="P221" s="5"/>
    </row>
    <row r="222" ht="12.75" customHeight="1">
      <c r="A222" s="18"/>
      <c r="B222" s="68"/>
      <c r="C222" s="69"/>
      <c r="D222" s="70"/>
      <c r="E222" s="19"/>
      <c r="F222" s="19"/>
      <c r="G222" s="19"/>
      <c r="H222" s="19"/>
      <c r="I222" s="19"/>
      <c r="J222" s="19"/>
      <c r="K222" s="19"/>
      <c r="L222" s="19"/>
      <c r="M222" s="19"/>
      <c r="N222" s="13">
        <f t="shared" si="42"/>
        <v>0</v>
      </c>
      <c r="O222" s="5"/>
      <c r="P222" s="5"/>
    </row>
    <row r="223" ht="15.0" customHeight="1">
      <c r="A223" s="19" t="s">
        <v>15</v>
      </c>
      <c r="B223" s="47" t="s">
        <v>47</v>
      </c>
      <c r="C223" s="15"/>
      <c r="D223" s="16"/>
      <c r="E223" s="13">
        <f t="shared" ref="E223:M223" si="43">SUM(E213:E220)</f>
        <v>2</v>
      </c>
      <c r="F223" s="13">
        <f t="shared" si="43"/>
        <v>2</v>
      </c>
      <c r="G223" s="13">
        <f t="shared" si="43"/>
        <v>0</v>
      </c>
      <c r="H223" s="13">
        <f t="shared" si="43"/>
        <v>2</v>
      </c>
      <c r="I223" s="13">
        <f t="shared" si="43"/>
        <v>3</v>
      </c>
      <c r="J223" s="13">
        <f t="shared" si="43"/>
        <v>1</v>
      </c>
      <c r="K223" s="13">
        <f t="shared" si="43"/>
        <v>2</v>
      </c>
      <c r="L223" s="13">
        <f t="shared" si="43"/>
        <v>9</v>
      </c>
      <c r="M223" s="13">
        <f t="shared" si="43"/>
        <v>1</v>
      </c>
      <c r="N223" s="13">
        <f t="shared" si="42"/>
        <v>22</v>
      </c>
      <c r="O223" s="5"/>
      <c r="P223" s="5"/>
    </row>
    <row r="224" ht="12.75" customHeight="1">
      <c r="A224" s="24"/>
      <c r="B224" s="15"/>
      <c r="C224" s="15"/>
      <c r="D224" s="15"/>
      <c r="E224" s="16"/>
      <c r="F224" s="72"/>
      <c r="G224" s="72"/>
      <c r="H224" s="72"/>
      <c r="I224" s="72"/>
      <c r="J224" s="72"/>
      <c r="K224" s="72"/>
      <c r="L224" s="72"/>
      <c r="M224" s="72"/>
      <c r="N224" s="72"/>
      <c r="O224" s="5"/>
      <c r="P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0.0</v>
      </c>
      <c r="I225" s="19">
        <v>0.0</v>
      </c>
      <c r="J225" s="19">
        <v>0.0</v>
      </c>
      <c r="K225" s="19">
        <v>1.0</v>
      </c>
      <c r="L225" s="19">
        <v>0.0</v>
      </c>
      <c r="M225" s="19">
        <v>0.0</v>
      </c>
      <c r="N225" s="13">
        <f t="shared" ref="N225:N235" si="44">SUM(E225:M225)</f>
        <v>1</v>
      </c>
      <c r="O225" s="5"/>
      <c r="P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0.0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2.0</v>
      </c>
      <c r="L226" s="19">
        <v>0.0</v>
      </c>
      <c r="M226" s="19">
        <v>0.0</v>
      </c>
      <c r="N226" s="13">
        <f t="shared" si="44"/>
        <v>2</v>
      </c>
      <c r="O226" s="5"/>
      <c r="P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0.0</v>
      </c>
      <c r="H227" s="19">
        <v>0.0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3">
        <f t="shared" si="44"/>
        <v>0</v>
      </c>
      <c r="O227" s="5"/>
      <c r="P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3">
        <f t="shared" si="44"/>
        <v>0</v>
      </c>
      <c r="O228" s="5"/>
      <c r="P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3">
        <f t="shared" si="44"/>
        <v>0</v>
      </c>
      <c r="O229" s="1"/>
      <c r="P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3">
        <f t="shared" si="44"/>
        <v>0</v>
      </c>
      <c r="O230" s="52"/>
      <c r="P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3">
        <f t="shared" si="44"/>
        <v>0</v>
      </c>
      <c r="O231" s="5"/>
      <c r="P231" s="5"/>
    </row>
    <row r="232" ht="12.75" customHeight="1">
      <c r="A232" s="18"/>
      <c r="B232" s="55">
        <v>7.0</v>
      </c>
      <c r="C232" s="50" t="s">
        <v>172</v>
      </c>
      <c r="D232" s="57"/>
      <c r="E232" s="19">
        <v>0.0</v>
      </c>
      <c r="F232" s="19">
        <v>0.0</v>
      </c>
      <c r="G232" s="19">
        <v>0.0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3">
        <f t="shared" si="44"/>
        <v>0</v>
      </c>
      <c r="O232" s="5"/>
      <c r="P232" s="5"/>
    </row>
    <row r="233" ht="12.75" customHeight="1">
      <c r="A233" s="18"/>
      <c r="B233" s="68"/>
      <c r="C233" s="69"/>
      <c r="D233" s="71"/>
      <c r="E233" s="19"/>
      <c r="F233" s="19"/>
      <c r="G233" s="19"/>
      <c r="H233" s="19"/>
      <c r="I233" s="19"/>
      <c r="J233" s="19"/>
      <c r="K233" s="19"/>
      <c r="L233" s="19"/>
      <c r="M233" s="19"/>
      <c r="N233" s="13">
        <f t="shared" si="44"/>
        <v>0</v>
      </c>
      <c r="O233" s="5"/>
      <c r="P233" s="5"/>
    </row>
    <row r="234" ht="12.75" customHeight="1">
      <c r="A234" s="18"/>
      <c r="B234" s="68"/>
      <c r="C234" s="69"/>
      <c r="D234" s="71"/>
      <c r="E234" s="19"/>
      <c r="F234" s="19"/>
      <c r="G234" s="19"/>
      <c r="H234" s="19"/>
      <c r="I234" s="19"/>
      <c r="J234" s="19"/>
      <c r="K234" s="19"/>
      <c r="L234" s="19"/>
      <c r="M234" s="19"/>
      <c r="N234" s="13">
        <f t="shared" si="44"/>
        <v>0</v>
      </c>
      <c r="O234" s="5"/>
      <c r="P234" s="5"/>
    </row>
    <row r="235" ht="15.0" customHeight="1">
      <c r="A235" s="19" t="s">
        <v>15</v>
      </c>
      <c r="B235" s="47" t="s">
        <v>47</v>
      </c>
      <c r="C235" s="15"/>
      <c r="D235" s="16"/>
      <c r="E235" s="13">
        <f t="shared" ref="E235:M235" si="45">SUM(E225:E232)</f>
        <v>0</v>
      </c>
      <c r="F235" s="13">
        <f t="shared" si="45"/>
        <v>0</v>
      </c>
      <c r="G235" s="13">
        <f t="shared" si="45"/>
        <v>0</v>
      </c>
      <c r="H235" s="13">
        <f t="shared" si="45"/>
        <v>0</v>
      </c>
      <c r="I235" s="13">
        <f t="shared" si="45"/>
        <v>0</v>
      </c>
      <c r="J235" s="13">
        <f t="shared" si="45"/>
        <v>0</v>
      </c>
      <c r="K235" s="13">
        <f t="shared" si="45"/>
        <v>3</v>
      </c>
      <c r="L235" s="13">
        <f t="shared" si="45"/>
        <v>0</v>
      </c>
      <c r="M235" s="13">
        <f t="shared" si="45"/>
        <v>0</v>
      </c>
      <c r="N235" s="13">
        <f t="shared" si="44"/>
        <v>3</v>
      </c>
      <c r="O235" s="5"/>
      <c r="P235" s="5"/>
    </row>
    <row r="236" ht="12.75" customHeight="1">
      <c r="A236" s="24"/>
      <c r="B236" s="15"/>
      <c r="C236" s="15"/>
      <c r="D236" s="15"/>
      <c r="E236" s="16"/>
      <c r="F236" s="72"/>
      <c r="G236" s="72"/>
      <c r="H236" s="72"/>
      <c r="I236" s="72"/>
      <c r="J236" s="72"/>
      <c r="K236" s="72"/>
      <c r="L236" s="72"/>
      <c r="M236" s="72"/>
      <c r="N236" s="72"/>
      <c r="O236" s="5"/>
      <c r="P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1.0</v>
      </c>
      <c r="F237" s="19">
        <v>3.0</v>
      </c>
      <c r="G237" s="19">
        <v>9.0</v>
      </c>
      <c r="H237" s="19">
        <v>15.0</v>
      </c>
      <c r="I237" s="19">
        <v>9.0</v>
      </c>
      <c r="J237" s="19">
        <v>0.0</v>
      </c>
      <c r="K237" s="19">
        <v>4.0</v>
      </c>
      <c r="L237" s="19">
        <v>3.0</v>
      </c>
      <c r="M237" s="19">
        <v>5.0</v>
      </c>
      <c r="N237" s="13">
        <f t="shared" ref="N237:N247" si="46">SUM(E237:M237)</f>
        <v>49</v>
      </c>
      <c r="O237" s="5"/>
      <c r="P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0.0</v>
      </c>
      <c r="F238" s="19">
        <v>1.0</v>
      </c>
      <c r="G238" s="19">
        <v>1.0</v>
      </c>
      <c r="H238" s="19">
        <v>2.0</v>
      </c>
      <c r="I238" s="19">
        <v>2.0</v>
      </c>
      <c r="J238" s="19">
        <v>1.0</v>
      </c>
      <c r="K238" s="19">
        <v>1.0</v>
      </c>
      <c r="L238" s="19">
        <v>0.0</v>
      </c>
      <c r="M238" s="19">
        <v>1.0</v>
      </c>
      <c r="N238" s="13">
        <f t="shared" si="46"/>
        <v>9</v>
      </c>
      <c r="O238" s="5"/>
      <c r="P238" s="5"/>
    </row>
    <row r="239" ht="12.75" customHeight="1">
      <c r="A239" s="18"/>
      <c r="B239" s="55">
        <v>2.0</v>
      </c>
      <c r="C239" s="50" t="s">
        <v>176</v>
      </c>
      <c r="D239" s="57"/>
      <c r="E239" s="19">
        <v>44.0</v>
      </c>
      <c r="F239" s="19">
        <v>23.0</v>
      </c>
      <c r="G239" s="19">
        <v>72.0</v>
      </c>
      <c r="H239" s="19">
        <v>65.0</v>
      </c>
      <c r="I239" s="19">
        <v>65.0</v>
      </c>
      <c r="J239" s="19">
        <v>19.0</v>
      </c>
      <c r="K239" s="19">
        <v>20.0</v>
      </c>
      <c r="L239" s="19">
        <v>63.0</v>
      </c>
      <c r="M239" s="19">
        <v>19.0</v>
      </c>
      <c r="N239" s="13">
        <f t="shared" si="46"/>
        <v>390</v>
      </c>
      <c r="O239" s="5"/>
      <c r="P239" s="5"/>
    </row>
    <row r="240" ht="12.75" customHeight="1">
      <c r="A240" s="18"/>
      <c r="B240" s="55">
        <v>3.0</v>
      </c>
      <c r="C240" s="50" t="s">
        <v>177</v>
      </c>
      <c r="D240" s="57"/>
      <c r="E240" s="19">
        <v>0.0</v>
      </c>
      <c r="F240" s="19">
        <v>0.0</v>
      </c>
      <c r="G240" s="19">
        <v>0.0</v>
      </c>
      <c r="H240" s="19">
        <v>1.0</v>
      </c>
      <c r="I240" s="19">
        <v>0.0</v>
      </c>
      <c r="J240" s="19">
        <v>1.0</v>
      </c>
      <c r="K240" s="19">
        <v>0.0</v>
      </c>
      <c r="L240" s="19">
        <v>1.0</v>
      </c>
      <c r="M240" s="19">
        <v>0.0</v>
      </c>
      <c r="N240" s="13">
        <f t="shared" si="46"/>
        <v>3</v>
      </c>
      <c r="O240" s="1"/>
      <c r="P240" s="1"/>
    </row>
    <row r="241" ht="12.75" customHeight="1">
      <c r="A241" s="18"/>
      <c r="B241" s="55">
        <v>4.0</v>
      </c>
      <c r="C241" s="50" t="s">
        <v>178</v>
      </c>
      <c r="D241" s="57"/>
      <c r="E241" s="19">
        <v>2.0</v>
      </c>
      <c r="F241" s="19">
        <v>0.0</v>
      </c>
      <c r="G241" s="19">
        <v>1.0</v>
      </c>
      <c r="H241" s="19">
        <v>0.0</v>
      </c>
      <c r="I241" s="19">
        <v>2.0</v>
      </c>
      <c r="J241" s="19">
        <v>0.0</v>
      </c>
      <c r="K241" s="19">
        <v>0.0</v>
      </c>
      <c r="L241" s="19">
        <v>1.0</v>
      </c>
      <c r="M241" s="19">
        <v>0.0</v>
      </c>
      <c r="N241" s="13">
        <f t="shared" si="46"/>
        <v>6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3">
        <f t="shared" si="46"/>
        <v>0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3">
        <f t="shared" si="46"/>
        <v>0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0.0</v>
      </c>
      <c r="F244" s="19">
        <v>0.0</v>
      </c>
      <c r="G244" s="19">
        <v>0.0</v>
      </c>
      <c r="H244" s="19">
        <v>0.0</v>
      </c>
      <c r="I244" s="19">
        <v>1.0</v>
      </c>
      <c r="J244" s="19">
        <v>0.0</v>
      </c>
      <c r="K244" s="19">
        <v>0.0</v>
      </c>
      <c r="L244" s="19">
        <v>0.0</v>
      </c>
      <c r="M244" s="19">
        <v>0.0</v>
      </c>
      <c r="N244" s="13">
        <f t="shared" si="46"/>
        <v>1</v>
      </c>
    </row>
    <row r="245" ht="12.75" customHeight="1">
      <c r="A245" s="18"/>
      <c r="B245" s="68"/>
      <c r="C245" s="69"/>
      <c r="D245" s="71"/>
      <c r="E245" s="19"/>
      <c r="F245" s="19"/>
      <c r="G245" s="19"/>
      <c r="H245" s="19"/>
      <c r="I245" s="19"/>
      <c r="J245" s="19"/>
      <c r="K245" s="19"/>
      <c r="L245" s="19"/>
      <c r="M245" s="19"/>
      <c r="N245" s="13">
        <f t="shared" si="46"/>
        <v>0</v>
      </c>
    </row>
    <row r="246" ht="12.75" customHeight="1">
      <c r="A246" s="18"/>
      <c r="B246" s="68"/>
      <c r="C246" s="69"/>
      <c r="D246" s="71"/>
      <c r="E246" s="19"/>
      <c r="F246" s="19"/>
      <c r="G246" s="19"/>
      <c r="H246" s="19"/>
      <c r="I246" s="19"/>
      <c r="J246" s="19"/>
      <c r="K246" s="19"/>
      <c r="L246" s="19"/>
      <c r="M246" s="19"/>
      <c r="N246" s="13">
        <f t="shared" si="46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M247" si="47">SUM(E237:E244)</f>
        <v>47</v>
      </c>
      <c r="F247" s="13">
        <f t="shared" si="47"/>
        <v>27</v>
      </c>
      <c r="G247" s="13">
        <f t="shared" si="47"/>
        <v>83</v>
      </c>
      <c r="H247" s="13">
        <f t="shared" si="47"/>
        <v>83</v>
      </c>
      <c r="I247" s="13">
        <f t="shared" si="47"/>
        <v>79</v>
      </c>
      <c r="J247" s="13">
        <f t="shared" si="47"/>
        <v>21</v>
      </c>
      <c r="K247" s="13">
        <f t="shared" si="47"/>
        <v>25</v>
      </c>
      <c r="L247" s="13">
        <f t="shared" si="47"/>
        <v>68</v>
      </c>
      <c r="M247" s="13">
        <f t="shared" si="47"/>
        <v>25</v>
      </c>
      <c r="N247" s="13">
        <f t="shared" si="46"/>
        <v>458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1.0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3">
        <f t="shared" ref="N249:N259" si="48">SUM(E249:M249)</f>
        <v>1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0.0</v>
      </c>
      <c r="F250" s="19">
        <v>0.0</v>
      </c>
      <c r="G250" s="19">
        <v>0.0</v>
      </c>
      <c r="H250" s="19">
        <v>1.0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3">
        <f t="shared" si="48"/>
        <v>1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0.0</v>
      </c>
      <c r="F251" s="19">
        <v>0.0</v>
      </c>
      <c r="G251" s="19">
        <v>1.0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3">
        <f t="shared" si="48"/>
        <v>1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3">
        <f t="shared" si="48"/>
        <v>0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3">
        <f t="shared" si="48"/>
        <v>0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1.0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3">
        <f t="shared" si="48"/>
        <v>1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3">
        <f t="shared" si="48"/>
        <v>0</v>
      </c>
    </row>
    <row r="256" ht="12.75" customHeight="1">
      <c r="A256" s="18"/>
      <c r="B256" s="68"/>
      <c r="C256" s="73"/>
      <c r="D256" s="71"/>
      <c r="E256" s="19"/>
      <c r="F256" s="19"/>
      <c r="G256" s="19"/>
      <c r="H256" s="19"/>
      <c r="I256" s="19"/>
      <c r="J256" s="19"/>
      <c r="K256" s="19"/>
      <c r="L256" s="19"/>
      <c r="M256" s="19"/>
      <c r="N256" s="13">
        <f t="shared" si="48"/>
        <v>0</v>
      </c>
    </row>
    <row r="257" ht="12.75" customHeight="1">
      <c r="A257" s="18"/>
      <c r="B257" s="68"/>
      <c r="C257" s="73"/>
      <c r="D257" s="71"/>
      <c r="E257" s="19"/>
      <c r="F257" s="19"/>
      <c r="G257" s="19"/>
      <c r="H257" s="19"/>
      <c r="I257" s="19"/>
      <c r="J257" s="19"/>
      <c r="K257" s="19"/>
      <c r="L257" s="19"/>
      <c r="M257" s="19"/>
      <c r="N257" s="13">
        <f t="shared" si="48"/>
        <v>0</v>
      </c>
    </row>
    <row r="258" ht="12.75" customHeight="1">
      <c r="A258" s="18"/>
      <c r="B258" s="68"/>
      <c r="C258" s="73"/>
      <c r="D258" s="71"/>
      <c r="E258" s="19"/>
      <c r="F258" s="19"/>
      <c r="G258" s="19"/>
      <c r="H258" s="19"/>
      <c r="I258" s="19"/>
      <c r="J258" s="19"/>
      <c r="K258" s="19"/>
      <c r="L258" s="19"/>
      <c r="M258" s="19"/>
      <c r="N258" s="13">
        <f t="shared" si="48"/>
        <v>0</v>
      </c>
    </row>
    <row r="259" ht="15.0" customHeight="1">
      <c r="A259" s="19" t="s">
        <v>15</v>
      </c>
      <c r="B259" s="47" t="s">
        <v>47</v>
      </c>
      <c r="C259" s="15"/>
      <c r="D259" s="16"/>
      <c r="E259" s="13">
        <f t="shared" ref="E259:M259" si="49">SUM(E249:E255)</f>
        <v>0</v>
      </c>
      <c r="F259" s="13">
        <f t="shared" si="49"/>
        <v>2</v>
      </c>
      <c r="G259" s="13">
        <f t="shared" si="49"/>
        <v>1</v>
      </c>
      <c r="H259" s="13">
        <f t="shared" si="49"/>
        <v>1</v>
      </c>
      <c r="I259" s="13">
        <f t="shared" si="49"/>
        <v>0</v>
      </c>
      <c r="J259" s="13">
        <f t="shared" si="49"/>
        <v>0</v>
      </c>
      <c r="K259" s="13">
        <f t="shared" si="49"/>
        <v>0</v>
      </c>
      <c r="L259" s="13">
        <f t="shared" si="49"/>
        <v>0</v>
      </c>
      <c r="M259" s="13">
        <f t="shared" si="49"/>
        <v>0</v>
      </c>
      <c r="N259" s="13">
        <f t="shared" si="48"/>
        <v>4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M262" si="50">E55+E67+E79+E91+E103+E115+E127+E139+E151+E163+E175+E187+E199+E211+E223+E235+E247+E259</f>
        <v>171</v>
      </c>
      <c r="F262" s="19">
        <f t="shared" si="50"/>
        <v>166</v>
      </c>
      <c r="G262" s="19">
        <f t="shared" si="50"/>
        <v>193</v>
      </c>
      <c r="H262" s="19">
        <f t="shared" si="50"/>
        <v>191</v>
      </c>
      <c r="I262" s="19">
        <f t="shared" si="50"/>
        <v>184</v>
      </c>
      <c r="J262" s="19">
        <f t="shared" si="50"/>
        <v>148</v>
      </c>
      <c r="K262" s="19">
        <f t="shared" si="50"/>
        <v>141</v>
      </c>
      <c r="L262" s="19">
        <f t="shared" si="50"/>
        <v>145</v>
      </c>
      <c r="M262" s="19">
        <f t="shared" si="50"/>
        <v>131</v>
      </c>
      <c r="N262" s="13">
        <f t="shared" ref="N262:N264" si="51">SUM(E262:M262)</f>
        <v>1470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28.0</v>
      </c>
      <c r="F263" s="19">
        <v>24.0</v>
      </c>
      <c r="G263" s="19">
        <v>15.0</v>
      </c>
      <c r="H263" s="19">
        <v>11.0</v>
      </c>
      <c r="I263" s="19">
        <v>15.0</v>
      </c>
      <c r="J263" s="19">
        <v>14.0</v>
      </c>
      <c r="K263" s="19">
        <v>13.0</v>
      </c>
      <c r="L263" s="19">
        <v>8.0</v>
      </c>
      <c r="M263" s="19">
        <v>16.0</v>
      </c>
      <c r="N263" s="13">
        <f t="shared" si="51"/>
        <v>144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M264" si="52">SUM(E262:E263)</f>
        <v>199</v>
      </c>
      <c r="F264" s="13">
        <f t="shared" si="52"/>
        <v>190</v>
      </c>
      <c r="G264" s="13">
        <f t="shared" si="52"/>
        <v>208</v>
      </c>
      <c r="H264" s="13">
        <f t="shared" si="52"/>
        <v>202</v>
      </c>
      <c r="I264" s="13">
        <f t="shared" si="52"/>
        <v>199</v>
      </c>
      <c r="J264" s="13">
        <f t="shared" si="52"/>
        <v>162</v>
      </c>
      <c r="K264" s="13">
        <f t="shared" si="52"/>
        <v>154</v>
      </c>
      <c r="L264" s="13">
        <f t="shared" si="52"/>
        <v>153</v>
      </c>
      <c r="M264" s="13">
        <f t="shared" si="52"/>
        <v>147</v>
      </c>
      <c r="N264" s="13">
        <f t="shared" si="51"/>
        <v>1614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M12"/>
    <mergeCell ref="N12:N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M15">
    <cfRule type="containsBlanks" dxfId="1" priority="1">
      <formula>LEN(TRIM(E14))=0</formula>
    </cfRule>
  </conditionalFormatting>
  <conditionalFormatting sqref="E19:M20">
    <cfRule type="containsBlanks" dxfId="1" priority="2">
      <formula>LEN(TRIM(E19))=0</formula>
    </cfRule>
  </conditionalFormatting>
  <conditionalFormatting sqref="E22:M23 E25:M26 E33:M33 E35:M35 E39:M40">
    <cfRule type="containsBlanks" dxfId="1" priority="3">
      <formula>LEN(TRIM(E22))=0</formula>
    </cfRule>
  </conditionalFormatting>
  <conditionalFormatting sqref="E30:M30">
    <cfRule type="expression" dxfId="0" priority="4">
      <formula>E30&lt;&gt;E47</formula>
    </cfRule>
  </conditionalFormatting>
  <conditionalFormatting sqref="E30:M30">
    <cfRule type="expression" dxfId="0" priority="5">
      <formula>E30&lt;&gt;E34</formula>
    </cfRule>
  </conditionalFormatting>
  <conditionalFormatting sqref="E34:M34">
    <cfRule type="expression" dxfId="2" priority="6">
      <formula>E30&lt;&gt;E34</formula>
    </cfRule>
  </conditionalFormatting>
  <conditionalFormatting sqref="E34:M34">
    <cfRule type="expression" dxfId="3" priority="7">
      <formula>E30=E34</formula>
    </cfRule>
  </conditionalFormatting>
  <conditionalFormatting sqref="E34:M34">
    <cfRule type="expression" dxfId="0" priority="8">
      <formula>E34&lt;&gt;E30</formula>
    </cfRule>
  </conditionalFormatting>
  <conditionalFormatting sqref="E34:M34">
    <cfRule type="expression" dxfId="0" priority="9">
      <formula>E34&lt;&gt;E64</formula>
    </cfRule>
  </conditionalFormatting>
  <conditionalFormatting sqref="E45:M54">
    <cfRule type="containsBlanks" dxfId="1" priority="10">
      <formula>LEN(TRIM(E45))=0</formula>
    </cfRule>
  </conditionalFormatting>
  <conditionalFormatting sqref="E57:M66">
    <cfRule type="containsBlanks" dxfId="1" priority="11">
      <formula>LEN(TRIM(E57))=0</formula>
    </cfRule>
  </conditionalFormatting>
  <conditionalFormatting sqref="E69:M78">
    <cfRule type="containsBlanks" dxfId="1" priority="12">
      <formula>LEN(TRIM(E69))=0</formula>
    </cfRule>
  </conditionalFormatting>
  <conditionalFormatting sqref="E81:M90">
    <cfRule type="containsBlanks" dxfId="1" priority="13">
      <formula>LEN(TRIM(E81))=0</formula>
    </cfRule>
  </conditionalFormatting>
  <conditionalFormatting sqref="E93:M102">
    <cfRule type="containsBlanks" dxfId="1" priority="14">
      <formula>LEN(TRIM(E93))=0</formula>
    </cfRule>
  </conditionalFormatting>
  <conditionalFormatting sqref="E105:M114">
    <cfRule type="containsBlanks" dxfId="1" priority="15">
      <formula>LEN(TRIM(E105))=0</formula>
    </cfRule>
  </conditionalFormatting>
  <conditionalFormatting sqref="E117:M126">
    <cfRule type="containsBlanks" dxfId="1" priority="16">
      <formula>LEN(TRIM(E117))=0</formula>
    </cfRule>
  </conditionalFormatting>
  <conditionalFormatting sqref="E129:M138">
    <cfRule type="containsBlanks" dxfId="1" priority="17">
      <formula>LEN(TRIM(E129))=0</formula>
    </cfRule>
  </conditionalFormatting>
  <conditionalFormatting sqref="E141:M150">
    <cfRule type="containsBlanks" dxfId="1" priority="18">
      <formula>LEN(TRIM(E141))=0</formula>
    </cfRule>
  </conditionalFormatting>
  <conditionalFormatting sqref="E153:M162">
    <cfRule type="containsBlanks" dxfId="1" priority="19">
      <formula>LEN(TRIM(E153))=0</formula>
    </cfRule>
  </conditionalFormatting>
  <conditionalFormatting sqref="E165:M174">
    <cfRule type="containsBlanks" dxfId="1" priority="20">
      <formula>LEN(TRIM(E165))=0</formula>
    </cfRule>
  </conditionalFormatting>
  <conditionalFormatting sqref="E177:M186">
    <cfRule type="containsBlanks" dxfId="1" priority="21">
      <formula>LEN(TRIM(E177))=0</formula>
    </cfRule>
  </conditionalFormatting>
  <conditionalFormatting sqref="E189:M198">
    <cfRule type="containsBlanks" dxfId="1" priority="22">
      <formula>LEN(TRIM(E189))=0</formula>
    </cfRule>
  </conditionalFormatting>
  <conditionalFormatting sqref="E201:M210">
    <cfRule type="containsBlanks" dxfId="1" priority="23">
      <formula>LEN(TRIM(E201))=0</formula>
    </cfRule>
  </conditionalFormatting>
  <conditionalFormatting sqref="E213:M222">
    <cfRule type="containsBlanks" dxfId="1" priority="24">
      <formula>LEN(TRIM(E213))=0</formula>
    </cfRule>
  </conditionalFormatting>
  <conditionalFormatting sqref="E225:M234">
    <cfRule type="containsBlanks" dxfId="1" priority="25">
      <formula>LEN(TRIM(E225))=0</formula>
    </cfRule>
  </conditionalFormatting>
  <conditionalFormatting sqref="E237:M246">
    <cfRule type="containsBlanks" dxfId="1" priority="26">
      <formula>LEN(TRIM(E237))=0</formula>
    </cfRule>
  </conditionalFormatting>
  <conditionalFormatting sqref="E249:M259">
    <cfRule type="containsBlanks" dxfId="1" priority="27">
      <formula>LEN(TRIM(E249))=0</formula>
    </cfRule>
  </conditionalFormatting>
  <conditionalFormatting sqref="E262:M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2" width="8.71"/>
    <col customWidth="1" min="23" max="23" width="13.29"/>
    <col customWidth="1" min="24" max="26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219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212</v>
      </c>
      <c r="O13" s="13" t="s">
        <v>213</v>
      </c>
      <c r="P13" s="13" t="s">
        <v>214</v>
      </c>
      <c r="Q13" s="13" t="s">
        <v>215</v>
      </c>
      <c r="R13" s="13" t="s">
        <v>216</v>
      </c>
      <c r="S13" s="13" t="s">
        <v>217</v>
      </c>
      <c r="T13" s="13" t="s">
        <v>220</v>
      </c>
      <c r="U13" s="13" t="s">
        <v>221</v>
      </c>
      <c r="V13" s="13" t="s">
        <v>222</v>
      </c>
      <c r="W13" s="36"/>
    </row>
    <row r="14" ht="12.75" customHeight="1">
      <c r="A14" s="18"/>
      <c r="B14" s="22" t="s">
        <v>11</v>
      </c>
      <c r="C14" s="23"/>
      <c r="D14" s="19" t="s">
        <v>12</v>
      </c>
      <c r="E14" s="19">
        <v>92.0</v>
      </c>
      <c r="F14" s="19">
        <v>63.0</v>
      </c>
      <c r="G14" s="19">
        <v>139.0</v>
      </c>
      <c r="H14" s="19">
        <v>138.0</v>
      </c>
      <c r="I14" s="19">
        <v>122.0</v>
      </c>
      <c r="J14" s="19">
        <v>137.0</v>
      </c>
      <c r="K14" s="19">
        <v>148.0</v>
      </c>
      <c r="L14" s="19">
        <v>125.0</v>
      </c>
      <c r="M14" s="19">
        <v>94.0</v>
      </c>
      <c r="N14" s="19">
        <v>142.0</v>
      </c>
      <c r="O14" s="19">
        <v>121.0</v>
      </c>
      <c r="P14" s="19">
        <v>119.0</v>
      </c>
      <c r="Q14" s="19">
        <v>128.0</v>
      </c>
      <c r="R14" s="19">
        <v>150.0</v>
      </c>
      <c r="S14" s="19">
        <v>132.0</v>
      </c>
      <c r="T14" s="19">
        <v>108.0</v>
      </c>
      <c r="U14" s="19">
        <v>132.0</v>
      </c>
      <c r="V14" s="19">
        <v>144.0</v>
      </c>
      <c r="W14" s="13">
        <f t="shared" ref="W14:W16" si="1">SUM(E14:V14)</f>
        <v>2234</v>
      </c>
    </row>
    <row r="15" ht="12.75" customHeight="1">
      <c r="A15" s="18"/>
      <c r="B15" s="26"/>
      <c r="C15" s="27"/>
      <c r="D15" s="19" t="s">
        <v>13</v>
      </c>
      <c r="E15" s="19">
        <v>84.0</v>
      </c>
      <c r="F15" s="19">
        <v>65.0</v>
      </c>
      <c r="G15" s="19">
        <v>137.0</v>
      </c>
      <c r="H15" s="19">
        <v>129.0</v>
      </c>
      <c r="I15" s="19">
        <v>118.0</v>
      </c>
      <c r="J15" s="19">
        <v>133.0</v>
      </c>
      <c r="K15" s="19">
        <v>135.0</v>
      </c>
      <c r="L15" s="19">
        <v>117.0</v>
      </c>
      <c r="M15" s="19">
        <v>105.0</v>
      </c>
      <c r="N15" s="19">
        <v>132.0</v>
      </c>
      <c r="O15" s="19">
        <v>124.0</v>
      </c>
      <c r="P15" s="19">
        <v>113.0</v>
      </c>
      <c r="Q15" s="19">
        <v>141.0</v>
      </c>
      <c r="R15" s="19">
        <v>135.0</v>
      </c>
      <c r="S15" s="19">
        <v>145.0</v>
      </c>
      <c r="T15" s="19">
        <v>102.0</v>
      </c>
      <c r="U15" s="19">
        <v>126.0</v>
      </c>
      <c r="V15" s="19">
        <v>143.0</v>
      </c>
      <c r="W15" s="13">
        <f t="shared" si="1"/>
        <v>2184</v>
      </c>
    </row>
    <row r="16" ht="12.75" customHeight="1">
      <c r="A16" s="25"/>
      <c r="B16" s="21"/>
      <c r="C16" s="28"/>
      <c r="D16" s="13" t="s">
        <v>14</v>
      </c>
      <c r="E16" s="13">
        <f t="shared" ref="E16:V16" si="2">SUM(E14:E15)</f>
        <v>176</v>
      </c>
      <c r="F16" s="13">
        <f t="shared" si="2"/>
        <v>128</v>
      </c>
      <c r="G16" s="13">
        <f t="shared" si="2"/>
        <v>276</v>
      </c>
      <c r="H16" s="13">
        <f t="shared" si="2"/>
        <v>267</v>
      </c>
      <c r="I16" s="13">
        <f t="shared" si="2"/>
        <v>240</v>
      </c>
      <c r="J16" s="13">
        <f t="shared" si="2"/>
        <v>270</v>
      </c>
      <c r="K16" s="13">
        <f t="shared" si="2"/>
        <v>283</v>
      </c>
      <c r="L16" s="13">
        <f t="shared" si="2"/>
        <v>242</v>
      </c>
      <c r="M16" s="13">
        <f t="shared" si="2"/>
        <v>199</v>
      </c>
      <c r="N16" s="13">
        <f t="shared" si="2"/>
        <v>274</v>
      </c>
      <c r="O16" s="13">
        <f t="shared" si="2"/>
        <v>245</v>
      </c>
      <c r="P16" s="13">
        <f t="shared" si="2"/>
        <v>232</v>
      </c>
      <c r="Q16" s="13">
        <f t="shared" si="2"/>
        <v>269</v>
      </c>
      <c r="R16" s="13">
        <f t="shared" si="2"/>
        <v>285</v>
      </c>
      <c r="S16" s="13">
        <f t="shared" si="2"/>
        <v>277</v>
      </c>
      <c r="T16" s="13">
        <f t="shared" si="2"/>
        <v>210</v>
      </c>
      <c r="U16" s="13">
        <f t="shared" si="2"/>
        <v>258</v>
      </c>
      <c r="V16" s="13">
        <f t="shared" si="2"/>
        <v>287</v>
      </c>
      <c r="W16" s="13">
        <f t="shared" si="1"/>
        <v>4418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6"/>
      <c r="O17" s="19"/>
      <c r="P17" s="19"/>
      <c r="Q17" s="19"/>
      <c r="R17" s="19"/>
      <c r="S17" s="76"/>
      <c r="T17" s="19"/>
      <c r="U17" s="19"/>
      <c r="V17" s="19"/>
      <c r="W17" s="67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6"/>
      <c r="O18" s="19"/>
      <c r="P18" s="19"/>
      <c r="Q18" s="19"/>
      <c r="R18" s="19"/>
      <c r="S18" s="76"/>
      <c r="T18" s="19"/>
      <c r="U18" s="19"/>
      <c r="V18" s="19"/>
      <c r="W18" s="67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73.0</v>
      </c>
      <c r="F19" s="19">
        <v>46.0</v>
      </c>
      <c r="G19" s="19">
        <v>100.0</v>
      </c>
      <c r="H19" s="19">
        <v>97.0</v>
      </c>
      <c r="I19" s="19">
        <v>89.0</v>
      </c>
      <c r="J19" s="19">
        <v>102.0</v>
      </c>
      <c r="K19" s="19">
        <v>97.0</v>
      </c>
      <c r="L19" s="19">
        <v>94.0</v>
      </c>
      <c r="M19" s="19">
        <v>74.0</v>
      </c>
      <c r="N19" s="19">
        <v>106.0</v>
      </c>
      <c r="O19" s="19">
        <v>90.0</v>
      </c>
      <c r="P19" s="19">
        <v>91.0</v>
      </c>
      <c r="Q19" s="19">
        <v>102.0</v>
      </c>
      <c r="R19" s="19">
        <v>104.0</v>
      </c>
      <c r="S19" s="19">
        <v>101.0</v>
      </c>
      <c r="T19" s="19">
        <v>80.0</v>
      </c>
      <c r="U19" s="19">
        <v>101.0</v>
      </c>
      <c r="V19" s="19">
        <v>106.0</v>
      </c>
      <c r="W19" s="13">
        <f t="shared" ref="W19:W30" si="3">SUM(E19:V19)</f>
        <v>1653</v>
      </c>
    </row>
    <row r="20" ht="12.75" customHeight="1">
      <c r="A20" s="33"/>
      <c r="B20" s="27"/>
      <c r="C20" s="34"/>
      <c r="D20" s="19" t="s">
        <v>13</v>
      </c>
      <c r="E20" s="19">
        <v>68.0</v>
      </c>
      <c r="F20" s="19">
        <v>58.0</v>
      </c>
      <c r="G20" s="19">
        <v>111.0</v>
      </c>
      <c r="H20" s="19">
        <v>111.0</v>
      </c>
      <c r="I20" s="19">
        <v>91.0</v>
      </c>
      <c r="J20" s="19">
        <v>104.0</v>
      </c>
      <c r="K20" s="19">
        <v>100.0</v>
      </c>
      <c r="L20" s="19">
        <v>97.0</v>
      </c>
      <c r="M20" s="19">
        <v>86.0</v>
      </c>
      <c r="N20" s="19">
        <v>117.0</v>
      </c>
      <c r="O20" s="19">
        <v>96.0</v>
      </c>
      <c r="P20" s="19">
        <v>90.0</v>
      </c>
      <c r="Q20" s="19">
        <v>115.0</v>
      </c>
      <c r="R20" s="19">
        <v>111.0</v>
      </c>
      <c r="S20" s="19">
        <v>113.0</v>
      </c>
      <c r="T20" s="19">
        <v>90.0</v>
      </c>
      <c r="U20" s="19">
        <v>108.0</v>
      </c>
      <c r="V20" s="19">
        <v>111.0</v>
      </c>
      <c r="W20" s="13">
        <f t="shared" si="3"/>
        <v>1777</v>
      </c>
    </row>
    <row r="21" ht="12.75" customHeight="1">
      <c r="A21" s="35"/>
      <c r="B21" s="28"/>
      <c r="C21" s="36"/>
      <c r="D21" s="13" t="s">
        <v>14</v>
      </c>
      <c r="E21" s="13">
        <f t="shared" ref="E21:V21" si="4">SUM(E19:E20)</f>
        <v>141</v>
      </c>
      <c r="F21" s="13">
        <f t="shared" si="4"/>
        <v>104</v>
      </c>
      <c r="G21" s="13">
        <f t="shared" si="4"/>
        <v>211</v>
      </c>
      <c r="H21" s="13">
        <f t="shared" si="4"/>
        <v>208</v>
      </c>
      <c r="I21" s="13">
        <f t="shared" si="4"/>
        <v>180</v>
      </c>
      <c r="J21" s="13">
        <f t="shared" si="4"/>
        <v>206</v>
      </c>
      <c r="K21" s="13">
        <f t="shared" si="4"/>
        <v>197</v>
      </c>
      <c r="L21" s="13">
        <f t="shared" si="4"/>
        <v>191</v>
      </c>
      <c r="M21" s="13">
        <f t="shared" si="4"/>
        <v>160</v>
      </c>
      <c r="N21" s="13">
        <f t="shared" si="4"/>
        <v>223</v>
      </c>
      <c r="O21" s="13">
        <f t="shared" si="4"/>
        <v>186</v>
      </c>
      <c r="P21" s="13">
        <f t="shared" si="4"/>
        <v>181</v>
      </c>
      <c r="Q21" s="13">
        <f t="shared" si="4"/>
        <v>217</v>
      </c>
      <c r="R21" s="13">
        <f t="shared" si="4"/>
        <v>215</v>
      </c>
      <c r="S21" s="13">
        <f t="shared" si="4"/>
        <v>214</v>
      </c>
      <c r="T21" s="13">
        <f t="shared" si="4"/>
        <v>170</v>
      </c>
      <c r="U21" s="13">
        <f t="shared" si="4"/>
        <v>209</v>
      </c>
      <c r="V21" s="13">
        <f t="shared" si="4"/>
        <v>217</v>
      </c>
      <c r="W21" s="13">
        <f t="shared" si="3"/>
        <v>3430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0.0</v>
      </c>
      <c r="Q22" s="19">
        <v>0.0</v>
      </c>
      <c r="R22" s="19">
        <v>0.0</v>
      </c>
      <c r="S22" s="19">
        <v>0.0</v>
      </c>
      <c r="T22" s="19">
        <v>1.0</v>
      </c>
      <c r="U22" s="19">
        <v>0.0</v>
      </c>
      <c r="V22" s="19">
        <v>0.0</v>
      </c>
      <c r="W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J24" si="5">SUM(E22:E23)</f>
        <v>0</v>
      </c>
      <c r="F24" s="13">
        <f t="shared" si="5"/>
        <v>0</v>
      </c>
      <c r="G24" s="13">
        <f t="shared" si="5"/>
        <v>0</v>
      </c>
      <c r="H24" s="13">
        <f t="shared" si="5"/>
        <v>0</v>
      </c>
      <c r="I24" s="13">
        <f t="shared" si="5"/>
        <v>0</v>
      </c>
      <c r="J24" s="13">
        <f t="shared" si="5"/>
        <v>0</v>
      </c>
      <c r="K24" s="13">
        <v>0.0</v>
      </c>
      <c r="L24" s="13">
        <f t="shared" ref="L24:V24" si="6">SUM(L22:L23)</f>
        <v>0</v>
      </c>
      <c r="M24" s="13">
        <f t="shared" si="6"/>
        <v>0</v>
      </c>
      <c r="N24" s="13">
        <f t="shared" si="6"/>
        <v>0</v>
      </c>
      <c r="O24" s="13">
        <f t="shared" si="6"/>
        <v>0</v>
      </c>
      <c r="P24" s="13">
        <f t="shared" si="6"/>
        <v>0</v>
      </c>
      <c r="Q24" s="13">
        <f t="shared" si="6"/>
        <v>0</v>
      </c>
      <c r="R24" s="13">
        <f t="shared" si="6"/>
        <v>0</v>
      </c>
      <c r="S24" s="13">
        <f t="shared" si="6"/>
        <v>0</v>
      </c>
      <c r="T24" s="13">
        <f t="shared" si="6"/>
        <v>1</v>
      </c>
      <c r="U24" s="13">
        <f t="shared" si="6"/>
        <v>0</v>
      </c>
      <c r="V24" s="13">
        <f t="shared" si="6"/>
        <v>0</v>
      </c>
      <c r="W24" s="13">
        <f t="shared" si="3"/>
        <v>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0.0</v>
      </c>
      <c r="F25" s="19">
        <v>0.0</v>
      </c>
      <c r="G25" s="19">
        <v>2.0</v>
      </c>
      <c r="H25" s="19">
        <v>0.0</v>
      </c>
      <c r="I25" s="19">
        <v>1.0</v>
      </c>
      <c r="J25" s="19">
        <v>0.0</v>
      </c>
      <c r="K25" s="19">
        <v>0.0</v>
      </c>
      <c r="L25" s="19">
        <v>0.0</v>
      </c>
      <c r="M25" s="19">
        <v>0.0</v>
      </c>
      <c r="N25" s="19">
        <v>2.0</v>
      </c>
      <c r="O25" s="19">
        <v>1.0</v>
      </c>
      <c r="P25" s="19">
        <v>0.0</v>
      </c>
      <c r="Q25" s="19">
        <v>0.0</v>
      </c>
      <c r="R25" s="19">
        <v>1.0</v>
      </c>
      <c r="S25" s="19">
        <v>3.0</v>
      </c>
      <c r="T25" s="19">
        <v>0.0</v>
      </c>
      <c r="U25" s="19">
        <v>0.0</v>
      </c>
      <c r="V25" s="19">
        <v>1.0</v>
      </c>
      <c r="W25" s="13">
        <f t="shared" si="3"/>
        <v>11</v>
      </c>
    </row>
    <row r="26" ht="12.75" customHeight="1">
      <c r="A26" s="33"/>
      <c r="B26" s="27"/>
      <c r="C26" s="34"/>
      <c r="D26" s="19" t="s">
        <v>13</v>
      </c>
      <c r="E26" s="19">
        <v>0.0</v>
      </c>
      <c r="F26" s="19">
        <v>0.0</v>
      </c>
      <c r="G26" s="19">
        <v>1.0</v>
      </c>
      <c r="H26" s="19">
        <v>0.0</v>
      </c>
      <c r="I26" s="19">
        <v>1.0</v>
      </c>
      <c r="J26" s="19">
        <v>0.0</v>
      </c>
      <c r="K26" s="19">
        <v>0.0</v>
      </c>
      <c r="L26" s="19">
        <v>0.0</v>
      </c>
      <c r="M26" s="19">
        <v>0.0</v>
      </c>
      <c r="N26" s="19">
        <v>1.0</v>
      </c>
      <c r="O26" s="19">
        <v>0.0</v>
      </c>
      <c r="P26" s="19">
        <v>0.0</v>
      </c>
      <c r="Q26" s="19">
        <v>0.0</v>
      </c>
      <c r="R26" s="19">
        <v>0.0</v>
      </c>
      <c r="S26" s="19">
        <v>1.0</v>
      </c>
      <c r="T26" s="19">
        <v>0.0</v>
      </c>
      <c r="U26" s="19">
        <v>1.0</v>
      </c>
      <c r="V26" s="19">
        <v>0.0</v>
      </c>
      <c r="W26" s="13">
        <f t="shared" si="3"/>
        <v>5</v>
      </c>
    </row>
    <row r="27" ht="12.75" customHeight="1">
      <c r="A27" s="35"/>
      <c r="B27" s="28"/>
      <c r="C27" s="36"/>
      <c r="D27" s="13" t="s">
        <v>14</v>
      </c>
      <c r="E27" s="13">
        <f t="shared" ref="E27:V27" si="7">SUM(E25:E26)</f>
        <v>0</v>
      </c>
      <c r="F27" s="13">
        <f t="shared" si="7"/>
        <v>0</v>
      </c>
      <c r="G27" s="13">
        <f t="shared" si="7"/>
        <v>3</v>
      </c>
      <c r="H27" s="13">
        <f t="shared" si="7"/>
        <v>0</v>
      </c>
      <c r="I27" s="13">
        <f t="shared" si="7"/>
        <v>2</v>
      </c>
      <c r="J27" s="13">
        <f t="shared" si="7"/>
        <v>0</v>
      </c>
      <c r="K27" s="13">
        <f t="shared" si="7"/>
        <v>0</v>
      </c>
      <c r="L27" s="13">
        <f t="shared" si="7"/>
        <v>0</v>
      </c>
      <c r="M27" s="13">
        <f t="shared" si="7"/>
        <v>0</v>
      </c>
      <c r="N27" s="13">
        <f t="shared" si="7"/>
        <v>3</v>
      </c>
      <c r="O27" s="13">
        <f t="shared" si="7"/>
        <v>1</v>
      </c>
      <c r="P27" s="13">
        <f t="shared" si="7"/>
        <v>0</v>
      </c>
      <c r="Q27" s="13">
        <f t="shared" si="7"/>
        <v>0</v>
      </c>
      <c r="R27" s="13">
        <f t="shared" si="7"/>
        <v>1</v>
      </c>
      <c r="S27" s="13">
        <f t="shared" si="7"/>
        <v>4</v>
      </c>
      <c r="T27" s="13">
        <f t="shared" si="7"/>
        <v>0</v>
      </c>
      <c r="U27" s="13">
        <f t="shared" si="7"/>
        <v>1</v>
      </c>
      <c r="V27" s="13">
        <f t="shared" si="7"/>
        <v>1</v>
      </c>
      <c r="W27" s="13">
        <f t="shared" si="3"/>
        <v>16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V28" si="8">SUM(E19,E22,E25)</f>
        <v>73</v>
      </c>
      <c r="F28" s="13">
        <f t="shared" si="8"/>
        <v>46</v>
      </c>
      <c r="G28" s="13">
        <f t="shared" si="8"/>
        <v>102</v>
      </c>
      <c r="H28" s="13">
        <f t="shared" si="8"/>
        <v>97</v>
      </c>
      <c r="I28" s="13">
        <f t="shared" si="8"/>
        <v>90</v>
      </c>
      <c r="J28" s="13">
        <f t="shared" si="8"/>
        <v>102</v>
      </c>
      <c r="K28" s="13">
        <f t="shared" si="8"/>
        <v>97</v>
      </c>
      <c r="L28" s="13">
        <f t="shared" si="8"/>
        <v>94</v>
      </c>
      <c r="M28" s="13">
        <f t="shared" si="8"/>
        <v>74</v>
      </c>
      <c r="N28" s="13">
        <f t="shared" si="8"/>
        <v>108</v>
      </c>
      <c r="O28" s="13">
        <f t="shared" si="8"/>
        <v>91</v>
      </c>
      <c r="P28" s="13">
        <f t="shared" si="8"/>
        <v>91</v>
      </c>
      <c r="Q28" s="13">
        <f t="shared" si="8"/>
        <v>102</v>
      </c>
      <c r="R28" s="13">
        <f t="shared" si="8"/>
        <v>105</v>
      </c>
      <c r="S28" s="13">
        <f t="shared" si="8"/>
        <v>104</v>
      </c>
      <c r="T28" s="13">
        <f t="shared" si="8"/>
        <v>81</v>
      </c>
      <c r="U28" s="13">
        <f t="shared" si="8"/>
        <v>101</v>
      </c>
      <c r="V28" s="13">
        <f t="shared" si="8"/>
        <v>107</v>
      </c>
      <c r="W28" s="13">
        <f t="shared" si="3"/>
        <v>1665</v>
      </c>
    </row>
    <row r="29" ht="12.75" customHeight="1">
      <c r="A29" s="35"/>
      <c r="B29" s="27"/>
      <c r="C29" s="34"/>
      <c r="D29" s="13" t="s">
        <v>13</v>
      </c>
      <c r="E29" s="13">
        <f t="shared" ref="E29:V29" si="9">SUM(E20,E23,E26)</f>
        <v>68</v>
      </c>
      <c r="F29" s="13">
        <f t="shared" si="9"/>
        <v>58</v>
      </c>
      <c r="G29" s="13">
        <f t="shared" si="9"/>
        <v>112</v>
      </c>
      <c r="H29" s="13">
        <f t="shared" si="9"/>
        <v>111</v>
      </c>
      <c r="I29" s="13">
        <f t="shared" si="9"/>
        <v>92</v>
      </c>
      <c r="J29" s="13">
        <f t="shared" si="9"/>
        <v>104</v>
      </c>
      <c r="K29" s="13">
        <f t="shared" si="9"/>
        <v>100</v>
      </c>
      <c r="L29" s="13">
        <f t="shared" si="9"/>
        <v>97</v>
      </c>
      <c r="M29" s="13">
        <f t="shared" si="9"/>
        <v>86</v>
      </c>
      <c r="N29" s="13">
        <f t="shared" si="9"/>
        <v>118</v>
      </c>
      <c r="O29" s="13">
        <f t="shared" si="9"/>
        <v>96</v>
      </c>
      <c r="P29" s="13">
        <f t="shared" si="9"/>
        <v>90</v>
      </c>
      <c r="Q29" s="13">
        <f t="shared" si="9"/>
        <v>115</v>
      </c>
      <c r="R29" s="13">
        <f t="shared" si="9"/>
        <v>111</v>
      </c>
      <c r="S29" s="13">
        <f t="shared" si="9"/>
        <v>114</v>
      </c>
      <c r="T29" s="13">
        <f t="shared" si="9"/>
        <v>90</v>
      </c>
      <c r="U29" s="13">
        <f t="shared" si="9"/>
        <v>109</v>
      </c>
      <c r="V29" s="13">
        <f t="shared" si="9"/>
        <v>111</v>
      </c>
      <c r="W29" s="13">
        <f t="shared" si="3"/>
        <v>1782</v>
      </c>
    </row>
    <row r="30" ht="12.75" customHeight="1">
      <c r="A30" s="35"/>
      <c r="B30" s="28"/>
      <c r="C30" s="36"/>
      <c r="D30" s="13" t="s">
        <v>14</v>
      </c>
      <c r="E30" s="13">
        <f t="shared" ref="E30:V30" si="10">SUM(E28:E29)</f>
        <v>141</v>
      </c>
      <c r="F30" s="13">
        <f t="shared" si="10"/>
        <v>104</v>
      </c>
      <c r="G30" s="13">
        <f t="shared" si="10"/>
        <v>214</v>
      </c>
      <c r="H30" s="13">
        <f t="shared" si="10"/>
        <v>208</v>
      </c>
      <c r="I30" s="13">
        <f t="shared" si="10"/>
        <v>182</v>
      </c>
      <c r="J30" s="13">
        <f t="shared" si="10"/>
        <v>206</v>
      </c>
      <c r="K30" s="13">
        <f t="shared" si="10"/>
        <v>197</v>
      </c>
      <c r="L30" s="13">
        <f t="shared" si="10"/>
        <v>191</v>
      </c>
      <c r="M30" s="13">
        <f t="shared" si="10"/>
        <v>160</v>
      </c>
      <c r="N30" s="13">
        <f t="shared" si="10"/>
        <v>226</v>
      </c>
      <c r="O30" s="13">
        <f t="shared" si="10"/>
        <v>187</v>
      </c>
      <c r="P30" s="13">
        <f t="shared" si="10"/>
        <v>181</v>
      </c>
      <c r="Q30" s="13">
        <f t="shared" si="10"/>
        <v>217</v>
      </c>
      <c r="R30" s="13">
        <f t="shared" si="10"/>
        <v>216</v>
      </c>
      <c r="S30" s="13">
        <f t="shared" si="10"/>
        <v>218</v>
      </c>
      <c r="T30" s="13">
        <f t="shared" si="10"/>
        <v>171</v>
      </c>
      <c r="U30" s="13">
        <f t="shared" si="10"/>
        <v>210</v>
      </c>
      <c r="V30" s="13">
        <f t="shared" si="10"/>
        <v>218</v>
      </c>
      <c r="W30" s="13">
        <f t="shared" si="3"/>
        <v>3447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6"/>
      <c r="O31" s="19"/>
      <c r="P31" s="19"/>
      <c r="Q31" s="19"/>
      <c r="R31" s="19"/>
      <c r="S31" s="76"/>
      <c r="T31" s="19"/>
      <c r="U31" s="19"/>
      <c r="V31" s="19"/>
      <c r="W31" s="67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13"/>
      <c r="P32" s="13"/>
      <c r="Q32" s="13"/>
      <c r="R32" s="13"/>
      <c r="S32" s="77"/>
      <c r="T32" s="13"/>
      <c r="U32" s="13"/>
      <c r="V32" s="13"/>
      <c r="W32" s="67"/>
    </row>
    <row r="33" ht="12.75" customHeight="1">
      <c r="A33" s="19">
        <v>1.0</v>
      </c>
      <c r="B33" s="20" t="s">
        <v>27</v>
      </c>
      <c r="C33" s="15"/>
      <c r="D33" s="16"/>
      <c r="E33" s="19">
        <v>180.0</v>
      </c>
      <c r="F33" s="19">
        <v>125.0</v>
      </c>
      <c r="G33" s="19">
        <v>282.0</v>
      </c>
      <c r="H33" s="19">
        <v>273.0</v>
      </c>
      <c r="I33" s="19">
        <v>245.0</v>
      </c>
      <c r="J33" s="19">
        <v>276.0</v>
      </c>
      <c r="K33" s="19">
        <v>290.0</v>
      </c>
      <c r="L33" s="19">
        <v>247.0</v>
      </c>
      <c r="M33" s="19">
        <v>202.0</v>
      </c>
      <c r="N33" s="19">
        <v>280.0</v>
      </c>
      <c r="O33" s="19">
        <v>250.0</v>
      </c>
      <c r="P33" s="19">
        <v>237.0</v>
      </c>
      <c r="Q33" s="19">
        <v>275.0</v>
      </c>
      <c r="R33" s="19">
        <v>292.0</v>
      </c>
      <c r="S33" s="19">
        <v>283.0</v>
      </c>
      <c r="T33" s="19">
        <v>215.0</v>
      </c>
      <c r="U33" s="19">
        <v>263.0</v>
      </c>
      <c r="V33" s="19">
        <v>293.0</v>
      </c>
      <c r="W33" s="13">
        <f t="shared" ref="W33:W36" si="11">SUM(E33:V33)</f>
        <v>4508</v>
      </c>
    </row>
    <row r="34" ht="12.75" customHeight="1">
      <c r="A34" s="19">
        <v>2.0</v>
      </c>
      <c r="B34" s="20" t="s">
        <v>28</v>
      </c>
      <c r="C34" s="15"/>
      <c r="D34" s="16"/>
      <c r="E34" s="13">
        <v>141.0</v>
      </c>
      <c r="F34" s="13">
        <v>104.0</v>
      </c>
      <c r="G34" s="13">
        <v>214.0</v>
      </c>
      <c r="H34" s="13">
        <v>208.0</v>
      </c>
      <c r="I34" s="13">
        <v>182.0</v>
      </c>
      <c r="J34" s="13">
        <v>206.0</v>
      </c>
      <c r="K34" s="13">
        <v>197.0</v>
      </c>
      <c r="L34" s="13">
        <v>191.0</v>
      </c>
      <c r="M34" s="13">
        <v>160.0</v>
      </c>
      <c r="N34" s="13">
        <v>226.0</v>
      </c>
      <c r="O34" s="13">
        <v>187.0</v>
      </c>
      <c r="P34" s="13">
        <v>181.0</v>
      </c>
      <c r="Q34" s="13">
        <v>217.0</v>
      </c>
      <c r="R34" s="13">
        <v>216.0</v>
      </c>
      <c r="S34" s="13">
        <v>218.0</v>
      </c>
      <c r="T34" s="13">
        <v>171.0</v>
      </c>
      <c r="U34" s="13">
        <v>210.0</v>
      </c>
      <c r="V34" s="13">
        <v>218.0</v>
      </c>
      <c r="W34" s="13">
        <f t="shared" si="11"/>
        <v>3447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0.0</v>
      </c>
      <c r="I35" s="19">
        <v>0.0</v>
      </c>
      <c r="J35" s="19">
        <v>2.0</v>
      </c>
      <c r="K35" s="19">
        <v>0.0</v>
      </c>
      <c r="L35" s="19">
        <v>1.0</v>
      </c>
      <c r="M35" s="19">
        <v>0.0</v>
      </c>
      <c r="N35" s="19">
        <v>20.0</v>
      </c>
      <c r="O35" s="19">
        <v>2.0</v>
      </c>
      <c r="P35" s="19">
        <v>0.0</v>
      </c>
      <c r="Q35" s="19">
        <v>0.0</v>
      </c>
      <c r="R35" s="19">
        <v>2.0</v>
      </c>
      <c r="S35" s="19">
        <v>0.0</v>
      </c>
      <c r="T35" s="19">
        <v>1.0</v>
      </c>
      <c r="U35" s="19">
        <v>0.0</v>
      </c>
      <c r="V35" s="19">
        <v>0.0</v>
      </c>
      <c r="W35" s="13">
        <f t="shared" si="11"/>
        <v>28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V36" si="12">E33-(E34+E35)</f>
        <v>39</v>
      </c>
      <c r="F36" s="13">
        <f t="shared" si="12"/>
        <v>21</v>
      </c>
      <c r="G36" s="13">
        <f t="shared" si="12"/>
        <v>68</v>
      </c>
      <c r="H36" s="13">
        <f t="shared" si="12"/>
        <v>65</v>
      </c>
      <c r="I36" s="13">
        <f t="shared" si="12"/>
        <v>63</v>
      </c>
      <c r="J36" s="13">
        <f t="shared" si="12"/>
        <v>68</v>
      </c>
      <c r="K36" s="13">
        <f t="shared" si="12"/>
        <v>93</v>
      </c>
      <c r="L36" s="13">
        <f t="shared" si="12"/>
        <v>55</v>
      </c>
      <c r="M36" s="13">
        <f t="shared" si="12"/>
        <v>42</v>
      </c>
      <c r="N36" s="13">
        <f t="shared" si="12"/>
        <v>34</v>
      </c>
      <c r="O36" s="13">
        <f t="shared" si="12"/>
        <v>61</v>
      </c>
      <c r="P36" s="13">
        <f t="shared" si="12"/>
        <v>56</v>
      </c>
      <c r="Q36" s="13">
        <f t="shared" si="12"/>
        <v>58</v>
      </c>
      <c r="R36" s="13">
        <f t="shared" si="12"/>
        <v>74</v>
      </c>
      <c r="S36" s="13">
        <f t="shared" si="12"/>
        <v>65</v>
      </c>
      <c r="T36" s="13">
        <f t="shared" si="12"/>
        <v>43</v>
      </c>
      <c r="U36" s="13">
        <f t="shared" si="12"/>
        <v>53</v>
      </c>
      <c r="V36" s="13">
        <f t="shared" si="12"/>
        <v>75</v>
      </c>
      <c r="W36" s="13">
        <f t="shared" si="11"/>
        <v>1033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6"/>
      <c r="O37" s="19"/>
      <c r="P37" s="19"/>
      <c r="Q37" s="19"/>
      <c r="R37" s="19"/>
      <c r="S37" s="76"/>
      <c r="T37" s="19"/>
      <c r="U37" s="19"/>
      <c r="V37" s="19"/>
      <c r="W37" s="67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13"/>
      <c r="P38" s="13"/>
      <c r="Q38" s="13"/>
      <c r="R38" s="13"/>
      <c r="S38" s="77"/>
      <c r="T38" s="13"/>
      <c r="U38" s="13"/>
      <c r="V38" s="13"/>
      <c r="W38" s="67"/>
    </row>
    <row r="39" ht="12.75" customHeight="1">
      <c r="A39" s="30"/>
      <c r="B39" s="43" t="s">
        <v>33</v>
      </c>
      <c r="C39" s="23"/>
      <c r="D39" s="19" t="s">
        <v>12</v>
      </c>
      <c r="E39" s="19">
        <v>0.0</v>
      </c>
      <c r="F39" s="19">
        <v>1.0</v>
      </c>
      <c r="G39" s="19">
        <v>0.0</v>
      </c>
      <c r="H39" s="19">
        <v>0.0</v>
      </c>
      <c r="I39" s="19">
        <v>0.0</v>
      </c>
      <c r="J39" s="19">
        <v>0.0</v>
      </c>
      <c r="K39" s="19">
        <v>0.0</v>
      </c>
      <c r="L39" s="19">
        <v>0.0</v>
      </c>
      <c r="M39" s="19">
        <v>0.0</v>
      </c>
      <c r="N39" s="19">
        <v>1.0</v>
      </c>
      <c r="O39" s="19">
        <v>0.0</v>
      </c>
      <c r="P39" s="19">
        <v>0.0</v>
      </c>
      <c r="Q39" s="19">
        <v>0.0</v>
      </c>
      <c r="R39" s="19">
        <v>1.0</v>
      </c>
      <c r="S39" s="19">
        <v>1.0</v>
      </c>
      <c r="T39" s="19">
        <v>1.0</v>
      </c>
      <c r="U39" s="19">
        <v>0.0</v>
      </c>
      <c r="V39" s="19">
        <v>0.0</v>
      </c>
      <c r="W39" s="13">
        <f t="shared" ref="W39:W41" si="13">SUM(E39:V39)</f>
        <v>5</v>
      </c>
    </row>
    <row r="40" ht="12.75" customHeight="1">
      <c r="A40" s="33"/>
      <c r="C40" s="27"/>
      <c r="D40" s="19" t="s">
        <v>13</v>
      </c>
      <c r="E40" s="19">
        <v>0.0</v>
      </c>
      <c r="F40" s="19">
        <v>2.0</v>
      </c>
      <c r="G40" s="19">
        <v>0.0</v>
      </c>
      <c r="H40" s="19">
        <v>0.0</v>
      </c>
      <c r="I40" s="19">
        <v>0.0</v>
      </c>
      <c r="J40" s="19">
        <v>0.0</v>
      </c>
      <c r="K40" s="19">
        <v>0.0</v>
      </c>
      <c r="L40" s="19">
        <v>0.0</v>
      </c>
      <c r="M40" s="19">
        <v>1.0</v>
      </c>
      <c r="N40" s="19">
        <v>0.0</v>
      </c>
      <c r="O40" s="19">
        <v>0.0</v>
      </c>
      <c r="P40" s="19">
        <v>0.0</v>
      </c>
      <c r="Q40" s="19">
        <v>0.0</v>
      </c>
      <c r="R40" s="19">
        <v>1.0</v>
      </c>
      <c r="S40" s="19">
        <v>0.0</v>
      </c>
      <c r="T40" s="19">
        <v>1.0</v>
      </c>
      <c r="U40" s="19">
        <v>0.0</v>
      </c>
      <c r="V40" s="19">
        <v>0.0</v>
      </c>
      <c r="W40" s="13">
        <f t="shared" si="13"/>
        <v>5</v>
      </c>
    </row>
    <row r="41" ht="12.75" customHeight="1">
      <c r="A41" s="41"/>
      <c r="B41" s="44"/>
      <c r="C41" s="28"/>
      <c r="D41" s="13" t="s">
        <v>14</v>
      </c>
      <c r="E41" s="13">
        <f t="shared" ref="E41:R41" si="14">SUM(E39:E40)</f>
        <v>0</v>
      </c>
      <c r="F41" s="13">
        <f t="shared" si="14"/>
        <v>3</v>
      </c>
      <c r="G41" s="13">
        <f t="shared" si="14"/>
        <v>0</v>
      </c>
      <c r="H41" s="13">
        <f t="shared" si="14"/>
        <v>0</v>
      </c>
      <c r="I41" s="13">
        <f t="shared" si="14"/>
        <v>0</v>
      </c>
      <c r="J41" s="13">
        <f t="shared" si="14"/>
        <v>0</v>
      </c>
      <c r="K41" s="13">
        <f t="shared" si="14"/>
        <v>0</v>
      </c>
      <c r="L41" s="13">
        <f t="shared" si="14"/>
        <v>0</v>
      </c>
      <c r="M41" s="13">
        <f t="shared" si="14"/>
        <v>1</v>
      </c>
      <c r="N41" s="13">
        <f t="shared" si="14"/>
        <v>1</v>
      </c>
      <c r="O41" s="13">
        <f t="shared" si="14"/>
        <v>0</v>
      </c>
      <c r="P41" s="13">
        <f t="shared" si="14"/>
        <v>0</v>
      </c>
      <c r="Q41" s="13">
        <f t="shared" si="14"/>
        <v>0</v>
      </c>
      <c r="R41" s="13">
        <f t="shared" si="14"/>
        <v>2</v>
      </c>
      <c r="S41" s="13">
        <v>1.0</v>
      </c>
      <c r="T41" s="13">
        <f t="shared" ref="T41:V41" si="15">SUM(T39:T40)</f>
        <v>2</v>
      </c>
      <c r="U41" s="13">
        <f t="shared" si="15"/>
        <v>0</v>
      </c>
      <c r="V41" s="13">
        <f t="shared" si="15"/>
        <v>0</v>
      </c>
      <c r="W41" s="13">
        <f t="shared" si="13"/>
        <v>10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6"/>
      <c r="O42" s="19"/>
      <c r="P42" s="19"/>
      <c r="Q42" s="19"/>
      <c r="R42" s="19"/>
      <c r="S42" s="76"/>
      <c r="T42" s="19"/>
      <c r="U42" s="19"/>
      <c r="V42" s="19"/>
      <c r="W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13"/>
      <c r="Q43" s="13"/>
      <c r="R43" s="13"/>
      <c r="S43" s="77"/>
      <c r="T43" s="13"/>
      <c r="U43" s="13"/>
      <c r="V43" s="13"/>
      <c r="W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6"/>
      <c r="O44" s="19"/>
      <c r="P44" s="19"/>
      <c r="Q44" s="19"/>
      <c r="R44" s="19"/>
      <c r="S44" s="76"/>
      <c r="T44" s="19"/>
      <c r="U44" s="19"/>
      <c r="V44" s="19"/>
      <c r="W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4.0</v>
      </c>
      <c r="F45" s="19">
        <v>9.0</v>
      </c>
      <c r="G45" s="19">
        <v>13.0</v>
      </c>
      <c r="H45" s="19">
        <v>5.0</v>
      </c>
      <c r="I45" s="19">
        <v>7.0</v>
      </c>
      <c r="J45" s="19">
        <v>9.0</v>
      </c>
      <c r="K45" s="19">
        <v>13.0</v>
      </c>
      <c r="L45" s="19">
        <v>9.0</v>
      </c>
      <c r="M45" s="19">
        <v>7.0</v>
      </c>
      <c r="N45" s="19">
        <v>20.0</v>
      </c>
      <c r="O45" s="19">
        <v>11.0</v>
      </c>
      <c r="P45" s="19">
        <v>12.0</v>
      </c>
      <c r="Q45" s="19">
        <v>11.0</v>
      </c>
      <c r="R45" s="19">
        <v>12.0</v>
      </c>
      <c r="S45" s="19">
        <v>4.0</v>
      </c>
      <c r="T45" s="19">
        <v>12.0</v>
      </c>
      <c r="U45" s="19">
        <v>14.0</v>
      </c>
      <c r="V45" s="19">
        <v>11.0</v>
      </c>
      <c r="W45" s="13">
        <f t="shared" ref="W45:W55" si="16">SUM(E45:V45)</f>
        <v>183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11.0</v>
      </c>
      <c r="F46" s="19">
        <v>26.0</v>
      </c>
      <c r="G46" s="19">
        <v>26.0</v>
      </c>
      <c r="H46" s="19">
        <v>26.0</v>
      </c>
      <c r="I46" s="19">
        <v>12.0</v>
      </c>
      <c r="J46" s="19">
        <v>14.0</v>
      </c>
      <c r="K46" s="19">
        <v>22.0</v>
      </c>
      <c r="L46" s="19">
        <v>19.0</v>
      </c>
      <c r="M46" s="19">
        <v>17.0</v>
      </c>
      <c r="N46" s="19">
        <v>29.0</v>
      </c>
      <c r="O46" s="19">
        <v>17.0</v>
      </c>
      <c r="P46" s="19">
        <v>14.0</v>
      </c>
      <c r="Q46" s="19">
        <v>9.0</v>
      </c>
      <c r="R46" s="19">
        <v>10.0</v>
      </c>
      <c r="S46" s="19">
        <v>24.0</v>
      </c>
      <c r="T46" s="19">
        <v>16.0</v>
      </c>
      <c r="U46" s="19">
        <v>14.0</v>
      </c>
      <c r="V46" s="19">
        <v>19.0</v>
      </c>
      <c r="W46" s="13">
        <f t="shared" si="16"/>
        <v>325</v>
      </c>
    </row>
    <row r="47" ht="12.75" customHeight="1">
      <c r="A47" s="18"/>
      <c r="B47" s="55">
        <v>2.0</v>
      </c>
      <c r="C47" s="50" t="s">
        <v>41</v>
      </c>
      <c r="D47" s="16"/>
      <c r="E47" s="19">
        <v>1.0</v>
      </c>
      <c r="F47" s="19">
        <v>0.0</v>
      </c>
      <c r="G47" s="19">
        <v>5.0</v>
      </c>
      <c r="H47" s="19">
        <v>2.0</v>
      </c>
      <c r="I47" s="19">
        <v>2.0</v>
      </c>
      <c r="J47" s="19">
        <v>1.0</v>
      </c>
      <c r="K47" s="19">
        <v>0.0</v>
      </c>
      <c r="L47" s="19">
        <v>2.0</v>
      </c>
      <c r="M47" s="19">
        <v>6.0</v>
      </c>
      <c r="N47" s="19">
        <v>5.0</v>
      </c>
      <c r="O47" s="19">
        <v>1.0</v>
      </c>
      <c r="P47" s="19">
        <v>4.0</v>
      </c>
      <c r="Q47" s="19">
        <v>2.0</v>
      </c>
      <c r="R47" s="19">
        <v>5.0</v>
      </c>
      <c r="S47" s="19">
        <v>0.0</v>
      </c>
      <c r="T47" s="19">
        <v>1.0</v>
      </c>
      <c r="U47" s="19">
        <v>0.0</v>
      </c>
      <c r="V47" s="19">
        <v>2.0</v>
      </c>
      <c r="W47" s="13">
        <f t="shared" si="16"/>
        <v>39</v>
      </c>
    </row>
    <row r="48" ht="12.75" customHeight="1">
      <c r="A48" s="18"/>
      <c r="B48" s="55">
        <v>3.0</v>
      </c>
      <c r="C48" s="50" t="s">
        <v>42</v>
      </c>
      <c r="D48" s="16"/>
      <c r="E48" s="19">
        <v>1.0</v>
      </c>
      <c r="F48" s="19">
        <v>0.0</v>
      </c>
      <c r="G48" s="19">
        <v>1.0</v>
      </c>
      <c r="H48" s="19">
        <v>1.0</v>
      </c>
      <c r="I48" s="19">
        <v>0.0</v>
      </c>
      <c r="J48" s="19">
        <v>0.0</v>
      </c>
      <c r="K48" s="19">
        <v>3.0</v>
      </c>
      <c r="L48" s="19">
        <v>0.0</v>
      </c>
      <c r="M48" s="19">
        <v>0.0</v>
      </c>
      <c r="N48" s="19">
        <v>0.0</v>
      </c>
      <c r="O48" s="19">
        <v>0.0</v>
      </c>
      <c r="P48" s="19">
        <v>1.0</v>
      </c>
      <c r="Q48" s="19">
        <v>2.0</v>
      </c>
      <c r="R48" s="19">
        <v>0.0</v>
      </c>
      <c r="S48" s="19">
        <v>0.0</v>
      </c>
      <c r="T48" s="19">
        <v>1.0</v>
      </c>
      <c r="U48" s="19">
        <v>1.0</v>
      </c>
      <c r="V48" s="19">
        <v>0.0</v>
      </c>
      <c r="W48" s="13">
        <f t="shared" si="16"/>
        <v>11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0.0</v>
      </c>
      <c r="G49" s="19">
        <v>1.0</v>
      </c>
      <c r="H49" s="19">
        <v>0.0</v>
      </c>
      <c r="I49" s="19">
        <v>0.0</v>
      </c>
      <c r="J49" s="19">
        <v>0.0</v>
      </c>
      <c r="K49" s="19">
        <v>0.0</v>
      </c>
      <c r="L49" s="19">
        <v>0.0</v>
      </c>
      <c r="M49" s="19">
        <v>0.0</v>
      </c>
      <c r="N49" s="19">
        <v>0.0</v>
      </c>
      <c r="O49" s="19">
        <v>0.0</v>
      </c>
      <c r="P49" s="19">
        <v>0.0</v>
      </c>
      <c r="Q49" s="19">
        <v>0.0</v>
      </c>
      <c r="R49" s="19">
        <v>0.0</v>
      </c>
      <c r="S49" s="19">
        <v>1.0</v>
      </c>
      <c r="T49" s="19">
        <v>0.0</v>
      </c>
      <c r="U49" s="19">
        <v>0.0</v>
      </c>
      <c r="V49" s="19">
        <v>0.0</v>
      </c>
      <c r="W49" s="13">
        <f t="shared" si="16"/>
        <v>2</v>
      </c>
    </row>
    <row r="50" ht="12.75" customHeight="1">
      <c r="A50" s="18"/>
      <c r="B50" s="55">
        <v>5.0</v>
      </c>
      <c r="C50" s="50" t="s">
        <v>44</v>
      </c>
      <c r="D50" s="16"/>
      <c r="E50" s="19">
        <v>0.0</v>
      </c>
      <c r="F50" s="19">
        <v>0.0</v>
      </c>
      <c r="G50" s="19">
        <v>0.0</v>
      </c>
      <c r="H50" s="19">
        <v>0.0</v>
      </c>
      <c r="I50" s="19">
        <v>0.0</v>
      </c>
      <c r="J50" s="19">
        <v>1.0</v>
      </c>
      <c r="K50" s="19">
        <v>0.0</v>
      </c>
      <c r="L50" s="19">
        <v>0.0</v>
      </c>
      <c r="M50" s="19">
        <v>0.0</v>
      </c>
      <c r="N50" s="19">
        <v>0.0</v>
      </c>
      <c r="O50" s="19">
        <v>0.0</v>
      </c>
      <c r="P50" s="19">
        <v>0.0</v>
      </c>
      <c r="Q50" s="19">
        <v>0.0</v>
      </c>
      <c r="R50" s="19">
        <v>0.0</v>
      </c>
      <c r="S50" s="19">
        <v>0.0</v>
      </c>
      <c r="T50" s="19">
        <v>0.0</v>
      </c>
      <c r="U50" s="19">
        <v>1.0</v>
      </c>
      <c r="V50" s="19">
        <v>0.0</v>
      </c>
      <c r="W50" s="13">
        <f t="shared" si="16"/>
        <v>2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1.0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9">
        <v>0.0</v>
      </c>
      <c r="O51" s="19">
        <v>0.0</v>
      </c>
      <c r="P51" s="19">
        <v>0.0</v>
      </c>
      <c r="Q51" s="19">
        <v>0.0</v>
      </c>
      <c r="R51" s="19">
        <v>0.0</v>
      </c>
      <c r="S51" s="19">
        <v>0.0</v>
      </c>
      <c r="T51" s="19">
        <v>0.0</v>
      </c>
      <c r="U51" s="19">
        <v>1.0</v>
      </c>
      <c r="V51" s="19">
        <v>1.0</v>
      </c>
      <c r="W51" s="13">
        <f t="shared" si="16"/>
        <v>3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1.0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9">
        <v>0.0</v>
      </c>
      <c r="W52" s="13">
        <f t="shared" si="16"/>
        <v>1</v>
      </c>
    </row>
    <row r="53" ht="12.75" customHeight="1">
      <c r="A53" s="18"/>
      <c r="B53" s="68"/>
      <c r="C53" s="69"/>
      <c r="D53" s="70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3">
        <f t="shared" si="16"/>
        <v>0</v>
      </c>
    </row>
    <row r="54" ht="12.75" customHeight="1">
      <c r="A54" s="18"/>
      <c r="B54" s="68"/>
      <c r="C54" s="69"/>
      <c r="D54" s="70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3">
        <f t="shared" si="16"/>
        <v>0</v>
      </c>
    </row>
    <row r="55" ht="15.0" customHeight="1">
      <c r="A55" s="19" t="s">
        <v>15</v>
      </c>
      <c r="B55" s="47" t="s">
        <v>47</v>
      </c>
      <c r="C55" s="15"/>
      <c r="D55" s="16"/>
      <c r="E55" s="13">
        <f t="shared" ref="E55:V55" si="17">SUM(E45:E52)</f>
        <v>17</v>
      </c>
      <c r="F55" s="13">
        <f t="shared" si="17"/>
        <v>35</v>
      </c>
      <c r="G55" s="13">
        <f t="shared" si="17"/>
        <v>46</v>
      </c>
      <c r="H55" s="13">
        <f t="shared" si="17"/>
        <v>35</v>
      </c>
      <c r="I55" s="13">
        <f t="shared" si="17"/>
        <v>22</v>
      </c>
      <c r="J55" s="13">
        <f t="shared" si="17"/>
        <v>25</v>
      </c>
      <c r="K55" s="13">
        <f t="shared" si="17"/>
        <v>38</v>
      </c>
      <c r="L55" s="13">
        <f t="shared" si="17"/>
        <v>30</v>
      </c>
      <c r="M55" s="13">
        <f t="shared" si="17"/>
        <v>30</v>
      </c>
      <c r="N55" s="13">
        <f t="shared" si="17"/>
        <v>54</v>
      </c>
      <c r="O55" s="13">
        <f t="shared" si="17"/>
        <v>29</v>
      </c>
      <c r="P55" s="13">
        <f t="shared" si="17"/>
        <v>31</v>
      </c>
      <c r="Q55" s="13">
        <f t="shared" si="17"/>
        <v>24</v>
      </c>
      <c r="R55" s="13">
        <f t="shared" si="17"/>
        <v>27</v>
      </c>
      <c r="S55" s="13">
        <f t="shared" si="17"/>
        <v>29</v>
      </c>
      <c r="T55" s="13">
        <f t="shared" si="17"/>
        <v>30</v>
      </c>
      <c r="U55" s="13">
        <f t="shared" si="17"/>
        <v>31</v>
      </c>
      <c r="V55" s="13">
        <f t="shared" si="17"/>
        <v>33</v>
      </c>
      <c r="W55" s="13">
        <f t="shared" si="16"/>
        <v>566</v>
      </c>
    </row>
    <row r="56" ht="12.75" customHeight="1">
      <c r="A56" s="45"/>
      <c r="B56" s="44"/>
      <c r="C56" s="44"/>
      <c r="D56" s="44"/>
      <c r="E56" s="44"/>
      <c r="W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6.0</v>
      </c>
      <c r="F57" s="19">
        <v>10.0</v>
      </c>
      <c r="G57" s="19">
        <v>10.0</v>
      </c>
      <c r="H57" s="19">
        <v>16.0</v>
      </c>
      <c r="I57" s="19">
        <v>13.0</v>
      </c>
      <c r="J57" s="19">
        <v>6.0</v>
      </c>
      <c r="K57" s="19">
        <v>10.0</v>
      </c>
      <c r="L57" s="19">
        <v>6.0</v>
      </c>
      <c r="M57" s="19">
        <v>5.0</v>
      </c>
      <c r="N57" s="19">
        <v>7.0</v>
      </c>
      <c r="O57" s="19">
        <v>8.0</v>
      </c>
      <c r="P57" s="19">
        <v>6.0</v>
      </c>
      <c r="Q57" s="19">
        <v>14.0</v>
      </c>
      <c r="R57" s="19">
        <v>17.0</v>
      </c>
      <c r="S57" s="19">
        <v>9.0</v>
      </c>
      <c r="T57" s="19">
        <v>8.0</v>
      </c>
      <c r="U57" s="19">
        <v>18.0</v>
      </c>
      <c r="V57" s="19">
        <v>18.0</v>
      </c>
      <c r="W57" s="13">
        <f t="shared" ref="W57:W67" si="18">SUM(E57:V57)</f>
        <v>187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8.0</v>
      </c>
      <c r="F58" s="19">
        <v>6.0</v>
      </c>
      <c r="G58" s="19">
        <v>7.0</v>
      </c>
      <c r="H58" s="19">
        <v>12.0</v>
      </c>
      <c r="I58" s="19">
        <v>12.0</v>
      </c>
      <c r="J58" s="19">
        <v>8.0</v>
      </c>
      <c r="K58" s="19">
        <v>8.0</v>
      </c>
      <c r="L58" s="19">
        <v>5.0</v>
      </c>
      <c r="M58" s="19">
        <v>2.0</v>
      </c>
      <c r="N58" s="19">
        <v>11.0</v>
      </c>
      <c r="O58" s="19">
        <v>16.0</v>
      </c>
      <c r="P58" s="19">
        <v>28.0</v>
      </c>
      <c r="Q58" s="19">
        <v>35.0</v>
      </c>
      <c r="R58" s="19">
        <v>25.0</v>
      </c>
      <c r="S58" s="19">
        <v>7.0</v>
      </c>
      <c r="T58" s="19">
        <v>8.0</v>
      </c>
      <c r="U58" s="19">
        <v>17.0</v>
      </c>
      <c r="V58" s="19">
        <v>10.0</v>
      </c>
      <c r="W58" s="13">
        <f t="shared" si="18"/>
        <v>225</v>
      </c>
    </row>
    <row r="59" ht="12.75" customHeight="1">
      <c r="A59" s="18"/>
      <c r="B59" s="55">
        <v>2.0</v>
      </c>
      <c r="C59" s="50" t="s">
        <v>50</v>
      </c>
      <c r="D59" s="56"/>
      <c r="E59" s="19">
        <v>1.0</v>
      </c>
      <c r="F59" s="19">
        <v>1.0</v>
      </c>
      <c r="G59" s="19">
        <v>5.0</v>
      </c>
      <c r="H59" s="19">
        <v>3.0</v>
      </c>
      <c r="I59" s="19">
        <v>2.0</v>
      </c>
      <c r="J59" s="19">
        <v>4.0</v>
      </c>
      <c r="K59" s="19">
        <v>5.0</v>
      </c>
      <c r="L59" s="19">
        <v>2.0</v>
      </c>
      <c r="M59" s="19">
        <v>5.0</v>
      </c>
      <c r="N59" s="19">
        <v>1.0</v>
      </c>
      <c r="O59" s="19">
        <v>5.0</v>
      </c>
      <c r="P59" s="19">
        <v>7.0</v>
      </c>
      <c r="Q59" s="19">
        <v>3.0</v>
      </c>
      <c r="R59" s="19">
        <v>7.0</v>
      </c>
      <c r="S59" s="19">
        <v>4.0</v>
      </c>
      <c r="T59" s="19">
        <v>2.0</v>
      </c>
      <c r="U59" s="19">
        <v>4.0</v>
      </c>
      <c r="V59" s="19">
        <v>4.0</v>
      </c>
      <c r="W59" s="13">
        <f t="shared" si="18"/>
        <v>65</v>
      </c>
    </row>
    <row r="60" ht="12.75" customHeight="1">
      <c r="A60" s="18"/>
      <c r="B60" s="55">
        <v>3.0</v>
      </c>
      <c r="C60" s="50" t="s">
        <v>51</v>
      </c>
      <c r="D60" s="56"/>
      <c r="E60" s="19">
        <v>1.0</v>
      </c>
      <c r="F60" s="19">
        <v>1.0</v>
      </c>
      <c r="G60" s="19">
        <v>0.0</v>
      </c>
      <c r="H60" s="19">
        <v>2.0</v>
      </c>
      <c r="I60" s="19">
        <v>0.0</v>
      </c>
      <c r="J60" s="19">
        <v>0.0</v>
      </c>
      <c r="K60" s="19">
        <v>0.0</v>
      </c>
      <c r="L60" s="19">
        <v>0.0</v>
      </c>
      <c r="M60" s="19">
        <v>1.0</v>
      </c>
      <c r="N60" s="19">
        <v>0.0</v>
      </c>
      <c r="O60" s="19">
        <v>1.0</v>
      </c>
      <c r="P60" s="19">
        <v>1.0</v>
      </c>
      <c r="Q60" s="19">
        <v>2.0</v>
      </c>
      <c r="R60" s="19">
        <v>2.0</v>
      </c>
      <c r="S60" s="19">
        <v>1.0</v>
      </c>
      <c r="T60" s="19">
        <v>2.0</v>
      </c>
      <c r="U60" s="19">
        <v>0.0</v>
      </c>
      <c r="V60" s="19">
        <v>0.0</v>
      </c>
      <c r="W60" s="13">
        <f t="shared" si="18"/>
        <v>14</v>
      </c>
    </row>
    <row r="61" ht="12.75" customHeight="1">
      <c r="A61" s="18"/>
      <c r="B61" s="55">
        <v>4.0</v>
      </c>
      <c r="C61" s="50" t="s">
        <v>52</v>
      </c>
      <c r="D61" s="56"/>
      <c r="E61" s="19">
        <v>0.0</v>
      </c>
      <c r="F61" s="19">
        <v>1.0</v>
      </c>
      <c r="G61" s="19">
        <v>2.0</v>
      </c>
      <c r="H61" s="19">
        <v>2.0</v>
      </c>
      <c r="I61" s="19">
        <v>0.0</v>
      </c>
      <c r="J61" s="19">
        <v>2.0</v>
      </c>
      <c r="K61" s="19">
        <v>1.0</v>
      </c>
      <c r="L61" s="19">
        <v>0.0</v>
      </c>
      <c r="M61" s="19">
        <v>0.0</v>
      </c>
      <c r="N61" s="19">
        <v>0.0</v>
      </c>
      <c r="O61" s="19">
        <v>0.0</v>
      </c>
      <c r="P61" s="19">
        <v>1.0</v>
      </c>
      <c r="Q61" s="19">
        <v>1.0</v>
      </c>
      <c r="R61" s="19">
        <v>3.0</v>
      </c>
      <c r="S61" s="19">
        <v>2.0</v>
      </c>
      <c r="T61" s="19">
        <v>0.0</v>
      </c>
      <c r="U61" s="19">
        <v>0.0</v>
      </c>
      <c r="V61" s="19">
        <v>0.0</v>
      </c>
      <c r="W61" s="13">
        <f t="shared" si="18"/>
        <v>15</v>
      </c>
    </row>
    <row r="62" ht="12.75" customHeight="1">
      <c r="A62" s="18"/>
      <c r="B62" s="55">
        <v>5.0</v>
      </c>
      <c r="C62" s="50" t="s">
        <v>53</v>
      </c>
      <c r="D62" s="56"/>
      <c r="E62" s="19">
        <v>1.0</v>
      </c>
      <c r="F62" s="19">
        <v>0.0</v>
      </c>
      <c r="G62" s="19">
        <v>1.0</v>
      </c>
      <c r="H62" s="19">
        <v>0.0</v>
      </c>
      <c r="I62" s="19">
        <v>0.0</v>
      </c>
      <c r="J62" s="19">
        <v>0.0</v>
      </c>
      <c r="K62" s="19">
        <v>0.0</v>
      </c>
      <c r="L62" s="19">
        <v>0.0</v>
      </c>
      <c r="M62" s="19">
        <v>0.0</v>
      </c>
      <c r="N62" s="19">
        <v>0.0</v>
      </c>
      <c r="O62" s="19">
        <v>0.0</v>
      </c>
      <c r="P62" s="19">
        <v>0.0</v>
      </c>
      <c r="Q62" s="19">
        <v>0.0</v>
      </c>
      <c r="R62" s="19">
        <v>0.0</v>
      </c>
      <c r="S62" s="19">
        <v>0.0</v>
      </c>
      <c r="T62" s="19">
        <v>0.0</v>
      </c>
      <c r="U62" s="19">
        <v>0.0</v>
      </c>
      <c r="V62" s="19">
        <v>0.0</v>
      </c>
      <c r="W62" s="13">
        <f t="shared" si="18"/>
        <v>2</v>
      </c>
    </row>
    <row r="63" ht="12.75" customHeight="1">
      <c r="A63" s="18"/>
      <c r="B63" s="55">
        <v>6.0</v>
      </c>
      <c r="C63" s="50" t="s">
        <v>54</v>
      </c>
      <c r="D63" s="57"/>
      <c r="E63" s="19">
        <v>0.0</v>
      </c>
      <c r="F63" s="19">
        <v>1.0</v>
      </c>
      <c r="G63" s="19">
        <v>0.0</v>
      </c>
      <c r="H63" s="19">
        <v>0.0</v>
      </c>
      <c r="I63" s="19">
        <v>2.0</v>
      </c>
      <c r="J63" s="19">
        <v>1.0</v>
      </c>
      <c r="K63" s="19">
        <v>0.0</v>
      </c>
      <c r="L63" s="19">
        <v>0.0</v>
      </c>
      <c r="M63" s="19">
        <v>0.0</v>
      </c>
      <c r="N63" s="19">
        <v>1.0</v>
      </c>
      <c r="O63" s="19">
        <v>0.0</v>
      </c>
      <c r="P63" s="19">
        <v>0.0</v>
      </c>
      <c r="Q63" s="19">
        <v>1.0</v>
      </c>
      <c r="R63" s="19">
        <v>0.0</v>
      </c>
      <c r="S63" s="19">
        <v>1.0</v>
      </c>
      <c r="T63" s="19">
        <v>2.0</v>
      </c>
      <c r="U63" s="19">
        <v>0.0</v>
      </c>
      <c r="V63" s="19">
        <v>1.0</v>
      </c>
      <c r="W63" s="13">
        <f t="shared" si="18"/>
        <v>10</v>
      </c>
    </row>
    <row r="64" ht="12.75" customHeight="1">
      <c r="A64" s="18"/>
      <c r="B64" s="55">
        <v>7.0</v>
      </c>
      <c r="C64" s="50" t="s">
        <v>55</v>
      </c>
      <c r="D64" s="56"/>
      <c r="E64" s="19">
        <v>0.0</v>
      </c>
      <c r="F64" s="19">
        <v>0.0</v>
      </c>
      <c r="G64" s="19">
        <v>0.0</v>
      </c>
      <c r="H64" s="19">
        <v>0.0</v>
      </c>
      <c r="I64" s="19">
        <v>0.0</v>
      </c>
      <c r="J64" s="19">
        <v>0.0</v>
      </c>
      <c r="K64" s="19">
        <v>0.0</v>
      </c>
      <c r="L64" s="19">
        <v>0.0</v>
      </c>
      <c r="M64" s="19">
        <v>0.0</v>
      </c>
      <c r="N64" s="19">
        <v>0.0</v>
      </c>
      <c r="O64" s="19">
        <v>0.0</v>
      </c>
      <c r="P64" s="19">
        <v>0.0</v>
      </c>
      <c r="Q64" s="19">
        <v>0.0</v>
      </c>
      <c r="R64" s="19">
        <v>0.0</v>
      </c>
      <c r="S64" s="19">
        <v>1.0</v>
      </c>
      <c r="T64" s="19">
        <v>0.0</v>
      </c>
      <c r="U64" s="19">
        <v>0.0</v>
      </c>
      <c r="V64" s="19">
        <v>0.0</v>
      </c>
      <c r="W64" s="13">
        <f t="shared" si="18"/>
        <v>1</v>
      </c>
    </row>
    <row r="65" ht="12.75" customHeight="1">
      <c r="A65" s="18"/>
      <c r="B65" s="68"/>
      <c r="C65" s="69"/>
      <c r="D65" s="70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3">
        <f t="shared" si="18"/>
        <v>0</v>
      </c>
    </row>
    <row r="66" ht="12.75" customHeight="1">
      <c r="A66" s="18"/>
      <c r="B66" s="68"/>
      <c r="C66" s="69"/>
      <c r="D66" s="70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3">
        <f t="shared" si="18"/>
        <v>0</v>
      </c>
    </row>
    <row r="67" ht="15.0" customHeight="1">
      <c r="A67" s="19" t="s">
        <v>15</v>
      </c>
      <c r="B67" s="47" t="s">
        <v>47</v>
      </c>
      <c r="C67" s="15"/>
      <c r="D67" s="16"/>
      <c r="E67" s="13">
        <f t="shared" ref="E67:V67" si="19">SUM(E57:E64)</f>
        <v>17</v>
      </c>
      <c r="F67" s="13">
        <f t="shared" si="19"/>
        <v>20</v>
      </c>
      <c r="G67" s="13">
        <f t="shared" si="19"/>
        <v>25</v>
      </c>
      <c r="H67" s="13">
        <f t="shared" si="19"/>
        <v>35</v>
      </c>
      <c r="I67" s="13">
        <f t="shared" si="19"/>
        <v>29</v>
      </c>
      <c r="J67" s="13">
        <f t="shared" si="19"/>
        <v>21</v>
      </c>
      <c r="K67" s="13">
        <f t="shared" si="19"/>
        <v>24</v>
      </c>
      <c r="L67" s="13">
        <f t="shared" si="19"/>
        <v>13</v>
      </c>
      <c r="M67" s="13">
        <f t="shared" si="19"/>
        <v>13</v>
      </c>
      <c r="N67" s="13">
        <f t="shared" si="19"/>
        <v>20</v>
      </c>
      <c r="O67" s="13">
        <f t="shared" si="19"/>
        <v>30</v>
      </c>
      <c r="P67" s="13">
        <f t="shared" si="19"/>
        <v>43</v>
      </c>
      <c r="Q67" s="13">
        <f t="shared" si="19"/>
        <v>56</v>
      </c>
      <c r="R67" s="13">
        <f t="shared" si="19"/>
        <v>54</v>
      </c>
      <c r="S67" s="13">
        <f t="shared" si="19"/>
        <v>25</v>
      </c>
      <c r="T67" s="13">
        <f t="shared" si="19"/>
        <v>22</v>
      </c>
      <c r="U67" s="13">
        <f t="shared" si="19"/>
        <v>39</v>
      </c>
      <c r="V67" s="13">
        <f t="shared" si="19"/>
        <v>33</v>
      </c>
      <c r="W67" s="13">
        <f t="shared" si="18"/>
        <v>519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22.0</v>
      </c>
      <c r="F69" s="19">
        <v>8.0</v>
      </c>
      <c r="G69" s="19">
        <v>5.0</v>
      </c>
      <c r="H69" s="19">
        <v>10.0</v>
      </c>
      <c r="I69" s="19">
        <v>9.0</v>
      </c>
      <c r="J69" s="19">
        <v>19.0</v>
      </c>
      <c r="K69" s="19">
        <v>7.0</v>
      </c>
      <c r="L69" s="19">
        <v>6.0</v>
      </c>
      <c r="M69" s="19">
        <v>3.0</v>
      </c>
      <c r="N69" s="19">
        <v>10.0</v>
      </c>
      <c r="O69" s="19">
        <v>6.0</v>
      </c>
      <c r="P69" s="19">
        <v>6.0</v>
      </c>
      <c r="Q69" s="19">
        <v>9.0</v>
      </c>
      <c r="R69" s="19">
        <v>5.0</v>
      </c>
      <c r="S69" s="19">
        <v>6.0</v>
      </c>
      <c r="T69" s="19">
        <v>5.0</v>
      </c>
      <c r="U69" s="19">
        <v>4.0</v>
      </c>
      <c r="V69" s="19">
        <v>10.0</v>
      </c>
      <c r="W69" s="13">
        <f t="shared" ref="W69:W79" si="20">SUM(E69:V69)</f>
        <v>150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8.0</v>
      </c>
      <c r="F70" s="19">
        <v>2.0</v>
      </c>
      <c r="G70" s="19">
        <v>4.0</v>
      </c>
      <c r="H70" s="19">
        <v>1.0</v>
      </c>
      <c r="I70" s="19">
        <v>2.0</v>
      </c>
      <c r="J70" s="19">
        <v>6.0</v>
      </c>
      <c r="K70" s="19">
        <v>17.0</v>
      </c>
      <c r="L70" s="19">
        <v>5.0</v>
      </c>
      <c r="M70" s="19">
        <v>2.0</v>
      </c>
      <c r="N70" s="19">
        <v>4.0</v>
      </c>
      <c r="O70" s="19">
        <v>3.0</v>
      </c>
      <c r="P70" s="19">
        <v>6.0</v>
      </c>
      <c r="Q70" s="19">
        <v>5.0</v>
      </c>
      <c r="R70" s="19">
        <v>9.0</v>
      </c>
      <c r="S70" s="19">
        <v>7.0</v>
      </c>
      <c r="T70" s="19">
        <v>4.0</v>
      </c>
      <c r="U70" s="19">
        <v>3.0</v>
      </c>
      <c r="V70" s="19">
        <v>8.0</v>
      </c>
      <c r="W70" s="13">
        <f t="shared" si="20"/>
        <v>96</v>
      </c>
    </row>
    <row r="71" ht="12.75" customHeight="1">
      <c r="A71" s="18"/>
      <c r="B71" s="55">
        <v>2.0</v>
      </c>
      <c r="C71" s="50" t="s">
        <v>58</v>
      </c>
      <c r="D71" s="57"/>
      <c r="E71" s="19">
        <v>2.0</v>
      </c>
      <c r="F71" s="19">
        <v>4.0</v>
      </c>
      <c r="G71" s="19">
        <v>1.0</v>
      </c>
      <c r="H71" s="19">
        <v>1.0</v>
      </c>
      <c r="I71" s="19">
        <v>2.0</v>
      </c>
      <c r="J71" s="19">
        <v>2.0</v>
      </c>
      <c r="K71" s="19">
        <v>5.0</v>
      </c>
      <c r="L71" s="19">
        <v>5.0</v>
      </c>
      <c r="M71" s="19">
        <v>8.0</v>
      </c>
      <c r="N71" s="19">
        <v>3.0</v>
      </c>
      <c r="O71" s="19">
        <v>3.0</v>
      </c>
      <c r="P71" s="19">
        <v>0.0</v>
      </c>
      <c r="Q71" s="19">
        <v>2.0</v>
      </c>
      <c r="R71" s="19">
        <v>4.0</v>
      </c>
      <c r="S71" s="19">
        <v>1.0</v>
      </c>
      <c r="T71" s="19">
        <v>0.0</v>
      </c>
      <c r="U71" s="19">
        <v>8.0</v>
      </c>
      <c r="V71" s="19">
        <v>10.0</v>
      </c>
      <c r="W71" s="13">
        <f t="shared" si="20"/>
        <v>61</v>
      </c>
    </row>
    <row r="72" ht="12.75" customHeight="1">
      <c r="A72" s="18"/>
      <c r="B72" s="55">
        <v>3.0</v>
      </c>
      <c r="C72" s="50" t="s">
        <v>59</v>
      </c>
      <c r="D72" s="57"/>
      <c r="E72" s="19">
        <v>13.0</v>
      </c>
      <c r="F72" s="19">
        <v>1.0</v>
      </c>
      <c r="G72" s="19">
        <v>11.0</v>
      </c>
      <c r="H72" s="19">
        <v>1.0</v>
      </c>
      <c r="I72" s="19">
        <v>9.0</v>
      </c>
      <c r="J72" s="19">
        <v>28.0</v>
      </c>
      <c r="K72" s="19">
        <v>16.0</v>
      </c>
      <c r="L72" s="19">
        <v>17.0</v>
      </c>
      <c r="M72" s="19">
        <v>10.0</v>
      </c>
      <c r="N72" s="19">
        <v>35.0</v>
      </c>
      <c r="O72" s="19">
        <v>35.0</v>
      </c>
      <c r="P72" s="19">
        <v>17.0</v>
      </c>
      <c r="Q72" s="19">
        <v>31.0</v>
      </c>
      <c r="R72" s="19">
        <v>25.0</v>
      </c>
      <c r="S72" s="19">
        <v>32.0</v>
      </c>
      <c r="T72" s="19">
        <v>18.0</v>
      </c>
      <c r="U72" s="19">
        <v>23.0</v>
      </c>
      <c r="V72" s="19">
        <v>6.0</v>
      </c>
      <c r="W72" s="13">
        <f t="shared" si="20"/>
        <v>328</v>
      </c>
    </row>
    <row r="73" ht="12.75" customHeight="1">
      <c r="A73" s="18"/>
      <c r="B73" s="55">
        <v>4.0</v>
      </c>
      <c r="C73" s="50" t="s">
        <v>60</v>
      </c>
      <c r="D73" s="57"/>
      <c r="E73" s="19">
        <v>26.0</v>
      </c>
      <c r="F73" s="19">
        <v>2.0</v>
      </c>
      <c r="G73" s="19">
        <v>0.0</v>
      </c>
      <c r="H73" s="19">
        <v>1.0</v>
      </c>
      <c r="I73" s="19">
        <v>0.0</v>
      </c>
      <c r="J73" s="19">
        <v>1.0</v>
      </c>
      <c r="K73" s="19">
        <v>1.0</v>
      </c>
      <c r="L73" s="19">
        <v>0.0</v>
      </c>
      <c r="M73" s="19">
        <v>0.0</v>
      </c>
      <c r="N73" s="19">
        <v>0.0</v>
      </c>
      <c r="O73" s="19">
        <v>1.0</v>
      </c>
      <c r="P73" s="19">
        <v>1.0</v>
      </c>
      <c r="Q73" s="19">
        <v>1.0</v>
      </c>
      <c r="R73" s="19">
        <v>1.0</v>
      </c>
      <c r="S73" s="19">
        <v>1.0</v>
      </c>
      <c r="T73" s="19">
        <v>0.0</v>
      </c>
      <c r="U73" s="19">
        <v>0.0</v>
      </c>
      <c r="V73" s="19">
        <v>2.0</v>
      </c>
      <c r="W73" s="13">
        <f t="shared" si="20"/>
        <v>38</v>
      </c>
    </row>
    <row r="74" ht="12.75" customHeight="1">
      <c r="A74" s="18"/>
      <c r="B74" s="55">
        <v>5.0</v>
      </c>
      <c r="C74" s="50" t="s">
        <v>61</v>
      </c>
      <c r="D74" s="57"/>
      <c r="E74" s="19">
        <v>7.0</v>
      </c>
      <c r="F74" s="19">
        <v>1.0</v>
      </c>
      <c r="G74" s="19">
        <v>1.0</v>
      </c>
      <c r="H74" s="19">
        <v>3.0</v>
      </c>
      <c r="I74" s="19">
        <v>4.0</v>
      </c>
      <c r="J74" s="19">
        <v>1.0</v>
      </c>
      <c r="K74" s="19">
        <v>5.0</v>
      </c>
      <c r="L74" s="19">
        <v>5.0</v>
      </c>
      <c r="M74" s="19">
        <v>8.0</v>
      </c>
      <c r="N74" s="19">
        <v>5.0</v>
      </c>
      <c r="O74" s="19">
        <v>5.0</v>
      </c>
      <c r="P74" s="19">
        <v>4.0</v>
      </c>
      <c r="Q74" s="19">
        <v>1.0</v>
      </c>
      <c r="R74" s="19">
        <v>5.0</v>
      </c>
      <c r="S74" s="19">
        <v>10.0</v>
      </c>
      <c r="T74" s="19">
        <v>1.0</v>
      </c>
      <c r="U74" s="19">
        <v>5.0</v>
      </c>
      <c r="V74" s="19">
        <v>1.0</v>
      </c>
      <c r="W74" s="13">
        <f t="shared" si="20"/>
        <v>72</v>
      </c>
    </row>
    <row r="75" ht="12.75" customHeight="1">
      <c r="A75" s="18"/>
      <c r="B75" s="55">
        <v>6.0</v>
      </c>
      <c r="C75" s="50" t="s">
        <v>62</v>
      </c>
      <c r="D75" s="57"/>
      <c r="E75" s="19">
        <v>0.0</v>
      </c>
      <c r="F75" s="19">
        <v>1.0</v>
      </c>
      <c r="G75" s="19">
        <v>0.0</v>
      </c>
      <c r="H75" s="19">
        <v>0.0</v>
      </c>
      <c r="I75" s="19">
        <v>0.0</v>
      </c>
      <c r="J75" s="19">
        <v>0.0</v>
      </c>
      <c r="K75" s="19">
        <v>0.0</v>
      </c>
      <c r="L75" s="19">
        <v>0.0</v>
      </c>
      <c r="M75" s="19">
        <v>0.0</v>
      </c>
      <c r="N75" s="19">
        <v>1.0</v>
      </c>
      <c r="O75" s="19">
        <v>2.0</v>
      </c>
      <c r="P75" s="19">
        <v>0.0</v>
      </c>
      <c r="Q75" s="19">
        <v>0.0</v>
      </c>
      <c r="R75" s="19">
        <v>0.0</v>
      </c>
      <c r="S75" s="19">
        <v>2.0</v>
      </c>
      <c r="T75" s="19">
        <v>0.0</v>
      </c>
      <c r="U75" s="19">
        <v>0.0</v>
      </c>
      <c r="V75" s="19">
        <v>1.0</v>
      </c>
      <c r="W75" s="13">
        <f t="shared" si="20"/>
        <v>7</v>
      </c>
    </row>
    <row r="76" ht="12.75" customHeight="1">
      <c r="A76" s="18"/>
      <c r="B76" s="55">
        <v>7.0</v>
      </c>
      <c r="C76" s="50" t="s">
        <v>63</v>
      </c>
      <c r="D76" s="57"/>
      <c r="E76" s="19">
        <v>0.0</v>
      </c>
      <c r="F76" s="19">
        <v>0.0</v>
      </c>
      <c r="G76" s="19">
        <v>3.0</v>
      </c>
      <c r="H76" s="19">
        <v>3.0</v>
      </c>
      <c r="I76" s="19">
        <v>5.0</v>
      </c>
      <c r="J76" s="19">
        <v>4.0</v>
      </c>
      <c r="K76" s="19">
        <v>4.0</v>
      </c>
      <c r="L76" s="19">
        <v>2.0</v>
      </c>
      <c r="M76" s="19">
        <v>1.0</v>
      </c>
      <c r="N76" s="19">
        <v>7.0</v>
      </c>
      <c r="O76" s="19">
        <v>0.0</v>
      </c>
      <c r="P76" s="19">
        <v>0.0</v>
      </c>
      <c r="Q76" s="19">
        <v>0.0</v>
      </c>
      <c r="R76" s="19">
        <v>0.0</v>
      </c>
      <c r="S76" s="19">
        <v>0.0</v>
      </c>
      <c r="T76" s="19">
        <v>0.0</v>
      </c>
      <c r="U76" s="19">
        <v>1.0</v>
      </c>
      <c r="V76" s="19">
        <v>0.0</v>
      </c>
      <c r="W76" s="13">
        <f t="shared" si="20"/>
        <v>30</v>
      </c>
    </row>
    <row r="77" ht="12.75" customHeight="1">
      <c r="A77" s="18"/>
      <c r="B77" s="68"/>
      <c r="C77" s="69"/>
      <c r="D77" s="71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3">
        <f t="shared" si="20"/>
        <v>0</v>
      </c>
    </row>
    <row r="78" ht="12.75" customHeight="1">
      <c r="A78" s="18"/>
      <c r="B78" s="68"/>
      <c r="C78" s="69"/>
      <c r="D78" s="71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3">
        <f t="shared" si="20"/>
        <v>0</v>
      </c>
    </row>
    <row r="79" ht="15.0" customHeight="1">
      <c r="A79" s="19" t="s">
        <v>15</v>
      </c>
      <c r="B79" s="47" t="s">
        <v>47</v>
      </c>
      <c r="C79" s="15"/>
      <c r="D79" s="16"/>
      <c r="E79" s="13">
        <f t="shared" ref="E79:V79" si="21">SUM(E69:E76)</f>
        <v>78</v>
      </c>
      <c r="F79" s="13">
        <f t="shared" si="21"/>
        <v>19</v>
      </c>
      <c r="G79" s="13">
        <f t="shared" si="21"/>
        <v>25</v>
      </c>
      <c r="H79" s="13">
        <f t="shared" si="21"/>
        <v>20</v>
      </c>
      <c r="I79" s="13">
        <f t="shared" si="21"/>
        <v>31</v>
      </c>
      <c r="J79" s="13">
        <f t="shared" si="21"/>
        <v>61</v>
      </c>
      <c r="K79" s="13">
        <f t="shared" si="21"/>
        <v>55</v>
      </c>
      <c r="L79" s="13">
        <f t="shared" si="21"/>
        <v>40</v>
      </c>
      <c r="M79" s="13">
        <f t="shared" si="21"/>
        <v>32</v>
      </c>
      <c r="N79" s="13">
        <f t="shared" si="21"/>
        <v>65</v>
      </c>
      <c r="O79" s="13">
        <f t="shared" si="21"/>
        <v>55</v>
      </c>
      <c r="P79" s="13">
        <f t="shared" si="21"/>
        <v>34</v>
      </c>
      <c r="Q79" s="13">
        <f t="shared" si="21"/>
        <v>49</v>
      </c>
      <c r="R79" s="13">
        <f t="shared" si="21"/>
        <v>49</v>
      </c>
      <c r="S79" s="13">
        <f t="shared" si="21"/>
        <v>59</v>
      </c>
      <c r="T79" s="13">
        <f t="shared" si="21"/>
        <v>28</v>
      </c>
      <c r="U79" s="13">
        <f t="shared" si="21"/>
        <v>44</v>
      </c>
      <c r="V79" s="13">
        <f t="shared" si="21"/>
        <v>38</v>
      </c>
      <c r="W79" s="13">
        <f t="shared" si="20"/>
        <v>782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7.0</v>
      </c>
      <c r="F81" s="19">
        <v>3.0</v>
      </c>
      <c r="G81" s="19">
        <v>10.0</v>
      </c>
      <c r="H81" s="19">
        <v>14.0</v>
      </c>
      <c r="I81" s="19">
        <v>11.0</v>
      </c>
      <c r="J81" s="19">
        <v>14.0</v>
      </c>
      <c r="K81" s="19">
        <v>9.0</v>
      </c>
      <c r="L81" s="19">
        <v>16.0</v>
      </c>
      <c r="M81" s="19">
        <v>13.0</v>
      </c>
      <c r="N81" s="19">
        <v>7.0</v>
      </c>
      <c r="O81" s="19">
        <v>9.0</v>
      </c>
      <c r="P81" s="19">
        <v>1.0</v>
      </c>
      <c r="Q81" s="19">
        <v>7.0</v>
      </c>
      <c r="R81" s="19">
        <v>10.0</v>
      </c>
      <c r="S81" s="19">
        <v>6.0</v>
      </c>
      <c r="T81" s="19">
        <v>12.0</v>
      </c>
      <c r="U81" s="19">
        <v>8.0</v>
      </c>
      <c r="V81" s="19">
        <v>8.0</v>
      </c>
      <c r="W81" s="13">
        <f t="shared" ref="W81:W91" si="22">SUM(E81:V81)</f>
        <v>165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3.0</v>
      </c>
      <c r="F82" s="19">
        <v>0.0</v>
      </c>
      <c r="G82" s="19">
        <v>36.0</v>
      </c>
      <c r="H82" s="19">
        <v>23.0</v>
      </c>
      <c r="I82" s="19">
        <v>29.0</v>
      </c>
      <c r="J82" s="19">
        <v>16.0</v>
      </c>
      <c r="K82" s="19">
        <v>14.0</v>
      </c>
      <c r="L82" s="19">
        <v>23.0</v>
      </c>
      <c r="M82" s="19">
        <v>31.0</v>
      </c>
      <c r="N82" s="19">
        <v>15.0</v>
      </c>
      <c r="O82" s="19">
        <v>3.0</v>
      </c>
      <c r="P82" s="19">
        <v>4.0</v>
      </c>
      <c r="Q82" s="19">
        <v>2.0</v>
      </c>
      <c r="R82" s="19">
        <v>8.0</v>
      </c>
      <c r="S82" s="19">
        <v>11.0</v>
      </c>
      <c r="T82" s="19">
        <v>10.0</v>
      </c>
      <c r="U82" s="19">
        <v>6.0</v>
      </c>
      <c r="V82" s="19">
        <v>9.0</v>
      </c>
      <c r="W82" s="13">
        <f t="shared" si="22"/>
        <v>243</v>
      </c>
    </row>
    <row r="83" ht="12.75" customHeight="1">
      <c r="A83" s="18"/>
      <c r="B83" s="55">
        <v>2.0</v>
      </c>
      <c r="C83" s="50" t="s">
        <v>66</v>
      </c>
      <c r="D83" s="57"/>
      <c r="E83" s="19">
        <v>2.0</v>
      </c>
      <c r="F83" s="19">
        <v>1.0</v>
      </c>
      <c r="G83" s="19">
        <v>5.0</v>
      </c>
      <c r="H83" s="19">
        <v>9.0</v>
      </c>
      <c r="I83" s="19">
        <v>6.0</v>
      </c>
      <c r="J83" s="19">
        <v>7.0</v>
      </c>
      <c r="K83" s="19">
        <v>8.0</v>
      </c>
      <c r="L83" s="19">
        <v>4.0</v>
      </c>
      <c r="M83" s="19">
        <v>6.0</v>
      </c>
      <c r="N83" s="19">
        <v>2.0</v>
      </c>
      <c r="O83" s="19">
        <v>5.0</v>
      </c>
      <c r="P83" s="19">
        <v>3.0</v>
      </c>
      <c r="Q83" s="19">
        <v>5.0</v>
      </c>
      <c r="R83" s="19">
        <v>6.0</v>
      </c>
      <c r="S83" s="19">
        <v>3.0</v>
      </c>
      <c r="T83" s="19">
        <v>6.0</v>
      </c>
      <c r="U83" s="19">
        <v>3.0</v>
      </c>
      <c r="V83" s="19">
        <v>18.0</v>
      </c>
      <c r="W83" s="13">
        <f t="shared" si="22"/>
        <v>99</v>
      </c>
    </row>
    <row r="84" ht="12.75" customHeight="1">
      <c r="A84" s="18"/>
      <c r="B84" s="55">
        <v>3.0</v>
      </c>
      <c r="C84" s="50" t="s">
        <v>67</v>
      </c>
      <c r="D84" s="57"/>
      <c r="E84" s="19">
        <v>1.0</v>
      </c>
      <c r="F84" s="19">
        <v>0.0</v>
      </c>
      <c r="G84" s="19">
        <v>1.0</v>
      </c>
      <c r="H84" s="19">
        <v>1.0</v>
      </c>
      <c r="I84" s="19">
        <v>1.0</v>
      </c>
      <c r="J84" s="19">
        <v>0.0</v>
      </c>
      <c r="K84" s="19">
        <v>0.0</v>
      </c>
      <c r="L84" s="19">
        <v>4.0</v>
      </c>
      <c r="M84" s="19">
        <v>0.0</v>
      </c>
      <c r="N84" s="19">
        <v>0.0</v>
      </c>
      <c r="O84" s="19">
        <v>1.0</v>
      </c>
      <c r="P84" s="19">
        <v>1.0</v>
      </c>
      <c r="Q84" s="19">
        <v>1.0</v>
      </c>
      <c r="R84" s="19">
        <v>0.0</v>
      </c>
      <c r="S84" s="19">
        <v>3.0</v>
      </c>
      <c r="T84" s="19">
        <v>0.0</v>
      </c>
      <c r="U84" s="19">
        <v>0.0</v>
      </c>
      <c r="V84" s="19">
        <v>1.0</v>
      </c>
      <c r="W84" s="13">
        <f t="shared" si="22"/>
        <v>15</v>
      </c>
    </row>
    <row r="85" ht="12.75" customHeight="1">
      <c r="A85" s="18"/>
      <c r="B85" s="55">
        <v>4.0</v>
      </c>
      <c r="C85" s="50" t="s">
        <v>68</v>
      </c>
      <c r="D85" s="57"/>
      <c r="E85" s="19">
        <v>3.0</v>
      </c>
      <c r="F85" s="19">
        <v>0.0</v>
      </c>
      <c r="G85" s="19">
        <v>3.0</v>
      </c>
      <c r="H85" s="19">
        <v>0.0</v>
      </c>
      <c r="I85" s="19">
        <v>1.0</v>
      </c>
      <c r="J85" s="19">
        <v>0.0</v>
      </c>
      <c r="K85" s="19">
        <v>1.0</v>
      </c>
      <c r="L85" s="19">
        <v>1.0</v>
      </c>
      <c r="M85" s="19">
        <v>0.0</v>
      </c>
      <c r="N85" s="19">
        <v>1.0</v>
      </c>
      <c r="O85" s="19">
        <v>3.0</v>
      </c>
      <c r="P85" s="19">
        <v>1.0</v>
      </c>
      <c r="Q85" s="19">
        <v>1.0</v>
      </c>
      <c r="R85" s="19">
        <v>0.0</v>
      </c>
      <c r="S85" s="19">
        <v>0.0</v>
      </c>
      <c r="T85" s="19">
        <v>0.0</v>
      </c>
      <c r="U85" s="19">
        <v>1.0</v>
      </c>
      <c r="V85" s="19">
        <v>1.0</v>
      </c>
      <c r="W85" s="13">
        <f t="shared" si="22"/>
        <v>17</v>
      </c>
    </row>
    <row r="86" ht="12.75" customHeight="1">
      <c r="A86" s="18"/>
      <c r="B86" s="55">
        <v>5.0</v>
      </c>
      <c r="C86" s="50" t="s">
        <v>69</v>
      </c>
      <c r="D86" s="57"/>
      <c r="E86" s="19">
        <v>0.0</v>
      </c>
      <c r="F86" s="19">
        <v>0.0</v>
      </c>
      <c r="G86" s="19">
        <v>4.0</v>
      </c>
      <c r="H86" s="19">
        <v>2.0</v>
      </c>
      <c r="I86" s="19">
        <v>8.0</v>
      </c>
      <c r="J86" s="19">
        <v>0.0</v>
      </c>
      <c r="K86" s="19">
        <v>1.0</v>
      </c>
      <c r="L86" s="19">
        <v>0.0</v>
      </c>
      <c r="M86" s="19">
        <v>1.0</v>
      </c>
      <c r="N86" s="19">
        <v>2.0</v>
      </c>
      <c r="O86" s="19">
        <v>1.0</v>
      </c>
      <c r="P86" s="19">
        <v>0.0</v>
      </c>
      <c r="Q86" s="19">
        <v>0.0</v>
      </c>
      <c r="R86" s="19">
        <v>0.0</v>
      </c>
      <c r="S86" s="19">
        <v>1.0</v>
      </c>
      <c r="T86" s="19">
        <v>0.0</v>
      </c>
      <c r="U86" s="19">
        <v>2.0</v>
      </c>
      <c r="V86" s="19">
        <v>0.0</v>
      </c>
      <c r="W86" s="13">
        <f t="shared" si="22"/>
        <v>22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1.0</v>
      </c>
      <c r="G87" s="19">
        <v>0.0</v>
      </c>
      <c r="H87" s="19">
        <v>0.0</v>
      </c>
      <c r="I87" s="19">
        <v>1.0</v>
      </c>
      <c r="J87" s="19">
        <v>0.0</v>
      </c>
      <c r="K87" s="19">
        <v>0.0</v>
      </c>
      <c r="L87" s="19">
        <v>0.0</v>
      </c>
      <c r="M87" s="19">
        <v>0.0</v>
      </c>
      <c r="N87" s="19">
        <v>1.0</v>
      </c>
      <c r="O87" s="19">
        <v>0.0</v>
      </c>
      <c r="P87" s="19">
        <v>1.0</v>
      </c>
      <c r="Q87" s="19">
        <v>0.0</v>
      </c>
      <c r="R87" s="19">
        <v>0.0</v>
      </c>
      <c r="S87" s="19">
        <v>1.0</v>
      </c>
      <c r="T87" s="19">
        <v>0.0</v>
      </c>
      <c r="U87" s="19">
        <v>1.0</v>
      </c>
      <c r="V87" s="19">
        <v>0.0</v>
      </c>
      <c r="W87" s="13">
        <f t="shared" si="22"/>
        <v>6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1.0</v>
      </c>
      <c r="L88" s="19">
        <v>0.0</v>
      </c>
      <c r="M88" s="19">
        <v>0.0</v>
      </c>
      <c r="N88" s="19">
        <v>0.0</v>
      </c>
      <c r="O88" s="19">
        <v>0.0</v>
      </c>
      <c r="P88" s="19">
        <v>0.0</v>
      </c>
      <c r="Q88" s="19">
        <v>0.0</v>
      </c>
      <c r="R88" s="19">
        <v>1.0</v>
      </c>
      <c r="S88" s="19">
        <v>0.0</v>
      </c>
      <c r="T88" s="19">
        <v>0.0</v>
      </c>
      <c r="U88" s="19">
        <v>0.0</v>
      </c>
      <c r="V88" s="19">
        <v>0.0</v>
      </c>
      <c r="W88" s="13">
        <f t="shared" si="22"/>
        <v>2</v>
      </c>
    </row>
    <row r="89" ht="12.75" customHeight="1">
      <c r="A89" s="18"/>
      <c r="B89" s="68"/>
      <c r="C89" s="69"/>
      <c r="D89" s="71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3">
        <f t="shared" si="22"/>
        <v>0</v>
      </c>
    </row>
    <row r="90" ht="12.75" customHeight="1">
      <c r="A90" s="18"/>
      <c r="B90" s="68"/>
      <c r="C90" s="69"/>
      <c r="D90" s="71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3">
        <f t="shared" si="22"/>
        <v>0</v>
      </c>
    </row>
    <row r="91" ht="15.0" customHeight="1">
      <c r="A91" s="19" t="s">
        <v>15</v>
      </c>
      <c r="B91" s="47" t="s">
        <v>47</v>
      </c>
      <c r="C91" s="15"/>
      <c r="D91" s="16"/>
      <c r="E91" s="13">
        <f t="shared" ref="E91:V91" si="23">SUM(E81:E88)</f>
        <v>16</v>
      </c>
      <c r="F91" s="13">
        <f t="shared" si="23"/>
        <v>5</v>
      </c>
      <c r="G91" s="13">
        <f t="shared" si="23"/>
        <v>59</v>
      </c>
      <c r="H91" s="13">
        <f t="shared" si="23"/>
        <v>49</v>
      </c>
      <c r="I91" s="13">
        <f t="shared" si="23"/>
        <v>57</v>
      </c>
      <c r="J91" s="13">
        <f t="shared" si="23"/>
        <v>37</v>
      </c>
      <c r="K91" s="13">
        <f t="shared" si="23"/>
        <v>34</v>
      </c>
      <c r="L91" s="13">
        <f t="shared" si="23"/>
        <v>48</v>
      </c>
      <c r="M91" s="13">
        <f t="shared" si="23"/>
        <v>51</v>
      </c>
      <c r="N91" s="13">
        <f t="shared" si="23"/>
        <v>28</v>
      </c>
      <c r="O91" s="13">
        <f t="shared" si="23"/>
        <v>22</v>
      </c>
      <c r="P91" s="13">
        <f t="shared" si="23"/>
        <v>11</v>
      </c>
      <c r="Q91" s="13">
        <f t="shared" si="23"/>
        <v>16</v>
      </c>
      <c r="R91" s="13">
        <f t="shared" si="23"/>
        <v>25</v>
      </c>
      <c r="S91" s="13">
        <f t="shared" si="23"/>
        <v>25</v>
      </c>
      <c r="T91" s="13">
        <f t="shared" si="23"/>
        <v>28</v>
      </c>
      <c r="U91" s="13">
        <f t="shared" si="23"/>
        <v>21</v>
      </c>
      <c r="V91" s="13">
        <f t="shared" si="23"/>
        <v>37</v>
      </c>
      <c r="W91" s="13">
        <f t="shared" si="22"/>
        <v>569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0.0</v>
      </c>
      <c r="F93" s="19">
        <v>0.0</v>
      </c>
      <c r="G93" s="19">
        <v>0.0</v>
      </c>
      <c r="H93" s="19">
        <v>0.0</v>
      </c>
      <c r="I93" s="19">
        <v>1.0</v>
      </c>
      <c r="J93" s="19">
        <v>0.0</v>
      </c>
      <c r="K93" s="19">
        <v>2.0</v>
      </c>
      <c r="L93" s="19">
        <v>0.0</v>
      </c>
      <c r="M93" s="19">
        <v>2.0</v>
      </c>
      <c r="N93" s="19">
        <v>1.0</v>
      </c>
      <c r="O93" s="19">
        <v>2.0</v>
      </c>
      <c r="P93" s="19">
        <v>1.0</v>
      </c>
      <c r="Q93" s="19">
        <v>1.0</v>
      </c>
      <c r="R93" s="19">
        <v>3.0</v>
      </c>
      <c r="S93" s="19">
        <v>4.0</v>
      </c>
      <c r="T93" s="19">
        <v>6.0</v>
      </c>
      <c r="U93" s="19">
        <v>6.0</v>
      </c>
      <c r="V93" s="19">
        <v>2.0</v>
      </c>
      <c r="W93" s="13">
        <f t="shared" ref="W93:W103" si="24">SUM(E93:V93)</f>
        <v>31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0.0</v>
      </c>
      <c r="F94" s="19">
        <v>0.0</v>
      </c>
      <c r="G94" s="19">
        <v>1.0</v>
      </c>
      <c r="H94" s="19">
        <v>2.0</v>
      </c>
      <c r="I94" s="19">
        <v>0.0</v>
      </c>
      <c r="J94" s="19">
        <v>2.0</v>
      </c>
      <c r="K94" s="19">
        <v>4.0</v>
      </c>
      <c r="L94" s="19">
        <v>0.0</v>
      </c>
      <c r="M94" s="19">
        <v>0.0</v>
      </c>
      <c r="N94" s="19">
        <v>0.0</v>
      </c>
      <c r="O94" s="19">
        <v>1.0</v>
      </c>
      <c r="P94" s="19">
        <v>3.0</v>
      </c>
      <c r="Q94" s="19">
        <v>0.0</v>
      </c>
      <c r="R94" s="19">
        <v>1.0</v>
      </c>
      <c r="S94" s="19">
        <v>3.0</v>
      </c>
      <c r="T94" s="19">
        <v>3.0</v>
      </c>
      <c r="U94" s="19">
        <v>10.0</v>
      </c>
      <c r="V94" s="19">
        <v>12.0</v>
      </c>
      <c r="W94" s="13">
        <f t="shared" si="24"/>
        <v>42</v>
      </c>
    </row>
    <row r="95" ht="12.75" customHeight="1">
      <c r="A95" s="18"/>
      <c r="B95" s="55">
        <v>2.0</v>
      </c>
      <c r="C95" s="50" t="s">
        <v>75</v>
      </c>
      <c r="D95" s="57"/>
      <c r="E95" s="19">
        <v>0.0</v>
      </c>
      <c r="F95" s="19">
        <v>0.0</v>
      </c>
      <c r="G95" s="19">
        <v>0.0</v>
      </c>
      <c r="H95" s="19">
        <v>0.0</v>
      </c>
      <c r="I95" s="19">
        <v>0.0</v>
      </c>
      <c r="J95" s="19">
        <v>0.0</v>
      </c>
      <c r="K95" s="19">
        <v>0.0</v>
      </c>
      <c r="L95" s="19">
        <v>0.0</v>
      </c>
      <c r="M95" s="19">
        <v>0.0</v>
      </c>
      <c r="N95" s="19">
        <v>0.0</v>
      </c>
      <c r="O95" s="19">
        <v>0.0</v>
      </c>
      <c r="P95" s="19">
        <v>0.0</v>
      </c>
      <c r="Q95" s="19">
        <v>0.0</v>
      </c>
      <c r="R95" s="19">
        <v>0.0</v>
      </c>
      <c r="S95" s="19">
        <v>0.0</v>
      </c>
      <c r="T95" s="19">
        <v>0.0</v>
      </c>
      <c r="U95" s="19">
        <v>1.0</v>
      </c>
      <c r="V95" s="19">
        <v>1.0</v>
      </c>
      <c r="W95" s="13">
        <f t="shared" si="24"/>
        <v>2</v>
      </c>
    </row>
    <row r="96" ht="12.75" customHeight="1">
      <c r="A96" s="18"/>
      <c r="B96" s="55">
        <v>3.0</v>
      </c>
      <c r="C96" s="50" t="s">
        <v>76</v>
      </c>
      <c r="D96" s="57"/>
      <c r="E96" s="19">
        <v>0.0</v>
      </c>
      <c r="F96" s="19">
        <v>0.0</v>
      </c>
      <c r="G96" s="19">
        <v>0.0</v>
      </c>
      <c r="H96" s="19">
        <v>0.0</v>
      </c>
      <c r="I96" s="19">
        <v>0.0</v>
      </c>
      <c r="J96" s="19">
        <v>0.0</v>
      </c>
      <c r="K96" s="19">
        <v>0.0</v>
      </c>
      <c r="L96" s="19">
        <v>0.0</v>
      </c>
      <c r="M96" s="19">
        <v>0.0</v>
      </c>
      <c r="N96" s="19">
        <v>0.0</v>
      </c>
      <c r="O96" s="19">
        <v>0.0</v>
      </c>
      <c r="P96" s="19">
        <v>0.0</v>
      </c>
      <c r="Q96" s="19">
        <v>1.0</v>
      </c>
      <c r="R96" s="19">
        <v>0.0</v>
      </c>
      <c r="S96" s="19">
        <v>0.0</v>
      </c>
      <c r="T96" s="19">
        <v>0.0</v>
      </c>
      <c r="U96" s="19">
        <v>0.0</v>
      </c>
      <c r="V96" s="19">
        <v>0.0</v>
      </c>
      <c r="W96" s="13">
        <f t="shared" si="24"/>
        <v>1</v>
      </c>
    </row>
    <row r="97" ht="12.75" customHeight="1">
      <c r="A97" s="18"/>
      <c r="B97" s="55">
        <v>4.0</v>
      </c>
      <c r="C97" s="50" t="s">
        <v>77</v>
      </c>
      <c r="D97" s="57"/>
      <c r="E97" s="19">
        <v>0.0</v>
      </c>
      <c r="F97" s="19">
        <v>0.0</v>
      </c>
      <c r="G97" s="19">
        <v>0.0</v>
      </c>
      <c r="H97" s="19">
        <v>0.0</v>
      </c>
      <c r="I97" s="19">
        <v>0.0</v>
      </c>
      <c r="J97" s="19">
        <v>0.0</v>
      </c>
      <c r="K97" s="19">
        <v>1.0</v>
      </c>
      <c r="L97" s="19">
        <v>0.0</v>
      </c>
      <c r="M97" s="19">
        <v>0.0</v>
      </c>
      <c r="N97" s="19">
        <v>0.0</v>
      </c>
      <c r="O97" s="19">
        <v>0.0</v>
      </c>
      <c r="P97" s="19">
        <v>0.0</v>
      </c>
      <c r="Q97" s="19">
        <v>0.0</v>
      </c>
      <c r="R97" s="19">
        <v>0.0</v>
      </c>
      <c r="S97" s="19">
        <v>3.0</v>
      </c>
      <c r="T97" s="19">
        <v>0.0</v>
      </c>
      <c r="U97" s="19">
        <v>0.0</v>
      </c>
      <c r="V97" s="19">
        <v>0.0</v>
      </c>
      <c r="W97" s="13">
        <f t="shared" si="24"/>
        <v>4</v>
      </c>
    </row>
    <row r="98" ht="12.75" customHeight="1">
      <c r="A98" s="18"/>
      <c r="B98" s="55">
        <v>5.0</v>
      </c>
      <c r="C98" s="50" t="s">
        <v>78</v>
      </c>
      <c r="D98" s="57"/>
      <c r="E98" s="19">
        <v>0.0</v>
      </c>
      <c r="F98" s="19">
        <v>0.0</v>
      </c>
      <c r="G98" s="19">
        <v>0.0</v>
      </c>
      <c r="H98" s="19">
        <v>0.0</v>
      </c>
      <c r="I98" s="19">
        <v>0.0</v>
      </c>
      <c r="J98" s="19">
        <v>0.0</v>
      </c>
      <c r="K98" s="19">
        <v>0.0</v>
      </c>
      <c r="L98" s="19">
        <v>0.0</v>
      </c>
      <c r="M98" s="19">
        <v>0.0</v>
      </c>
      <c r="N98" s="19">
        <v>0.0</v>
      </c>
      <c r="O98" s="19">
        <v>0.0</v>
      </c>
      <c r="P98" s="19">
        <v>0.0</v>
      </c>
      <c r="Q98" s="19">
        <v>0.0</v>
      </c>
      <c r="R98" s="19">
        <v>1.0</v>
      </c>
      <c r="S98" s="19">
        <v>1.0</v>
      </c>
      <c r="T98" s="19">
        <v>0.0</v>
      </c>
      <c r="U98" s="19">
        <v>0.0</v>
      </c>
      <c r="V98" s="19">
        <v>0.0</v>
      </c>
      <c r="W98" s="13">
        <f t="shared" si="24"/>
        <v>2</v>
      </c>
    </row>
    <row r="99" ht="12.75" customHeight="1">
      <c r="A99" s="18"/>
      <c r="B99" s="55">
        <v>6.0</v>
      </c>
      <c r="C99" s="50" t="s">
        <v>79</v>
      </c>
      <c r="D99" s="57"/>
      <c r="E99" s="19">
        <v>0.0</v>
      </c>
      <c r="F99" s="19">
        <v>0.0</v>
      </c>
      <c r="G99" s="19">
        <v>0.0</v>
      </c>
      <c r="H99" s="19">
        <v>1.0</v>
      </c>
      <c r="I99" s="19">
        <v>0.0</v>
      </c>
      <c r="J99" s="19">
        <v>0.0</v>
      </c>
      <c r="K99" s="19">
        <v>1.0</v>
      </c>
      <c r="L99" s="19">
        <v>0.0</v>
      </c>
      <c r="M99" s="19">
        <v>0.0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6.0</v>
      </c>
      <c r="T99" s="19">
        <v>2.0</v>
      </c>
      <c r="U99" s="19">
        <v>2.0</v>
      </c>
      <c r="V99" s="19">
        <v>0.0</v>
      </c>
      <c r="W99" s="13">
        <f t="shared" si="24"/>
        <v>12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0.0</v>
      </c>
      <c r="F100" s="19">
        <v>0.0</v>
      </c>
      <c r="G100" s="19">
        <v>0.0</v>
      </c>
      <c r="H100" s="19">
        <v>1.0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0.0</v>
      </c>
      <c r="P100" s="19">
        <v>0.0</v>
      </c>
      <c r="Q100" s="19">
        <v>0.0</v>
      </c>
      <c r="R100" s="19">
        <v>1.0</v>
      </c>
      <c r="S100" s="19">
        <v>5.0</v>
      </c>
      <c r="T100" s="19">
        <v>0.0</v>
      </c>
      <c r="U100" s="19">
        <v>0.0</v>
      </c>
      <c r="V100" s="19">
        <v>1.0</v>
      </c>
      <c r="W100" s="13">
        <f t="shared" si="24"/>
        <v>8</v>
      </c>
    </row>
    <row r="101" ht="12.75" customHeight="1">
      <c r="A101" s="18"/>
      <c r="B101" s="68"/>
      <c r="C101" s="69"/>
      <c r="D101" s="71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3">
        <f t="shared" si="24"/>
        <v>0</v>
      </c>
    </row>
    <row r="102" ht="12.75" customHeight="1">
      <c r="A102" s="18"/>
      <c r="B102" s="68"/>
      <c r="C102" s="69"/>
      <c r="D102" s="71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3">
        <f t="shared" si="24"/>
        <v>0</v>
      </c>
    </row>
    <row r="103" ht="15.0" customHeight="1">
      <c r="A103" s="19" t="s">
        <v>15</v>
      </c>
      <c r="B103" s="47" t="s">
        <v>47</v>
      </c>
      <c r="C103" s="15"/>
      <c r="D103" s="16"/>
      <c r="E103" s="13">
        <f t="shared" ref="E103:V103" si="25">SUM(E93:E100)</f>
        <v>0</v>
      </c>
      <c r="F103" s="13">
        <f t="shared" si="25"/>
        <v>0</v>
      </c>
      <c r="G103" s="13">
        <f t="shared" si="25"/>
        <v>1</v>
      </c>
      <c r="H103" s="13">
        <f t="shared" si="25"/>
        <v>4</v>
      </c>
      <c r="I103" s="13">
        <f t="shared" si="25"/>
        <v>1</v>
      </c>
      <c r="J103" s="13">
        <f t="shared" si="25"/>
        <v>2</v>
      </c>
      <c r="K103" s="13">
        <f t="shared" si="25"/>
        <v>8</v>
      </c>
      <c r="L103" s="13">
        <f t="shared" si="25"/>
        <v>0</v>
      </c>
      <c r="M103" s="13">
        <f t="shared" si="25"/>
        <v>2</v>
      </c>
      <c r="N103" s="13">
        <f t="shared" si="25"/>
        <v>1</v>
      </c>
      <c r="O103" s="13">
        <f t="shared" si="25"/>
        <v>3</v>
      </c>
      <c r="P103" s="13">
        <f t="shared" si="25"/>
        <v>4</v>
      </c>
      <c r="Q103" s="13">
        <f t="shared" si="25"/>
        <v>2</v>
      </c>
      <c r="R103" s="13">
        <f t="shared" si="25"/>
        <v>6</v>
      </c>
      <c r="S103" s="13">
        <f t="shared" si="25"/>
        <v>22</v>
      </c>
      <c r="T103" s="13">
        <f t="shared" si="25"/>
        <v>11</v>
      </c>
      <c r="U103" s="13">
        <f t="shared" si="25"/>
        <v>19</v>
      </c>
      <c r="V103" s="13">
        <f t="shared" si="25"/>
        <v>16</v>
      </c>
      <c r="W103" s="13">
        <f t="shared" si="24"/>
        <v>102</v>
      </c>
    </row>
    <row r="104" ht="12.75" customHeight="1">
      <c r="A104" s="45"/>
      <c r="B104" s="44"/>
      <c r="C104" s="44"/>
      <c r="D104" s="44"/>
      <c r="E104" s="44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3.0</v>
      </c>
      <c r="G105" s="19">
        <v>0.0</v>
      </c>
      <c r="H105" s="19">
        <v>0.0</v>
      </c>
      <c r="I105" s="19">
        <v>0.0</v>
      </c>
      <c r="J105" s="19">
        <v>0.0</v>
      </c>
      <c r="K105" s="19">
        <v>0.0</v>
      </c>
      <c r="L105" s="19">
        <v>0.0</v>
      </c>
      <c r="M105" s="19">
        <v>0.0</v>
      </c>
      <c r="N105" s="19">
        <v>1.0</v>
      </c>
      <c r="O105" s="19">
        <v>0.0</v>
      </c>
      <c r="P105" s="19">
        <v>0.0</v>
      </c>
      <c r="Q105" s="19">
        <v>1.0</v>
      </c>
      <c r="R105" s="19">
        <v>1.0</v>
      </c>
      <c r="S105" s="19">
        <v>3.0</v>
      </c>
      <c r="T105" s="19">
        <v>0.0</v>
      </c>
      <c r="U105" s="19">
        <v>1.0</v>
      </c>
      <c r="V105" s="19">
        <v>4.0</v>
      </c>
      <c r="W105" s="13">
        <f t="shared" ref="W105:W115" si="26">SUM(E105:V105)</f>
        <v>14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0.0</v>
      </c>
      <c r="F106" s="19">
        <v>0.0</v>
      </c>
      <c r="G106" s="19">
        <v>0.0</v>
      </c>
      <c r="H106" s="19">
        <v>0.0</v>
      </c>
      <c r="I106" s="19">
        <v>1.0</v>
      </c>
      <c r="J106" s="19">
        <v>0.0</v>
      </c>
      <c r="K106" s="19">
        <v>0.0</v>
      </c>
      <c r="L106" s="19">
        <v>0.0</v>
      </c>
      <c r="M106" s="19">
        <v>0.0</v>
      </c>
      <c r="N106" s="19">
        <v>1.0</v>
      </c>
      <c r="O106" s="19">
        <v>0.0</v>
      </c>
      <c r="P106" s="19">
        <v>0.0</v>
      </c>
      <c r="Q106" s="19">
        <v>0.0</v>
      </c>
      <c r="R106" s="19">
        <v>0.0</v>
      </c>
      <c r="S106" s="19">
        <v>0.0</v>
      </c>
      <c r="T106" s="19">
        <v>0.0</v>
      </c>
      <c r="U106" s="19">
        <v>0.0</v>
      </c>
      <c r="V106" s="19">
        <v>0.0</v>
      </c>
      <c r="W106" s="13">
        <f t="shared" si="26"/>
        <v>2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0.0</v>
      </c>
      <c r="G107" s="19">
        <v>0.0</v>
      </c>
      <c r="H107" s="19">
        <v>0.0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2.0</v>
      </c>
      <c r="S107" s="19">
        <v>1.0</v>
      </c>
      <c r="T107" s="19">
        <v>1.0</v>
      </c>
      <c r="U107" s="19">
        <v>0.0</v>
      </c>
      <c r="V107" s="19">
        <v>0.0</v>
      </c>
      <c r="W107" s="13">
        <f t="shared" si="26"/>
        <v>4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3">
        <f t="shared" si="26"/>
        <v>0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0.0</v>
      </c>
      <c r="Q109" s="19">
        <v>1.0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3">
        <f t="shared" si="26"/>
        <v>1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3">
        <f t="shared" si="26"/>
        <v>0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3">
        <f t="shared" si="26"/>
        <v>0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3">
        <f t="shared" si="26"/>
        <v>0</v>
      </c>
    </row>
    <row r="113" ht="12.75" customHeight="1">
      <c r="A113" s="18"/>
      <c r="B113" s="68"/>
      <c r="C113" s="69"/>
      <c r="D113" s="71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3">
        <f t="shared" si="26"/>
        <v>0</v>
      </c>
    </row>
    <row r="114" ht="12.75" customHeight="1">
      <c r="A114" s="18"/>
      <c r="B114" s="68"/>
      <c r="C114" s="69"/>
      <c r="D114" s="71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3">
        <f t="shared" si="26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V115" si="27">SUM(E105:E112)</f>
        <v>0</v>
      </c>
      <c r="F115" s="13">
        <f t="shared" si="27"/>
        <v>3</v>
      </c>
      <c r="G115" s="13">
        <f t="shared" si="27"/>
        <v>0</v>
      </c>
      <c r="H115" s="13">
        <f t="shared" si="27"/>
        <v>0</v>
      </c>
      <c r="I115" s="13">
        <f t="shared" si="27"/>
        <v>1</v>
      </c>
      <c r="J115" s="13">
        <f t="shared" si="27"/>
        <v>0</v>
      </c>
      <c r="K115" s="13">
        <f t="shared" si="27"/>
        <v>0</v>
      </c>
      <c r="L115" s="13">
        <f t="shared" si="27"/>
        <v>0</v>
      </c>
      <c r="M115" s="13">
        <f t="shared" si="27"/>
        <v>0</v>
      </c>
      <c r="N115" s="13">
        <f t="shared" si="27"/>
        <v>2</v>
      </c>
      <c r="O115" s="13">
        <f t="shared" si="27"/>
        <v>0</v>
      </c>
      <c r="P115" s="13">
        <f t="shared" si="27"/>
        <v>0</v>
      </c>
      <c r="Q115" s="13">
        <f t="shared" si="27"/>
        <v>2</v>
      </c>
      <c r="R115" s="13">
        <f t="shared" si="27"/>
        <v>3</v>
      </c>
      <c r="S115" s="13">
        <f t="shared" si="27"/>
        <v>4</v>
      </c>
      <c r="T115" s="13">
        <f t="shared" si="27"/>
        <v>1</v>
      </c>
      <c r="U115" s="13">
        <f t="shared" si="27"/>
        <v>1</v>
      </c>
      <c r="V115" s="13">
        <f t="shared" si="27"/>
        <v>4</v>
      </c>
      <c r="W115" s="13">
        <f t="shared" si="26"/>
        <v>21</v>
      </c>
    </row>
    <row r="116" ht="12.75" customHeight="1">
      <c r="A116" s="24"/>
      <c r="B116" s="15"/>
      <c r="C116" s="15"/>
      <c r="D116" s="15"/>
      <c r="E116" s="16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0.0</v>
      </c>
      <c r="G117" s="19">
        <v>0.0</v>
      </c>
      <c r="H117" s="19">
        <v>2.0</v>
      </c>
      <c r="I117" s="19">
        <v>2.0</v>
      </c>
      <c r="J117" s="19">
        <v>1.0</v>
      </c>
      <c r="K117" s="19">
        <v>0.0</v>
      </c>
      <c r="L117" s="19">
        <v>0.0</v>
      </c>
      <c r="M117" s="19">
        <v>0.0</v>
      </c>
      <c r="N117" s="19">
        <v>0.0</v>
      </c>
      <c r="O117" s="19">
        <v>1.0</v>
      </c>
      <c r="P117" s="19">
        <v>0.0</v>
      </c>
      <c r="Q117" s="19">
        <v>1.0</v>
      </c>
      <c r="R117" s="19">
        <v>0.0</v>
      </c>
      <c r="S117" s="19">
        <v>0.0</v>
      </c>
      <c r="T117" s="19">
        <v>2.0</v>
      </c>
      <c r="U117" s="19">
        <v>0.0</v>
      </c>
      <c r="V117" s="19">
        <v>2.0</v>
      </c>
      <c r="W117" s="13">
        <f t="shared" ref="W117:W122" si="28">SUM(E117:V117)</f>
        <v>11</v>
      </c>
      <c r="X117" s="5"/>
      <c r="Y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1.0</v>
      </c>
      <c r="R118" s="19">
        <v>0.0</v>
      </c>
      <c r="S118" s="19">
        <v>0.0</v>
      </c>
      <c r="T118" s="19">
        <v>0.0</v>
      </c>
      <c r="U118" s="19">
        <v>0.0</v>
      </c>
      <c r="V118" s="19">
        <v>0.0</v>
      </c>
      <c r="W118" s="13">
        <f t="shared" si="28"/>
        <v>1</v>
      </c>
      <c r="X118" s="5"/>
      <c r="Y118" s="5"/>
    </row>
    <row r="119" ht="12.75" customHeight="1">
      <c r="A119" s="18"/>
      <c r="B119" s="55">
        <v>2.0</v>
      </c>
      <c r="C119" s="50" t="s">
        <v>93</v>
      </c>
      <c r="D119" s="57"/>
      <c r="E119" s="19">
        <v>0.0</v>
      </c>
      <c r="F119" s="19">
        <v>0.0</v>
      </c>
      <c r="G119" s="19">
        <v>0.0</v>
      </c>
      <c r="H119" s="19">
        <v>0.0</v>
      </c>
      <c r="I119" s="19">
        <v>0.0</v>
      </c>
      <c r="J119" s="19">
        <v>0.0</v>
      </c>
      <c r="K119" s="19">
        <v>0.0</v>
      </c>
      <c r="L119" s="19">
        <v>0.0</v>
      </c>
      <c r="M119" s="19">
        <v>0.0</v>
      </c>
      <c r="N119" s="19">
        <v>1.0</v>
      </c>
      <c r="O119" s="19">
        <v>0.0</v>
      </c>
      <c r="P119" s="19">
        <v>0.0</v>
      </c>
      <c r="Q119" s="19">
        <v>0.0</v>
      </c>
      <c r="R119" s="19">
        <v>0.0</v>
      </c>
      <c r="S119" s="19">
        <v>0.0</v>
      </c>
      <c r="T119" s="19">
        <v>0.0</v>
      </c>
      <c r="U119" s="19">
        <v>0.0</v>
      </c>
      <c r="V119" s="19">
        <v>0.0</v>
      </c>
      <c r="W119" s="13">
        <f t="shared" si="28"/>
        <v>1</v>
      </c>
      <c r="X119" s="5"/>
      <c r="Y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0.0</v>
      </c>
      <c r="K120" s="19">
        <v>0.0</v>
      </c>
      <c r="L120" s="19">
        <v>0.0</v>
      </c>
      <c r="M120" s="19">
        <v>0.0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3">
        <f t="shared" si="28"/>
        <v>0</v>
      </c>
      <c r="X120" s="5"/>
      <c r="Y120" s="5"/>
    </row>
    <row r="121" ht="12.75" customHeight="1">
      <c r="A121" s="18"/>
      <c r="B121" s="68"/>
      <c r="C121" s="69"/>
      <c r="D121" s="71"/>
      <c r="E121" s="40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3">
        <f t="shared" si="28"/>
        <v>0</v>
      </c>
      <c r="X121" s="5"/>
      <c r="Y121" s="5"/>
    </row>
    <row r="122" ht="12.75" customHeight="1">
      <c r="A122" s="18"/>
      <c r="B122" s="68"/>
      <c r="C122" s="69"/>
      <c r="D122" s="71"/>
      <c r="E122" s="40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3">
        <f t="shared" si="28"/>
        <v>0</v>
      </c>
      <c r="X122" s="5"/>
      <c r="Y122" s="5"/>
    </row>
    <row r="123" ht="12.75" customHeight="1">
      <c r="A123" s="18"/>
      <c r="B123" s="68"/>
      <c r="C123" s="69"/>
      <c r="D123" s="71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74"/>
      <c r="X123" s="5"/>
      <c r="Y123" s="5"/>
    </row>
    <row r="124" ht="12.75" customHeight="1">
      <c r="A124" s="18"/>
      <c r="B124" s="68"/>
      <c r="C124" s="69"/>
      <c r="D124" s="71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74"/>
      <c r="X124" s="5"/>
      <c r="Y124" s="5"/>
    </row>
    <row r="125" ht="12.75" customHeight="1">
      <c r="A125" s="18"/>
      <c r="B125" s="68"/>
      <c r="C125" s="69"/>
      <c r="D125" s="71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74"/>
      <c r="X125" s="5"/>
      <c r="Y125" s="5"/>
    </row>
    <row r="126" ht="12.75" customHeight="1">
      <c r="A126" s="18"/>
      <c r="B126" s="68"/>
      <c r="C126" s="69"/>
      <c r="D126" s="71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74"/>
      <c r="X126" s="5"/>
      <c r="Y126" s="5"/>
    </row>
    <row r="127" ht="15.0" customHeight="1">
      <c r="A127" s="19" t="s">
        <v>15</v>
      </c>
      <c r="B127" s="47" t="s">
        <v>47</v>
      </c>
      <c r="C127" s="15"/>
      <c r="D127" s="16"/>
      <c r="E127" s="58">
        <f t="shared" ref="E127:V127" si="29">SUM(E117:E120)</f>
        <v>0</v>
      </c>
      <c r="F127" s="58">
        <f t="shared" si="29"/>
        <v>0</v>
      </c>
      <c r="G127" s="58">
        <f t="shared" si="29"/>
        <v>0</v>
      </c>
      <c r="H127" s="58">
        <f t="shared" si="29"/>
        <v>2</v>
      </c>
      <c r="I127" s="58">
        <f t="shared" si="29"/>
        <v>2</v>
      </c>
      <c r="J127" s="58">
        <f t="shared" si="29"/>
        <v>1</v>
      </c>
      <c r="K127" s="58">
        <f t="shared" si="29"/>
        <v>0</v>
      </c>
      <c r="L127" s="58">
        <f t="shared" si="29"/>
        <v>0</v>
      </c>
      <c r="M127" s="58">
        <f t="shared" si="29"/>
        <v>0</v>
      </c>
      <c r="N127" s="58">
        <f t="shared" si="29"/>
        <v>1</v>
      </c>
      <c r="O127" s="58">
        <f t="shared" si="29"/>
        <v>1</v>
      </c>
      <c r="P127" s="58">
        <f t="shared" si="29"/>
        <v>0</v>
      </c>
      <c r="Q127" s="58">
        <f t="shared" si="29"/>
        <v>2</v>
      </c>
      <c r="R127" s="58">
        <f t="shared" si="29"/>
        <v>0</v>
      </c>
      <c r="S127" s="58">
        <f t="shared" si="29"/>
        <v>0</v>
      </c>
      <c r="T127" s="58">
        <f t="shared" si="29"/>
        <v>2</v>
      </c>
      <c r="U127" s="58">
        <f t="shared" si="29"/>
        <v>0</v>
      </c>
      <c r="V127" s="58">
        <f t="shared" si="29"/>
        <v>2</v>
      </c>
      <c r="W127" s="13">
        <f>SUM(E127:V127)</f>
        <v>13</v>
      </c>
      <c r="X127" s="5"/>
      <c r="Y127" s="5"/>
    </row>
    <row r="128" ht="12.75" customHeight="1">
      <c r="A128" s="24"/>
      <c r="B128" s="15"/>
      <c r="C128" s="15"/>
      <c r="D128" s="15"/>
      <c r="E128" s="16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5"/>
      <c r="Y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4.0</v>
      </c>
      <c r="F129" s="19">
        <v>1.0</v>
      </c>
      <c r="G129" s="19">
        <v>3.0</v>
      </c>
      <c r="H129" s="19">
        <v>0.0</v>
      </c>
      <c r="I129" s="19">
        <v>0.0</v>
      </c>
      <c r="J129" s="19">
        <v>2.0</v>
      </c>
      <c r="K129" s="19">
        <v>1.0</v>
      </c>
      <c r="L129" s="19">
        <v>1.0</v>
      </c>
      <c r="M129" s="19">
        <v>0.0</v>
      </c>
      <c r="N129" s="19">
        <v>0.0</v>
      </c>
      <c r="O129" s="19">
        <v>1.0</v>
      </c>
      <c r="P129" s="19">
        <v>2.0</v>
      </c>
      <c r="Q129" s="19">
        <v>7.0</v>
      </c>
      <c r="R129" s="19">
        <v>2.0</v>
      </c>
      <c r="S129" s="19">
        <v>5.0</v>
      </c>
      <c r="T129" s="19">
        <v>4.0</v>
      </c>
      <c r="U129" s="19">
        <v>1.0</v>
      </c>
      <c r="V129" s="19">
        <v>6.0</v>
      </c>
      <c r="W129" s="13">
        <f t="shared" ref="W129:W139" si="30">SUM(E129:V129)</f>
        <v>40</v>
      </c>
      <c r="X129" s="5"/>
      <c r="Y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0.0</v>
      </c>
      <c r="F130" s="19">
        <v>1.0</v>
      </c>
      <c r="G130" s="19">
        <v>0.0</v>
      </c>
      <c r="H130" s="19">
        <v>3.0</v>
      </c>
      <c r="I130" s="19">
        <v>0.0</v>
      </c>
      <c r="J130" s="19">
        <v>0.0</v>
      </c>
      <c r="K130" s="19">
        <v>0.0</v>
      </c>
      <c r="L130" s="19">
        <v>3.0</v>
      </c>
      <c r="M130" s="19">
        <v>0.0</v>
      </c>
      <c r="N130" s="19">
        <v>0.0</v>
      </c>
      <c r="O130" s="19">
        <v>0.0</v>
      </c>
      <c r="P130" s="19">
        <v>1.0</v>
      </c>
      <c r="Q130" s="19">
        <v>7.0</v>
      </c>
      <c r="R130" s="19">
        <v>2.0</v>
      </c>
      <c r="S130" s="19">
        <v>0.0</v>
      </c>
      <c r="T130" s="19">
        <v>5.0</v>
      </c>
      <c r="U130" s="19">
        <v>1.0</v>
      </c>
      <c r="V130" s="19">
        <v>1.0</v>
      </c>
      <c r="W130" s="13">
        <f t="shared" si="30"/>
        <v>24</v>
      </c>
      <c r="X130" s="1"/>
      <c r="Y130" s="1"/>
    </row>
    <row r="131" ht="12.75" customHeight="1">
      <c r="A131" s="18"/>
      <c r="B131" s="55">
        <v>2.0</v>
      </c>
      <c r="C131" s="50" t="s">
        <v>98</v>
      </c>
      <c r="D131" s="56"/>
      <c r="E131" s="19">
        <v>0.0</v>
      </c>
      <c r="F131" s="19">
        <v>0.0</v>
      </c>
      <c r="G131" s="19">
        <v>0.0</v>
      </c>
      <c r="H131" s="19">
        <v>2.0</v>
      </c>
      <c r="I131" s="19">
        <v>0.0</v>
      </c>
      <c r="J131" s="19">
        <v>0.0</v>
      </c>
      <c r="K131" s="19">
        <v>0.0</v>
      </c>
      <c r="L131" s="19">
        <v>0.0</v>
      </c>
      <c r="M131" s="19">
        <v>0.0</v>
      </c>
      <c r="N131" s="19">
        <v>0.0</v>
      </c>
      <c r="O131" s="19">
        <v>0.0</v>
      </c>
      <c r="P131" s="19">
        <v>0.0</v>
      </c>
      <c r="Q131" s="19">
        <v>1.0</v>
      </c>
      <c r="R131" s="19">
        <v>2.0</v>
      </c>
      <c r="S131" s="19">
        <v>1.0</v>
      </c>
      <c r="T131" s="19">
        <v>1.0</v>
      </c>
      <c r="U131" s="19">
        <v>2.0</v>
      </c>
      <c r="V131" s="19">
        <v>0.0</v>
      </c>
      <c r="W131" s="13">
        <f t="shared" si="30"/>
        <v>9</v>
      </c>
      <c r="X131" s="52"/>
      <c r="Y131" s="52"/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0.0</v>
      </c>
      <c r="L132" s="19">
        <v>0.0</v>
      </c>
      <c r="M132" s="19">
        <v>0.0</v>
      </c>
      <c r="N132" s="19">
        <v>1.0</v>
      </c>
      <c r="O132" s="19">
        <v>0.0</v>
      </c>
      <c r="P132" s="19">
        <v>0.0</v>
      </c>
      <c r="Q132" s="19">
        <v>0.0</v>
      </c>
      <c r="R132" s="19">
        <v>1.0</v>
      </c>
      <c r="S132" s="19">
        <v>0.0</v>
      </c>
      <c r="T132" s="19">
        <v>0.0</v>
      </c>
      <c r="U132" s="19">
        <v>0.0</v>
      </c>
      <c r="V132" s="19">
        <v>1.0</v>
      </c>
      <c r="W132" s="13">
        <f t="shared" si="30"/>
        <v>3</v>
      </c>
      <c r="X132" s="5"/>
      <c r="Y132" s="5"/>
    </row>
    <row r="133" ht="12.75" customHeight="1">
      <c r="A133" s="18"/>
      <c r="B133" s="55">
        <v>4.0</v>
      </c>
      <c r="C133" s="50" t="s">
        <v>100</v>
      </c>
      <c r="D133" s="56"/>
      <c r="E133" s="19">
        <v>1.0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0.0</v>
      </c>
      <c r="L133" s="19">
        <v>0.0</v>
      </c>
      <c r="M133" s="19">
        <v>0.0</v>
      </c>
      <c r="N133" s="19">
        <v>0.0</v>
      </c>
      <c r="O133" s="19">
        <v>0.0</v>
      </c>
      <c r="P133" s="19">
        <v>0.0</v>
      </c>
      <c r="Q133" s="19">
        <v>0.0</v>
      </c>
      <c r="R133" s="19">
        <v>1.0</v>
      </c>
      <c r="S133" s="19">
        <v>0.0</v>
      </c>
      <c r="T133" s="19">
        <v>1.0</v>
      </c>
      <c r="U133" s="19">
        <v>0.0</v>
      </c>
      <c r="V133" s="19">
        <v>0.0</v>
      </c>
      <c r="W133" s="13">
        <f t="shared" si="30"/>
        <v>3</v>
      </c>
      <c r="X133" s="5"/>
      <c r="Y133" s="5"/>
    </row>
    <row r="134" ht="12.75" customHeight="1">
      <c r="A134" s="18"/>
      <c r="B134" s="55">
        <v>5.0</v>
      </c>
      <c r="C134" s="50" t="s">
        <v>101</v>
      </c>
      <c r="D134" s="56"/>
      <c r="E134" s="19">
        <v>1.0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0.0</v>
      </c>
      <c r="N134" s="19">
        <v>0.0</v>
      </c>
      <c r="O134" s="19">
        <v>0.0</v>
      </c>
      <c r="P134" s="19">
        <v>0.0</v>
      </c>
      <c r="Q134" s="19">
        <v>0.0</v>
      </c>
      <c r="R134" s="19">
        <v>1.0</v>
      </c>
      <c r="S134" s="19">
        <v>0.0</v>
      </c>
      <c r="T134" s="19">
        <v>0.0</v>
      </c>
      <c r="U134" s="19">
        <v>0.0</v>
      </c>
      <c r="V134" s="19">
        <v>1.0</v>
      </c>
      <c r="W134" s="13">
        <f t="shared" si="30"/>
        <v>3</v>
      </c>
      <c r="X134" s="5"/>
      <c r="Y134" s="5"/>
    </row>
    <row r="135" ht="12.75" customHeight="1">
      <c r="A135" s="18"/>
      <c r="B135" s="55">
        <v>6.0</v>
      </c>
      <c r="C135" s="50" t="s">
        <v>102</v>
      </c>
      <c r="D135" s="57"/>
      <c r="E135" s="19">
        <v>1.0</v>
      </c>
      <c r="F135" s="19">
        <v>2.0</v>
      </c>
      <c r="G135" s="19">
        <v>0.0</v>
      </c>
      <c r="H135" s="19">
        <v>0.0</v>
      </c>
      <c r="I135" s="19">
        <v>0.0</v>
      </c>
      <c r="J135" s="19">
        <v>1.0</v>
      </c>
      <c r="K135" s="19">
        <v>0.0</v>
      </c>
      <c r="L135" s="19">
        <v>0.0</v>
      </c>
      <c r="M135" s="19">
        <v>1.0</v>
      </c>
      <c r="N135" s="19">
        <v>0.0</v>
      </c>
      <c r="O135" s="19">
        <v>0.0</v>
      </c>
      <c r="P135" s="19">
        <v>1.0</v>
      </c>
      <c r="Q135" s="19">
        <v>2.0</v>
      </c>
      <c r="R135" s="19">
        <v>1.0</v>
      </c>
      <c r="S135" s="19">
        <v>1.0</v>
      </c>
      <c r="T135" s="19">
        <v>1.0</v>
      </c>
      <c r="U135" s="19">
        <v>2.0</v>
      </c>
      <c r="V135" s="19">
        <v>0.0</v>
      </c>
      <c r="W135" s="13">
        <f t="shared" si="30"/>
        <v>13</v>
      </c>
      <c r="X135" s="5"/>
      <c r="Y135" s="5"/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0.0</v>
      </c>
      <c r="G136" s="19">
        <v>0.0</v>
      </c>
      <c r="H136" s="19">
        <v>1.0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3">
        <f t="shared" si="30"/>
        <v>1</v>
      </c>
      <c r="X136" s="5"/>
      <c r="Y136" s="5"/>
    </row>
    <row r="137" ht="12.75" customHeight="1">
      <c r="A137" s="18"/>
      <c r="B137" s="68"/>
      <c r="C137" s="69"/>
      <c r="D137" s="70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3">
        <f t="shared" si="30"/>
        <v>0</v>
      </c>
      <c r="X137" s="5"/>
      <c r="Y137" s="5"/>
    </row>
    <row r="138" ht="12.75" customHeight="1">
      <c r="A138" s="18"/>
      <c r="B138" s="68"/>
      <c r="C138" s="69"/>
      <c r="D138" s="70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3">
        <f t="shared" si="30"/>
        <v>0</v>
      </c>
      <c r="X138" s="5"/>
      <c r="Y138" s="5"/>
    </row>
    <row r="139" ht="15.0" customHeight="1">
      <c r="A139" s="19" t="s">
        <v>15</v>
      </c>
      <c r="B139" s="47" t="s">
        <v>47</v>
      </c>
      <c r="C139" s="15"/>
      <c r="D139" s="16"/>
      <c r="E139" s="13">
        <f t="shared" ref="E139:V139" si="31">SUM(E129:E136)</f>
        <v>7</v>
      </c>
      <c r="F139" s="13">
        <f t="shared" si="31"/>
        <v>4</v>
      </c>
      <c r="G139" s="13">
        <f t="shared" si="31"/>
        <v>3</v>
      </c>
      <c r="H139" s="13">
        <f t="shared" si="31"/>
        <v>6</v>
      </c>
      <c r="I139" s="13">
        <f t="shared" si="31"/>
        <v>0</v>
      </c>
      <c r="J139" s="13">
        <f t="shared" si="31"/>
        <v>3</v>
      </c>
      <c r="K139" s="13">
        <f t="shared" si="31"/>
        <v>1</v>
      </c>
      <c r="L139" s="13">
        <f t="shared" si="31"/>
        <v>4</v>
      </c>
      <c r="M139" s="13">
        <f t="shared" si="31"/>
        <v>1</v>
      </c>
      <c r="N139" s="13">
        <f t="shared" si="31"/>
        <v>1</v>
      </c>
      <c r="O139" s="13">
        <f t="shared" si="31"/>
        <v>1</v>
      </c>
      <c r="P139" s="13">
        <f t="shared" si="31"/>
        <v>4</v>
      </c>
      <c r="Q139" s="13">
        <f t="shared" si="31"/>
        <v>17</v>
      </c>
      <c r="R139" s="13">
        <f t="shared" si="31"/>
        <v>10</v>
      </c>
      <c r="S139" s="13">
        <f t="shared" si="31"/>
        <v>7</v>
      </c>
      <c r="T139" s="13">
        <f t="shared" si="31"/>
        <v>12</v>
      </c>
      <c r="U139" s="13">
        <f t="shared" si="31"/>
        <v>6</v>
      </c>
      <c r="V139" s="13">
        <f t="shared" si="31"/>
        <v>9</v>
      </c>
      <c r="W139" s="13">
        <f t="shared" si="30"/>
        <v>96</v>
      </c>
      <c r="X139" s="5"/>
      <c r="Y139" s="5"/>
    </row>
    <row r="140" ht="12.75" customHeight="1">
      <c r="A140" s="24"/>
      <c r="B140" s="15"/>
      <c r="C140" s="15"/>
      <c r="D140" s="15"/>
      <c r="E140" s="16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5"/>
      <c r="Y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0.0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3">
        <f t="shared" ref="W141:W151" si="32">SUM(E141:V141)</f>
        <v>0</v>
      </c>
      <c r="X141" s="1"/>
      <c r="Y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3">
        <f t="shared" si="32"/>
        <v>0</v>
      </c>
      <c r="X142" s="52"/>
      <c r="Y142" s="52"/>
    </row>
    <row r="143" ht="12.75" customHeight="1">
      <c r="A143" s="18"/>
      <c r="B143" s="55">
        <v>2.0</v>
      </c>
      <c r="C143" s="50" t="s">
        <v>107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3">
        <f t="shared" si="32"/>
        <v>0</v>
      </c>
      <c r="X143" s="5"/>
      <c r="Y143" s="5"/>
    </row>
    <row r="144" ht="12.75" customHeight="1">
      <c r="A144" s="18"/>
      <c r="B144" s="55">
        <v>3.0</v>
      </c>
      <c r="C144" s="50" t="s">
        <v>108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3">
        <f t="shared" si="32"/>
        <v>0</v>
      </c>
      <c r="X144" s="5"/>
      <c r="Y144" s="5"/>
    </row>
    <row r="145" ht="12.75" customHeight="1">
      <c r="A145" s="18"/>
      <c r="B145" s="55">
        <v>4.0</v>
      </c>
      <c r="C145" s="50" t="s">
        <v>109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3">
        <f t="shared" si="32"/>
        <v>0</v>
      </c>
      <c r="X145" s="5"/>
      <c r="Y145" s="5"/>
    </row>
    <row r="146" ht="12.75" customHeight="1">
      <c r="A146" s="18"/>
      <c r="B146" s="55">
        <v>5.0</v>
      </c>
      <c r="C146" s="50" t="s">
        <v>110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3">
        <f t="shared" si="32"/>
        <v>0</v>
      </c>
      <c r="X146" s="5"/>
      <c r="Y146" s="5"/>
    </row>
    <row r="147" ht="12.75" customHeight="1">
      <c r="A147" s="18"/>
      <c r="B147" s="55">
        <v>6.0</v>
      </c>
      <c r="C147" s="50" t="s">
        <v>111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1.0</v>
      </c>
      <c r="V147" s="19">
        <v>0.0</v>
      </c>
      <c r="W147" s="13">
        <f t="shared" si="32"/>
        <v>1</v>
      </c>
      <c r="X147" s="5"/>
      <c r="Y147" s="5"/>
    </row>
    <row r="148" ht="12.75" customHeight="1">
      <c r="A148" s="18"/>
      <c r="B148" s="55">
        <v>7.0</v>
      </c>
      <c r="C148" s="50" t="s">
        <v>112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3">
        <f t="shared" si="32"/>
        <v>0</v>
      </c>
      <c r="X148" s="5"/>
      <c r="Y148" s="5"/>
    </row>
    <row r="149" ht="12.75" customHeight="1">
      <c r="A149" s="18"/>
      <c r="B149" s="68"/>
      <c r="C149" s="69"/>
      <c r="D149" s="71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3">
        <f t="shared" si="32"/>
        <v>0</v>
      </c>
      <c r="X149" s="5"/>
      <c r="Y149" s="5"/>
    </row>
    <row r="150" ht="12.75" customHeight="1">
      <c r="A150" s="18"/>
      <c r="B150" s="68"/>
      <c r="C150" s="69"/>
      <c r="D150" s="71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3">
        <f t="shared" si="32"/>
        <v>0</v>
      </c>
      <c r="X150" s="5"/>
      <c r="Y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V151" si="33">SUM(E141:E148)</f>
        <v>0</v>
      </c>
      <c r="F151" s="13">
        <f t="shared" si="33"/>
        <v>0</v>
      </c>
      <c r="G151" s="13">
        <f t="shared" si="33"/>
        <v>0</v>
      </c>
      <c r="H151" s="13">
        <f t="shared" si="33"/>
        <v>0</v>
      </c>
      <c r="I151" s="13">
        <f t="shared" si="33"/>
        <v>0</v>
      </c>
      <c r="J151" s="13">
        <f t="shared" si="33"/>
        <v>0</v>
      </c>
      <c r="K151" s="13">
        <f t="shared" si="33"/>
        <v>0</v>
      </c>
      <c r="L151" s="13">
        <f t="shared" si="33"/>
        <v>0</v>
      </c>
      <c r="M151" s="13">
        <f t="shared" si="33"/>
        <v>0</v>
      </c>
      <c r="N151" s="13">
        <f t="shared" si="33"/>
        <v>0</v>
      </c>
      <c r="O151" s="13">
        <f t="shared" si="33"/>
        <v>0</v>
      </c>
      <c r="P151" s="13">
        <f t="shared" si="33"/>
        <v>0</v>
      </c>
      <c r="Q151" s="13">
        <f t="shared" si="33"/>
        <v>0</v>
      </c>
      <c r="R151" s="13">
        <f t="shared" si="33"/>
        <v>0</v>
      </c>
      <c r="S151" s="13">
        <f t="shared" si="33"/>
        <v>0</v>
      </c>
      <c r="T151" s="13">
        <f t="shared" si="33"/>
        <v>0</v>
      </c>
      <c r="U151" s="13">
        <f t="shared" si="33"/>
        <v>1</v>
      </c>
      <c r="V151" s="13">
        <f t="shared" si="33"/>
        <v>0</v>
      </c>
      <c r="W151" s="13">
        <f t="shared" si="32"/>
        <v>1</v>
      </c>
      <c r="X151" s="1"/>
      <c r="Y151" s="1"/>
    </row>
    <row r="152" ht="12.75" customHeight="1">
      <c r="A152" s="24"/>
      <c r="B152" s="15"/>
      <c r="C152" s="15"/>
      <c r="D152" s="15"/>
      <c r="E152" s="16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13"/>
      <c r="X152" s="52"/>
      <c r="Y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1.0</v>
      </c>
      <c r="F153" s="19">
        <v>0.0</v>
      </c>
      <c r="G153" s="19">
        <v>0.0</v>
      </c>
      <c r="H153" s="19">
        <v>0.0</v>
      </c>
      <c r="I153" s="19">
        <v>0.0</v>
      </c>
      <c r="J153" s="19">
        <v>0.0</v>
      </c>
      <c r="K153" s="19">
        <v>1.0</v>
      </c>
      <c r="L153" s="19">
        <v>1.0</v>
      </c>
      <c r="M153" s="19">
        <v>0.0</v>
      </c>
      <c r="N153" s="19">
        <v>0.0</v>
      </c>
      <c r="O153" s="19">
        <v>0.0</v>
      </c>
      <c r="P153" s="19">
        <v>1.0</v>
      </c>
      <c r="Q153" s="19">
        <v>0.0</v>
      </c>
      <c r="R153" s="19">
        <v>0.0</v>
      </c>
      <c r="S153" s="19">
        <v>0.0</v>
      </c>
      <c r="T153" s="19">
        <v>0.0</v>
      </c>
      <c r="U153" s="19">
        <v>0.0</v>
      </c>
      <c r="V153" s="19">
        <v>0.0</v>
      </c>
      <c r="W153" s="13">
        <f t="shared" ref="W153:W163" si="34">SUM(E153:V153)</f>
        <v>4</v>
      </c>
      <c r="X153" s="5"/>
      <c r="Y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0.0</v>
      </c>
      <c r="F154" s="19">
        <v>0.0</v>
      </c>
      <c r="G154" s="19">
        <v>0.0</v>
      </c>
      <c r="H154" s="19">
        <v>0.0</v>
      </c>
      <c r="I154" s="19">
        <v>0.0</v>
      </c>
      <c r="J154" s="19">
        <v>0.0</v>
      </c>
      <c r="K154" s="19">
        <v>3.0</v>
      </c>
      <c r="L154" s="19">
        <v>0.0</v>
      </c>
      <c r="M154" s="19">
        <v>1.0</v>
      </c>
      <c r="N154" s="19">
        <v>0.0</v>
      </c>
      <c r="O154" s="19">
        <v>0.0</v>
      </c>
      <c r="P154" s="19">
        <v>2.0</v>
      </c>
      <c r="Q154" s="19">
        <v>5.0</v>
      </c>
      <c r="R154" s="19">
        <v>0.0</v>
      </c>
      <c r="S154" s="19">
        <v>0.0</v>
      </c>
      <c r="T154" s="19">
        <v>1.0</v>
      </c>
      <c r="U154" s="19">
        <v>0.0</v>
      </c>
      <c r="V154" s="19">
        <v>0.0</v>
      </c>
      <c r="W154" s="13">
        <f t="shared" si="34"/>
        <v>12</v>
      </c>
      <c r="X154" s="5"/>
      <c r="Y154" s="5"/>
    </row>
    <row r="155" ht="12.75" customHeight="1">
      <c r="A155" s="18"/>
      <c r="B155" s="55">
        <v>2.0</v>
      </c>
      <c r="C155" s="59" t="s">
        <v>116</v>
      </c>
      <c r="D155" s="57"/>
      <c r="E155" s="19">
        <v>0.0</v>
      </c>
      <c r="F155" s="19">
        <v>0.0</v>
      </c>
      <c r="G155" s="19">
        <v>0.0</v>
      </c>
      <c r="H155" s="19">
        <v>0.0</v>
      </c>
      <c r="I155" s="19">
        <v>0.0</v>
      </c>
      <c r="J155" s="19">
        <v>1.0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0.0</v>
      </c>
      <c r="R155" s="19">
        <v>0.0</v>
      </c>
      <c r="S155" s="19">
        <v>1.0</v>
      </c>
      <c r="T155" s="19">
        <v>0.0</v>
      </c>
      <c r="U155" s="19">
        <v>0.0</v>
      </c>
      <c r="V155" s="19">
        <v>0.0</v>
      </c>
      <c r="W155" s="13">
        <f t="shared" si="34"/>
        <v>2</v>
      </c>
      <c r="X155" s="5"/>
      <c r="Y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1.0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3">
        <f t="shared" si="34"/>
        <v>1</v>
      </c>
      <c r="X156" s="5"/>
      <c r="Y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1.0</v>
      </c>
      <c r="O157" s="19">
        <v>1.0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3">
        <f t="shared" si="34"/>
        <v>2</v>
      </c>
      <c r="X157" s="5"/>
      <c r="Y157" s="5"/>
    </row>
    <row r="158" ht="12.75" customHeight="1">
      <c r="A158" s="18"/>
      <c r="B158" s="68"/>
      <c r="C158" s="73"/>
      <c r="D158" s="71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3">
        <f t="shared" si="34"/>
        <v>0</v>
      </c>
      <c r="X158" s="5"/>
      <c r="Y158" s="5"/>
    </row>
    <row r="159" ht="12.75" customHeight="1">
      <c r="A159" s="18"/>
      <c r="B159" s="68"/>
      <c r="C159" s="73"/>
      <c r="D159" s="71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3">
        <f t="shared" si="34"/>
        <v>0</v>
      </c>
      <c r="X159" s="5"/>
      <c r="Y159" s="5"/>
    </row>
    <row r="160" ht="12.75" customHeight="1">
      <c r="A160" s="18"/>
      <c r="B160" s="68"/>
      <c r="C160" s="73"/>
      <c r="D160" s="71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3">
        <f t="shared" si="34"/>
        <v>0</v>
      </c>
      <c r="X160" s="5"/>
      <c r="Y160" s="5"/>
    </row>
    <row r="161" ht="12.75" customHeight="1">
      <c r="A161" s="18"/>
      <c r="B161" s="68"/>
      <c r="C161" s="73"/>
      <c r="D161" s="71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3">
        <f t="shared" si="34"/>
        <v>0</v>
      </c>
      <c r="X161" s="5"/>
      <c r="Y161" s="5"/>
    </row>
    <row r="162" ht="12.75" customHeight="1">
      <c r="A162" s="18"/>
      <c r="B162" s="68"/>
      <c r="C162" s="73"/>
      <c r="D162" s="71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3">
        <f t="shared" si="34"/>
        <v>0</v>
      </c>
      <c r="X162" s="5"/>
      <c r="Y162" s="5"/>
    </row>
    <row r="163" ht="15.0" customHeight="1">
      <c r="A163" s="19" t="s">
        <v>15</v>
      </c>
      <c r="B163" s="47" t="s">
        <v>47</v>
      </c>
      <c r="C163" s="15"/>
      <c r="D163" s="16"/>
      <c r="E163" s="13">
        <f t="shared" ref="E163:V163" si="35">SUM(E153:E157)</f>
        <v>1</v>
      </c>
      <c r="F163" s="13">
        <f t="shared" si="35"/>
        <v>0</v>
      </c>
      <c r="G163" s="13">
        <f t="shared" si="35"/>
        <v>0</v>
      </c>
      <c r="H163" s="13">
        <f t="shared" si="35"/>
        <v>0</v>
      </c>
      <c r="I163" s="13">
        <f t="shared" si="35"/>
        <v>0</v>
      </c>
      <c r="J163" s="13">
        <f t="shared" si="35"/>
        <v>1</v>
      </c>
      <c r="K163" s="13">
        <f t="shared" si="35"/>
        <v>4</v>
      </c>
      <c r="L163" s="13">
        <f t="shared" si="35"/>
        <v>1</v>
      </c>
      <c r="M163" s="13">
        <f t="shared" si="35"/>
        <v>1</v>
      </c>
      <c r="N163" s="13">
        <f t="shared" si="35"/>
        <v>1</v>
      </c>
      <c r="O163" s="13">
        <f t="shared" si="35"/>
        <v>1</v>
      </c>
      <c r="P163" s="13">
        <f t="shared" si="35"/>
        <v>3</v>
      </c>
      <c r="Q163" s="13">
        <f t="shared" si="35"/>
        <v>6</v>
      </c>
      <c r="R163" s="13">
        <f t="shared" si="35"/>
        <v>0</v>
      </c>
      <c r="S163" s="13">
        <f t="shared" si="35"/>
        <v>1</v>
      </c>
      <c r="T163" s="13">
        <f t="shared" si="35"/>
        <v>1</v>
      </c>
      <c r="U163" s="13">
        <f t="shared" si="35"/>
        <v>0</v>
      </c>
      <c r="V163" s="13">
        <f t="shared" si="35"/>
        <v>0</v>
      </c>
      <c r="W163" s="13">
        <f t="shared" si="34"/>
        <v>21</v>
      </c>
      <c r="X163" s="5"/>
      <c r="Y163" s="5"/>
    </row>
    <row r="164" ht="12.75" customHeight="1">
      <c r="A164" s="24"/>
      <c r="B164" s="15"/>
      <c r="C164" s="15"/>
      <c r="D164" s="15"/>
      <c r="E164" s="16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5"/>
      <c r="Y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1.0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1.0</v>
      </c>
      <c r="N165" s="19">
        <v>1.0</v>
      </c>
      <c r="O165" s="19">
        <v>0.0</v>
      </c>
      <c r="P165" s="19">
        <v>0.0</v>
      </c>
      <c r="Q165" s="19">
        <v>0.0</v>
      </c>
      <c r="R165" s="19">
        <v>0.0</v>
      </c>
      <c r="S165" s="19">
        <v>1.0</v>
      </c>
      <c r="T165" s="19">
        <v>0.0</v>
      </c>
      <c r="U165" s="19">
        <v>0.0</v>
      </c>
      <c r="V165" s="19">
        <v>3.0</v>
      </c>
      <c r="W165" s="13">
        <f t="shared" ref="W165:W175" si="36">SUM(E165:V165)</f>
        <v>7</v>
      </c>
      <c r="X165" s="1"/>
      <c r="Y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0.0</v>
      </c>
      <c r="F166" s="19">
        <v>0.0</v>
      </c>
      <c r="G166" s="19">
        <v>0.0</v>
      </c>
      <c r="H166" s="19">
        <v>1.0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1.0</v>
      </c>
      <c r="S166" s="19">
        <v>0.0</v>
      </c>
      <c r="T166" s="19">
        <v>0.0</v>
      </c>
      <c r="U166" s="19">
        <v>0.0</v>
      </c>
      <c r="V166" s="19">
        <v>0.0</v>
      </c>
      <c r="W166" s="13">
        <f t="shared" si="36"/>
        <v>2</v>
      </c>
      <c r="X166" s="52"/>
      <c r="Y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0.0</v>
      </c>
      <c r="F167" s="19">
        <v>0.0</v>
      </c>
      <c r="G167" s="19">
        <v>0.0</v>
      </c>
      <c r="H167" s="19">
        <v>1.0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3">
        <f t="shared" si="36"/>
        <v>1</v>
      </c>
      <c r="X167" s="5"/>
      <c r="Y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1.0</v>
      </c>
      <c r="L168" s="19">
        <v>1.0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3">
        <f t="shared" si="36"/>
        <v>2</v>
      </c>
      <c r="X168" s="5"/>
      <c r="Y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0.0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3">
        <f t="shared" si="36"/>
        <v>0</v>
      </c>
      <c r="X169" s="5"/>
      <c r="Y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3">
        <f t="shared" si="36"/>
        <v>0</v>
      </c>
      <c r="X170" s="5"/>
      <c r="Y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3">
        <f t="shared" si="36"/>
        <v>0</v>
      </c>
      <c r="X171" s="5"/>
      <c r="Y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3">
        <f t="shared" si="36"/>
        <v>0</v>
      </c>
      <c r="X172" s="5"/>
      <c r="Y172" s="5"/>
    </row>
    <row r="173" ht="12.75" customHeight="1">
      <c r="A173" s="18"/>
      <c r="B173" s="68"/>
      <c r="C173" s="69"/>
      <c r="D173" s="71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3">
        <f t="shared" si="36"/>
        <v>0</v>
      </c>
      <c r="X173" s="5"/>
      <c r="Y173" s="5"/>
    </row>
    <row r="174" ht="12.75" customHeight="1">
      <c r="A174" s="18"/>
      <c r="B174" s="68"/>
      <c r="C174" s="69"/>
      <c r="D174" s="71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3">
        <f t="shared" si="36"/>
        <v>0</v>
      </c>
      <c r="X174" s="5"/>
      <c r="Y174" s="5"/>
    </row>
    <row r="175" ht="15.0" customHeight="1">
      <c r="A175" s="19" t="s">
        <v>15</v>
      </c>
      <c r="B175" s="47" t="s">
        <v>47</v>
      </c>
      <c r="C175" s="15"/>
      <c r="D175" s="16"/>
      <c r="E175" s="13">
        <f t="shared" ref="E175:V175" si="37">SUM(E165:E172)</f>
        <v>1</v>
      </c>
      <c r="F175" s="13">
        <f t="shared" si="37"/>
        <v>0</v>
      </c>
      <c r="G175" s="13">
        <f t="shared" si="37"/>
        <v>0</v>
      </c>
      <c r="H175" s="13">
        <f t="shared" si="37"/>
        <v>2</v>
      </c>
      <c r="I175" s="13">
        <f t="shared" si="37"/>
        <v>0</v>
      </c>
      <c r="J175" s="13">
        <f t="shared" si="37"/>
        <v>0</v>
      </c>
      <c r="K175" s="13">
        <f t="shared" si="37"/>
        <v>1</v>
      </c>
      <c r="L175" s="13">
        <f t="shared" si="37"/>
        <v>1</v>
      </c>
      <c r="M175" s="13">
        <f t="shared" si="37"/>
        <v>1</v>
      </c>
      <c r="N175" s="13">
        <f t="shared" si="37"/>
        <v>1</v>
      </c>
      <c r="O175" s="13">
        <f t="shared" si="37"/>
        <v>0</v>
      </c>
      <c r="P175" s="13">
        <f t="shared" si="37"/>
        <v>0</v>
      </c>
      <c r="Q175" s="13">
        <f t="shared" si="37"/>
        <v>0</v>
      </c>
      <c r="R175" s="13">
        <f t="shared" si="37"/>
        <v>1</v>
      </c>
      <c r="S175" s="13">
        <f t="shared" si="37"/>
        <v>1</v>
      </c>
      <c r="T175" s="13">
        <f t="shared" si="37"/>
        <v>0</v>
      </c>
      <c r="U175" s="13">
        <f t="shared" si="37"/>
        <v>0</v>
      </c>
      <c r="V175" s="13">
        <f t="shared" si="37"/>
        <v>3</v>
      </c>
      <c r="W175" s="13">
        <f t="shared" si="36"/>
        <v>12</v>
      </c>
      <c r="X175" s="5"/>
      <c r="Y175" s="5"/>
    </row>
    <row r="176" ht="12.75" customHeight="1">
      <c r="A176" s="24"/>
      <c r="B176" s="15"/>
      <c r="C176" s="15"/>
      <c r="D176" s="15"/>
      <c r="E176" s="16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1"/>
      <c r="Y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0.0</v>
      </c>
      <c r="G177" s="19">
        <v>1.0</v>
      </c>
      <c r="H177" s="19">
        <v>2.0</v>
      </c>
      <c r="I177" s="19">
        <v>1.0</v>
      </c>
      <c r="J177" s="19">
        <v>2.0</v>
      </c>
      <c r="K177" s="19">
        <v>1.0</v>
      </c>
      <c r="L177" s="19">
        <v>0.0</v>
      </c>
      <c r="M177" s="19">
        <v>0.0</v>
      </c>
      <c r="N177" s="19">
        <v>1.0</v>
      </c>
      <c r="O177" s="19">
        <v>0.0</v>
      </c>
      <c r="P177" s="19">
        <v>0.0</v>
      </c>
      <c r="Q177" s="19">
        <v>0.0</v>
      </c>
      <c r="R177" s="19">
        <v>1.0</v>
      </c>
      <c r="S177" s="19">
        <v>1.0</v>
      </c>
      <c r="T177" s="19">
        <v>1.0</v>
      </c>
      <c r="U177" s="19">
        <v>4.0</v>
      </c>
      <c r="V177" s="19">
        <v>0.0</v>
      </c>
      <c r="W177" s="13">
        <f t="shared" ref="W177:W187" si="38">SUM(E177:V177)</f>
        <v>15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0.0</v>
      </c>
      <c r="F178" s="19">
        <v>0.0</v>
      </c>
      <c r="G178" s="19">
        <v>1.0</v>
      </c>
      <c r="H178" s="19">
        <v>0.0</v>
      </c>
      <c r="I178" s="19">
        <v>0.0</v>
      </c>
      <c r="J178" s="19">
        <v>0.0</v>
      </c>
      <c r="K178" s="19">
        <v>0.0</v>
      </c>
      <c r="L178" s="19">
        <v>0.0</v>
      </c>
      <c r="M178" s="19">
        <v>0.0</v>
      </c>
      <c r="N178" s="19">
        <v>0.0</v>
      </c>
      <c r="O178" s="19">
        <v>0.0</v>
      </c>
      <c r="P178" s="19">
        <v>2.0</v>
      </c>
      <c r="Q178" s="19">
        <v>0.0</v>
      </c>
      <c r="R178" s="19">
        <v>0.0</v>
      </c>
      <c r="S178" s="19">
        <v>1.0</v>
      </c>
      <c r="T178" s="19">
        <v>0.0</v>
      </c>
      <c r="U178" s="19">
        <v>0.0</v>
      </c>
      <c r="V178" s="19">
        <v>0.0</v>
      </c>
      <c r="W178" s="13">
        <f t="shared" si="38"/>
        <v>4</v>
      </c>
      <c r="X178" s="5"/>
      <c r="Y178" s="5"/>
    </row>
    <row r="179" ht="12.75" customHeight="1">
      <c r="A179" s="18"/>
      <c r="B179" s="55">
        <v>2.0</v>
      </c>
      <c r="C179" s="50" t="s">
        <v>131</v>
      </c>
      <c r="D179" s="57"/>
      <c r="E179" s="19">
        <v>0.0</v>
      </c>
      <c r="F179" s="19">
        <v>0.0</v>
      </c>
      <c r="G179" s="19">
        <v>2.0</v>
      </c>
      <c r="H179" s="19">
        <v>0.0</v>
      </c>
      <c r="I179" s="19">
        <v>0.0</v>
      </c>
      <c r="J179" s="19">
        <v>0.0</v>
      </c>
      <c r="K179" s="19">
        <v>1.0</v>
      </c>
      <c r="L179" s="19">
        <v>0.0</v>
      </c>
      <c r="M179" s="19">
        <v>0.0</v>
      </c>
      <c r="N179" s="19">
        <v>0.0</v>
      </c>
      <c r="O179" s="19">
        <v>0.0</v>
      </c>
      <c r="P179" s="19">
        <v>0.0</v>
      </c>
      <c r="Q179" s="19">
        <v>0.0</v>
      </c>
      <c r="R179" s="19">
        <v>0.0</v>
      </c>
      <c r="S179" s="19">
        <v>0.0</v>
      </c>
      <c r="T179" s="19">
        <v>1.0</v>
      </c>
      <c r="U179" s="19">
        <v>1.0</v>
      </c>
      <c r="V179" s="19">
        <v>0.0</v>
      </c>
      <c r="W179" s="13">
        <f t="shared" si="38"/>
        <v>5</v>
      </c>
      <c r="X179" s="5"/>
      <c r="Y179" s="5"/>
    </row>
    <row r="180" ht="12.75" customHeight="1">
      <c r="A180" s="18"/>
      <c r="B180" s="55">
        <v>3.0</v>
      </c>
      <c r="C180" s="50" t="s">
        <v>132</v>
      </c>
      <c r="D180" s="57"/>
      <c r="E180" s="19">
        <v>0.0</v>
      </c>
      <c r="F180" s="19">
        <v>0.0</v>
      </c>
      <c r="G180" s="19">
        <v>0.0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9">
        <v>1.0</v>
      </c>
      <c r="U180" s="19">
        <v>0.0</v>
      </c>
      <c r="V180" s="19">
        <v>0.0</v>
      </c>
      <c r="W180" s="13">
        <f t="shared" si="38"/>
        <v>1</v>
      </c>
      <c r="X180" s="5"/>
      <c r="Y180" s="5"/>
    </row>
    <row r="181" ht="12.75" customHeight="1">
      <c r="A181" s="18"/>
      <c r="B181" s="55">
        <v>4.0</v>
      </c>
      <c r="C181" s="50" t="s">
        <v>133</v>
      </c>
      <c r="D181" s="57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1.0</v>
      </c>
      <c r="Q181" s="19">
        <v>0.0</v>
      </c>
      <c r="R181" s="19">
        <v>0.0</v>
      </c>
      <c r="S181" s="19">
        <v>2.0</v>
      </c>
      <c r="T181" s="19">
        <v>0.0</v>
      </c>
      <c r="U181" s="19">
        <v>1.0</v>
      </c>
      <c r="V181" s="19">
        <v>0.0</v>
      </c>
      <c r="W181" s="13">
        <f t="shared" si="38"/>
        <v>4</v>
      </c>
      <c r="X181" s="5"/>
      <c r="Y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0.0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3">
        <f t="shared" si="38"/>
        <v>0</v>
      </c>
      <c r="X182" s="5"/>
      <c r="Y182" s="5"/>
    </row>
    <row r="183" ht="12.75" customHeight="1">
      <c r="A183" s="18"/>
      <c r="B183" s="55">
        <v>6.0</v>
      </c>
      <c r="C183" s="50" t="s">
        <v>135</v>
      </c>
      <c r="D183" s="57"/>
      <c r="E183" s="19">
        <v>0.0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1.0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2.0</v>
      </c>
      <c r="W183" s="13">
        <f t="shared" si="38"/>
        <v>3</v>
      </c>
      <c r="X183" s="5"/>
      <c r="Y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1.0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1.0</v>
      </c>
      <c r="V184" s="19">
        <v>1.0</v>
      </c>
      <c r="W184" s="13">
        <f t="shared" si="38"/>
        <v>3</v>
      </c>
      <c r="X184" s="5"/>
      <c r="Y184" s="5"/>
    </row>
    <row r="185" ht="12.75" customHeight="1">
      <c r="A185" s="18"/>
      <c r="B185" s="68"/>
      <c r="C185" s="69"/>
      <c r="D185" s="71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3">
        <f t="shared" si="38"/>
        <v>0</v>
      </c>
      <c r="X185" s="5"/>
      <c r="Y185" s="5"/>
    </row>
    <row r="186" ht="12.75" customHeight="1">
      <c r="A186" s="18"/>
      <c r="B186" s="68"/>
      <c r="C186" s="69"/>
      <c r="D186" s="71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3">
        <f t="shared" si="38"/>
        <v>0</v>
      </c>
      <c r="X186" s="5"/>
      <c r="Y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V187" si="39">SUM(E177:E184)</f>
        <v>0</v>
      </c>
      <c r="F187" s="13">
        <f t="shared" si="39"/>
        <v>0</v>
      </c>
      <c r="G187" s="13">
        <f t="shared" si="39"/>
        <v>4</v>
      </c>
      <c r="H187" s="13">
        <f t="shared" si="39"/>
        <v>2</v>
      </c>
      <c r="I187" s="13">
        <f t="shared" si="39"/>
        <v>1</v>
      </c>
      <c r="J187" s="13">
        <f t="shared" si="39"/>
        <v>2</v>
      </c>
      <c r="K187" s="13">
        <f t="shared" si="39"/>
        <v>3</v>
      </c>
      <c r="L187" s="13">
        <f t="shared" si="39"/>
        <v>1</v>
      </c>
      <c r="M187" s="13">
        <f t="shared" si="39"/>
        <v>0</v>
      </c>
      <c r="N187" s="13">
        <f t="shared" si="39"/>
        <v>1</v>
      </c>
      <c r="O187" s="13">
        <f t="shared" si="39"/>
        <v>0</v>
      </c>
      <c r="P187" s="13">
        <f t="shared" si="39"/>
        <v>3</v>
      </c>
      <c r="Q187" s="13">
        <f t="shared" si="39"/>
        <v>0</v>
      </c>
      <c r="R187" s="13">
        <f t="shared" si="39"/>
        <v>1</v>
      </c>
      <c r="S187" s="13">
        <f t="shared" si="39"/>
        <v>4</v>
      </c>
      <c r="T187" s="13">
        <f t="shared" si="39"/>
        <v>3</v>
      </c>
      <c r="U187" s="13">
        <f t="shared" si="39"/>
        <v>7</v>
      </c>
      <c r="V187" s="13">
        <f t="shared" si="39"/>
        <v>3</v>
      </c>
      <c r="W187" s="13">
        <f t="shared" si="38"/>
        <v>35</v>
      </c>
      <c r="X187" s="1"/>
      <c r="Y187" s="1"/>
    </row>
    <row r="188" ht="12.75" customHeight="1">
      <c r="A188" s="24"/>
      <c r="B188" s="15"/>
      <c r="C188" s="15"/>
      <c r="D188" s="15"/>
      <c r="E188" s="16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1.0</v>
      </c>
      <c r="H189" s="19">
        <v>0.0</v>
      </c>
      <c r="I189" s="19">
        <v>0.0</v>
      </c>
      <c r="J189" s="19">
        <v>0.0</v>
      </c>
      <c r="K189" s="19">
        <v>0.0</v>
      </c>
      <c r="L189" s="19">
        <v>0.0</v>
      </c>
      <c r="M189" s="19">
        <v>0.0</v>
      </c>
      <c r="N189" s="19">
        <v>0.0</v>
      </c>
      <c r="O189" s="19">
        <v>0.0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3">
        <f t="shared" ref="W189:W199" si="40">SUM(E189:V189)</f>
        <v>1</v>
      </c>
      <c r="X189" s="5"/>
      <c r="Y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0.0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3">
        <f t="shared" si="40"/>
        <v>0</v>
      </c>
      <c r="X190" s="5"/>
      <c r="Y190" s="5"/>
    </row>
    <row r="191" ht="12.75" customHeight="1">
      <c r="A191" s="18"/>
      <c r="B191" s="55">
        <v>2.0</v>
      </c>
      <c r="C191" s="50" t="s">
        <v>140</v>
      </c>
      <c r="D191" s="57"/>
      <c r="E191" s="19">
        <v>0.0</v>
      </c>
      <c r="F191" s="19">
        <v>0.0</v>
      </c>
      <c r="G191" s="19">
        <v>0.0</v>
      </c>
      <c r="H191" s="19">
        <v>1.0</v>
      </c>
      <c r="I191" s="19">
        <v>0.0</v>
      </c>
      <c r="J191" s="19">
        <v>0.0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1.0</v>
      </c>
      <c r="Q191" s="19">
        <v>0.0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3">
        <f t="shared" si="40"/>
        <v>2</v>
      </c>
      <c r="X191" s="5"/>
      <c r="Y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3">
        <f t="shared" si="40"/>
        <v>0</v>
      </c>
      <c r="X192" s="5"/>
      <c r="Y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3">
        <f t="shared" si="40"/>
        <v>0</v>
      </c>
      <c r="X193" s="5"/>
      <c r="Y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0.0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3">
        <f t="shared" si="40"/>
        <v>0</v>
      </c>
      <c r="X194" s="5"/>
      <c r="Y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3">
        <f t="shared" si="40"/>
        <v>0</v>
      </c>
      <c r="X195" s="5"/>
      <c r="Y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3">
        <f t="shared" si="40"/>
        <v>0</v>
      </c>
      <c r="X196" s="1"/>
      <c r="Y196" s="1"/>
    </row>
    <row r="197" ht="12.75" customHeight="1">
      <c r="A197" s="18"/>
      <c r="B197" s="68"/>
      <c r="C197" s="69"/>
      <c r="D197" s="71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3">
        <f t="shared" si="40"/>
        <v>0</v>
      </c>
      <c r="X197" s="1"/>
      <c r="Y197" s="1"/>
    </row>
    <row r="198" ht="12.75" customHeight="1">
      <c r="A198" s="18"/>
      <c r="B198" s="68"/>
      <c r="C198" s="69"/>
      <c r="D198" s="71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3">
        <f t="shared" si="40"/>
        <v>0</v>
      </c>
      <c r="X198" s="1"/>
      <c r="Y198" s="1"/>
    </row>
    <row r="199" ht="15.0" customHeight="1">
      <c r="A199" s="19" t="s">
        <v>15</v>
      </c>
      <c r="B199" s="47" t="s">
        <v>47</v>
      </c>
      <c r="C199" s="15"/>
      <c r="D199" s="16"/>
      <c r="E199" s="13">
        <f t="shared" ref="E199:V199" si="41">SUM(E189:E196)</f>
        <v>0</v>
      </c>
      <c r="F199" s="13">
        <f t="shared" si="41"/>
        <v>0</v>
      </c>
      <c r="G199" s="13">
        <f t="shared" si="41"/>
        <v>1</v>
      </c>
      <c r="H199" s="13">
        <f t="shared" si="41"/>
        <v>1</v>
      </c>
      <c r="I199" s="13">
        <f t="shared" si="41"/>
        <v>0</v>
      </c>
      <c r="J199" s="13">
        <f t="shared" si="41"/>
        <v>0</v>
      </c>
      <c r="K199" s="13">
        <f t="shared" si="41"/>
        <v>0</v>
      </c>
      <c r="L199" s="13">
        <f t="shared" si="41"/>
        <v>0</v>
      </c>
      <c r="M199" s="13">
        <f t="shared" si="41"/>
        <v>0</v>
      </c>
      <c r="N199" s="13">
        <f t="shared" si="41"/>
        <v>0</v>
      </c>
      <c r="O199" s="13">
        <f t="shared" si="41"/>
        <v>0</v>
      </c>
      <c r="P199" s="13">
        <f t="shared" si="41"/>
        <v>1</v>
      </c>
      <c r="Q199" s="13">
        <f t="shared" si="41"/>
        <v>0</v>
      </c>
      <c r="R199" s="13">
        <f t="shared" si="41"/>
        <v>0</v>
      </c>
      <c r="S199" s="13">
        <f t="shared" si="41"/>
        <v>0</v>
      </c>
      <c r="T199" s="13">
        <f t="shared" si="41"/>
        <v>0</v>
      </c>
      <c r="U199" s="13">
        <f t="shared" si="41"/>
        <v>0</v>
      </c>
      <c r="V199" s="13">
        <f t="shared" si="41"/>
        <v>0</v>
      </c>
      <c r="W199" s="13">
        <f t="shared" si="40"/>
        <v>3</v>
      </c>
      <c r="X199" s="52"/>
      <c r="Y199" s="52"/>
    </row>
    <row r="200" ht="12.75" customHeight="1">
      <c r="A200" s="24"/>
      <c r="B200" s="15"/>
      <c r="C200" s="15"/>
      <c r="D200" s="15"/>
      <c r="E200" s="16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5"/>
      <c r="Y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0.0</v>
      </c>
      <c r="F201" s="19">
        <v>1.0</v>
      </c>
      <c r="G201" s="19">
        <v>0.0</v>
      </c>
      <c r="H201" s="19">
        <v>0.0</v>
      </c>
      <c r="I201" s="19">
        <v>0.0</v>
      </c>
      <c r="J201" s="19">
        <v>1.0</v>
      </c>
      <c r="K201" s="19">
        <v>0.0</v>
      </c>
      <c r="L201" s="19">
        <v>3.0</v>
      </c>
      <c r="M201" s="19">
        <v>1.0</v>
      </c>
      <c r="N201" s="19">
        <v>1.0</v>
      </c>
      <c r="O201" s="19">
        <v>3.0</v>
      </c>
      <c r="P201" s="19">
        <v>1.0</v>
      </c>
      <c r="Q201" s="19">
        <v>1.0</v>
      </c>
      <c r="R201" s="19">
        <v>1.0</v>
      </c>
      <c r="S201" s="19">
        <v>1.0</v>
      </c>
      <c r="T201" s="19">
        <v>1.0</v>
      </c>
      <c r="U201" s="19">
        <v>3.0</v>
      </c>
      <c r="V201" s="19">
        <v>9.0</v>
      </c>
      <c r="W201" s="13">
        <f t="shared" ref="W201:W211" si="42">SUM(E201:V201)</f>
        <v>27</v>
      </c>
      <c r="X201" s="5"/>
      <c r="Y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0.0</v>
      </c>
      <c r="F202" s="19">
        <v>0.0</v>
      </c>
      <c r="G202" s="19">
        <v>0.0</v>
      </c>
      <c r="H202" s="19">
        <v>1.0</v>
      </c>
      <c r="I202" s="19">
        <v>1.0</v>
      </c>
      <c r="J202" s="19">
        <v>1.0</v>
      </c>
      <c r="K202" s="19">
        <v>1.0</v>
      </c>
      <c r="L202" s="19">
        <v>1.0</v>
      </c>
      <c r="M202" s="19">
        <v>2.0</v>
      </c>
      <c r="N202" s="19">
        <v>0.0</v>
      </c>
      <c r="O202" s="19">
        <v>0.0</v>
      </c>
      <c r="P202" s="19">
        <v>0.0</v>
      </c>
      <c r="Q202" s="19">
        <v>1.0</v>
      </c>
      <c r="R202" s="19">
        <v>0.0</v>
      </c>
      <c r="S202" s="19">
        <v>2.0</v>
      </c>
      <c r="T202" s="19">
        <v>1.0</v>
      </c>
      <c r="U202" s="19">
        <v>2.0</v>
      </c>
      <c r="V202" s="19">
        <v>1.0</v>
      </c>
      <c r="W202" s="13">
        <f t="shared" si="42"/>
        <v>14</v>
      </c>
      <c r="X202" s="5"/>
      <c r="Y202" s="5"/>
    </row>
    <row r="203" ht="12.75" customHeight="1">
      <c r="A203" s="18"/>
      <c r="B203" s="55">
        <v>2.0</v>
      </c>
      <c r="C203" s="50" t="s">
        <v>149</v>
      </c>
      <c r="D203" s="57"/>
      <c r="E203" s="19">
        <v>0.0</v>
      </c>
      <c r="F203" s="19">
        <v>2.0</v>
      </c>
      <c r="G203" s="19">
        <v>0.0</v>
      </c>
      <c r="H203" s="19">
        <v>1.0</v>
      </c>
      <c r="I203" s="19">
        <v>0.0</v>
      </c>
      <c r="J203" s="19">
        <v>0.0</v>
      </c>
      <c r="K203" s="19">
        <v>1.0</v>
      </c>
      <c r="L203" s="19">
        <v>1.0</v>
      </c>
      <c r="M203" s="19">
        <v>1.0</v>
      </c>
      <c r="N203" s="19">
        <v>0.0</v>
      </c>
      <c r="O203" s="19">
        <v>0.0</v>
      </c>
      <c r="P203" s="19">
        <v>1.0</v>
      </c>
      <c r="Q203" s="19">
        <v>0.0</v>
      </c>
      <c r="R203" s="19">
        <v>1.0</v>
      </c>
      <c r="S203" s="19">
        <v>0.0</v>
      </c>
      <c r="T203" s="19">
        <v>1.0</v>
      </c>
      <c r="U203" s="19">
        <v>4.0</v>
      </c>
      <c r="V203" s="19">
        <v>6.0</v>
      </c>
      <c r="W203" s="13">
        <f t="shared" si="42"/>
        <v>19</v>
      </c>
      <c r="X203" s="5"/>
      <c r="Y203" s="5"/>
    </row>
    <row r="204" ht="12.75" customHeight="1">
      <c r="A204" s="18"/>
      <c r="B204" s="55">
        <v>3.0</v>
      </c>
      <c r="C204" s="50" t="s">
        <v>150</v>
      </c>
      <c r="D204" s="57"/>
      <c r="E204" s="19">
        <v>0.0</v>
      </c>
      <c r="F204" s="19">
        <v>0.0</v>
      </c>
      <c r="G204" s="19">
        <v>0.0</v>
      </c>
      <c r="H204" s="19">
        <v>0.0</v>
      </c>
      <c r="I204" s="19">
        <v>0.0</v>
      </c>
      <c r="J204" s="19">
        <v>0.0</v>
      </c>
      <c r="K204" s="19">
        <v>0.0</v>
      </c>
      <c r="L204" s="19">
        <v>1.0</v>
      </c>
      <c r="M204" s="19">
        <v>0.0</v>
      </c>
      <c r="N204" s="19">
        <v>0.0</v>
      </c>
      <c r="O204" s="19">
        <v>0.0</v>
      </c>
      <c r="P204" s="19">
        <v>0.0</v>
      </c>
      <c r="Q204" s="19">
        <v>0.0</v>
      </c>
      <c r="R204" s="19">
        <v>0.0</v>
      </c>
      <c r="S204" s="19">
        <v>0.0</v>
      </c>
      <c r="T204" s="19">
        <v>0.0</v>
      </c>
      <c r="U204" s="19">
        <v>0.0</v>
      </c>
      <c r="V204" s="19">
        <v>0.0</v>
      </c>
      <c r="W204" s="13">
        <f t="shared" si="42"/>
        <v>1</v>
      </c>
      <c r="X204" s="5"/>
      <c r="Y204" s="5"/>
    </row>
    <row r="205" ht="12.75" customHeight="1">
      <c r="A205" s="18"/>
      <c r="B205" s="55">
        <v>4.0</v>
      </c>
      <c r="C205" s="50" t="s">
        <v>151</v>
      </c>
      <c r="D205" s="57"/>
      <c r="E205" s="19">
        <v>0.0</v>
      </c>
      <c r="F205" s="19">
        <v>0.0</v>
      </c>
      <c r="G205" s="19">
        <v>0.0</v>
      </c>
      <c r="H205" s="19">
        <v>0.0</v>
      </c>
      <c r="I205" s="19">
        <v>0.0</v>
      </c>
      <c r="J205" s="19">
        <v>0.0</v>
      </c>
      <c r="K205" s="19">
        <v>0.0</v>
      </c>
      <c r="L205" s="19">
        <v>0.0</v>
      </c>
      <c r="M205" s="19">
        <v>0.0</v>
      </c>
      <c r="N205" s="19">
        <v>0.0</v>
      </c>
      <c r="O205" s="19">
        <v>0.0</v>
      </c>
      <c r="P205" s="19">
        <v>0.0</v>
      </c>
      <c r="Q205" s="19">
        <v>0.0</v>
      </c>
      <c r="R205" s="19">
        <v>1.0</v>
      </c>
      <c r="S205" s="19">
        <v>0.0</v>
      </c>
      <c r="T205" s="19">
        <v>0.0</v>
      </c>
      <c r="U205" s="19">
        <v>0.0</v>
      </c>
      <c r="V205" s="19">
        <v>1.0</v>
      </c>
      <c r="W205" s="13">
        <f t="shared" si="42"/>
        <v>2</v>
      </c>
      <c r="X205" s="5"/>
      <c r="Y205" s="5"/>
    </row>
    <row r="206" ht="12.75" customHeight="1">
      <c r="A206" s="18"/>
      <c r="B206" s="55">
        <v>5.0</v>
      </c>
      <c r="C206" s="50" t="s">
        <v>152</v>
      </c>
      <c r="D206" s="57"/>
      <c r="E206" s="19">
        <v>0.0</v>
      </c>
      <c r="F206" s="19">
        <v>1.0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0.0</v>
      </c>
      <c r="N206" s="19">
        <v>0.0</v>
      </c>
      <c r="O206" s="19">
        <v>0.0</v>
      </c>
      <c r="P206" s="19">
        <v>1.0</v>
      </c>
      <c r="Q206" s="19">
        <v>0.0</v>
      </c>
      <c r="R206" s="19">
        <v>0.0</v>
      </c>
      <c r="S206" s="19">
        <v>0.0</v>
      </c>
      <c r="T206" s="19">
        <v>0.0</v>
      </c>
      <c r="U206" s="19">
        <v>0.0</v>
      </c>
      <c r="V206" s="19">
        <v>0.0</v>
      </c>
      <c r="W206" s="13">
        <f t="shared" si="42"/>
        <v>2</v>
      </c>
      <c r="X206" s="5"/>
      <c r="Y206" s="5"/>
    </row>
    <row r="207" ht="12.75" customHeight="1">
      <c r="A207" s="18"/>
      <c r="B207" s="55">
        <v>6.0</v>
      </c>
      <c r="C207" s="50" t="s">
        <v>153</v>
      </c>
      <c r="D207" s="57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0.0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3">
        <f t="shared" si="42"/>
        <v>0</v>
      </c>
      <c r="X207" s="1"/>
      <c r="Y207" s="1"/>
    </row>
    <row r="208" ht="12.75" customHeight="1">
      <c r="A208" s="18"/>
      <c r="B208" s="55">
        <v>7.0</v>
      </c>
      <c r="C208" s="50" t="s">
        <v>154</v>
      </c>
      <c r="D208" s="57"/>
      <c r="E208" s="19">
        <v>0.0</v>
      </c>
      <c r="F208" s="19">
        <v>0.0</v>
      </c>
      <c r="G208" s="19">
        <v>0.0</v>
      </c>
      <c r="H208" s="19">
        <v>0.0</v>
      </c>
      <c r="I208" s="19">
        <v>0.0</v>
      </c>
      <c r="J208" s="19">
        <v>0.0</v>
      </c>
      <c r="K208" s="19">
        <v>0.0</v>
      </c>
      <c r="L208" s="19">
        <v>0.0</v>
      </c>
      <c r="M208" s="19">
        <v>0.0</v>
      </c>
      <c r="N208" s="19">
        <v>0.0</v>
      </c>
      <c r="O208" s="19">
        <v>0.0</v>
      </c>
      <c r="P208" s="19">
        <v>0.0</v>
      </c>
      <c r="Q208" s="19">
        <v>0.0</v>
      </c>
      <c r="R208" s="19">
        <v>0.0</v>
      </c>
      <c r="S208" s="19">
        <v>0.0</v>
      </c>
      <c r="T208" s="19">
        <v>0.0</v>
      </c>
      <c r="U208" s="19">
        <v>0.0</v>
      </c>
      <c r="V208" s="19">
        <v>0.0</v>
      </c>
      <c r="W208" s="13">
        <f t="shared" si="42"/>
        <v>0</v>
      </c>
      <c r="X208" s="52"/>
      <c r="Y208" s="52"/>
    </row>
    <row r="209" ht="12.75" customHeight="1">
      <c r="A209" s="18"/>
      <c r="B209" s="68"/>
      <c r="C209" s="69"/>
      <c r="D209" s="71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3">
        <f t="shared" si="42"/>
        <v>0</v>
      </c>
      <c r="X209" s="52"/>
      <c r="Y209" s="52"/>
    </row>
    <row r="210" ht="12.75" customHeight="1">
      <c r="A210" s="18"/>
      <c r="B210" s="68"/>
      <c r="C210" s="69"/>
      <c r="D210" s="71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3">
        <f t="shared" si="42"/>
        <v>0</v>
      </c>
      <c r="X210" s="52"/>
      <c r="Y210" s="52"/>
    </row>
    <row r="211" ht="15.0" customHeight="1">
      <c r="A211" s="19" t="s">
        <v>15</v>
      </c>
      <c r="B211" s="47" t="s">
        <v>47</v>
      </c>
      <c r="C211" s="15"/>
      <c r="D211" s="16"/>
      <c r="E211" s="13">
        <f t="shared" ref="E211:V211" si="43">SUM(E201:E208)</f>
        <v>0</v>
      </c>
      <c r="F211" s="13">
        <f t="shared" si="43"/>
        <v>4</v>
      </c>
      <c r="G211" s="13">
        <f t="shared" si="43"/>
        <v>0</v>
      </c>
      <c r="H211" s="13">
        <f t="shared" si="43"/>
        <v>2</v>
      </c>
      <c r="I211" s="13">
        <f t="shared" si="43"/>
        <v>1</v>
      </c>
      <c r="J211" s="13">
        <f t="shared" si="43"/>
        <v>2</v>
      </c>
      <c r="K211" s="13">
        <f t="shared" si="43"/>
        <v>2</v>
      </c>
      <c r="L211" s="13">
        <f t="shared" si="43"/>
        <v>6</v>
      </c>
      <c r="M211" s="13">
        <f t="shared" si="43"/>
        <v>4</v>
      </c>
      <c r="N211" s="13">
        <f t="shared" si="43"/>
        <v>1</v>
      </c>
      <c r="O211" s="13">
        <f t="shared" si="43"/>
        <v>3</v>
      </c>
      <c r="P211" s="13">
        <f t="shared" si="43"/>
        <v>3</v>
      </c>
      <c r="Q211" s="13">
        <f t="shared" si="43"/>
        <v>2</v>
      </c>
      <c r="R211" s="13">
        <f t="shared" si="43"/>
        <v>3</v>
      </c>
      <c r="S211" s="13">
        <f t="shared" si="43"/>
        <v>3</v>
      </c>
      <c r="T211" s="13">
        <f t="shared" si="43"/>
        <v>3</v>
      </c>
      <c r="U211" s="13">
        <f t="shared" si="43"/>
        <v>9</v>
      </c>
      <c r="V211" s="13">
        <f t="shared" si="43"/>
        <v>17</v>
      </c>
      <c r="W211" s="13">
        <f t="shared" si="42"/>
        <v>65</v>
      </c>
      <c r="X211" s="5"/>
      <c r="Y211" s="5"/>
    </row>
    <row r="212" ht="12.75" customHeight="1">
      <c r="A212" s="24"/>
      <c r="B212" s="15"/>
      <c r="C212" s="15"/>
      <c r="D212" s="15"/>
      <c r="E212" s="16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5"/>
      <c r="Y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0.0</v>
      </c>
      <c r="F213" s="19">
        <v>3.0</v>
      </c>
      <c r="G213" s="19">
        <v>4.0</v>
      </c>
      <c r="H213" s="19">
        <v>2.0</v>
      </c>
      <c r="I213" s="19">
        <v>3.0</v>
      </c>
      <c r="J213" s="19">
        <v>1.0</v>
      </c>
      <c r="K213" s="19">
        <v>1.0</v>
      </c>
      <c r="L213" s="19">
        <v>1.0</v>
      </c>
      <c r="M213" s="19">
        <v>0.0</v>
      </c>
      <c r="N213" s="19">
        <v>1.0</v>
      </c>
      <c r="O213" s="19">
        <v>1.0</v>
      </c>
      <c r="P213" s="19">
        <v>1.0</v>
      </c>
      <c r="Q213" s="19">
        <v>0.0</v>
      </c>
      <c r="R213" s="19">
        <v>1.0</v>
      </c>
      <c r="S213" s="19">
        <v>1.0</v>
      </c>
      <c r="T213" s="19">
        <v>1.0</v>
      </c>
      <c r="U213" s="19">
        <v>0.0</v>
      </c>
      <c r="V213" s="19">
        <v>0.0</v>
      </c>
      <c r="W213" s="13">
        <f t="shared" ref="W213:W223" si="44">SUM(E213:V213)</f>
        <v>21</v>
      </c>
      <c r="X213" s="5"/>
      <c r="Y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0.0</v>
      </c>
      <c r="F214" s="19">
        <v>1.0</v>
      </c>
      <c r="G214" s="19">
        <v>1.0</v>
      </c>
      <c r="H214" s="19">
        <v>2.0</v>
      </c>
      <c r="I214" s="19">
        <v>4.0</v>
      </c>
      <c r="J214" s="19">
        <v>0.0</v>
      </c>
      <c r="K214" s="19">
        <v>4.0</v>
      </c>
      <c r="L214" s="19">
        <v>5.0</v>
      </c>
      <c r="M214" s="19">
        <v>1.0</v>
      </c>
      <c r="N214" s="19">
        <v>3.0</v>
      </c>
      <c r="O214" s="19">
        <v>4.0</v>
      </c>
      <c r="P214" s="19">
        <v>1.0</v>
      </c>
      <c r="Q214" s="19">
        <v>1.0</v>
      </c>
      <c r="R214" s="19">
        <v>1.0</v>
      </c>
      <c r="S214" s="19">
        <v>2.0</v>
      </c>
      <c r="T214" s="19">
        <v>0.0</v>
      </c>
      <c r="U214" s="19">
        <v>0.0</v>
      </c>
      <c r="V214" s="19">
        <v>2.0</v>
      </c>
      <c r="W214" s="13">
        <f t="shared" si="44"/>
        <v>32</v>
      </c>
      <c r="X214" s="5"/>
      <c r="Y214" s="5"/>
    </row>
    <row r="215" ht="12.75" customHeight="1">
      <c r="A215" s="18"/>
      <c r="B215" s="55">
        <v>2.0</v>
      </c>
      <c r="C215" s="50" t="s">
        <v>158</v>
      </c>
      <c r="D215" s="56"/>
      <c r="E215" s="19">
        <v>0.0</v>
      </c>
      <c r="F215" s="19">
        <v>0.0</v>
      </c>
      <c r="G215" s="19">
        <v>0.0</v>
      </c>
      <c r="H215" s="19">
        <v>2.0</v>
      </c>
      <c r="I215" s="19">
        <v>0.0</v>
      </c>
      <c r="J215" s="19">
        <v>0.0</v>
      </c>
      <c r="K215" s="19">
        <v>0.0</v>
      </c>
      <c r="L215" s="19">
        <v>0.0</v>
      </c>
      <c r="M215" s="19">
        <v>0.0</v>
      </c>
      <c r="N215" s="19">
        <v>3.0</v>
      </c>
      <c r="O215" s="19">
        <v>0.0</v>
      </c>
      <c r="P215" s="19">
        <v>1.0</v>
      </c>
      <c r="Q215" s="19">
        <v>0.0</v>
      </c>
      <c r="R215" s="19">
        <v>0.0</v>
      </c>
      <c r="S215" s="19">
        <v>1.0</v>
      </c>
      <c r="T215" s="19">
        <v>4.0</v>
      </c>
      <c r="U215" s="19">
        <v>0.0</v>
      </c>
      <c r="V215" s="19">
        <v>0.0</v>
      </c>
      <c r="W215" s="13">
        <f t="shared" si="44"/>
        <v>11</v>
      </c>
      <c r="X215" s="5"/>
      <c r="Y215" s="5"/>
    </row>
    <row r="216" ht="12.75" customHeight="1">
      <c r="A216" s="18"/>
      <c r="B216" s="55">
        <v>3.0</v>
      </c>
      <c r="C216" s="61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1.0</v>
      </c>
      <c r="K216" s="19">
        <v>0.0</v>
      </c>
      <c r="L216" s="19">
        <v>0.0</v>
      </c>
      <c r="M216" s="19">
        <v>1.0</v>
      </c>
      <c r="N216" s="19">
        <v>0.0</v>
      </c>
      <c r="O216" s="19">
        <v>0.0</v>
      </c>
      <c r="P216" s="19">
        <v>1.0</v>
      </c>
      <c r="Q216" s="19">
        <v>0.0</v>
      </c>
      <c r="R216" s="19">
        <v>0.0</v>
      </c>
      <c r="S216" s="19">
        <v>0.0</v>
      </c>
      <c r="T216" s="19">
        <v>1.0</v>
      </c>
      <c r="U216" s="19">
        <v>0.0</v>
      </c>
      <c r="V216" s="19">
        <v>0.0</v>
      </c>
      <c r="W216" s="13">
        <f t="shared" si="44"/>
        <v>4</v>
      </c>
      <c r="X216" s="5"/>
      <c r="Y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0.0</v>
      </c>
      <c r="G217" s="19">
        <v>0.0</v>
      </c>
      <c r="H217" s="19">
        <v>1.0</v>
      </c>
      <c r="I217" s="19">
        <v>1.0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0.0</v>
      </c>
      <c r="T217" s="19">
        <v>0.0</v>
      </c>
      <c r="U217" s="19">
        <v>0.0</v>
      </c>
      <c r="V217" s="19">
        <v>0.0</v>
      </c>
      <c r="W217" s="13">
        <f t="shared" si="44"/>
        <v>2</v>
      </c>
      <c r="X217" s="5"/>
      <c r="Y217" s="5"/>
    </row>
    <row r="218" ht="12.75" customHeight="1">
      <c r="A218" s="18"/>
      <c r="B218" s="55">
        <v>5.0</v>
      </c>
      <c r="C218" s="50" t="s">
        <v>161</v>
      </c>
      <c r="D218" s="56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3">
        <f t="shared" si="44"/>
        <v>0</v>
      </c>
      <c r="X218" s="1"/>
      <c r="Y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0.0</v>
      </c>
      <c r="G219" s="19">
        <v>0.0</v>
      </c>
      <c r="H219" s="19">
        <v>0.0</v>
      </c>
      <c r="I219" s="19">
        <v>0.0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0.0</v>
      </c>
      <c r="W219" s="13">
        <f t="shared" si="44"/>
        <v>0</v>
      </c>
      <c r="X219" s="52"/>
      <c r="Y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9">
        <v>0.0</v>
      </c>
      <c r="V220" s="19">
        <v>1.0</v>
      </c>
      <c r="W220" s="13">
        <f t="shared" si="44"/>
        <v>1</v>
      </c>
      <c r="X220" s="5"/>
      <c r="Y220" s="5"/>
    </row>
    <row r="221" ht="12.75" customHeight="1">
      <c r="A221" s="18"/>
      <c r="B221" s="68"/>
      <c r="C221" s="69"/>
      <c r="D221" s="70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3">
        <f t="shared" si="44"/>
        <v>0</v>
      </c>
      <c r="X221" s="5"/>
      <c r="Y221" s="5"/>
    </row>
    <row r="222" ht="12.75" customHeight="1">
      <c r="A222" s="18"/>
      <c r="B222" s="68"/>
      <c r="C222" s="69"/>
      <c r="D222" s="70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3">
        <f t="shared" si="44"/>
        <v>0</v>
      </c>
      <c r="X222" s="5"/>
      <c r="Y222" s="5"/>
    </row>
    <row r="223" ht="15.0" customHeight="1">
      <c r="A223" s="19" t="s">
        <v>15</v>
      </c>
      <c r="B223" s="47" t="s">
        <v>47</v>
      </c>
      <c r="C223" s="15"/>
      <c r="D223" s="16"/>
      <c r="E223" s="13">
        <f t="shared" ref="E223:V223" si="45">SUM(E213:E220)</f>
        <v>0</v>
      </c>
      <c r="F223" s="13">
        <f t="shared" si="45"/>
        <v>4</v>
      </c>
      <c r="G223" s="13">
        <f t="shared" si="45"/>
        <v>5</v>
      </c>
      <c r="H223" s="13">
        <f t="shared" si="45"/>
        <v>7</v>
      </c>
      <c r="I223" s="13">
        <f t="shared" si="45"/>
        <v>8</v>
      </c>
      <c r="J223" s="13">
        <f t="shared" si="45"/>
        <v>2</v>
      </c>
      <c r="K223" s="13">
        <f t="shared" si="45"/>
        <v>5</v>
      </c>
      <c r="L223" s="13">
        <f t="shared" si="45"/>
        <v>6</v>
      </c>
      <c r="M223" s="13">
        <f t="shared" si="45"/>
        <v>2</v>
      </c>
      <c r="N223" s="13">
        <f t="shared" si="45"/>
        <v>7</v>
      </c>
      <c r="O223" s="13">
        <f t="shared" si="45"/>
        <v>5</v>
      </c>
      <c r="P223" s="13">
        <f t="shared" si="45"/>
        <v>4</v>
      </c>
      <c r="Q223" s="13">
        <f t="shared" si="45"/>
        <v>1</v>
      </c>
      <c r="R223" s="13">
        <f t="shared" si="45"/>
        <v>2</v>
      </c>
      <c r="S223" s="13">
        <f t="shared" si="45"/>
        <v>4</v>
      </c>
      <c r="T223" s="13">
        <f t="shared" si="45"/>
        <v>6</v>
      </c>
      <c r="U223" s="13">
        <f t="shared" si="45"/>
        <v>0</v>
      </c>
      <c r="V223" s="13">
        <f t="shared" si="45"/>
        <v>3</v>
      </c>
      <c r="W223" s="13">
        <f t="shared" si="44"/>
        <v>71</v>
      </c>
      <c r="X223" s="5"/>
      <c r="Y223" s="5"/>
    </row>
    <row r="224" ht="12.75" customHeight="1">
      <c r="A224" s="24"/>
      <c r="B224" s="15"/>
      <c r="C224" s="15"/>
      <c r="D224" s="15"/>
      <c r="E224" s="16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5"/>
      <c r="Y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0.0</v>
      </c>
      <c r="H225" s="19">
        <v>2.0</v>
      </c>
      <c r="I225" s="19">
        <v>0.0</v>
      </c>
      <c r="J225" s="19">
        <v>1.0</v>
      </c>
      <c r="K225" s="19">
        <v>0.0</v>
      </c>
      <c r="L225" s="19">
        <v>0.0</v>
      </c>
      <c r="M225" s="19">
        <v>0.0</v>
      </c>
      <c r="N225" s="19">
        <v>1.0</v>
      </c>
      <c r="O225" s="19">
        <v>1.0</v>
      </c>
      <c r="P225" s="19">
        <v>0.0</v>
      </c>
      <c r="Q225" s="19">
        <v>0.0</v>
      </c>
      <c r="R225" s="19">
        <v>0.0</v>
      </c>
      <c r="S225" s="19">
        <v>0.0</v>
      </c>
      <c r="T225" s="19">
        <v>1.0</v>
      </c>
      <c r="U225" s="19">
        <v>1.0</v>
      </c>
      <c r="V225" s="19">
        <v>0.0</v>
      </c>
      <c r="W225" s="13">
        <f t="shared" ref="W225:W235" si="46">SUM(E225:V225)</f>
        <v>7</v>
      </c>
      <c r="X225" s="5"/>
      <c r="Y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0.0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0.0</v>
      </c>
      <c r="L226" s="19">
        <v>1.0</v>
      </c>
      <c r="M226" s="19">
        <v>0.0</v>
      </c>
      <c r="N226" s="19">
        <v>0.0</v>
      </c>
      <c r="O226" s="19">
        <v>0.0</v>
      </c>
      <c r="P226" s="19">
        <v>0.0</v>
      </c>
      <c r="Q226" s="19">
        <v>0.0</v>
      </c>
      <c r="R226" s="19">
        <v>1.0</v>
      </c>
      <c r="S226" s="19">
        <v>0.0</v>
      </c>
      <c r="T226" s="19">
        <v>0.0</v>
      </c>
      <c r="U226" s="19">
        <v>0.0</v>
      </c>
      <c r="V226" s="19">
        <v>0.0</v>
      </c>
      <c r="W226" s="13">
        <f t="shared" si="46"/>
        <v>2</v>
      </c>
      <c r="X226" s="5"/>
      <c r="Y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0.0</v>
      </c>
      <c r="H227" s="19">
        <v>1.0</v>
      </c>
      <c r="I227" s="19">
        <v>1.0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3">
        <f t="shared" si="46"/>
        <v>2</v>
      </c>
      <c r="X227" s="5"/>
      <c r="Y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0.0</v>
      </c>
      <c r="G228" s="19">
        <v>0.0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0.0</v>
      </c>
      <c r="O228" s="19">
        <v>0.0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3">
        <f t="shared" si="46"/>
        <v>0</v>
      </c>
      <c r="X228" s="5"/>
      <c r="Y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3">
        <f t="shared" si="46"/>
        <v>0</v>
      </c>
      <c r="X229" s="1"/>
      <c r="Y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3">
        <f t="shared" si="46"/>
        <v>0</v>
      </c>
      <c r="X230" s="52"/>
      <c r="Y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3">
        <f t="shared" si="46"/>
        <v>0</v>
      </c>
      <c r="X231" s="5"/>
      <c r="Y231" s="5"/>
    </row>
    <row r="232" ht="12.75" customHeight="1">
      <c r="A232" s="18"/>
      <c r="B232" s="55">
        <v>7.0</v>
      </c>
      <c r="C232" s="50" t="s">
        <v>172</v>
      </c>
      <c r="D232" s="57"/>
      <c r="E232" s="19">
        <v>0.0</v>
      </c>
      <c r="F232" s="19">
        <v>1.0</v>
      </c>
      <c r="G232" s="19">
        <v>1.0</v>
      </c>
      <c r="H232" s="19">
        <v>3.0</v>
      </c>
      <c r="I232" s="19">
        <v>2.0</v>
      </c>
      <c r="J232" s="19">
        <v>0.0</v>
      </c>
      <c r="K232" s="19">
        <v>0.0</v>
      </c>
      <c r="L232" s="19">
        <v>0.0</v>
      </c>
      <c r="M232" s="19">
        <v>0.0</v>
      </c>
      <c r="N232" s="19">
        <v>0.0</v>
      </c>
      <c r="O232" s="19">
        <v>11.0</v>
      </c>
      <c r="P232" s="19">
        <v>2.0</v>
      </c>
      <c r="Q232" s="19">
        <v>2.0</v>
      </c>
      <c r="R232" s="19">
        <v>1.0</v>
      </c>
      <c r="S232" s="19">
        <v>0.0</v>
      </c>
      <c r="T232" s="19">
        <v>4.0</v>
      </c>
      <c r="U232" s="19">
        <v>6.0</v>
      </c>
      <c r="V232" s="19">
        <v>4.0</v>
      </c>
      <c r="W232" s="13">
        <f t="shared" si="46"/>
        <v>37</v>
      </c>
      <c r="X232" s="5"/>
      <c r="Y232" s="5"/>
    </row>
    <row r="233" ht="12.75" customHeight="1">
      <c r="A233" s="18"/>
      <c r="B233" s="68"/>
      <c r="C233" s="69"/>
      <c r="D233" s="71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3">
        <f t="shared" si="46"/>
        <v>0</v>
      </c>
      <c r="X233" s="5"/>
      <c r="Y233" s="5"/>
    </row>
    <row r="234" ht="12.75" customHeight="1">
      <c r="A234" s="18"/>
      <c r="B234" s="68"/>
      <c r="C234" s="69"/>
      <c r="D234" s="71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3">
        <f t="shared" si="46"/>
        <v>0</v>
      </c>
      <c r="X234" s="5"/>
      <c r="Y234" s="5"/>
    </row>
    <row r="235" ht="15.0" customHeight="1">
      <c r="A235" s="19" t="s">
        <v>15</v>
      </c>
      <c r="B235" s="47" t="s">
        <v>47</v>
      </c>
      <c r="C235" s="15"/>
      <c r="D235" s="16"/>
      <c r="E235" s="13">
        <f t="shared" ref="E235:V235" si="47">SUM(E225:E232)</f>
        <v>0</v>
      </c>
      <c r="F235" s="13">
        <f t="shared" si="47"/>
        <v>1</v>
      </c>
      <c r="G235" s="13">
        <f t="shared" si="47"/>
        <v>1</v>
      </c>
      <c r="H235" s="13">
        <f t="shared" si="47"/>
        <v>6</v>
      </c>
      <c r="I235" s="13">
        <f t="shared" si="47"/>
        <v>3</v>
      </c>
      <c r="J235" s="13">
        <f t="shared" si="47"/>
        <v>1</v>
      </c>
      <c r="K235" s="13">
        <f t="shared" si="47"/>
        <v>0</v>
      </c>
      <c r="L235" s="13">
        <f t="shared" si="47"/>
        <v>1</v>
      </c>
      <c r="M235" s="13">
        <f t="shared" si="47"/>
        <v>0</v>
      </c>
      <c r="N235" s="13">
        <f t="shared" si="47"/>
        <v>1</v>
      </c>
      <c r="O235" s="13">
        <f t="shared" si="47"/>
        <v>12</v>
      </c>
      <c r="P235" s="13">
        <f t="shared" si="47"/>
        <v>2</v>
      </c>
      <c r="Q235" s="13">
        <f t="shared" si="47"/>
        <v>2</v>
      </c>
      <c r="R235" s="13">
        <f t="shared" si="47"/>
        <v>2</v>
      </c>
      <c r="S235" s="13">
        <f t="shared" si="47"/>
        <v>0</v>
      </c>
      <c r="T235" s="13">
        <f t="shared" si="47"/>
        <v>5</v>
      </c>
      <c r="U235" s="13">
        <f t="shared" si="47"/>
        <v>7</v>
      </c>
      <c r="V235" s="13">
        <f t="shared" si="47"/>
        <v>4</v>
      </c>
      <c r="W235" s="13">
        <f t="shared" si="46"/>
        <v>48</v>
      </c>
      <c r="X235" s="5"/>
      <c r="Y235" s="5"/>
    </row>
    <row r="236" ht="12.75" customHeight="1">
      <c r="A236" s="24"/>
      <c r="B236" s="15"/>
      <c r="C236" s="15"/>
      <c r="D236" s="15"/>
      <c r="E236" s="16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5"/>
      <c r="Y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0.0</v>
      </c>
      <c r="F237" s="19">
        <v>1.0</v>
      </c>
      <c r="G237" s="19">
        <v>6.0</v>
      </c>
      <c r="H237" s="19">
        <v>0.0</v>
      </c>
      <c r="I237" s="19">
        <v>0.0</v>
      </c>
      <c r="J237" s="19">
        <v>0.0</v>
      </c>
      <c r="K237" s="19">
        <v>1.0</v>
      </c>
      <c r="L237" s="19">
        <v>2.0</v>
      </c>
      <c r="M237" s="19">
        <v>0.0</v>
      </c>
      <c r="N237" s="19">
        <v>2.0</v>
      </c>
      <c r="O237" s="19">
        <v>1.0</v>
      </c>
      <c r="P237" s="19">
        <v>1.0</v>
      </c>
      <c r="Q237" s="19">
        <v>2.0</v>
      </c>
      <c r="R237" s="19">
        <v>1.0</v>
      </c>
      <c r="S237" s="19">
        <v>1.0</v>
      </c>
      <c r="T237" s="19">
        <v>0.0</v>
      </c>
      <c r="U237" s="19">
        <v>4.0</v>
      </c>
      <c r="V237" s="19">
        <v>1.0</v>
      </c>
      <c r="W237" s="13">
        <f t="shared" ref="W237:W247" si="48">SUM(E237:V237)</f>
        <v>23</v>
      </c>
      <c r="X237" s="5"/>
      <c r="Y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0.0</v>
      </c>
      <c r="F238" s="19">
        <v>0.0</v>
      </c>
      <c r="G238" s="19">
        <v>1.0</v>
      </c>
      <c r="H238" s="19">
        <v>2.0</v>
      </c>
      <c r="I238" s="19">
        <v>0.0</v>
      </c>
      <c r="J238" s="19">
        <v>2.0</v>
      </c>
      <c r="K238" s="19">
        <v>0.0</v>
      </c>
      <c r="L238" s="19">
        <v>0.0</v>
      </c>
      <c r="M238" s="19">
        <v>2.0</v>
      </c>
      <c r="N238" s="19">
        <v>1.0</v>
      </c>
      <c r="O238" s="19">
        <v>1.0</v>
      </c>
      <c r="P238" s="19">
        <v>1.0</v>
      </c>
      <c r="Q238" s="19">
        <v>1.0</v>
      </c>
      <c r="R238" s="19">
        <v>0.0</v>
      </c>
      <c r="S238" s="19">
        <v>1.0</v>
      </c>
      <c r="T238" s="19">
        <v>1.0</v>
      </c>
      <c r="U238" s="19">
        <v>4.0</v>
      </c>
      <c r="V238" s="19">
        <v>1.0</v>
      </c>
      <c r="W238" s="13">
        <f t="shared" si="48"/>
        <v>18</v>
      </c>
      <c r="X238" s="5"/>
      <c r="Y238" s="5"/>
    </row>
    <row r="239" ht="12.75" customHeight="1">
      <c r="A239" s="18"/>
      <c r="B239" s="55">
        <v>2.0</v>
      </c>
      <c r="C239" s="50" t="s">
        <v>176</v>
      </c>
      <c r="D239" s="57"/>
      <c r="E239" s="19">
        <v>0.0</v>
      </c>
      <c r="F239" s="19">
        <v>0.0</v>
      </c>
      <c r="G239" s="19">
        <v>21.0</v>
      </c>
      <c r="H239" s="19">
        <v>12.0</v>
      </c>
      <c r="I239" s="19">
        <v>5.0</v>
      </c>
      <c r="J239" s="19">
        <v>25.0</v>
      </c>
      <c r="K239" s="19">
        <v>5.0</v>
      </c>
      <c r="L239" s="19">
        <v>13.0</v>
      </c>
      <c r="M239" s="19">
        <v>14.0</v>
      </c>
      <c r="N239" s="19">
        <v>16.0</v>
      </c>
      <c r="O239" s="19">
        <v>8.0</v>
      </c>
      <c r="P239" s="19">
        <v>29.0</v>
      </c>
      <c r="Q239" s="19">
        <v>11.0</v>
      </c>
      <c r="R239" s="19">
        <v>15.0</v>
      </c>
      <c r="S239" s="19">
        <v>17.0</v>
      </c>
      <c r="T239" s="19">
        <v>8.0</v>
      </c>
      <c r="U239" s="19">
        <v>3.0</v>
      </c>
      <c r="V239" s="19">
        <v>7.0</v>
      </c>
      <c r="W239" s="13">
        <f t="shared" si="48"/>
        <v>209</v>
      </c>
      <c r="X239" s="5"/>
      <c r="Y239" s="5"/>
    </row>
    <row r="240" ht="12.75" customHeight="1">
      <c r="A240" s="18"/>
      <c r="B240" s="55">
        <v>3.0</v>
      </c>
      <c r="C240" s="50" t="s">
        <v>177</v>
      </c>
      <c r="D240" s="57"/>
      <c r="E240" s="19">
        <v>0.0</v>
      </c>
      <c r="F240" s="19">
        <v>0.0</v>
      </c>
      <c r="G240" s="19">
        <v>1.0</v>
      </c>
      <c r="H240" s="19">
        <v>0.0</v>
      </c>
      <c r="I240" s="19">
        <v>0.0</v>
      </c>
      <c r="J240" s="19">
        <v>1.0</v>
      </c>
      <c r="K240" s="19">
        <v>2.0</v>
      </c>
      <c r="L240" s="19">
        <v>0.0</v>
      </c>
      <c r="M240" s="19">
        <v>0.0</v>
      </c>
      <c r="N240" s="19">
        <v>0.0</v>
      </c>
      <c r="O240" s="19">
        <v>0.0</v>
      </c>
      <c r="P240" s="19">
        <v>0.0</v>
      </c>
      <c r="Q240" s="19">
        <v>0.0</v>
      </c>
      <c r="R240" s="19">
        <v>0.0</v>
      </c>
      <c r="S240" s="19">
        <v>0.0</v>
      </c>
      <c r="T240" s="19">
        <v>1.0</v>
      </c>
      <c r="U240" s="19">
        <v>1.0</v>
      </c>
      <c r="V240" s="19">
        <v>1.0</v>
      </c>
      <c r="W240" s="13">
        <f t="shared" si="48"/>
        <v>7</v>
      </c>
      <c r="X240" s="1"/>
      <c r="Y240" s="1"/>
    </row>
    <row r="241" ht="12.75" customHeight="1">
      <c r="A241" s="18"/>
      <c r="B241" s="55">
        <v>4.0</v>
      </c>
      <c r="C241" s="50" t="s">
        <v>178</v>
      </c>
      <c r="D241" s="57"/>
      <c r="E241" s="19">
        <v>0.0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1.0</v>
      </c>
      <c r="M241" s="19">
        <v>0.0</v>
      </c>
      <c r="N241" s="19">
        <v>1.0</v>
      </c>
      <c r="O241" s="19">
        <v>0.0</v>
      </c>
      <c r="P241" s="19">
        <v>0.0</v>
      </c>
      <c r="Q241" s="19">
        <v>1.0</v>
      </c>
      <c r="R241" s="19">
        <v>1.0</v>
      </c>
      <c r="S241" s="19">
        <v>0.0</v>
      </c>
      <c r="T241" s="19">
        <v>0.0</v>
      </c>
      <c r="U241" s="19">
        <v>0.0</v>
      </c>
      <c r="V241" s="19">
        <v>0.0</v>
      </c>
      <c r="W241" s="13">
        <f t="shared" si="48"/>
        <v>4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1.0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3">
        <f t="shared" si="48"/>
        <v>1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0.0</v>
      </c>
      <c r="G243" s="19">
        <v>0.0</v>
      </c>
      <c r="H243" s="19">
        <v>0.0</v>
      </c>
      <c r="I243" s="19">
        <v>0.0</v>
      </c>
      <c r="J243" s="19">
        <v>0.0</v>
      </c>
      <c r="K243" s="19">
        <v>0.0</v>
      </c>
      <c r="L243" s="19">
        <v>0.0</v>
      </c>
      <c r="M243" s="19">
        <v>0.0</v>
      </c>
      <c r="N243" s="19">
        <v>1.0</v>
      </c>
      <c r="O243" s="19">
        <v>0.0</v>
      </c>
      <c r="P243" s="19">
        <v>0.0</v>
      </c>
      <c r="Q243" s="19">
        <v>0.0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3">
        <f t="shared" si="48"/>
        <v>1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0.0</v>
      </c>
      <c r="F244" s="19">
        <v>0.0</v>
      </c>
      <c r="G244" s="19">
        <v>0.0</v>
      </c>
      <c r="H244" s="19">
        <v>1.0</v>
      </c>
      <c r="I244" s="19">
        <v>0.0</v>
      </c>
      <c r="J244" s="19">
        <v>0.0</v>
      </c>
      <c r="K244" s="19">
        <v>0.0</v>
      </c>
      <c r="L244" s="19">
        <v>0.0</v>
      </c>
      <c r="M244" s="19">
        <v>0.0</v>
      </c>
      <c r="N244" s="19">
        <v>1.0</v>
      </c>
      <c r="O244" s="19">
        <v>1.0</v>
      </c>
      <c r="P244" s="19">
        <v>0.0</v>
      </c>
      <c r="Q244" s="19">
        <v>0.0</v>
      </c>
      <c r="R244" s="19">
        <v>0.0</v>
      </c>
      <c r="S244" s="19">
        <v>0.0</v>
      </c>
      <c r="T244" s="19">
        <v>0.0</v>
      </c>
      <c r="U244" s="19">
        <v>0.0</v>
      </c>
      <c r="V244" s="19">
        <v>0.0</v>
      </c>
      <c r="W244" s="13">
        <f t="shared" si="48"/>
        <v>3</v>
      </c>
    </row>
    <row r="245" ht="12.75" customHeight="1">
      <c r="A245" s="18"/>
      <c r="B245" s="68"/>
      <c r="C245" s="69"/>
      <c r="D245" s="71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3">
        <f t="shared" si="48"/>
        <v>0</v>
      </c>
    </row>
    <row r="246" ht="12.75" customHeight="1">
      <c r="A246" s="18"/>
      <c r="B246" s="68"/>
      <c r="C246" s="69"/>
      <c r="D246" s="71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3">
        <f t="shared" si="48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V247" si="49">SUM(E237:E244)</f>
        <v>0</v>
      </c>
      <c r="F247" s="13">
        <f t="shared" si="49"/>
        <v>1</v>
      </c>
      <c r="G247" s="13">
        <f t="shared" si="49"/>
        <v>29</v>
      </c>
      <c r="H247" s="13">
        <f t="shared" si="49"/>
        <v>15</v>
      </c>
      <c r="I247" s="13">
        <f t="shared" si="49"/>
        <v>5</v>
      </c>
      <c r="J247" s="13">
        <f t="shared" si="49"/>
        <v>28</v>
      </c>
      <c r="K247" s="13">
        <f t="shared" si="49"/>
        <v>8</v>
      </c>
      <c r="L247" s="13">
        <f t="shared" si="49"/>
        <v>16</v>
      </c>
      <c r="M247" s="13">
        <f t="shared" si="49"/>
        <v>17</v>
      </c>
      <c r="N247" s="13">
        <f t="shared" si="49"/>
        <v>22</v>
      </c>
      <c r="O247" s="13">
        <f t="shared" si="49"/>
        <v>11</v>
      </c>
      <c r="P247" s="13">
        <f t="shared" si="49"/>
        <v>31</v>
      </c>
      <c r="Q247" s="13">
        <f t="shared" si="49"/>
        <v>15</v>
      </c>
      <c r="R247" s="13">
        <f t="shared" si="49"/>
        <v>17</v>
      </c>
      <c r="S247" s="13">
        <f t="shared" si="49"/>
        <v>19</v>
      </c>
      <c r="T247" s="13">
        <f t="shared" si="49"/>
        <v>10</v>
      </c>
      <c r="U247" s="13">
        <f t="shared" si="49"/>
        <v>12</v>
      </c>
      <c r="V247" s="13">
        <f t="shared" si="49"/>
        <v>10</v>
      </c>
      <c r="W247" s="13">
        <f t="shared" si="48"/>
        <v>266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0.0</v>
      </c>
      <c r="F249" s="19">
        <v>0.0</v>
      </c>
      <c r="G249" s="19">
        <v>0.0</v>
      </c>
      <c r="H249" s="19">
        <v>0.0</v>
      </c>
      <c r="I249" s="19">
        <v>1.0</v>
      </c>
      <c r="J249" s="19">
        <v>0.0</v>
      </c>
      <c r="K249" s="19">
        <v>0.0</v>
      </c>
      <c r="L249" s="19">
        <v>0.0</v>
      </c>
      <c r="M249" s="19">
        <v>0.0</v>
      </c>
      <c r="N249" s="19">
        <v>0.0</v>
      </c>
      <c r="O249" s="19">
        <v>0.0</v>
      </c>
      <c r="P249" s="19">
        <v>0.0</v>
      </c>
      <c r="Q249" s="19">
        <v>3.0</v>
      </c>
      <c r="R249" s="19">
        <v>0.0</v>
      </c>
      <c r="S249" s="19">
        <v>1.0</v>
      </c>
      <c r="T249" s="19">
        <v>0.0</v>
      </c>
      <c r="U249" s="19">
        <v>0.0</v>
      </c>
      <c r="V249" s="19">
        <v>0.0</v>
      </c>
      <c r="W249" s="13">
        <f t="shared" ref="W249:W259" si="50">SUM(E249:V249)</f>
        <v>5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0.0</v>
      </c>
      <c r="F250" s="19">
        <v>0.0</v>
      </c>
      <c r="G250" s="19">
        <v>0.0</v>
      </c>
      <c r="H250" s="19">
        <v>0.0</v>
      </c>
      <c r="I250" s="19">
        <v>0.0</v>
      </c>
      <c r="J250" s="19">
        <v>0.0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0.0</v>
      </c>
      <c r="Q250" s="19">
        <v>1.0</v>
      </c>
      <c r="R250" s="19">
        <v>0.0</v>
      </c>
      <c r="S250" s="19">
        <v>1.0</v>
      </c>
      <c r="T250" s="19">
        <v>0.0</v>
      </c>
      <c r="U250" s="19">
        <v>0.0</v>
      </c>
      <c r="V250" s="19">
        <v>0.0</v>
      </c>
      <c r="W250" s="13">
        <f t="shared" si="50"/>
        <v>2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3">
        <f t="shared" si="50"/>
        <v>0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0.0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3">
        <f t="shared" si="50"/>
        <v>0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0.0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3">
        <f t="shared" si="50"/>
        <v>0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1.0</v>
      </c>
      <c r="K254" s="19">
        <v>0.0</v>
      </c>
      <c r="L254" s="19">
        <v>0.0</v>
      </c>
      <c r="M254" s="19">
        <v>0.0</v>
      </c>
      <c r="N254" s="19">
        <v>0.0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3">
        <f t="shared" si="50"/>
        <v>1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1.0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0.0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0.0</v>
      </c>
      <c r="W255" s="13">
        <f t="shared" si="50"/>
        <v>1</v>
      </c>
    </row>
    <row r="256" ht="12.75" customHeight="1">
      <c r="A256" s="18"/>
      <c r="B256" s="68"/>
      <c r="C256" s="73"/>
      <c r="D256" s="71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3">
        <f t="shared" si="50"/>
        <v>0</v>
      </c>
    </row>
    <row r="257" ht="12.75" customHeight="1">
      <c r="A257" s="18"/>
      <c r="B257" s="68"/>
      <c r="C257" s="73"/>
      <c r="D257" s="71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3">
        <f t="shared" si="50"/>
        <v>0</v>
      </c>
    </row>
    <row r="258" ht="12.75" customHeight="1">
      <c r="A258" s="18"/>
      <c r="B258" s="68"/>
      <c r="C258" s="73"/>
      <c r="D258" s="71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3">
        <f t="shared" si="50"/>
        <v>0</v>
      </c>
    </row>
    <row r="259" ht="15.0" customHeight="1">
      <c r="A259" s="19" t="s">
        <v>15</v>
      </c>
      <c r="B259" s="47" t="s">
        <v>47</v>
      </c>
      <c r="C259" s="15"/>
      <c r="D259" s="16"/>
      <c r="E259" s="13">
        <f t="shared" ref="E259:V259" si="51">SUM(E249:E255)</f>
        <v>0</v>
      </c>
      <c r="F259" s="13">
        <f t="shared" si="51"/>
        <v>0</v>
      </c>
      <c r="G259" s="13">
        <f t="shared" si="51"/>
        <v>1</v>
      </c>
      <c r="H259" s="13">
        <f t="shared" si="51"/>
        <v>0</v>
      </c>
      <c r="I259" s="13">
        <f t="shared" si="51"/>
        <v>1</v>
      </c>
      <c r="J259" s="13">
        <f t="shared" si="51"/>
        <v>1</v>
      </c>
      <c r="K259" s="13">
        <f t="shared" si="51"/>
        <v>0</v>
      </c>
      <c r="L259" s="13">
        <f t="shared" si="51"/>
        <v>0</v>
      </c>
      <c r="M259" s="13">
        <f t="shared" si="51"/>
        <v>0</v>
      </c>
      <c r="N259" s="13">
        <f t="shared" si="51"/>
        <v>0</v>
      </c>
      <c r="O259" s="13">
        <f t="shared" si="51"/>
        <v>0</v>
      </c>
      <c r="P259" s="13">
        <f t="shared" si="51"/>
        <v>0</v>
      </c>
      <c r="Q259" s="13">
        <f t="shared" si="51"/>
        <v>4</v>
      </c>
      <c r="R259" s="13">
        <f t="shared" si="51"/>
        <v>0</v>
      </c>
      <c r="S259" s="13">
        <f t="shared" si="51"/>
        <v>2</v>
      </c>
      <c r="T259" s="13">
        <f t="shared" si="51"/>
        <v>0</v>
      </c>
      <c r="U259" s="13">
        <f t="shared" si="51"/>
        <v>0</v>
      </c>
      <c r="V259" s="13">
        <f t="shared" si="51"/>
        <v>0</v>
      </c>
      <c r="W259" s="13">
        <f t="shared" si="50"/>
        <v>9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13"/>
      <c r="P261" s="13"/>
      <c r="Q261" s="13"/>
      <c r="R261" s="13"/>
      <c r="S261" s="77"/>
      <c r="T261" s="13"/>
      <c r="U261" s="13"/>
      <c r="V261" s="13"/>
      <c r="W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V262" si="52">E55+E67+E79+E91+E103+E115+E127+E139+E151+E163+E175+E187+E199+E211+E223+E235+E247+E259</f>
        <v>137</v>
      </c>
      <c r="F262" s="19">
        <f t="shared" si="52"/>
        <v>96</v>
      </c>
      <c r="G262" s="19">
        <f t="shared" si="52"/>
        <v>200</v>
      </c>
      <c r="H262" s="19">
        <f t="shared" si="52"/>
        <v>186</v>
      </c>
      <c r="I262" s="19">
        <f t="shared" si="52"/>
        <v>162</v>
      </c>
      <c r="J262" s="19">
        <f t="shared" si="52"/>
        <v>187</v>
      </c>
      <c r="K262" s="19">
        <f t="shared" si="52"/>
        <v>183</v>
      </c>
      <c r="L262" s="19">
        <f t="shared" si="52"/>
        <v>167</v>
      </c>
      <c r="M262" s="19">
        <f t="shared" si="52"/>
        <v>154</v>
      </c>
      <c r="N262" s="19">
        <f t="shared" si="52"/>
        <v>206</v>
      </c>
      <c r="O262" s="19">
        <f t="shared" si="52"/>
        <v>173</v>
      </c>
      <c r="P262" s="19">
        <f t="shared" si="52"/>
        <v>174</v>
      </c>
      <c r="Q262" s="19">
        <f t="shared" si="52"/>
        <v>198</v>
      </c>
      <c r="R262" s="19">
        <f t="shared" si="52"/>
        <v>200</v>
      </c>
      <c r="S262" s="19">
        <f t="shared" si="52"/>
        <v>205</v>
      </c>
      <c r="T262" s="19">
        <f t="shared" si="52"/>
        <v>162</v>
      </c>
      <c r="U262" s="19">
        <f t="shared" si="52"/>
        <v>197</v>
      </c>
      <c r="V262" s="19">
        <f t="shared" si="52"/>
        <v>212</v>
      </c>
      <c r="W262" s="13">
        <f>sum(E262:V262)</f>
        <v>3199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4.0</v>
      </c>
      <c r="F263" s="19">
        <v>8.0</v>
      </c>
      <c r="G263" s="19">
        <v>14.0</v>
      </c>
      <c r="H263" s="19">
        <v>22.0</v>
      </c>
      <c r="I263" s="19">
        <v>20.0</v>
      </c>
      <c r="J263" s="19">
        <v>19.0</v>
      </c>
      <c r="K263" s="19">
        <v>14.0</v>
      </c>
      <c r="L263" s="19">
        <v>24.0</v>
      </c>
      <c r="M263" s="19">
        <v>6.0</v>
      </c>
      <c r="N263" s="19">
        <v>20.0</v>
      </c>
      <c r="O263" s="19">
        <v>14.0</v>
      </c>
      <c r="P263" s="19">
        <v>7.0</v>
      </c>
      <c r="Q263" s="19">
        <v>19.0</v>
      </c>
      <c r="R263" s="19">
        <v>16.0</v>
      </c>
      <c r="S263" s="19">
        <v>13.0</v>
      </c>
      <c r="T263" s="19">
        <v>9.0</v>
      </c>
      <c r="U263" s="19">
        <v>13.0</v>
      </c>
      <c r="V263" s="19">
        <v>6.0</v>
      </c>
      <c r="W263" s="13">
        <f t="shared" ref="W263:W264" si="54">SUM(E263:V263)</f>
        <v>248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V264" si="53">SUM(E262:E263)</f>
        <v>141</v>
      </c>
      <c r="F264" s="13">
        <f t="shared" si="53"/>
        <v>104</v>
      </c>
      <c r="G264" s="13">
        <f t="shared" si="53"/>
        <v>214</v>
      </c>
      <c r="H264" s="13">
        <f t="shared" si="53"/>
        <v>208</v>
      </c>
      <c r="I264" s="13">
        <f t="shared" si="53"/>
        <v>182</v>
      </c>
      <c r="J264" s="13">
        <f t="shared" si="53"/>
        <v>206</v>
      </c>
      <c r="K264" s="13">
        <f t="shared" si="53"/>
        <v>197</v>
      </c>
      <c r="L264" s="13">
        <f t="shared" si="53"/>
        <v>191</v>
      </c>
      <c r="M264" s="13">
        <f t="shared" si="53"/>
        <v>160</v>
      </c>
      <c r="N264" s="13">
        <f t="shared" si="53"/>
        <v>226</v>
      </c>
      <c r="O264" s="13">
        <f t="shared" si="53"/>
        <v>187</v>
      </c>
      <c r="P264" s="13">
        <f t="shared" si="53"/>
        <v>181</v>
      </c>
      <c r="Q264" s="13">
        <f t="shared" si="53"/>
        <v>217</v>
      </c>
      <c r="R264" s="13">
        <f t="shared" si="53"/>
        <v>216</v>
      </c>
      <c r="S264" s="13">
        <f t="shared" si="53"/>
        <v>218</v>
      </c>
      <c r="T264" s="13">
        <f t="shared" si="53"/>
        <v>171</v>
      </c>
      <c r="U264" s="13">
        <f t="shared" si="53"/>
        <v>210</v>
      </c>
      <c r="V264" s="13">
        <f t="shared" si="53"/>
        <v>218</v>
      </c>
      <c r="W264" s="13">
        <f t="shared" si="54"/>
        <v>3447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V12"/>
    <mergeCell ref="W12:W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V15">
    <cfRule type="containsBlanks" dxfId="1" priority="1">
      <formula>LEN(TRIM(E14))=0</formula>
    </cfRule>
  </conditionalFormatting>
  <conditionalFormatting sqref="E19:V20">
    <cfRule type="containsBlanks" dxfId="1" priority="2">
      <formula>LEN(TRIM(E19))=0</formula>
    </cfRule>
  </conditionalFormatting>
  <conditionalFormatting sqref="E22:V23 E25:V26 E33:V33 E35:V35 E39:V40">
    <cfRule type="containsBlanks" dxfId="1" priority="3">
      <formula>LEN(TRIM(E22))=0</formula>
    </cfRule>
  </conditionalFormatting>
  <conditionalFormatting sqref="E30:V30">
    <cfRule type="expression" dxfId="0" priority="4">
      <formula>E30&lt;&gt;E47</formula>
    </cfRule>
  </conditionalFormatting>
  <conditionalFormatting sqref="E30:V30">
    <cfRule type="expression" dxfId="0" priority="5">
      <formula>E30&lt;&gt;E34</formula>
    </cfRule>
  </conditionalFormatting>
  <conditionalFormatting sqref="E34:V34">
    <cfRule type="expression" dxfId="2" priority="6">
      <formula>E30&lt;&gt;E34</formula>
    </cfRule>
  </conditionalFormatting>
  <conditionalFormatting sqref="E34:V34">
    <cfRule type="expression" dxfId="3" priority="7">
      <formula>E30=E34</formula>
    </cfRule>
  </conditionalFormatting>
  <conditionalFormatting sqref="E34:V34">
    <cfRule type="expression" dxfId="0" priority="8">
      <formula>E34&lt;&gt;E30</formula>
    </cfRule>
  </conditionalFormatting>
  <conditionalFormatting sqref="E34:V34">
    <cfRule type="expression" dxfId="0" priority="9">
      <formula>E34&lt;&gt;E64</formula>
    </cfRule>
  </conditionalFormatting>
  <conditionalFormatting sqref="E45:V54">
    <cfRule type="containsBlanks" dxfId="1" priority="10">
      <formula>LEN(TRIM(E45))=0</formula>
    </cfRule>
  </conditionalFormatting>
  <conditionalFormatting sqref="E57:V66">
    <cfRule type="containsBlanks" dxfId="1" priority="11">
      <formula>LEN(TRIM(E57))=0</formula>
    </cfRule>
  </conditionalFormatting>
  <conditionalFormatting sqref="E69:V78">
    <cfRule type="containsBlanks" dxfId="1" priority="12">
      <formula>LEN(TRIM(E69))=0</formula>
    </cfRule>
  </conditionalFormatting>
  <conditionalFormatting sqref="E81:V90">
    <cfRule type="containsBlanks" dxfId="1" priority="13">
      <formula>LEN(TRIM(E81))=0</formula>
    </cfRule>
  </conditionalFormatting>
  <conditionalFormatting sqref="E93:V102">
    <cfRule type="containsBlanks" dxfId="1" priority="14">
      <formula>LEN(TRIM(E93))=0</formula>
    </cfRule>
  </conditionalFormatting>
  <conditionalFormatting sqref="E105:V114">
    <cfRule type="containsBlanks" dxfId="1" priority="15">
      <formula>LEN(TRIM(E105))=0</formula>
    </cfRule>
  </conditionalFormatting>
  <conditionalFormatting sqref="E117:V126">
    <cfRule type="containsBlanks" dxfId="1" priority="16">
      <formula>LEN(TRIM(E117))=0</formula>
    </cfRule>
  </conditionalFormatting>
  <conditionalFormatting sqref="E129:V138">
    <cfRule type="containsBlanks" dxfId="1" priority="17">
      <formula>LEN(TRIM(E129))=0</formula>
    </cfRule>
  </conditionalFormatting>
  <conditionalFormatting sqref="E141:V150">
    <cfRule type="containsBlanks" dxfId="1" priority="18">
      <formula>LEN(TRIM(E141))=0</formula>
    </cfRule>
  </conditionalFormatting>
  <conditionalFormatting sqref="E153:V162">
    <cfRule type="containsBlanks" dxfId="1" priority="19">
      <formula>LEN(TRIM(E153))=0</formula>
    </cfRule>
  </conditionalFormatting>
  <conditionalFormatting sqref="E165:V174">
    <cfRule type="containsBlanks" dxfId="1" priority="20">
      <formula>LEN(TRIM(E165))=0</formula>
    </cfRule>
  </conditionalFormatting>
  <conditionalFormatting sqref="E177:V186">
    <cfRule type="containsBlanks" dxfId="1" priority="21">
      <formula>LEN(TRIM(E177))=0</formula>
    </cfRule>
  </conditionalFormatting>
  <conditionalFormatting sqref="E189:V198">
    <cfRule type="containsBlanks" dxfId="1" priority="22">
      <formula>LEN(TRIM(E189))=0</formula>
    </cfRule>
  </conditionalFormatting>
  <conditionalFormatting sqref="E201:V210">
    <cfRule type="containsBlanks" dxfId="1" priority="23">
      <formula>LEN(TRIM(E201))=0</formula>
    </cfRule>
  </conditionalFormatting>
  <conditionalFormatting sqref="E213:V222">
    <cfRule type="containsBlanks" dxfId="1" priority="24">
      <formula>LEN(TRIM(E213))=0</formula>
    </cfRule>
  </conditionalFormatting>
  <conditionalFormatting sqref="E225:V234">
    <cfRule type="containsBlanks" dxfId="1" priority="25">
      <formula>LEN(TRIM(E225))=0</formula>
    </cfRule>
  </conditionalFormatting>
  <conditionalFormatting sqref="E237:V246">
    <cfRule type="containsBlanks" dxfId="1" priority="26">
      <formula>LEN(TRIM(E237))=0</formula>
    </cfRule>
  </conditionalFormatting>
  <conditionalFormatting sqref="E249:V259">
    <cfRule type="containsBlanks" dxfId="1" priority="27">
      <formula>LEN(TRIM(E249))=0</formula>
    </cfRule>
  </conditionalFormatting>
  <conditionalFormatting sqref="E262:V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67.14"/>
    <col customWidth="1" min="4" max="4" width="5.86"/>
    <col customWidth="1" min="5" max="29" width="8.71"/>
    <col customWidth="1" min="30" max="30" width="13.29"/>
    <col customWidth="1" min="31" max="32" width="8.71"/>
  </cols>
  <sheetData>
    <row r="1" ht="12.75" customHeight="1"/>
    <row r="2" ht="12.75" customHeight="1">
      <c r="C2" s="8" t="s">
        <v>0</v>
      </c>
      <c r="D2" s="8" t="s">
        <v>1</v>
      </c>
    </row>
    <row r="3" ht="12.75" customHeight="1">
      <c r="C3" s="8" t="s">
        <v>2</v>
      </c>
      <c r="D3" s="8" t="s">
        <v>3</v>
      </c>
    </row>
    <row r="4" ht="12.75" customHeight="1">
      <c r="C4" s="8" t="s">
        <v>4</v>
      </c>
      <c r="D4" s="8" t="s">
        <v>5</v>
      </c>
    </row>
    <row r="5" ht="12.75" customHeight="1">
      <c r="C5" s="8"/>
      <c r="D5" s="8"/>
    </row>
    <row r="6" ht="12.75" customHeight="1">
      <c r="C6" s="8"/>
      <c r="D6" s="8"/>
    </row>
    <row r="7" ht="12.75" customHeight="1">
      <c r="C7" s="8"/>
      <c r="D7" s="8"/>
    </row>
    <row r="8" ht="12.75" customHeight="1">
      <c r="C8" s="8"/>
      <c r="D8" s="8"/>
    </row>
    <row r="9" ht="12.75" customHeight="1">
      <c r="C9" s="8" t="s">
        <v>198</v>
      </c>
      <c r="D9" s="8" t="s">
        <v>223</v>
      </c>
    </row>
    <row r="10" ht="12.75" customHeight="1"/>
    <row r="11" ht="12.75" customHeight="1">
      <c r="A11" s="1"/>
      <c r="B11" s="12"/>
      <c r="C11" s="12"/>
      <c r="D11" s="12"/>
      <c r="E11" s="1"/>
      <c r="F11" s="1"/>
      <c r="G11" s="1"/>
      <c r="H11" s="1"/>
      <c r="I11" s="1"/>
      <c r="J11" s="1"/>
      <c r="K11" s="1"/>
      <c r="L11" s="1"/>
      <c r="M11" s="1"/>
      <c r="N11" s="2"/>
      <c r="O11" s="1"/>
      <c r="P11" s="1"/>
      <c r="Q11" s="1"/>
      <c r="R11" s="1"/>
      <c r="S11" s="2"/>
      <c r="T11" s="1"/>
      <c r="U11" s="1"/>
      <c r="V11" s="1"/>
      <c r="W11" s="1"/>
      <c r="X11" s="2"/>
      <c r="Y11" s="1"/>
      <c r="Z11" s="1"/>
      <c r="AA11" s="1"/>
      <c r="AB11" s="1"/>
      <c r="AC11" s="2"/>
    </row>
    <row r="12" ht="12.75" customHeight="1">
      <c r="A12" s="13" t="s">
        <v>6</v>
      </c>
      <c r="B12" s="14" t="s">
        <v>7</v>
      </c>
      <c r="C12" s="15"/>
      <c r="D12" s="16"/>
      <c r="E12" s="29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66" t="s">
        <v>8</v>
      </c>
    </row>
    <row r="13" ht="12.75" customHeight="1">
      <c r="A13" s="19" t="s">
        <v>9</v>
      </c>
      <c r="B13" s="20" t="s">
        <v>10</v>
      </c>
      <c r="C13" s="15"/>
      <c r="D13" s="16"/>
      <c r="E13" s="13" t="s">
        <v>200</v>
      </c>
      <c r="F13" s="13" t="s">
        <v>201</v>
      </c>
      <c r="G13" s="13" t="s">
        <v>202</v>
      </c>
      <c r="H13" s="13" t="s">
        <v>203</v>
      </c>
      <c r="I13" s="13" t="s">
        <v>204</v>
      </c>
      <c r="J13" s="13" t="s">
        <v>205</v>
      </c>
      <c r="K13" s="13" t="s">
        <v>206</v>
      </c>
      <c r="L13" s="13" t="s">
        <v>207</v>
      </c>
      <c r="M13" s="13" t="s">
        <v>208</v>
      </c>
      <c r="N13" s="13" t="s">
        <v>212</v>
      </c>
      <c r="O13" s="13" t="s">
        <v>213</v>
      </c>
      <c r="P13" s="13" t="s">
        <v>214</v>
      </c>
      <c r="Q13" s="13" t="s">
        <v>215</v>
      </c>
      <c r="R13" s="13" t="s">
        <v>216</v>
      </c>
      <c r="S13" s="13" t="s">
        <v>217</v>
      </c>
      <c r="T13" s="13" t="s">
        <v>220</v>
      </c>
      <c r="U13" s="13" t="s">
        <v>221</v>
      </c>
      <c r="V13" s="13" t="s">
        <v>222</v>
      </c>
      <c r="W13" s="13" t="s">
        <v>224</v>
      </c>
      <c r="X13" s="13" t="s">
        <v>225</v>
      </c>
      <c r="Y13" s="13" t="s">
        <v>226</v>
      </c>
      <c r="Z13" s="13" t="s">
        <v>227</v>
      </c>
      <c r="AA13" s="13" t="s">
        <v>228</v>
      </c>
      <c r="AB13" s="13" t="s">
        <v>229</v>
      </c>
      <c r="AC13" s="13" t="s">
        <v>230</v>
      </c>
      <c r="AD13" s="36"/>
    </row>
    <row r="14" ht="12.75" customHeight="1">
      <c r="A14" s="18"/>
      <c r="B14" s="22" t="s">
        <v>11</v>
      </c>
      <c r="C14" s="23"/>
      <c r="D14" s="19" t="s">
        <v>12</v>
      </c>
      <c r="E14" s="19">
        <v>102.0</v>
      </c>
      <c r="F14" s="19">
        <v>102.0</v>
      </c>
      <c r="G14" s="19">
        <v>105.0</v>
      </c>
      <c r="H14" s="19">
        <v>102.0</v>
      </c>
      <c r="I14" s="19">
        <v>98.0</v>
      </c>
      <c r="J14" s="19">
        <v>96.0</v>
      </c>
      <c r="K14" s="19">
        <v>86.0</v>
      </c>
      <c r="L14" s="19">
        <v>99.0</v>
      </c>
      <c r="M14" s="19">
        <v>106.0</v>
      </c>
      <c r="N14" s="19">
        <v>147.0</v>
      </c>
      <c r="O14" s="19">
        <v>106.0</v>
      </c>
      <c r="P14" s="19">
        <v>96.0</v>
      </c>
      <c r="Q14" s="19">
        <v>129.0</v>
      </c>
      <c r="R14" s="19">
        <v>110.0</v>
      </c>
      <c r="S14" s="19">
        <v>88.0</v>
      </c>
      <c r="T14" s="19">
        <v>88.0</v>
      </c>
      <c r="U14" s="19">
        <v>101.0</v>
      </c>
      <c r="V14" s="19">
        <v>140.0</v>
      </c>
      <c r="W14" s="19">
        <v>124.0</v>
      </c>
      <c r="X14" s="19">
        <v>130.0</v>
      </c>
      <c r="Y14" s="19">
        <v>92.0</v>
      </c>
      <c r="Z14" s="19">
        <v>115.0</v>
      </c>
      <c r="AA14" s="19">
        <v>121.0</v>
      </c>
      <c r="AB14" s="19">
        <v>73.0</v>
      </c>
      <c r="AC14" s="19">
        <v>89.0</v>
      </c>
      <c r="AD14" s="13">
        <f t="shared" ref="AD14:AD16" si="1">SUM(E14:AC14)</f>
        <v>2645</v>
      </c>
    </row>
    <row r="15" ht="12.75" customHeight="1">
      <c r="A15" s="18"/>
      <c r="B15" s="26"/>
      <c r="C15" s="27"/>
      <c r="D15" s="19" t="s">
        <v>13</v>
      </c>
      <c r="E15" s="19">
        <v>103.0</v>
      </c>
      <c r="F15" s="19">
        <v>105.0</v>
      </c>
      <c r="G15" s="19">
        <v>114.0</v>
      </c>
      <c r="H15" s="19">
        <v>104.0</v>
      </c>
      <c r="I15" s="19">
        <v>102.0</v>
      </c>
      <c r="J15" s="19">
        <v>98.0</v>
      </c>
      <c r="K15" s="19">
        <v>90.0</v>
      </c>
      <c r="L15" s="19">
        <v>102.0</v>
      </c>
      <c r="M15" s="19">
        <v>98.0</v>
      </c>
      <c r="N15" s="19">
        <v>138.0</v>
      </c>
      <c r="O15" s="19">
        <v>105.0</v>
      </c>
      <c r="P15" s="19">
        <v>108.0</v>
      </c>
      <c r="Q15" s="19">
        <v>124.0</v>
      </c>
      <c r="R15" s="19">
        <v>106.0</v>
      </c>
      <c r="S15" s="19">
        <v>100.0</v>
      </c>
      <c r="T15" s="19">
        <v>83.0</v>
      </c>
      <c r="U15" s="19">
        <v>92.0</v>
      </c>
      <c r="V15" s="19">
        <v>138.0</v>
      </c>
      <c r="W15" s="19">
        <v>138.0</v>
      </c>
      <c r="X15" s="19">
        <v>135.0</v>
      </c>
      <c r="Y15" s="19">
        <v>92.0</v>
      </c>
      <c r="Z15" s="19">
        <v>115.0</v>
      </c>
      <c r="AA15" s="19">
        <v>126.0</v>
      </c>
      <c r="AB15" s="19">
        <v>79.0</v>
      </c>
      <c r="AC15" s="19">
        <v>96.0</v>
      </c>
      <c r="AD15" s="13">
        <f t="shared" si="1"/>
        <v>2691</v>
      </c>
    </row>
    <row r="16" ht="12.75" customHeight="1">
      <c r="A16" s="25"/>
      <c r="B16" s="21"/>
      <c r="C16" s="28"/>
      <c r="D16" s="13" t="s">
        <v>14</v>
      </c>
      <c r="E16" s="13">
        <f t="shared" ref="E16:AC16" si="2">SUM(E14:E15)</f>
        <v>205</v>
      </c>
      <c r="F16" s="13">
        <f t="shared" si="2"/>
        <v>207</v>
      </c>
      <c r="G16" s="13">
        <f t="shared" si="2"/>
        <v>219</v>
      </c>
      <c r="H16" s="13">
        <f t="shared" si="2"/>
        <v>206</v>
      </c>
      <c r="I16" s="13">
        <f t="shared" si="2"/>
        <v>200</v>
      </c>
      <c r="J16" s="13">
        <f t="shared" si="2"/>
        <v>194</v>
      </c>
      <c r="K16" s="13">
        <f t="shared" si="2"/>
        <v>176</v>
      </c>
      <c r="L16" s="13">
        <f t="shared" si="2"/>
        <v>201</v>
      </c>
      <c r="M16" s="13">
        <f t="shared" si="2"/>
        <v>204</v>
      </c>
      <c r="N16" s="13">
        <f t="shared" si="2"/>
        <v>285</v>
      </c>
      <c r="O16" s="13">
        <f t="shared" si="2"/>
        <v>211</v>
      </c>
      <c r="P16" s="13">
        <f t="shared" si="2"/>
        <v>204</v>
      </c>
      <c r="Q16" s="13">
        <f t="shared" si="2"/>
        <v>253</v>
      </c>
      <c r="R16" s="13">
        <f t="shared" si="2"/>
        <v>216</v>
      </c>
      <c r="S16" s="13">
        <f t="shared" si="2"/>
        <v>188</v>
      </c>
      <c r="T16" s="13">
        <f t="shared" si="2"/>
        <v>171</v>
      </c>
      <c r="U16" s="13">
        <f t="shared" si="2"/>
        <v>193</v>
      </c>
      <c r="V16" s="13">
        <f t="shared" si="2"/>
        <v>278</v>
      </c>
      <c r="W16" s="13">
        <f t="shared" si="2"/>
        <v>262</v>
      </c>
      <c r="X16" s="13">
        <f t="shared" si="2"/>
        <v>265</v>
      </c>
      <c r="Y16" s="13">
        <f t="shared" si="2"/>
        <v>184</v>
      </c>
      <c r="Z16" s="13">
        <f t="shared" si="2"/>
        <v>230</v>
      </c>
      <c r="AA16" s="13">
        <f t="shared" si="2"/>
        <v>247</v>
      </c>
      <c r="AB16" s="13">
        <f t="shared" si="2"/>
        <v>152</v>
      </c>
      <c r="AC16" s="13">
        <f t="shared" si="2"/>
        <v>185</v>
      </c>
      <c r="AD16" s="13">
        <f t="shared" si="1"/>
        <v>5336</v>
      </c>
    </row>
    <row r="17" ht="12.75" customHeight="1">
      <c r="A17" s="24"/>
      <c r="B17" s="15"/>
      <c r="C17" s="15"/>
      <c r="D17" s="16"/>
      <c r="E17" s="19"/>
      <c r="F17" s="19"/>
      <c r="G17" s="19"/>
      <c r="H17" s="19"/>
      <c r="I17" s="19"/>
      <c r="J17" s="19"/>
      <c r="K17" s="19"/>
      <c r="L17" s="19"/>
      <c r="M17" s="19"/>
      <c r="N17" s="76"/>
      <c r="O17" s="19"/>
      <c r="P17" s="19"/>
      <c r="Q17" s="19"/>
      <c r="R17" s="19"/>
      <c r="S17" s="76"/>
      <c r="T17" s="19"/>
      <c r="U17" s="19"/>
      <c r="V17" s="19"/>
      <c r="W17" s="19"/>
      <c r="X17" s="76"/>
      <c r="Y17" s="19"/>
      <c r="Z17" s="19"/>
      <c r="AA17" s="19"/>
      <c r="AB17" s="19"/>
      <c r="AC17" s="76"/>
      <c r="AD17" s="67"/>
    </row>
    <row r="18" ht="12.75" customHeight="1">
      <c r="A18" s="30" t="s">
        <v>15</v>
      </c>
      <c r="B18" s="20" t="s">
        <v>16</v>
      </c>
      <c r="C18" s="15"/>
      <c r="D18" s="16"/>
      <c r="E18" s="19"/>
      <c r="F18" s="19"/>
      <c r="G18" s="19"/>
      <c r="H18" s="19"/>
      <c r="I18" s="19"/>
      <c r="J18" s="19"/>
      <c r="K18" s="19"/>
      <c r="L18" s="19"/>
      <c r="M18" s="19"/>
      <c r="N18" s="76"/>
      <c r="O18" s="19"/>
      <c r="P18" s="19"/>
      <c r="Q18" s="19"/>
      <c r="R18" s="19"/>
      <c r="S18" s="76"/>
      <c r="T18" s="19"/>
      <c r="U18" s="19"/>
      <c r="V18" s="19"/>
      <c r="W18" s="19"/>
      <c r="X18" s="76"/>
      <c r="Y18" s="19"/>
      <c r="Z18" s="19"/>
      <c r="AA18" s="19"/>
      <c r="AB18" s="19"/>
      <c r="AC18" s="76"/>
      <c r="AD18" s="67"/>
    </row>
    <row r="19" ht="12.75" customHeight="1">
      <c r="A19" s="30"/>
      <c r="B19" s="31" t="s">
        <v>17</v>
      </c>
      <c r="C19" s="32" t="s">
        <v>18</v>
      </c>
      <c r="D19" s="19" t="s">
        <v>12</v>
      </c>
      <c r="E19" s="19">
        <v>80.0</v>
      </c>
      <c r="F19" s="19">
        <v>70.0</v>
      </c>
      <c r="G19" s="19">
        <v>73.0</v>
      </c>
      <c r="H19" s="19">
        <v>81.0</v>
      </c>
      <c r="I19" s="19">
        <v>73.0</v>
      </c>
      <c r="J19" s="19">
        <v>72.0</v>
      </c>
      <c r="K19" s="19">
        <v>62.0</v>
      </c>
      <c r="L19" s="19">
        <v>78.0</v>
      </c>
      <c r="M19" s="19">
        <v>86.0</v>
      </c>
      <c r="N19" s="19">
        <v>108.0</v>
      </c>
      <c r="O19" s="19">
        <v>85.0</v>
      </c>
      <c r="P19" s="19">
        <v>75.0</v>
      </c>
      <c r="Q19" s="19">
        <v>117.0</v>
      </c>
      <c r="R19" s="19">
        <v>89.0</v>
      </c>
      <c r="S19" s="19">
        <v>71.0</v>
      </c>
      <c r="T19" s="19">
        <v>77.0</v>
      </c>
      <c r="U19" s="19">
        <v>84.0</v>
      </c>
      <c r="V19" s="19">
        <v>110.0</v>
      </c>
      <c r="W19" s="19">
        <v>94.0</v>
      </c>
      <c r="X19" s="19">
        <v>101.0</v>
      </c>
      <c r="Y19" s="19">
        <v>74.0</v>
      </c>
      <c r="Z19" s="19">
        <v>92.0</v>
      </c>
      <c r="AA19" s="19">
        <v>104.0</v>
      </c>
      <c r="AB19" s="19">
        <v>71.0</v>
      </c>
      <c r="AC19" s="19">
        <v>68.0</v>
      </c>
      <c r="AD19" s="13">
        <f t="shared" ref="AD19:AD30" si="3">SUM(E19:AC19)</f>
        <v>2095</v>
      </c>
    </row>
    <row r="20" ht="12.75" customHeight="1">
      <c r="A20" s="33"/>
      <c r="B20" s="27"/>
      <c r="C20" s="34"/>
      <c r="D20" s="19" t="s">
        <v>13</v>
      </c>
      <c r="E20" s="19">
        <v>82.0</v>
      </c>
      <c r="F20" s="19">
        <v>74.0</v>
      </c>
      <c r="G20" s="19">
        <v>92.0</v>
      </c>
      <c r="H20" s="19">
        <v>85.0</v>
      </c>
      <c r="I20" s="19">
        <v>79.0</v>
      </c>
      <c r="J20" s="19">
        <v>78.0</v>
      </c>
      <c r="K20" s="19">
        <v>73.0</v>
      </c>
      <c r="L20" s="19">
        <v>91.0</v>
      </c>
      <c r="M20" s="19">
        <v>80.0</v>
      </c>
      <c r="N20" s="19">
        <v>110.0</v>
      </c>
      <c r="O20" s="19">
        <v>85.0</v>
      </c>
      <c r="P20" s="19">
        <v>88.0</v>
      </c>
      <c r="Q20" s="19">
        <v>113.0</v>
      </c>
      <c r="R20" s="19">
        <v>89.0</v>
      </c>
      <c r="S20" s="19">
        <v>86.0</v>
      </c>
      <c r="T20" s="19">
        <v>76.0</v>
      </c>
      <c r="U20" s="19">
        <v>83.0</v>
      </c>
      <c r="V20" s="19">
        <v>114.0</v>
      </c>
      <c r="W20" s="19">
        <v>111.0</v>
      </c>
      <c r="X20" s="19">
        <v>122.0</v>
      </c>
      <c r="Y20" s="19">
        <v>78.0</v>
      </c>
      <c r="Z20" s="19">
        <v>92.0</v>
      </c>
      <c r="AA20" s="19">
        <v>102.0</v>
      </c>
      <c r="AB20" s="19">
        <v>61.0</v>
      </c>
      <c r="AC20" s="19">
        <v>76.0</v>
      </c>
      <c r="AD20" s="13">
        <f t="shared" si="3"/>
        <v>2220</v>
      </c>
    </row>
    <row r="21" ht="12.75" customHeight="1">
      <c r="A21" s="35"/>
      <c r="B21" s="28"/>
      <c r="C21" s="36"/>
      <c r="D21" s="13" t="s">
        <v>14</v>
      </c>
      <c r="E21" s="13">
        <f t="shared" ref="E21:I21" si="4">SUM(E19:E20)</f>
        <v>162</v>
      </c>
      <c r="F21" s="13">
        <f t="shared" si="4"/>
        <v>144</v>
      </c>
      <c r="G21" s="13">
        <f t="shared" si="4"/>
        <v>165</v>
      </c>
      <c r="H21" s="13">
        <f t="shared" si="4"/>
        <v>166</v>
      </c>
      <c r="I21" s="13">
        <f t="shared" si="4"/>
        <v>152</v>
      </c>
      <c r="J21" s="13">
        <v>150.0</v>
      </c>
      <c r="K21" s="13">
        <f>SUM(K19:K20)</f>
        <v>135</v>
      </c>
      <c r="L21" s="13">
        <v>169.0</v>
      </c>
      <c r="M21" s="13">
        <f t="shared" ref="M21:W21" si="5">SUM(M19:M20)</f>
        <v>166</v>
      </c>
      <c r="N21" s="13">
        <f t="shared" si="5"/>
        <v>218</v>
      </c>
      <c r="O21" s="13">
        <f t="shared" si="5"/>
        <v>170</v>
      </c>
      <c r="P21" s="13">
        <f t="shared" si="5"/>
        <v>163</v>
      </c>
      <c r="Q21" s="13">
        <f t="shared" si="5"/>
        <v>230</v>
      </c>
      <c r="R21" s="13">
        <f t="shared" si="5"/>
        <v>178</v>
      </c>
      <c r="S21" s="13">
        <f t="shared" si="5"/>
        <v>157</v>
      </c>
      <c r="T21" s="13">
        <f t="shared" si="5"/>
        <v>153</v>
      </c>
      <c r="U21" s="13">
        <f t="shared" si="5"/>
        <v>167</v>
      </c>
      <c r="V21" s="13">
        <f t="shared" si="5"/>
        <v>224</v>
      </c>
      <c r="W21" s="13">
        <f t="shared" si="5"/>
        <v>205</v>
      </c>
      <c r="X21" s="13">
        <v>223.0</v>
      </c>
      <c r="Y21" s="13">
        <f t="shared" ref="Y21:AC21" si="6">SUM(Y19:Y20)</f>
        <v>152</v>
      </c>
      <c r="Z21" s="13">
        <f t="shared" si="6"/>
        <v>184</v>
      </c>
      <c r="AA21" s="13">
        <f t="shared" si="6"/>
        <v>206</v>
      </c>
      <c r="AB21" s="13">
        <f t="shared" si="6"/>
        <v>132</v>
      </c>
      <c r="AC21" s="13">
        <f t="shared" si="6"/>
        <v>144</v>
      </c>
      <c r="AD21" s="13">
        <f t="shared" si="3"/>
        <v>4315</v>
      </c>
    </row>
    <row r="22" ht="12.75" customHeight="1">
      <c r="A22" s="33"/>
      <c r="B22" s="31" t="s">
        <v>19</v>
      </c>
      <c r="C22" s="32" t="s">
        <v>20</v>
      </c>
      <c r="D22" s="19" t="s">
        <v>12</v>
      </c>
      <c r="E22" s="19">
        <v>0.0</v>
      </c>
      <c r="F22" s="19">
        <v>0.0</v>
      </c>
      <c r="G22" s="19">
        <v>0.0</v>
      </c>
      <c r="H22" s="19">
        <v>0.0</v>
      </c>
      <c r="I22" s="19">
        <v>0.0</v>
      </c>
      <c r="J22" s="19">
        <v>0.0</v>
      </c>
      <c r="K22" s="19">
        <v>0.0</v>
      </c>
      <c r="L22" s="19">
        <v>0.0</v>
      </c>
      <c r="M22" s="19">
        <v>0.0</v>
      </c>
      <c r="N22" s="19">
        <v>0.0</v>
      </c>
      <c r="O22" s="19">
        <v>0.0</v>
      </c>
      <c r="P22" s="19">
        <v>1.0</v>
      </c>
      <c r="Q22" s="19">
        <v>0.0</v>
      </c>
      <c r="R22" s="19">
        <v>0.0</v>
      </c>
      <c r="S22" s="19">
        <v>0.0</v>
      </c>
      <c r="T22" s="19">
        <v>0.0</v>
      </c>
      <c r="U22" s="19">
        <v>0.0</v>
      </c>
      <c r="V22" s="19">
        <v>0.0</v>
      </c>
      <c r="W22" s="19">
        <v>0.0</v>
      </c>
      <c r="X22" s="19">
        <v>0.0</v>
      </c>
      <c r="Y22" s="19">
        <v>0.0</v>
      </c>
      <c r="Z22" s="19">
        <v>0.0</v>
      </c>
      <c r="AA22" s="19">
        <v>0.0</v>
      </c>
      <c r="AB22" s="19">
        <v>0.0</v>
      </c>
      <c r="AC22" s="19">
        <v>0.0</v>
      </c>
      <c r="AD22" s="13">
        <f t="shared" si="3"/>
        <v>1</v>
      </c>
    </row>
    <row r="23" ht="12.75" customHeight="1">
      <c r="A23" s="33"/>
      <c r="B23" s="27"/>
      <c r="C23" s="34"/>
      <c r="D23" s="19" t="s">
        <v>13</v>
      </c>
      <c r="E23" s="19">
        <v>0.0</v>
      </c>
      <c r="F23" s="19">
        <v>0.0</v>
      </c>
      <c r="G23" s="19">
        <v>0.0</v>
      </c>
      <c r="H23" s="19">
        <v>0.0</v>
      </c>
      <c r="I23" s="19">
        <v>0.0</v>
      </c>
      <c r="J23" s="19">
        <v>0.0</v>
      </c>
      <c r="K23" s="19">
        <v>0.0</v>
      </c>
      <c r="L23" s="19">
        <v>0.0</v>
      </c>
      <c r="M23" s="19">
        <v>0.0</v>
      </c>
      <c r="N23" s="19">
        <v>0.0</v>
      </c>
      <c r="O23" s="19">
        <v>0.0</v>
      </c>
      <c r="P23" s="19">
        <v>0.0</v>
      </c>
      <c r="Q23" s="19">
        <v>0.0</v>
      </c>
      <c r="R23" s="19">
        <v>0.0</v>
      </c>
      <c r="S23" s="19">
        <v>0.0</v>
      </c>
      <c r="T23" s="19">
        <v>0.0</v>
      </c>
      <c r="U23" s="19">
        <v>0.0</v>
      </c>
      <c r="V23" s="19">
        <v>0.0</v>
      </c>
      <c r="W23" s="19">
        <v>0.0</v>
      </c>
      <c r="X23" s="19">
        <v>0.0</v>
      </c>
      <c r="Y23" s="19">
        <v>0.0</v>
      </c>
      <c r="Z23" s="19">
        <v>0.0</v>
      </c>
      <c r="AA23" s="19">
        <v>0.0</v>
      </c>
      <c r="AB23" s="19">
        <v>0.0</v>
      </c>
      <c r="AC23" s="19">
        <v>0.0</v>
      </c>
      <c r="AD23" s="13">
        <f t="shared" si="3"/>
        <v>0</v>
      </c>
    </row>
    <row r="24" ht="12.75" customHeight="1">
      <c r="A24" s="35"/>
      <c r="B24" s="28"/>
      <c r="C24" s="36"/>
      <c r="D24" s="13" t="s">
        <v>14</v>
      </c>
      <c r="E24" s="13">
        <f t="shared" ref="E24:AC24" si="7">SUM(E22:E23)</f>
        <v>0</v>
      </c>
      <c r="F24" s="13">
        <f t="shared" si="7"/>
        <v>0</v>
      </c>
      <c r="G24" s="13">
        <f t="shared" si="7"/>
        <v>0</v>
      </c>
      <c r="H24" s="13">
        <f t="shared" si="7"/>
        <v>0</v>
      </c>
      <c r="I24" s="13">
        <f t="shared" si="7"/>
        <v>0</v>
      </c>
      <c r="J24" s="13">
        <f t="shared" si="7"/>
        <v>0</v>
      </c>
      <c r="K24" s="13">
        <f t="shared" si="7"/>
        <v>0</v>
      </c>
      <c r="L24" s="13">
        <f t="shared" si="7"/>
        <v>0</v>
      </c>
      <c r="M24" s="13">
        <f t="shared" si="7"/>
        <v>0</v>
      </c>
      <c r="N24" s="13">
        <f t="shared" si="7"/>
        <v>0</v>
      </c>
      <c r="O24" s="13">
        <f t="shared" si="7"/>
        <v>0</v>
      </c>
      <c r="P24" s="13">
        <f t="shared" si="7"/>
        <v>1</v>
      </c>
      <c r="Q24" s="13">
        <f t="shared" si="7"/>
        <v>0</v>
      </c>
      <c r="R24" s="13">
        <f t="shared" si="7"/>
        <v>0</v>
      </c>
      <c r="S24" s="13">
        <f t="shared" si="7"/>
        <v>0</v>
      </c>
      <c r="T24" s="13">
        <f t="shared" si="7"/>
        <v>0</v>
      </c>
      <c r="U24" s="13">
        <f t="shared" si="7"/>
        <v>0</v>
      </c>
      <c r="V24" s="13">
        <f t="shared" si="7"/>
        <v>0</v>
      </c>
      <c r="W24" s="13">
        <f t="shared" si="7"/>
        <v>0</v>
      </c>
      <c r="X24" s="13">
        <f t="shared" si="7"/>
        <v>0</v>
      </c>
      <c r="Y24" s="13">
        <f t="shared" si="7"/>
        <v>0</v>
      </c>
      <c r="Z24" s="13">
        <f t="shared" si="7"/>
        <v>0</v>
      </c>
      <c r="AA24" s="13">
        <f t="shared" si="7"/>
        <v>0</v>
      </c>
      <c r="AB24" s="13">
        <f t="shared" si="7"/>
        <v>0</v>
      </c>
      <c r="AC24" s="13">
        <f t="shared" si="7"/>
        <v>0</v>
      </c>
      <c r="AD24" s="13">
        <f t="shared" si="3"/>
        <v>1</v>
      </c>
    </row>
    <row r="25" ht="12.75" customHeight="1">
      <c r="A25" s="33"/>
      <c r="B25" s="31" t="s">
        <v>21</v>
      </c>
      <c r="C25" s="32" t="s">
        <v>22</v>
      </c>
      <c r="D25" s="19" t="s">
        <v>12</v>
      </c>
      <c r="E25" s="19">
        <v>1.0</v>
      </c>
      <c r="F25" s="19">
        <v>0.0</v>
      </c>
      <c r="G25" s="19">
        <v>1.0</v>
      </c>
      <c r="H25" s="19">
        <v>0.0</v>
      </c>
      <c r="I25" s="19">
        <v>1.0</v>
      </c>
      <c r="J25" s="19">
        <v>2.0</v>
      </c>
      <c r="K25" s="19">
        <v>0.0</v>
      </c>
      <c r="L25" s="19">
        <v>0.0</v>
      </c>
      <c r="M25" s="19">
        <v>0.0</v>
      </c>
      <c r="N25" s="19">
        <v>1.0</v>
      </c>
      <c r="O25" s="19">
        <v>1.0</v>
      </c>
      <c r="P25" s="19">
        <v>11.0</v>
      </c>
      <c r="Q25" s="19">
        <v>0.0</v>
      </c>
      <c r="R25" s="19">
        <v>5.0</v>
      </c>
      <c r="S25" s="19">
        <v>4.0</v>
      </c>
      <c r="T25" s="19">
        <v>3.0</v>
      </c>
      <c r="U25" s="19">
        <v>3.0</v>
      </c>
      <c r="V25" s="19">
        <v>1.0</v>
      </c>
      <c r="W25" s="19">
        <v>3.0</v>
      </c>
      <c r="X25" s="19">
        <v>0.0</v>
      </c>
      <c r="Y25" s="19">
        <v>3.0</v>
      </c>
      <c r="Z25" s="19">
        <v>3.0</v>
      </c>
      <c r="AA25" s="19">
        <v>1.0</v>
      </c>
      <c r="AB25" s="19">
        <v>2.0</v>
      </c>
      <c r="AC25" s="19">
        <v>1.0</v>
      </c>
      <c r="AD25" s="13">
        <f t="shared" si="3"/>
        <v>47</v>
      </c>
    </row>
    <row r="26" ht="12.75" customHeight="1">
      <c r="A26" s="33"/>
      <c r="B26" s="27"/>
      <c r="C26" s="34"/>
      <c r="D26" s="19" t="s">
        <v>13</v>
      </c>
      <c r="E26" s="19">
        <v>1.0</v>
      </c>
      <c r="F26" s="19">
        <v>1.0</v>
      </c>
      <c r="G26" s="19">
        <v>2.0</v>
      </c>
      <c r="H26" s="19">
        <v>0.0</v>
      </c>
      <c r="I26" s="19">
        <v>0.0</v>
      </c>
      <c r="J26" s="19">
        <v>2.0</v>
      </c>
      <c r="K26" s="19">
        <v>0.0</v>
      </c>
      <c r="L26" s="19">
        <v>2.0</v>
      </c>
      <c r="M26" s="19">
        <v>1.0</v>
      </c>
      <c r="N26" s="19">
        <v>0.0</v>
      </c>
      <c r="O26" s="19">
        <v>2.0</v>
      </c>
      <c r="P26" s="19">
        <v>11.0</v>
      </c>
      <c r="Q26" s="19">
        <v>0.0</v>
      </c>
      <c r="R26" s="19">
        <v>5.0</v>
      </c>
      <c r="S26" s="19">
        <v>2.0</v>
      </c>
      <c r="T26" s="19">
        <v>4.0</v>
      </c>
      <c r="U26" s="19">
        <v>2.0</v>
      </c>
      <c r="V26" s="19">
        <v>0.0</v>
      </c>
      <c r="W26" s="19">
        <v>4.0</v>
      </c>
      <c r="X26" s="19">
        <v>0.0</v>
      </c>
      <c r="Y26" s="19">
        <v>3.0</v>
      </c>
      <c r="Z26" s="19">
        <v>0.0</v>
      </c>
      <c r="AA26" s="19">
        <v>2.0</v>
      </c>
      <c r="AB26" s="19">
        <v>4.0</v>
      </c>
      <c r="AC26" s="19">
        <v>2.0</v>
      </c>
      <c r="AD26" s="13">
        <f t="shared" si="3"/>
        <v>50</v>
      </c>
    </row>
    <row r="27" ht="12.75" customHeight="1">
      <c r="A27" s="35"/>
      <c r="B27" s="28"/>
      <c r="C27" s="36"/>
      <c r="D27" s="13" t="s">
        <v>14</v>
      </c>
      <c r="E27" s="13">
        <f t="shared" ref="E27:Z27" si="8">SUM(E25:E26)</f>
        <v>2</v>
      </c>
      <c r="F27" s="13">
        <f t="shared" si="8"/>
        <v>1</v>
      </c>
      <c r="G27" s="13">
        <f t="shared" si="8"/>
        <v>3</v>
      </c>
      <c r="H27" s="13">
        <f t="shared" si="8"/>
        <v>0</v>
      </c>
      <c r="I27" s="13">
        <f t="shared" si="8"/>
        <v>1</v>
      </c>
      <c r="J27" s="13">
        <f t="shared" si="8"/>
        <v>4</v>
      </c>
      <c r="K27" s="13">
        <f t="shared" si="8"/>
        <v>0</v>
      </c>
      <c r="L27" s="13">
        <f t="shared" si="8"/>
        <v>2</v>
      </c>
      <c r="M27" s="13">
        <f t="shared" si="8"/>
        <v>1</v>
      </c>
      <c r="N27" s="13">
        <f t="shared" si="8"/>
        <v>1</v>
      </c>
      <c r="O27" s="13">
        <f t="shared" si="8"/>
        <v>3</v>
      </c>
      <c r="P27" s="13">
        <f t="shared" si="8"/>
        <v>22</v>
      </c>
      <c r="Q27" s="13">
        <f t="shared" si="8"/>
        <v>0</v>
      </c>
      <c r="R27" s="13">
        <f t="shared" si="8"/>
        <v>10</v>
      </c>
      <c r="S27" s="13">
        <f t="shared" si="8"/>
        <v>6</v>
      </c>
      <c r="T27" s="13">
        <f t="shared" si="8"/>
        <v>7</v>
      </c>
      <c r="U27" s="13">
        <f t="shared" si="8"/>
        <v>5</v>
      </c>
      <c r="V27" s="13">
        <f t="shared" si="8"/>
        <v>1</v>
      </c>
      <c r="W27" s="13">
        <f t="shared" si="8"/>
        <v>7</v>
      </c>
      <c r="X27" s="13">
        <f t="shared" si="8"/>
        <v>0</v>
      </c>
      <c r="Y27" s="13">
        <f t="shared" si="8"/>
        <v>6</v>
      </c>
      <c r="Z27" s="13">
        <f t="shared" si="8"/>
        <v>3</v>
      </c>
      <c r="AA27" s="13">
        <v>3.0</v>
      </c>
      <c r="AB27" s="13">
        <f t="shared" ref="AB27:AC27" si="9">SUM(AB25:AB26)</f>
        <v>6</v>
      </c>
      <c r="AC27" s="13">
        <f t="shared" si="9"/>
        <v>3</v>
      </c>
      <c r="AD27" s="13">
        <f t="shared" si="3"/>
        <v>97</v>
      </c>
    </row>
    <row r="28" ht="12.75" customHeight="1">
      <c r="A28" s="35"/>
      <c r="B28" s="37" t="s">
        <v>23</v>
      </c>
      <c r="C28" s="38" t="s">
        <v>24</v>
      </c>
      <c r="D28" s="13" t="s">
        <v>12</v>
      </c>
      <c r="E28" s="13">
        <f t="shared" ref="E28:AC28" si="10">SUM(E19,E22,E25)</f>
        <v>81</v>
      </c>
      <c r="F28" s="13">
        <f t="shared" si="10"/>
        <v>70</v>
      </c>
      <c r="G28" s="13">
        <f t="shared" si="10"/>
        <v>74</v>
      </c>
      <c r="H28" s="13">
        <f t="shared" si="10"/>
        <v>81</v>
      </c>
      <c r="I28" s="13">
        <f t="shared" si="10"/>
        <v>74</v>
      </c>
      <c r="J28" s="13">
        <f t="shared" si="10"/>
        <v>74</v>
      </c>
      <c r="K28" s="13">
        <f t="shared" si="10"/>
        <v>62</v>
      </c>
      <c r="L28" s="13">
        <f t="shared" si="10"/>
        <v>78</v>
      </c>
      <c r="M28" s="13">
        <f t="shared" si="10"/>
        <v>86</v>
      </c>
      <c r="N28" s="13">
        <f t="shared" si="10"/>
        <v>109</v>
      </c>
      <c r="O28" s="13">
        <f t="shared" si="10"/>
        <v>86</v>
      </c>
      <c r="P28" s="13">
        <f t="shared" si="10"/>
        <v>87</v>
      </c>
      <c r="Q28" s="13">
        <f t="shared" si="10"/>
        <v>117</v>
      </c>
      <c r="R28" s="13">
        <f t="shared" si="10"/>
        <v>94</v>
      </c>
      <c r="S28" s="13">
        <f t="shared" si="10"/>
        <v>75</v>
      </c>
      <c r="T28" s="13">
        <f t="shared" si="10"/>
        <v>80</v>
      </c>
      <c r="U28" s="13">
        <f t="shared" si="10"/>
        <v>87</v>
      </c>
      <c r="V28" s="13">
        <f t="shared" si="10"/>
        <v>111</v>
      </c>
      <c r="W28" s="13">
        <f t="shared" si="10"/>
        <v>97</v>
      </c>
      <c r="X28" s="13">
        <f t="shared" si="10"/>
        <v>101</v>
      </c>
      <c r="Y28" s="13">
        <f t="shared" si="10"/>
        <v>77</v>
      </c>
      <c r="Z28" s="13">
        <f t="shared" si="10"/>
        <v>95</v>
      </c>
      <c r="AA28" s="13">
        <f t="shared" si="10"/>
        <v>105</v>
      </c>
      <c r="AB28" s="13">
        <f t="shared" si="10"/>
        <v>73</v>
      </c>
      <c r="AC28" s="13">
        <f t="shared" si="10"/>
        <v>69</v>
      </c>
      <c r="AD28" s="13">
        <f t="shared" si="3"/>
        <v>2143</v>
      </c>
    </row>
    <row r="29" ht="12.75" customHeight="1">
      <c r="A29" s="35"/>
      <c r="B29" s="27"/>
      <c r="C29" s="34"/>
      <c r="D29" s="13" t="s">
        <v>13</v>
      </c>
      <c r="E29" s="13">
        <f t="shared" ref="E29:AC29" si="11">SUM(E20,E23,E26)</f>
        <v>83</v>
      </c>
      <c r="F29" s="13">
        <f t="shared" si="11"/>
        <v>75</v>
      </c>
      <c r="G29" s="13">
        <f t="shared" si="11"/>
        <v>94</v>
      </c>
      <c r="H29" s="13">
        <f t="shared" si="11"/>
        <v>85</v>
      </c>
      <c r="I29" s="13">
        <f t="shared" si="11"/>
        <v>79</v>
      </c>
      <c r="J29" s="13">
        <f t="shared" si="11"/>
        <v>80</v>
      </c>
      <c r="K29" s="13">
        <f t="shared" si="11"/>
        <v>73</v>
      </c>
      <c r="L29" s="13">
        <f t="shared" si="11"/>
        <v>93</v>
      </c>
      <c r="M29" s="13">
        <f t="shared" si="11"/>
        <v>81</v>
      </c>
      <c r="N29" s="13">
        <f t="shared" si="11"/>
        <v>110</v>
      </c>
      <c r="O29" s="13">
        <f t="shared" si="11"/>
        <v>87</v>
      </c>
      <c r="P29" s="13">
        <f t="shared" si="11"/>
        <v>99</v>
      </c>
      <c r="Q29" s="13">
        <f t="shared" si="11"/>
        <v>113</v>
      </c>
      <c r="R29" s="13">
        <f t="shared" si="11"/>
        <v>94</v>
      </c>
      <c r="S29" s="13">
        <f t="shared" si="11"/>
        <v>88</v>
      </c>
      <c r="T29" s="13">
        <f t="shared" si="11"/>
        <v>80</v>
      </c>
      <c r="U29" s="13">
        <f t="shared" si="11"/>
        <v>85</v>
      </c>
      <c r="V29" s="13">
        <f t="shared" si="11"/>
        <v>114</v>
      </c>
      <c r="W29" s="13">
        <f t="shared" si="11"/>
        <v>115</v>
      </c>
      <c r="X29" s="13">
        <f t="shared" si="11"/>
        <v>122</v>
      </c>
      <c r="Y29" s="13">
        <f t="shared" si="11"/>
        <v>81</v>
      </c>
      <c r="Z29" s="13">
        <f t="shared" si="11"/>
        <v>92</v>
      </c>
      <c r="AA29" s="13">
        <f t="shared" si="11"/>
        <v>104</v>
      </c>
      <c r="AB29" s="13">
        <f t="shared" si="11"/>
        <v>65</v>
      </c>
      <c r="AC29" s="13">
        <f t="shared" si="11"/>
        <v>78</v>
      </c>
      <c r="AD29" s="13">
        <f t="shared" si="3"/>
        <v>2270</v>
      </c>
    </row>
    <row r="30" ht="12.75" customHeight="1">
      <c r="A30" s="35"/>
      <c r="B30" s="28"/>
      <c r="C30" s="36"/>
      <c r="D30" s="13" t="s">
        <v>14</v>
      </c>
      <c r="E30" s="13">
        <f t="shared" ref="E30:AC30" si="12">SUM(E28:E29)</f>
        <v>164</v>
      </c>
      <c r="F30" s="13">
        <f t="shared" si="12"/>
        <v>145</v>
      </c>
      <c r="G30" s="13">
        <f t="shared" si="12"/>
        <v>168</v>
      </c>
      <c r="H30" s="13">
        <f t="shared" si="12"/>
        <v>166</v>
      </c>
      <c r="I30" s="13">
        <f t="shared" si="12"/>
        <v>153</v>
      </c>
      <c r="J30" s="13">
        <f t="shared" si="12"/>
        <v>154</v>
      </c>
      <c r="K30" s="13">
        <f t="shared" si="12"/>
        <v>135</v>
      </c>
      <c r="L30" s="13">
        <f t="shared" si="12"/>
        <v>171</v>
      </c>
      <c r="M30" s="13">
        <f t="shared" si="12"/>
        <v>167</v>
      </c>
      <c r="N30" s="13">
        <f t="shared" si="12"/>
        <v>219</v>
      </c>
      <c r="O30" s="13">
        <f t="shared" si="12"/>
        <v>173</v>
      </c>
      <c r="P30" s="13">
        <f t="shared" si="12"/>
        <v>186</v>
      </c>
      <c r="Q30" s="13">
        <f t="shared" si="12"/>
        <v>230</v>
      </c>
      <c r="R30" s="13">
        <f t="shared" si="12"/>
        <v>188</v>
      </c>
      <c r="S30" s="13">
        <f t="shared" si="12"/>
        <v>163</v>
      </c>
      <c r="T30" s="13">
        <f t="shared" si="12"/>
        <v>160</v>
      </c>
      <c r="U30" s="13">
        <f t="shared" si="12"/>
        <v>172</v>
      </c>
      <c r="V30" s="13">
        <f t="shared" si="12"/>
        <v>225</v>
      </c>
      <c r="W30" s="13">
        <f t="shared" si="12"/>
        <v>212</v>
      </c>
      <c r="X30" s="13">
        <f t="shared" si="12"/>
        <v>223</v>
      </c>
      <c r="Y30" s="13">
        <f t="shared" si="12"/>
        <v>158</v>
      </c>
      <c r="Z30" s="13">
        <f t="shared" si="12"/>
        <v>187</v>
      </c>
      <c r="AA30" s="13">
        <f t="shared" si="12"/>
        <v>209</v>
      </c>
      <c r="AB30" s="13">
        <f t="shared" si="12"/>
        <v>138</v>
      </c>
      <c r="AC30" s="13">
        <f t="shared" si="12"/>
        <v>147</v>
      </c>
      <c r="AD30" s="13">
        <f t="shared" si="3"/>
        <v>4413</v>
      </c>
    </row>
    <row r="31" ht="12.75" customHeight="1">
      <c r="A31" s="24"/>
      <c r="B31" s="15"/>
      <c r="C31" s="15"/>
      <c r="D31" s="16"/>
      <c r="E31" s="19"/>
      <c r="F31" s="19"/>
      <c r="G31" s="19"/>
      <c r="H31" s="19"/>
      <c r="I31" s="19"/>
      <c r="J31" s="19"/>
      <c r="K31" s="19"/>
      <c r="L31" s="19"/>
      <c r="M31" s="19"/>
      <c r="N31" s="76"/>
      <c r="O31" s="19"/>
      <c r="P31" s="19"/>
      <c r="Q31" s="19"/>
      <c r="R31" s="19"/>
      <c r="S31" s="76"/>
      <c r="T31" s="19"/>
      <c r="U31" s="19"/>
      <c r="V31" s="19"/>
      <c r="W31" s="19"/>
      <c r="X31" s="76"/>
      <c r="Y31" s="19"/>
      <c r="Z31" s="19"/>
      <c r="AA31" s="19"/>
      <c r="AB31" s="19"/>
      <c r="AC31" s="76"/>
      <c r="AD31" s="67"/>
    </row>
    <row r="32" ht="12.75" customHeight="1">
      <c r="A32" s="41" t="s">
        <v>25</v>
      </c>
      <c r="B32" s="14" t="s">
        <v>26</v>
      </c>
      <c r="C32" s="15"/>
      <c r="D32" s="16"/>
      <c r="E32" s="13"/>
      <c r="F32" s="13"/>
      <c r="G32" s="13"/>
      <c r="H32" s="13"/>
      <c r="I32" s="13"/>
      <c r="J32" s="13"/>
      <c r="K32" s="13"/>
      <c r="L32" s="13"/>
      <c r="M32" s="13"/>
      <c r="N32" s="77"/>
      <c r="O32" s="13"/>
      <c r="P32" s="13"/>
      <c r="Q32" s="13"/>
      <c r="R32" s="13"/>
      <c r="S32" s="77"/>
      <c r="T32" s="13"/>
      <c r="U32" s="13"/>
      <c r="V32" s="13"/>
      <c r="W32" s="13"/>
      <c r="X32" s="77"/>
      <c r="Y32" s="13"/>
      <c r="Z32" s="13"/>
      <c r="AA32" s="13"/>
      <c r="AB32" s="13"/>
      <c r="AC32" s="77"/>
      <c r="AD32" s="67"/>
    </row>
    <row r="33" ht="12.75" customHeight="1">
      <c r="A33" s="19">
        <v>1.0</v>
      </c>
      <c r="B33" s="20" t="s">
        <v>27</v>
      </c>
      <c r="C33" s="15"/>
      <c r="D33" s="16"/>
      <c r="E33" s="19">
        <v>210.0</v>
      </c>
      <c r="F33" s="19">
        <v>212.0</v>
      </c>
      <c r="G33" s="19">
        <v>224.0</v>
      </c>
      <c r="H33" s="19">
        <v>170.0</v>
      </c>
      <c r="I33" s="19">
        <v>205.0</v>
      </c>
      <c r="J33" s="19">
        <v>198.0</v>
      </c>
      <c r="K33" s="19">
        <v>181.0</v>
      </c>
      <c r="L33" s="19">
        <v>206.0</v>
      </c>
      <c r="M33" s="19">
        <v>209.0</v>
      </c>
      <c r="N33" s="19">
        <v>292.0</v>
      </c>
      <c r="O33" s="19">
        <v>217.0</v>
      </c>
      <c r="P33" s="19">
        <v>209.0</v>
      </c>
      <c r="Q33" s="19">
        <v>259.0</v>
      </c>
      <c r="R33" s="19">
        <v>221.0</v>
      </c>
      <c r="S33" s="19">
        <v>191.0</v>
      </c>
      <c r="T33" s="19">
        <v>175.0</v>
      </c>
      <c r="U33" s="19">
        <v>197.0</v>
      </c>
      <c r="V33" s="19">
        <v>284.0</v>
      </c>
      <c r="W33" s="19">
        <v>267.0</v>
      </c>
      <c r="X33" s="19">
        <v>271.0</v>
      </c>
      <c r="Y33" s="19">
        <v>188.0</v>
      </c>
      <c r="Z33" s="19">
        <v>235.0</v>
      </c>
      <c r="AA33" s="19">
        <v>252.0</v>
      </c>
      <c r="AB33" s="19">
        <v>156.0</v>
      </c>
      <c r="AC33" s="19">
        <v>190.0</v>
      </c>
      <c r="AD33" s="13">
        <f t="shared" ref="AD33:AD36" si="13">SUM(E33:AC33)</f>
        <v>5419</v>
      </c>
    </row>
    <row r="34" ht="12.75" customHeight="1">
      <c r="A34" s="19">
        <v>2.0</v>
      </c>
      <c r="B34" s="20" t="s">
        <v>28</v>
      </c>
      <c r="C34" s="15"/>
      <c r="D34" s="16"/>
      <c r="E34" s="13">
        <v>164.0</v>
      </c>
      <c r="F34" s="13">
        <v>145.0</v>
      </c>
      <c r="G34" s="13">
        <v>168.0</v>
      </c>
      <c r="H34" s="13">
        <v>166.0</v>
      </c>
      <c r="I34" s="13">
        <v>153.0</v>
      </c>
      <c r="J34" s="13">
        <v>154.0</v>
      </c>
      <c r="K34" s="13">
        <v>135.0</v>
      </c>
      <c r="L34" s="13">
        <v>171.0</v>
      </c>
      <c r="M34" s="13">
        <v>167.0</v>
      </c>
      <c r="N34" s="13">
        <v>219.0</v>
      </c>
      <c r="O34" s="13">
        <v>173.0</v>
      </c>
      <c r="P34" s="13">
        <v>186.0</v>
      </c>
      <c r="Q34" s="13">
        <v>230.0</v>
      </c>
      <c r="R34" s="13">
        <v>188.0</v>
      </c>
      <c r="S34" s="13">
        <v>163.0</v>
      </c>
      <c r="T34" s="13">
        <v>160.0</v>
      </c>
      <c r="U34" s="13">
        <v>172.0</v>
      </c>
      <c r="V34" s="13">
        <v>225.0</v>
      </c>
      <c r="W34" s="13">
        <v>212.0</v>
      </c>
      <c r="X34" s="13">
        <v>223.0</v>
      </c>
      <c r="Y34" s="13">
        <v>158.0</v>
      </c>
      <c r="Z34" s="13">
        <v>187.0</v>
      </c>
      <c r="AA34" s="13">
        <v>209.0</v>
      </c>
      <c r="AB34" s="13">
        <v>138.0</v>
      </c>
      <c r="AC34" s="13">
        <v>147.0</v>
      </c>
      <c r="AD34" s="13">
        <f t="shared" si="13"/>
        <v>4413</v>
      </c>
    </row>
    <row r="35" ht="12.75" customHeight="1">
      <c r="A35" s="19">
        <v>3.0</v>
      </c>
      <c r="B35" s="20" t="s">
        <v>29</v>
      </c>
      <c r="C35" s="15"/>
      <c r="D35" s="16"/>
      <c r="E35" s="19">
        <v>0.0</v>
      </c>
      <c r="F35" s="19">
        <v>0.0</v>
      </c>
      <c r="G35" s="19">
        <v>0.0</v>
      </c>
      <c r="H35" s="19">
        <v>1.0</v>
      </c>
      <c r="I35" s="19">
        <v>0.0</v>
      </c>
      <c r="J35" s="19">
        <v>0.0</v>
      </c>
      <c r="K35" s="19">
        <v>0.0</v>
      </c>
      <c r="L35" s="19">
        <v>0.0</v>
      </c>
      <c r="M35" s="19">
        <v>0.0</v>
      </c>
      <c r="N35" s="19">
        <v>0.0</v>
      </c>
      <c r="O35" s="19">
        <v>0.0</v>
      </c>
      <c r="P35" s="19">
        <v>0.0</v>
      </c>
      <c r="Q35" s="19">
        <v>0.0</v>
      </c>
      <c r="R35" s="19">
        <v>1.0</v>
      </c>
      <c r="S35" s="19">
        <v>15.0</v>
      </c>
      <c r="T35" s="19">
        <v>0.0</v>
      </c>
      <c r="U35" s="19">
        <v>1.0</v>
      </c>
      <c r="V35" s="19">
        <v>0.0</v>
      </c>
      <c r="W35" s="19">
        <v>1.0</v>
      </c>
      <c r="X35" s="19">
        <v>0.0</v>
      </c>
      <c r="Y35" s="19">
        <v>0.0</v>
      </c>
      <c r="Z35" s="19">
        <v>0.0</v>
      </c>
      <c r="AA35" s="19">
        <v>0.0</v>
      </c>
      <c r="AB35" s="19">
        <v>1.0</v>
      </c>
      <c r="AC35" s="19">
        <v>0.0</v>
      </c>
      <c r="AD35" s="13">
        <f t="shared" si="13"/>
        <v>20</v>
      </c>
    </row>
    <row r="36" ht="12.75" customHeight="1">
      <c r="A36" s="19">
        <v>4.0</v>
      </c>
      <c r="B36" s="20" t="s">
        <v>30</v>
      </c>
      <c r="C36" s="15"/>
      <c r="D36" s="16"/>
      <c r="E36" s="13">
        <f t="shared" ref="E36:AC36" si="14">E33-(E34+E35)</f>
        <v>46</v>
      </c>
      <c r="F36" s="13">
        <f t="shared" si="14"/>
        <v>67</v>
      </c>
      <c r="G36" s="13">
        <f t="shared" si="14"/>
        <v>56</v>
      </c>
      <c r="H36" s="13">
        <f t="shared" si="14"/>
        <v>3</v>
      </c>
      <c r="I36" s="13">
        <f t="shared" si="14"/>
        <v>52</v>
      </c>
      <c r="J36" s="13">
        <f t="shared" si="14"/>
        <v>44</v>
      </c>
      <c r="K36" s="13">
        <f t="shared" si="14"/>
        <v>46</v>
      </c>
      <c r="L36" s="13">
        <f t="shared" si="14"/>
        <v>35</v>
      </c>
      <c r="M36" s="13">
        <f t="shared" si="14"/>
        <v>42</v>
      </c>
      <c r="N36" s="13">
        <f t="shared" si="14"/>
        <v>73</v>
      </c>
      <c r="O36" s="13">
        <f t="shared" si="14"/>
        <v>44</v>
      </c>
      <c r="P36" s="13">
        <f t="shared" si="14"/>
        <v>23</v>
      </c>
      <c r="Q36" s="13">
        <f t="shared" si="14"/>
        <v>29</v>
      </c>
      <c r="R36" s="13">
        <f t="shared" si="14"/>
        <v>32</v>
      </c>
      <c r="S36" s="13">
        <f t="shared" si="14"/>
        <v>13</v>
      </c>
      <c r="T36" s="13">
        <f t="shared" si="14"/>
        <v>15</v>
      </c>
      <c r="U36" s="13">
        <f t="shared" si="14"/>
        <v>24</v>
      </c>
      <c r="V36" s="13">
        <f t="shared" si="14"/>
        <v>59</v>
      </c>
      <c r="W36" s="13">
        <f t="shared" si="14"/>
        <v>54</v>
      </c>
      <c r="X36" s="13">
        <f t="shared" si="14"/>
        <v>48</v>
      </c>
      <c r="Y36" s="13">
        <f t="shared" si="14"/>
        <v>30</v>
      </c>
      <c r="Z36" s="13">
        <f t="shared" si="14"/>
        <v>48</v>
      </c>
      <c r="AA36" s="13">
        <f t="shared" si="14"/>
        <v>43</v>
      </c>
      <c r="AB36" s="13">
        <f t="shared" si="14"/>
        <v>17</v>
      </c>
      <c r="AC36" s="13">
        <f t="shared" si="14"/>
        <v>43</v>
      </c>
      <c r="AD36" s="13">
        <f t="shared" si="13"/>
        <v>986</v>
      </c>
    </row>
    <row r="37" ht="12.75" customHeight="1">
      <c r="A37" s="24"/>
      <c r="B37" s="15"/>
      <c r="C37" s="15"/>
      <c r="D37" s="15"/>
      <c r="E37" s="24"/>
      <c r="F37" s="15"/>
      <c r="G37" s="15"/>
      <c r="H37" s="15"/>
      <c r="I37" s="16"/>
      <c r="J37" s="19"/>
      <c r="K37" s="19"/>
      <c r="L37" s="19"/>
      <c r="M37" s="19"/>
      <c r="N37" s="76"/>
      <c r="O37" s="19"/>
      <c r="P37" s="19"/>
      <c r="Q37" s="19"/>
      <c r="R37" s="19"/>
      <c r="S37" s="76"/>
      <c r="T37" s="19"/>
      <c r="U37" s="19"/>
      <c r="V37" s="19"/>
      <c r="W37" s="19"/>
      <c r="X37" s="76"/>
      <c r="Y37" s="19"/>
      <c r="Z37" s="19"/>
      <c r="AA37" s="19"/>
      <c r="AB37" s="19"/>
      <c r="AC37" s="76"/>
      <c r="AD37" s="67"/>
    </row>
    <row r="38" ht="12.75" customHeight="1">
      <c r="A38" s="42" t="s">
        <v>31</v>
      </c>
      <c r="B38" s="14" t="s">
        <v>32</v>
      </c>
      <c r="C38" s="15"/>
      <c r="D38" s="16"/>
      <c r="E38" s="13"/>
      <c r="F38" s="13"/>
      <c r="G38" s="13"/>
      <c r="H38" s="13"/>
      <c r="I38" s="13"/>
      <c r="J38" s="13"/>
      <c r="K38" s="13"/>
      <c r="L38" s="13"/>
      <c r="M38" s="13"/>
      <c r="N38" s="77"/>
      <c r="O38" s="13"/>
      <c r="P38" s="13"/>
      <c r="Q38" s="13"/>
      <c r="R38" s="13"/>
      <c r="S38" s="77"/>
      <c r="T38" s="13"/>
      <c r="U38" s="13"/>
      <c r="V38" s="13"/>
      <c r="W38" s="13"/>
      <c r="X38" s="77"/>
      <c r="Y38" s="13"/>
      <c r="Z38" s="13"/>
      <c r="AA38" s="13"/>
      <c r="AB38" s="13"/>
      <c r="AC38" s="77"/>
      <c r="AD38" s="67"/>
    </row>
    <row r="39" ht="12.75" customHeight="1">
      <c r="A39" s="30"/>
      <c r="B39" s="43" t="s">
        <v>33</v>
      </c>
      <c r="C39" s="23"/>
      <c r="D39" s="19" t="s">
        <v>12</v>
      </c>
      <c r="E39" s="19">
        <v>1.0</v>
      </c>
      <c r="F39" s="19">
        <v>2.0</v>
      </c>
      <c r="G39" s="19">
        <v>0.0</v>
      </c>
      <c r="H39" s="19">
        <v>0.0</v>
      </c>
      <c r="I39" s="19">
        <v>2.0</v>
      </c>
      <c r="J39" s="19">
        <v>0.0</v>
      </c>
      <c r="K39" s="19">
        <v>0.0</v>
      </c>
      <c r="L39" s="19">
        <v>0.0</v>
      </c>
      <c r="M39" s="19">
        <v>0.0</v>
      </c>
      <c r="N39" s="19">
        <v>0.0</v>
      </c>
      <c r="O39" s="19">
        <v>0.0</v>
      </c>
      <c r="P39" s="19">
        <v>1.0</v>
      </c>
      <c r="Q39" s="19">
        <v>0.0</v>
      </c>
      <c r="R39" s="19">
        <v>0.0</v>
      </c>
      <c r="S39" s="19">
        <v>0.0</v>
      </c>
      <c r="T39" s="19">
        <v>0.0</v>
      </c>
      <c r="U39" s="19">
        <v>0.0</v>
      </c>
      <c r="V39" s="19">
        <v>0.0</v>
      </c>
      <c r="W39" s="19">
        <v>0.0</v>
      </c>
      <c r="X39" s="19">
        <v>1.0</v>
      </c>
      <c r="Y39" s="19">
        <v>0.0</v>
      </c>
      <c r="Z39" s="19">
        <v>0.0</v>
      </c>
      <c r="AA39" s="19">
        <v>0.0</v>
      </c>
      <c r="AB39" s="19">
        <v>0.0</v>
      </c>
      <c r="AC39" s="19">
        <v>0.0</v>
      </c>
      <c r="AD39" s="13">
        <f t="shared" ref="AD39:AD41" si="15">SUM(E39:AC39)</f>
        <v>7</v>
      </c>
    </row>
    <row r="40" ht="12.75" customHeight="1">
      <c r="A40" s="33"/>
      <c r="C40" s="27"/>
      <c r="D40" s="19" t="s">
        <v>13</v>
      </c>
      <c r="E40" s="19">
        <v>0.0</v>
      </c>
      <c r="F40" s="19">
        <v>1.0</v>
      </c>
      <c r="G40" s="19">
        <v>0.0</v>
      </c>
      <c r="H40" s="19">
        <v>0.0</v>
      </c>
      <c r="I40" s="19">
        <v>1.0</v>
      </c>
      <c r="J40" s="19">
        <v>0.0</v>
      </c>
      <c r="K40" s="19">
        <v>0.0</v>
      </c>
      <c r="L40" s="19">
        <v>0.0</v>
      </c>
      <c r="M40" s="19">
        <v>0.0</v>
      </c>
      <c r="N40" s="19">
        <v>0.0</v>
      </c>
      <c r="O40" s="19">
        <v>0.0</v>
      </c>
      <c r="P40" s="19">
        <v>0.0</v>
      </c>
      <c r="Q40" s="19">
        <v>0.0</v>
      </c>
      <c r="R40" s="19">
        <v>0.0</v>
      </c>
      <c r="S40" s="19">
        <v>0.0</v>
      </c>
      <c r="T40" s="19">
        <v>0.0</v>
      </c>
      <c r="U40" s="19">
        <v>0.0</v>
      </c>
      <c r="V40" s="19">
        <v>0.0</v>
      </c>
      <c r="W40" s="19">
        <v>0.0</v>
      </c>
      <c r="X40" s="19">
        <v>1.0</v>
      </c>
      <c r="Y40" s="19">
        <v>0.0</v>
      </c>
      <c r="Z40" s="19">
        <v>0.0</v>
      </c>
      <c r="AA40" s="19">
        <v>0.0</v>
      </c>
      <c r="AB40" s="19">
        <v>0.0</v>
      </c>
      <c r="AC40" s="19">
        <v>0.0</v>
      </c>
      <c r="AD40" s="13">
        <f t="shared" si="15"/>
        <v>3</v>
      </c>
    </row>
    <row r="41" ht="12.75" customHeight="1">
      <c r="A41" s="41"/>
      <c r="B41" s="44"/>
      <c r="C41" s="28"/>
      <c r="D41" s="13" t="s">
        <v>14</v>
      </c>
      <c r="E41" s="13">
        <f t="shared" ref="E41:AC41" si="16">SUM(E39:E40)</f>
        <v>1</v>
      </c>
      <c r="F41" s="13">
        <f t="shared" si="16"/>
        <v>3</v>
      </c>
      <c r="G41" s="13">
        <f t="shared" si="16"/>
        <v>0</v>
      </c>
      <c r="H41" s="13">
        <f t="shared" si="16"/>
        <v>0</v>
      </c>
      <c r="I41" s="13">
        <f t="shared" si="16"/>
        <v>3</v>
      </c>
      <c r="J41" s="13">
        <f t="shared" si="16"/>
        <v>0</v>
      </c>
      <c r="K41" s="13">
        <f t="shared" si="16"/>
        <v>0</v>
      </c>
      <c r="L41" s="13">
        <f t="shared" si="16"/>
        <v>0</v>
      </c>
      <c r="M41" s="13">
        <f t="shared" si="16"/>
        <v>0</v>
      </c>
      <c r="N41" s="13">
        <f t="shared" si="16"/>
        <v>0</v>
      </c>
      <c r="O41" s="13">
        <f t="shared" si="16"/>
        <v>0</v>
      </c>
      <c r="P41" s="13">
        <f t="shared" si="16"/>
        <v>1</v>
      </c>
      <c r="Q41" s="13">
        <f t="shared" si="16"/>
        <v>0</v>
      </c>
      <c r="R41" s="13">
        <f t="shared" si="16"/>
        <v>0</v>
      </c>
      <c r="S41" s="13">
        <f t="shared" si="16"/>
        <v>0</v>
      </c>
      <c r="T41" s="13">
        <f t="shared" si="16"/>
        <v>0</v>
      </c>
      <c r="U41" s="13">
        <f t="shared" si="16"/>
        <v>0</v>
      </c>
      <c r="V41" s="13">
        <f t="shared" si="16"/>
        <v>0</v>
      </c>
      <c r="W41" s="13">
        <f t="shared" si="16"/>
        <v>0</v>
      </c>
      <c r="X41" s="13">
        <f t="shared" si="16"/>
        <v>2</v>
      </c>
      <c r="Y41" s="13">
        <f t="shared" si="16"/>
        <v>0</v>
      </c>
      <c r="Z41" s="13">
        <f t="shared" si="16"/>
        <v>0</v>
      </c>
      <c r="AA41" s="13">
        <f t="shared" si="16"/>
        <v>0</v>
      </c>
      <c r="AB41" s="13">
        <f t="shared" si="16"/>
        <v>0</v>
      </c>
      <c r="AC41" s="13">
        <f t="shared" si="16"/>
        <v>0</v>
      </c>
      <c r="AD41" s="13">
        <f t="shared" si="15"/>
        <v>10</v>
      </c>
    </row>
    <row r="42" ht="12.75" customHeight="1">
      <c r="A42" s="45"/>
      <c r="B42" s="44"/>
      <c r="C42" s="44"/>
      <c r="D42" s="28"/>
      <c r="E42" s="24"/>
      <c r="F42" s="15"/>
      <c r="G42" s="15"/>
      <c r="H42" s="15"/>
      <c r="I42" s="16"/>
      <c r="J42" s="19"/>
      <c r="K42" s="19"/>
      <c r="L42" s="19"/>
      <c r="M42" s="19"/>
      <c r="N42" s="76"/>
      <c r="O42" s="19"/>
      <c r="P42" s="19"/>
      <c r="Q42" s="19"/>
      <c r="R42" s="19"/>
      <c r="S42" s="76"/>
      <c r="T42" s="19"/>
      <c r="U42" s="19"/>
      <c r="V42" s="19"/>
      <c r="W42" s="19"/>
      <c r="X42" s="76"/>
      <c r="Y42" s="19"/>
      <c r="Z42" s="19"/>
      <c r="AA42" s="19"/>
      <c r="AB42" s="19"/>
      <c r="AC42" s="76"/>
      <c r="AD42" s="13"/>
    </row>
    <row r="43" ht="12.75" customHeight="1">
      <c r="A43" s="42" t="s">
        <v>34</v>
      </c>
      <c r="B43" s="14" t="s">
        <v>35</v>
      </c>
      <c r="C43" s="15"/>
      <c r="D43" s="16"/>
      <c r="E43" s="29"/>
      <c r="F43" s="13"/>
      <c r="G43" s="13"/>
      <c r="H43" s="13"/>
      <c r="I43" s="13"/>
      <c r="J43" s="13"/>
      <c r="K43" s="13"/>
      <c r="L43" s="13"/>
      <c r="M43" s="13"/>
      <c r="N43" s="77"/>
      <c r="O43" s="13"/>
      <c r="P43" s="13"/>
      <c r="Q43" s="13"/>
      <c r="R43" s="13"/>
      <c r="S43" s="77"/>
      <c r="T43" s="13"/>
      <c r="U43" s="13"/>
      <c r="V43" s="13"/>
      <c r="W43" s="13"/>
      <c r="X43" s="77"/>
      <c r="Y43" s="13"/>
      <c r="Z43" s="13"/>
      <c r="AA43" s="13"/>
      <c r="AB43" s="13"/>
      <c r="AC43" s="77"/>
      <c r="AD43" s="13"/>
    </row>
    <row r="44" ht="12.75" customHeight="1">
      <c r="A44" s="43" t="s">
        <v>36</v>
      </c>
      <c r="B44" s="46"/>
      <c r="C44" s="46"/>
      <c r="D44" s="23"/>
      <c r="E44" s="24"/>
      <c r="F44" s="19"/>
      <c r="G44" s="19"/>
      <c r="H44" s="19"/>
      <c r="I44" s="19"/>
      <c r="J44" s="19"/>
      <c r="K44" s="19"/>
      <c r="L44" s="19"/>
      <c r="M44" s="19"/>
      <c r="N44" s="76"/>
      <c r="O44" s="19"/>
      <c r="P44" s="19"/>
      <c r="Q44" s="19"/>
      <c r="R44" s="19"/>
      <c r="S44" s="76"/>
      <c r="T44" s="19"/>
      <c r="U44" s="19"/>
      <c r="V44" s="19"/>
      <c r="W44" s="19"/>
      <c r="X44" s="76"/>
      <c r="Y44" s="19"/>
      <c r="Z44" s="19"/>
      <c r="AA44" s="19"/>
      <c r="AB44" s="19"/>
      <c r="AC44" s="76"/>
      <c r="AD44" s="13"/>
    </row>
    <row r="45" ht="12.75" customHeight="1">
      <c r="A45" s="30" t="s">
        <v>37</v>
      </c>
      <c r="B45" s="47" t="s">
        <v>17</v>
      </c>
      <c r="C45" s="48" t="s">
        <v>38</v>
      </c>
      <c r="D45" s="16"/>
      <c r="E45" s="19">
        <v>9.0</v>
      </c>
      <c r="F45" s="19">
        <v>2.0</v>
      </c>
      <c r="G45" s="19">
        <v>12.0</v>
      </c>
      <c r="H45" s="19">
        <v>4.0</v>
      </c>
      <c r="I45" s="19">
        <v>9.0</v>
      </c>
      <c r="J45" s="19">
        <v>7.0</v>
      </c>
      <c r="K45" s="19">
        <v>11.0</v>
      </c>
      <c r="L45" s="19">
        <v>19.0</v>
      </c>
      <c r="M45" s="19">
        <v>10.0</v>
      </c>
      <c r="N45" s="19">
        <v>13.0</v>
      </c>
      <c r="O45" s="19">
        <v>16.0</v>
      </c>
      <c r="P45" s="19">
        <v>8.0</v>
      </c>
      <c r="Q45" s="19">
        <v>14.0</v>
      </c>
      <c r="R45" s="19">
        <v>2.0</v>
      </c>
      <c r="S45" s="19">
        <v>10.0</v>
      </c>
      <c r="T45" s="19">
        <v>5.0</v>
      </c>
      <c r="U45" s="19">
        <v>7.0</v>
      </c>
      <c r="V45" s="19">
        <v>16.0</v>
      </c>
      <c r="W45" s="19">
        <v>23.0</v>
      </c>
      <c r="X45" s="19">
        <v>7.0</v>
      </c>
      <c r="Y45" s="19">
        <v>3.0</v>
      </c>
      <c r="Z45" s="19">
        <v>12.0</v>
      </c>
      <c r="AA45" s="19">
        <v>21.0</v>
      </c>
      <c r="AB45" s="19">
        <v>11.0</v>
      </c>
      <c r="AC45" s="19">
        <v>7.0</v>
      </c>
      <c r="AD45" s="13">
        <f t="shared" ref="AD45:AD55" si="17">SUM(E45:AC45)</f>
        <v>258</v>
      </c>
    </row>
    <row r="46" ht="12.75" customHeight="1">
      <c r="A46" s="30" t="s">
        <v>39</v>
      </c>
      <c r="B46" s="49">
        <v>1.0</v>
      </c>
      <c r="C46" s="50" t="s">
        <v>40</v>
      </c>
      <c r="D46" s="16"/>
      <c r="E46" s="19">
        <v>13.0</v>
      </c>
      <c r="F46" s="19">
        <v>10.0</v>
      </c>
      <c r="G46" s="19">
        <v>25.0</v>
      </c>
      <c r="H46" s="19">
        <v>14.0</v>
      </c>
      <c r="I46" s="19">
        <v>31.0</v>
      </c>
      <c r="J46" s="19">
        <v>37.0</v>
      </c>
      <c r="K46" s="19">
        <v>16.0</v>
      </c>
      <c r="L46" s="19">
        <v>19.0</v>
      </c>
      <c r="M46" s="19">
        <v>25.0</v>
      </c>
      <c r="N46" s="19">
        <v>17.0</v>
      </c>
      <c r="O46" s="19">
        <v>10.0</v>
      </c>
      <c r="P46" s="19">
        <v>12.0</v>
      </c>
      <c r="Q46" s="19">
        <v>6.0</v>
      </c>
      <c r="R46" s="19">
        <v>1.0</v>
      </c>
      <c r="S46" s="19">
        <v>15.0</v>
      </c>
      <c r="T46" s="19">
        <v>14.0</v>
      </c>
      <c r="U46" s="19">
        <v>19.0</v>
      </c>
      <c r="V46" s="19">
        <v>23.0</v>
      </c>
      <c r="W46" s="19">
        <v>20.0</v>
      </c>
      <c r="X46" s="19">
        <v>15.0</v>
      </c>
      <c r="Y46" s="19">
        <v>16.0</v>
      </c>
      <c r="Z46" s="19">
        <v>19.0</v>
      </c>
      <c r="AA46" s="19">
        <v>21.0</v>
      </c>
      <c r="AB46" s="19">
        <v>14.0</v>
      </c>
      <c r="AC46" s="19">
        <v>9.0</v>
      </c>
      <c r="AD46" s="13">
        <f t="shared" si="17"/>
        <v>421</v>
      </c>
    </row>
    <row r="47" ht="12.75" customHeight="1">
      <c r="A47" s="18"/>
      <c r="B47" s="55">
        <v>2.0</v>
      </c>
      <c r="C47" s="50" t="s">
        <v>41</v>
      </c>
      <c r="D47" s="16"/>
      <c r="E47" s="19">
        <v>2.0</v>
      </c>
      <c r="F47" s="19">
        <v>1.0</v>
      </c>
      <c r="G47" s="19">
        <v>1.0</v>
      </c>
      <c r="H47" s="19">
        <v>0.0</v>
      </c>
      <c r="I47" s="19">
        <v>0.0</v>
      </c>
      <c r="J47" s="19">
        <v>0.0</v>
      </c>
      <c r="K47" s="19">
        <v>3.0</v>
      </c>
      <c r="L47" s="19">
        <v>11.0</v>
      </c>
      <c r="M47" s="19">
        <v>1.0</v>
      </c>
      <c r="N47" s="19">
        <v>8.0</v>
      </c>
      <c r="O47" s="19">
        <v>33.0</v>
      </c>
      <c r="P47" s="19">
        <v>0.0</v>
      </c>
      <c r="Q47" s="19">
        <v>5.0</v>
      </c>
      <c r="R47" s="19">
        <v>1.0</v>
      </c>
      <c r="S47" s="19">
        <v>2.0</v>
      </c>
      <c r="T47" s="19">
        <v>14.0</v>
      </c>
      <c r="U47" s="19">
        <v>0.0</v>
      </c>
      <c r="V47" s="19">
        <v>1.0</v>
      </c>
      <c r="W47" s="19">
        <v>9.0</v>
      </c>
      <c r="X47" s="19">
        <v>1.0</v>
      </c>
      <c r="Y47" s="19">
        <v>2.0</v>
      </c>
      <c r="Z47" s="19">
        <v>3.0</v>
      </c>
      <c r="AA47" s="19">
        <v>4.0</v>
      </c>
      <c r="AB47" s="19">
        <v>85.0</v>
      </c>
      <c r="AC47" s="19">
        <v>38.0</v>
      </c>
      <c r="AD47" s="13">
        <f t="shared" si="17"/>
        <v>225</v>
      </c>
    </row>
    <row r="48" ht="12.75" customHeight="1">
      <c r="A48" s="18"/>
      <c r="B48" s="55">
        <v>3.0</v>
      </c>
      <c r="C48" s="50" t="s">
        <v>42</v>
      </c>
      <c r="D48" s="16"/>
      <c r="E48" s="19">
        <v>1.0</v>
      </c>
      <c r="F48" s="19">
        <v>0.0</v>
      </c>
      <c r="G48" s="19">
        <v>1.0</v>
      </c>
      <c r="H48" s="19">
        <v>5.0</v>
      </c>
      <c r="I48" s="19">
        <v>1.0</v>
      </c>
      <c r="J48" s="19">
        <v>2.0</v>
      </c>
      <c r="K48" s="19">
        <v>1.0</v>
      </c>
      <c r="L48" s="19">
        <v>3.0</v>
      </c>
      <c r="M48" s="19">
        <v>0.0</v>
      </c>
      <c r="N48" s="19">
        <v>3.0</v>
      </c>
      <c r="O48" s="19">
        <v>0.0</v>
      </c>
      <c r="P48" s="19">
        <v>4.0</v>
      </c>
      <c r="Q48" s="19">
        <v>8.0</v>
      </c>
      <c r="R48" s="19">
        <v>0.0</v>
      </c>
      <c r="S48" s="19">
        <v>8.0</v>
      </c>
      <c r="T48" s="19">
        <v>0.0</v>
      </c>
      <c r="U48" s="19">
        <v>8.0</v>
      </c>
      <c r="V48" s="19">
        <v>8.0</v>
      </c>
      <c r="W48" s="19">
        <v>2.0</v>
      </c>
      <c r="X48" s="19">
        <v>1.0</v>
      </c>
      <c r="Y48" s="19">
        <v>4.0</v>
      </c>
      <c r="Z48" s="19">
        <v>2.0</v>
      </c>
      <c r="AA48" s="19">
        <v>4.0</v>
      </c>
      <c r="AB48" s="19">
        <v>1.0</v>
      </c>
      <c r="AC48" s="19">
        <v>0.0</v>
      </c>
      <c r="AD48" s="13">
        <f t="shared" si="17"/>
        <v>67</v>
      </c>
    </row>
    <row r="49" ht="12.75" customHeight="1">
      <c r="A49" s="18"/>
      <c r="B49" s="55">
        <v>4.0</v>
      </c>
      <c r="C49" s="50" t="s">
        <v>43</v>
      </c>
      <c r="D49" s="16"/>
      <c r="E49" s="19">
        <v>0.0</v>
      </c>
      <c r="F49" s="19">
        <v>0.0</v>
      </c>
      <c r="G49" s="19">
        <v>0.0</v>
      </c>
      <c r="H49" s="19">
        <v>0.0</v>
      </c>
      <c r="I49" s="19">
        <v>0.0</v>
      </c>
      <c r="J49" s="19">
        <v>0.0</v>
      </c>
      <c r="K49" s="19">
        <v>0.0</v>
      </c>
      <c r="L49" s="19">
        <v>0.0</v>
      </c>
      <c r="M49" s="19">
        <v>1.0</v>
      </c>
      <c r="N49" s="19">
        <v>0.0</v>
      </c>
      <c r="O49" s="19">
        <v>0.0</v>
      </c>
      <c r="P49" s="19">
        <v>0.0</v>
      </c>
      <c r="Q49" s="19">
        <v>0.0</v>
      </c>
      <c r="R49" s="19">
        <v>0.0</v>
      </c>
      <c r="S49" s="19">
        <v>0.0</v>
      </c>
      <c r="T49" s="19">
        <v>1.0</v>
      </c>
      <c r="U49" s="19">
        <v>1.0</v>
      </c>
      <c r="V49" s="19">
        <v>0.0</v>
      </c>
      <c r="W49" s="19">
        <v>0.0</v>
      </c>
      <c r="X49" s="19">
        <v>0.0</v>
      </c>
      <c r="Y49" s="19">
        <v>0.0</v>
      </c>
      <c r="Z49" s="19">
        <v>1.0</v>
      </c>
      <c r="AA49" s="19">
        <v>2.0</v>
      </c>
      <c r="AB49" s="19">
        <v>0.0</v>
      </c>
      <c r="AC49" s="19">
        <v>0.0</v>
      </c>
      <c r="AD49" s="13">
        <f t="shared" si="17"/>
        <v>6</v>
      </c>
    </row>
    <row r="50" ht="12.75" customHeight="1">
      <c r="A50" s="18"/>
      <c r="B50" s="55">
        <v>5.0</v>
      </c>
      <c r="C50" s="50" t="s">
        <v>44</v>
      </c>
      <c r="D50" s="16"/>
      <c r="E50" s="19">
        <v>1.0</v>
      </c>
      <c r="F50" s="19">
        <v>0.0</v>
      </c>
      <c r="G50" s="19">
        <v>1.0</v>
      </c>
      <c r="H50" s="19">
        <v>0.0</v>
      </c>
      <c r="I50" s="19">
        <v>1.0</v>
      </c>
      <c r="J50" s="19">
        <v>2.0</v>
      </c>
      <c r="K50" s="19">
        <v>0.0</v>
      </c>
      <c r="L50" s="19">
        <v>0.0</v>
      </c>
      <c r="M50" s="19">
        <v>0.0</v>
      </c>
      <c r="N50" s="19">
        <v>0.0</v>
      </c>
      <c r="O50" s="19">
        <v>0.0</v>
      </c>
      <c r="P50" s="19">
        <v>0.0</v>
      </c>
      <c r="Q50" s="19">
        <v>0.0</v>
      </c>
      <c r="R50" s="19">
        <v>0.0</v>
      </c>
      <c r="S50" s="19">
        <v>0.0</v>
      </c>
      <c r="T50" s="19">
        <v>0.0</v>
      </c>
      <c r="U50" s="19">
        <v>0.0</v>
      </c>
      <c r="V50" s="19">
        <v>0.0</v>
      </c>
      <c r="W50" s="19">
        <v>1.0</v>
      </c>
      <c r="X50" s="19">
        <v>0.0</v>
      </c>
      <c r="Y50" s="19">
        <v>2.0</v>
      </c>
      <c r="Z50" s="19">
        <v>0.0</v>
      </c>
      <c r="AA50" s="19">
        <v>0.0</v>
      </c>
      <c r="AB50" s="19">
        <v>0.0</v>
      </c>
      <c r="AC50" s="19">
        <v>0.0</v>
      </c>
      <c r="AD50" s="13">
        <f t="shared" si="17"/>
        <v>8</v>
      </c>
    </row>
    <row r="51" ht="12.75" customHeight="1">
      <c r="A51" s="18"/>
      <c r="B51" s="55">
        <v>6.0</v>
      </c>
      <c r="C51" s="50" t="s">
        <v>45</v>
      </c>
      <c r="D51" s="16"/>
      <c r="E51" s="19">
        <v>0.0</v>
      </c>
      <c r="F51" s="19">
        <v>0.0</v>
      </c>
      <c r="G51" s="19">
        <v>0.0</v>
      </c>
      <c r="H51" s="19">
        <v>0.0</v>
      </c>
      <c r="I51" s="19">
        <v>0.0</v>
      </c>
      <c r="J51" s="19">
        <v>0.0</v>
      </c>
      <c r="K51" s="19">
        <v>0.0</v>
      </c>
      <c r="L51" s="19">
        <v>0.0</v>
      </c>
      <c r="M51" s="19">
        <v>0.0</v>
      </c>
      <c r="N51" s="19">
        <v>1.0</v>
      </c>
      <c r="O51" s="19">
        <v>0.0</v>
      </c>
      <c r="P51" s="19">
        <v>0.0</v>
      </c>
      <c r="Q51" s="19">
        <v>0.0</v>
      </c>
      <c r="R51" s="19">
        <v>0.0</v>
      </c>
      <c r="S51" s="19">
        <v>0.0</v>
      </c>
      <c r="T51" s="19">
        <v>0.0</v>
      </c>
      <c r="U51" s="19">
        <v>0.0</v>
      </c>
      <c r="V51" s="19">
        <v>0.0</v>
      </c>
      <c r="W51" s="19">
        <v>0.0</v>
      </c>
      <c r="X51" s="19">
        <v>0.0</v>
      </c>
      <c r="Y51" s="19">
        <v>1.0</v>
      </c>
      <c r="Z51" s="19">
        <v>0.0</v>
      </c>
      <c r="AA51" s="19">
        <v>0.0</v>
      </c>
      <c r="AB51" s="19">
        <v>0.0</v>
      </c>
      <c r="AC51" s="19">
        <v>3.0</v>
      </c>
      <c r="AD51" s="13">
        <f t="shared" si="17"/>
        <v>5</v>
      </c>
    </row>
    <row r="52" ht="12.75" customHeight="1">
      <c r="A52" s="18"/>
      <c r="B52" s="55">
        <v>7.0</v>
      </c>
      <c r="C52" s="50" t="s">
        <v>46</v>
      </c>
      <c r="D52" s="16"/>
      <c r="E52" s="19">
        <v>0.0</v>
      </c>
      <c r="F52" s="19">
        <v>0.0</v>
      </c>
      <c r="G52" s="19">
        <v>0.0</v>
      </c>
      <c r="H52" s="19">
        <v>0.0</v>
      </c>
      <c r="I52" s="19">
        <v>0.0</v>
      </c>
      <c r="J52" s="19">
        <v>0.0</v>
      </c>
      <c r="K52" s="19">
        <v>0.0</v>
      </c>
      <c r="L52" s="19">
        <v>0.0</v>
      </c>
      <c r="M52" s="19">
        <v>0.0</v>
      </c>
      <c r="N52" s="19">
        <v>0.0</v>
      </c>
      <c r="O52" s="19">
        <v>0.0</v>
      </c>
      <c r="P52" s="19">
        <v>0.0</v>
      </c>
      <c r="Q52" s="19">
        <v>0.0</v>
      </c>
      <c r="R52" s="19">
        <v>0.0</v>
      </c>
      <c r="S52" s="19">
        <v>0.0</v>
      </c>
      <c r="T52" s="19">
        <v>0.0</v>
      </c>
      <c r="U52" s="19">
        <v>0.0</v>
      </c>
      <c r="V52" s="19">
        <v>0.0</v>
      </c>
      <c r="W52" s="19">
        <v>0.0</v>
      </c>
      <c r="X52" s="19">
        <v>0.0</v>
      </c>
      <c r="Y52" s="19">
        <v>0.0</v>
      </c>
      <c r="Z52" s="19">
        <v>0.0</v>
      </c>
      <c r="AA52" s="19">
        <v>0.0</v>
      </c>
      <c r="AB52" s="19">
        <v>0.0</v>
      </c>
      <c r="AC52" s="19">
        <v>0.0</v>
      </c>
      <c r="AD52" s="13">
        <f t="shared" si="17"/>
        <v>0</v>
      </c>
    </row>
    <row r="53" ht="12.75" customHeight="1">
      <c r="A53" s="18"/>
      <c r="B53" s="68"/>
      <c r="C53" s="69"/>
      <c r="D53" s="70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3">
        <f t="shared" si="17"/>
        <v>0</v>
      </c>
    </row>
    <row r="54" ht="12.75" customHeight="1">
      <c r="A54" s="18"/>
      <c r="B54" s="68"/>
      <c r="C54" s="69"/>
      <c r="D54" s="70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3">
        <f t="shared" si="17"/>
        <v>0</v>
      </c>
    </row>
    <row r="55" ht="15.0" customHeight="1">
      <c r="A55" s="19" t="s">
        <v>15</v>
      </c>
      <c r="B55" s="47" t="s">
        <v>47</v>
      </c>
      <c r="C55" s="15"/>
      <c r="D55" s="16"/>
      <c r="E55" s="13">
        <f t="shared" ref="E55:AC55" si="18">SUM(E45:E52)</f>
        <v>26</v>
      </c>
      <c r="F55" s="13">
        <f t="shared" si="18"/>
        <v>13</v>
      </c>
      <c r="G55" s="13">
        <f t="shared" si="18"/>
        <v>40</v>
      </c>
      <c r="H55" s="13">
        <f t="shared" si="18"/>
        <v>23</v>
      </c>
      <c r="I55" s="13">
        <f t="shared" si="18"/>
        <v>42</v>
      </c>
      <c r="J55" s="13">
        <f t="shared" si="18"/>
        <v>48</v>
      </c>
      <c r="K55" s="13">
        <f t="shared" si="18"/>
        <v>31</v>
      </c>
      <c r="L55" s="13">
        <f t="shared" si="18"/>
        <v>52</v>
      </c>
      <c r="M55" s="13">
        <f t="shared" si="18"/>
        <v>37</v>
      </c>
      <c r="N55" s="13">
        <f t="shared" si="18"/>
        <v>42</v>
      </c>
      <c r="O55" s="13">
        <f t="shared" si="18"/>
        <v>59</v>
      </c>
      <c r="P55" s="13">
        <f t="shared" si="18"/>
        <v>24</v>
      </c>
      <c r="Q55" s="13">
        <f t="shared" si="18"/>
        <v>33</v>
      </c>
      <c r="R55" s="13">
        <f t="shared" si="18"/>
        <v>4</v>
      </c>
      <c r="S55" s="13">
        <f t="shared" si="18"/>
        <v>35</v>
      </c>
      <c r="T55" s="13">
        <f t="shared" si="18"/>
        <v>34</v>
      </c>
      <c r="U55" s="13">
        <f t="shared" si="18"/>
        <v>35</v>
      </c>
      <c r="V55" s="13">
        <f t="shared" si="18"/>
        <v>48</v>
      </c>
      <c r="W55" s="13">
        <f t="shared" si="18"/>
        <v>55</v>
      </c>
      <c r="X55" s="13">
        <f t="shared" si="18"/>
        <v>24</v>
      </c>
      <c r="Y55" s="13">
        <f t="shared" si="18"/>
        <v>28</v>
      </c>
      <c r="Z55" s="13">
        <f t="shared" si="18"/>
        <v>37</v>
      </c>
      <c r="AA55" s="13">
        <f t="shared" si="18"/>
        <v>52</v>
      </c>
      <c r="AB55" s="13">
        <f t="shared" si="18"/>
        <v>111</v>
      </c>
      <c r="AC55" s="13">
        <f t="shared" si="18"/>
        <v>57</v>
      </c>
      <c r="AD55" s="13">
        <f t="shared" si="17"/>
        <v>990</v>
      </c>
    </row>
    <row r="56" ht="12.75" customHeight="1">
      <c r="A56" s="45"/>
      <c r="B56" s="44"/>
      <c r="C56" s="44"/>
      <c r="D56" s="44"/>
      <c r="E56" s="44"/>
      <c r="AD56" s="13"/>
    </row>
    <row r="57" ht="12.75" customHeight="1">
      <c r="A57" s="30" t="s">
        <v>37</v>
      </c>
      <c r="B57" s="47" t="s">
        <v>19</v>
      </c>
      <c r="C57" s="48" t="s">
        <v>48</v>
      </c>
      <c r="D57" s="16"/>
      <c r="E57" s="19">
        <v>11.0</v>
      </c>
      <c r="F57" s="19">
        <v>16.0</v>
      </c>
      <c r="G57" s="19">
        <v>7.0</v>
      </c>
      <c r="H57" s="19">
        <v>7.0</v>
      </c>
      <c r="I57" s="19">
        <v>4.0</v>
      </c>
      <c r="J57" s="19">
        <v>3.0</v>
      </c>
      <c r="K57" s="19">
        <v>6.0</v>
      </c>
      <c r="L57" s="19">
        <v>9.0</v>
      </c>
      <c r="M57" s="19">
        <v>8.0</v>
      </c>
      <c r="N57" s="19">
        <v>17.0</v>
      </c>
      <c r="O57" s="19">
        <v>5.0</v>
      </c>
      <c r="P57" s="19">
        <v>9.0</v>
      </c>
      <c r="Q57" s="19">
        <v>15.0</v>
      </c>
      <c r="R57" s="19">
        <v>11.0</v>
      </c>
      <c r="S57" s="19">
        <v>8.0</v>
      </c>
      <c r="T57" s="19">
        <v>16.0</v>
      </c>
      <c r="U57" s="19">
        <v>6.0</v>
      </c>
      <c r="V57" s="19">
        <v>16.0</v>
      </c>
      <c r="W57" s="19">
        <v>10.0</v>
      </c>
      <c r="X57" s="19">
        <v>8.0</v>
      </c>
      <c r="Y57" s="19">
        <v>9.0</v>
      </c>
      <c r="Z57" s="19">
        <v>16.0</v>
      </c>
      <c r="AA57" s="19">
        <v>35.0</v>
      </c>
      <c r="AB57" s="19">
        <v>5.0</v>
      </c>
      <c r="AC57" s="19">
        <v>6.0</v>
      </c>
      <c r="AD57" s="13">
        <f t="shared" ref="AD57:AD67" si="19">SUM(E57:AC57)</f>
        <v>263</v>
      </c>
    </row>
    <row r="58" ht="12.75" customHeight="1">
      <c r="A58" s="30" t="s">
        <v>39</v>
      </c>
      <c r="B58" s="55">
        <v>1.0</v>
      </c>
      <c r="C58" s="50" t="s">
        <v>49</v>
      </c>
      <c r="D58" s="56"/>
      <c r="E58" s="19">
        <v>15.0</v>
      </c>
      <c r="F58" s="19">
        <v>17.0</v>
      </c>
      <c r="G58" s="19">
        <v>17.0</v>
      </c>
      <c r="H58" s="19">
        <v>14.0</v>
      </c>
      <c r="I58" s="19">
        <v>7.0</v>
      </c>
      <c r="J58" s="19">
        <v>8.0</v>
      </c>
      <c r="K58" s="19">
        <v>13.0</v>
      </c>
      <c r="L58" s="19">
        <v>12.0</v>
      </c>
      <c r="M58" s="19">
        <v>25.0</v>
      </c>
      <c r="N58" s="19">
        <v>12.0</v>
      </c>
      <c r="O58" s="19">
        <v>7.0</v>
      </c>
      <c r="P58" s="19">
        <v>18.0</v>
      </c>
      <c r="Q58" s="19">
        <v>19.0</v>
      </c>
      <c r="R58" s="19">
        <v>16.0</v>
      </c>
      <c r="S58" s="19">
        <v>22.0</v>
      </c>
      <c r="T58" s="19">
        <v>17.0</v>
      </c>
      <c r="U58" s="19">
        <v>6.0</v>
      </c>
      <c r="V58" s="19">
        <v>19.0</v>
      </c>
      <c r="W58" s="19">
        <v>21.0</v>
      </c>
      <c r="X58" s="19">
        <v>11.0</v>
      </c>
      <c r="Y58" s="19">
        <v>11.0</v>
      </c>
      <c r="Z58" s="19">
        <v>20.0</v>
      </c>
      <c r="AA58" s="19">
        <v>31.0</v>
      </c>
      <c r="AB58" s="19">
        <v>0.0</v>
      </c>
      <c r="AC58" s="19">
        <v>9.0</v>
      </c>
      <c r="AD58" s="13">
        <f t="shared" si="19"/>
        <v>367</v>
      </c>
    </row>
    <row r="59" ht="12.75" customHeight="1">
      <c r="A59" s="18"/>
      <c r="B59" s="55">
        <v>2.0</v>
      </c>
      <c r="C59" s="50" t="s">
        <v>50</v>
      </c>
      <c r="D59" s="56"/>
      <c r="E59" s="19">
        <v>2.0</v>
      </c>
      <c r="F59" s="19">
        <v>5.0</v>
      </c>
      <c r="G59" s="19">
        <v>3.0</v>
      </c>
      <c r="H59" s="19">
        <v>2.0</v>
      </c>
      <c r="I59" s="19">
        <v>10.0</v>
      </c>
      <c r="J59" s="19">
        <v>3.0</v>
      </c>
      <c r="K59" s="19">
        <v>4.0</v>
      </c>
      <c r="L59" s="19">
        <v>13.0</v>
      </c>
      <c r="M59" s="19">
        <v>2.0</v>
      </c>
      <c r="N59" s="19">
        <v>28.0</v>
      </c>
      <c r="O59" s="19">
        <v>3.0</v>
      </c>
      <c r="P59" s="19">
        <v>10.0</v>
      </c>
      <c r="Q59" s="19">
        <v>11.0</v>
      </c>
      <c r="R59" s="19">
        <v>10.0</v>
      </c>
      <c r="S59" s="19">
        <v>2.0</v>
      </c>
      <c r="T59" s="19">
        <v>7.0</v>
      </c>
      <c r="U59" s="19">
        <v>3.0</v>
      </c>
      <c r="V59" s="19">
        <v>2.0</v>
      </c>
      <c r="W59" s="19">
        <v>4.0</v>
      </c>
      <c r="X59" s="19">
        <v>8.0</v>
      </c>
      <c r="Y59" s="19">
        <v>4.0</v>
      </c>
      <c r="Z59" s="19">
        <v>8.0</v>
      </c>
      <c r="AA59" s="19">
        <v>3.0</v>
      </c>
      <c r="AB59" s="19">
        <v>1.0</v>
      </c>
      <c r="AC59" s="19">
        <v>2.0</v>
      </c>
      <c r="AD59" s="13">
        <f t="shared" si="19"/>
        <v>150</v>
      </c>
    </row>
    <row r="60" ht="12.75" customHeight="1">
      <c r="A60" s="18"/>
      <c r="B60" s="55">
        <v>3.0</v>
      </c>
      <c r="C60" s="50" t="s">
        <v>51</v>
      </c>
      <c r="D60" s="56"/>
      <c r="E60" s="19">
        <v>3.0</v>
      </c>
      <c r="F60" s="19">
        <v>0.0</v>
      </c>
      <c r="G60" s="19">
        <v>1.0</v>
      </c>
      <c r="H60" s="19">
        <v>0.0</v>
      </c>
      <c r="I60" s="19">
        <v>1.0</v>
      </c>
      <c r="J60" s="19">
        <v>0.0</v>
      </c>
      <c r="K60" s="19">
        <v>0.0</v>
      </c>
      <c r="L60" s="19">
        <v>0.0</v>
      </c>
      <c r="M60" s="19">
        <v>0.0</v>
      </c>
      <c r="N60" s="19">
        <v>2.0</v>
      </c>
      <c r="O60" s="19">
        <v>0.0</v>
      </c>
      <c r="P60" s="19">
        <v>1.0</v>
      </c>
      <c r="Q60" s="19">
        <v>0.0</v>
      </c>
      <c r="R60" s="19">
        <v>0.0</v>
      </c>
      <c r="S60" s="19">
        <v>0.0</v>
      </c>
      <c r="T60" s="19">
        <v>2.0</v>
      </c>
      <c r="U60" s="19">
        <v>0.0</v>
      </c>
      <c r="V60" s="19">
        <v>0.0</v>
      </c>
      <c r="W60" s="19">
        <v>2.0</v>
      </c>
      <c r="X60" s="19">
        <v>2.0</v>
      </c>
      <c r="Y60" s="19">
        <v>0.0</v>
      </c>
      <c r="Z60" s="19">
        <v>0.0</v>
      </c>
      <c r="AA60" s="19">
        <v>2.0</v>
      </c>
      <c r="AB60" s="19">
        <v>1.0</v>
      </c>
      <c r="AC60" s="19">
        <v>1.0</v>
      </c>
      <c r="AD60" s="13">
        <f t="shared" si="19"/>
        <v>18</v>
      </c>
    </row>
    <row r="61" ht="12.75" customHeight="1">
      <c r="A61" s="18"/>
      <c r="B61" s="55">
        <v>4.0</v>
      </c>
      <c r="C61" s="50" t="s">
        <v>52</v>
      </c>
      <c r="D61" s="56"/>
      <c r="E61" s="19">
        <v>3.0</v>
      </c>
      <c r="F61" s="19">
        <v>0.0</v>
      </c>
      <c r="G61" s="19">
        <v>1.0</v>
      </c>
      <c r="H61" s="19">
        <v>1.0</v>
      </c>
      <c r="I61" s="19">
        <v>0.0</v>
      </c>
      <c r="J61" s="19">
        <v>0.0</v>
      </c>
      <c r="K61" s="19">
        <v>1.0</v>
      </c>
      <c r="L61" s="19">
        <v>0.0</v>
      </c>
      <c r="M61" s="19">
        <v>0.0</v>
      </c>
      <c r="N61" s="19">
        <v>0.0</v>
      </c>
      <c r="O61" s="19">
        <v>0.0</v>
      </c>
      <c r="P61" s="19">
        <v>1.0</v>
      </c>
      <c r="Q61" s="19">
        <v>1.0</v>
      </c>
      <c r="R61" s="19">
        <v>0.0</v>
      </c>
      <c r="S61" s="19">
        <v>1.0</v>
      </c>
      <c r="T61" s="19">
        <v>1.0</v>
      </c>
      <c r="U61" s="19">
        <v>0.0</v>
      </c>
      <c r="V61" s="19">
        <v>0.0</v>
      </c>
      <c r="W61" s="19">
        <v>2.0</v>
      </c>
      <c r="X61" s="19">
        <v>1.0</v>
      </c>
      <c r="Y61" s="19">
        <v>1.0</v>
      </c>
      <c r="Z61" s="19">
        <v>0.0</v>
      </c>
      <c r="AA61" s="19">
        <v>0.0</v>
      </c>
      <c r="AB61" s="19">
        <v>0.0</v>
      </c>
      <c r="AC61" s="19">
        <v>0.0</v>
      </c>
      <c r="AD61" s="13">
        <f t="shared" si="19"/>
        <v>14</v>
      </c>
    </row>
    <row r="62" ht="12.75" customHeight="1">
      <c r="A62" s="18"/>
      <c r="B62" s="55">
        <v>5.0</v>
      </c>
      <c r="C62" s="50" t="s">
        <v>53</v>
      </c>
      <c r="D62" s="56"/>
      <c r="E62" s="19">
        <v>0.0</v>
      </c>
      <c r="F62" s="19">
        <v>0.0</v>
      </c>
      <c r="G62" s="19">
        <v>2.0</v>
      </c>
      <c r="H62" s="19">
        <v>0.0</v>
      </c>
      <c r="I62" s="19">
        <v>0.0</v>
      </c>
      <c r="J62" s="19">
        <v>1.0</v>
      </c>
      <c r="K62" s="19">
        <v>1.0</v>
      </c>
      <c r="L62" s="19">
        <v>0.0</v>
      </c>
      <c r="M62" s="19">
        <v>0.0</v>
      </c>
      <c r="N62" s="19">
        <v>0.0</v>
      </c>
      <c r="O62" s="19">
        <v>0.0</v>
      </c>
      <c r="P62" s="19">
        <v>0.0</v>
      </c>
      <c r="Q62" s="19">
        <v>0.0</v>
      </c>
      <c r="R62" s="19">
        <v>1.0</v>
      </c>
      <c r="S62" s="19">
        <v>0.0</v>
      </c>
      <c r="T62" s="19">
        <v>0.0</v>
      </c>
      <c r="U62" s="19">
        <v>0.0</v>
      </c>
      <c r="V62" s="19">
        <v>1.0</v>
      </c>
      <c r="W62" s="19">
        <v>0.0</v>
      </c>
      <c r="X62" s="19">
        <v>0.0</v>
      </c>
      <c r="Y62" s="19">
        <v>0.0</v>
      </c>
      <c r="Z62" s="19">
        <v>1.0</v>
      </c>
      <c r="AA62" s="19">
        <v>0.0</v>
      </c>
      <c r="AB62" s="19">
        <v>0.0</v>
      </c>
      <c r="AC62" s="19">
        <v>0.0</v>
      </c>
      <c r="AD62" s="13">
        <f t="shared" si="19"/>
        <v>7</v>
      </c>
    </row>
    <row r="63" ht="12.75" customHeight="1">
      <c r="A63" s="18"/>
      <c r="B63" s="55">
        <v>6.0</v>
      </c>
      <c r="C63" s="50" t="s">
        <v>54</v>
      </c>
      <c r="D63" s="57"/>
      <c r="E63" s="19">
        <v>1.0</v>
      </c>
      <c r="F63" s="19">
        <v>1.0</v>
      </c>
      <c r="G63" s="19">
        <v>1.0</v>
      </c>
      <c r="H63" s="19">
        <v>0.0</v>
      </c>
      <c r="I63" s="19">
        <v>1.0</v>
      </c>
      <c r="J63" s="19">
        <v>0.0</v>
      </c>
      <c r="K63" s="19">
        <v>0.0</v>
      </c>
      <c r="L63" s="19">
        <v>0.0</v>
      </c>
      <c r="M63" s="19">
        <v>0.0</v>
      </c>
      <c r="N63" s="19">
        <v>0.0</v>
      </c>
      <c r="O63" s="19">
        <v>1.0</v>
      </c>
      <c r="P63" s="19">
        <v>1.0</v>
      </c>
      <c r="Q63" s="19">
        <v>0.0</v>
      </c>
      <c r="R63" s="19">
        <v>0.0</v>
      </c>
      <c r="S63" s="19">
        <v>0.0</v>
      </c>
      <c r="T63" s="19">
        <v>0.0</v>
      </c>
      <c r="U63" s="19">
        <v>0.0</v>
      </c>
      <c r="V63" s="19">
        <v>0.0</v>
      </c>
      <c r="W63" s="19">
        <v>1.0</v>
      </c>
      <c r="X63" s="19">
        <v>0.0</v>
      </c>
      <c r="Y63" s="19">
        <v>0.0</v>
      </c>
      <c r="Z63" s="19">
        <v>1.0</v>
      </c>
      <c r="AA63" s="19">
        <v>0.0</v>
      </c>
      <c r="AB63" s="19">
        <v>0.0</v>
      </c>
      <c r="AC63" s="19">
        <v>1.0</v>
      </c>
      <c r="AD63" s="13">
        <f t="shared" si="19"/>
        <v>9</v>
      </c>
    </row>
    <row r="64" ht="12.75" customHeight="1">
      <c r="A64" s="18"/>
      <c r="B64" s="55">
        <v>7.0</v>
      </c>
      <c r="C64" s="50" t="s">
        <v>55</v>
      </c>
      <c r="D64" s="56"/>
      <c r="E64" s="19">
        <v>0.0</v>
      </c>
      <c r="F64" s="19">
        <v>1.0</v>
      </c>
      <c r="G64" s="19">
        <v>0.0</v>
      </c>
      <c r="H64" s="19">
        <v>4.0</v>
      </c>
      <c r="I64" s="19">
        <v>1.0</v>
      </c>
      <c r="J64" s="19">
        <v>0.0</v>
      </c>
      <c r="K64" s="19">
        <v>0.0</v>
      </c>
      <c r="L64" s="19">
        <v>0.0</v>
      </c>
      <c r="M64" s="19">
        <v>0.0</v>
      </c>
      <c r="N64" s="19">
        <v>0.0</v>
      </c>
      <c r="O64" s="19">
        <v>0.0</v>
      </c>
      <c r="P64" s="19">
        <v>0.0</v>
      </c>
      <c r="Q64" s="19">
        <v>0.0</v>
      </c>
      <c r="R64" s="19">
        <v>0.0</v>
      </c>
      <c r="S64" s="19">
        <v>0.0</v>
      </c>
      <c r="T64" s="19">
        <v>0.0</v>
      </c>
      <c r="U64" s="19">
        <v>0.0</v>
      </c>
      <c r="V64" s="19">
        <v>0.0</v>
      </c>
      <c r="W64" s="19">
        <v>0.0</v>
      </c>
      <c r="X64" s="19">
        <v>1.0</v>
      </c>
      <c r="Y64" s="19">
        <v>0.0</v>
      </c>
      <c r="Z64" s="19">
        <v>0.0</v>
      </c>
      <c r="AA64" s="19">
        <v>0.0</v>
      </c>
      <c r="AB64" s="19">
        <v>0.0</v>
      </c>
      <c r="AC64" s="19">
        <v>0.0</v>
      </c>
      <c r="AD64" s="13">
        <f t="shared" si="19"/>
        <v>7</v>
      </c>
    </row>
    <row r="65" ht="12.75" customHeight="1">
      <c r="A65" s="18"/>
      <c r="B65" s="68"/>
      <c r="C65" s="69"/>
      <c r="D65" s="70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3">
        <f t="shared" si="19"/>
        <v>0</v>
      </c>
    </row>
    <row r="66" ht="12.75" customHeight="1">
      <c r="A66" s="18"/>
      <c r="B66" s="68"/>
      <c r="C66" s="69"/>
      <c r="D66" s="70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3">
        <f t="shared" si="19"/>
        <v>0</v>
      </c>
    </row>
    <row r="67" ht="15.0" customHeight="1">
      <c r="A67" s="19" t="s">
        <v>15</v>
      </c>
      <c r="B67" s="47" t="s">
        <v>47</v>
      </c>
      <c r="C67" s="15"/>
      <c r="D67" s="16"/>
      <c r="E67" s="13">
        <f t="shared" ref="E67:AC67" si="20">SUM(E57:E64)</f>
        <v>35</v>
      </c>
      <c r="F67" s="13">
        <f t="shared" si="20"/>
        <v>40</v>
      </c>
      <c r="G67" s="13">
        <f t="shared" si="20"/>
        <v>32</v>
      </c>
      <c r="H67" s="13">
        <f t="shared" si="20"/>
        <v>28</v>
      </c>
      <c r="I67" s="13">
        <f t="shared" si="20"/>
        <v>24</v>
      </c>
      <c r="J67" s="13">
        <f t="shared" si="20"/>
        <v>15</v>
      </c>
      <c r="K67" s="13">
        <f t="shared" si="20"/>
        <v>25</v>
      </c>
      <c r="L67" s="13">
        <f t="shared" si="20"/>
        <v>34</v>
      </c>
      <c r="M67" s="13">
        <f t="shared" si="20"/>
        <v>35</v>
      </c>
      <c r="N67" s="13">
        <f t="shared" si="20"/>
        <v>59</v>
      </c>
      <c r="O67" s="13">
        <f t="shared" si="20"/>
        <v>16</v>
      </c>
      <c r="P67" s="13">
        <f t="shared" si="20"/>
        <v>40</v>
      </c>
      <c r="Q67" s="13">
        <f t="shared" si="20"/>
        <v>46</v>
      </c>
      <c r="R67" s="13">
        <f t="shared" si="20"/>
        <v>38</v>
      </c>
      <c r="S67" s="13">
        <f t="shared" si="20"/>
        <v>33</v>
      </c>
      <c r="T67" s="13">
        <f t="shared" si="20"/>
        <v>43</v>
      </c>
      <c r="U67" s="13">
        <f t="shared" si="20"/>
        <v>15</v>
      </c>
      <c r="V67" s="13">
        <f t="shared" si="20"/>
        <v>38</v>
      </c>
      <c r="W67" s="13">
        <f t="shared" si="20"/>
        <v>40</v>
      </c>
      <c r="X67" s="13">
        <f t="shared" si="20"/>
        <v>31</v>
      </c>
      <c r="Y67" s="13">
        <f t="shared" si="20"/>
        <v>25</v>
      </c>
      <c r="Z67" s="13">
        <f t="shared" si="20"/>
        <v>46</v>
      </c>
      <c r="AA67" s="13">
        <f t="shared" si="20"/>
        <v>71</v>
      </c>
      <c r="AB67" s="13">
        <f t="shared" si="20"/>
        <v>7</v>
      </c>
      <c r="AC67" s="13">
        <f t="shared" si="20"/>
        <v>19</v>
      </c>
      <c r="AD67" s="13">
        <f t="shared" si="19"/>
        <v>835</v>
      </c>
    </row>
    <row r="68" ht="12.75" customHeight="1">
      <c r="A68" s="45"/>
      <c r="B68" s="44"/>
      <c r="C68" s="44"/>
      <c r="D68" s="44"/>
      <c r="E68" s="44"/>
    </row>
    <row r="69" ht="12.75" customHeight="1">
      <c r="A69" s="30" t="s">
        <v>37</v>
      </c>
      <c r="B69" s="47" t="s">
        <v>21</v>
      </c>
      <c r="C69" s="48" t="s">
        <v>56</v>
      </c>
      <c r="D69" s="16"/>
      <c r="E69" s="19">
        <v>4.0</v>
      </c>
      <c r="F69" s="19">
        <v>7.0</v>
      </c>
      <c r="G69" s="19">
        <v>6.0</v>
      </c>
      <c r="H69" s="19">
        <v>3.0</v>
      </c>
      <c r="I69" s="19">
        <v>3.0</v>
      </c>
      <c r="J69" s="19">
        <v>4.0</v>
      </c>
      <c r="K69" s="19">
        <v>4.0</v>
      </c>
      <c r="L69" s="19">
        <v>0.0</v>
      </c>
      <c r="M69" s="19">
        <v>2.0</v>
      </c>
      <c r="N69" s="19">
        <v>7.0</v>
      </c>
      <c r="O69" s="19">
        <v>3.0</v>
      </c>
      <c r="P69" s="19">
        <v>2.0</v>
      </c>
      <c r="Q69" s="19">
        <v>4.0</v>
      </c>
      <c r="R69" s="19">
        <v>13.0</v>
      </c>
      <c r="S69" s="19">
        <v>10.0</v>
      </c>
      <c r="T69" s="19">
        <v>2.0</v>
      </c>
      <c r="U69" s="19">
        <v>2.0</v>
      </c>
      <c r="V69" s="19">
        <v>3.0</v>
      </c>
      <c r="W69" s="19">
        <v>4.0</v>
      </c>
      <c r="X69" s="19">
        <v>9.0</v>
      </c>
      <c r="Y69" s="19">
        <v>1.0</v>
      </c>
      <c r="Z69" s="19">
        <v>9.0</v>
      </c>
      <c r="AA69" s="19">
        <v>9.0</v>
      </c>
      <c r="AB69" s="19">
        <v>1.0</v>
      </c>
      <c r="AC69" s="19">
        <v>4.0</v>
      </c>
      <c r="AD69" s="13">
        <f t="shared" ref="AD69:AD79" si="21">SUM(E69:AC69)</f>
        <v>116</v>
      </c>
    </row>
    <row r="70" ht="12.75" customHeight="1">
      <c r="A70" s="30" t="s">
        <v>39</v>
      </c>
      <c r="B70" s="55">
        <v>1.0</v>
      </c>
      <c r="C70" s="50" t="s">
        <v>57</v>
      </c>
      <c r="D70" s="57"/>
      <c r="E70" s="19">
        <v>3.0</v>
      </c>
      <c r="F70" s="19">
        <v>2.0</v>
      </c>
      <c r="G70" s="19">
        <v>5.0</v>
      </c>
      <c r="H70" s="19">
        <v>3.0</v>
      </c>
      <c r="I70" s="19">
        <v>1.0</v>
      </c>
      <c r="J70" s="19">
        <v>4.0</v>
      </c>
      <c r="K70" s="19">
        <v>8.0</v>
      </c>
      <c r="L70" s="19">
        <v>6.0</v>
      </c>
      <c r="M70" s="19">
        <v>6.0</v>
      </c>
      <c r="N70" s="19">
        <v>5.0</v>
      </c>
      <c r="O70" s="19">
        <v>8.0</v>
      </c>
      <c r="P70" s="19">
        <v>3.0</v>
      </c>
      <c r="Q70" s="19">
        <v>1.0</v>
      </c>
      <c r="R70" s="19">
        <v>5.0</v>
      </c>
      <c r="S70" s="19">
        <v>6.0</v>
      </c>
      <c r="T70" s="19">
        <v>13.0</v>
      </c>
      <c r="U70" s="19">
        <v>9.0</v>
      </c>
      <c r="V70" s="19">
        <v>19.0</v>
      </c>
      <c r="W70" s="19">
        <v>21.0</v>
      </c>
      <c r="X70" s="19">
        <v>7.0</v>
      </c>
      <c r="Y70" s="19">
        <v>8.0</v>
      </c>
      <c r="Z70" s="19">
        <v>10.0</v>
      </c>
      <c r="AA70" s="19">
        <v>3.0</v>
      </c>
      <c r="AB70" s="19">
        <v>3.0</v>
      </c>
      <c r="AC70" s="19">
        <v>5.0</v>
      </c>
      <c r="AD70" s="13">
        <f t="shared" si="21"/>
        <v>164</v>
      </c>
    </row>
    <row r="71" ht="12.75" customHeight="1">
      <c r="A71" s="18"/>
      <c r="B71" s="55">
        <v>2.0</v>
      </c>
      <c r="C71" s="50" t="s">
        <v>58</v>
      </c>
      <c r="D71" s="57"/>
      <c r="E71" s="19">
        <v>4.0</v>
      </c>
      <c r="F71" s="19">
        <v>1.0</v>
      </c>
      <c r="G71" s="19">
        <v>0.0</v>
      </c>
      <c r="H71" s="19">
        <v>2.0</v>
      </c>
      <c r="I71" s="19">
        <v>0.0</v>
      </c>
      <c r="J71" s="19">
        <v>1.0</v>
      </c>
      <c r="K71" s="19">
        <v>0.0</v>
      </c>
      <c r="L71" s="19">
        <v>1.0</v>
      </c>
      <c r="M71" s="19">
        <v>0.0</v>
      </c>
      <c r="N71" s="19">
        <v>2.0</v>
      </c>
      <c r="O71" s="19">
        <v>0.0</v>
      </c>
      <c r="P71" s="19">
        <v>2.0</v>
      </c>
      <c r="Q71" s="19">
        <v>0.0</v>
      </c>
      <c r="R71" s="19">
        <v>2.0</v>
      </c>
      <c r="S71" s="19">
        <v>1.0</v>
      </c>
      <c r="T71" s="19">
        <v>0.0</v>
      </c>
      <c r="U71" s="19">
        <v>1.0</v>
      </c>
      <c r="V71" s="19">
        <v>3.0</v>
      </c>
      <c r="W71" s="19">
        <v>0.0</v>
      </c>
      <c r="X71" s="19">
        <v>2.0</v>
      </c>
      <c r="Y71" s="19">
        <v>1.0</v>
      </c>
      <c r="Z71" s="19">
        <v>1.0</v>
      </c>
      <c r="AA71" s="19">
        <v>3.0</v>
      </c>
      <c r="AB71" s="19">
        <v>0.0</v>
      </c>
      <c r="AC71" s="19">
        <v>2.0</v>
      </c>
      <c r="AD71" s="13">
        <f t="shared" si="21"/>
        <v>29</v>
      </c>
    </row>
    <row r="72" ht="12.75" customHeight="1">
      <c r="A72" s="18"/>
      <c r="B72" s="55">
        <v>3.0</v>
      </c>
      <c r="C72" s="50" t="s">
        <v>59</v>
      </c>
      <c r="D72" s="57"/>
      <c r="E72" s="19">
        <v>2.0</v>
      </c>
      <c r="F72" s="19">
        <v>0.0</v>
      </c>
      <c r="G72" s="19">
        <v>0.0</v>
      </c>
      <c r="H72" s="19">
        <v>7.0</v>
      </c>
      <c r="I72" s="19">
        <v>2.0</v>
      </c>
      <c r="J72" s="19">
        <v>0.0</v>
      </c>
      <c r="K72" s="19">
        <v>0.0</v>
      </c>
      <c r="L72" s="19">
        <v>0.0</v>
      </c>
      <c r="M72" s="19">
        <v>1.0</v>
      </c>
      <c r="N72" s="19">
        <v>0.0</v>
      </c>
      <c r="O72" s="19">
        <v>0.0</v>
      </c>
      <c r="P72" s="19">
        <v>2.0</v>
      </c>
      <c r="Q72" s="19">
        <v>1.0</v>
      </c>
      <c r="R72" s="19">
        <v>0.0</v>
      </c>
      <c r="S72" s="19">
        <v>1.0</v>
      </c>
      <c r="T72" s="19">
        <v>0.0</v>
      </c>
      <c r="U72" s="19">
        <v>0.0</v>
      </c>
      <c r="V72" s="19">
        <v>0.0</v>
      </c>
      <c r="W72" s="19">
        <v>2.0</v>
      </c>
      <c r="X72" s="19">
        <v>2.0</v>
      </c>
      <c r="Y72" s="19">
        <v>2.0</v>
      </c>
      <c r="Z72" s="19">
        <v>1.0</v>
      </c>
      <c r="AA72" s="19">
        <v>0.0</v>
      </c>
      <c r="AB72" s="19">
        <v>0.0</v>
      </c>
      <c r="AC72" s="19">
        <v>2.0</v>
      </c>
      <c r="AD72" s="13">
        <f t="shared" si="21"/>
        <v>25</v>
      </c>
    </row>
    <row r="73" ht="12.75" customHeight="1">
      <c r="A73" s="18"/>
      <c r="B73" s="55">
        <v>4.0</v>
      </c>
      <c r="C73" s="50" t="s">
        <v>60</v>
      </c>
      <c r="D73" s="57"/>
      <c r="E73" s="19">
        <v>0.0</v>
      </c>
      <c r="F73" s="19">
        <v>1.0</v>
      </c>
      <c r="G73" s="19">
        <v>1.0</v>
      </c>
      <c r="H73" s="19">
        <v>0.0</v>
      </c>
      <c r="I73" s="19">
        <v>0.0</v>
      </c>
      <c r="J73" s="19">
        <v>0.0</v>
      </c>
      <c r="K73" s="19">
        <v>1.0</v>
      </c>
      <c r="L73" s="19">
        <v>0.0</v>
      </c>
      <c r="M73" s="19">
        <v>1.0</v>
      </c>
      <c r="N73" s="19">
        <v>0.0</v>
      </c>
      <c r="O73" s="19">
        <v>1.0</v>
      </c>
      <c r="P73" s="19">
        <v>1.0</v>
      </c>
      <c r="Q73" s="19">
        <v>2.0</v>
      </c>
      <c r="R73" s="19">
        <v>13.0</v>
      </c>
      <c r="S73" s="19">
        <v>0.0</v>
      </c>
      <c r="T73" s="19">
        <v>0.0</v>
      </c>
      <c r="U73" s="19">
        <v>0.0</v>
      </c>
      <c r="V73" s="19">
        <v>3.0</v>
      </c>
      <c r="W73" s="19">
        <v>3.0</v>
      </c>
      <c r="X73" s="19">
        <v>0.0</v>
      </c>
      <c r="Y73" s="19">
        <v>1.0</v>
      </c>
      <c r="Z73" s="19">
        <v>0.0</v>
      </c>
      <c r="AA73" s="19">
        <v>3.0</v>
      </c>
      <c r="AB73" s="19">
        <v>0.0</v>
      </c>
      <c r="AC73" s="19">
        <v>1.0</v>
      </c>
      <c r="AD73" s="13">
        <f t="shared" si="21"/>
        <v>32</v>
      </c>
    </row>
    <row r="74" ht="12.75" customHeight="1">
      <c r="A74" s="18"/>
      <c r="B74" s="55">
        <v>5.0</v>
      </c>
      <c r="C74" s="50" t="s">
        <v>61</v>
      </c>
      <c r="D74" s="57"/>
      <c r="E74" s="19">
        <v>4.0</v>
      </c>
      <c r="F74" s="19">
        <v>2.0</v>
      </c>
      <c r="G74" s="19">
        <v>5.0</v>
      </c>
      <c r="H74" s="19">
        <v>7.0</v>
      </c>
      <c r="I74" s="19">
        <v>5.0</v>
      </c>
      <c r="J74" s="19">
        <v>3.0</v>
      </c>
      <c r="K74" s="19">
        <v>4.0</v>
      </c>
      <c r="L74" s="19">
        <v>0.0</v>
      </c>
      <c r="M74" s="19">
        <v>10.0</v>
      </c>
      <c r="N74" s="19">
        <v>2.0</v>
      </c>
      <c r="O74" s="19">
        <v>1.0</v>
      </c>
      <c r="P74" s="19">
        <v>2.0</v>
      </c>
      <c r="Q74" s="19">
        <v>1.0</v>
      </c>
      <c r="R74" s="19">
        <v>0.0</v>
      </c>
      <c r="S74" s="19">
        <v>1.0</v>
      </c>
      <c r="T74" s="19">
        <v>1.0</v>
      </c>
      <c r="U74" s="19">
        <v>3.0</v>
      </c>
      <c r="V74" s="19">
        <v>1.0</v>
      </c>
      <c r="W74" s="19">
        <v>0.0</v>
      </c>
      <c r="X74" s="19">
        <v>6.0</v>
      </c>
      <c r="Y74" s="19">
        <v>10.0</v>
      </c>
      <c r="Z74" s="19">
        <v>9.0</v>
      </c>
      <c r="AA74" s="19">
        <v>1.0</v>
      </c>
      <c r="AB74" s="19">
        <v>0.0</v>
      </c>
      <c r="AC74" s="19">
        <v>1.0</v>
      </c>
      <c r="AD74" s="13">
        <f t="shared" si="21"/>
        <v>79</v>
      </c>
    </row>
    <row r="75" ht="12.75" customHeight="1">
      <c r="A75" s="18"/>
      <c r="B75" s="55">
        <v>6.0</v>
      </c>
      <c r="C75" s="50" t="s">
        <v>62</v>
      </c>
      <c r="D75" s="57"/>
      <c r="E75" s="19">
        <v>0.0</v>
      </c>
      <c r="F75" s="19">
        <v>2.0</v>
      </c>
      <c r="G75" s="19">
        <v>1.0</v>
      </c>
      <c r="H75" s="19">
        <v>0.0</v>
      </c>
      <c r="I75" s="19">
        <v>0.0</v>
      </c>
      <c r="J75" s="19">
        <v>1.0</v>
      </c>
      <c r="K75" s="19">
        <v>0.0</v>
      </c>
      <c r="L75" s="19">
        <v>0.0</v>
      </c>
      <c r="M75" s="19">
        <v>0.0</v>
      </c>
      <c r="N75" s="19">
        <v>0.0</v>
      </c>
      <c r="O75" s="19">
        <v>0.0</v>
      </c>
      <c r="P75" s="19">
        <v>0.0</v>
      </c>
      <c r="Q75" s="19">
        <v>0.0</v>
      </c>
      <c r="R75" s="19">
        <v>0.0</v>
      </c>
      <c r="S75" s="19">
        <v>0.0</v>
      </c>
      <c r="T75" s="19">
        <v>0.0</v>
      </c>
      <c r="U75" s="19">
        <v>1.0</v>
      </c>
      <c r="V75" s="19">
        <v>0.0</v>
      </c>
      <c r="W75" s="19">
        <v>0.0</v>
      </c>
      <c r="X75" s="19">
        <v>0.0</v>
      </c>
      <c r="Y75" s="19">
        <v>0.0</v>
      </c>
      <c r="Z75" s="19">
        <v>1.0</v>
      </c>
      <c r="AA75" s="19">
        <v>1.0</v>
      </c>
      <c r="AB75" s="19">
        <v>0.0</v>
      </c>
      <c r="AC75" s="19">
        <v>0.0</v>
      </c>
      <c r="AD75" s="13">
        <f t="shared" si="21"/>
        <v>7</v>
      </c>
    </row>
    <row r="76" ht="12.75" customHeight="1">
      <c r="A76" s="18"/>
      <c r="B76" s="55">
        <v>7.0</v>
      </c>
      <c r="C76" s="50" t="s">
        <v>63</v>
      </c>
      <c r="D76" s="57"/>
      <c r="E76" s="19">
        <v>0.0</v>
      </c>
      <c r="F76" s="19">
        <v>1.0</v>
      </c>
      <c r="G76" s="19">
        <v>2.0</v>
      </c>
      <c r="H76" s="19">
        <v>0.0</v>
      </c>
      <c r="I76" s="19">
        <v>0.0</v>
      </c>
      <c r="J76" s="19">
        <v>0.0</v>
      </c>
      <c r="K76" s="19">
        <v>0.0</v>
      </c>
      <c r="L76" s="19">
        <v>0.0</v>
      </c>
      <c r="M76" s="19">
        <v>0.0</v>
      </c>
      <c r="N76" s="19">
        <v>0.0</v>
      </c>
      <c r="O76" s="19">
        <v>0.0</v>
      </c>
      <c r="P76" s="19">
        <v>1.0</v>
      </c>
      <c r="Q76" s="19">
        <v>0.0</v>
      </c>
      <c r="R76" s="19">
        <v>1.0</v>
      </c>
      <c r="S76" s="19">
        <v>0.0</v>
      </c>
      <c r="T76" s="19">
        <v>0.0</v>
      </c>
      <c r="U76" s="19">
        <v>0.0</v>
      </c>
      <c r="V76" s="19">
        <v>0.0</v>
      </c>
      <c r="W76" s="19">
        <v>3.0</v>
      </c>
      <c r="X76" s="19">
        <v>1.0</v>
      </c>
      <c r="Y76" s="19">
        <v>0.0</v>
      </c>
      <c r="Z76" s="19">
        <v>0.0</v>
      </c>
      <c r="AA76" s="19">
        <v>0.0</v>
      </c>
      <c r="AB76" s="19">
        <v>0.0</v>
      </c>
      <c r="AC76" s="19">
        <v>0.0</v>
      </c>
      <c r="AD76" s="13">
        <f t="shared" si="21"/>
        <v>9</v>
      </c>
    </row>
    <row r="77" ht="12.75" customHeight="1">
      <c r="A77" s="18"/>
      <c r="B77" s="68"/>
      <c r="C77" s="69"/>
      <c r="D77" s="71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3">
        <f t="shared" si="21"/>
        <v>0</v>
      </c>
    </row>
    <row r="78" ht="12.75" customHeight="1">
      <c r="A78" s="18"/>
      <c r="B78" s="68"/>
      <c r="C78" s="69"/>
      <c r="D78" s="71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3">
        <f t="shared" si="21"/>
        <v>0</v>
      </c>
    </row>
    <row r="79" ht="15.0" customHeight="1">
      <c r="A79" s="19" t="s">
        <v>15</v>
      </c>
      <c r="B79" s="47" t="s">
        <v>47</v>
      </c>
      <c r="C79" s="15"/>
      <c r="D79" s="16"/>
      <c r="E79" s="13">
        <f t="shared" ref="E79:AC79" si="22">SUM(E69:E76)</f>
        <v>17</v>
      </c>
      <c r="F79" s="13">
        <f t="shared" si="22"/>
        <v>16</v>
      </c>
      <c r="G79" s="13">
        <f t="shared" si="22"/>
        <v>20</v>
      </c>
      <c r="H79" s="13">
        <f t="shared" si="22"/>
        <v>22</v>
      </c>
      <c r="I79" s="13">
        <f t="shared" si="22"/>
        <v>11</v>
      </c>
      <c r="J79" s="13">
        <f t="shared" si="22"/>
        <v>13</v>
      </c>
      <c r="K79" s="13">
        <f t="shared" si="22"/>
        <v>17</v>
      </c>
      <c r="L79" s="13">
        <f t="shared" si="22"/>
        <v>7</v>
      </c>
      <c r="M79" s="13">
        <f t="shared" si="22"/>
        <v>20</v>
      </c>
      <c r="N79" s="13">
        <f t="shared" si="22"/>
        <v>16</v>
      </c>
      <c r="O79" s="13">
        <f t="shared" si="22"/>
        <v>13</v>
      </c>
      <c r="P79" s="13">
        <f t="shared" si="22"/>
        <v>13</v>
      </c>
      <c r="Q79" s="13">
        <f t="shared" si="22"/>
        <v>9</v>
      </c>
      <c r="R79" s="13">
        <f t="shared" si="22"/>
        <v>34</v>
      </c>
      <c r="S79" s="13">
        <f t="shared" si="22"/>
        <v>19</v>
      </c>
      <c r="T79" s="13">
        <f t="shared" si="22"/>
        <v>16</v>
      </c>
      <c r="U79" s="13">
        <f t="shared" si="22"/>
        <v>16</v>
      </c>
      <c r="V79" s="13">
        <f t="shared" si="22"/>
        <v>29</v>
      </c>
      <c r="W79" s="13">
        <f t="shared" si="22"/>
        <v>33</v>
      </c>
      <c r="X79" s="13">
        <f t="shared" si="22"/>
        <v>27</v>
      </c>
      <c r="Y79" s="13">
        <f t="shared" si="22"/>
        <v>23</v>
      </c>
      <c r="Z79" s="13">
        <f t="shared" si="22"/>
        <v>31</v>
      </c>
      <c r="AA79" s="13">
        <f t="shared" si="22"/>
        <v>20</v>
      </c>
      <c r="AB79" s="13">
        <f t="shared" si="22"/>
        <v>4</v>
      </c>
      <c r="AC79" s="13">
        <f t="shared" si="22"/>
        <v>15</v>
      </c>
      <c r="AD79" s="13">
        <f t="shared" si="21"/>
        <v>461</v>
      </c>
    </row>
    <row r="80" ht="12.75" customHeight="1">
      <c r="A80" s="45"/>
      <c r="B80" s="44"/>
      <c r="C80" s="44"/>
      <c r="D80" s="44"/>
      <c r="E80" s="44"/>
    </row>
    <row r="81" ht="12.75" customHeight="1">
      <c r="A81" s="30" t="s">
        <v>37</v>
      </c>
      <c r="B81" s="47" t="s">
        <v>23</v>
      </c>
      <c r="C81" s="48" t="s">
        <v>64</v>
      </c>
      <c r="D81" s="16"/>
      <c r="E81" s="19">
        <v>6.0</v>
      </c>
      <c r="F81" s="19">
        <v>4.0</v>
      </c>
      <c r="G81" s="19">
        <v>3.0</v>
      </c>
      <c r="H81" s="19">
        <v>4.0</v>
      </c>
      <c r="I81" s="19">
        <v>2.0</v>
      </c>
      <c r="J81" s="19">
        <v>2.0</v>
      </c>
      <c r="K81" s="19">
        <v>2.0</v>
      </c>
      <c r="L81" s="19">
        <v>3.0</v>
      </c>
      <c r="M81" s="19">
        <v>1.0</v>
      </c>
      <c r="N81" s="19">
        <v>7.0</v>
      </c>
      <c r="O81" s="19">
        <v>26.0</v>
      </c>
      <c r="P81" s="19">
        <v>9.0</v>
      </c>
      <c r="Q81" s="19">
        <v>8.0</v>
      </c>
      <c r="R81" s="19">
        <v>4.0</v>
      </c>
      <c r="S81" s="19">
        <v>4.0</v>
      </c>
      <c r="T81" s="19">
        <v>5.0</v>
      </c>
      <c r="U81" s="19">
        <v>5.0</v>
      </c>
      <c r="V81" s="19">
        <v>9.0</v>
      </c>
      <c r="W81" s="19">
        <v>8.0</v>
      </c>
      <c r="X81" s="19">
        <v>19.0</v>
      </c>
      <c r="Y81" s="19">
        <v>10.0</v>
      </c>
      <c r="Z81" s="19">
        <v>8.0</v>
      </c>
      <c r="AA81" s="19">
        <v>5.0</v>
      </c>
      <c r="AB81" s="19">
        <v>0.0</v>
      </c>
      <c r="AC81" s="19">
        <v>7.0</v>
      </c>
      <c r="AD81" s="13">
        <f t="shared" ref="AD81:AD91" si="23">SUM(E81:AC81)</f>
        <v>161</v>
      </c>
    </row>
    <row r="82" ht="12.75" customHeight="1">
      <c r="A82" s="30" t="s">
        <v>39</v>
      </c>
      <c r="B82" s="55">
        <v>1.0</v>
      </c>
      <c r="C82" s="50" t="s">
        <v>65</v>
      </c>
      <c r="D82" s="57"/>
      <c r="E82" s="19">
        <v>18.0</v>
      </c>
      <c r="F82" s="19">
        <v>8.0</v>
      </c>
      <c r="G82" s="19">
        <v>5.0</v>
      </c>
      <c r="H82" s="19">
        <v>35.0</v>
      </c>
      <c r="I82" s="19">
        <v>13.0</v>
      </c>
      <c r="J82" s="19">
        <v>6.0</v>
      </c>
      <c r="K82" s="19">
        <v>1.0</v>
      </c>
      <c r="L82" s="19">
        <v>4.0</v>
      </c>
      <c r="M82" s="19">
        <v>0.0</v>
      </c>
      <c r="N82" s="19">
        <v>12.0</v>
      </c>
      <c r="O82" s="19">
        <v>20.0</v>
      </c>
      <c r="P82" s="19">
        <v>11.0</v>
      </c>
      <c r="Q82" s="19">
        <v>12.0</v>
      </c>
      <c r="R82" s="19">
        <v>4.0</v>
      </c>
      <c r="S82" s="19">
        <v>4.0</v>
      </c>
      <c r="T82" s="19">
        <v>8.0</v>
      </c>
      <c r="U82" s="19">
        <v>0.0</v>
      </c>
      <c r="V82" s="19">
        <v>12.0</v>
      </c>
      <c r="W82" s="19">
        <v>21.0</v>
      </c>
      <c r="X82" s="19">
        <v>21.0</v>
      </c>
      <c r="Y82" s="19">
        <v>21.0</v>
      </c>
      <c r="Z82" s="19">
        <v>8.0</v>
      </c>
      <c r="AA82" s="19">
        <v>5.0</v>
      </c>
      <c r="AB82" s="19">
        <v>1.0</v>
      </c>
      <c r="AC82" s="19">
        <v>20.0</v>
      </c>
      <c r="AD82" s="13">
        <f t="shared" si="23"/>
        <v>270</v>
      </c>
    </row>
    <row r="83" ht="12.75" customHeight="1">
      <c r="A83" s="18"/>
      <c r="B83" s="55">
        <v>2.0</v>
      </c>
      <c r="C83" s="50" t="s">
        <v>66</v>
      </c>
      <c r="D83" s="57"/>
      <c r="E83" s="19">
        <v>1.0</v>
      </c>
      <c r="F83" s="19">
        <v>0.0</v>
      </c>
      <c r="G83" s="19">
        <v>0.0</v>
      </c>
      <c r="H83" s="19">
        <v>1.0</v>
      </c>
      <c r="I83" s="19">
        <v>2.0</v>
      </c>
      <c r="J83" s="19">
        <v>2.0</v>
      </c>
      <c r="K83" s="19">
        <v>2.0</v>
      </c>
      <c r="L83" s="19">
        <v>0.0</v>
      </c>
      <c r="M83" s="19">
        <v>2.0</v>
      </c>
      <c r="N83" s="19">
        <v>2.0</v>
      </c>
      <c r="O83" s="19">
        <v>2.0</v>
      </c>
      <c r="P83" s="19">
        <v>2.0</v>
      </c>
      <c r="Q83" s="19">
        <v>0.0</v>
      </c>
      <c r="R83" s="19">
        <v>3.0</v>
      </c>
      <c r="S83" s="19">
        <v>3.0</v>
      </c>
      <c r="T83" s="19">
        <v>3.0</v>
      </c>
      <c r="U83" s="19">
        <v>1.0</v>
      </c>
      <c r="V83" s="19">
        <v>0.0</v>
      </c>
      <c r="W83" s="19">
        <v>0.0</v>
      </c>
      <c r="X83" s="19">
        <v>3.0</v>
      </c>
      <c r="Y83" s="19">
        <v>1.0</v>
      </c>
      <c r="Z83" s="19">
        <v>1.0</v>
      </c>
      <c r="AA83" s="19">
        <v>4.0</v>
      </c>
      <c r="AB83" s="19">
        <v>0.0</v>
      </c>
      <c r="AC83" s="19">
        <v>1.0</v>
      </c>
      <c r="AD83" s="13">
        <f t="shared" si="23"/>
        <v>36</v>
      </c>
    </row>
    <row r="84" ht="12.75" customHeight="1">
      <c r="A84" s="18"/>
      <c r="B84" s="55">
        <v>3.0</v>
      </c>
      <c r="C84" s="50" t="s">
        <v>67</v>
      </c>
      <c r="D84" s="57"/>
      <c r="E84" s="19">
        <v>0.0</v>
      </c>
      <c r="F84" s="19">
        <v>2.0</v>
      </c>
      <c r="G84" s="19">
        <v>2.0</v>
      </c>
      <c r="H84" s="19">
        <v>1.0</v>
      </c>
      <c r="I84" s="19">
        <v>0.0</v>
      </c>
      <c r="J84" s="19">
        <v>0.0</v>
      </c>
      <c r="K84" s="19">
        <v>0.0</v>
      </c>
      <c r="L84" s="19">
        <v>1.0</v>
      </c>
      <c r="M84" s="19">
        <v>0.0</v>
      </c>
      <c r="N84" s="19">
        <v>0.0</v>
      </c>
      <c r="O84" s="19">
        <v>0.0</v>
      </c>
      <c r="P84" s="19">
        <v>0.0</v>
      </c>
      <c r="Q84" s="19">
        <v>0.0</v>
      </c>
      <c r="R84" s="19">
        <v>0.0</v>
      </c>
      <c r="S84" s="19">
        <v>1.0</v>
      </c>
      <c r="T84" s="19">
        <v>0.0</v>
      </c>
      <c r="U84" s="19">
        <v>1.0</v>
      </c>
      <c r="V84" s="19">
        <v>0.0</v>
      </c>
      <c r="W84" s="19">
        <v>0.0</v>
      </c>
      <c r="X84" s="19">
        <v>1.0</v>
      </c>
      <c r="Y84" s="19">
        <v>0.0</v>
      </c>
      <c r="Z84" s="19">
        <v>1.0</v>
      </c>
      <c r="AA84" s="19">
        <v>1.0</v>
      </c>
      <c r="AB84" s="19">
        <v>0.0</v>
      </c>
      <c r="AC84" s="19">
        <v>0.0</v>
      </c>
      <c r="AD84" s="13">
        <f t="shared" si="23"/>
        <v>11</v>
      </c>
    </row>
    <row r="85" ht="12.75" customHeight="1">
      <c r="A85" s="18"/>
      <c r="B85" s="55">
        <v>4.0</v>
      </c>
      <c r="C85" s="50" t="s">
        <v>68</v>
      </c>
      <c r="D85" s="57"/>
      <c r="E85" s="19">
        <v>0.0</v>
      </c>
      <c r="F85" s="19">
        <v>0.0</v>
      </c>
      <c r="G85" s="19">
        <v>0.0</v>
      </c>
      <c r="H85" s="19">
        <v>0.0</v>
      </c>
      <c r="I85" s="19">
        <v>3.0</v>
      </c>
      <c r="J85" s="19">
        <v>1.0</v>
      </c>
      <c r="K85" s="19">
        <v>0.0</v>
      </c>
      <c r="L85" s="19">
        <v>0.0</v>
      </c>
      <c r="M85" s="19">
        <v>0.0</v>
      </c>
      <c r="N85" s="19">
        <v>1.0</v>
      </c>
      <c r="O85" s="19">
        <v>0.0</v>
      </c>
      <c r="P85" s="19">
        <v>1.0</v>
      </c>
      <c r="Q85" s="19">
        <v>0.0</v>
      </c>
      <c r="R85" s="19">
        <v>0.0</v>
      </c>
      <c r="S85" s="19">
        <v>0.0</v>
      </c>
      <c r="T85" s="19">
        <v>1.0</v>
      </c>
      <c r="U85" s="19">
        <v>1.0</v>
      </c>
      <c r="V85" s="19">
        <v>1.0</v>
      </c>
      <c r="W85" s="19">
        <v>0.0</v>
      </c>
      <c r="X85" s="19">
        <v>0.0</v>
      </c>
      <c r="Y85" s="19">
        <v>1.0</v>
      </c>
      <c r="Z85" s="19">
        <v>1.0</v>
      </c>
      <c r="AA85" s="19">
        <v>0.0</v>
      </c>
      <c r="AB85" s="19">
        <v>1.0</v>
      </c>
      <c r="AC85" s="19">
        <v>0.0</v>
      </c>
      <c r="AD85" s="13">
        <f t="shared" si="23"/>
        <v>12</v>
      </c>
    </row>
    <row r="86" ht="12.75" customHeight="1">
      <c r="A86" s="18"/>
      <c r="B86" s="55">
        <v>5.0</v>
      </c>
      <c r="C86" s="50" t="s">
        <v>69</v>
      </c>
      <c r="D86" s="57"/>
      <c r="E86" s="19">
        <v>0.0</v>
      </c>
      <c r="F86" s="19">
        <v>1.0</v>
      </c>
      <c r="G86" s="19">
        <v>3.0</v>
      </c>
      <c r="H86" s="19">
        <v>4.0</v>
      </c>
      <c r="I86" s="19">
        <v>1.0</v>
      </c>
      <c r="J86" s="19">
        <v>1.0</v>
      </c>
      <c r="K86" s="19">
        <v>0.0</v>
      </c>
      <c r="L86" s="19">
        <v>1.0</v>
      </c>
      <c r="M86" s="19">
        <v>0.0</v>
      </c>
      <c r="N86" s="19">
        <v>1.0</v>
      </c>
      <c r="O86" s="19">
        <v>1.0</v>
      </c>
      <c r="P86" s="19">
        <v>0.0</v>
      </c>
      <c r="Q86" s="19">
        <v>0.0</v>
      </c>
      <c r="R86" s="19">
        <v>0.0</v>
      </c>
      <c r="S86" s="19">
        <v>0.0</v>
      </c>
      <c r="T86" s="19">
        <v>0.0</v>
      </c>
      <c r="U86" s="19">
        <v>0.0</v>
      </c>
      <c r="V86" s="19">
        <v>2.0</v>
      </c>
      <c r="W86" s="19">
        <v>0.0</v>
      </c>
      <c r="X86" s="19">
        <v>4.0</v>
      </c>
      <c r="Y86" s="19">
        <v>3.0</v>
      </c>
      <c r="Z86" s="19">
        <v>0.0</v>
      </c>
      <c r="AA86" s="19">
        <v>0.0</v>
      </c>
      <c r="AB86" s="19">
        <v>0.0</v>
      </c>
      <c r="AC86" s="19">
        <v>0.0</v>
      </c>
      <c r="AD86" s="13">
        <f t="shared" si="23"/>
        <v>22</v>
      </c>
    </row>
    <row r="87" ht="12.75" customHeight="1">
      <c r="A87" s="18"/>
      <c r="B87" s="55">
        <v>6.0</v>
      </c>
      <c r="C87" s="50" t="s">
        <v>70</v>
      </c>
      <c r="D87" s="57"/>
      <c r="E87" s="19">
        <v>0.0</v>
      </c>
      <c r="F87" s="19">
        <v>0.0</v>
      </c>
      <c r="G87" s="19">
        <v>0.0</v>
      </c>
      <c r="H87" s="19">
        <v>0.0</v>
      </c>
      <c r="I87" s="19">
        <v>0.0</v>
      </c>
      <c r="J87" s="19">
        <v>0.0</v>
      </c>
      <c r="K87" s="19">
        <v>0.0</v>
      </c>
      <c r="L87" s="19">
        <v>0.0</v>
      </c>
      <c r="M87" s="19">
        <v>0.0</v>
      </c>
      <c r="N87" s="19">
        <v>1.0</v>
      </c>
      <c r="O87" s="19">
        <v>0.0</v>
      </c>
      <c r="P87" s="19">
        <v>0.0</v>
      </c>
      <c r="Q87" s="19">
        <v>0.0</v>
      </c>
      <c r="R87" s="19">
        <v>0.0</v>
      </c>
      <c r="S87" s="19">
        <v>0.0</v>
      </c>
      <c r="T87" s="19">
        <v>0.0</v>
      </c>
      <c r="U87" s="19">
        <v>0.0</v>
      </c>
      <c r="V87" s="19">
        <v>0.0</v>
      </c>
      <c r="W87" s="19">
        <v>0.0</v>
      </c>
      <c r="X87" s="19">
        <v>0.0</v>
      </c>
      <c r="Y87" s="19">
        <v>0.0</v>
      </c>
      <c r="Z87" s="19">
        <v>0.0</v>
      </c>
      <c r="AA87" s="19">
        <v>0.0</v>
      </c>
      <c r="AB87" s="19">
        <v>0.0</v>
      </c>
      <c r="AC87" s="19">
        <v>0.0</v>
      </c>
      <c r="AD87" s="13">
        <f t="shared" si="23"/>
        <v>1</v>
      </c>
    </row>
    <row r="88" ht="12.75" customHeight="1">
      <c r="A88" s="18"/>
      <c r="B88" s="55">
        <v>7.0</v>
      </c>
      <c r="C88" s="50" t="s">
        <v>71</v>
      </c>
      <c r="D88" s="57"/>
      <c r="E88" s="19">
        <v>0.0</v>
      </c>
      <c r="F88" s="19">
        <v>0.0</v>
      </c>
      <c r="G88" s="19">
        <v>0.0</v>
      </c>
      <c r="H88" s="19">
        <v>0.0</v>
      </c>
      <c r="I88" s="19">
        <v>0.0</v>
      </c>
      <c r="J88" s="19">
        <v>0.0</v>
      </c>
      <c r="K88" s="19">
        <v>0.0</v>
      </c>
      <c r="L88" s="19">
        <v>0.0</v>
      </c>
      <c r="M88" s="19">
        <v>0.0</v>
      </c>
      <c r="N88" s="19">
        <v>0.0</v>
      </c>
      <c r="O88" s="19">
        <v>1.0</v>
      </c>
      <c r="P88" s="19">
        <v>0.0</v>
      </c>
      <c r="Q88" s="19">
        <v>0.0</v>
      </c>
      <c r="R88" s="19">
        <v>0.0</v>
      </c>
      <c r="S88" s="19">
        <v>0.0</v>
      </c>
      <c r="T88" s="19">
        <v>0.0</v>
      </c>
      <c r="U88" s="19">
        <v>0.0</v>
      </c>
      <c r="V88" s="19">
        <v>0.0</v>
      </c>
      <c r="W88" s="19">
        <v>0.0</v>
      </c>
      <c r="X88" s="19">
        <v>0.0</v>
      </c>
      <c r="Y88" s="19">
        <v>0.0</v>
      </c>
      <c r="Z88" s="19">
        <v>0.0</v>
      </c>
      <c r="AA88" s="19">
        <v>0.0</v>
      </c>
      <c r="AB88" s="19">
        <v>1.0</v>
      </c>
      <c r="AC88" s="19">
        <v>0.0</v>
      </c>
      <c r="AD88" s="13">
        <f t="shared" si="23"/>
        <v>2</v>
      </c>
    </row>
    <row r="89" ht="12.75" customHeight="1">
      <c r="A89" s="18"/>
      <c r="B89" s="68"/>
      <c r="C89" s="69"/>
      <c r="D89" s="71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3">
        <f t="shared" si="23"/>
        <v>0</v>
      </c>
    </row>
    <row r="90" ht="12.75" customHeight="1">
      <c r="A90" s="18"/>
      <c r="B90" s="68"/>
      <c r="C90" s="69"/>
      <c r="D90" s="71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3">
        <f t="shared" si="23"/>
        <v>0</v>
      </c>
    </row>
    <row r="91" ht="15.0" customHeight="1">
      <c r="A91" s="19" t="s">
        <v>15</v>
      </c>
      <c r="B91" s="47" t="s">
        <v>47</v>
      </c>
      <c r="C91" s="15"/>
      <c r="D91" s="16"/>
      <c r="E91" s="13">
        <f t="shared" ref="E91:AC91" si="24">SUM(E81:E88)</f>
        <v>25</v>
      </c>
      <c r="F91" s="13">
        <f t="shared" si="24"/>
        <v>15</v>
      </c>
      <c r="G91" s="13">
        <f t="shared" si="24"/>
        <v>13</v>
      </c>
      <c r="H91" s="13">
        <f t="shared" si="24"/>
        <v>45</v>
      </c>
      <c r="I91" s="13">
        <f t="shared" si="24"/>
        <v>21</v>
      </c>
      <c r="J91" s="13">
        <f t="shared" si="24"/>
        <v>12</v>
      </c>
      <c r="K91" s="13">
        <f t="shared" si="24"/>
        <v>5</v>
      </c>
      <c r="L91" s="13">
        <f t="shared" si="24"/>
        <v>9</v>
      </c>
      <c r="M91" s="13">
        <f t="shared" si="24"/>
        <v>3</v>
      </c>
      <c r="N91" s="13">
        <f t="shared" si="24"/>
        <v>24</v>
      </c>
      <c r="O91" s="13">
        <f t="shared" si="24"/>
        <v>50</v>
      </c>
      <c r="P91" s="13">
        <f t="shared" si="24"/>
        <v>23</v>
      </c>
      <c r="Q91" s="13">
        <f t="shared" si="24"/>
        <v>20</v>
      </c>
      <c r="R91" s="13">
        <f t="shared" si="24"/>
        <v>11</v>
      </c>
      <c r="S91" s="13">
        <f t="shared" si="24"/>
        <v>12</v>
      </c>
      <c r="T91" s="13">
        <f t="shared" si="24"/>
        <v>17</v>
      </c>
      <c r="U91" s="13">
        <f t="shared" si="24"/>
        <v>8</v>
      </c>
      <c r="V91" s="13">
        <f t="shared" si="24"/>
        <v>24</v>
      </c>
      <c r="W91" s="13">
        <f t="shared" si="24"/>
        <v>29</v>
      </c>
      <c r="X91" s="13">
        <f t="shared" si="24"/>
        <v>48</v>
      </c>
      <c r="Y91" s="13">
        <f t="shared" si="24"/>
        <v>36</v>
      </c>
      <c r="Z91" s="13">
        <f t="shared" si="24"/>
        <v>19</v>
      </c>
      <c r="AA91" s="13">
        <f t="shared" si="24"/>
        <v>15</v>
      </c>
      <c r="AB91" s="13">
        <f t="shared" si="24"/>
        <v>3</v>
      </c>
      <c r="AC91" s="13">
        <f t="shared" si="24"/>
        <v>28</v>
      </c>
      <c r="AD91" s="13">
        <f t="shared" si="23"/>
        <v>515</v>
      </c>
    </row>
    <row r="92" ht="12.75" customHeight="1">
      <c r="A92" s="45"/>
      <c r="B92" s="44"/>
      <c r="C92" s="44"/>
      <c r="D92" s="44"/>
      <c r="E92" s="44"/>
    </row>
    <row r="93" ht="12.75" customHeight="1">
      <c r="A93" s="30" t="s">
        <v>37</v>
      </c>
      <c r="B93" s="47" t="s">
        <v>72</v>
      </c>
      <c r="C93" s="48" t="s">
        <v>73</v>
      </c>
      <c r="D93" s="16"/>
      <c r="E93" s="19">
        <v>0.0</v>
      </c>
      <c r="F93" s="19">
        <v>0.0</v>
      </c>
      <c r="G93" s="19">
        <v>1.0</v>
      </c>
      <c r="H93" s="19">
        <v>0.0</v>
      </c>
      <c r="I93" s="19">
        <v>2.0</v>
      </c>
      <c r="J93" s="19">
        <v>1.0</v>
      </c>
      <c r="K93" s="19">
        <v>0.0</v>
      </c>
      <c r="L93" s="19">
        <v>0.0</v>
      </c>
      <c r="M93" s="19">
        <v>6.0</v>
      </c>
      <c r="N93" s="19">
        <v>2.0</v>
      </c>
      <c r="O93" s="19">
        <v>1.0</v>
      </c>
      <c r="P93" s="19">
        <v>2.0</v>
      </c>
      <c r="Q93" s="19">
        <v>3.0</v>
      </c>
      <c r="R93" s="19">
        <v>0.0</v>
      </c>
      <c r="S93" s="19">
        <v>4.0</v>
      </c>
      <c r="T93" s="19">
        <v>1.0</v>
      </c>
      <c r="U93" s="19">
        <v>9.0</v>
      </c>
      <c r="V93" s="19">
        <v>7.0</v>
      </c>
      <c r="W93" s="19">
        <v>0.0</v>
      </c>
      <c r="X93" s="19">
        <v>9.0</v>
      </c>
      <c r="Y93" s="19">
        <v>1.0</v>
      </c>
      <c r="Z93" s="19">
        <v>1.0</v>
      </c>
      <c r="AA93" s="19">
        <v>0.0</v>
      </c>
      <c r="AB93" s="19">
        <v>0.0</v>
      </c>
      <c r="AC93" s="19">
        <v>0.0</v>
      </c>
      <c r="AD93" s="13">
        <f t="shared" ref="AD93:AD103" si="25">SUM(E93:AC93)</f>
        <v>50</v>
      </c>
    </row>
    <row r="94" ht="12.75" customHeight="1">
      <c r="A94" s="30" t="s">
        <v>39</v>
      </c>
      <c r="B94" s="55">
        <v>1.0</v>
      </c>
      <c r="C94" s="50" t="s">
        <v>74</v>
      </c>
      <c r="D94" s="57"/>
      <c r="E94" s="19">
        <v>0.0</v>
      </c>
      <c r="F94" s="19">
        <v>0.0</v>
      </c>
      <c r="G94" s="19">
        <v>0.0</v>
      </c>
      <c r="H94" s="19">
        <v>1.0</v>
      </c>
      <c r="I94" s="19">
        <v>0.0</v>
      </c>
      <c r="J94" s="19">
        <v>4.0</v>
      </c>
      <c r="K94" s="19">
        <v>6.0</v>
      </c>
      <c r="L94" s="19">
        <v>3.0</v>
      </c>
      <c r="M94" s="19">
        <v>9.0</v>
      </c>
      <c r="N94" s="19">
        <v>0.0</v>
      </c>
      <c r="O94" s="19">
        <v>0.0</v>
      </c>
      <c r="P94" s="19">
        <v>2.0</v>
      </c>
      <c r="Q94" s="19">
        <v>0.0</v>
      </c>
      <c r="R94" s="19">
        <v>2.0</v>
      </c>
      <c r="S94" s="19">
        <v>16.0</v>
      </c>
      <c r="T94" s="19">
        <v>8.0</v>
      </c>
      <c r="U94" s="19">
        <v>32.0</v>
      </c>
      <c r="V94" s="19">
        <v>22.0</v>
      </c>
      <c r="W94" s="19">
        <v>3.0</v>
      </c>
      <c r="X94" s="19">
        <v>0.0</v>
      </c>
      <c r="Y94" s="19">
        <v>1.0</v>
      </c>
      <c r="Z94" s="19">
        <v>5.0</v>
      </c>
      <c r="AA94" s="19">
        <v>0.0</v>
      </c>
      <c r="AB94" s="19">
        <v>0.0</v>
      </c>
      <c r="AC94" s="19">
        <v>1.0</v>
      </c>
      <c r="AD94" s="13">
        <f t="shared" si="25"/>
        <v>115</v>
      </c>
    </row>
    <row r="95" ht="12.75" customHeight="1">
      <c r="A95" s="18"/>
      <c r="B95" s="55">
        <v>2.0</v>
      </c>
      <c r="C95" s="50" t="s">
        <v>75</v>
      </c>
      <c r="D95" s="57"/>
      <c r="E95" s="19">
        <v>0.0</v>
      </c>
      <c r="F95" s="19">
        <v>0.0</v>
      </c>
      <c r="G95" s="19">
        <v>0.0</v>
      </c>
      <c r="H95" s="19">
        <v>1.0</v>
      </c>
      <c r="I95" s="19">
        <v>0.0</v>
      </c>
      <c r="J95" s="19">
        <v>0.0</v>
      </c>
      <c r="K95" s="19">
        <v>0.0</v>
      </c>
      <c r="L95" s="19">
        <v>0.0</v>
      </c>
      <c r="M95" s="19">
        <v>0.0</v>
      </c>
      <c r="N95" s="19">
        <v>0.0</v>
      </c>
      <c r="O95" s="19">
        <v>0.0</v>
      </c>
      <c r="P95" s="19">
        <v>1.0</v>
      </c>
      <c r="Q95" s="19">
        <v>0.0</v>
      </c>
      <c r="R95" s="19">
        <v>0.0</v>
      </c>
      <c r="S95" s="19">
        <v>0.0</v>
      </c>
      <c r="T95" s="19">
        <v>0.0</v>
      </c>
      <c r="U95" s="19">
        <v>0.0</v>
      </c>
      <c r="V95" s="19">
        <v>0.0</v>
      </c>
      <c r="W95" s="19">
        <v>0.0</v>
      </c>
      <c r="X95" s="19">
        <v>0.0</v>
      </c>
      <c r="Y95" s="19">
        <v>0.0</v>
      </c>
      <c r="Z95" s="19">
        <v>0.0</v>
      </c>
      <c r="AA95" s="19">
        <v>0.0</v>
      </c>
      <c r="AB95" s="19">
        <v>0.0</v>
      </c>
      <c r="AC95" s="19">
        <v>0.0</v>
      </c>
      <c r="AD95" s="13">
        <f t="shared" si="25"/>
        <v>2</v>
      </c>
    </row>
    <row r="96" ht="12.75" customHeight="1">
      <c r="A96" s="18"/>
      <c r="B96" s="55">
        <v>3.0</v>
      </c>
      <c r="C96" s="50" t="s">
        <v>76</v>
      </c>
      <c r="D96" s="57"/>
      <c r="E96" s="19">
        <v>0.0</v>
      </c>
      <c r="F96" s="19">
        <v>0.0</v>
      </c>
      <c r="G96" s="19">
        <v>0.0</v>
      </c>
      <c r="H96" s="19">
        <v>1.0</v>
      </c>
      <c r="I96" s="19">
        <v>0.0</v>
      </c>
      <c r="J96" s="19">
        <v>0.0</v>
      </c>
      <c r="K96" s="19">
        <v>0.0</v>
      </c>
      <c r="L96" s="19">
        <v>0.0</v>
      </c>
      <c r="M96" s="19">
        <v>1.0</v>
      </c>
      <c r="N96" s="19">
        <v>0.0</v>
      </c>
      <c r="O96" s="19">
        <v>0.0</v>
      </c>
      <c r="P96" s="19">
        <v>0.0</v>
      </c>
      <c r="Q96" s="19">
        <v>0.0</v>
      </c>
      <c r="R96" s="19">
        <v>0.0</v>
      </c>
      <c r="S96" s="19">
        <v>0.0</v>
      </c>
      <c r="T96" s="19">
        <v>0.0</v>
      </c>
      <c r="U96" s="19">
        <v>0.0</v>
      </c>
      <c r="V96" s="19">
        <v>0.0</v>
      </c>
      <c r="W96" s="19">
        <v>0.0</v>
      </c>
      <c r="X96" s="19">
        <v>0.0</v>
      </c>
      <c r="Y96" s="19">
        <v>0.0</v>
      </c>
      <c r="Z96" s="19">
        <v>0.0</v>
      </c>
      <c r="AA96" s="19">
        <v>0.0</v>
      </c>
      <c r="AB96" s="19">
        <v>0.0</v>
      </c>
      <c r="AC96" s="19">
        <v>0.0</v>
      </c>
      <c r="AD96" s="13">
        <f t="shared" si="25"/>
        <v>2</v>
      </c>
    </row>
    <row r="97" ht="12.75" customHeight="1">
      <c r="A97" s="18"/>
      <c r="B97" s="55">
        <v>4.0</v>
      </c>
      <c r="C97" s="50" t="s">
        <v>77</v>
      </c>
      <c r="D97" s="57"/>
      <c r="E97" s="19">
        <v>2.0</v>
      </c>
      <c r="F97" s="19">
        <v>0.0</v>
      </c>
      <c r="G97" s="19">
        <v>0.0</v>
      </c>
      <c r="H97" s="19">
        <v>0.0</v>
      </c>
      <c r="I97" s="19">
        <v>0.0</v>
      </c>
      <c r="J97" s="19">
        <v>0.0</v>
      </c>
      <c r="K97" s="19">
        <v>0.0</v>
      </c>
      <c r="L97" s="19">
        <v>0.0</v>
      </c>
      <c r="M97" s="19">
        <v>0.0</v>
      </c>
      <c r="N97" s="19">
        <v>0.0</v>
      </c>
      <c r="O97" s="19">
        <v>0.0</v>
      </c>
      <c r="P97" s="19">
        <v>0.0</v>
      </c>
      <c r="Q97" s="19">
        <v>0.0</v>
      </c>
      <c r="R97" s="19">
        <v>0.0</v>
      </c>
      <c r="S97" s="19">
        <v>1.0</v>
      </c>
      <c r="T97" s="19">
        <v>1.0</v>
      </c>
      <c r="U97" s="19">
        <v>0.0</v>
      </c>
      <c r="V97" s="19">
        <v>0.0</v>
      </c>
      <c r="W97" s="19">
        <v>0.0</v>
      </c>
      <c r="X97" s="19">
        <v>0.0</v>
      </c>
      <c r="Y97" s="19">
        <v>0.0</v>
      </c>
      <c r="Z97" s="19">
        <v>1.0</v>
      </c>
      <c r="AA97" s="19">
        <v>0.0</v>
      </c>
      <c r="AB97" s="19">
        <v>0.0</v>
      </c>
      <c r="AC97" s="19">
        <v>0.0</v>
      </c>
      <c r="AD97" s="13">
        <f t="shared" si="25"/>
        <v>5</v>
      </c>
    </row>
    <row r="98" ht="12.75" customHeight="1">
      <c r="A98" s="18"/>
      <c r="B98" s="55">
        <v>5.0</v>
      </c>
      <c r="C98" s="50" t="s">
        <v>78</v>
      </c>
      <c r="D98" s="57"/>
      <c r="E98" s="19">
        <v>1.0</v>
      </c>
      <c r="F98" s="19">
        <v>1.0</v>
      </c>
      <c r="G98" s="19">
        <v>5.0</v>
      </c>
      <c r="H98" s="19">
        <v>2.0</v>
      </c>
      <c r="I98" s="19">
        <v>1.0</v>
      </c>
      <c r="J98" s="19">
        <v>2.0</v>
      </c>
      <c r="K98" s="19">
        <v>1.0</v>
      </c>
      <c r="L98" s="19">
        <v>0.0</v>
      </c>
      <c r="M98" s="19">
        <v>1.0</v>
      </c>
      <c r="N98" s="19">
        <v>0.0</v>
      </c>
      <c r="O98" s="19">
        <v>0.0</v>
      </c>
      <c r="P98" s="19">
        <v>2.0</v>
      </c>
      <c r="Q98" s="19">
        <v>0.0</v>
      </c>
      <c r="R98" s="19">
        <v>0.0</v>
      </c>
      <c r="S98" s="19">
        <v>0.0</v>
      </c>
      <c r="T98" s="19">
        <v>0.0</v>
      </c>
      <c r="U98" s="19">
        <v>0.0</v>
      </c>
      <c r="V98" s="19">
        <v>0.0</v>
      </c>
      <c r="W98" s="19">
        <v>0.0</v>
      </c>
      <c r="X98" s="19">
        <v>24.0</v>
      </c>
      <c r="Y98" s="19">
        <v>11.0</v>
      </c>
      <c r="Z98" s="19">
        <v>1.0</v>
      </c>
      <c r="AA98" s="19">
        <v>1.0</v>
      </c>
      <c r="AB98" s="19">
        <v>0.0</v>
      </c>
      <c r="AC98" s="19">
        <v>0.0</v>
      </c>
      <c r="AD98" s="13">
        <f t="shared" si="25"/>
        <v>53</v>
      </c>
    </row>
    <row r="99" ht="12.75" customHeight="1">
      <c r="A99" s="18"/>
      <c r="B99" s="55">
        <v>6.0</v>
      </c>
      <c r="C99" s="50" t="s">
        <v>79</v>
      </c>
      <c r="D99" s="57"/>
      <c r="E99" s="19">
        <v>0.0</v>
      </c>
      <c r="F99" s="19">
        <v>0.0</v>
      </c>
      <c r="G99" s="19">
        <v>0.0</v>
      </c>
      <c r="H99" s="19">
        <v>0.0</v>
      </c>
      <c r="I99" s="19">
        <v>0.0</v>
      </c>
      <c r="J99" s="19">
        <v>0.0</v>
      </c>
      <c r="K99" s="19">
        <v>0.0</v>
      </c>
      <c r="L99" s="19">
        <v>0.0</v>
      </c>
      <c r="M99" s="19">
        <v>2.0</v>
      </c>
      <c r="N99" s="19">
        <v>0.0</v>
      </c>
      <c r="O99" s="19">
        <v>0.0</v>
      </c>
      <c r="P99" s="19">
        <v>0.0</v>
      </c>
      <c r="Q99" s="19">
        <v>0.0</v>
      </c>
      <c r="R99" s="19">
        <v>0.0</v>
      </c>
      <c r="S99" s="19">
        <v>0.0</v>
      </c>
      <c r="T99" s="19">
        <v>0.0</v>
      </c>
      <c r="U99" s="19">
        <v>1.0</v>
      </c>
      <c r="V99" s="19">
        <v>1.0</v>
      </c>
      <c r="W99" s="19">
        <v>0.0</v>
      </c>
      <c r="X99" s="19">
        <v>0.0</v>
      </c>
      <c r="Y99" s="19">
        <v>0.0</v>
      </c>
      <c r="Z99" s="19">
        <v>0.0</v>
      </c>
      <c r="AA99" s="19">
        <v>0.0</v>
      </c>
      <c r="AB99" s="19">
        <v>0.0</v>
      </c>
      <c r="AC99" s="19">
        <v>0.0</v>
      </c>
      <c r="AD99" s="13">
        <f t="shared" si="25"/>
        <v>4</v>
      </c>
    </row>
    <row r="100" ht="12.75" customHeight="1">
      <c r="A100" s="18"/>
      <c r="B100" s="55">
        <v>7.0</v>
      </c>
      <c r="C100" s="50" t="s">
        <v>80</v>
      </c>
      <c r="D100" s="57"/>
      <c r="E100" s="19">
        <v>1.0</v>
      </c>
      <c r="F100" s="19">
        <v>0.0</v>
      </c>
      <c r="G100" s="19">
        <v>0.0</v>
      </c>
      <c r="H100" s="19">
        <v>0.0</v>
      </c>
      <c r="I100" s="19">
        <v>0.0</v>
      </c>
      <c r="J100" s="19">
        <v>0.0</v>
      </c>
      <c r="K100" s="19">
        <v>0.0</v>
      </c>
      <c r="L100" s="19">
        <v>0.0</v>
      </c>
      <c r="M100" s="19">
        <v>0.0</v>
      </c>
      <c r="N100" s="19">
        <v>0.0</v>
      </c>
      <c r="O100" s="19">
        <v>1.0</v>
      </c>
      <c r="P100" s="19">
        <v>0.0</v>
      </c>
      <c r="Q100" s="19">
        <v>0.0</v>
      </c>
      <c r="R100" s="19">
        <v>0.0</v>
      </c>
      <c r="S100" s="19">
        <v>0.0</v>
      </c>
      <c r="T100" s="19">
        <v>0.0</v>
      </c>
      <c r="U100" s="19">
        <v>0.0</v>
      </c>
      <c r="V100" s="19">
        <v>0.0</v>
      </c>
      <c r="W100" s="19">
        <v>0.0</v>
      </c>
      <c r="X100" s="19">
        <v>0.0</v>
      </c>
      <c r="Y100" s="19">
        <v>0.0</v>
      </c>
      <c r="Z100" s="19">
        <v>0.0</v>
      </c>
      <c r="AA100" s="19">
        <v>0.0</v>
      </c>
      <c r="AB100" s="19">
        <v>0.0</v>
      </c>
      <c r="AC100" s="19">
        <v>0.0</v>
      </c>
      <c r="AD100" s="13">
        <f t="shared" si="25"/>
        <v>2</v>
      </c>
    </row>
    <row r="101" ht="12.75" customHeight="1">
      <c r="A101" s="18"/>
      <c r="B101" s="68"/>
      <c r="C101" s="69"/>
      <c r="D101" s="71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3">
        <f t="shared" si="25"/>
        <v>0</v>
      </c>
    </row>
    <row r="102" ht="12.75" customHeight="1">
      <c r="A102" s="18"/>
      <c r="B102" s="68"/>
      <c r="C102" s="69"/>
      <c r="D102" s="71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3">
        <f t="shared" si="25"/>
        <v>0</v>
      </c>
    </row>
    <row r="103" ht="15.0" customHeight="1">
      <c r="A103" s="19" t="s">
        <v>15</v>
      </c>
      <c r="B103" s="47" t="s">
        <v>47</v>
      </c>
      <c r="C103" s="15"/>
      <c r="D103" s="16"/>
      <c r="E103" s="13">
        <f t="shared" ref="E103:AC103" si="26">SUM(E93:E100)</f>
        <v>4</v>
      </c>
      <c r="F103" s="13">
        <f t="shared" si="26"/>
        <v>1</v>
      </c>
      <c r="G103" s="13">
        <f t="shared" si="26"/>
        <v>6</v>
      </c>
      <c r="H103" s="13">
        <f t="shared" si="26"/>
        <v>5</v>
      </c>
      <c r="I103" s="13">
        <f t="shared" si="26"/>
        <v>3</v>
      </c>
      <c r="J103" s="13">
        <f t="shared" si="26"/>
        <v>7</v>
      </c>
      <c r="K103" s="13">
        <f t="shared" si="26"/>
        <v>7</v>
      </c>
      <c r="L103" s="13">
        <f t="shared" si="26"/>
        <v>3</v>
      </c>
      <c r="M103" s="13">
        <f t="shared" si="26"/>
        <v>19</v>
      </c>
      <c r="N103" s="13">
        <f t="shared" si="26"/>
        <v>2</v>
      </c>
      <c r="O103" s="13">
        <f t="shared" si="26"/>
        <v>2</v>
      </c>
      <c r="P103" s="13">
        <f t="shared" si="26"/>
        <v>7</v>
      </c>
      <c r="Q103" s="13">
        <f t="shared" si="26"/>
        <v>3</v>
      </c>
      <c r="R103" s="13">
        <f t="shared" si="26"/>
        <v>2</v>
      </c>
      <c r="S103" s="13">
        <f t="shared" si="26"/>
        <v>21</v>
      </c>
      <c r="T103" s="13">
        <f t="shared" si="26"/>
        <v>10</v>
      </c>
      <c r="U103" s="13">
        <f t="shared" si="26"/>
        <v>42</v>
      </c>
      <c r="V103" s="13">
        <f t="shared" si="26"/>
        <v>30</v>
      </c>
      <c r="W103" s="13">
        <f t="shared" si="26"/>
        <v>3</v>
      </c>
      <c r="X103" s="13">
        <f t="shared" si="26"/>
        <v>33</v>
      </c>
      <c r="Y103" s="13">
        <f t="shared" si="26"/>
        <v>13</v>
      </c>
      <c r="Z103" s="13">
        <f t="shared" si="26"/>
        <v>8</v>
      </c>
      <c r="AA103" s="13">
        <f t="shared" si="26"/>
        <v>1</v>
      </c>
      <c r="AB103" s="13">
        <f t="shared" si="26"/>
        <v>0</v>
      </c>
      <c r="AC103" s="13">
        <f t="shared" si="26"/>
        <v>1</v>
      </c>
      <c r="AD103" s="13">
        <f t="shared" si="25"/>
        <v>233</v>
      </c>
    </row>
    <row r="104" ht="12.75" customHeight="1">
      <c r="A104" s="45"/>
      <c r="B104" s="44"/>
      <c r="C104" s="44"/>
      <c r="D104" s="44"/>
      <c r="E104" s="44"/>
      <c r="F104" s="72"/>
      <c r="G104" s="72"/>
      <c r="H104" s="72"/>
      <c r="I104" s="72"/>
      <c r="J104" s="72"/>
      <c r="K104" s="72"/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</row>
    <row r="105" ht="12.75" customHeight="1">
      <c r="A105" s="30" t="s">
        <v>37</v>
      </c>
      <c r="B105" s="47" t="s">
        <v>81</v>
      </c>
      <c r="C105" s="48" t="s">
        <v>82</v>
      </c>
      <c r="D105" s="16"/>
      <c r="E105" s="19">
        <v>0.0</v>
      </c>
      <c r="F105" s="19">
        <v>0.0</v>
      </c>
      <c r="G105" s="19">
        <v>1.0</v>
      </c>
      <c r="H105" s="19">
        <v>3.0</v>
      </c>
      <c r="I105" s="19">
        <v>0.0</v>
      </c>
      <c r="J105" s="19">
        <v>4.0</v>
      </c>
      <c r="K105" s="19">
        <v>0.0</v>
      </c>
      <c r="L105" s="19">
        <v>0.0</v>
      </c>
      <c r="M105" s="19">
        <v>0.0</v>
      </c>
      <c r="N105" s="19">
        <v>0.0</v>
      </c>
      <c r="O105" s="19">
        <v>2.0</v>
      </c>
      <c r="P105" s="19">
        <v>0.0</v>
      </c>
      <c r="Q105" s="19">
        <v>0.0</v>
      </c>
      <c r="R105" s="19">
        <v>1.0</v>
      </c>
      <c r="S105" s="19">
        <v>0.0</v>
      </c>
      <c r="T105" s="19">
        <v>1.0</v>
      </c>
      <c r="U105" s="19">
        <v>1.0</v>
      </c>
      <c r="V105" s="19">
        <v>0.0</v>
      </c>
      <c r="W105" s="19">
        <v>0.0</v>
      </c>
      <c r="X105" s="19">
        <v>0.0</v>
      </c>
      <c r="Y105" s="19">
        <v>1.0</v>
      </c>
      <c r="Z105" s="19">
        <v>1.0</v>
      </c>
      <c r="AA105" s="19">
        <v>0.0</v>
      </c>
      <c r="AB105" s="19">
        <v>0.0</v>
      </c>
      <c r="AC105" s="19">
        <v>0.0</v>
      </c>
      <c r="AD105" s="13">
        <f t="shared" ref="AD105:AD115" si="27">SUM(E105:AC105)</f>
        <v>15</v>
      </c>
    </row>
    <row r="106" ht="12.75" customHeight="1">
      <c r="A106" s="30" t="s">
        <v>39</v>
      </c>
      <c r="B106" s="55">
        <v>1.0</v>
      </c>
      <c r="C106" s="50" t="s">
        <v>83</v>
      </c>
      <c r="D106" s="57"/>
      <c r="E106" s="19">
        <v>1.0</v>
      </c>
      <c r="F106" s="19">
        <v>1.0</v>
      </c>
      <c r="G106" s="19">
        <v>0.0</v>
      </c>
      <c r="H106" s="19">
        <v>0.0</v>
      </c>
      <c r="I106" s="19">
        <v>1.0</v>
      </c>
      <c r="J106" s="19">
        <v>0.0</v>
      </c>
      <c r="K106" s="19">
        <v>0.0</v>
      </c>
      <c r="L106" s="19">
        <v>0.0</v>
      </c>
      <c r="M106" s="19">
        <v>0.0</v>
      </c>
      <c r="N106" s="19">
        <v>0.0</v>
      </c>
      <c r="O106" s="19">
        <v>0.0</v>
      </c>
      <c r="P106" s="19">
        <v>1.0</v>
      </c>
      <c r="Q106" s="19">
        <v>0.0</v>
      </c>
      <c r="R106" s="19">
        <v>0.0</v>
      </c>
      <c r="S106" s="19">
        <v>0.0</v>
      </c>
      <c r="T106" s="19">
        <v>1.0</v>
      </c>
      <c r="U106" s="19">
        <v>0.0</v>
      </c>
      <c r="V106" s="19">
        <v>1.0</v>
      </c>
      <c r="W106" s="19">
        <v>2.0</v>
      </c>
      <c r="X106" s="19">
        <v>0.0</v>
      </c>
      <c r="Y106" s="19">
        <v>0.0</v>
      </c>
      <c r="Z106" s="19">
        <v>0.0</v>
      </c>
      <c r="AA106" s="19">
        <v>0.0</v>
      </c>
      <c r="AB106" s="19">
        <v>0.0</v>
      </c>
      <c r="AC106" s="19">
        <v>0.0</v>
      </c>
      <c r="AD106" s="13">
        <f t="shared" si="27"/>
        <v>8</v>
      </c>
    </row>
    <row r="107" ht="12.75" customHeight="1">
      <c r="A107" s="18"/>
      <c r="B107" s="55">
        <v>2.0</v>
      </c>
      <c r="C107" s="50" t="s">
        <v>84</v>
      </c>
      <c r="D107" s="57"/>
      <c r="E107" s="19">
        <v>0.0</v>
      </c>
      <c r="F107" s="19">
        <v>0.0</v>
      </c>
      <c r="G107" s="19">
        <v>0.0</v>
      </c>
      <c r="H107" s="19">
        <v>1.0</v>
      </c>
      <c r="I107" s="19">
        <v>0.0</v>
      </c>
      <c r="J107" s="19">
        <v>0.0</v>
      </c>
      <c r="K107" s="19">
        <v>0.0</v>
      </c>
      <c r="L107" s="19">
        <v>0.0</v>
      </c>
      <c r="M107" s="19">
        <v>0.0</v>
      </c>
      <c r="N107" s="19">
        <v>0.0</v>
      </c>
      <c r="O107" s="19">
        <v>0.0</v>
      </c>
      <c r="P107" s="19">
        <v>0.0</v>
      </c>
      <c r="Q107" s="19">
        <v>0.0</v>
      </c>
      <c r="R107" s="19">
        <v>0.0</v>
      </c>
      <c r="S107" s="19">
        <v>0.0</v>
      </c>
      <c r="T107" s="19">
        <v>0.0</v>
      </c>
      <c r="U107" s="19">
        <v>0.0</v>
      </c>
      <c r="V107" s="19">
        <v>0.0</v>
      </c>
      <c r="W107" s="19">
        <v>0.0</v>
      </c>
      <c r="X107" s="19">
        <v>0.0</v>
      </c>
      <c r="Y107" s="19">
        <v>0.0</v>
      </c>
      <c r="Z107" s="19">
        <v>0.0</v>
      </c>
      <c r="AA107" s="19">
        <v>0.0</v>
      </c>
      <c r="AB107" s="19">
        <v>0.0</v>
      </c>
      <c r="AC107" s="19">
        <v>0.0</v>
      </c>
      <c r="AD107" s="13">
        <f t="shared" si="27"/>
        <v>1</v>
      </c>
    </row>
    <row r="108" ht="12.75" customHeight="1">
      <c r="A108" s="18"/>
      <c r="B108" s="55">
        <v>3.0</v>
      </c>
      <c r="C108" s="50" t="s">
        <v>85</v>
      </c>
      <c r="D108" s="57"/>
      <c r="E108" s="19">
        <v>0.0</v>
      </c>
      <c r="F108" s="19">
        <v>0.0</v>
      </c>
      <c r="G108" s="19">
        <v>0.0</v>
      </c>
      <c r="H108" s="19">
        <v>0.0</v>
      </c>
      <c r="I108" s="19">
        <v>0.0</v>
      </c>
      <c r="J108" s="19">
        <v>0.0</v>
      </c>
      <c r="K108" s="19">
        <v>0.0</v>
      </c>
      <c r="L108" s="19">
        <v>0.0</v>
      </c>
      <c r="M108" s="19">
        <v>0.0</v>
      </c>
      <c r="N108" s="19">
        <v>0.0</v>
      </c>
      <c r="O108" s="19">
        <v>0.0</v>
      </c>
      <c r="P108" s="19">
        <v>0.0</v>
      </c>
      <c r="Q108" s="19">
        <v>0.0</v>
      </c>
      <c r="R108" s="19">
        <v>0.0</v>
      </c>
      <c r="S108" s="19">
        <v>0.0</v>
      </c>
      <c r="T108" s="19">
        <v>0.0</v>
      </c>
      <c r="U108" s="19">
        <v>0.0</v>
      </c>
      <c r="V108" s="19">
        <v>0.0</v>
      </c>
      <c r="W108" s="19">
        <v>0.0</v>
      </c>
      <c r="X108" s="19">
        <v>0.0</v>
      </c>
      <c r="Y108" s="19">
        <v>0.0</v>
      </c>
      <c r="Z108" s="19">
        <v>0.0</v>
      </c>
      <c r="AA108" s="19">
        <v>0.0</v>
      </c>
      <c r="AB108" s="19">
        <v>0.0</v>
      </c>
      <c r="AC108" s="19">
        <v>0.0</v>
      </c>
      <c r="AD108" s="13">
        <f t="shared" si="27"/>
        <v>0</v>
      </c>
    </row>
    <row r="109" ht="12.75" customHeight="1">
      <c r="A109" s="18"/>
      <c r="B109" s="55">
        <v>4.0</v>
      </c>
      <c r="C109" s="50" t="s">
        <v>86</v>
      </c>
      <c r="D109" s="57"/>
      <c r="E109" s="19">
        <v>0.0</v>
      </c>
      <c r="F109" s="19">
        <v>0.0</v>
      </c>
      <c r="G109" s="19">
        <v>0.0</v>
      </c>
      <c r="H109" s="19">
        <v>0.0</v>
      </c>
      <c r="I109" s="19">
        <v>0.0</v>
      </c>
      <c r="J109" s="19">
        <v>0.0</v>
      </c>
      <c r="K109" s="19">
        <v>0.0</v>
      </c>
      <c r="L109" s="19">
        <v>0.0</v>
      </c>
      <c r="M109" s="19">
        <v>0.0</v>
      </c>
      <c r="N109" s="19">
        <v>0.0</v>
      </c>
      <c r="O109" s="19">
        <v>0.0</v>
      </c>
      <c r="P109" s="19">
        <v>1.0</v>
      </c>
      <c r="Q109" s="19">
        <v>0.0</v>
      </c>
      <c r="R109" s="19">
        <v>0.0</v>
      </c>
      <c r="S109" s="19">
        <v>0.0</v>
      </c>
      <c r="T109" s="19">
        <v>0.0</v>
      </c>
      <c r="U109" s="19">
        <v>0.0</v>
      </c>
      <c r="V109" s="19">
        <v>0.0</v>
      </c>
      <c r="W109" s="19">
        <v>0.0</v>
      </c>
      <c r="X109" s="19">
        <v>0.0</v>
      </c>
      <c r="Y109" s="19">
        <v>0.0</v>
      </c>
      <c r="Z109" s="19">
        <v>0.0</v>
      </c>
      <c r="AA109" s="19">
        <v>0.0</v>
      </c>
      <c r="AB109" s="19">
        <v>0.0</v>
      </c>
      <c r="AC109" s="19">
        <v>0.0</v>
      </c>
      <c r="AD109" s="13">
        <f t="shared" si="27"/>
        <v>1</v>
      </c>
    </row>
    <row r="110" ht="12.75" customHeight="1">
      <c r="A110" s="18"/>
      <c r="B110" s="55">
        <v>5.0</v>
      </c>
      <c r="C110" s="50" t="s">
        <v>87</v>
      </c>
      <c r="D110" s="57"/>
      <c r="E110" s="19">
        <v>0.0</v>
      </c>
      <c r="F110" s="19">
        <v>0.0</v>
      </c>
      <c r="G110" s="19">
        <v>0.0</v>
      </c>
      <c r="H110" s="19">
        <v>0.0</v>
      </c>
      <c r="I110" s="19">
        <v>0.0</v>
      </c>
      <c r="J110" s="19">
        <v>0.0</v>
      </c>
      <c r="K110" s="19">
        <v>0.0</v>
      </c>
      <c r="L110" s="19">
        <v>0.0</v>
      </c>
      <c r="M110" s="19">
        <v>0.0</v>
      </c>
      <c r="N110" s="19">
        <v>0.0</v>
      </c>
      <c r="O110" s="19">
        <v>0.0</v>
      </c>
      <c r="P110" s="19">
        <v>0.0</v>
      </c>
      <c r="Q110" s="19">
        <v>0.0</v>
      </c>
      <c r="R110" s="19">
        <v>0.0</v>
      </c>
      <c r="S110" s="19">
        <v>0.0</v>
      </c>
      <c r="T110" s="19">
        <v>0.0</v>
      </c>
      <c r="U110" s="19">
        <v>0.0</v>
      </c>
      <c r="V110" s="19">
        <v>0.0</v>
      </c>
      <c r="W110" s="19">
        <v>0.0</v>
      </c>
      <c r="X110" s="19">
        <v>0.0</v>
      </c>
      <c r="Y110" s="19">
        <v>0.0</v>
      </c>
      <c r="Z110" s="19">
        <v>0.0</v>
      </c>
      <c r="AA110" s="19">
        <v>0.0</v>
      </c>
      <c r="AB110" s="19">
        <v>0.0</v>
      </c>
      <c r="AC110" s="19">
        <v>0.0</v>
      </c>
      <c r="AD110" s="13">
        <f t="shared" si="27"/>
        <v>0</v>
      </c>
    </row>
    <row r="111" ht="12.75" customHeight="1">
      <c r="A111" s="18"/>
      <c r="B111" s="55">
        <v>6.0</v>
      </c>
      <c r="C111" s="50" t="s">
        <v>88</v>
      </c>
      <c r="D111" s="57"/>
      <c r="E111" s="19">
        <v>0.0</v>
      </c>
      <c r="F111" s="19">
        <v>0.0</v>
      </c>
      <c r="G111" s="19">
        <v>0.0</v>
      </c>
      <c r="H111" s="19">
        <v>0.0</v>
      </c>
      <c r="I111" s="19">
        <v>0.0</v>
      </c>
      <c r="J111" s="19">
        <v>0.0</v>
      </c>
      <c r="K111" s="19">
        <v>0.0</v>
      </c>
      <c r="L111" s="19">
        <v>0.0</v>
      </c>
      <c r="M111" s="19">
        <v>0.0</v>
      </c>
      <c r="N111" s="19">
        <v>0.0</v>
      </c>
      <c r="O111" s="19">
        <v>0.0</v>
      </c>
      <c r="P111" s="19">
        <v>0.0</v>
      </c>
      <c r="Q111" s="19">
        <v>0.0</v>
      </c>
      <c r="R111" s="19">
        <v>0.0</v>
      </c>
      <c r="S111" s="19">
        <v>0.0</v>
      </c>
      <c r="T111" s="19">
        <v>0.0</v>
      </c>
      <c r="U111" s="19">
        <v>0.0</v>
      </c>
      <c r="V111" s="19">
        <v>0.0</v>
      </c>
      <c r="W111" s="19">
        <v>0.0</v>
      </c>
      <c r="X111" s="19">
        <v>0.0</v>
      </c>
      <c r="Y111" s="19">
        <v>0.0</v>
      </c>
      <c r="Z111" s="19">
        <v>0.0</v>
      </c>
      <c r="AA111" s="19">
        <v>1.0</v>
      </c>
      <c r="AB111" s="19">
        <v>0.0</v>
      </c>
      <c r="AC111" s="19">
        <v>0.0</v>
      </c>
      <c r="AD111" s="13">
        <f t="shared" si="27"/>
        <v>1</v>
      </c>
    </row>
    <row r="112" ht="12.75" customHeight="1">
      <c r="A112" s="18"/>
      <c r="B112" s="55">
        <v>7.0</v>
      </c>
      <c r="C112" s="50" t="s">
        <v>89</v>
      </c>
      <c r="D112" s="57"/>
      <c r="E112" s="19">
        <v>0.0</v>
      </c>
      <c r="F112" s="19">
        <v>0.0</v>
      </c>
      <c r="G112" s="19">
        <v>0.0</v>
      </c>
      <c r="H112" s="19">
        <v>0.0</v>
      </c>
      <c r="I112" s="19">
        <v>0.0</v>
      </c>
      <c r="J112" s="19">
        <v>0.0</v>
      </c>
      <c r="K112" s="19">
        <v>0.0</v>
      </c>
      <c r="L112" s="19">
        <v>0.0</v>
      </c>
      <c r="M112" s="19">
        <v>0.0</v>
      </c>
      <c r="N112" s="19">
        <v>0.0</v>
      </c>
      <c r="O112" s="19">
        <v>0.0</v>
      </c>
      <c r="P112" s="19">
        <v>0.0</v>
      </c>
      <c r="Q112" s="19">
        <v>0.0</v>
      </c>
      <c r="R112" s="19">
        <v>0.0</v>
      </c>
      <c r="S112" s="19">
        <v>0.0</v>
      </c>
      <c r="T112" s="19">
        <v>0.0</v>
      </c>
      <c r="U112" s="19">
        <v>0.0</v>
      </c>
      <c r="V112" s="19">
        <v>0.0</v>
      </c>
      <c r="W112" s="19">
        <v>0.0</v>
      </c>
      <c r="X112" s="19">
        <v>0.0</v>
      </c>
      <c r="Y112" s="19">
        <v>0.0</v>
      </c>
      <c r="Z112" s="19">
        <v>0.0</v>
      </c>
      <c r="AA112" s="19">
        <v>0.0</v>
      </c>
      <c r="AB112" s="19">
        <v>0.0</v>
      </c>
      <c r="AC112" s="19">
        <v>0.0</v>
      </c>
      <c r="AD112" s="13">
        <f t="shared" si="27"/>
        <v>0</v>
      </c>
    </row>
    <row r="113" ht="12.75" customHeight="1">
      <c r="A113" s="18"/>
      <c r="B113" s="68"/>
      <c r="C113" s="69"/>
      <c r="D113" s="71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3">
        <f t="shared" si="27"/>
        <v>0</v>
      </c>
    </row>
    <row r="114" ht="12.75" customHeight="1">
      <c r="A114" s="18"/>
      <c r="B114" s="68"/>
      <c r="C114" s="69"/>
      <c r="D114" s="71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3">
        <f t="shared" si="27"/>
        <v>0</v>
      </c>
    </row>
    <row r="115" ht="12.75" customHeight="1">
      <c r="A115" s="19" t="s">
        <v>15</v>
      </c>
      <c r="B115" s="47" t="s">
        <v>47</v>
      </c>
      <c r="C115" s="15"/>
      <c r="D115" s="16"/>
      <c r="E115" s="13">
        <f t="shared" ref="E115:AC115" si="28">SUM(E105:E112)</f>
        <v>1</v>
      </c>
      <c r="F115" s="13">
        <f t="shared" si="28"/>
        <v>1</v>
      </c>
      <c r="G115" s="13">
        <f t="shared" si="28"/>
        <v>1</v>
      </c>
      <c r="H115" s="13">
        <f t="shared" si="28"/>
        <v>4</v>
      </c>
      <c r="I115" s="13">
        <f t="shared" si="28"/>
        <v>1</v>
      </c>
      <c r="J115" s="13">
        <f t="shared" si="28"/>
        <v>4</v>
      </c>
      <c r="K115" s="13">
        <f t="shared" si="28"/>
        <v>0</v>
      </c>
      <c r="L115" s="13">
        <f t="shared" si="28"/>
        <v>0</v>
      </c>
      <c r="M115" s="13">
        <f t="shared" si="28"/>
        <v>0</v>
      </c>
      <c r="N115" s="13">
        <f t="shared" si="28"/>
        <v>0</v>
      </c>
      <c r="O115" s="13">
        <f t="shared" si="28"/>
        <v>2</v>
      </c>
      <c r="P115" s="13">
        <f t="shared" si="28"/>
        <v>2</v>
      </c>
      <c r="Q115" s="13">
        <f t="shared" si="28"/>
        <v>0</v>
      </c>
      <c r="R115" s="13">
        <f t="shared" si="28"/>
        <v>1</v>
      </c>
      <c r="S115" s="13">
        <f t="shared" si="28"/>
        <v>0</v>
      </c>
      <c r="T115" s="13">
        <f t="shared" si="28"/>
        <v>2</v>
      </c>
      <c r="U115" s="13">
        <f t="shared" si="28"/>
        <v>1</v>
      </c>
      <c r="V115" s="13">
        <f t="shared" si="28"/>
        <v>1</v>
      </c>
      <c r="W115" s="13">
        <f t="shared" si="28"/>
        <v>2</v>
      </c>
      <c r="X115" s="13">
        <f t="shared" si="28"/>
        <v>0</v>
      </c>
      <c r="Y115" s="13">
        <f t="shared" si="28"/>
        <v>1</v>
      </c>
      <c r="Z115" s="13">
        <f t="shared" si="28"/>
        <v>1</v>
      </c>
      <c r="AA115" s="13">
        <f t="shared" si="28"/>
        <v>1</v>
      </c>
      <c r="AB115" s="13">
        <f t="shared" si="28"/>
        <v>0</v>
      </c>
      <c r="AC115" s="13">
        <f t="shared" si="28"/>
        <v>0</v>
      </c>
      <c r="AD115" s="13">
        <f t="shared" si="27"/>
        <v>26</v>
      </c>
    </row>
    <row r="116" ht="12.75" customHeight="1">
      <c r="A116" s="24"/>
      <c r="B116" s="15"/>
      <c r="C116" s="15"/>
      <c r="D116" s="15"/>
      <c r="E116" s="16"/>
      <c r="F116" s="72"/>
      <c r="G116" s="72"/>
      <c r="H116" s="72"/>
      <c r="I116" s="72"/>
      <c r="J116" s="72"/>
      <c r="K116" s="72"/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13"/>
    </row>
    <row r="117" ht="12.75" customHeight="1">
      <c r="A117" s="30" t="s">
        <v>37</v>
      </c>
      <c r="B117" s="47" t="s">
        <v>90</v>
      </c>
      <c r="C117" s="48" t="s">
        <v>91</v>
      </c>
      <c r="D117" s="16"/>
      <c r="E117" s="19">
        <v>0.0</v>
      </c>
      <c r="F117" s="19">
        <v>0.0</v>
      </c>
      <c r="G117" s="19">
        <v>1.0</v>
      </c>
      <c r="H117" s="19">
        <v>0.0</v>
      </c>
      <c r="I117" s="19">
        <v>0.0</v>
      </c>
      <c r="J117" s="19">
        <v>0.0</v>
      </c>
      <c r="K117" s="19">
        <v>4.0</v>
      </c>
      <c r="L117" s="19">
        <v>0.0</v>
      </c>
      <c r="M117" s="19">
        <v>1.0</v>
      </c>
      <c r="N117" s="19">
        <v>0.0</v>
      </c>
      <c r="O117" s="19">
        <v>1.0</v>
      </c>
      <c r="P117" s="19">
        <v>0.0</v>
      </c>
      <c r="Q117" s="19">
        <v>0.0</v>
      </c>
      <c r="R117" s="19">
        <v>0.0</v>
      </c>
      <c r="S117" s="19">
        <v>0.0</v>
      </c>
      <c r="T117" s="19">
        <v>0.0</v>
      </c>
      <c r="U117" s="19">
        <v>0.0</v>
      </c>
      <c r="V117" s="19">
        <v>0.0</v>
      </c>
      <c r="W117" s="19">
        <v>0.0</v>
      </c>
      <c r="X117" s="19">
        <v>0.0</v>
      </c>
      <c r="Y117" s="19">
        <v>0.0</v>
      </c>
      <c r="Z117" s="19">
        <v>1.0</v>
      </c>
      <c r="AA117" s="19">
        <v>0.0</v>
      </c>
      <c r="AB117" s="19">
        <v>0.0</v>
      </c>
      <c r="AC117" s="19">
        <v>2.0</v>
      </c>
      <c r="AD117" s="13">
        <f t="shared" ref="AD117:AD127" si="29">SUM(E117:AC117)</f>
        <v>10</v>
      </c>
      <c r="AE117" s="5"/>
      <c r="AF117" s="5"/>
    </row>
    <row r="118" ht="12.75" customHeight="1">
      <c r="A118" s="30" t="s">
        <v>39</v>
      </c>
      <c r="B118" s="55">
        <v>1.0</v>
      </c>
      <c r="C118" s="50" t="s">
        <v>92</v>
      </c>
      <c r="D118" s="57"/>
      <c r="E118" s="19">
        <v>0.0</v>
      </c>
      <c r="F118" s="19">
        <v>0.0</v>
      </c>
      <c r="G118" s="19">
        <v>0.0</v>
      </c>
      <c r="H118" s="19">
        <v>0.0</v>
      </c>
      <c r="I118" s="19">
        <v>0.0</v>
      </c>
      <c r="J118" s="19">
        <v>0.0</v>
      </c>
      <c r="K118" s="19">
        <v>0.0</v>
      </c>
      <c r="L118" s="19">
        <v>0.0</v>
      </c>
      <c r="M118" s="19">
        <v>0.0</v>
      </c>
      <c r="N118" s="19">
        <v>0.0</v>
      </c>
      <c r="O118" s="19">
        <v>0.0</v>
      </c>
      <c r="P118" s="19">
        <v>0.0</v>
      </c>
      <c r="Q118" s="19">
        <v>0.0</v>
      </c>
      <c r="R118" s="19">
        <v>0.0</v>
      </c>
      <c r="S118" s="19">
        <v>0.0</v>
      </c>
      <c r="T118" s="19">
        <v>0.0</v>
      </c>
      <c r="U118" s="19">
        <v>0.0</v>
      </c>
      <c r="V118" s="19">
        <v>0.0</v>
      </c>
      <c r="W118" s="19">
        <v>0.0</v>
      </c>
      <c r="X118" s="19">
        <v>0.0</v>
      </c>
      <c r="Y118" s="19">
        <v>0.0</v>
      </c>
      <c r="Z118" s="19">
        <v>0.0</v>
      </c>
      <c r="AA118" s="19">
        <v>0.0</v>
      </c>
      <c r="AB118" s="19">
        <v>0.0</v>
      </c>
      <c r="AC118" s="19">
        <v>1.0</v>
      </c>
      <c r="AD118" s="13">
        <f t="shared" si="29"/>
        <v>1</v>
      </c>
      <c r="AE118" s="5"/>
      <c r="AF118" s="5"/>
    </row>
    <row r="119" ht="12.75" customHeight="1">
      <c r="A119" s="18"/>
      <c r="B119" s="55">
        <v>2.0</v>
      </c>
      <c r="C119" s="50" t="s">
        <v>93</v>
      </c>
      <c r="D119" s="57"/>
      <c r="E119" s="19">
        <v>0.0</v>
      </c>
      <c r="F119" s="19">
        <v>0.0</v>
      </c>
      <c r="G119" s="19">
        <v>0.0</v>
      </c>
      <c r="H119" s="19">
        <v>0.0</v>
      </c>
      <c r="I119" s="19">
        <v>1.0</v>
      </c>
      <c r="J119" s="19">
        <v>0.0</v>
      </c>
      <c r="K119" s="19">
        <v>0.0</v>
      </c>
      <c r="L119" s="19">
        <v>1.0</v>
      </c>
      <c r="M119" s="19">
        <v>0.0</v>
      </c>
      <c r="N119" s="19">
        <v>0.0</v>
      </c>
      <c r="O119" s="19">
        <v>0.0</v>
      </c>
      <c r="P119" s="19">
        <v>0.0</v>
      </c>
      <c r="Q119" s="19">
        <v>0.0</v>
      </c>
      <c r="R119" s="19">
        <v>1.0</v>
      </c>
      <c r="S119" s="19">
        <v>0.0</v>
      </c>
      <c r="T119" s="19">
        <v>0.0</v>
      </c>
      <c r="U119" s="19">
        <v>0.0</v>
      </c>
      <c r="V119" s="19">
        <v>0.0</v>
      </c>
      <c r="W119" s="19">
        <v>0.0</v>
      </c>
      <c r="X119" s="19">
        <v>1.0</v>
      </c>
      <c r="Y119" s="19">
        <v>0.0</v>
      </c>
      <c r="Z119" s="19">
        <v>0.0</v>
      </c>
      <c r="AA119" s="19">
        <v>0.0</v>
      </c>
      <c r="AB119" s="19">
        <v>0.0</v>
      </c>
      <c r="AC119" s="19">
        <v>0.0</v>
      </c>
      <c r="AD119" s="13">
        <f t="shared" si="29"/>
        <v>4</v>
      </c>
      <c r="AE119" s="5"/>
      <c r="AF119" s="5"/>
    </row>
    <row r="120" ht="12.75" customHeight="1">
      <c r="A120" s="18"/>
      <c r="B120" s="55">
        <v>3.0</v>
      </c>
      <c r="C120" s="50" t="s">
        <v>94</v>
      </c>
      <c r="D120" s="57"/>
      <c r="E120" s="19">
        <v>0.0</v>
      </c>
      <c r="F120" s="19">
        <v>0.0</v>
      </c>
      <c r="G120" s="19">
        <v>0.0</v>
      </c>
      <c r="H120" s="19">
        <v>0.0</v>
      </c>
      <c r="I120" s="19">
        <v>0.0</v>
      </c>
      <c r="J120" s="19">
        <v>1.0</v>
      </c>
      <c r="K120" s="19">
        <v>0.0</v>
      </c>
      <c r="L120" s="19">
        <v>0.0</v>
      </c>
      <c r="M120" s="19">
        <v>1.0</v>
      </c>
      <c r="N120" s="19">
        <v>0.0</v>
      </c>
      <c r="O120" s="19">
        <v>0.0</v>
      </c>
      <c r="P120" s="19">
        <v>0.0</v>
      </c>
      <c r="Q120" s="19">
        <v>0.0</v>
      </c>
      <c r="R120" s="19">
        <v>0.0</v>
      </c>
      <c r="S120" s="19">
        <v>0.0</v>
      </c>
      <c r="T120" s="19">
        <v>0.0</v>
      </c>
      <c r="U120" s="19">
        <v>0.0</v>
      </c>
      <c r="V120" s="19">
        <v>0.0</v>
      </c>
      <c r="W120" s="19">
        <v>0.0</v>
      </c>
      <c r="X120" s="19">
        <v>0.0</v>
      </c>
      <c r="Y120" s="19">
        <v>0.0</v>
      </c>
      <c r="Z120" s="19">
        <v>1.0</v>
      </c>
      <c r="AA120" s="19">
        <v>0.0</v>
      </c>
      <c r="AB120" s="19">
        <v>0.0</v>
      </c>
      <c r="AC120" s="19">
        <v>0.0</v>
      </c>
      <c r="AD120" s="13">
        <f t="shared" si="29"/>
        <v>3</v>
      </c>
      <c r="AE120" s="5"/>
      <c r="AF120" s="5"/>
    </row>
    <row r="121" ht="12.75" customHeight="1">
      <c r="A121" s="18"/>
      <c r="B121" s="68"/>
      <c r="C121" s="69"/>
      <c r="D121" s="71"/>
      <c r="E121" s="40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3">
        <f t="shared" si="29"/>
        <v>0</v>
      </c>
      <c r="AE121" s="5"/>
      <c r="AF121" s="5"/>
    </row>
    <row r="122" ht="12.75" customHeight="1">
      <c r="A122" s="18"/>
      <c r="B122" s="68"/>
      <c r="C122" s="69"/>
      <c r="D122" s="71"/>
      <c r="E122" s="40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3">
        <f t="shared" si="29"/>
        <v>0</v>
      </c>
      <c r="AE122" s="5"/>
      <c r="AF122" s="5"/>
    </row>
    <row r="123" ht="12.75" customHeight="1">
      <c r="A123" s="18"/>
      <c r="B123" s="68"/>
      <c r="C123" s="69"/>
      <c r="D123" s="71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13">
        <f t="shared" si="29"/>
        <v>0</v>
      </c>
      <c r="AE123" s="5"/>
      <c r="AF123" s="5"/>
    </row>
    <row r="124" ht="12.75" customHeight="1">
      <c r="A124" s="18"/>
      <c r="B124" s="68"/>
      <c r="C124" s="69"/>
      <c r="D124" s="71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13">
        <f t="shared" si="29"/>
        <v>0</v>
      </c>
      <c r="AE124" s="5"/>
      <c r="AF124" s="5"/>
    </row>
    <row r="125" ht="12.75" customHeight="1">
      <c r="A125" s="18"/>
      <c r="B125" s="68"/>
      <c r="C125" s="69"/>
      <c r="D125" s="71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13">
        <f t="shared" si="29"/>
        <v>0</v>
      </c>
      <c r="AE125" s="5"/>
      <c r="AF125" s="5"/>
    </row>
    <row r="126" ht="12.75" customHeight="1">
      <c r="A126" s="18"/>
      <c r="B126" s="68"/>
      <c r="C126" s="69"/>
      <c r="D126" s="71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13">
        <f t="shared" si="29"/>
        <v>0</v>
      </c>
      <c r="AE126" s="5"/>
      <c r="AF126" s="5"/>
    </row>
    <row r="127" ht="15.0" customHeight="1">
      <c r="A127" s="19" t="s">
        <v>15</v>
      </c>
      <c r="B127" s="47" t="s">
        <v>47</v>
      </c>
      <c r="C127" s="15"/>
      <c r="D127" s="16"/>
      <c r="E127" s="58">
        <f t="shared" ref="E127:AC127" si="30">SUM(E117:E120)</f>
        <v>0</v>
      </c>
      <c r="F127" s="58">
        <f t="shared" si="30"/>
        <v>0</v>
      </c>
      <c r="G127" s="58">
        <f t="shared" si="30"/>
        <v>1</v>
      </c>
      <c r="H127" s="58">
        <f t="shared" si="30"/>
        <v>0</v>
      </c>
      <c r="I127" s="58">
        <f t="shared" si="30"/>
        <v>1</v>
      </c>
      <c r="J127" s="58">
        <f t="shared" si="30"/>
        <v>1</v>
      </c>
      <c r="K127" s="58">
        <f t="shared" si="30"/>
        <v>4</v>
      </c>
      <c r="L127" s="58">
        <f t="shared" si="30"/>
        <v>1</v>
      </c>
      <c r="M127" s="58">
        <f t="shared" si="30"/>
        <v>2</v>
      </c>
      <c r="N127" s="58">
        <f t="shared" si="30"/>
        <v>0</v>
      </c>
      <c r="O127" s="58">
        <f t="shared" si="30"/>
        <v>1</v>
      </c>
      <c r="P127" s="58">
        <f t="shared" si="30"/>
        <v>0</v>
      </c>
      <c r="Q127" s="58">
        <f t="shared" si="30"/>
        <v>0</v>
      </c>
      <c r="R127" s="58">
        <f t="shared" si="30"/>
        <v>1</v>
      </c>
      <c r="S127" s="58">
        <f t="shared" si="30"/>
        <v>0</v>
      </c>
      <c r="T127" s="58">
        <f t="shared" si="30"/>
        <v>0</v>
      </c>
      <c r="U127" s="58">
        <f t="shared" si="30"/>
        <v>0</v>
      </c>
      <c r="V127" s="58">
        <f t="shared" si="30"/>
        <v>0</v>
      </c>
      <c r="W127" s="58">
        <f t="shared" si="30"/>
        <v>0</v>
      </c>
      <c r="X127" s="58">
        <f t="shared" si="30"/>
        <v>1</v>
      </c>
      <c r="Y127" s="58">
        <f t="shared" si="30"/>
        <v>0</v>
      </c>
      <c r="Z127" s="58">
        <f t="shared" si="30"/>
        <v>2</v>
      </c>
      <c r="AA127" s="58">
        <f t="shared" si="30"/>
        <v>0</v>
      </c>
      <c r="AB127" s="58">
        <f t="shared" si="30"/>
        <v>0</v>
      </c>
      <c r="AC127" s="58">
        <f t="shared" si="30"/>
        <v>3</v>
      </c>
      <c r="AD127" s="13">
        <f t="shared" si="29"/>
        <v>18</v>
      </c>
      <c r="AE127" s="5"/>
      <c r="AF127" s="5"/>
    </row>
    <row r="128" ht="12.75" customHeight="1">
      <c r="A128" s="24"/>
      <c r="B128" s="15"/>
      <c r="C128" s="15"/>
      <c r="D128" s="15"/>
      <c r="E128" s="16"/>
      <c r="F128" s="72"/>
      <c r="G128" s="72"/>
      <c r="H128" s="72"/>
      <c r="I128" s="72"/>
      <c r="J128" s="72"/>
      <c r="K128" s="72"/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5"/>
      <c r="AF128" s="5"/>
    </row>
    <row r="129" ht="12.75" customHeight="1">
      <c r="A129" s="30" t="s">
        <v>37</v>
      </c>
      <c r="B129" s="47" t="s">
        <v>95</v>
      </c>
      <c r="C129" s="48" t="s">
        <v>96</v>
      </c>
      <c r="D129" s="16"/>
      <c r="E129" s="19">
        <v>0.0</v>
      </c>
      <c r="F129" s="19">
        <v>0.0</v>
      </c>
      <c r="G129" s="19">
        <v>0.0</v>
      </c>
      <c r="H129" s="19">
        <v>4.0</v>
      </c>
      <c r="I129" s="19">
        <v>2.0</v>
      </c>
      <c r="J129" s="19">
        <v>2.0</v>
      </c>
      <c r="K129" s="19">
        <v>0.0</v>
      </c>
      <c r="L129" s="19">
        <v>5.0</v>
      </c>
      <c r="M129" s="19">
        <v>3.0</v>
      </c>
      <c r="N129" s="19">
        <v>4.0</v>
      </c>
      <c r="O129" s="19">
        <v>0.0</v>
      </c>
      <c r="P129" s="19">
        <v>0.0</v>
      </c>
      <c r="Q129" s="19">
        <v>0.0</v>
      </c>
      <c r="R129" s="19">
        <v>1.0</v>
      </c>
      <c r="S129" s="19">
        <v>0.0</v>
      </c>
      <c r="T129" s="19">
        <v>0.0</v>
      </c>
      <c r="U129" s="19">
        <v>1.0</v>
      </c>
      <c r="V129" s="19">
        <v>1.0</v>
      </c>
      <c r="W129" s="19">
        <v>0.0</v>
      </c>
      <c r="X129" s="19">
        <v>2.0</v>
      </c>
      <c r="Y129" s="19">
        <v>1.0</v>
      </c>
      <c r="Z129" s="19">
        <v>1.0</v>
      </c>
      <c r="AA129" s="19">
        <v>1.0</v>
      </c>
      <c r="AB129" s="19">
        <v>0.0</v>
      </c>
      <c r="AC129" s="19">
        <v>2.0</v>
      </c>
      <c r="AD129" s="13">
        <f t="shared" ref="AD129:AD139" si="31">SUM(E129:AC129)</f>
        <v>30</v>
      </c>
      <c r="AE129" s="5"/>
      <c r="AF129" s="5"/>
    </row>
    <row r="130" ht="12.75" customHeight="1">
      <c r="A130" s="30" t="s">
        <v>39</v>
      </c>
      <c r="B130" s="55">
        <v>1.0</v>
      </c>
      <c r="C130" s="50" t="s">
        <v>97</v>
      </c>
      <c r="D130" s="56"/>
      <c r="E130" s="19">
        <v>3.0</v>
      </c>
      <c r="F130" s="19">
        <v>3.0</v>
      </c>
      <c r="G130" s="19">
        <v>1.0</v>
      </c>
      <c r="H130" s="19">
        <v>1.0</v>
      </c>
      <c r="I130" s="19">
        <v>1.0</v>
      </c>
      <c r="J130" s="19">
        <v>2.0</v>
      </c>
      <c r="K130" s="19">
        <v>4.0</v>
      </c>
      <c r="L130" s="19">
        <v>18.0</v>
      </c>
      <c r="M130" s="19">
        <v>16.0</v>
      </c>
      <c r="N130" s="19">
        <v>7.0</v>
      </c>
      <c r="O130" s="19">
        <v>1.0</v>
      </c>
      <c r="P130" s="19">
        <v>0.0</v>
      </c>
      <c r="Q130" s="19">
        <v>1.0</v>
      </c>
      <c r="R130" s="19">
        <v>0.0</v>
      </c>
      <c r="S130" s="19">
        <v>0.0</v>
      </c>
      <c r="T130" s="19">
        <v>2.0</v>
      </c>
      <c r="U130" s="19">
        <v>0.0</v>
      </c>
      <c r="V130" s="19">
        <v>0.0</v>
      </c>
      <c r="W130" s="19">
        <v>3.0</v>
      </c>
      <c r="X130" s="19">
        <v>0.0</v>
      </c>
      <c r="Y130" s="19">
        <v>1.0</v>
      </c>
      <c r="Z130" s="19">
        <v>0.0</v>
      </c>
      <c r="AA130" s="19">
        <v>7.0</v>
      </c>
      <c r="AB130" s="19">
        <v>2.0</v>
      </c>
      <c r="AC130" s="19">
        <v>2.0</v>
      </c>
      <c r="AD130" s="13">
        <f t="shared" si="31"/>
        <v>75</v>
      </c>
      <c r="AE130" s="1"/>
      <c r="AF130" s="1"/>
    </row>
    <row r="131" ht="12.75" customHeight="1">
      <c r="A131" s="18"/>
      <c r="B131" s="55">
        <v>2.0</v>
      </c>
      <c r="C131" s="50" t="s">
        <v>98</v>
      </c>
      <c r="D131" s="56"/>
      <c r="E131" s="19">
        <v>0.0</v>
      </c>
      <c r="F131" s="19">
        <v>1.0</v>
      </c>
      <c r="G131" s="19">
        <v>1.0</v>
      </c>
      <c r="H131" s="19">
        <v>0.0</v>
      </c>
      <c r="I131" s="19">
        <v>1.0</v>
      </c>
      <c r="J131" s="19">
        <v>4.0</v>
      </c>
      <c r="K131" s="19">
        <v>0.0</v>
      </c>
      <c r="L131" s="19">
        <v>4.0</v>
      </c>
      <c r="M131" s="19">
        <v>0.0</v>
      </c>
      <c r="N131" s="19">
        <v>1.0</v>
      </c>
      <c r="O131" s="19">
        <v>0.0</v>
      </c>
      <c r="P131" s="19">
        <v>0.0</v>
      </c>
      <c r="Q131" s="19">
        <v>0.0</v>
      </c>
      <c r="R131" s="19">
        <v>1.0</v>
      </c>
      <c r="S131" s="19">
        <v>0.0</v>
      </c>
      <c r="T131" s="19">
        <v>0.0</v>
      </c>
      <c r="U131" s="19">
        <v>0.0</v>
      </c>
      <c r="V131" s="19">
        <v>1.0</v>
      </c>
      <c r="W131" s="19">
        <v>0.0</v>
      </c>
      <c r="X131" s="19">
        <v>0.0</v>
      </c>
      <c r="Y131" s="19">
        <v>2.0</v>
      </c>
      <c r="Z131" s="19">
        <v>0.0</v>
      </c>
      <c r="AA131" s="19">
        <v>0.0</v>
      </c>
      <c r="AB131" s="19">
        <v>0.0</v>
      </c>
      <c r="AC131" s="19">
        <v>0.0</v>
      </c>
      <c r="AD131" s="13">
        <f t="shared" si="31"/>
        <v>16</v>
      </c>
      <c r="AE131" s="52"/>
      <c r="AF131" s="52"/>
    </row>
    <row r="132" ht="12.75" customHeight="1">
      <c r="A132" s="18"/>
      <c r="B132" s="55">
        <v>3.0</v>
      </c>
      <c r="C132" s="50" t="s">
        <v>99</v>
      </c>
      <c r="D132" s="56"/>
      <c r="E132" s="19">
        <v>0.0</v>
      </c>
      <c r="F132" s="19">
        <v>0.0</v>
      </c>
      <c r="G132" s="19">
        <v>0.0</v>
      </c>
      <c r="H132" s="19">
        <v>0.0</v>
      </c>
      <c r="I132" s="19">
        <v>0.0</v>
      </c>
      <c r="J132" s="19">
        <v>0.0</v>
      </c>
      <c r="K132" s="19">
        <v>1.0</v>
      </c>
      <c r="L132" s="19">
        <v>0.0</v>
      </c>
      <c r="M132" s="19">
        <v>2.0</v>
      </c>
      <c r="N132" s="19">
        <v>2.0</v>
      </c>
      <c r="O132" s="19">
        <v>0.0</v>
      </c>
      <c r="P132" s="19">
        <v>0.0</v>
      </c>
      <c r="Q132" s="19">
        <v>0.0</v>
      </c>
      <c r="R132" s="19">
        <v>0.0</v>
      </c>
      <c r="S132" s="19">
        <v>0.0</v>
      </c>
      <c r="T132" s="19">
        <v>0.0</v>
      </c>
      <c r="U132" s="19">
        <v>0.0</v>
      </c>
      <c r="V132" s="19">
        <v>0.0</v>
      </c>
      <c r="W132" s="19">
        <v>0.0</v>
      </c>
      <c r="X132" s="19">
        <v>0.0</v>
      </c>
      <c r="Y132" s="19">
        <v>0.0</v>
      </c>
      <c r="Z132" s="19">
        <v>0.0</v>
      </c>
      <c r="AA132" s="19">
        <v>0.0</v>
      </c>
      <c r="AB132" s="19">
        <v>0.0</v>
      </c>
      <c r="AC132" s="19">
        <v>0.0</v>
      </c>
      <c r="AD132" s="13">
        <f t="shared" si="31"/>
        <v>5</v>
      </c>
      <c r="AE132" s="5"/>
      <c r="AF132" s="5"/>
    </row>
    <row r="133" ht="12.75" customHeight="1">
      <c r="A133" s="18"/>
      <c r="B133" s="55">
        <v>4.0</v>
      </c>
      <c r="C133" s="50" t="s">
        <v>100</v>
      </c>
      <c r="D133" s="56"/>
      <c r="E133" s="19">
        <v>1.0</v>
      </c>
      <c r="F133" s="19">
        <v>0.0</v>
      </c>
      <c r="G133" s="19">
        <v>0.0</v>
      </c>
      <c r="H133" s="19">
        <v>0.0</v>
      </c>
      <c r="I133" s="19">
        <v>0.0</v>
      </c>
      <c r="J133" s="19">
        <v>0.0</v>
      </c>
      <c r="K133" s="19">
        <v>1.0</v>
      </c>
      <c r="L133" s="19">
        <v>0.0</v>
      </c>
      <c r="M133" s="19">
        <v>1.0</v>
      </c>
      <c r="N133" s="19">
        <v>0.0</v>
      </c>
      <c r="O133" s="19">
        <v>0.0</v>
      </c>
      <c r="P133" s="19">
        <v>1.0</v>
      </c>
      <c r="Q133" s="19">
        <v>0.0</v>
      </c>
      <c r="R133" s="19">
        <v>0.0</v>
      </c>
      <c r="S133" s="19">
        <v>0.0</v>
      </c>
      <c r="T133" s="19">
        <v>0.0</v>
      </c>
      <c r="U133" s="19">
        <v>0.0</v>
      </c>
      <c r="V133" s="19">
        <v>0.0</v>
      </c>
      <c r="W133" s="19">
        <v>0.0</v>
      </c>
      <c r="X133" s="19">
        <v>0.0</v>
      </c>
      <c r="Y133" s="19">
        <v>0.0</v>
      </c>
      <c r="Z133" s="19">
        <v>0.0</v>
      </c>
      <c r="AA133" s="19">
        <v>1.0</v>
      </c>
      <c r="AB133" s="19">
        <v>0.0</v>
      </c>
      <c r="AC133" s="19">
        <v>0.0</v>
      </c>
      <c r="AD133" s="13">
        <f t="shared" si="31"/>
        <v>5</v>
      </c>
      <c r="AE133" s="5"/>
      <c r="AF133" s="5"/>
    </row>
    <row r="134" ht="12.75" customHeight="1">
      <c r="A134" s="18"/>
      <c r="B134" s="55">
        <v>5.0</v>
      </c>
      <c r="C134" s="50" t="s">
        <v>101</v>
      </c>
      <c r="D134" s="56"/>
      <c r="E134" s="19">
        <v>0.0</v>
      </c>
      <c r="F134" s="19">
        <v>0.0</v>
      </c>
      <c r="G134" s="19">
        <v>0.0</v>
      </c>
      <c r="H134" s="19">
        <v>0.0</v>
      </c>
      <c r="I134" s="19">
        <v>0.0</v>
      </c>
      <c r="J134" s="19">
        <v>0.0</v>
      </c>
      <c r="K134" s="19">
        <v>0.0</v>
      </c>
      <c r="L134" s="19">
        <v>0.0</v>
      </c>
      <c r="M134" s="19">
        <v>1.0</v>
      </c>
      <c r="N134" s="19">
        <v>0.0</v>
      </c>
      <c r="O134" s="19">
        <v>0.0</v>
      </c>
      <c r="P134" s="19">
        <v>0.0</v>
      </c>
      <c r="Q134" s="19">
        <v>0.0</v>
      </c>
      <c r="R134" s="19">
        <v>0.0</v>
      </c>
      <c r="S134" s="19">
        <v>0.0</v>
      </c>
      <c r="T134" s="19">
        <v>0.0</v>
      </c>
      <c r="U134" s="19">
        <v>0.0</v>
      </c>
      <c r="V134" s="19">
        <v>0.0</v>
      </c>
      <c r="W134" s="19">
        <v>0.0</v>
      </c>
      <c r="X134" s="19">
        <v>0.0</v>
      </c>
      <c r="Y134" s="19">
        <v>0.0</v>
      </c>
      <c r="Z134" s="19">
        <v>0.0</v>
      </c>
      <c r="AA134" s="19">
        <v>0.0</v>
      </c>
      <c r="AB134" s="19">
        <v>0.0</v>
      </c>
      <c r="AC134" s="19">
        <v>0.0</v>
      </c>
      <c r="AD134" s="13">
        <f t="shared" si="31"/>
        <v>1</v>
      </c>
      <c r="AE134" s="5"/>
      <c r="AF134" s="5"/>
    </row>
    <row r="135" ht="12.75" customHeight="1">
      <c r="A135" s="18"/>
      <c r="B135" s="55">
        <v>6.0</v>
      </c>
      <c r="C135" s="50" t="s">
        <v>102</v>
      </c>
      <c r="D135" s="57"/>
      <c r="E135" s="19">
        <v>0.0</v>
      </c>
      <c r="F135" s="19">
        <v>0.0</v>
      </c>
      <c r="G135" s="19">
        <v>0.0</v>
      </c>
      <c r="H135" s="19">
        <v>0.0</v>
      </c>
      <c r="I135" s="19">
        <v>0.0</v>
      </c>
      <c r="J135" s="19">
        <v>2.0</v>
      </c>
      <c r="K135" s="19">
        <v>11.0</v>
      </c>
      <c r="L135" s="19">
        <v>0.0</v>
      </c>
      <c r="M135" s="19">
        <v>3.0</v>
      </c>
      <c r="N135" s="19">
        <v>0.0</v>
      </c>
      <c r="O135" s="19">
        <v>0.0</v>
      </c>
      <c r="P135" s="19">
        <v>1.0</v>
      </c>
      <c r="Q135" s="19">
        <v>1.0</v>
      </c>
      <c r="R135" s="19">
        <v>0.0</v>
      </c>
      <c r="S135" s="19">
        <v>0.0</v>
      </c>
      <c r="T135" s="19">
        <v>0.0</v>
      </c>
      <c r="U135" s="19">
        <v>0.0</v>
      </c>
      <c r="V135" s="19">
        <v>0.0</v>
      </c>
      <c r="W135" s="19">
        <v>0.0</v>
      </c>
      <c r="X135" s="19">
        <v>0.0</v>
      </c>
      <c r="Y135" s="19">
        <v>0.0</v>
      </c>
      <c r="Z135" s="19">
        <v>0.0</v>
      </c>
      <c r="AA135" s="19">
        <v>0.0</v>
      </c>
      <c r="AB135" s="19">
        <v>0.0</v>
      </c>
      <c r="AC135" s="19">
        <v>0.0</v>
      </c>
      <c r="AD135" s="13">
        <f t="shared" si="31"/>
        <v>18</v>
      </c>
      <c r="AE135" s="5"/>
      <c r="AF135" s="5"/>
    </row>
    <row r="136" ht="12.75" customHeight="1">
      <c r="A136" s="18"/>
      <c r="B136" s="55">
        <v>7.0</v>
      </c>
      <c r="C136" s="50" t="s">
        <v>103</v>
      </c>
      <c r="D136" s="56"/>
      <c r="E136" s="19">
        <v>0.0</v>
      </c>
      <c r="F136" s="19">
        <v>0.0</v>
      </c>
      <c r="G136" s="19">
        <v>0.0</v>
      </c>
      <c r="H136" s="19">
        <v>0.0</v>
      </c>
      <c r="I136" s="19">
        <v>0.0</v>
      </c>
      <c r="J136" s="19">
        <v>0.0</v>
      </c>
      <c r="K136" s="19">
        <v>0.0</v>
      </c>
      <c r="L136" s="19">
        <v>0.0</v>
      </c>
      <c r="M136" s="19">
        <v>0.0</v>
      </c>
      <c r="N136" s="19">
        <v>0.0</v>
      </c>
      <c r="O136" s="19">
        <v>0.0</v>
      </c>
      <c r="P136" s="19">
        <v>0.0</v>
      </c>
      <c r="Q136" s="19">
        <v>0.0</v>
      </c>
      <c r="R136" s="19">
        <v>0.0</v>
      </c>
      <c r="S136" s="19">
        <v>0.0</v>
      </c>
      <c r="T136" s="19">
        <v>0.0</v>
      </c>
      <c r="U136" s="19">
        <v>0.0</v>
      </c>
      <c r="V136" s="19">
        <v>0.0</v>
      </c>
      <c r="W136" s="19">
        <v>0.0</v>
      </c>
      <c r="X136" s="19">
        <v>0.0</v>
      </c>
      <c r="Y136" s="19">
        <v>0.0</v>
      </c>
      <c r="Z136" s="19">
        <v>0.0</v>
      </c>
      <c r="AA136" s="19">
        <v>0.0</v>
      </c>
      <c r="AB136" s="19">
        <v>0.0</v>
      </c>
      <c r="AC136" s="19">
        <v>0.0</v>
      </c>
      <c r="AD136" s="13">
        <f t="shared" si="31"/>
        <v>0</v>
      </c>
      <c r="AE136" s="5"/>
      <c r="AF136" s="5"/>
    </row>
    <row r="137" ht="12.75" customHeight="1">
      <c r="A137" s="18"/>
      <c r="B137" s="68"/>
      <c r="C137" s="69"/>
      <c r="D137" s="70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3">
        <f t="shared" si="31"/>
        <v>0</v>
      </c>
      <c r="AE137" s="5"/>
      <c r="AF137" s="5"/>
    </row>
    <row r="138" ht="12.75" customHeight="1">
      <c r="A138" s="18"/>
      <c r="B138" s="68"/>
      <c r="C138" s="69"/>
      <c r="D138" s="70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3">
        <f t="shared" si="31"/>
        <v>0</v>
      </c>
      <c r="AE138" s="5"/>
      <c r="AF138" s="5"/>
    </row>
    <row r="139" ht="15.0" customHeight="1">
      <c r="A139" s="19" t="s">
        <v>15</v>
      </c>
      <c r="B139" s="47" t="s">
        <v>47</v>
      </c>
      <c r="C139" s="15"/>
      <c r="D139" s="16"/>
      <c r="E139" s="13">
        <f t="shared" ref="E139:AC139" si="32">SUM(E129:E136)</f>
        <v>4</v>
      </c>
      <c r="F139" s="13">
        <f t="shared" si="32"/>
        <v>4</v>
      </c>
      <c r="G139" s="13">
        <f t="shared" si="32"/>
        <v>2</v>
      </c>
      <c r="H139" s="13">
        <f t="shared" si="32"/>
        <v>5</v>
      </c>
      <c r="I139" s="13">
        <f t="shared" si="32"/>
        <v>4</v>
      </c>
      <c r="J139" s="13">
        <f t="shared" si="32"/>
        <v>10</v>
      </c>
      <c r="K139" s="13">
        <f t="shared" si="32"/>
        <v>17</v>
      </c>
      <c r="L139" s="13">
        <f t="shared" si="32"/>
        <v>27</v>
      </c>
      <c r="M139" s="13">
        <f t="shared" si="32"/>
        <v>26</v>
      </c>
      <c r="N139" s="13">
        <f t="shared" si="32"/>
        <v>14</v>
      </c>
      <c r="O139" s="13">
        <f t="shared" si="32"/>
        <v>1</v>
      </c>
      <c r="P139" s="13">
        <f t="shared" si="32"/>
        <v>2</v>
      </c>
      <c r="Q139" s="13">
        <f t="shared" si="32"/>
        <v>2</v>
      </c>
      <c r="R139" s="13">
        <f t="shared" si="32"/>
        <v>2</v>
      </c>
      <c r="S139" s="13">
        <f t="shared" si="32"/>
        <v>0</v>
      </c>
      <c r="T139" s="13">
        <f t="shared" si="32"/>
        <v>2</v>
      </c>
      <c r="U139" s="13">
        <f t="shared" si="32"/>
        <v>1</v>
      </c>
      <c r="V139" s="13">
        <f t="shared" si="32"/>
        <v>2</v>
      </c>
      <c r="W139" s="13">
        <f t="shared" si="32"/>
        <v>3</v>
      </c>
      <c r="X139" s="13">
        <f t="shared" si="32"/>
        <v>2</v>
      </c>
      <c r="Y139" s="13">
        <f t="shared" si="32"/>
        <v>4</v>
      </c>
      <c r="Z139" s="13">
        <f t="shared" si="32"/>
        <v>1</v>
      </c>
      <c r="AA139" s="13">
        <f t="shared" si="32"/>
        <v>9</v>
      </c>
      <c r="AB139" s="13">
        <f t="shared" si="32"/>
        <v>2</v>
      </c>
      <c r="AC139" s="13">
        <f t="shared" si="32"/>
        <v>4</v>
      </c>
      <c r="AD139" s="13">
        <f t="shared" si="31"/>
        <v>150</v>
      </c>
      <c r="AE139" s="5"/>
      <c r="AF139" s="5"/>
    </row>
    <row r="140" ht="12.75" customHeight="1">
      <c r="A140" s="24"/>
      <c r="B140" s="15"/>
      <c r="C140" s="15"/>
      <c r="D140" s="15"/>
      <c r="E140" s="16"/>
      <c r="F140" s="72"/>
      <c r="G140" s="72"/>
      <c r="H140" s="72"/>
      <c r="I140" s="72"/>
      <c r="J140" s="72"/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5"/>
      <c r="AF140" s="5"/>
    </row>
    <row r="141" ht="12.75" customHeight="1">
      <c r="A141" s="30" t="s">
        <v>37</v>
      </c>
      <c r="B141" s="47" t="s">
        <v>104</v>
      </c>
      <c r="C141" s="48" t="s">
        <v>105</v>
      </c>
      <c r="D141" s="16"/>
      <c r="E141" s="19">
        <v>0.0</v>
      </c>
      <c r="F141" s="19">
        <v>0.0</v>
      </c>
      <c r="G141" s="19">
        <v>0.0</v>
      </c>
      <c r="H141" s="19">
        <v>0.0</v>
      </c>
      <c r="I141" s="19">
        <v>0.0</v>
      </c>
      <c r="J141" s="19">
        <v>0.0</v>
      </c>
      <c r="K141" s="19">
        <v>0.0</v>
      </c>
      <c r="L141" s="19">
        <v>1.0</v>
      </c>
      <c r="M141" s="19">
        <v>0.0</v>
      </c>
      <c r="N141" s="19">
        <v>0.0</v>
      </c>
      <c r="O141" s="19">
        <v>0.0</v>
      </c>
      <c r="P141" s="19">
        <v>0.0</v>
      </c>
      <c r="Q141" s="19">
        <v>0.0</v>
      </c>
      <c r="R141" s="19">
        <v>0.0</v>
      </c>
      <c r="S141" s="19">
        <v>0.0</v>
      </c>
      <c r="T141" s="19">
        <v>0.0</v>
      </c>
      <c r="U141" s="19">
        <v>0.0</v>
      </c>
      <c r="V141" s="19">
        <v>0.0</v>
      </c>
      <c r="W141" s="19">
        <v>0.0</v>
      </c>
      <c r="X141" s="19">
        <v>0.0</v>
      </c>
      <c r="Y141" s="19">
        <v>0.0</v>
      </c>
      <c r="Z141" s="19">
        <v>0.0</v>
      </c>
      <c r="AA141" s="19">
        <v>0.0</v>
      </c>
      <c r="AB141" s="19">
        <v>0.0</v>
      </c>
      <c r="AC141" s="19">
        <v>0.0</v>
      </c>
      <c r="AD141" s="13">
        <f t="shared" ref="AD141:AD151" si="33">SUM(E141:AC141)</f>
        <v>1</v>
      </c>
      <c r="AE141" s="1"/>
      <c r="AF141" s="1"/>
    </row>
    <row r="142" ht="12.75" customHeight="1">
      <c r="A142" s="30" t="s">
        <v>39</v>
      </c>
      <c r="B142" s="55">
        <v>1.0</v>
      </c>
      <c r="C142" s="50" t="s">
        <v>106</v>
      </c>
      <c r="D142" s="57"/>
      <c r="E142" s="19">
        <v>0.0</v>
      </c>
      <c r="F142" s="19">
        <v>0.0</v>
      </c>
      <c r="G142" s="19">
        <v>0.0</v>
      </c>
      <c r="H142" s="19">
        <v>0.0</v>
      </c>
      <c r="I142" s="19">
        <v>0.0</v>
      </c>
      <c r="J142" s="19">
        <v>0.0</v>
      </c>
      <c r="K142" s="19">
        <v>0.0</v>
      </c>
      <c r="L142" s="19">
        <v>0.0</v>
      </c>
      <c r="M142" s="19">
        <v>0.0</v>
      </c>
      <c r="N142" s="19">
        <v>0.0</v>
      </c>
      <c r="O142" s="19">
        <v>0.0</v>
      </c>
      <c r="P142" s="19">
        <v>0.0</v>
      </c>
      <c r="Q142" s="19">
        <v>0.0</v>
      </c>
      <c r="R142" s="19">
        <v>0.0</v>
      </c>
      <c r="S142" s="19">
        <v>0.0</v>
      </c>
      <c r="T142" s="19">
        <v>0.0</v>
      </c>
      <c r="U142" s="19">
        <v>0.0</v>
      </c>
      <c r="V142" s="19">
        <v>0.0</v>
      </c>
      <c r="W142" s="19">
        <v>0.0</v>
      </c>
      <c r="X142" s="19">
        <v>0.0</v>
      </c>
      <c r="Y142" s="19">
        <v>0.0</v>
      </c>
      <c r="Z142" s="19">
        <v>0.0</v>
      </c>
      <c r="AA142" s="19">
        <v>0.0</v>
      </c>
      <c r="AB142" s="19">
        <v>0.0</v>
      </c>
      <c r="AC142" s="19">
        <v>0.0</v>
      </c>
      <c r="AD142" s="13">
        <f t="shared" si="33"/>
        <v>0</v>
      </c>
      <c r="AE142" s="52"/>
      <c r="AF142" s="52"/>
    </row>
    <row r="143" ht="12.75" customHeight="1">
      <c r="A143" s="18"/>
      <c r="B143" s="55">
        <v>2.0</v>
      </c>
      <c r="C143" s="50" t="s">
        <v>107</v>
      </c>
      <c r="D143" s="57"/>
      <c r="E143" s="19">
        <v>0.0</v>
      </c>
      <c r="F143" s="19">
        <v>0.0</v>
      </c>
      <c r="G143" s="19">
        <v>0.0</v>
      </c>
      <c r="H143" s="19">
        <v>0.0</v>
      </c>
      <c r="I143" s="19">
        <v>0.0</v>
      </c>
      <c r="J143" s="19">
        <v>0.0</v>
      </c>
      <c r="K143" s="19">
        <v>0.0</v>
      </c>
      <c r="L143" s="19">
        <v>0.0</v>
      </c>
      <c r="M143" s="19">
        <v>0.0</v>
      </c>
      <c r="N143" s="19">
        <v>0.0</v>
      </c>
      <c r="O143" s="19">
        <v>0.0</v>
      </c>
      <c r="P143" s="19">
        <v>0.0</v>
      </c>
      <c r="Q143" s="19">
        <v>0.0</v>
      </c>
      <c r="R143" s="19">
        <v>0.0</v>
      </c>
      <c r="S143" s="19">
        <v>0.0</v>
      </c>
      <c r="T143" s="19">
        <v>0.0</v>
      </c>
      <c r="U143" s="19">
        <v>0.0</v>
      </c>
      <c r="V143" s="19">
        <v>0.0</v>
      </c>
      <c r="W143" s="19">
        <v>0.0</v>
      </c>
      <c r="X143" s="19">
        <v>0.0</v>
      </c>
      <c r="Y143" s="19">
        <v>1.0</v>
      </c>
      <c r="Z143" s="19">
        <v>0.0</v>
      </c>
      <c r="AA143" s="19">
        <v>0.0</v>
      </c>
      <c r="AB143" s="19">
        <v>0.0</v>
      </c>
      <c r="AC143" s="19">
        <v>0.0</v>
      </c>
      <c r="AD143" s="13">
        <f t="shared" si="33"/>
        <v>1</v>
      </c>
      <c r="AE143" s="5"/>
      <c r="AF143" s="5"/>
    </row>
    <row r="144" ht="12.75" customHeight="1">
      <c r="A144" s="18"/>
      <c r="B144" s="55">
        <v>3.0</v>
      </c>
      <c r="C144" s="50" t="s">
        <v>108</v>
      </c>
      <c r="D144" s="57"/>
      <c r="E144" s="19">
        <v>0.0</v>
      </c>
      <c r="F144" s="19">
        <v>0.0</v>
      </c>
      <c r="G144" s="19">
        <v>0.0</v>
      </c>
      <c r="H144" s="19">
        <v>0.0</v>
      </c>
      <c r="I144" s="19">
        <v>0.0</v>
      </c>
      <c r="J144" s="19">
        <v>0.0</v>
      </c>
      <c r="K144" s="19">
        <v>0.0</v>
      </c>
      <c r="L144" s="19">
        <v>0.0</v>
      </c>
      <c r="M144" s="19">
        <v>0.0</v>
      </c>
      <c r="N144" s="19">
        <v>0.0</v>
      </c>
      <c r="O144" s="19">
        <v>0.0</v>
      </c>
      <c r="P144" s="19">
        <v>0.0</v>
      </c>
      <c r="Q144" s="19">
        <v>0.0</v>
      </c>
      <c r="R144" s="19">
        <v>0.0</v>
      </c>
      <c r="S144" s="19">
        <v>0.0</v>
      </c>
      <c r="T144" s="19">
        <v>0.0</v>
      </c>
      <c r="U144" s="19">
        <v>0.0</v>
      </c>
      <c r="V144" s="19">
        <v>0.0</v>
      </c>
      <c r="W144" s="19">
        <v>0.0</v>
      </c>
      <c r="X144" s="19">
        <v>0.0</v>
      </c>
      <c r="Y144" s="19">
        <v>0.0</v>
      </c>
      <c r="Z144" s="19">
        <v>0.0</v>
      </c>
      <c r="AA144" s="19">
        <v>0.0</v>
      </c>
      <c r="AB144" s="19">
        <v>0.0</v>
      </c>
      <c r="AC144" s="19">
        <v>0.0</v>
      </c>
      <c r="AD144" s="13">
        <f t="shared" si="33"/>
        <v>0</v>
      </c>
      <c r="AE144" s="5"/>
      <c r="AF144" s="5"/>
    </row>
    <row r="145" ht="12.75" customHeight="1">
      <c r="A145" s="18"/>
      <c r="B145" s="55">
        <v>4.0</v>
      </c>
      <c r="C145" s="50" t="s">
        <v>109</v>
      </c>
      <c r="D145" s="57"/>
      <c r="E145" s="19">
        <v>0.0</v>
      </c>
      <c r="F145" s="19">
        <v>0.0</v>
      </c>
      <c r="G145" s="19">
        <v>0.0</v>
      </c>
      <c r="H145" s="19">
        <v>0.0</v>
      </c>
      <c r="I145" s="19">
        <v>0.0</v>
      </c>
      <c r="J145" s="19">
        <v>0.0</v>
      </c>
      <c r="K145" s="19">
        <v>0.0</v>
      </c>
      <c r="L145" s="19">
        <v>0.0</v>
      </c>
      <c r="M145" s="19">
        <v>0.0</v>
      </c>
      <c r="N145" s="19">
        <v>0.0</v>
      </c>
      <c r="O145" s="19">
        <v>0.0</v>
      </c>
      <c r="P145" s="19">
        <v>0.0</v>
      </c>
      <c r="Q145" s="19">
        <v>0.0</v>
      </c>
      <c r="R145" s="19">
        <v>0.0</v>
      </c>
      <c r="S145" s="19">
        <v>0.0</v>
      </c>
      <c r="T145" s="19">
        <v>0.0</v>
      </c>
      <c r="U145" s="19">
        <v>0.0</v>
      </c>
      <c r="V145" s="19">
        <v>0.0</v>
      </c>
      <c r="W145" s="19">
        <v>0.0</v>
      </c>
      <c r="X145" s="19">
        <v>0.0</v>
      </c>
      <c r="Y145" s="19">
        <v>0.0</v>
      </c>
      <c r="Z145" s="19">
        <v>0.0</v>
      </c>
      <c r="AA145" s="19">
        <v>0.0</v>
      </c>
      <c r="AB145" s="19">
        <v>0.0</v>
      </c>
      <c r="AC145" s="19">
        <v>0.0</v>
      </c>
      <c r="AD145" s="13">
        <f t="shared" si="33"/>
        <v>0</v>
      </c>
      <c r="AE145" s="5"/>
      <c r="AF145" s="5"/>
    </row>
    <row r="146" ht="12.75" customHeight="1">
      <c r="A146" s="18"/>
      <c r="B146" s="55">
        <v>5.0</v>
      </c>
      <c r="C146" s="50" t="s">
        <v>110</v>
      </c>
      <c r="D146" s="57"/>
      <c r="E146" s="19">
        <v>0.0</v>
      </c>
      <c r="F146" s="19">
        <v>0.0</v>
      </c>
      <c r="G146" s="19">
        <v>0.0</v>
      </c>
      <c r="H146" s="19">
        <v>0.0</v>
      </c>
      <c r="I146" s="19">
        <v>0.0</v>
      </c>
      <c r="J146" s="19">
        <v>0.0</v>
      </c>
      <c r="K146" s="19">
        <v>0.0</v>
      </c>
      <c r="L146" s="19">
        <v>0.0</v>
      </c>
      <c r="M146" s="19">
        <v>0.0</v>
      </c>
      <c r="N146" s="19">
        <v>0.0</v>
      </c>
      <c r="O146" s="19">
        <v>0.0</v>
      </c>
      <c r="P146" s="19">
        <v>0.0</v>
      </c>
      <c r="Q146" s="19">
        <v>0.0</v>
      </c>
      <c r="R146" s="19">
        <v>0.0</v>
      </c>
      <c r="S146" s="19">
        <v>0.0</v>
      </c>
      <c r="T146" s="19">
        <v>0.0</v>
      </c>
      <c r="U146" s="19">
        <v>0.0</v>
      </c>
      <c r="V146" s="19">
        <v>0.0</v>
      </c>
      <c r="W146" s="19">
        <v>0.0</v>
      </c>
      <c r="X146" s="19">
        <v>0.0</v>
      </c>
      <c r="Y146" s="19">
        <v>1.0</v>
      </c>
      <c r="Z146" s="19">
        <v>0.0</v>
      </c>
      <c r="AA146" s="19">
        <v>0.0</v>
      </c>
      <c r="AB146" s="19">
        <v>0.0</v>
      </c>
      <c r="AC146" s="19">
        <v>0.0</v>
      </c>
      <c r="AD146" s="13">
        <f t="shared" si="33"/>
        <v>1</v>
      </c>
      <c r="AE146" s="5"/>
      <c r="AF146" s="5"/>
    </row>
    <row r="147" ht="12.75" customHeight="1">
      <c r="A147" s="18"/>
      <c r="B147" s="55">
        <v>6.0</v>
      </c>
      <c r="C147" s="50" t="s">
        <v>111</v>
      </c>
      <c r="D147" s="57"/>
      <c r="E147" s="19">
        <v>0.0</v>
      </c>
      <c r="F147" s="19">
        <v>0.0</v>
      </c>
      <c r="G147" s="19">
        <v>0.0</v>
      </c>
      <c r="H147" s="19">
        <v>0.0</v>
      </c>
      <c r="I147" s="19">
        <v>0.0</v>
      </c>
      <c r="J147" s="19">
        <v>0.0</v>
      </c>
      <c r="K147" s="19">
        <v>0.0</v>
      </c>
      <c r="L147" s="19">
        <v>0.0</v>
      </c>
      <c r="M147" s="19">
        <v>0.0</v>
      </c>
      <c r="N147" s="19">
        <v>0.0</v>
      </c>
      <c r="O147" s="19">
        <v>0.0</v>
      </c>
      <c r="P147" s="19">
        <v>0.0</v>
      </c>
      <c r="Q147" s="19">
        <v>0.0</v>
      </c>
      <c r="R147" s="19">
        <v>0.0</v>
      </c>
      <c r="S147" s="19">
        <v>0.0</v>
      </c>
      <c r="T147" s="19">
        <v>0.0</v>
      </c>
      <c r="U147" s="19">
        <v>0.0</v>
      </c>
      <c r="V147" s="19">
        <v>0.0</v>
      </c>
      <c r="W147" s="19">
        <v>0.0</v>
      </c>
      <c r="X147" s="19">
        <v>0.0</v>
      </c>
      <c r="Y147" s="19">
        <v>0.0</v>
      </c>
      <c r="Z147" s="19">
        <v>0.0</v>
      </c>
      <c r="AA147" s="19">
        <v>0.0</v>
      </c>
      <c r="AB147" s="19">
        <v>0.0</v>
      </c>
      <c r="AC147" s="19">
        <v>0.0</v>
      </c>
      <c r="AD147" s="13">
        <f t="shared" si="33"/>
        <v>0</v>
      </c>
      <c r="AE147" s="5"/>
      <c r="AF147" s="5"/>
    </row>
    <row r="148" ht="12.75" customHeight="1">
      <c r="A148" s="18"/>
      <c r="B148" s="55">
        <v>7.0</v>
      </c>
      <c r="C148" s="50" t="s">
        <v>112</v>
      </c>
      <c r="D148" s="57"/>
      <c r="E148" s="19">
        <v>0.0</v>
      </c>
      <c r="F148" s="19">
        <v>0.0</v>
      </c>
      <c r="G148" s="19">
        <v>0.0</v>
      </c>
      <c r="H148" s="19">
        <v>0.0</v>
      </c>
      <c r="I148" s="19">
        <v>0.0</v>
      </c>
      <c r="J148" s="19">
        <v>0.0</v>
      </c>
      <c r="K148" s="19">
        <v>0.0</v>
      </c>
      <c r="L148" s="19">
        <v>0.0</v>
      </c>
      <c r="M148" s="19">
        <v>0.0</v>
      </c>
      <c r="N148" s="19">
        <v>0.0</v>
      </c>
      <c r="O148" s="19">
        <v>0.0</v>
      </c>
      <c r="P148" s="19">
        <v>0.0</v>
      </c>
      <c r="Q148" s="19">
        <v>0.0</v>
      </c>
      <c r="R148" s="19">
        <v>0.0</v>
      </c>
      <c r="S148" s="19">
        <v>0.0</v>
      </c>
      <c r="T148" s="19">
        <v>0.0</v>
      </c>
      <c r="U148" s="19">
        <v>0.0</v>
      </c>
      <c r="V148" s="19">
        <v>0.0</v>
      </c>
      <c r="W148" s="19">
        <v>0.0</v>
      </c>
      <c r="X148" s="19">
        <v>0.0</v>
      </c>
      <c r="Y148" s="19">
        <v>0.0</v>
      </c>
      <c r="Z148" s="19">
        <v>0.0</v>
      </c>
      <c r="AA148" s="19">
        <v>0.0</v>
      </c>
      <c r="AB148" s="19">
        <v>0.0</v>
      </c>
      <c r="AC148" s="19">
        <v>0.0</v>
      </c>
      <c r="AD148" s="13">
        <f t="shared" si="33"/>
        <v>0</v>
      </c>
      <c r="AE148" s="5"/>
      <c r="AF148" s="5"/>
    </row>
    <row r="149" ht="12.75" customHeight="1">
      <c r="A149" s="18"/>
      <c r="B149" s="68"/>
      <c r="C149" s="69"/>
      <c r="D149" s="71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3">
        <f t="shared" si="33"/>
        <v>0</v>
      </c>
      <c r="AE149" s="5"/>
      <c r="AF149" s="5"/>
    </row>
    <row r="150" ht="12.75" customHeight="1">
      <c r="A150" s="18"/>
      <c r="B150" s="68"/>
      <c r="C150" s="69"/>
      <c r="D150" s="71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3">
        <f t="shared" si="33"/>
        <v>0</v>
      </c>
      <c r="AE150" s="5"/>
      <c r="AF150" s="5"/>
    </row>
    <row r="151" ht="12.75" customHeight="1">
      <c r="A151" s="19" t="s">
        <v>15</v>
      </c>
      <c r="B151" s="47" t="s">
        <v>47</v>
      </c>
      <c r="C151" s="15"/>
      <c r="D151" s="16"/>
      <c r="E151" s="13">
        <f t="shared" ref="E151:AC151" si="34">SUM(E141:E148)</f>
        <v>0</v>
      </c>
      <c r="F151" s="13">
        <f t="shared" si="34"/>
        <v>0</v>
      </c>
      <c r="G151" s="13">
        <f t="shared" si="34"/>
        <v>0</v>
      </c>
      <c r="H151" s="13">
        <f t="shared" si="34"/>
        <v>0</v>
      </c>
      <c r="I151" s="13">
        <f t="shared" si="34"/>
        <v>0</v>
      </c>
      <c r="J151" s="13">
        <f t="shared" si="34"/>
        <v>0</v>
      </c>
      <c r="K151" s="13">
        <f t="shared" si="34"/>
        <v>0</v>
      </c>
      <c r="L151" s="13">
        <f t="shared" si="34"/>
        <v>1</v>
      </c>
      <c r="M151" s="13">
        <f t="shared" si="34"/>
        <v>0</v>
      </c>
      <c r="N151" s="13">
        <f t="shared" si="34"/>
        <v>0</v>
      </c>
      <c r="O151" s="13">
        <f t="shared" si="34"/>
        <v>0</v>
      </c>
      <c r="P151" s="13">
        <f t="shared" si="34"/>
        <v>0</v>
      </c>
      <c r="Q151" s="13">
        <f t="shared" si="34"/>
        <v>0</v>
      </c>
      <c r="R151" s="13">
        <f t="shared" si="34"/>
        <v>0</v>
      </c>
      <c r="S151" s="13">
        <f t="shared" si="34"/>
        <v>0</v>
      </c>
      <c r="T151" s="13">
        <f t="shared" si="34"/>
        <v>0</v>
      </c>
      <c r="U151" s="13">
        <f t="shared" si="34"/>
        <v>0</v>
      </c>
      <c r="V151" s="13">
        <f t="shared" si="34"/>
        <v>0</v>
      </c>
      <c r="W151" s="13">
        <f t="shared" si="34"/>
        <v>0</v>
      </c>
      <c r="X151" s="13">
        <f t="shared" si="34"/>
        <v>0</v>
      </c>
      <c r="Y151" s="13">
        <f t="shared" si="34"/>
        <v>2</v>
      </c>
      <c r="Z151" s="13">
        <f t="shared" si="34"/>
        <v>0</v>
      </c>
      <c r="AA151" s="13">
        <f t="shared" si="34"/>
        <v>0</v>
      </c>
      <c r="AB151" s="13">
        <f t="shared" si="34"/>
        <v>0</v>
      </c>
      <c r="AC151" s="13">
        <f t="shared" si="34"/>
        <v>0</v>
      </c>
      <c r="AD151" s="13">
        <f t="shared" si="33"/>
        <v>3</v>
      </c>
      <c r="AE151" s="1"/>
      <c r="AF151" s="1"/>
    </row>
    <row r="152" ht="12.75" customHeight="1">
      <c r="A152" s="24"/>
      <c r="B152" s="15"/>
      <c r="C152" s="15"/>
      <c r="D152" s="15"/>
      <c r="E152" s="16"/>
      <c r="F152" s="72"/>
      <c r="G152" s="72"/>
      <c r="H152" s="72"/>
      <c r="I152" s="72"/>
      <c r="J152" s="72"/>
      <c r="K152" s="72"/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13"/>
      <c r="AE152" s="52"/>
      <c r="AF152" s="52"/>
    </row>
    <row r="153" ht="12.75" customHeight="1">
      <c r="A153" s="30" t="s">
        <v>37</v>
      </c>
      <c r="B153" s="47" t="s">
        <v>113</v>
      </c>
      <c r="C153" s="48" t="s">
        <v>114</v>
      </c>
      <c r="D153" s="16"/>
      <c r="E153" s="19">
        <v>0.0</v>
      </c>
      <c r="F153" s="19">
        <v>0.0</v>
      </c>
      <c r="G153" s="19">
        <v>9.0</v>
      </c>
      <c r="H153" s="19">
        <v>2.0</v>
      </c>
      <c r="I153" s="19">
        <v>0.0</v>
      </c>
      <c r="J153" s="19">
        <v>0.0</v>
      </c>
      <c r="K153" s="19">
        <v>2.0</v>
      </c>
      <c r="L153" s="19">
        <v>0.0</v>
      </c>
      <c r="M153" s="19">
        <v>0.0</v>
      </c>
      <c r="N153" s="19">
        <v>0.0</v>
      </c>
      <c r="O153" s="19">
        <v>0.0</v>
      </c>
      <c r="P153" s="19">
        <v>0.0</v>
      </c>
      <c r="Q153" s="19">
        <v>0.0</v>
      </c>
      <c r="R153" s="19">
        <v>1.0</v>
      </c>
      <c r="S153" s="19">
        <v>0.0</v>
      </c>
      <c r="T153" s="19">
        <v>0.0</v>
      </c>
      <c r="U153" s="19">
        <v>0.0</v>
      </c>
      <c r="V153" s="19">
        <v>0.0</v>
      </c>
      <c r="W153" s="19">
        <v>0.0</v>
      </c>
      <c r="X153" s="19">
        <v>0.0</v>
      </c>
      <c r="Y153" s="19">
        <v>0.0</v>
      </c>
      <c r="Z153" s="19">
        <v>0.0</v>
      </c>
      <c r="AA153" s="19">
        <v>0.0</v>
      </c>
      <c r="AB153" s="19">
        <v>0.0</v>
      </c>
      <c r="AC153" s="19">
        <v>0.0</v>
      </c>
      <c r="AD153" s="13">
        <f t="shared" ref="AD153:AD163" si="35">SUM(E153:AC153)</f>
        <v>14</v>
      </c>
      <c r="AE153" s="5"/>
      <c r="AF153" s="5"/>
    </row>
    <row r="154" ht="12.75" customHeight="1">
      <c r="A154" s="30" t="s">
        <v>39</v>
      </c>
      <c r="B154" s="55">
        <v>1.0</v>
      </c>
      <c r="C154" s="59" t="s">
        <v>115</v>
      </c>
      <c r="D154" s="57"/>
      <c r="E154" s="19">
        <v>1.0</v>
      </c>
      <c r="F154" s="19">
        <v>1.0</v>
      </c>
      <c r="G154" s="19">
        <v>5.0</v>
      </c>
      <c r="H154" s="19">
        <v>2.0</v>
      </c>
      <c r="I154" s="19">
        <v>0.0</v>
      </c>
      <c r="J154" s="19">
        <v>0.0</v>
      </c>
      <c r="K154" s="19">
        <v>3.0</v>
      </c>
      <c r="L154" s="19">
        <v>0.0</v>
      </c>
      <c r="M154" s="19">
        <v>0.0</v>
      </c>
      <c r="N154" s="19">
        <v>0.0</v>
      </c>
      <c r="O154" s="19">
        <v>0.0</v>
      </c>
      <c r="P154" s="19">
        <v>0.0</v>
      </c>
      <c r="Q154" s="19">
        <v>0.0</v>
      </c>
      <c r="R154" s="19">
        <v>0.0</v>
      </c>
      <c r="S154" s="19">
        <v>0.0</v>
      </c>
      <c r="T154" s="19">
        <v>0.0</v>
      </c>
      <c r="U154" s="19">
        <v>0.0</v>
      </c>
      <c r="V154" s="19">
        <v>0.0</v>
      </c>
      <c r="W154" s="19">
        <v>0.0</v>
      </c>
      <c r="X154" s="19">
        <v>5.0</v>
      </c>
      <c r="Y154" s="19">
        <v>0.0</v>
      </c>
      <c r="Z154" s="19">
        <v>0.0</v>
      </c>
      <c r="AA154" s="19">
        <v>0.0</v>
      </c>
      <c r="AB154" s="19">
        <v>0.0</v>
      </c>
      <c r="AC154" s="19">
        <v>0.0</v>
      </c>
      <c r="AD154" s="13">
        <f t="shared" si="35"/>
        <v>17</v>
      </c>
      <c r="AE154" s="5"/>
      <c r="AF154" s="5"/>
    </row>
    <row r="155" ht="12.75" customHeight="1">
      <c r="A155" s="18"/>
      <c r="B155" s="55">
        <v>2.0</v>
      </c>
      <c r="C155" s="59" t="s">
        <v>116</v>
      </c>
      <c r="D155" s="57"/>
      <c r="E155" s="19">
        <v>0.0</v>
      </c>
      <c r="F155" s="19">
        <v>0.0</v>
      </c>
      <c r="G155" s="19">
        <v>1.0</v>
      </c>
      <c r="H155" s="19">
        <v>0.0</v>
      </c>
      <c r="I155" s="19">
        <v>0.0</v>
      </c>
      <c r="J155" s="19">
        <v>0.0</v>
      </c>
      <c r="K155" s="19">
        <v>0.0</v>
      </c>
      <c r="L155" s="19">
        <v>0.0</v>
      </c>
      <c r="M155" s="19">
        <v>0.0</v>
      </c>
      <c r="N155" s="19">
        <v>0.0</v>
      </c>
      <c r="O155" s="19">
        <v>0.0</v>
      </c>
      <c r="P155" s="19">
        <v>0.0</v>
      </c>
      <c r="Q155" s="19">
        <v>1.0</v>
      </c>
      <c r="R155" s="19">
        <v>0.0</v>
      </c>
      <c r="S155" s="19">
        <v>0.0</v>
      </c>
      <c r="T155" s="19">
        <v>0.0</v>
      </c>
      <c r="U155" s="19">
        <v>0.0</v>
      </c>
      <c r="V155" s="19">
        <v>0.0</v>
      </c>
      <c r="W155" s="19">
        <v>0.0</v>
      </c>
      <c r="X155" s="19">
        <v>0.0</v>
      </c>
      <c r="Y155" s="19">
        <v>0.0</v>
      </c>
      <c r="Z155" s="19">
        <v>1.0</v>
      </c>
      <c r="AA155" s="19">
        <v>1.0</v>
      </c>
      <c r="AB155" s="19">
        <v>0.0</v>
      </c>
      <c r="AC155" s="19">
        <v>0.0</v>
      </c>
      <c r="AD155" s="13">
        <f t="shared" si="35"/>
        <v>4</v>
      </c>
      <c r="AE155" s="5"/>
      <c r="AF155" s="5"/>
    </row>
    <row r="156" ht="12.75" customHeight="1">
      <c r="A156" s="18"/>
      <c r="B156" s="55">
        <v>3.0</v>
      </c>
      <c r="C156" s="59" t="s">
        <v>117</v>
      </c>
      <c r="D156" s="57"/>
      <c r="E156" s="19">
        <v>0.0</v>
      </c>
      <c r="F156" s="19">
        <v>0.0</v>
      </c>
      <c r="G156" s="19">
        <v>0.0</v>
      </c>
      <c r="H156" s="19">
        <v>0.0</v>
      </c>
      <c r="I156" s="19">
        <v>0.0</v>
      </c>
      <c r="J156" s="19">
        <v>0.0</v>
      </c>
      <c r="K156" s="19">
        <v>0.0</v>
      </c>
      <c r="L156" s="19">
        <v>0.0</v>
      </c>
      <c r="M156" s="19">
        <v>0.0</v>
      </c>
      <c r="N156" s="19">
        <v>0.0</v>
      </c>
      <c r="O156" s="19">
        <v>0.0</v>
      </c>
      <c r="P156" s="19">
        <v>0.0</v>
      </c>
      <c r="Q156" s="19">
        <v>0.0</v>
      </c>
      <c r="R156" s="19">
        <v>0.0</v>
      </c>
      <c r="S156" s="19">
        <v>0.0</v>
      </c>
      <c r="T156" s="19">
        <v>0.0</v>
      </c>
      <c r="U156" s="19">
        <v>0.0</v>
      </c>
      <c r="V156" s="19">
        <v>0.0</v>
      </c>
      <c r="W156" s="19">
        <v>0.0</v>
      </c>
      <c r="X156" s="19">
        <v>0.0</v>
      </c>
      <c r="Y156" s="19">
        <v>0.0</v>
      </c>
      <c r="Z156" s="19">
        <v>0.0</v>
      </c>
      <c r="AA156" s="19">
        <v>0.0</v>
      </c>
      <c r="AB156" s="19">
        <v>0.0</v>
      </c>
      <c r="AC156" s="19">
        <v>0.0</v>
      </c>
      <c r="AD156" s="13">
        <f t="shared" si="35"/>
        <v>0</v>
      </c>
      <c r="AE156" s="5"/>
      <c r="AF156" s="5"/>
    </row>
    <row r="157" ht="12.75" customHeight="1">
      <c r="A157" s="18"/>
      <c r="B157" s="55">
        <v>4.0</v>
      </c>
      <c r="C157" s="59" t="s">
        <v>118</v>
      </c>
      <c r="D157" s="57"/>
      <c r="E157" s="19">
        <v>0.0</v>
      </c>
      <c r="F157" s="19">
        <v>0.0</v>
      </c>
      <c r="G157" s="19">
        <v>0.0</v>
      </c>
      <c r="H157" s="19">
        <v>0.0</v>
      </c>
      <c r="I157" s="19">
        <v>0.0</v>
      </c>
      <c r="J157" s="19">
        <v>0.0</v>
      </c>
      <c r="K157" s="19">
        <v>0.0</v>
      </c>
      <c r="L157" s="19">
        <v>0.0</v>
      </c>
      <c r="M157" s="19">
        <v>0.0</v>
      </c>
      <c r="N157" s="19">
        <v>0.0</v>
      </c>
      <c r="O157" s="19">
        <v>0.0</v>
      </c>
      <c r="P157" s="19">
        <v>0.0</v>
      </c>
      <c r="Q157" s="19">
        <v>0.0</v>
      </c>
      <c r="R157" s="19">
        <v>0.0</v>
      </c>
      <c r="S157" s="19">
        <v>0.0</v>
      </c>
      <c r="T157" s="19">
        <v>0.0</v>
      </c>
      <c r="U157" s="19">
        <v>0.0</v>
      </c>
      <c r="V157" s="19">
        <v>0.0</v>
      </c>
      <c r="W157" s="19">
        <v>0.0</v>
      </c>
      <c r="X157" s="19">
        <v>0.0</v>
      </c>
      <c r="Y157" s="19">
        <v>0.0</v>
      </c>
      <c r="Z157" s="19">
        <v>0.0</v>
      </c>
      <c r="AA157" s="19">
        <v>0.0</v>
      </c>
      <c r="AB157" s="19">
        <v>0.0</v>
      </c>
      <c r="AC157" s="19">
        <v>0.0</v>
      </c>
      <c r="AD157" s="13">
        <f t="shared" si="35"/>
        <v>0</v>
      </c>
      <c r="AE157" s="5"/>
      <c r="AF157" s="5"/>
    </row>
    <row r="158" ht="12.75" customHeight="1">
      <c r="A158" s="18"/>
      <c r="B158" s="68"/>
      <c r="C158" s="73"/>
      <c r="D158" s="71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3">
        <f t="shared" si="35"/>
        <v>0</v>
      </c>
      <c r="AE158" s="5"/>
      <c r="AF158" s="5"/>
    </row>
    <row r="159" ht="12.75" customHeight="1">
      <c r="A159" s="18"/>
      <c r="B159" s="68"/>
      <c r="C159" s="73"/>
      <c r="D159" s="71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3">
        <f t="shared" si="35"/>
        <v>0</v>
      </c>
      <c r="AE159" s="5"/>
      <c r="AF159" s="5"/>
    </row>
    <row r="160" ht="12.75" customHeight="1">
      <c r="A160" s="18"/>
      <c r="B160" s="68"/>
      <c r="C160" s="73"/>
      <c r="D160" s="71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3">
        <f t="shared" si="35"/>
        <v>0</v>
      </c>
      <c r="AE160" s="5"/>
      <c r="AF160" s="5"/>
    </row>
    <row r="161" ht="12.75" customHeight="1">
      <c r="A161" s="18"/>
      <c r="B161" s="68"/>
      <c r="C161" s="73"/>
      <c r="D161" s="71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3">
        <f t="shared" si="35"/>
        <v>0</v>
      </c>
      <c r="AE161" s="5"/>
      <c r="AF161" s="5"/>
    </row>
    <row r="162" ht="12.75" customHeight="1">
      <c r="A162" s="18"/>
      <c r="B162" s="68"/>
      <c r="C162" s="73"/>
      <c r="D162" s="71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3">
        <f t="shared" si="35"/>
        <v>0</v>
      </c>
      <c r="AE162" s="5"/>
      <c r="AF162" s="5"/>
    </row>
    <row r="163" ht="15.0" customHeight="1">
      <c r="A163" s="19" t="s">
        <v>15</v>
      </c>
      <c r="B163" s="47" t="s">
        <v>47</v>
      </c>
      <c r="C163" s="15"/>
      <c r="D163" s="16"/>
      <c r="E163" s="13">
        <f t="shared" ref="E163:AC163" si="36">SUM(E153:E157)</f>
        <v>1</v>
      </c>
      <c r="F163" s="13">
        <f t="shared" si="36"/>
        <v>1</v>
      </c>
      <c r="G163" s="13">
        <f t="shared" si="36"/>
        <v>15</v>
      </c>
      <c r="H163" s="13">
        <f t="shared" si="36"/>
        <v>4</v>
      </c>
      <c r="I163" s="13">
        <f t="shared" si="36"/>
        <v>0</v>
      </c>
      <c r="J163" s="13">
        <f t="shared" si="36"/>
        <v>0</v>
      </c>
      <c r="K163" s="13">
        <f t="shared" si="36"/>
        <v>5</v>
      </c>
      <c r="L163" s="13">
        <f t="shared" si="36"/>
        <v>0</v>
      </c>
      <c r="M163" s="13">
        <f t="shared" si="36"/>
        <v>0</v>
      </c>
      <c r="N163" s="13">
        <f t="shared" si="36"/>
        <v>0</v>
      </c>
      <c r="O163" s="13">
        <f t="shared" si="36"/>
        <v>0</v>
      </c>
      <c r="P163" s="13">
        <f t="shared" si="36"/>
        <v>0</v>
      </c>
      <c r="Q163" s="13">
        <f t="shared" si="36"/>
        <v>1</v>
      </c>
      <c r="R163" s="13">
        <f t="shared" si="36"/>
        <v>1</v>
      </c>
      <c r="S163" s="13">
        <f t="shared" si="36"/>
        <v>0</v>
      </c>
      <c r="T163" s="13">
        <f t="shared" si="36"/>
        <v>0</v>
      </c>
      <c r="U163" s="13">
        <f t="shared" si="36"/>
        <v>0</v>
      </c>
      <c r="V163" s="13">
        <f t="shared" si="36"/>
        <v>0</v>
      </c>
      <c r="W163" s="13">
        <f t="shared" si="36"/>
        <v>0</v>
      </c>
      <c r="X163" s="13">
        <f t="shared" si="36"/>
        <v>5</v>
      </c>
      <c r="Y163" s="13">
        <f t="shared" si="36"/>
        <v>0</v>
      </c>
      <c r="Z163" s="13">
        <f t="shared" si="36"/>
        <v>1</v>
      </c>
      <c r="AA163" s="13">
        <f t="shared" si="36"/>
        <v>1</v>
      </c>
      <c r="AB163" s="13">
        <f t="shared" si="36"/>
        <v>0</v>
      </c>
      <c r="AC163" s="13">
        <f t="shared" si="36"/>
        <v>0</v>
      </c>
      <c r="AD163" s="13">
        <f t="shared" si="35"/>
        <v>35</v>
      </c>
      <c r="AE163" s="5"/>
      <c r="AF163" s="5"/>
    </row>
    <row r="164" ht="12.75" customHeight="1">
      <c r="A164" s="24"/>
      <c r="B164" s="15"/>
      <c r="C164" s="15"/>
      <c r="D164" s="15"/>
      <c r="E164" s="16"/>
      <c r="F164" s="72"/>
      <c r="G164" s="72"/>
      <c r="H164" s="72"/>
      <c r="I164" s="72"/>
      <c r="J164" s="72"/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5"/>
      <c r="AF164" s="5"/>
    </row>
    <row r="165" ht="12.75" customHeight="1">
      <c r="A165" s="30" t="s">
        <v>37</v>
      </c>
      <c r="B165" s="47" t="s">
        <v>119</v>
      </c>
      <c r="C165" s="48" t="s">
        <v>120</v>
      </c>
      <c r="D165" s="16"/>
      <c r="E165" s="19">
        <v>0.0</v>
      </c>
      <c r="F165" s="19">
        <v>0.0</v>
      </c>
      <c r="G165" s="19">
        <v>0.0</v>
      </c>
      <c r="H165" s="19">
        <v>0.0</v>
      </c>
      <c r="I165" s="19">
        <v>0.0</v>
      </c>
      <c r="J165" s="19">
        <v>0.0</v>
      </c>
      <c r="K165" s="19">
        <v>0.0</v>
      </c>
      <c r="L165" s="19">
        <v>0.0</v>
      </c>
      <c r="M165" s="19">
        <v>0.0</v>
      </c>
      <c r="N165" s="19">
        <v>0.0</v>
      </c>
      <c r="O165" s="19">
        <v>0.0</v>
      </c>
      <c r="P165" s="19">
        <v>0.0</v>
      </c>
      <c r="Q165" s="19">
        <v>0.0</v>
      </c>
      <c r="R165" s="19">
        <v>0.0</v>
      </c>
      <c r="S165" s="19">
        <v>0.0</v>
      </c>
      <c r="T165" s="19">
        <v>0.0</v>
      </c>
      <c r="U165" s="19">
        <v>1.0</v>
      </c>
      <c r="V165" s="19">
        <v>0.0</v>
      </c>
      <c r="W165" s="19">
        <v>0.0</v>
      </c>
      <c r="X165" s="19">
        <v>1.0</v>
      </c>
      <c r="Y165" s="19">
        <v>0.0</v>
      </c>
      <c r="Z165" s="19">
        <v>0.0</v>
      </c>
      <c r="AA165" s="19">
        <v>0.0</v>
      </c>
      <c r="AB165" s="19">
        <v>1.0</v>
      </c>
      <c r="AC165" s="19">
        <v>0.0</v>
      </c>
      <c r="AD165" s="13">
        <f t="shared" ref="AD165:AD175" si="37">SUM(E165:AC165)</f>
        <v>3</v>
      </c>
      <c r="AE165" s="1"/>
      <c r="AF165" s="1"/>
    </row>
    <row r="166" ht="12.75" customHeight="1">
      <c r="A166" s="30" t="s">
        <v>39</v>
      </c>
      <c r="B166" s="55">
        <v>1.0</v>
      </c>
      <c r="C166" s="50" t="s">
        <v>121</v>
      </c>
      <c r="D166" s="57"/>
      <c r="E166" s="19">
        <v>0.0</v>
      </c>
      <c r="F166" s="19">
        <v>0.0</v>
      </c>
      <c r="G166" s="19">
        <v>0.0</v>
      </c>
      <c r="H166" s="19">
        <v>0.0</v>
      </c>
      <c r="I166" s="19">
        <v>0.0</v>
      </c>
      <c r="J166" s="19">
        <v>0.0</v>
      </c>
      <c r="K166" s="19">
        <v>0.0</v>
      </c>
      <c r="L166" s="19">
        <v>0.0</v>
      </c>
      <c r="M166" s="19">
        <v>0.0</v>
      </c>
      <c r="N166" s="19">
        <v>0.0</v>
      </c>
      <c r="O166" s="19">
        <v>0.0</v>
      </c>
      <c r="P166" s="19">
        <v>0.0</v>
      </c>
      <c r="Q166" s="19">
        <v>0.0</v>
      </c>
      <c r="R166" s="19">
        <v>0.0</v>
      </c>
      <c r="S166" s="19">
        <v>0.0</v>
      </c>
      <c r="T166" s="19">
        <v>0.0</v>
      </c>
      <c r="U166" s="19">
        <v>0.0</v>
      </c>
      <c r="V166" s="19">
        <v>0.0</v>
      </c>
      <c r="W166" s="19">
        <v>0.0</v>
      </c>
      <c r="X166" s="19">
        <v>0.0</v>
      </c>
      <c r="Y166" s="19">
        <v>0.0</v>
      </c>
      <c r="Z166" s="19">
        <v>0.0</v>
      </c>
      <c r="AA166" s="19">
        <v>0.0</v>
      </c>
      <c r="AB166" s="19">
        <v>0.0</v>
      </c>
      <c r="AC166" s="19">
        <v>0.0</v>
      </c>
      <c r="AD166" s="13">
        <f t="shared" si="37"/>
        <v>0</v>
      </c>
      <c r="AE166" s="52"/>
      <c r="AF166" s="52"/>
    </row>
    <row r="167" ht="12.75" customHeight="1">
      <c r="A167" s="18"/>
      <c r="B167" s="55">
        <v>2.0</v>
      </c>
      <c r="C167" s="50" t="s">
        <v>122</v>
      </c>
      <c r="D167" s="57"/>
      <c r="E167" s="19">
        <v>0.0</v>
      </c>
      <c r="F167" s="19">
        <v>0.0</v>
      </c>
      <c r="G167" s="19">
        <v>0.0</v>
      </c>
      <c r="H167" s="19">
        <v>0.0</v>
      </c>
      <c r="I167" s="19">
        <v>0.0</v>
      </c>
      <c r="J167" s="19">
        <v>0.0</v>
      </c>
      <c r="K167" s="19">
        <v>0.0</v>
      </c>
      <c r="L167" s="19">
        <v>0.0</v>
      </c>
      <c r="M167" s="19">
        <v>0.0</v>
      </c>
      <c r="N167" s="19">
        <v>0.0</v>
      </c>
      <c r="O167" s="19">
        <v>0.0</v>
      </c>
      <c r="P167" s="19">
        <v>0.0</v>
      </c>
      <c r="Q167" s="19">
        <v>0.0</v>
      </c>
      <c r="R167" s="19">
        <v>0.0</v>
      </c>
      <c r="S167" s="19">
        <v>0.0</v>
      </c>
      <c r="T167" s="19">
        <v>0.0</v>
      </c>
      <c r="U167" s="19">
        <v>0.0</v>
      </c>
      <c r="V167" s="19">
        <v>0.0</v>
      </c>
      <c r="W167" s="19">
        <v>1.0</v>
      </c>
      <c r="X167" s="19">
        <v>0.0</v>
      </c>
      <c r="Y167" s="19">
        <v>0.0</v>
      </c>
      <c r="Z167" s="19">
        <v>0.0</v>
      </c>
      <c r="AA167" s="19">
        <v>0.0</v>
      </c>
      <c r="AB167" s="19">
        <v>0.0</v>
      </c>
      <c r="AC167" s="19">
        <v>0.0</v>
      </c>
      <c r="AD167" s="13">
        <f t="shared" si="37"/>
        <v>1</v>
      </c>
      <c r="AE167" s="5"/>
      <c r="AF167" s="5"/>
    </row>
    <row r="168" ht="12.75" customHeight="1">
      <c r="A168" s="18"/>
      <c r="B168" s="55">
        <v>3.0</v>
      </c>
      <c r="C168" s="50" t="s">
        <v>123</v>
      </c>
      <c r="D168" s="57"/>
      <c r="E168" s="19">
        <v>0.0</v>
      </c>
      <c r="F168" s="19">
        <v>0.0</v>
      </c>
      <c r="G168" s="19">
        <v>0.0</v>
      </c>
      <c r="H168" s="19">
        <v>0.0</v>
      </c>
      <c r="I168" s="19">
        <v>0.0</v>
      </c>
      <c r="J168" s="19">
        <v>0.0</v>
      </c>
      <c r="K168" s="19">
        <v>0.0</v>
      </c>
      <c r="L168" s="19">
        <v>0.0</v>
      </c>
      <c r="M168" s="19">
        <v>0.0</v>
      </c>
      <c r="N168" s="19">
        <v>0.0</v>
      </c>
      <c r="O168" s="19">
        <v>0.0</v>
      </c>
      <c r="P168" s="19">
        <v>0.0</v>
      </c>
      <c r="Q168" s="19">
        <v>0.0</v>
      </c>
      <c r="R168" s="19">
        <v>0.0</v>
      </c>
      <c r="S168" s="19">
        <v>0.0</v>
      </c>
      <c r="T168" s="19">
        <v>0.0</v>
      </c>
      <c r="U168" s="19">
        <v>0.0</v>
      </c>
      <c r="V168" s="19">
        <v>0.0</v>
      </c>
      <c r="W168" s="19">
        <v>0.0</v>
      </c>
      <c r="X168" s="19">
        <v>0.0</v>
      </c>
      <c r="Y168" s="19">
        <v>0.0</v>
      </c>
      <c r="Z168" s="19">
        <v>0.0</v>
      </c>
      <c r="AA168" s="19">
        <v>0.0</v>
      </c>
      <c r="AB168" s="19">
        <v>0.0</v>
      </c>
      <c r="AC168" s="19">
        <v>0.0</v>
      </c>
      <c r="AD168" s="13">
        <f t="shared" si="37"/>
        <v>0</v>
      </c>
      <c r="AE168" s="5"/>
      <c r="AF168" s="5"/>
    </row>
    <row r="169" ht="12.75" customHeight="1">
      <c r="A169" s="18"/>
      <c r="B169" s="55">
        <v>4.0</v>
      </c>
      <c r="C169" s="50" t="s">
        <v>124</v>
      </c>
      <c r="D169" s="57"/>
      <c r="E169" s="19">
        <v>0.0</v>
      </c>
      <c r="F169" s="19">
        <v>0.0</v>
      </c>
      <c r="G169" s="19">
        <v>0.0</v>
      </c>
      <c r="H169" s="19">
        <v>0.0</v>
      </c>
      <c r="I169" s="19">
        <v>0.0</v>
      </c>
      <c r="J169" s="19">
        <v>0.0</v>
      </c>
      <c r="K169" s="19">
        <v>0.0</v>
      </c>
      <c r="L169" s="19">
        <v>0.0</v>
      </c>
      <c r="M169" s="19">
        <v>1.0</v>
      </c>
      <c r="N169" s="19">
        <v>0.0</v>
      </c>
      <c r="O169" s="19">
        <v>0.0</v>
      </c>
      <c r="P169" s="19">
        <v>0.0</v>
      </c>
      <c r="Q169" s="19">
        <v>0.0</v>
      </c>
      <c r="R169" s="19">
        <v>0.0</v>
      </c>
      <c r="S169" s="19">
        <v>0.0</v>
      </c>
      <c r="T169" s="19">
        <v>0.0</v>
      </c>
      <c r="U169" s="19">
        <v>0.0</v>
      </c>
      <c r="V169" s="19">
        <v>0.0</v>
      </c>
      <c r="W169" s="19">
        <v>0.0</v>
      </c>
      <c r="X169" s="19">
        <v>0.0</v>
      </c>
      <c r="Y169" s="19">
        <v>0.0</v>
      </c>
      <c r="Z169" s="19">
        <v>0.0</v>
      </c>
      <c r="AA169" s="19">
        <v>0.0</v>
      </c>
      <c r="AB169" s="19">
        <v>0.0</v>
      </c>
      <c r="AC169" s="19">
        <v>0.0</v>
      </c>
      <c r="AD169" s="13">
        <f t="shared" si="37"/>
        <v>1</v>
      </c>
      <c r="AE169" s="5"/>
      <c r="AF169" s="5"/>
    </row>
    <row r="170" ht="12.75" customHeight="1">
      <c r="A170" s="18"/>
      <c r="B170" s="55">
        <v>5.0</v>
      </c>
      <c r="C170" s="50" t="s">
        <v>125</v>
      </c>
      <c r="D170" s="57"/>
      <c r="E170" s="19">
        <v>0.0</v>
      </c>
      <c r="F170" s="19">
        <v>0.0</v>
      </c>
      <c r="G170" s="19">
        <v>0.0</v>
      </c>
      <c r="H170" s="19">
        <v>0.0</v>
      </c>
      <c r="I170" s="19">
        <v>0.0</v>
      </c>
      <c r="J170" s="19">
        <v>0.0</v>
      </c>
      <c r="K170" s="19">
        <v>0.0</v>
      </c>
      <c r="L170" s="19">
        <v>0.0</v>
      </c>
      <c r="M170" s="19">
        <v>0.0</v>
      </c>
      <c r="N170" s="19">
        <v>0.0</v>
      </c>
      <c r="O170" s="19">
        <v>0.0</v>
      </c>
      <c r="P170" s="19">
        <v>0.0</v>
      </c>
      <c r="Q170" s="19">
        <v>0.0</v>
      </c>
      <c r="R170" s="19">
        <v>0.0</v>
      </c>
      <c r="S170" s="19">
        <v>0.0</v>
      </c>
      <c r="T170" s="19">
        <v>0.0</v>
      </c>
      <c r="U170" s="19">
        <v>0.0</v>
      </c>
      <c r="V170" s="19">
        <v>0.0</v>
      </c>
      <c r="W170" s="19">
        <v>0.0</v>
      </c>
      <c r="X170" s="19">
        <v>0.0</v>
      </c>
      <c r="Y170" s="19">
        <v>0.0</v>
      </c>
      <c r="Z170" s="19">
        <v>0.0</v>
      </c>
      <c r="AA170" s="19">
        <v>0.0</v>
      </c>
      <c r="AB170" s="19">
        <v>0.0</v>
      </c>
      <c r="AC170" s="19">
        <v>0.0</v>
      </c>
      <c r="AD170" s="13">
        <f t="shared" si="37"/>
        <v>0</v>
      </c>
      <c r="AE170" s="5"/>
      <c r="AF170" s="5"/>
    </row>
    <row r="171" ht="12.75" customHeight="1">
      <c r="A171" s="18"/>
      <c r="B171" s="55">
        <v>6.0</v>
      </c>
      <c r="C171" s="50" t="s">
        <v>126</v>
      </c>
      <c r="D171" s="57"/>
      <c r="E171" s="19">
        <v>0.0</v>
      </c>
      <c r="F171" s="19">
        <v>0.0</v>
      </c>
      <c r="G171" s="19">
        <v>0.0</v>
      </c>
      <c r="H171" s="19">
        <v>0.0</v>
      </c>
      <c r="I171" s="19">
        <v>0.0</v>
      </c>
      <c r="J171" s="19">
        <v>0.0</v>
      </c>
      <c r="K171" s="19">
        <v>0.0</v>
      </c>
      <c r="L171" s="19">
        <v>0.0</v>
      </c>
      <c r="M171" s="19">
        <v>0.0</v>
      </c>
      <c r="N171" s="19">
        <v>0.0</v>
      </c>
      <c r="O171" s="19">
        <v>0.0</v>
      </c>
      <c r="P171" s="19">
        <v>0.0</v>
      </c>
      <c r="Q171" s="19">
        <v>0.0</v>
      </c>
      <c r="R171" s="19">
        <v>0.0</v>
      </c>
      <c r="S171" s="19">
        <v>0.0</v>
      </c>
      <c r="T171" s="19">
        <v>0.0</v>
      </c>
      <c r="U171" s="19">
        <v>0.0</v>
      </c>
      <c r="V171" s="19">
        <v>0.0</v>
      </c>
      <c r="W171" s="19">
        <v>0.0</v>
      </c>
      <c r="X171" s="19">
        <v>0.0</v>
      </c>
      <c r="Y171" s="19">
        <v>0.0</v>
      </c>
      <c r="Z171" s="19">
        <v>0.0</v>
      </c>
      <c r="AA171" s="19">
        <v>0.0</v>
      </c>
      <c r="AB171" s="19">
        <v>0.0</v>
      </c>
      <c r="AC171" s="19">
        <v>0.0</v>
      </c>
      <c r="AD171" s="13">
        <f t="shared" si="37"/>
        <v>0</v>
      </c>
      <c r="AE171" s="5"/>
      <c r="AF171" s="5"/>
    </row>
    <row r="172" ht="12.75" customHeight="1">
      <c r="A172" s="18"/>
      <c r="B172" s="55">
        <v>7.0</v>
      </c>
      <c r="C172" s="50" t="s">
        <v>127</v>
      </c>
      <c r="D172" s="57"/>
      <c r="E172" s="19">
        <v>0.0</v>
      </c>
      <c r="F172" s="19">
        <v>0.0</v>
      </c>
      <c r="G172" s="19">
        <v>0.0</v>
      </c>
      <c r="H172" s="19">
        <v>0.0</v>
      </c>
      <c r="I172" s="19">
        <v>0.0</v>
      </c>
      <c r="J172" s="19">
        <v>0.0</v>
      </c>
      <c r="K172" s="19">
        <v>0.0</v>
      </c>
      <c r="L172" s="19">
        <v>0.0</v>
      </c>
      <c r="M172" s="19">
        <v>0.0</v>
      </c>
      <c r="N172" s="19">
        <v>0.0</v>
      </c>
      <c r="O172" s="19">
        <v>0.0</v>
      </c>
      <c r="P172" s="19">
        <v>0.0</v>
      </c>
      <c r="Q172" s="19">
        <v>0.0</v>
      </c>
      <c r="R172" s="19">
        <v>0.0</v>
      </c>
      <c r="S172" s="19">
        <v>0.0</v>
      </c>
      <c r="T172" s="19">
        <v>0.0</v>
      </c>
      <c r="U172" s="19">
        <v>0.0</v>
      </c>
      <c r="V172" s="19">
        <v>0.0</v>
      </c>
      <c r="W172" s="19">
        <v>0.0</v>
      </c>
      <c r="X172" s="19">
        <v>0.0</v>
      </c>
      <c r="Y172" s="19">
        <v>0.0</v>
      </c>
      <c r="Z172" s="19">
        <v>0.0</v>
      </c>
      <c r="AA172" s="19">
        <v>0.0</v>
      </c>
      <c r="AB172" s="19">
        <v>0.0</v>
      </c>
      <c r="AC172" s="19">
        <v>0.0</v>
      </c>
      <c r="AD172" s="13">
        <f t="shared" si="37"/>
        <v>0</v>
      </c>
      <c r="AE172" s="5"/>
      <c r="AF172" s="5"/>
    </row>
    <row r="173" ht="12.75" customHeight="1">
      <c r="A173" s="18"/>
      <c r="B173" s="68"/>
      <c r="C173" s="69"/>
      <c r="D173" s="71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3">
        <f t="shared" si="37"/>
        <v>0</v>
      </c>
      <c r="AE173" s="5"/>
      <c r="AF173" s="5"/>
    </row>
    <row r="174" ht="12.75" customHeight="1">
      <c r="A174" s="18"/>
      <c r="B174" s="68"/>
      <c r="C174" s="69"/>
      <c r="D174" s="71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3">
        <f t="shared" si="37"/>
        <v>0</v>
      </c>
      <c r="AE174" s="5"/>
      <c r="AF174" s="5"/>
    </row>
    <row r="175" ht="15.0" customHeight="1">
      <c r="A175" s="19" t="s">
        <v>15</v>
      </c>
      <c r="B175" s="47" t="s">
        <v>47</v>
      </c>
      <c r="C175" s="15"/>
      <c r="D175" s="16"/>
      <c r="E175" s="13">
        <f t="shared" ref="E175:AC175" si="38">SUM(E165:E172)</f>
        <v>0</v>
      </c>
      <c r="F175" s="13">
        <f t="shared" si="38"/>
        <v>0</v>
      </c>
      <c r="G175" s="13">
        <f t="shared" si="38"/>
        <v>0</v>
      </c>
      <c r="H175" s="13">
        <f t="shared" si="38"/>
        <v>0</v>
      </c>
      <c r="I175" s="13">
        <f t="shared" si="38"/>
        <v>0</v>
      </c>
      <c r="J175" s="13">
        <f t="shared" si="38"/>
        <v>0</v>
      </c>
      <c r="K175" s="13">
        <f t="shared" si="38"/>
        <v>0</v>
      </c>
      <c r="L175" s="13">
        <f t="shared" si="38"/>
        <v>0</v>
      </c>
      <c r="M175" s="13">
        <f t="shared" si="38"/>
        <v>1</v>
      </c>
      <c r="N175" s="13">
        <f t="shared" si="38"/>
        <v>0</v>
      </c>
      <c r="O175" s="13">
        <f t="shared" si="38"/>
        <v>0</v>
      </c>
      <c r="P175" s="13">
        <f t="shared" si="38"/>
        <v>0</v>
      </c>
      <c r="Q175" s="13">
        <f t="shared" si="38"/>
        <v>0</v>
      </c>
      <c r="R175" s="13">
        <f t="shared" si="38"/>
        <v>0</v>
      </c>
      <c r="S175" s="13">
        <f t="shared" si="38"/>
        <v>0</v>
      </c>
      <c r="T175" s="13">
        <f t="shared" si="38"/>
        <v>0</v>
      </c>
      <c r="U175" s="13">
        <f t="shared" si="38"/>
        <v>1</v>
      </c>
      <c r="V175" s="13">
        <f t="shared" si="38"/>
        <v>0</v>
      </c>
      <c r="W175" s="13">
        <f t="shared" si="38"/>
        <v>1</v>
      </c>
      <c r="X175" s="13">
        <f t="shared" si="38"/>
        <v>1</v>
      </c>
      <c r="Y175" s="13">
        <f t="shared" si="38"/>
        <v>0</v>
      </c>
      <c r="Z175" s="13">
        <f t="shared" si="38"/>
        <v>0</v>
      </c>
      <c r="AA175" s="13">
        <f t="shared" si="38"/>
        <v>0</v>
      </c>
      <c r="AB175" s="13">
        <f t="shared" si="38"/>
        <v>1</v>
      </c>
      <c r="AC175" s="13">
        <f t="shared" si="38"/>
        <v>0</v>
      </c>
      <c r="AD175" s="13">
        <f t="shared" si="37"/>
        <v>5</v>
      </c>
      <c r="AE175" s="5"/>
      <c r="AF175" s="5"/>
    </row>
    <row r="176" ht="12.75" customHeight="1">
      <c r="A176" s="24"/>
      <c r="B176" s="15"/>
      <c r="C176" s="15"/>
      <c r="D176" s="15"/>
      <c r="E176" s="16"/>
      <c r="F176" s="72"/>
      <c r="G176" s="72"/>
      <c r="H176" s="72"/>
      <c r="I176" s="72"/>
      <c r="J176" s="72"/>
      <c r="K176" s="72"/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1"/>
      <c r="AF176" s="1"/>
    </row>
    <row r="177" ht="12.75" customHeight="1">
      <c r="A177" s="30" t="s">
        <v>37</v>
      </c>
      <c r="B177" s="47" t="s">
        <v>128</v>
      </c>
      <c r="C177" s="48" t="s">
        <v>129</v>
      </c>
      <c r="D177" s="16"/>
      <c r="E177" s="19">
        <v>0.0</v>
      </c>
      <c r="F177" s="19">
        <v>3.0</v>
      </c>
      <c r="G177" s="19">
        <v>1.0</v>
      </c>
      <c r="H177" s="19">
        <v>1.0</v>
      </c>
      <c r="I177" s="19">
        <v>4.0</v>
      </c>
      <c r="J177" s="19">
        <v>3.0</v>
      </c>
      <c r="K177" s="19">
        <v>1.0</v>
      </c>
      <c r="L177" s="19">
        <v>2.0</v>
      </c>
      <c r="M177" s="19">
        <v>0.0</v>
      </c>
      <c r="N177" s="19">
        <v>0.0</v>
      </c>
      <c r="O177" s="19">
        <v>0.0</v>
      </c>
      <c r="P177" s="19">
        <v>0.0</v>
      </c>
      <c r="Q177" s="19">
        <v>0.0</v>
      </c>
      <c r="R177" s="19">
        <v>0.0</v>
      </c>
      <c r="S177" s="19">
        <v>1.0</v>
      </c>
      <c r="T177" s="19">
        <v>0.0</v>
      </c>
      <c r="U177" s="19">
        <v>0.0</v>
      </c>
      <c r="V177" s="19">
        <v>3.0</v>
      </c>
      <c r="W177" s="19">
        <v>0.0</v>
      </c>
      <c r="X177" s="19">
        <v>2.0</v>
      </c>
      <c r="Y177" s="19">
        <v>0.0</v>
      </c>
      <c r="Z177" s="19">
        <v>0.0</v>
      </c>
      <c r="AA177" s="19">
        <v>1.0</v>
      </c>
      <c r="AB177" s="19">
        <v>1.0</v>
      </c>
      <c r="AC177" s="19">
        <v>0.0</v>
      </c>
      <c r="AD177" s="13">
        <f t="shared" ref="AD177:AD187" si="39">SUM(E177:AC177)</f>
        <v>23</v>
      </c>
    </row>
    <row r="178" ht="12.75" customHeight="1">
      <c r="A178" s="30" t="s">
        <v>39</v>
      </c>
      <c r="B178" s="55">
        <v>1.0</v>
      </c>
      <c r="C178" s="50" t="s">
        <v>130</v>
      </c>
      <c r="D178" s="57"/>
      <c r="E178" s="19">
        <v>2.0</v>
      </c>
      <c r="F178" s="19">
        <v>0.0</v>
      </c>
      <c r="G178" s="19">
        <v>0.0</v>
      </c>
      <c r="H178" s="19">
        <v>0.0</v>
      </c>
      <c r="I178" s="19">
        <v>8.0</v>
      </c>
      <c r="J178" s="19">
        <v>2.0</v>
      </c>
      <c r="K178" s="19">
        <v>0.0</v>
      </c>
      <c r="L178" s="19">
        <v>1.0</v>
      </c>
      <c r="M178" s="19">
        <v>0.0</v>
      </c>
      <c r="N178" s="19">
        <v>0.0</v>
      </c>
      <c r="O178" s="19">
        <v>0.0</v>
      </c>
      <c r="P178" s="19">
        <v>0.0</v>
      </c>
      <c r="Q178" s="19">
        <v>0.0</v>
      </c>
      <c r="R178" s="19">
        <v>0.0</v>
      </c>
      <c r="S178" s="19">
        <v>1.0</v>
      </c>
      <c r="T178" s="19">
        <v>1.0</v>
      </c>
      <c r="U178" s="19">
        <v>0.0</v>
      </c>
      <c r="V178" s="19">
        <v>0.0</v>
      </c>
      <c r="W178" s="19">
        <v>0.0</v>
      </c>
      <c r="X178" s="19">
        <v>2.0</v>
      </c>
      <c r="Y178" s="19">
        <v>0.0</v>
      </c>
      <c r="Z178" s="19">
        <v>2.0</v>
      </c>
      <c r="AA178" s="19">
        <v>0.0</v>
      </c>
      <c r="AB178" s="19">
        <v>0.0</v>
      </c>
      <c r="AC178" s="19">
        <v>0.0</v>
      </c>
      <c r="AD178" s="13">
        <f t="shared" si="39"/>
        <v>19</v>
      </c>
      <c r="AE178" s="5"/>
      <c r="AF178" s="5"/>
    </row>
    <row r="179" ht="12.75" customHeight="1">
      <c r="A179" s="18"/>
      <c r="B179" s="55">
        <v>2.0</v>
      </c>
      <c r="C179" s="50" t="s">
        <v>131</v>
      </c>
      <c r="D179" s="57"/>
      <c r="E179" s="19">
        <v>1.0</v>
      </c>
      <c r="F179" s="19">
        <v>0.0</v>
      </c>
      <c r="G179" s="19">
        <v>0.0</v>
      </c>
      <c r="H179" s="19">
        <v>0.0</v>
      </c>
      <c r="I179" s="19">
        <v>0.0</v>
      </c>
      <c r="J179" s="19">
        <v>1.0</v>
      </c>
      <c r="K179" s="19">
        <v>1.0</v>
      </c>
      <c r="L179" s="19">
        <v>0.0</v>
      </c>
      <c r="M179" s="19">
        <v>0.0</v>
      </c>
      <c r="N179" s="19">
        <v>0.0</v>
      </c>
      <c r="O179" s="19">
        <v>0.0</v>
      </c>
      <c r="P179" s="19">
        <v>0.0</v>
      </c>
      <c r="Q179" s="19">
        <v>0.0</v>
      </c>
      <c r="R179" s="19">
        <v>0.0</v>
      </c>
      <c r="S179" s="19">
        <v>0.0</v>
      </c>
      <c r="T179" s="19">
        <v>0.0</v>
      </c>
      <c r="U179" s="19">
        <v>0.0</v>
      </c>
      <c r="V179" s="19">
        <v>0.0</v>
      </c>
      <c r="W179" s="19">
        <v>0.0</v>
      </c>
      <c r="X179" s="19">
        <v>0.0</v>
      </c>
      <c r="Y179" s="19">
        <v>1.0</v>
      </c>
      <c r="Z179" s="19">
        <v>0.0</v>
      </c>
      <c r="AA179" s="19">
        <v>0.0</v>
      </c>
      <c r="AB179" s="19">
        <v>1.0</v>
      </c>
      <c r="AC179" s="19">
        <v>1.0</v>
      </c>
      <c r="AD179" s="13">
        <f t="shared" si="39"/>
        <v>6</v>
      </c>
      <c r="AE179" s="5"/>
      <c r="AF179" s="5"/>
    </row>
    <row r="180" ht="12.75" customHeight="1">
      <c r="A180" s="18"/>
      <c r="B180" s="55">
        <v>3.0</v>
      </c>
      <c r="C180" s="50" t="s">
        <v>132</v>
      </c>
      <c r="D180" s="57"/>
      <c r="E180" s="19">
        <v>0.0</v>
      </c>
      <c r="F180" s="19">
        <v>0.0</v>
      </c>
      <c r="G180" s="19">
        <v>1.0</v>
      </c>
      <c r="H180" s="19">
        <v>0.0</v>
      </c>
      <c r="I180" s="19">
        <v>0.0</v>
      </c>
      <c r="J180" s="19">
        <v>0.0</v>
      </c>
      <c r="K180" s="19">
        <v>0.0</v>
      </c>
      <c r="L180" s="19">
        <v>0.0</v>
      </c>
      <c r="M180" s="19">
        <v>0.0</v>
      </c>
      <c r="N180" s="19">
        <v>0.0</v>
      </c>
      <c r="O180" s="19">
        <v>0.0</v>
      </c>
      <c r="P180" s="19">
        <v>0.0</v>
      </c>
      <c r="Q180" s="19">
        <v>0.0</v>
      </c>
      <c r="R180" s="19">
        <v>0.0</v>
      </c>
      <c r="S180" s="19">
        <v>0.0</v>
      </c>
      <c r="T180" s="19">
        <v>0.0</v>
      </c>
      <c r="U180" s="19">
        <v>1.0</v>
      </c>
      <c r="V180" s="19">
        <v>0.0</v>
      </c>
      <c r="W180" s="19">
        <v>0.0</v>
      </c>
      <c r="X180" s="19">
        <v>0.0</v>
      </c>
      <c r="Y180" s="19">
        <v>0.0</v>
      </c>
      <c r="Z180" s="19">
        <v>0.0</v>
      </c>
      <c r="AA180" s="19">
        <v>0.0</v>
      </c>
      <c r="AB180" s="19">
        <v>0.0</v>
      </c>
      <c r="AC180" s="19">
        <v>0.0</v>
      </c>
      <c r="AD180" s="13">
        <f t="shared" si="39"/>
        <v>2</v>
      </c>
      <c r="AE180" s="5"/>
      <c r="AF180" s="5"/>
    </row>
    <row r="181" ht="12.75" customHeight="1">
      <c r="A181" s="18"/>
      <c r="B181" s="55">
        <v>4.0</v>
      </c>
      <c r="C181" s="50" t="s">
        <v>133</v>
      </c>
      <c r="D181" s="57"/>
      <c r="E181" s="19">
        <v>0.0</v>
      </c>
      <c r="F181" s="19">
        <v>0.0</v>
      </c>
      <c r="G181" s="19">
        <v>0.0</v>
      </c>
      <c r="H181" s="19">
        <v>0.0</v>
      </c>
      <c r="I181" s="19">
        <v>0.0</v>
      </c>
      <c r="J181" s="19">
        <v>0.0</v>
      </c>
      <c r="K181" s="19">
        <v>0.0</v>
      </c>
      <c r="L181" s="19">
        <v>0.0</v>
      </c>
      <c r="M181" s="19">
        <v>0.0</v>
      </c>
      <c r="N181" s="19">
        <v>0.0</v>
      </c>
      <c r="O181" s="19">
        <v>0.0</v>
      </c>
      <c r="P181" s="19">
        <v>0.0</v>
      </c>
      <c r="Q181" s="19">
        <v>0.0</v>
      </c>
      <c r="R181" s="19">
        <v>0.0</v>
      </c>
      <c r="S181" s="19">
        <v>0.0</v>
      </c>
      <c r="T181" s="19">
        <v>0.0</v>
      </c>
      <c r="U181" s="19">
        <v>0.0</v>
      </c>
      <c r="V181" s="19">
        <v>0.0</v>
      </c>
      <c r="W181" s="19">
        <v>1.0</v>
      </c>
      <c r="X181" s="19">
        <v>0.0</v>
      </c>
      <c r="Y181" s="19">
        <v>0.0</v>
      </c>
      <c r="Z181" s="19">
        <v>0.0</v>
      </c>
      <c r="AA181" s="19">
        <v>0.0</v>
      </c>
      <c r="AB181" s="19">
        <v>0.0</v>
      </c>
      <c r="AC181" s="19">
        <v>0.0</v>
      </c>
      <c r="AD181" s="13">
        <f t="shared" si="39"/>
        <v>1</v>
      </c>
      <c r="AE181" s="5"/>
      <c r="AF181" s="5"/>
    </row>
    <row r="182" ht="12.75" customHeight="1">
      <c r="A182" s="18"/>
      <c r="B182" s="55">
        <v>5.0</v>
      </c>
      <c r="C182" s="50" t="s">
        <v>134</v>
      </c>
      <c r="D182" s="57"/>
      <c r="E182" s="19">
        <v>0.0</v>
      </c>
      <c r="F182" s="19">
        <v>0.0</v>
      </c>
      <c r="G182" s="19">
        <v>0.0</v>
      </c>
      <c r="H182" s="19">
        <v>0.0</v>
      </c>
      <c r="I182" s="19">
        <v>0.0</v>
      </c>
      <c r="J182" s="19">
        <v>0.0</v>
      </c>
      <c r="K182" s="19">
        <v>0.0</v>
      </c>
      <c r="L182" s="19">
        <v>2.0</v>
      </c>
      <c r="M182" s="19">
        <v>0.0</v>
      </c>
      <c r="N182" s="19">
        <v>0.0</v>
      </c>
      <c r="O182" s="19">
        <v>0.0</v>
      </c>
      <c r="P182" s="19">
        <v>0.0</v>
      </c>
      <c r="Q182" s="19">
        <v>0.0</v>
      </c>
      <c r="R182" s="19">
        <v>0.0</v>
      </c>
      <c r="S182" s="19">
        <v>0.0</v>
      </c>
      <c r="T182" s="19">
        <v>0.0</v>
      </c>
      <c r="U182" s="19">
        <v>0.0</v>
      </c>
      <c r="V182" s="19">
        <v>0.0</v>
      </c>
      <c r="W182" s="19">
        <v>0.0</v>
      </c>
      <c r="X182" s="19">
        <v>1.0</v>
      </c>
      <c r="Y182" s="19">
        <v>0.0</v>
      </c>
      <c r="Z182" s="19">
        <v>0.0</v>
      </c>
      <c r="AA182" s="19">
        <v>0.0</v>
      </c>
      <c r="AB182" s="19">
        <v>0.0</v>
      </c>
      <c r="AC182" s="19">
        <v>0.0</v>
      </c>
      <c r="AD182" s="13">
        <f t="shared" si="39"/>
        <v>3</v>
      </c>
      <c r="AE182" s="5"/>
      <c r="AF182" s="5"/>
    </row>
    <row r="183" ht="12.75" customHeight="1">
      <c r="A183" s="18"/>
      <c r="B183" s="55">
        <v>6.0</v>
      </c>
      <c r="C183" s="50" t="s">
        <v>135</v>
      </c>
      <c r="D183" s="57"/>
      <c r="E183" s="19">
        <v>1.0</v>
      </c>
      <c r="F183" s="19">
        <v>0.0</v>
      </c>
      <c r="G183" s="19">
        <v>0.0</v>
      </c>
      <c r="H183" s="19">
        <v>0.0</v>
      </c>
      <c r="I183" s="19">
        <v>0.0</v>
      </c>
      <c r="J183" s="19">
        <v>0.0</v>
      </c>
      <c r="K183" s="19">
        <v>0.0</v>
      </c>
      <c r="L183" s="19">
        <v>0.0</v>
      </c>
      <c r="M183" s="19">
        <v>0.0</v>
      </c>
      <c r="N183" s="19">
        <v>0.0</v>
      </c>
      <c r="O183" s="19">
        <v>0.0</v>
      </c>
      <c r="P183" s="19">
        <v>0.0</v>
      </c>
      <c r="Q183" s="19">
        <v>0.0</v>
      </c>
      <c r="R183" s="19">
        <v>0.0</v>
      </c>
      <c r="S183" s="19">
        <v>0.0</v>
      </c>
      <c r="T183" s="19">
        <v>0.0</v>
      </c>
      <c r="U183" s="19">
        <v>0.0</v>
      </c>
      <c r="V183" s="19">
        <v>0.0</v>
      </c>
      <c r="W183" s="19">
        <v>0.0</v>
      </c>
      <c r="X183" s="19">
        <v>0.0</v>
      </c>
      <c r="Y183" s="19">
        <v>0.0</v>
      </c>
      <c r="Z183" s="19">
        <v>0.0</v>
      </c>
      <c r="AA183" s="19">
        <v>0.0</v>
      </c>
      <c r="AB183" s="19">
        <v>0.0</v>
      </c>
      <c r="AC183" s="19">
        <v>0.0</v>
      </c>
      <c r="AD183" s="13">
        <f t="shared" si="39"/>
        <v>1</v>
      </c>
      <c r="AE183" s="5"/>
      <c r="AF183" s="5"/>
    </row>
    <row r="184" ht="12.75" customHeight="1">
      <c r="A184" s="18"/>
      <c r="B184" s="55">
        <v>7.0</v>
      </c>
      <c r="C184" s="50" t="s">
        <v>136</v>
      </c>
      <c r="D184" s="57"/>
      <c r="E184" s="19">
        <v>0.0</v>
      </c>
      <c r="F184" s="19">
        <v>0.0</v>
      </c>
      <c r="G184" s="19">
        <v>0.0</v>
      </c>
      <c r="H184" s="19">
        <v>0.0</v>
      </c>
      <c r="I184" s="19">
        <v>0.0</v>
      </c>
      <c r="J184" s="19">
        <v>0.0</v>
      </c>
      <c r="K184" s="19">
        <v>0.0</v>
      </c>
      <c r="L184" s="19">
        <v>0.0</v>
      </c>
      <c r="M184" s="19">
        <v>0.0</v>
      </c>
      <c r="N184" s="19">
        <v>0.0</v>
      </c>
      <c r="O184" s="19">
        <v>0.0</v>
      </c>
      <c r="P184" s="19">
        <v>0.0</v>
      </c>
      <c r="Q184" s="19">
        <v>0.0</v>
      </c>
      <c r="R184" s="19">
        <v>0.0</v>
      </c>
      <c r="S184" s="19">
        <v>0.0</v>
      </c>
      <c r="T184" s="19">
        <v>0.0</v>
      </c>
      <c r="U184" s="19">
        <v>0.0</v>
      </c>
      <c r="V184" s="19">
        <v>0.0</v>
      </c>
      <c r="W184" s="19">
        <v>0.0</v>
      </c>
      <c r="X184" s="19">
        <v>0.0</v>
      </c>
      <c r="Y184" s="19">
        <v>0.0</v>
      </c>
      <c r="Z184" s="19">
        <v>0.0</v>
      </c>
      <c r="AA184" s="19">
        <v>0.0</v>
      </c>
      <c r="AB184" s="19">
        <v>0.0</v>
      </c>
      <c r="AC184" s="19">
        <v>0.0</v>
      </c>
      <c r="AD184" s="13">
        <f t="shared" si="39"/>
        <v>0</v>
      </c>
      <c r="AE184" s="5"/>
      <c r="AF184" s="5"/>
    </row>
    <row r="185" ht="12.75" customHeight="1">
      <c r="A185" s="18"/>
      <c r="B185" s="68"/>
      <c r="C185" s="69"/>
      <c r="D185" s="71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3">
        <f t="shared" si="39"/>
        <v>0</v>
      </c>
      <c r="AE185" s="5"/>
      <c r="AF185" s="5"/>
    </row>
    <row r="186" ht="12.75" customHeight="1">
      <c r="A186" s="18"/>
      <c r="B186" s="68"/>
      <c r="C186" s="69"/>
      <c r="D186" s="71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3">
        <f t="shared" si="39"/>
        <v>0</v>
      </c>
      <c r="AE186" s="5"/>
      <c r="AF186" s="5"/>
    </row>
    <row r="187" ht="12.75" customHeight="1">
      <c r="A187" s="19" t="s">
        <v>15</v>
      </c>
      <c r="B187" s="47" t="s">
        <v>47</v>
      </c>
      <c r="C187" s="15"/>
      <c r="D187" s="16"/>
      <c r="E187" s="13">
        <f t="shared" ref="E187:AC187" si="40">SUM(E177:E184)</f>
        <v>4</v>
      </c>
      <c r="F187" s="13">
        <f t="shared" si="40"/>
        <v>3</v>
      </c>
      <c r="G187" s="13">
        <f t="shared" si="40"/>
        <v>2</v>
      </c>
      <c r="H187" s="13">
        <f t="shared" si="40"/>
        <v>1</v>
      </c>
      <c r="I187" s="13">
        <f t="shared" si="40"/>
        <v>12</v>
      </c>
      <c r="J187" s="13">
        <f t="shared" si="40"/>
        <v>6</v>
      </c>
      <c r="K187" s="13">
        <f t="shared" si="40"/>
        <v>2</v>
      </c>
      <c r="L187" s="13">
        <f t="shared" si="40"/>
        <v>5</v>
      </c>
      <c r="M187" s="13">
        <f t="shared" si="40"/>
        <v>0</v>
      </c>
      <c r="N187" s="13">
        <f t="shared" si="40"/>
        <v>0</v>
      </c>
      <c r="O187" s="13">
        <f t="shared" si="40"/>
        <v>0</v>
      </c>
      <c r="P187" s="13">
        <f t="shared" si="40"/>
        <v>0</v>
      </c>
      <c r="Q187" s="13">
        <f t="shared" si="40"/>
        <v>0</v>
      </c>
      <c r="R187" s="13">
        <f t="shared" si="40"/>
        <v>0</v>
      </c>
      <c r="S187" s="13">
        <f t="shared" si="40"/>
        <v>2</v>
      </c>
      <c r="T187" s="13">
        <f t="shared" si="40"/>
        <v>1</v>
      </c>
      <c r="U187" s="13">
        <f t="shared" si="40"/>
        <v>1</v>
      </c>
      <c r="V187" s="13">
        <f t="shared" si="40"/>
        <v>3</v>
      </c>
      <c r="W187" s="13">
        <f t="shared" si="40"/>
        <v>1</v>
      </c>
      <c r="X187" s="13">
        <f t="shared" si="40"/>
        <v>5</v>
      </c>
      <c r="Y187" s="13">
        <f t="shared" si="40"/>
        <v>1</v>
      </c>
      <c r="Z187" s="13">
        <f t="shared" si="40"/>
        <v>2</v>
      </c>
      <c r="AA187" s="13">
        <f t="shared" si="40"/>
        <v>1</v>
      </c>
      <c r="AB187" s="13">
        <f t="shared" si="40"/>
        <v>2</v>
      </c>
      <c r="AC187" s="13">
        <f t="shared" si="40"/>
        <v>1</v>
      </c>
      <c r="AD187" s="13">
        <f t="shared" si="39"/>
        <v>55</v>
      </c>
      <c r="AE187" s="1"/>
      <c r="AF187" s="1"/>
    </row>
    <row r="188" ht="12.75" customHeight="1">
      <c r="A188" s="24"/>
      <c r="B188" s="15"/>
      <c r="C188" s="15"/>
      <c r="D188" s="15"/>
      <c r="E188" s="16"/>
      <c r="F188" s="72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13"/>
    </row>
    <row r="189" ht="12.75" customHeight="1">
      <c r="A189" s="30" t="s">
        <v>37</v>
      </c>
      <c r="B189" s="47" t="s">
        <v>137</v>
      </c>
      <c r="C189" s="48" t="s">
        <v>138</v>
      </c>
      <c r="D189" s="16"/>
      <c r="E189" s="19">
        <v>0.0</v>
      </c>
      <c r="F189" s="19">
        <v>0.0</v>
      </c>
      <c r="G189" s="19">
        <v>0.0</v>
      </c>
      <c r="H189" s="19">
        <v>0.0</v>
      </c>
      <c r="I189" s="19">
        <v>0.0</v>
      </c>
      <c r="J189" s="19">
        <v>2.0</v>
      </c>
      <c r="K189" s="19">
        <v>0.0</v>
      </c>
      <c r="L189" s="19">
        <v>0.0</v>
      </c>
      <c r="M189" s="19">
        <v>0.0</v>
      </c>
      <c r="N189" s="19">
        <v>0.0</v>
      </c>
      <c r="O189" s="19">
        <v>1.0</v>
      </c>
      <c r="P189" s="19">
        <v>0.0</v>
      </c>
      <c r="Q189" s="19">
        <v>0.0</v>
      </c>
      <c r="R189" s="19">
        <v>0.0</v>
      </c>
      <c r="S189" s="19">
        <v>0.0</v>
      </c>
      <c r="T189" s="19">
        <v>0.0</v>
      </c>
      <c r="U189" s="19">
        <v>0.0</v>
      </c>
      <c r="V189" s="19">
        <v>0.0</v>
      </c>
      <c r="W189" s="19">
        <v>0.0</v>
      </c>
      <c r="X189" s="19">
        <v>0.0</v>
      </c>
      <c r="Y189" s="19">
        <v>1.0</v>
      </c>
      <c r="Z189" s="19">
        <v>0.0</v>
      </c>
      <c r="AA189" s="19">
        <v>0.0</v>
      </c>
      <c r="AB189" s="19">
        <v>0.0</v>
      </c>
      <c r="AC189" s="19">
        <v>0.0</v>
      </c>
      <c r="AD189" s="13">
        <f t="shared" ref="AD189:AD199" si="41">SUM(E189:AC189)</f>
        <v>4</v>
      </c>
      <c r="AE189" s="5"/>
      <c r="AF189" s="5"/>
    </row>
    <row r="190" ht="12.75" customHeight="1">
      <c r="A190" s="30" t="s">
        <v>39</v>
      </c>
      <c r="B190" s="55">
        <v>1.0</v>
      </c>
      <c r="C190" s="50" t="s">
        <v>139</v>
      </c>
      <c r="D190" s="57"/>
      <c r="E190" s="19">
        <v>0.0</v>
      </c>
      <c r="F190" s="19">
        <v>0.0</v>
      </c>
      <c r="G190" s="19">
        <v>0.0</v>
      </c>
      <c r="H190" s="19">
        <v>0.0</v>
      </c>
      <c r="I190" s="19">
        <v>0.0</v>
      </c>
      <c r="J190" s="19">
        <v>2.0</v>
      </c>
      <c r="K190" s="19">
        <v>0.0</v>
      </c>
      <c r="L190" s="19">
        <v>0.0</v>
      </c>
      <c r="M190" s="19">
        <v>0.0</v>
      </c>
      <c r="N190" s="19">
        <v>0.0</v>
      </c>
      <c r="O190" s="19">
        <v>0.0</v>
      </c>
      <c r="P190" s="19">
        <v>0.0</v>
      </c>
      <c r="Q190" s="19">
        <v>0.0</v>
      </c>
      <c r="R190" s="19">
        <v>0.0</v>
      </c>
      <c r="S190" s="19">
        <v>0.0</v>
      </c>
      <c r="T190" s="19">
        <v>0.0</v>
      </c>
      <c r="U190" s="19">
        <v>0.0</v>
      </c>
      <c r="V190" s="19">
        <v>0.0</v>
      </c>
      <c r="W190" s="19">
        <v>0.0</v>
      </c>
      <c r="X190" s="19">
        <v>0.0</v>
      </c>
      <c r="Y190" s="19">
        <v>0.0</v>
      </c>
      <c r="Z190" s="19">
        <v>1.0</v>
      </c>
      <c r="AA190" s="19">
        <v>0.0</v>
      </c>
      <c r="AB190" s="19">
        <v>0.0</v>
      </c>
      <c r="AC190" s="19">
        <v>0.0</v>
      </c>
      <c r="AD190" s="13">
        <f t="shared" si="41"/>
        <v>3</v>
      </c>
      <c r="AE190" s="5"/>
      <c r="AF190" s="5"/>
    </row>
    <row r="191" ht="12.75" customHeight="1">
      <c r="A191" s="18"/>
      <c r="B191" s="55">
        <v>2.0</v>
      </c>
      <c r="C191" s="50" t="s">
        <v>140</v>
      </c>
      <c r="D191" s="57"/>
      <c r="E191" s="19">
        <v>1.0</v>
      </c>
      <c r="F191" s="19">
        <v>0.0</v>
      </c>
      <c r="G191" s="19">
        <v>0.0</v>
      </c>
      <c r="H191" s="19">
        <v>0.0</v>
      </c>
      <c r="I191" s="19">
        <v>0.0</v>
      </c>
      <c r="J191" s="19">
        <v>2.0</v>
      </c>
      <c r="K191" s="19">
        <v>0.0</v>
      </c>
      <c r="L191" s="19">
        <v>0.0</v>
      </c>
      <c r="M191" s="19">
        <v>0.0</v>
      </c>
      <c r="N191" s="19">
        <v>0.0</v>
      </c>
      <c r="O191" s="19">
        <v>0.0</v>
      </c>
      <c r="P191" s="19">
        <v>0.0</v>
      </c>
      <c r="Q191" s="19">
        <v>2.0</v>
      </c>
      <c r="R191" s="19">
        <v>0.0</v>
      </c>
      <c r="S191" s="19">
        <v>0.0</v>
      </c>
      <c r="T191" s="19">
        <v>0.0</v>
      </c>
      <c r="U191" s="19">
        <v>0.0</v>
      </c>
      <c r="V191" s="19">
        <v>0.0</v>
      </c>
      <c r="W191" s="19">
        <v>0.0</v>
      </c>
      <c r="X191" s="19">
        <v>0.0</v>
      </c>
      <c r="Y191" s="19">
        <v>0.0</v>
      </c>
      <c r="Z191" s="19">
        <v>0.0</v>
      </c>
      <c r="AA191" s="19">
        <v>0.0</v>
      </c>
      <c r="AB191" s="19">
        <v>0.0</v>
      </c>
      <c r="AC191" s="19">
        <v>0.0</v>
      </c>
      <c r="AD191" s="13">
        <f t="shared" si="41"/>
        <v>5</v>
      </c>
      <c r="AE191" s="5"/>
      <c r="AF191" s="5"/>
    </row>
    <row r="192" ht="12.75" customHeight="1">
      <c r="A192" s="18"/>
      <c r="B192" s="55">
        <v>3.0</v>
      </c>
      <c r="C192" s="50" t="s">
        <v>141</v>
      </c>
      <c r="D192" s="57"/>
      <c r="E192" s="19">
        <v>0.0</v>
      </c>
      <c r="F192" s="19">
        <v>0.0</v>
      </c>
      <c r="G192" s="19">
        <v>0.0</v>
      </c>
      <c r="H192" s="19">
        <v>0.0</v>
      </c>
      <c r="I192" s="19">
        <v>0.0</v>
      </c>
      <c r="J192" s="19">
        <v>0.0</v>
      </c>
      <c r="K192" s="19">
        <v>0.0</v>
      </c>
      <c r="L192" s="19">
        <v>0.0</v>
      </c>
      <c r="M192" s="19">
        <v>0.0</v>
      </c>
      <c r="N192" s="19">
        <v>0.0</v>
      </c>
      <c r="O192" s="19">
        <v>0.0</v>
      </c>
      <c r="P192" s="19">
        <v>0.0</v>
      </c>
      <c r="Q192" s="19">
        <v>0.0</v>
      </c>
      <c r="R192" s="19">
        <v>0.0</v>
      </c>
      <c r="S192" s="19">
        <v>0.0</v>
      </c>
      <c r="T192" s="19">
        <v>0.0</v>
      </c>
      <c r="U192" s="19">
        <v>0.0</v>
      </c>
      <c r="V192" s="19">
        <v>0.0</v>
      </c>
      <c r="W192" s="19">
        <v>0.0</v>
      </c>
      <c r="X192" s="19">
        <v>0.0</v>
      </c>
      <c r="Y192" s="19">
        <v>0.0</v>
      </c>
      <c r="Z192" s="19">
        <v>0.0</v>
      </c>
      <c r="AA192" s="19">
        <v>0.0</v>
      </c>
      <c r="AB192" s="19">
        <v>0.0</v>
      </c>
      <c r="AC192" s="19">
        <v>0.0</v>
      </c>
      <c r="AD192" s="13">
        <f t="shared" si="41"/>
        <v>0</v>
      </c>
      <c r="AE192" s="5"/>
      <c r="AF192" s="5"/>
    </row>
    <row r="193" ht="12.75" customHeight="1">
      <c r="A193" s="18"/>
      <c r="B193" s="55">
        <v>4.0</v>
      </c>
      <c r="C193" s="50" t="s">
        <v>142</v>
      </c>
      <c r="D193" s="57"/>
      <c r="E193" s="19">
        <v>0.0</v>
      </c>
      <c r="F193" s="19">
        <v>0.0</v>
      </c>
      <c r="G193" s="19">
        <v>0.0</v>
      </c>
      <c r="H193" s="19">
        <v>0.0</v>
      </c>
      <c r="I193" s="19">
        <v>0.0</v>
      </c>
      <c r="J193" s="19">
        <v>0.0</v>
      </c>
      <c r="K193" s="19">
        <v>0.0</v>
      </c>
      <c r="L193" s="19">
        <v>0.0</v>
      </c>
      <c r="M193" s="19">
        <v>0.0</v>
      </c>
      <c r="N193" s="19">
        <v>0.0</v>
      </c>
      <c r="O193" s="19">
        <v>0.0</v>
      </c>
      <c r="P193" s="19">
        <v>0.0</v>
      </c>
      <c r="Q193" s="19">
        <v>0.0</v>
      </c>
      <c r="R193" s="19">
        <v>0.0</v>
      </c>
      <c r="S193" s="19">
        <v>0.0</v>
      </c>
      <c r="T193" s="19">
        <v>0.0</v>
      </c>
      <c r="U193" s="19">
        <v>0.0</v>
      </c>
      <c r="V193" s="19">
        <v>0.0</v>
      </c>
      <c r="W193" s="19">
        <v>0.0</v>
      </c>
      <c r="X193" s="19">
        <v>0.0</v>
      </c>
      <c r="Y193" s="19">
        <v>1.0</v>
      </c>
      <c r="Z193" s="19">
        <v>0.0</v>
      </c>
      <c r="AA193" s="19">
        <v>0.0</v>
      </c>
      <c r="AB193" s="19">
        <v>0.0</v>
      </c>
      <c r="AC193" s="19">
        <v>0.0</v>
      </c>
      <c r="AD193" s="13">
        <f t="shared" si="41"/>
        <v>1</v>
      </c>
      <c r="AE193" s="5"/>
      <c r="AF193" s="5"/>
    </row>
    <row r="194" ht="12.75" customHeight="1">
      <c r="A194" s="18"/>
      <c r="B194" s="55">
        <v>5.0</v>
      </c>
      <c r="C194" s="50" t="s">
        <v>143</v>
      </c>
      <c r="D194" s="57"/>
      <c r="E194" s="19">
        <v>0.0</v>
      </c>
      <c r="F194" s="19">
        <v>0.0</v>
      </c>
      <c r="G194" s="19">
        <v>1.0</v>
      </c>
      <c r="H194" s="19">
        <v>0.0</v>
      </c>
      <c r="I194" s="19">
        <v>0.0</v>
      </c>
      <c r="J194" s="19">
        <v>0.0</v>
      </c>
      <c r="K194" s="19">
        <v>0.0</v>
      </c>
      <c r="L194" s="19">
        <v>0.0</v>
      </c>
      <c r="M194" s="19">
        <v>0.0</v>
      </c>
      <c r="N194" s="19">
        <v>0.0</v>
      </c>
      <c r="O194" s="19">
        <v>0.0</v>
      </c>
      <c r="P194" s="19">
        <v>0.0</v>
      </c>
      <c r="Q194" s="19">
        <v>0.0</v>
      </c>
      <c r="R194" s="19">
        <v>0.0</v>
      </c>
      <c r="S194" s="19">
        <v>0.0</v>
      </c>
      <c r="T194" s="19">
        <v>0.0</v>
      </c>
      <c r="U194" s="19">
        <v>0.0</v>
      </c>
      <c r="V194" s="19">
        <v>0.0</v>
      </c>
      <c r="W194" s="19">
        <v>0.0</v>
      </c>
      <c r="X194" s="19">
        <v>0.0</v>
      </c>
      <c r="Y194" s="19">
        <v>0.0</v>
      </c>
      <c r="Z194" s="19">
        <v>0.0</v>
      </c>
      <c r="AA194" s="19">
        <v>0.0</v>
      </c>
      <c r="AB194" s="19">
        <v>0.0</v>
      </c>
      <c r="AC194" s="19">
        <v>0.0</v>
      </c>
      <c r="AD194" s="13">
        <f t="shared" si="41"/>
        <v>1</v>
      </c>
      <c r="AE194" s="5"/>
      <c r="AF194" s="5"/>
    </row>
    <row r="195" ht="12.75" customHeight="1">
      <c r="A195" s="18"/>
      <c r="B195" s="55">
        <v>6.0</v>
      </c>
      <c r="C195" s="50" t="s">
        <v>144</v>
      </c>
      <c r="D195" s="57"/>
      <c r="E195" s="19">
        <v>0.0</v>
      </c>
      <c r="F195" s="19">
        <v>0.0</v>
      </c>
      <c r="G195" s="19">
        <v>0.0</v>
      </c>
      <c r="H195" s="19">
        <v>0.0</v>
      </c>
      <c r="I195" s="19">
        <v>0.0</v>
      </c>
      <c r="J195" s="19">
        <v>0.0</v>
      </c>
      <c r="K195" s="19">
        <v>0.0</v>
      </c>
      <c r="L195" s="19">
        <v>0.0</v>
      </c>
      <c r="M195" s="19">
        <v>0.0</v>
      </c>
      <c r="N195" s="19">
        <v>0.0</v>
      </c>
      <c r="O195" s="19">
        <v>0.0</v>
      </c>
      <c r="P195" s="19">
        <v>0.0</v>
      </c>
      <c r="Q195" s="19">
        <v>0.0</v>
      </c>
      <c r="R195" s="19">
        <v>0.0</v>
      </c>
      <c r="S195" s="19">
        <v>0.0</v>
      </c>
      <c r="T195" s="19">
        <v>0.0</v>
      </c>
      <c r="U195" s="19">
        <v>0.0</v>
      </c>
      <c r="V195" s="19">
        <v>0.0</v>
      </c>
      <c r="W195" s="19">
        <v>0.0</v>
      </c>
      <c r="X195" s="19">
        <v>0.0</v>
      </c>
      <c r="Y195" s="19">
        <v>0.0</v>
      </c>
      <c r="Z195" s="19">
        <v>0.0</v>
      </c>
      <c r="AA195" s="19">
        <v>0.0</v>
      </c>
      <c r="AB195" s="19">
        <v>0.0</v>
      </c>
      <c r="AC195" s="19">
        <v>0.0</v>
      </c>
      <c r="AD195" s="13">
        <f t="shared" si="41"/>
        <v>0</v>
      </c>
      <c r="AE195" s="5"/>
      <c r="AF195" s="5"/>
    </row>
    <row r="196" ht="12.75" customHeight="1">
      <c r="A196" s="18"/>
      <c r="B196" s="55">
        <v>7.0</v>
      </c>
      <c r="C196" s="50" t="s">
        <v>145</v>
      </c>
      <c r="D196" s="57"/>
      <c r="E196" s="19">
        <v>0.0</v>
      </c>
      <c r="F196" s="19">
        <v>0.0</v>
      </c>
      <c r="G196" s="19">
        <v>0.0</v>
      </c>
      <c r="H196" s="19">
        <v>0.0</v>
      </c>
      <c r="I196" s="19">
        <v>0.0</v>
      </c>
      <c r="J196" s="19">
        <v>0.0</v>
      </c>
      <c r="K196" s="19">
        <v>0.0</v>
      </c>
      <c r="L196" s="19">
        <v>0.0</v>
      </c>
      <c r="M196" s="19">
        <v>0.0</v>
      </c>
      <c r="N196" s="19">
        <v>0.0</v>
      </c>
      <c r="O196" s="19">
        <v>0.0</v>
      </c>
      <c r="P196" s="19">
        <v>0.0</v>
      </c>
      <c r="Q196" s="19">
        <v>0.0</v>
      </c>
      <c r="R196" s="19">
        <v>0.0</v>
      </c>
      <c r="S196" s="19">
        <v>0.0</v>
      </c>
      <c r="T196" s="19">
        <v>0.0</v>
      </c>
      <c r="U196" s="19">
        <v>0.0</v>
      </c>
      <c r="V196" s="19">
        <v>0.0</v>
      </c>
      <c r="W196" s="19">
        <v>0.0</v>
      </c>
      <c r="X196" s="19">
        <v>0.0</v>
      </c>
      <c r="Y196" s="19">
        <v>0.0</v>
      </c>
      <c r="Z196" s="19">
        <v>0.0</v>
      </c>
      <c r="AA196" s="19">
        <v>0.0</v>
      </c>
      <c r="AB196" s="19">
        <v>0.0</v>
      </c>
      <c r="AC196" s="19">
        <v>0.0</v>
      </c>
      <c r="AD196" s="13">
        <f t="shared" si="41"/>
        <v>0</v>
      </c>
      <c r="AE196" s="1"/>
      <c r="AF196" s="1"/>
    </row>
    <row r="197" ht="12.75" customHeight="1">
      <c r="A197" s="18"/>
      <c r="B197" s="68"/>
      <c r="C197" s="69"/>
      <c r="D197" s="71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3">
        <f t="shared" si="41"/>
        <v>0</v>
      </c>
      <c r="AE197" s="1"/>
      <c r="AF197" s="1"/>
    </row>
    <row r="198" ht="12.75" customHeight="1">
      <c r="A198" s="18"/>
      <c r="B198" s="68"/>
      <c r="C198" s="69"/>
      <c r="D198" s="71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3">
        <f t="shared" si="41"/>
        <v>0</v>
      </c>
      <c r="AE198" s="1"/>
      <c r="AF198" s="1"/>
    </row>
    <row r="199" ht="15.0" customHeight="1">
      <c r="A199" s="19" t="s">
        <v>15</v>
      </c>
      <c r="B199" s="47" t="s">
        <v>47</v>
      </c>
      <c r="C199" s="15"/>
      <c r="D199" s="16"/>
      <c r="E199" s="13">
        <f t="shared" ref="E199:AC199" si="42">SUM(E189:E196)</f>
        <v>1</v>
      </c>
      <c r="F199" s="13">
        <f t="shared" si="42"/>
        <v>0</v>
      </c>
      <c r="G199" s="13">
        <f t="shared" si="42"/>
        <v>1</v>
      </c>
      <c r="H199" s="13">
        <f t="shared" si="42"/>
        <v>0</v>
      </c>
      <c r="I199" s="13">
        <f t="shared" si="42"/>
        <v>0</v>
      </c>
      <c r="J199" s="13">
        <f t="shared" si="42"/>
        <v>6</v>
      </c>
      <c r="K199" s="13">
        <f t="shared" si="42"/>
        <v>0</v>
      </c>
      <c r="L199" s="13">
        <f t="shared" si="42"/>
        <v>0</v>
      </c>
      <c r="M199" s="13">
        <f t="shared" si="42"/>
        <v>0</v>
      </c>
      <c r="N199" s="13">
        <f t="shared" si="42"/>
        <v>0</v>
      </c>
      <c r="O199" s="13">
        <f t="shared" si="42"/>
        <v>1</v>
      </c>
      <c r="P199" s="13">
        <f t="shared" si="42"/>
        <v>0</v>
      </c>
      <c r="Q199" s="13">
        <f t="shared" si="42"/>
        <v>2</v>
      </c>
      <c r="R199" s="13">
        <f t="shared" si="42"/>
        <v>0</v>
      </c>
      <c r="S199" s="13">
        <f t="shared" si="42"/>
        <v>0</v>
      </c>
      <c r="T199" s="13">
        <f t="shared" si="42"/>
        <v>0</v>
      </c>
      <c r="U199" s="13">
        <f t="shared" si="42"/>
        <v>0</v>
      </c>
      <c r="V199" s="13">
        <f t="shared" si="42"/>
        <v>0</v>
      </c>
      <c r="W199" s="13">
        <f t="shared" si="42"/>
        <v>0</v>
      </c>
      <c r="X199" s="13">
        <f t="shared" si="42"/>
        <v>0</v>
      </c>
      <c r="Y199" s="13">
        <f t="shared" si="42"/>
        <v>2</v>
      </c>
      <c r="Z199" s="13">
        <f t="shared" si="42"/>
        <v>1</v>
      </c>
      <c r="AA199" s="13">
        <f t="shared" si="42"/>
        <v>0</v>
      </c>
      <c r="AB199" s="13">
        <f t="shared" si="42"/>
        <v>0</v>
      </c>
      <c r="AC199" s="13">
        <f t="shared" si="42"/>
        <v>0</v>
      </c>
      <c r="AD199" s="13">
        <f t="shared" si="41"/>
        <v>14</v>
      </c>
      <c r="AE199" s="52"/>
      <c r="AF199" s="52"/>
    </row>
    <row r="200" ht="12.75" customHeight="1">
      <c r="A200" s="24"/>
      <c r="B200" s="15"/>
      <c r="C200" s="15"/>
      <c r="D200" s="15"/>
      <c r="E200" s="16"/>
      <c r="F200" s="72"/>
      <c r="G200" s="72"/>
      <c r="H200" s="72"/>
      <c r="I200" s="72"/>
      <c r="J200" s="72"/>
      <c r="K200" s="72"/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5"/>
      <c r="AF200" s="5"/>
    </row>
    <row r="201" ht="12.75" customHeight="1">
      <c r="A201" s="30" t="s">
        <v>37</v>
      </c>
      <c r="B201" s="47" t="s">
        <v>146</v>
      </c>
      <c r="C201" s="48" t="s">
        <v>147</v>
      </c>
      <c r="D201" s="16"/>
      <c r="E201" s="19">
        <v>3.0</v>
      </c>
      <c r="F201" s="19">
        <v>0.0</v>
      </c>
      <c r="G201" s="19">
        <v>2.0</v>
      </c>
      <c r="H201" s="19">
        <v>1.0</v>
      </c>
      <c r="I201" s="19">
        <v>0.0</v>
      </c>
      <c r="J201" s="19">
        <v>2.0</v>
      </c>
      <c r="K201" s="19">
        <v>0.0</v>
      </c>
      <c r="L201" s="19">
        <v>3.0</v>
      </c>
      <c r="M201" s="19">
        <v>2.0</v>
      </c>
      <c r="N201" s="19">
        <v>0.0</v>
      </c>
      <c r="O201" s="19">
        <v>0.0</v>
      </c>
      <c r="P201" s="19">
        <v>0.0</v>
      </c>
      <c r="Q201" s="19">
        <v>2.0</v>
      </c>
      <c r="R201" s="19">
        <v>0.0</v>
      </c>
      <c r="S201" s="19">
        <v>0.0</v>
      </c>
      <c r="T201" s="19">
        <v>2.0</v>
      </c>
      <c r="U201" s="19">
        <v>0.0</v>
      </c>
      <c r="V201" s="19">
        <v>1.0</v>
      </c>
      <c r="W201" s="19">
        <v>4.0</v>
      </c>
      <c r="X201" s="19">
        <v>11.0</v>
      </c>
      <c r="Y201" s="19">
        <v>1.0</v>
      </c>
      <c r="Z201" s="19">
        <v>2.0</v>
      </c>
      <c r="AA201" s="19">
        <v>4.0</v>
      </c>
      <c r="AB201" s="19">
        <v>1.0</v>
      </c>
      <c r="AC201" s="19">
        <v>0.0</v>
      </c>
      <c r="AD201" s="13">
        <f t="shared" ref="AD201:AD211" si="43">SUM(E201:AC201)</f>
        <v>41</v>
      </c>
      <c r="AE201" s="5"/>
      <c r="AF201" s="5"/>
    </row>
    <row r="202" ht="12.75" customHeight="1">
      <c r="A202" s="30" t="s">
        <v>39</v>
      </c>
      <c r="B202" s="55">
        <v>1.0</v>
      </c>
      <c r="C202" s="50" t="s">
        <v>148</v>
      </c>
      <c r="D202" s="57"/>
      <c r="E202" s="19">
        <v>1.0</v>
      </c>
      <c r="F202" s="19">
        <v>0.0</v>
      </c>
      <c r="G202" s="19">
        <v>2.0</v>
      </c>
      <c r="H202" s="19">
        <v>1.0</v>
      </c>
      <c r="I202" s="19">
        <v>1.0</v>
      </c>
      <c r="J202" s="19">
        <v>0.0</v>
      </c>
      <c r="K202" s="19">
        <v>1.0</v>
      </c>
      <c r="L202" s="19">
        <v>2.0</v>
      </c>
      <c r="M202" s="19">
        <v>0.0</v>
      </c>
      <c r="N202" s="19">
        <v>1.0</v>
      </c>
      <c r="O202" s="19">
        <v>3.0</v>
      </c>
      <c r="P202" s="19">
        <v>1.0</v>
      </c>
      <c r="Q202" s="19">
        <v>1.0</v>
      </c>
      <c r="R202" s="19">
        <v>0.0</v>
      </c>
      <c r="S202" s="19">
        <v>1.0</v>
      </c>
      <c r="T202" s="19">
        <v>1.0</v>
      </c>
      <c r="U202" s="19">
        <v>0.0</v>
      </c>
      <c r="V202" s="19">
        <v>0.0</v>
      </c>
      <c r="W202" s="19">
        <v>2.0</v>
      </c>
      <c r="X202" s="19">
        <v>0.0</v>
      </c>
      <c r="Y202" s="19">
        <v>2.0</v>
      </c>
      <c r="Z202" s="19">
        <v>0.0</v>
      </c>
      <c r="AA202" s="19">
        <v>1.0</v>
      </c>
      <c r="AB202" s="19">
        <v>0.0</v>
      </c>
      <c r="AC202" s="19">
        <v>1.0</v>
      </c>
      <c r="AD202" s="13">
        <f t="shared" si="43"/>
        <v>22</v>
      </c>
      <c r="AE202" s="5"/>
      <c r="AF202" s="5"/>
    </row>
    <row r="203" ht="12.75" customHeight="1">
      <c r="A203" s="18"/>
      <c r="B203" s="55">
        <v>2.0</v>
      </c>
      <c r="C203" s="50" t="s">
        <v>149</v>
      </c>
      <c r="D203" s="57"/>
      <c r="E203" s="19">
        <v>1.0</v>
      </c>
      <c r="F203" s="19">
        <v>0.0</v>
      </c>
      <c r="G203" s="19">
        <v>0.0</v>
      </c>
      <c r="H203" s="19">
        <v>0.0</v>
      </c>
      <c r="I203" s="19">
        <v>0.0</v>
      </c>
      <c r="J203" s="19">
        <v>1.0</v>
      </c>
      <c r="K203" s="19">
        <v>0.0</v>
      </c>
      <c r="L203" s="19">
        <v>0.0</v>
      </c>
      <c r="M203" s="19">
        <v>0.0</v>
      </c>
      <c r="N203" s="19">
        <v>3.0</v>
      </c>
      <c r="O203" s="19">
        <v>0.0</v>
      </c>
      <c r="P203" s="19">
        <v>1.0</v>
      </c>
      <c r="Q203" s="19">
        <v>1.0</v>
      </c>
      <c r="R203" s="19">
        <v>1.0</v>
      </c>
      <c r="S203" s="19">
        <v>1.0</v>
      </c>
      <c r="T203" s="19">
        <v>0.0</v>
      </c>
      <c r="U203" s="19">
        <v>1.0</v>
      </c>
      <c r="V203" s="19">
        <v>2.0</v>
      </c>
      <c r="W203" s="19">
        <v>5.0</v>
      </c>
      <c r="X203" s="19">
        <v>4.0</v>
      </c>
      <c r="Y203" s="19">
        <v>3.0</v>
      </c>
      <c r="Z203" s="19">
        <v>1.0</v>
      </c>
      <c r="AA203" s="19">
        <v>3.0</v>
      </c>
      <c r="AB203" s="19">
        <v>0.0</v>
      </c>
      <c r="AC203" s="19">
        <v>0.0</v>
      </c>
      <c r="AD203" s="13">
        <f t="shared" si="43"/>
        <v>28</v>
      </c>
      <c r="AE203" s="5"/>
      <c r="AF203" s="5"/>
    </row>
    <row r="204" ht="12.75" customHeight="1">
      <c r="A204" s="18"/>
      <c r="B204" s="55">
        <v>3.0</v>
      </c>
      <c r="C204" s="50" t="s">
        <v>150</v>
      </c>
      <c r="D204" s="57"/>
      <c r="E204" s="19">
        <v>0.0</v>
      </c>
      <c r="F204" s="19">
        <v>0.0</v>
      </c>
      <c r="G204" s="19">
        <v>0.0</v>
      </c>
      <c r="H204" s="19">
        <v>0.0</v>
      </c>
      <c r="I204" s="19">
        <v>0.0</v>
      </c>
      <c r="J204" s="19">
        <v>0.0</v>
      </c>
      <c r="K204" s="19">
        <v>0.0</v>
      </c>
      <c r="L204" s="19">
        <v>0.0</v>
      </c>
      <c r="M204" s="19">
        <v>0.0</v>
      </c>
      <c r="N204" s="19">
        <v>0.0</v>
      </c>
      <c r="O204" s="19">
        <v>0.0</v>
      </c>
      <c r="P204" s="19">
        <v>0.0</v>
      </c>
      <c r="Q204" s="19">
        <v>0.0</v>
      </c>
      <c r="R204" s="19">
        <v>0.0</v>
      </c>
      <c r="S204" s="19">
        <v>0.0</v>
      </c>
      <c r="T204" s="19">
        <v>0.0</v>
      </c>
      <c r="U204" s="19">
        <v>0.0</v>
      </c>
      <c r="V204" s="19">
        <v>0.0</v>
      </c>
      <c r="W204" s="19">
        <v>0.0</v>
      </c>
      <c r="X204" s="19">
        <v>2.0</v>
      </c>
      <c r="Y204" s="19">
        <v>0.0</v>
      </c>
      <c r="Z204" s="19">
        <v>0.0</v>
      </c>
      <c r="AA204" s="19">
        <v>0.0</v>
      </c>
      <c r="AB204" s="19">
        <v>0.0</v>
      </c>
      <c r="AC204" s="19">
        <v>0.0</v>
      </c>
      <c r="AD204" s="13">
        <f t="shared" si="43"/>
        <v>2</v>
      </c>
      <c r="AE204" s="5"/>
      <c r="AF204" s="5"/>
    </row>
    <row r="205" ht="12.75" customHeight="1">
      <c r="A205" s="18"/>
      <c r="B205" s="55">
        <v>4.0</v>
      </c>
      <c r="C205" s="50" t="s">
        <v>151</v>
      </c>
      <c r="D205" s="57"/>
      <c r="E205" s="19">
        <v>0.0</v>
      </c>
      <c r="F205" s="19">
        <v>0.0</v>
      </c>
      <c r="G205" s="19">
        <v>0.0</v>
      </c>
      <c r="H205" s="19">
        <v>1.0</v>
      </c>
      <c r="I205" s="19">
        <v>0.0</v>
      </c>
      <c r="J205" s="19">
        <v>0.0</v>
      </c>
      <c r="K205" s="19">
        <v>0.0</v>
      </c>
      <c r="L205" s="19">
        <v>0.0</v>
      </c>
      <c r="M205" s="19">
        <v>0.0</v>
      </c>
      <c r="N205" s="19">
        <v>0.0</v>
      </c>
      <c r="O205" s="19">
        <v>0.0</v>
      </c>
      <c r="P205" s="19">
        <v>0.0</v>
      </c>
      <c r="Q205" s="19">
        <v>1.0</v>
      </c>
      <c r="R205" s="19">
        <v>0.0</v>
      </c>
      <c r="S205" s="19">
        <v>0.0</v>
      </c>
      <c r="T205" s="19">
        <v>0.0</v>
      </c>
      <c r="U205" s="19">
        <v>0.0</v>
      </c>
      <c r="V205" s="19">
        <v>0.0</v>
      </c>
      <c r="W205" s="19">
        <v>0.0</v>
      </c>
      <c r="X205" s="19">
        <v>1.0</v>
      </c>
      <c r="Y205" s="19">
        <v>1.0</v>
      </c>
      <c r="Z205" s="19">
        <v>0.0</v>
      </c>
      <c r="AA205" s="19">
        <v>0.0</v>
      </c>
      <c r="AB205" s="19">
        <v>0.0</v>
      </c>
      <c r="AC205" s="19">
        <v>0.0</v>
      </c>
      <c r="AD205" s="13">
        <f t="shared" si="43"/>
        <v>4</v>
      </c>
      <c r="AE205" s="5"/>
      <c r="AF205" s="5"/>
    </row>
    <row r="206" ht="12.75" customHeight="1">
      <c r="A206" s="18"/>
      <c r="B206" s="55">
        <v>5.0</v>
      </c>
      <c r="C206" s="50" t="s">
        <v>152</v>
      </c>
      <c r="D206" s="57"/>
      <c r="E206" s="19">
        <v>0.0</v>
      </c>
      <c r="F206" s="19">
        <v>0.0</v>
      </c>
      <c r="G206" s="19">
        <v>0.0</v>
      </c>
      <c r="H206" s="19">
        <v>0.0</v>
      </c>
      <c r="I206" s="19">
        <v>0.0</v>
      </c>
      <c r="J206" s="19">
        <v>0.0</v>
      </c>
      <c r="K206" s="19">
        <v>0.0</v>
      </c>
      <c r="L206" s="19">
        <v>0.0</v>
      </c>
      <c r="M206" s="19">
        <v>0.0</v>
      </c>
      <c r="N206" s="19">
        <v>0.0</v>
      </c>
      <c r="O206" s="19">
        <v>0.0</v>
      </c>
      <c r="P206" s="19">
        <v>1.0</v>
      </c>
      <c r="Q206" s="19">
        <v>0.0</v>
      </c>
      <c r="R206" s="19">
        <v>0.0</v>
      </c>
      <c r="S206" s="19">
        <v>0.0</v>
      </c>
      <c r="T206" s="19">
        <v>0.0</v>
      </c>
      <c r="U206" s="19">
        <v>0.0</v>
      </c>
      <c r="V206" s="19">
        <v>0.0</v>
      </c>
      <c r="W206" s="19">
        <v>0.0</v>
      </c>
      <c r="X206" s="19">
        <v>0.0</v>
      </c>
      <c r="Y206" s="19">
        <v>1.0</v>
      </c>
      <c r="Z206" s="19">
        <v>1.0</v>
      </c>
      <c r="AA206" s="19">
        <v>0.0</v>
      </c>
      <c r="AB206" s="19">
        <v>0.0</v>
      </c>
      <c r="AC206" s="19">
        <v>0.0</v>
      </c>
      <c r="AD206" s="13">
        <f t="shared" si="43"/>
        <v>3</v>
      </c>
      <c r="AE206" s="5"/>
      <c r="AF206" s="5"/>
    </row>
    <row r="207" ht="12.75" customHeight="1">
      <c r="A207" s="18"/>
      <c r="B207" s="55">
        <v>6.0</v>
      </c>
      <c r="C207" s="50" t="s">
        <v>153</v>
      </c>
      <c r="D207" s="57"/>
      <c r="E207" s="19">
        <v>0.0</v>
      </c>
      <c r="F207" s="19">
        <v>0.0</v>
      </c>
      <c r="G207" s="19">
        <v>0.0</v>
      </c>
      <c r="H207" s="19">
        <v>0.0</v>
      </c>
      <c r="I207" s="19">
        <v>0.0</v>
      </c>
      <c r="J207" s="19">
        <v>0.0</v>
      </c>
      <c r="K207" s="19">
        <v>0.0</v>
      </c>
      <c r="L207" s="19">
        <v>0.0</v>
      </c>
      <c r="M207" s="19">
        <v>0.0</v>
      </c>
      <c r="N207" s="19">
        <v>1.0</v>
      </c>
      <c r="O207" s="19">
        <v>0.0</v>
      </c>
      <c r="P207" s="19">
        <v>0.0</v>
      </c>
      <c r="Q207" s="19">
        <v>0.0</v>
      </c>
      <c r="R207" s="19">
        <v>0.0</v>
      </c>
      <c r="S207" s="19">
        <v>0.0</v>
      </c>
      <c r="T207" s="19">
        <v>0.0</v>
      </c>
      <c r="U207" s="19">
        <v>0.0</v>
      </c>
      <c r="V207" s="19">
        <v>0.0</v>
      </c>
      <c r="W207" s="19">
        <v>0.0</v>
      </c>
      <c r="X207" s="19">
        <v>0.0</v>
      </c>
      <c r="Y207" s="19">
        <v>0.0</v>
      </c>
      <c r="Z207" s="19">
        <v>0.0</v>
      </c>
      <c r="AA207" s="19">
        <v>0.0</v>
      </c>
      <c r="AB207" s="19">
        <v>0.0</v>
      </c>
      <c r="AC207" s="19">
        <v>1.0</v>
      </c>
      <c r="AD207" s="13">
        <f t="shared" si="43"/>
        <v>2</v>
      </c>
      <c r="AE207" s="1"/>
      <c r="AF207" s="1"/>
    </row>
    <row r="208" ht="12.75" customHeight="1">
      <c r="A208" s="18"/>
      <c r="B208" s="55">
        <v>7.0</v>
      </c>
      <c r="C208" s="50" t="s">
        <v>154</v>
      </c>
      <c r="D208" s="57"/>
      <c r="E208" s="19">
        <v>0.0</v>
      </c>
      <c r="F208" s="19">
        <v>0.0</v>
      </c>
      <c r="G208" s="19">
        <v>0.0</v>
      </c>
      <c r="H208" s="19">
        <v>0.0</v>
      </c>
      <c r="I208" s="19">
        <v>1.0</v>
      </c>
      <c r="J208" s="19">
        <v>0.0</v>
      </c>
      <c r="K208" s="19">
        <v>0.0</v>
      </c>
      <c r="L208" s="19">
        <v>0.0</v>
      </c>
      <c r="M208" s="19">
        <v>0.0</v>
      </c>
      <c r="N208" s="19">
        <v>0.0</v>
      </c>
      <c r="O208" s="19">
        <v>0.0</v>
      </c>
      <c r="P208" s="19">
        <v>0.0</v>
      </c>
      <c r="Q208" s="19">
        <v>0.0</v>
      </c>
      <c r="R208" s="19">
        <v>0.0</v>
      </c>
      <c r="S208" s="19">
        <v>1.0</v>
      </c>
      <c r="T208" s="19">
        <v>0.0</v>
      </c>
      <c r="U208" s="19">
        <v>0.0</v>
      </c>
      <c r="V208" s="19">
        <v>0.0</v>
      </c>
      <c r="W208" s="19">
        <v>0.0</v>
      </c>
      <c r="X208" s="19">
        <v>0.0</v>
      </c>
      <c r="Y208" s="19">
        <v>0.0</v>
      </c>
      <c r="Z208" s="19">
        <v>0.0</v>
      </c>
      <c r="AA208" s="19">
        <v>0.0</v>
      </c>
      <c r="AB208" s="19">
        <v>0.0</v>
      </c>
      <c r="AC208" s="19">
        <v>0.0</v>
      </c>
      <c r="AD208" s="13">
        <f t="shared" si="43"/>
        <v>2</v>
      </c>
      <c r="AE208" s="52"/>
      <c r="AF208" s="52"/>
    </row>
    <row r="209" ht="12.75" customHeight="1">
      <c r="A209" s="18"/>
      <c r="B209" s="68"/>
      <c r="C209" s="69"/>
      <c r="D209" s="71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3">
        <f t="shared" si="43"/>
        <v>0</v>
      </c>
      <c r="AE209" s="52"/>
      <c r="AF209" s="52"/>
    </row>
    <row r="210" ht="12.75" customHeight="1">
      <c r="A210" s="18"/>
      <c r="B210" s="68"/>
      <c r="C210" s="69"/>
      <c r="D210" s="71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3">
        <f t="shared" si="43"/>
        <v>0</v>
      </c>
      <c r="AE210" s="52"/>
      <c r="AF210" s="52"/>
    </row>
    <row r="211" ht="15.0" customHeight="1">
      <c r="A211" s="19" t="s">
        <v>15</v>
      </c>
      <c r="B211" s="47" t="s">
        <v>47</v>
      </c>
      <c r="C211" s="15"/>
      <c r="D211" s="16"/>
      <c r="E211" s="13">
        <f t="shared" ref="E211:AC211" si="44">SUM(E201:E208)</f>
        <v>5</v>
      </c>
      <c r="F211" s="13">
        <f t="shared" si="44"/>
        <v>0</v>
      </c>
      <c r="G211" s="13">
        <f t="shared" si="44"/>
        <v>4</v>
      </c>
      <c r="H211" s="13">
        <f t="shared" si="44"/>
        <v>3</v>
      </c>
      <c r="I211" s="13">
        <f t="shared" si="44"/>
        <v>2</v>
      </c>
      <c r="J211" s="13">
        <f t="shared" si="44"/>
        <v>3</v>
      </c>
      <c r="K211" s="13">
        <f t="shared" si="44"/>
        <v>1</v>
      </c>
      <c r="L211" s="13">
        <f t="shared" si="44"/>
        <v>5</v>
      </c>
      <c r="M211" s="13">
        <f t="shared" si="44"/>
        <v>2</v>
      </c>
      <c r="N211" s="13">
        <f t="shared" si="44"/>
        <v>5</v>
      </c>
      <c r="O211" s="13">
        <f t="shared" si="44"/>
        <v>3</v>
      </c>
      <c r="P211" s="13">
        <f t="shared" si="44"/>
        <v>3</v>
      </c>
      <c r="Q211" s="13">
        <f t="shared" si="44"/>
        <v>5</v>
      </c>
      <c r="R211" s="13">
        <f t="shared" si="44"/>
        <v>1</v>
      </c>
      <c r="S211" s="13">
        <f t="shared" si="44"/>
        <v>3</v>
      </c>
      <c r="T211" s="13">
        <f t="shared" si="44"/>
        <v>3</v>
      </c>
      <c r="U211" s="13">
        <f t="shared" si="44"/>
        <v>1</v>
      </c>
      <c r="V211" s="13">
        <f t="shared" si="44"/>
        <v>3</v>
      </c>
      <c r="W211" s="13">
        <f t="shared" si="44"/>
        <v>11</v>
      </c>
      <c r="X211" s="13">
        <f t="shared" si="44"/>
        <v>18</v>
      </c>
      <c r="Y211" s="13">
        <f t="shared" si="44"/>
        <v>8</v>
      </c>
      <c r="Z211" s="13">
        <f t="shared" si="44"/>
        <v>4</v>
      </c>
      <c r="AA211" s="13">
        <f t="shared" si="44"/>
        <v>8</v>
      </c>
      <c r="AB211" s="13">
        <f t="shared" si="44"/>
        <v>1</v>
      </c>
      <c r="AC211" s="13">
        <f t="shared" si="44"/>
        <v>2</v>
      </c>
      <c r="AD211" s="13">
        <f t="shared" si="43"/>
        <v>104</v>
      </c>
      <c r="AE211" s="5"/>
      <c r="AF211" s="5"/>
    </row>
    <row r="212" ht="12.75" customHeight="1">
      <c r="A212" s="24"/>
      <c r="B212" s="15"/>
      <c r="C212" s="15"/>
      <c r="D212" s="15"/>
      <c r="E212" s="16"/>
      <c r="F212" s="72"/>
      <c r="G212" s="72"/>
      <c r="H212" s="72"/>
      <c r="I212" s="72"/>
      <c r="J212" s="72"/>
      <c r="K212" s="72"/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5"/>
      <c r="AF212" s="5"/>
    </row>
    <row r="213" ht="12.75" customHeight="1">
      <c r="A213" s="30" t="s">
        <v>37</v>
      </c>
      <c r="B213" s="47" t="s">
        <v>155</v>
      </c>
      <c r="C213" s="48" t="s">
        <v>156</v>
      </c>
      <c r="D213" s="16"/>
      <c r="E213" s="19">
        <v>1.0</v>
      </c>
      <c r="F213" s="19">
        <v>1.0</v>
      </c>
      <c r="G213" s="19">
        <v>0.0</v>
      </c>
      <c r="H213" s="19">
        <v>0.0</v>
      </c>
      <c r="I213" s="19">
        <v>0.0</v>
      </c>
      <c r="J213" s="19">
        <v>0.0</v>
      </c>
      <c r="K213" s="19">
        <v>1.0</v>
      </c>
      <c r="L213" s="19">
        <v>2.0</v>
      </c>
      <c r="M213" s="19">
        <v>0.0</v>
      </c>
      <c r="N213" s="19">
        <v>0.0</v>
      </c>
      <c r="O213" s="19">
        <v>0.0</v>
      </c>
      <c r="P213" s="19">
        <v>0.0</v>
      </c>
      <c r="Q213" s="19">
        <v>0.0</v>
      </c>
      <c r="R213" s="19">
        <v>0.0</v>
      </c>
      <c r="S213" s="19">
        <v>0.0</v>
      </c>
      <c r="T213" s="19">
        <v>0.0</v>
      </c>
      <c r="U213" s="19">
        <v>0.0</v>
      </c>
      <c r="V213" s="19">
        <v>1.0</v>
      </c>
      <c r="W213" s="19">
        <v>3.0</v>
      </c>
      <c r="X213" s="19">
        <v>3.0</v>
      </c>
      <c r="Y213" s="19">
        <v>1.0</v>
      </c>
      <c r="Z213" s="19">
        <v>1.0</v>
      </c>
      <c r="AA213" s="19">
        <v>0.0</v>
      </c>
      <c r="AB213" s="19">
        <v>0.0</v>
      </c>
      <c r="AC213" s="19">
        <v>1.0</v>
      </c>
      <c r="AD213" s="13">
        <f t="shared" ref="AD213:AD223" si="45">SUM(E213:AC213)</f>
        <v>15</v>
      </c>
      <c r="AE213" s="5"/>
      <c r="AF213" s="5"/>
    </row>
    <row r="214" ht="12.75" customHeight="1">
      <c r="A214" s="30" t="s">
        <v>39</v>
      </c>
      <c r="B214" s="55">
        <v>1.0</v>
      </c>
      <c r="C214" s="50" t="s">
        <v>157</v>
      </c>
      <c r="D214" s="56"/>
      <c r="E214" s="19">
        <v>1.0</v>
      </c>
      <c r="F214" s="19">
        <v>0.0</v>
      </c>
      <c r="G214" s="19">
        <v>1.0</v>
      </c>
      <c r="H214" s="19">
        <v>1.0</v>
      </c>
      <c r="I214" s="19">
        <v>0.0</v>
      </c>
      <c r="J214" s="19">
        <v>1.0</v>
      </c>
      <c r="K214" s="19">
        <v>0.0</v>
      </c>
      <c r="L214" s="19">
        <v>0.0</v>
      </c>
      <c r="M214" s="19">
        <v>0.0</v>
      </c>
      <c r="N214" s="19">
        <v>0.0</v>
      </c>
      <c r="O214" s="19">
        <v>0.0</v>
      </c>
      <c r="P214" s="19">
        <v>2.0</v>
      </c>
      <c r="Q214" s="19">
        <v>0.0</v>
      </c>
      <c r="R214" s="19">
        <v>0.0</v>
      </c>
      <c r="S214" s="19">
        <v>0.0</v>
      </c>
      <c r="T214" s="19">
        <v>1.0</v>
      </c>
      <c r="U214" s="19">
        <v>0.0</v>
      </c>
      <c r="V214" s="19">
        <v>0.0</v>
      </c>
      <c r="W214" s="19">
        <v>1.0</v>
      </c>
      <c r="X214" s="19">
        <v>0.0</v>
      </c>
      <c r="Y214" s="19">
        <v>3.0</v>
      </c>
      <c r="Z214" s="19">
        <v>1.0</v>
      </c>
      <c r="AA214" s="19">
        <v>0.0</v>
      </c>
      <c r="AB214" s="19">
        <v>1.0</v>
      </c>
      <c r="AC214" s="19">
        <v>0.0</v>
      </c>
      <c r="AD214" s="13">
        <f t="shared" si="45"/>
        <v>13</v>
      </c>
      <c r="AE214" s="5"/>
      <c r="AF214" s="5"/>
    </row>
    <row r="215" ht="12.75" customHeight="1">
      <c r="A215" s="18"/>
      <c r="B215" s="55">
        <v>2.0</v>
      </c>
      <c r="C215" s="50" t="s">
        <v>158</v>
      </c>
      <c r="D215" s="56"/>
      <c r="E215" s="19">
        <v>2.0</v>
      </c>
      <c r="F215" s="19">
        <v>10.0</v>
      </c>
      <c r="G215" s="19">
        <v>0.0</v>
      </c>
      <c r="H215" s="19">
        <v>2.0</v>
      </c>
      <c r="I215" s="19">
        <v>0.0</v>
      </c>
      <c r="J215" s="19">
        <v>0.0</v>
      </c>
      <c r="K215" s="19">
        <v>0.0</v>
      </c>
      <c r="L215" s="19">
        <v>0.0</v>
      </c>
      <c r="M215" s="19">
        <v>0.0</v>
      </c>
      <c r="N215" s="19">
        <v>0.0</v>
      </c>
      <c r="O215" s="19">
        <v>0.0</v>
      </c>
      <c r="P215" s="19">
        <v>1.0</v>
      </c>
      <c r="Q215" s="19">
        <v>0.0</v>
      </c>
      <c r="R215" s="19">
        <v>0.0</v>
      </c>
      <c r="S215" s="19">
        <v>0.0</v>
      </c>
      <c r="T215" s="19">
        <v>11.0</v>
      </c>
      <c r="U215" s="19">
        <v>0.0</v>
      </c>
      <c r="V215" s="19">
        <v>0.0</v>
      </c>
      <c r="W215" s="19">
        <v>3.0</v>
      </c>
      <c r="X215" s="19">
        <v>0.0</v>
      </c>
      <c r="Y215" s="19">
        <v>4.0</v>
      </c>
      <c r="Z215" s="19">
        <v>0.0</v>
      </c>
      <c r="AA215" s="19">
        <v>0.0</v>
      </c>
      <c r="AB215" s="19">
        <v>0.0</v>
      </c>
      <c r="AC215" s="19">
        <v>1.0</v>
      </c>
      <c r="AD215" s="13">
        <f t="shared" si="45"/>
        <v>34</v>
      </c>
      <c r="AE215" s="5"/>
      <c r="AF215" s="5"/>
    </row>
    <row r="216" ht="12.75" customHeight="1">
      <c r="A216" s="18"/>
      <c r="B216" s="55">
        <v>3.0</v>
      </c>
      <c r="C216" s="61" t="s">
        <v>159</v>
      </c>
      <c r="E216" s="19">
        <v>0.0</v>
      </c>
      <c r="F216" s="19">
        <v>0.0</v>
      </c>
      <c r="G216" s="19">
        <v>0.0</v>
      </c>
      <c r="H216" s="19">
        <v>0.0</v>
      </c>
      <c r="I216" s="19">
        <v>0.0</v>
      </c>
      <c r="J216" s="19">
        <v>0.0</v>
      </c>
      <c r="K216" s="19">
        <v>0.0</v>
      </c>
      <c r="L216" s="19">
        <v>0.0</v>
      </c>
      <c r="M216" s="19">
        <v>0.0</v>
      </c>
      <c r="N216" s="19">
        <v>0.0</v>
      </c>
      <c r="O216" s="19">
        <v>1.0</v>
      </c>
      <c r="P216" s="19">
        <v>0.0</v>
      </c>
      <c r="Q216" s="19">
        <v>0.0</v>
      </c>
      <c r="R216" s="19">
        <v>0.0</v>
      </c>
      <c r="S216" s="19">
        <v>0.0</v>
      </c>
      <c r="T216" s="19">
        <v>1.0</v>
      </c>
      <c r="U216" s="19">
        <v>0.0</v>
      </c>
      <c r="V216" s="19">
        <v>0.0</v>
      </c>
      <c r="W216" s="19">
        <v>0.0</v>
      </c>
      <c r="X216" s="19">
        <v>0.0</v>
      </c>
      <c r="Y216" s="19">
        <v>1.0</v>
      </c>
      <c r="Z216" s="19">
        <v>0.0</v>
      </c>
      <c r="AA216" s="19">
        <v>0.0</v>
      </c>
      <c r="AB216" s="19">
        <v>0.0</v>
      </c>
      <c r="AC216" s="19">
        <v>0.0</v>
      </c>
      <c r="AD216" s="13">
        <f t="shared" si="45"/>
        <v>3</v>
      </c>
      <c r="AE216" s="5"/>
      <c r="AF216" s="5"/>
    </row>
    <row r="217" ht="12.75" customHeight="1">
      <c r="A217" s="18"/>
      <c r="B217" s="55">
        <v>4.0</v>
      </c>
      <c r="C217" s="50" t="s">
        <v>160</v>
      </c>
      <c r="D217" s="56"/>
      <c r="E217" s="19">
        <v>0.0</v>
      </c>
      <c r="F217" s="19">
        <v>1.0</v>
      </c>
      <c r="G217" s="19">
        <v>0.0</v>
      </c>
      <c r="H217" s="19">
        <v>0.0</v>
      </c>
      <c r="I217" s="19">
        <v>0.0</v>
      </c>
      <c r="J217" s="19">
        <v>0.0</v>
      </c>
      <c r="K217" s="19">
        <v>0.0</v>
      </c>
      <c r="L217" s="19">
        <v>0.0</v>
      </c>
      <c r="M217" s="19">
        <v>0.0</v>
      </c>
      <c r="N217" s="19">
        <v>0.0</v>
      </c>
      <c r="O217" s="19">
        <v>0.0</v>
      </c>
      <c r="P217" s="19">
        <v>0.0</v>
      </c>
      <c r="Q217" s="19">
        <v>0.0</v>
      </c>
      <c r="R217" s="19">
        <v>0.0</v>
      </c>
      <c r="S217" s="19">
        <v>1.0</v>
      </c>
      <c r="T217" s="19">
        <v>0.0</v>
      </c>
      <c r="U217" s="19">
        <v>0.0</v>
      </c>
      <c r="V217" s="19">
        <v>0.0</v>
      </c>
      <c r="W217" s="19">
        <v>0.0</v>
      </c>
      <c r="X217" s="19">
        <v>0.0</v>
      </c>
      <c r="Y217" s="19">
        <v>0.0</v>
      </c>
      <c r="Z217" s="19">
        <v>0.0</v>
      </c>
      <c r="AA217" s="19">
        <v>0.0</v>
      </c>
      <c r="AB217" s="19">
        <v>0.0</v>
      </c>
      <c r="AC217" s="19">
        <v>0.0</v>
      </c>
      <c r="AD217" s="13">
        <f t="shared" si="45"/>
        <v>2</v>
      </c>
      <c r="AE217" s="5"/>
      <c r="AF217" s="5"/>
    </row>
    <row r="218" ht="12.75" customHeight="1">
      <c r="A218" s="18"/>
      <c r="B218" s="55">
        <v>5.0</v>
      </c>
      <c r="C218" s="50" t="s">
        <v>161</v>
      </c>
      <c r="D218" s="56"/>
      <c r="E218" s="19">
        <v>0.0</v>
      </c>
      <c r="F218" s="19">
        <v>0.0</v>
      </c>
      <c r="G218" s="19">
        <v>0.0</v>
      </c>
      <c r="H218" s="19">
        <v>0.0</v>
      </c>
      <c r="I218" s="19">
        <v>0.0</v>
      </c>
      <c r="J218" s="19">
        <v>0.0</v>
      </c>
      <c r="K218" s="19">
        <v>0.0</v>
      </c>
      <c r="L218" s="19">
        <v>0.0</v>
      </c>
      <c r="M218" s="19">
        <v>0.0</v>
      </c>
      <c r="N218" s="19">
        <v>0.0</v>
      </c>
      <c r="O218" s="19">
        <v>0.0</v>
      </c>
      <c r="P218" s="19">
        <v>0.0</v>
      </c>
      <c r="Q218" s="19">
        <v>0.0</v>
      </c>
      <c r="R218" s="19">
        <v>0.0</v>
      </c>
      <c r="S218" s="19">
        <v>0.0</v>
      </c>
      <c r="T218" s="19">
        <v>0.0</v>
      </c>
      <c r="U218" s="19">
        <v>0.0</v>
      </c>
      <c r="V218" s="19">
        <v>0.0</v>
      </c>
      <c r="W218" s="19">
        <v>0.0</v>
      </c>
      <c r="X218" s="19">
        <v>0.0</v>
      </c>
      <c r="Y218" s="19">
        <v>0.0</v>
      </c>
      <c r="Z218" s="19">
        <v>0.0</v>
      </c>
      <c r="AA218" s="19">
        <v>0.0</v>
      </c>
      <c r="AB218" s="19">
        <v>0.0</v>
      </c>
      <c r="AC218" s="19">
        <v>0.0</v>
      </c>
      <c r="AD218" s="13">
        <f t="shared" si="45"/>
        <v>0</v>
      </c>
      <c r="AE218" s="1"/>
      <c r="AF218" s="1"/>
    </row>
    <row r="219" ht="12.75" customHeight="1">
      <c r="A219" s="18"/>
      <c r="B219" s="55">
        <v>6.0</v>
      </c>
      <c r="C219" s="50" t="s">
        <v>162</v>
      </c>
      <c r="D219" s="56"/>
      <c r="E219" s="19">
        <v>0.0</v>
      </c>
      <c r="F219" s="19">
        <v>0.0</v>
      </c>
      <c r="G219" s="19">
        <v>0.0</v>
      </c>
      <c r="H219" s="19">
        <v>1.0</v>
      </c>
      <c r="I219" s="19">
        <v>1.0</v>
      </c>
      <c r="J219" s="19">
        <v>0.0</v>
      </c>
      <c r="K219" s="19">
        <v>0.0</v>
      </c>
      <c r="L219" s="19">
        <v>0.0</v>
      </c>
      <c r="M219" s="19">
        <v>0.0</v>
      </c>
      <c r="N219" s="19">
        <v>0.0</v>
      </c>
      <c r="O219" s="19">
        <v>0.0</v>
      </c>
      <c r="P219" s="19">
        <v>0.0</v>
      </c>
      <c r="Q219" s="19">
        <v>0.0</v>
      </c>
      <c r="R219" s="19">
        <v>0.0</v>
      </c>
      <c r="S219" s="19">
        <v>0.0</v>
      </c>
      <c r="T219" s="19">
        <v>0.0</v>
      </c>
      <c r="U219" s="19">
        <v>0.0</v>
      </c>
      <c r="V219" s="19">
        <v>0.0</v>
      </c>
      <c r="W219" s="19">
        <v>0.0</v>
      </c>
      <c r="X219" s="19">
        <v>0.0</v>
      </c>
      <c r="Y219" s="19">
        <v>0.0</v>
      </c>
      <c r="Z219" s="19">
        <v>0.0</v>
      </c>
      <c r="AA219" s="19">
        <v>0.0</v>
      </c>
      <c r="AB219" s="19">
        <v>0.0</v>
      </c>
      <c r="AC219" s="19">
        <v>0.0</v>
      </c>
      <c r="AD219" s="13">
        <f t="shared" si="45"/>
        <v>2</v>
      </c>
      <c r="AE219" s="52"/>
      <c r="AF219" s="52"/>
    </row>
    <row r="220" ht="12.75" customHeight="1">
      <c r="A220" s="18"/>
      <c r="B220" s="55">
        <v>7.0</v>
      </c>
      <c r="C220" s="50" t="s">
        <v>163</v>
      </c>
      <c r="D220" s="56"/>
      <c r="E220" s="19">
        <v>0.0</v>
      </c>
      <c r="F220" s="19">
        <v>0.0</v>
      </c>
      <c r="G220" s="19">
        <v>0.0</v>
      </c>
      <c r="H220" s="19">
        <v>0.0</v>
      </c>
      <c r="I220" s="19">
        <v>0.0</v>
      </c>
      <c r="J220" s="19">
        <v>0.0</v>
      </c>
      <c r="K220" s="19">
        <v>0.0</v>
      </c>
      <c r="L220" s="19">
        <v>0.0</v>
      </c>
      <c r="M220" s="19">
        <v>0.0</v>
      </c>
      <c r="N220" s="19">
        <v>0.0</v>
      </c>
      <c r="O220" s="19">
        <v>0.0</v>
      </c>
      <c r="P220" s="19">
        <v>0.0</v>
      </c>
      <c r="Q220" s="19">
        <v>0.0</v>
      </c>
      <c r="R220" s="19">
        <v>0.0</v>
      </c>
      <c r="S220" s="19">
        <v>0.0</v>
      </c>
      <c r="T220" s="19">
        <v>0.0</v>
      </c>
      <c r="U220" s="19">
        <v>0.0</v>
      </c>
      <c r="V220" s="19">
        <v>0.0</v>
      </c>
      <c r="W220" s="19">
        <v>0.0</v>
      </c>
      <c r="X220" s="19">
        <v>0.0</v>
      </c>
      <c r="Y220" s="19">
        <v>0.0</v>
      </c>
      <c r="Z220" s="19">
        <v>0.0</v>
      </c>
      <c r="AA220" s="19">
        <v>0.0</v>
      </c>
      <c r="AB220" s="19">
        <v>0.0</v>
      </c>
      <c r="AC220" s="19">
        <v>0.0</v>
      </c>
      <c r="AD220" s="13">
        <f t="shared" si="45"/>
        <v>0</v>
      </c>
      <c r="AE220" s="5"/>
      <c r="AF220" s="5"/>
    </row>
    <row r="221" ht="12.75" customHeight="1">
      <c r="A221" s="18"/>
      <c r="B221" s="68"/>
      <c r="C221" s="69"/>
      <c r="D221" s="70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3">
        <f t="shared" si="45"/>
        <v>0</v>
      </c>
      <c r="AE221" s="5"/>
      <c r="AF221" s="5"/>
    </row>
    <row r="222" ht="12.75" customHeight="1">
      <c r="A222" s="18"/>
      <c r="B222" s="68"/>
      <c r="C222" s="69"/>
      <c r="D222" s="70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3">
        <f t="shared" si="45"/>
        <v>0</v>
      </c>
      <c r="AE222" s="5"/>
      <c r="AF222" s="5"/>
    </row>
    <row r="223" ht="15.0" customHeight="1">
      <c r="A223" s="19" t="s">
        <v>15</v>
      </c>
      <c r="B223" s="47" t="s">
        <v>47</v>
      </c>
      <c r="C223" s="15"/>
      <c r="D223" s="16"/>
      <c r="E223" s="13">
        <f t="shared" ref="E223:AC223" si="46">SUM(E213:E220)</f>
        <v>4</v>
      </c>
      <c r="F223" s="13">
        <f t="shared" si="46"/>
        <v>12</v>
      </c>
      <c r="G223" s="13">
        <f t="shared" si="46"/>
        <v>1</v>
      </c>
      <c r="H223" s="13">
        <f t="shared" si="46"/>
        <v>4</v>
      </c>
      <c r="I223" s="13">
        <f t="shared" si="46"/>
        <v>1</v>
      </c>
      <c r="J223" s="13">
        <f t="shared" si="46"/>
        <v>1</v>
      </c>
      <c r="K223" s="13">
        <f t="shared" si="46"/>
        <v>1</v>
      </c>
      <c r="L223" s="13">
        <f t="shared" si="46"/>
        <v>2</v>
      </c>
      <c r="M223" s="13">
        <f t="shared" si="46"/>
        <v>0</v>
      </c>
      <c r="N223" s="13">
        <f t="shared" si="46"/>
        <v>0</v>
      </c>
      <c r="O223" s="13">
        <f t="shared" si="46"/>
        <v>1</v>
      </c>
      <c r="P223" s="13">
        <f t="shared" si="46"/>
        <v>3</v>
      </c>
      <c r="Q223" s="13">
        <f t="shared" si="46"/>
        <v>0</v>
      </c>
      <c r="R223" s="13">
        <f t="shared" si="46"/>
        <v>0</v>
      </c>
      <c r="S223" s="13">
        <f t="shared" si="46"/>
        <v>1</v>
      </c>
      <c r="T223" s="13">
        <f t="shared" si="46"/>
        <v>13</v>
      </c>
      <c r="U223" s="13">
        <f t="shared" si="46"/>
        <v>0</v>
      </c>
      <c r="V223" s="13">
        <f t="shared" si="46"/>
        <v>1</v>
      </c>
      <c r="W223" s="13">
        <f t="shared" si="46"/>
        <v>7</v>
      </c>
      <c r="X223" s="13">
        <f t="shared" si="46"/>
        <v>3</v>
      </c>
      <c r="Y223" s="13">
        <f t="shared" si="46"/>
        <v>9</v>
      </c>
      <c r="Z223" s="13">
        <f t="shared" si="46"/>
        <v>2</v>
      </c>
      <c r="AA223" s="13">
        <f t="shared" si="46"/>
        <v>0</v>
      </c>
      <c r="AB223" s="13">
        <f t="shared" si="46"/>
        <v>1</v>
      </c>
      <c r="AC223" s="13">
        <f t="shared" si="46"/>
        <v>2</v>
      </c>
      <c r="AD223" s="13">
        <f t="shared" si="45"/>
        <v>69</v>
      </c>
      <c r="AE223" s="5"/>
      <c r="AF223" s="5"/>
    </row>
    <row r="224" ht="12.75" customHeight="1">
      <c r="A224" s="24"/>
      <c r="B224" s="15"/>
      <c r="C224" s="15"/>
      <c r="D224" s="15"/>
      <c r="E224" s="16"/>
      <c r="F224" s="72"/>
      <c r="G224" s="72"/>
      <c r="H224" s="72"/>
      <c r="I224" s="72"/>
      <c r="J224" s="72"/>
      <c r="K224" s="72"/>
      <c r="L224" s="72"/>
      <c r="M224" s="72"/>
      <c r="N224" s="72"/>
      <c r="O224" s="72"/>
      <c r="P224" s="72"/>
      <c r="Q224" s="72"/>
      <c r="R224" s="72"/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5"/>
      <c r="AF224" s="5"/>
    </row>
    <row r="225" ht="12.75" customHeight="1">
      <c r="A225" s="30" t="s">
        <v>37</v>
      </c>
      <c r="B225" s="47" t="s">
        <v>164</v>
      </c>
      <c r="C225" s="48" t="s">
        <v>165</v>
      </c>
      <c r="D225" s="16"/>
      <c r="E225" s="19">
        <v>0.0</v>
      </c>
      <c r="F225" s="19">
        <v>0.0</v>
      </c>
      <c r="G225" s="19">
        <v>1.0</v>
      </c>
      <c r="H225" s="19">
        <v>1.0</v>
      </c>
      <c r="I225" s="19">
        <v>1.0</v>
      </c>
      <c r="J225" s="19">
        <v>0.0</v>
      </c>
      <c r="K225" s="19">
        <v>0.0</v>
      </c>
      <c r="L225" s="19">
        <v>0.0</v>
      </c>
      <c r="M225" s="19">
        <v>0.0</v>
      </c>
      <c r="N225" s="19">
        <v>1.0</v>
      </c>
      <c r="O225" s="19">
        <v>0.0</v>
      </c>
      <c r="P225" s="19">
        <v>1.0</v>
      </c>
      <c r="Q225" s="19">
        <v>0.0</v>
      </c>
      <c r="R225" s="19">
        <v>0.0</v>
      </c>
      <c r="S225" s="19">
        <v>0.0</v>
      </c>
      <c r="T225" s="19">
        <v>0.0</v>
      </c>
      <c r="U225" s="19">
        <v>0.0</v>
      </c>
      <c r="V225" s="19">
        <v>0.0</v>
      </c>
      <c r="W225" s="19">
        <v>0.0</v>
      </c>
      <c r="X225" s="19">
        <v>1.0</v>
      </c>
      <c r="Y225" s="19">
        <v>0.0</v>
      </c>
      <c r="Z225" s="19">
        <v>1.0</v>
      </c>
      <c r="AA225" s="19">
        <v>0.0</v>
      </c>
      <c r="AB225" s="19">
        <v>1.0</v>
      </c>
      <c r="AC225" s="19">
        <v>0.0</v>
      </c>
      <c r="AD225" s="13">
        <f t="shared" ref="AD225:AD235" si="47">SUM(E225:AC225)</f>
        <v>8</v>
      </c>
      <c r="AE225" s="5"/>
      <c r="AF225" s="5"/>
    </row>
    <row r="226" ht="12.75" customHeight="1">
      <c r="A226" s="30" t="s">
        <v>39</v>
      </c>
      <c r="B226" s="55">
        <v>1.0</v>
      </c>
      <c r="C226" s="50" t="s">
        <v>166</v>
      </c>
      <c r="D226" s="57"/>
      <c r="E226" s="19">
        <v>1.0</v>
      </c>
      <c r="F226" s="19">
        <v>0.0</v>
      </c>
      <c r="G226" s="19">
        <v>0.0</v>
      </c>
      <c r="H226" s="19">
        <v>0.0</v>
      </c>
      <c r="I226" s="19">
        <v>0.0</v>
      </c>
      <c r="J226" s="19">
        <v>0.0</v>
      </c>
      <c r="K226" s="19">
        <v>1.0</v>
      </c>
      <c r="L226" s="19">
        <v>0.0</v>
      </c>
      <c r="M226" s="19">
        <v>1.0</v>
      </c>
      <c r="N226" s="19">
        <v>0.0</v>
      </c>
      <c r="O226" s="19">
        <v>1.0</v>
      </c>
      <c r="P226" s="19">
        <v>0.0</v>
      </c>
      <c r="Q226" s="19">
        <v>2.0</v>
      </c>
      <c r="R226" s="19">
        <v>0.0</v>
      </c>
      <c r="S226" s="19">
        <v>0.0</v>
      </c>
      <c r="T226" s="19">
        <v>0.0</v>
      </c>
      <c r="U226" s="19">
        <v>0.0</v>
      </c>
      <c r="V226" s="19">
        <v>0.0</v>
      </c>
      <c r="W226" s="19">
        <v>0.0</v>
      </c>
      <c r="X226" s="19">
        <v>0.0</v>
      </c>
      <c r="Y226" s="19">
        <v>0.0</v>
      </c>
      <c r="Z226" s="19">
        <v>0.0</v>
      </c>
      <c r="AA226" s="19">
        <v>0.0</v>
      </c>
      <c r="AB226" s="19">
        <v>0.0</v>
      </c>
      <c r="AC226" s="19">
        <v>2.0</v>
      </c>
      <c r="AD226" s="13">
        <f t="shared" si="47"/>
        <v>8</v>
      </c>
      <c r="AE226" s="5"/>
      <c r="AF226" s="5"/>
    </row>
    <row r="227" ht="12.75" customHeight="1">
      <c r="A227" s="18"/>
      <c r="B227" s="55">
        <v>2.0</v>
      </c>
      <c r="C227" s="50" t="s">
        <v>167</v>
      </c>
      <c r="D227" s="57"/>
      <c r="E227" s="19">
        <v>0.0</v>
      </c>
      <c r="F227" s="19">
        <v>0.0</v>
      </c>
      <c r="G227" s="19">
        <v>1.0</v>
      </c>
      <c r="H227" s="19">
        <v>1.0</v>
      </c>
      <c r="I227" s="19">
        <v>0.0</v>
      </c>
      <c r="J227" s="19">
        <v>0.0</v>
      </c>
      <c r="K227" s="19">
        <v>0.0</v>
      </c>
      <c r="L227" s="19">
        <v>0.0</v>
      </c>
      <c r="M227" s="19">
        <v>0.0</v>
      </c>
      <c r="N227" s="19">
        <v>0.0</v>
      </c>
      <c r="O227" s="19">
        <v>0.0</v>
      </c>
      <c r="P227" s="19">
        <v>0.0</v>
      </c>
      <c r="Q227" s="19">
        <v>0.0</v>
      </c>
      <c r="R227" s="19">
        <v>0.0</v>
      </c>
      <c r="S227" s="19">
        <v>0.0</v>
      </c>
      <c r="T227" s="19">
        <v>0.0</v>
      </c>
      <c r="U227" s="19">
        <v>0.0</v>
      </c>
      <c r="V227" s="19">
        <v>0.0</v>
      </c>
      <c r="W227" s="19">
        <v>0.0</v>
      </c>
      <c r="X227" s="19">
        <v>0.0</v>
      </c>
      <c r="Y227" s="19">
        <v>0.0</v>
      </c>
      <c r="Z227" s="19">
        <v>0.0</v>
      </c>
      <c r="AA227" s="19">
        <v>0.0</v>
      </c>
      <c r="AB227" s="19">
        <v>0.0</v>
      </c>
      <c r="AC227" s="19">
        <v>0.0</v>
      </c>
      <c r="AD227" s="13">
        <f t="shared" si="47"/>
        <v>2</v>
      </c>
      <c r="AE227" s="5"/>
      <c r="AF227" s="5"/>
    </row>
    <row r="228" ht="12.75" customHeight="1">
      <c r="A228" s="18"/>
      <c r="B228" s="55">
        <v>3.0</v>
      </c>
      <c r="C228" s="50" t="s">
        <v>168</v>
      </c>
      <c r="D228" s="57"/>
      <c r="E228" s="19">
        <v>0.0</v>
      </c>
      <c r="F228" s="19">
        <v>0.0</v>
      </c>
      <c r="G228" s="19">
        <v>1.0</v>
      </c>
      <c r="H228" s="19">
        <v>0.0</v>
      </c>
      <c r="I228" s="19">
        <v>0.0</v>
      </c>
      <c r="J228" s="19">
        <v>0.0</v>
      </c>
      <c r="K228" s="19">
        <v>0.0</v>
      </c>
      <c r="L228" s="19">
        <v>0.0</v>
      </c>
      <c r="M228" s="19">
        <v>0.0</v>
      </c>
      <c r="N228" s="19">
        <v>1.0</v>
      </c>
      <c r="O228" s="19">
        <v>1.0</v>
      </c>
      <c r="P228" s="19">
        <v>0.0</v>
      </c>
      <c r="Q228" s="19">
        <v>0.0</v>
      </c>
      <c r="R228" s="19">
        <v>0.0</v>
      </c>
      <c r="S228" s="19">
        <v>0.0</v>
      </c>
      <c r="T228" s="19">
        <v>0.0</v>
      </c>
      <c r="U228" s="19">
        <v>0.0</v>
      </c>
      <c r="V228" s="19">
        <v>0.0</v>
      </c>
      <c r="W228" s="19">
        <v>0.0</v>
      </c>
      <c r="X228" s="19">
        <v>1.0</v>
      </c>
      <c r="Y228" s="19">
        <v>0.0</v>
      </c>
      <c r="Z228" s="19">
        <v>0.0</v>
      </c>
      <c r="AA228" s="19">
        <v>0.0</v>
      </c>
      <c r="AB228" s="19">
        <v>0.0</v>
      </c>
      <c r="AC228" s="19">
        <v>0.0</v>
      </c>
      <c r="AD228" s="13">
        <f t="shared" si="47"/>
        <v>4</v>
      </c>
      <c r="AE228" s="5"/>
      <c r="AF228" s="5"/>
    </row>
    <row r="229" ht="12.75" customHeight="1">
      <c r="A229" s="18"/>
      <c r="B229" s="55">
        <v>4.0</v>
      </c>
      <c r="C229" s="50" t="s">
        <v>169</v>
      </c>
      <c r="D229" s="57"/>
      <c r="E229" s="19">
        <v>0.0</v>
      </c>
      <c r="F229" s="19">
        <v>0.0</v>
      </c>
      <c r="G229" s="19">
        <v>0.0</v>
      </c>
      <c r="H229" s="19">
        <v>0.0</v>
      </c>
      <c r="I229" s="19">
        <v>0.0</v>
      </c>
      <c r="J229" s="19">
        <v>0.0</v>
      </c>
      <c r="K229" s="19">
        <v>0.0</v>
      </c>
      <c r="L229" s="19">
        <v>0.0</v>
      </c>
      <c r="M229" s="19">
        <v>0.0</v>
      </c>
      <c r="N229" s="19">
        <v>0.0</v>
      </c>
      <c r="O229" s="19">
        <v>0.0</v>
      </c>
      <c r="P229" s="19">
        <v>0.0</v>
      </c>
      <c r="Q229" s="19">
        <v>0.0</v>
      </c>
      <c r="R229" s="19">
        <v>0.0</v>
      </c>
      <c r="S229" s="19">
        <v>0.0</v>
      </c>
      <c r="T229" s="19">
        <v>0.0</v>
      </c>
      <c r="U229" s="19">
        <v>0.0</v>
      </c>
      <c r="V229" s="19">
        <v>0.0</v>
      </c>
      <c r="W229" s="19">
        <v>0.0</v>
      </c>
      <c r="X229" s="19">
        <v>0.0</v>
      </c>
      <c r="Y229" s="19">
        <v>0.0</v>
      </c>
      <c r="Z229" s="19">
        <v>0.0</v>
      </c>
      <c r="AA229" s="19">
        <v>0.0</v>
      </c>
      <c r="AB229" s="19">
        <v>0.0</v>
      </c>
      <c r="AC229" s="19">
        <v>0.0</v>
      </c>
      <c r="AD229" s="13">
        <f t="shared" si="47"/>
        <v>0</v>
      </c>
      <c r="AE229" s="1"/>
      <c r="AF229" s="1"/>
    </row>
    <row r="230" ht="12.75" customHeight="1">
      <c r="A230" s="18"/>
      <c r="B230" s="55">
        <v>5.0</v>
      </c>
      <c r="C230" s="50" t="s">
        <v>170</v>
      </c>
      <c r="D230" s="57"/>
      <c r="E230" s="19">
        <v>0.0</v>
      </c>
      <c r="F230" s="19">
        <v>0.0</v>
      </c>
      <c r="G230" s="19">
        <v>0.0</v>
      </c>
      <c r="H230" s="19">
        <v>0.0</v>
      </c>
      <c r="I230" s="19">
        <v>0.0</v>
      </c>
      <c r="J230" s="19">
        <v>0.0</v>
      </c>
      <c r="K230" s="19">
        <v>0.0</v>
      </c>
      <c r="L230" s="19">
        <v>0.0</v>
      </c>
      <c r="M230" s="19">
        <v>0.0</v>
      </c>
      <c r="N230" s="19">
        <v>0.0</v>
      </c>
      <c r="O230" s="19">
        <v>0.0</v>
      </c>
      <c r="P230" s="19">
        <v>0.0</v>
      </c>
      <c r="Q230" s="19">
        <v>0.0</v>
      </c>
      <c r="R230" s="19">
        <v>0.0</v>
      </c>
      <c r="S230" s="19">
        <v>0.0</v>
      </c>
      <c r="T230" s="19">
        <v>0.0</v>
      </c>
      <c r="U230" s="19">
        <v>0.0</v>
      </c>
      <c r="V230" s="19">
        <v>0.0</v>
      </c>
      <c r="W230" s="19">
        <v>0.0</v>
      </c>
      <c r="X230" s="19">
        <v>0.0</v>
      </c>
      <c r="Y230" s="19">
        <v>0.0</v>
      </c>
      <c r="Z230" s="19">
        <v>0.0</v>
      </c>
      <c r="AA230" s="19">
        <v>0.0</v>
      </c>
      <c r="AB230" s="19">
        <v>0.0</v>
      </c>
      <c r="AC230" s="19">
        <v>0.0</v>
      </c>
      <c r="AD230" s="13">
        <f t="shared" si="47"/>
        <v>0</v>
      </c>
      <c r="AE230" s="52"/>
      <c r="AF230" s="52"/>
    </row>
    <row r="231" ht="12.75" customHeight="1">
      <c r="A231" s="18"/>
      <c r="B231" s="55">
        <v>6.0</v>
      </c>
      <c r="C231" s="50" t="s">
        <v>171</v>
      </c>
      <c r="D231" s="57"/>
      <c r="E231" s="19">
        <v>0.0</v>
      </c>
      <c r="F231" s="19">
        <v>0.0</v>
      </c>
      <c r="G231" s="19">
        <v>0.0</v>
      </c>
      <c r="H231" s="19">
        <v>0.0</v>
      </c>
      <c r="I231" s="19">
        <v>0.0</v>
      </c>
      <c r="J231" s="19">
        <v>0.0</v>
      </c>
      <c r="K231" s="19">
        <v>0.0</v>
      </c>
      <c r="L231" s="19">
        <v>0.0</v>
      </c>
      <c r="M231" s="19">
        <v>0.0</v>
      </c>
      <c r="N231" s="19">
        <v>0.0</v>
      </c>
      <c r="O231" s="19">
        <v>0.0</v>
      </c>
      <c r="P231" s="19">
        <v>0.0</v>
      </c>
      <c r="Q231" s="19">
        <v>0.0</v>
      </c>
      <c r="R231" s="19">
        <v>0.0</v>
      </c>
      <c r="S231" s="19">
        <v>0.0</v>
      </c>
      <c r="T231" s="19">
        <v>0.0</v>
      </c>
      <c r="U231" s="19">
        <v>0.0</v>
      </c>
      <c r="V231" s="19">
        <v>0.0</v>
      </c>
      <c r="W231" s="19">
        <v>0.0</v>
      </c>
      <c r="X231" s="19">
        <v>0.0</v>
      </c>
      <c r="Y231" s="19">
        <v>0.0</v>
      </c>
      <c r="Z231" s="19">
        <v>0.0</v>
      </c>
      <c r="AA231" s="19">
        <v>0.0</v>
      </c>
      <c r="AB231" s="19">
        <v>0.0</v>
      </c>
      <c r="AC231" s="19">
        <v>0.0</v>
      </c>
      <c r="AD231" s="13">
        <f t="shared" si="47"/>
        <v>0</v>
      </c>
      <c r="AE231" s="5"/>
      <c r="AF231" s="5"/>
    </row>
    <row r="232" ht="12.75" customHeight="1">
      <c r="A232" s="18"/>
      <c r="B232" s="55">
        <v>7.0</v>
      </c>
      <c r="C232" s="50" t="s">
        <v>172</v>
      </c>
      <c r="D232" s="57"/>
      <c r="E232" s="19">
        <v>2.0</v>
      </c>
      <c r="F232" s="19">
        <v>2.0</v>
      </c>
      <c r="G232" s="19">
        <v>5.0</v>
      </c>
      <c r="H232" s="19">
        <v>0.0</v>
      </c>
      <c r="I232" s="19">
        <v>0.0</v>
      </c>
      <c r="J232" s="19">
        <v>0.0</v>
      </c>
      <c r="K232" s="19">
        <v>0.0</v>
      </c>
      <c r="L232" s="19">
        <v>0.0</v>
      </c>
      <c r="M232" s="19">
        <v>0.0</v>
      </c>
      <c r="N232" s="19">
        <v>1.0</v>
      </c>
      <c r="O232" s="19">
        <v>1.0</v>
      </c>
      <c r="P232" s="19">
        <v>0.0</v>
      </c>
      <c r="Q232" s="19">
        <v>0.0</v>
      </c>
      <c r="R232" s="19">
        <v>0.0</v>
      </c>
      <c r="S232" s="19">
        <v>0.0</v>
      </c>
      <c r="T232" s="19">
        <v>0.0</v>
      </c>
      <c r="U232" s="19">
        <v>0.0</v>
      </c>
      <c r="V232" s="19">
        <v>0.0</v>
      </c>
      <c r="W232" s="19">
        <v>0.0</v>
      </c>
      <c r="X232" s="19">
        <v>0.0</v>
      </c>
      <c r="Y232" s="19">
        <v>0.0</v>
      </c>
      <c r="Z232" s="19">
        <v>0.0</v>
      </c>
      <c r="AA232" s="19">
        <v>0.0</v>
      </c>
      <c r="AB232" s="19">
        <v>0.0</v>
      </c>
      <c r="AC232" s="19">
        <v>0.0</v>
      </c>
      <c r="AD232" s="13">
        <f t="shared" si="47"/>
        <v>11</v>
      </c>
      <c r="AE232" s="5"/>
      <c r="AF232" s="5"/>
    </row>
    <row r="233" ht="12.75" customHeight="1">
      <c r="A233" s="18"/>
      <c r="B233" s="68"/>
      <c r="C233" s="69"/>
      <c r="D233" s="71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3">
        <f t="shared" si="47"/>
        <v>0</v>
      </c>
      <c r="AE233" s="5"/>
      <c r="AF233" s="5"/>
    </row>
    <row r="234" ht="12.75" customHeight="1">
      <c r="A234" s="18"/>
      <c r="B234" s="68"/>
      <c r="C234" s="69"/>
      <c r="D234" s="71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3">
        <f t="shared" si="47"/>
        <v>0</v>
      </c>
      <c r="AE234" s="5"/>
      <c r="AF234" s="5"/>
    </row>
    <row r="235" ht="15.0" customHeight="1">
      <c r="A235" s="19" t="s">
        <v>15</v>
      </c>
      <c r="B235" s="47" t="s">
        <v>47</v>
      </c>
      <c r="C235" s="15"/>
      <c r="D235" s="16"/>
      <c r="E235" s="13">
        <f t="shared" ref="E235:AC235" si="48">SUM(E225:E232)</f>
        <v>3</v>
      </c>
      <c r="F235" s="13">
        <f t="shared" si="48"/>
        <v>2</v>
      </c>
      <c r="G235" s="13">
        <f t="shared" si="48"/>
        <v>8</v>
      </c>
      <c r="H235" s="13">
        <f t="shared" si="48"/>
        <v>2</v>
      </c>
      <c r="I235" s="13">
        <f t="shared" si="48"/>
        <v>1</v>
      </c>
      <c r="J235" s="13">
        <f t="shared" si="48"/>
        <v>0</v>
      </c>
      <c r="K235" s="13">
        <f t="shared" si="48"/>
        <v>1</v>
      </c>
      <c r="L235" s="13">
        <f t="shared" si="48"/>
        <v>0</v>
      </c>
      <c r="M235" s="13">
        <f t="shared" si="48"/>
        <v>1</v>
      </c>
      <c r="N235" s="13">
        <f t="shared" si="48"/>
        <v>3</v>
      </c>
      <c r="O235" s="13">
        <f t="shared" si="48"/>
        <v>3</v>
      </c>
      <c r="P235" s="13">
        <f t="shared" si="48"/>
        <v>1</v>
      </c>
      <c r="Q235" s="13">
        <f t="shared" si="48"/>
        <v>2</v>
      </c>
      <c r="R235" s="13">
        <f t="shared" si="48"/>
        <v>0</v>
      </c>
      <c r="S235" s="13">
        <f t="shared" si="48"/>
        <v>0</v>
      </c>
      <c r="T235" s="13">
        <f t="shared" si="48"/>
        <v>0</v>
      </c>
      <c r="U235" s="13">
        <f t="shared" si="48"/>
        <v>0</v>
      </c>
      <c r="V235" s="13">
        <f t="shared" si="48"/>
        <v>0</v>
      </c>
      <c r="W235" s="13">
        <f t="shared" si="48"/>
        <v>0</v>
      </c>
      <c r="X235" s="13">
        <f t="shared" si="48"/>
        <v>2</v>
      </c>
      <c r="Y235" s="13">
        <f t="shared" si="48"/>
        <v>0</v>
      </c>
      <c r="Z235" s="13">
        <f t="shared" si="48"/>
        <v>1</v>
      </c>
      <c r="AA235" s="13">
        <f t="shared" si="48"/>
        <v>0</v>
      </c>
      <c r="AB235" s="13">
        <f t="shared" si="48"/>
        <v>1</v>
      </c>
      <c r="AC235" s="13">
        <f t="shared" si="48"/>
        <v>2</v>
      </c>
      <c r="AD235" s="13">
        <f t="shared" si="47"/>
        <v>33</v>
      </c>
      <c r="AE235" s="5"/>
      <c r="AF235" s="5"/>
    </row>
    <row r="236" ht="12.75" customHeight="1">
      <c r="A236" s="24"/>
      <c r="B236" s="15"/>
      <c r="C236" s="15"/>
      <c r="D236" s="15"/>
      <c r="E236" s="16"/>
      <c r="F236" s="72"/>
      <c r="G236" s="72"/>
      <c r="H236" s="72"/>
      <c r="I236" s="72"/>
      <c r="J236" s="72"/>
      <c r="K236" s="72"/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5"/>
      <c r="AF236" s="5"/>
    </row>
    <row r="237" ht="12.75" customHeight="1">
      <c r="A237" s="30" t="s">
        <v>37</v>
      </c>
      <c r="B237" s="47" t="s">
        <v>173</v>
      </c>
      <c r="C237" s="48" t="s">
        <v>174</v>
      </c>
      <c r="D237" s="16"/>
      <c r="E237" s="19">
        <v>1.0</v>
      </c>
      <c r="F237" s="19">
        <v>1.0</v>
      </c>
      <c r="G237" s="19">
        <v>1.0</v>
      </c>
      <c r="H237" s="19">
        <v>0.0</v>
      </c>
      <c r="I237" s="19">
        <v>0.0</v>
      </c>
      <c r="J237" s="19">
        <v>0.0</v>
      </c>
      <c r="K237" s="19">
        <v>0.0</v>
      </c>
      <c r="L237" s="19">
        <v>0.0</v>
      </c>
      <c r="M237" s="19">
        <v>0.0</v>
      </c>
      <c r="N237" s="19">
        <v>3.0</v>
      </c>
      <c r="O237" s="19">
        <v>0.0</v>
      </c>
      <c r="P237" s="19">
        <v>1.0</v>
      </c>
      <c r="Q237" s="19">
        <v>7.0</v>
      </c>
      <c r="R237" s="19">
        <v>3.0</v>
      </c>
      <c r="S237" s="19">
        <v>0.0</v>
      </c>
      <c r="T237" s="19">
        <v>0.0</v>
      </c>
      <c r="U237" s="19">
        <v>2.0</v>
      </c>
      <c r="V237" s="19">
        <v>1.0</v>
      </c>
      <c r="W237" s="19">
        <v>1.0</v>
      </c>
      <c r="X237" s="19">
        <v>4.0</v>
      </c>
      <c r="Y237" s="19">
        <v>0.0</v>
      </c>
      <c r="Z237" s="19">
        <v>2.0</v>
      </c>
      <c r="AA237" s="19">
        <v>2.0</v>
      </c>
      <c r="AB237" s="19">
        <v>0.0</v>
      </c>
      <c r="AC237" s="19">
        <v>1.0</v>
      </c>
      <c r="AD237" s="13">
        <f t="shared" ref="AD237:AD247" si="49">SUM(E237:AC237)</f>
        <v>30</v>
      </c>
      <c r="AE237" s="5"/>
      <c r="AF237" s="5"/>
    </row>
    <row r="238" ht="12.75" customHeight="1">
      <c r="A238" s="30" t="s">
        <v>39</v>
      </c>
      <c r="B238" s="55">
        <v>1.0</v>
      </c>
      <c r="C238" s="50" t="s">
        <v>175</v>
      </c>
      <c r="D238" s="57"/>
      <c r="E238" s="19">
        <v>0.0</v>
      </c>
      <c r="F238" s="19">
        <v>1.0</v>
      </c>
      <c r="G238" s="19">
        <v>1.0</v>
      </c>
      <c r="H238" s="19">
        <v>1.0</v>
      </c>
      <c r="I238" s="19">
        <v>0.0</v>
      </c>
      <c r="J238" s="19">
        <v>1.0</v>
      </c>
      <c r="K238" s="19">
        <v>0.0</v>
      </c>
      <c r="L238" s="19">
        <v>0.0</v>
      </c>
      <c r="M238" s="19">
        <v>0.0</v>
      </c>
      <c r="N238" s="19">
        <v>1.0</v>
      </c>
      <c r="O238" s="19">
        <v>0.0</v>
      </c>
      <c r="P238" s="19">
        <v>0.0</v>
      </c>
      <c r="Q238" s="19">
        <v>2.0</v>
      </c>
      <c r="R238" s="19">
        <v>4.0</v>
      </c>
      <c r="S238" s="19">
        <v>0.0</v>
      </c>
      <c r="T238" s="19">
        <v>0.0</v>
      </c>
      <c r="U238" s="19">
        <v>1.0</v>
      </c>
      <c r="V238" s="19">
        <v>1.0</v>
      </c>
      <c r="W238" s="19">
        <v>1.0</v>
      </c>
      <c r="X238" s="19">
        <v>1.0</v>
      </c>
      <c r="Y238" s="19">
        <v>0.0</v>
      </c>
      <c r="Z238" s="19">
        <v>0.0</v>
      </c>
      <c r="AA238" s="19">
        <v>0.0</v>
      </c>
      <c r="AB238" s="19">
        <v>0.0</v>
      </c>
      <c r="AC238" s="19">
        <v>0.0</v>
      </c>
      <c r="AD238" s="13">
        <f t="shared" si="49"/>
        <v>15</v>
      </c>
      <c r="AE238" s="5"/>
      <c r="AF238" s="5"/>
    </row>
    <row r="239" ht="12.75" customHeight="1">
      <c r="A239" s="18"/>
      <c r="B239" s="55">
        <v>2.0</v>
      </c>
      <c r="C239" s="50" t="s">
        <v>176</v>
      </c>
      <c r="D239" s="57"/>
      <c r="E239" s="19">
        <v>0.0</v>
      </c>
      <c r="F239" s="19">
        <v>2.0</v>
      </c>
      <c r="G239" s="19">
        <v>0.0</v>
      </c>
      <c r="H239" s="19">
        <v>1.0</v>
      </c>
      <c r="I239" s="19">
        <v>1.0</v>
      </c>
      <c r="J239" s="19">
        <v>0.0</v>
      </c>
      <c r="K239" s="19">
        <v>0.0</v>
      </c>
      <c r="L239" s="19">
        <v>1.0</v>
      </c>
      <c r="M239" s="19">
        <v>0.0</v>
      </c>
      <c r="N239" s="19">
        <v>21.0</v>
      </c>
      <c r="O239" s="19">
        <v>2.0</v>
      </c>
      <c r="P239" s="19">
        <v>41.0</v>
      </c>
      <c r="Q239" s="19">
        <v>82.0</v>
      </c>
      <c r="R239" s="19">
        <v>70.0</v>
      </c>
      <c r="S239" s="19">
        <v>21.0</v>
      </c>
      <c r="T239" s="19">
        <v>2.0</v>
      </c>
      <c r="U239" s="19">
        <v>31.0</v>
      </c>
      <c r="V239" s="19">
        <v>4.0</v>
      </c>
      <c r="W239" s="19">
        <v>2.0</v>
      </c>
      <c r="X239" s="19">
        <v>0.0</v>
      </c>
      <c r="Y239" s="19">
        <v>0.0</v>
      </c>
      <c r="Z239" s="19">
        <v>5.0</v>
      </c>
      <c r="AA239" s="19">
        <v>2.0</v>
      </c>
      <c r="AB239" s="19">
        <v>0.0</v>
      </c>
      <c r="AC239" s="19">
        <v>0.0</v>
      </c>
      <c r="AD239" s="13">
        <f t="shared" si="49"/>
        <v>288</v>
      </c>
      <c r="AE239" s="5"/>
      <c r="AF239" s="5"/>
    </row>
    <row r="240" ht="12.75" customHeight="1">
      <c r="A240" s="18"/>
      <c r="B240" s="55">
        <v>3.0</v>
      </c>
      <c r="C240" s="50" t="s">
        <v>177</v>
      </c>
      <c r="D240" s="57"/>
      <c r="E240" s="19">
        <v>0.0</v>
      </c>
      <c r="F240" s="19">
        <v>0.0</v>
      </c>
      <c r="G240" s="19">
        <v>0.0</v>
      </c>
      <c r="H240" s="19">
        <v>0.0</v>
      </c>
      <c r="I240" s="19">
        <v>0.0</v>
      </c>
      <c r="J240" s="19">
        <v>0.0</v>
      </c>
      <c r="K240" s="19">
        <v>0.0</v>
      </c>
      <c r="L240" s="19">
        <v>1.0</v>
      </c>
      <c r="M240" s="19">
        <v>0.0</v>
      </c>
      <c r="N240" s="19">
        <v>0.0</v>
      </c>
      <c r="O240" s="19">
        <v>0.0</v>
      </c>
      <c r="P240" s="19">
        <v>0.0</v>
      </c>
      <c r="Q240" s="19">
        <v>1.0</v>
      </c>
      <c r="R240" s="19">
        <v>2.0</v>
      </c>
      <c r="S240" s="19">
        <v>0.0</v>
      </c>
      <c r="T240" s="19">
        <v>0.0</v>
      </c>
      <c r="U240" s="19">
        <v>0.0</v>
      </c>
      <c r="V240" s="19">
        <v>0.0</v>
      </c>
      <c r="W240" s="19">
        <v>0.0</v>
      </c>
      <c r="X240" s="19">
        <v>0.0</v>
      </c>
      <c r="Y240" s="19">
        <v>0.0</v>
      </c>
      <c r="Z240" s="19">
        <v>0.0</v>
      </c>
      <c r="AA240" s="19">
        <v>1.0</v>
      </c>
      <c r="AB240" s="19">
        <v>0.0</v>
      </c>
      <c r="AC240" s="19">
        <v>0.0</v>
      </c>
      <c r="AD240" s="13">
        <f t="shared" si="49"/>
        <v>5</v>
      </c>
      <c r="AE240" s="1"/>
      <c r="AF240" s="1"/>
    </row>
    <row r="241" ht="12.75" customHeight="1">
      <c r="A241" s="18"/>
      <c r="B241" s="55">
        <v>4.0</v>
      </c>
      <c r="C241" s="50" t="s">
        <v>178</v>
      </c>
      <c r="D241" s="57"/>
      <c r="E241" s="19">
        <v>1.0</v>
      </c>
      <c r="F241" s="19">
        <v>0.0</v>
      </c>
      <c r="G241" s="19">
        <v>0.0</v>
      </c>
      <c r="H241" s="19">
        <v>0.0</v>
      </c>
      <c r="I241" s="19">
        <v>0.0</v>
      </c>
      <c r="J241" s="19">
        <v>0.0</v>
      </c>
      <c r="K241" s="19">
        <v>0.0</v>
      </c>
      <c r="L241" s="19">
        <v>0.0</v>
      </c>
      <c r="M241" s="19">
        <v>0.0</v>
      </c>
      <c r="N241" s="19">
        <v>1.0</v>
      </c>
      <c r="O241" s="19">
        <v>0.0</v>
      </c>
      <c r="P241" s="19">
        <v>0.0</v>
      </c>
      <c r="Q241" s="19">
        <v>0.0</v>
      </c>
      <c r="R241" s="19">
        <v>1.0</v>
      </c>
      <c r="S241" s="19">
        <v>0.0</v>
      </c>
      <c r="T241" s="19">
        <v>0.0</v>
      </c>
      <c r="U241" s="19">
        <v>1.0</v>
      </c>
      <c r="V241" s="19">
        <v>0.0</v>
      </c>
      <c r="W241" s="19">
        <v>0.0</v>
      </c>
      <c r="X241" s="19">
        <v>0.0</v>
      </c>
      <c r="Y241" s="19">
        <v>0.0</v>
      </c>
      <c r="Z241" s="19">
        <v>0.0</v>
      </c>
      <c r="AA241" s="19">
        <v>0.0</v>
      </c>
      <c r="AB241" s="19">
        <v>0.0</v>
      </c>
      <c r="AC241" s="19">
        <v>0.0</v>
      </c>
      <c r="AD241" s="13">
        <f t="shared" si="49"/>
        <v>4</v>
      </c>
    </row>
    <row r="242" ht="12.75" customHeight="1">
      <c r="A242" s="18"/>
      <c r="B242" s="55">
        <v>5.0</v>
      </c>
      <c r="C242" s="50" t="s">
        <v>179</v>
      </c>
      <c r="D242" s="57"/>
      <c r="E242" s="19">
        <v>0.0</v>
      </c>
      <c r="F242" s="19">
        <v>0.0</v>
      </c>
      <c r="G242" s="19">
        <v>0.0</v>
      </c>
      <c r="H242" s="19">
        <v>0.0</v>
      </c>
      <c r="I242" s="19">
        <v>0.0</v>
      </c>
      <c r="J242" s="19">
        <v>0.0</v>
      </c>
      <c r="K242" s="19">
        <v>0.0</v>
      </c>
      <c r="L242" s="19">
        <v>0.0</v>
      </c>
      <c r="M242" s="19">
        <v>0.0</v>
      </c>
      <c r="N242" s="19">
        <v>0.0</v>
      </c>
      <c r="O242" s="19">
        <v>0.0</v>
      </c>
      <c r="P242" s="19">
        <v>0.0</v>
      </c>
      <c r="Q242" s="19">
        <v>0.0</v>
      </c>
      <c r="R242" s="19">
        <v>0.0</v>
      </c>
      <c r="S242" s="19">
        <v>0.0</v>
      </c>
      <c r="T242" s="19">
        <v>0.0</v>
      </c>
      <c r="U242" s="19">
        <v>0.0</v>
      </c>
      <c r="V242" s="19">
        <v>0.0</v>
      </c>
      <c r="W242" s="19">
        <v>0.0</v>
      </c>
      <c r="X242" s="19">
        <v>0.0</v>
      </c>
      <c r="Y242" s="19">
        <v>0.0</v>
      </c>
      <c r="Z242" s="19">
        <v>0.0</v>
      </c>
      <c r="AA242" s="19">
        <v>0.0</v>
      </c>
      <c r="AB242" s="19">
        <v>0.0</v>
      </c>
      <c r="AC242" s="19">
        <v>0.0</v>
      </c>
      <c r="AD242" s="13">
        <f t="shared" si="49"/>
        <v>0</v>
      </c>
    </row>
    <row r="243" ht="12.75" customHeight="1">
      <c r="A243" s="18"/>
      <c r="B243" s="55">
        <v>6.0</v>
      </c>
      <c r="C243" s="50" t="s">
        <v>180</v>
      </c>
      <c r="D243" s="57"/>
      <c r="E243" s="19">
        <v>0.0</v>
      </c>
      <c r="F243" s="19">
        <v>1.0</v>
      </c>
      <c r="G243" s="19">
        <v>0.0</v>
      </c>
      <c r="H243" s="19">
        <v>0.0</v>
      </c>
      <c r="I243" s="19">
        <v>1.0</v>
      </c>
      <c r="J243" s="19">
        <v>0.0</v>
      </c>
      <c r="K243" s="19">
        <v>0.0</v>
      </c>
      <c r="L243" s="19">
        <v>0.0</v>
      </c>
      <c r="M243" s="19">
        <v>0.0</v>
      </c>
      <c r="N243" s="19">
        <v>0.0</v>
      </c>
      <c r="O243" s="19">
        <v>0.0</v>
      </c>
      <c r="P243" s="19">
        <v>0.0</v>
      </c>
      <c r="Q243" s="19">
        <v>1.0</v>
      </c>
      <c r="R243" s="19">
        <v>0.0</v>
      </c>
      <c r="S243" s="19">
        <v>0.0</v>
      </c>
      <c r="T243" s="19">
        <v>0.0</v>
      </c>
      <c r="U243" s="19">
        <v>0.0</v>
      </c>
      <c r="V243" s="19">
        <v>0.0</v>
      </c>
      <c r="W243" s="19">
        <v>0.0</v>
      </c>
      <c r="X243" s="19">
        <v>0.0</v>
      </c>
      <c r="Y243" s="19">
        <v>0.0</v>
      </c>
      <c r="Z243" s="19">
        <v>0.0</v>
      </c>
      <c r="AA243" s="19">
        <v>0.0</v>
      </c>
      <c r="AB243" s="19">
        <v>0.0</v>
      </c>
      <c r="AC243" s="19">
        <v>0.0</v>
      </c>
      <c r="AD243" s="13">
        <f t="shared" si="49"/>
        <v>3</v>
      </c>
    </row>
    <row r="244" ht="12.75" customHeight="1">
      <c r="A244" s="18"/>
      <c r="B244" s="55">
        <v>7.0</v>
      </c>
      <c r="C244" s="50" t="s">
        <v>181</v>
      </c>
      <c r="D244" s="57"/>
      <c r="E244" s="19">
        <v>0.0</v>
      </c>
      <c r="F244" s="19">
        <v>1.0</v>
      </c>
      <c r="G244" s="19">
        <v>0.0</v>
      </c>
      <c r="H244" s="19">
        <v>0.0</v>
      </c>
      <c r="I244" s="19">
        <v>0.0</v>
      </c>
      <c r="J244" s="19">
        <v>0.0</v>
      </c>
      <c r="K244" s="19">
        <v>0.0</v>
      </c>
      <c r="L244" s="19">
        <v>0.0</v>
      </c>
      <c r="M244" s="19">
        <v>0.0</v>
      </c>
      <c r="N244" s="19">
        <v>0.0</v>
      </c>
      <c r="O244" s="19">
        <v>0.0</v>
      </c>
      <c r="P244" s="19">
        <v>1.0</v>
      </c>
      <c r="Q244" s="19">
        <v>0.0</v>
      </c>
      <c r="R244" s="19">
        <v>0.0</v>
      </c>
      <c r="S244" s="19">
        <v>0.0</v>
      </c>
      <c r="T244" s="19">
        <v>0.0</v>
      </c>
      <c r="U244" s="19">
        <v>0.0</v>
      </c>
      <c r="V244" s="19">
        <v>0.0</v>
      </c>
      <c r="W244" s="19">
        <v>0.0</v>
      </c>
      <c r="X244" s="19">
        <v>0.0</v>
      </c>
      <c r="Y244" s="19">
        <v>0.0</v>
      </c>
      <c r="Z244" s="19">
        <v>0.0</v>
      </c>
      <c r="AA244" s="19">
        <v>0.0</v>
      </c>
      <c r="AB244" s="19">
        <v>0.0</v>
      </c>
      <c r="AC244" s="19">
        <v>0.0</v>
      </c>
      <c r="AD244" s="13">
        <f t="shared" si="49"/>
        <v>2</v>
      </c>
    </row>
    <row r="245" ht="12.75" customHeight="1">
      <c r="A245" s="18"/>
      <c r="B245" s="68"/>
      <c r="C245" s="69"/>
      <c r="D245" s="71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3">
        <f t="shared" si="49"/>
        <v>0</v>
      </c>
    </row>
    <row r="246" ht="12.75" customHeight="1">
      <c r="A246" s="18"/>
      <c r="B246" s="68"/>
      <c r="C246" s="69"/>
      <c r="D246" s="71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3">
        <f t="shared" si="49"/>
        <v>0</v>
      </c>
    </row>
    <row r="247" ht="12.75" customHeight="1">
      <c r="A247" s="19" t="s">
        <v>15</v>
      </c>
      <c r="B247" s="47" t="s">
        <v>47</v>
      </c>
      <c r="C247" s="15"/>
      <c r="D247" s="16"/>
      <c r="E247" s="13">
        <f t="shared" ref="E247:AC247" si="50">SUM(E237:E244)</f>
        <v>2</v>
      </c>
      <c r="F247" s="13">
        <f t="shared" si="50"/>
        <v>6</v>
      </c>
      <c r="G247" s="13">
        <f t="shared" si="50"/>
        <v>2</v>
      </c>
      <c r="H247" s="13">
        <f t="shared" si="50"/>
        <v>2</v>
      </c>
      <c r="I247" s="13">
        <f t="shared" si="50"/>
        <v>2</v>
      </c>
      <c r="J247" s="13">
        <f t="shared" si="50"/>
        <v>1</v>
      </c>
      <c r="K247" s="13">
        <f t="shared" si="50"/>
        <v>0</v>
      </c>
      <c r="L247" s="13">
        <f t="shared" si="50"/>
        <v>2</v>
      </c>
      <c r="M247" s="13">
        <f t="shared" si="50"/>
        <v>0</v>
      </c>
      <c r="N247" s="13">
        <f t="shared" si="50"/>
        <v>26</v>
      </c>
      <c r="O247" s="13">
        <f t="shared" si="50"/>
        <v>2</v>
      </c>
      <c r="P247" s="13">
        <f t="shared" si="50"/>
        <v>43</v>
      </c>
      <c r="Q247" s="13">
        <f t="shared" si="50"/>
        <v>93</v>
      </c>
      <c r="R247" s="13">
        <f t="shared" si="50"/>
        <v>80</v>
      </c>
      <c r="S247" s="13">
        <f t="shared" si="50"/>
        <v>21</v>
      </c>
      <c r="T247" s="13">
        <f t="shared" si="50"/>
        <v>2</v>
      </c>
      <c r="U247" s="13">
        <f t="shared" si="50"/>
        <v>35</v>
      </c>
      <c r="V247" s="13">
        <f t="shared" si="50"/>
        <v>6</v>
      </c>
      <c r="W247" s="13">
        <f t="shared" si="50"/>
        <v>4</v>
      </c>
      <c r="X247" s="13">
        <f t="shared" si="50"/>
        <v>5</v>
      </c>
      <c r="Y247" s="13">
        <f t="shared" si="50"/>
        <v>0</v>
      </c>
      <c r="Z247" s="13">
        <f t="shared" si="50"/>
        <v>7</v>
      </c>
      <c r="AA247" s="13">
        <f t="shared" si="50"/>
        <v>5</v>
      </c>
      <c r="AB247" s="13">
        <f t="shared" si="50"/>
        <v>0</v>
      </c>
      <c r="AC247" s="13">
        <f t="shared" si="50"/>
        <v>1</v>
      </c>
      <c r="AD247" s="13">
        <f t="shared" si="49"/>
        <v>347</v>
      </c>
    </row>
    <row r="248" ht="12.75" customHeight="1">
      <c r="A248" s="24"/>
      <c r="B248" s="15"/>
      <c r="C248" s="15"/>
      <c r="D248" s="15"/>
      <c r="E248" s="16"/>
    </row>
    <row r="249" ht="12.75" customHeight="1">
      <c r="A249" s="30" t="s">
        <v>37</v>
      </c>
      <c r="B249" s="47" t="s">
        <v>182</v>
      </c>
      <c r="C249" s="48" t="s">
        <v>183</v>
      </c>
      <c r="D249" s="16"/>
      <c r="E249" s="19">
        <v>1.0</v>
      </c>
      <c r="F249" s="19">
        <v>0.0</v>
      </c>
      <c r="G249" s="19">
        <v>0.0</v>
      </c>
      <c r="H249" s="19">
        <v>0.0</v>
      </c>
      <c r="I249" s="19">
        <v>0.0</v>
      </c>
      <c r="J249" s="19">
        <v>0.0</v>
      </c>
      <c r="K249" s="19">
        <v>0.0</v>
      </c>
      <c r="L249" s="19">
        <v>0.0</v>
      </c>
      <c r="M249" s="19">
        <v>0.0</v>
      </c>
      <c r="N249" s="19">
        <v>0.0</v>
      </c>
      <c r="O249" s="19">
        <v>0.0</v>
      </c>
      <c r="P249" s="19">
        <v>1.0</v>
      </c>
      <c r="Q249" s="19">
        <v>0.0</v>
      </c>
      <c r="R249" s="19">
        <v>0.0</v>
      </c>
      <c r="S249" s="19">
        <v>1.0</v>
      </c>
      <c r="T249" s="19">
        <v>0.0</v>
      </c>
      <c r="U249" s="19">
        <v>1.0</v>
      </c>
      <c r="V249" s="19">
        <v>0.0</v>
      </c>
      <c r="W249" s="19">
        <v>0.0</v>
      </c>
      <c r="X249" s="19">
        <v>0.0</v>
      </c>
      <c r="Y249" s="19">
        <v>0.0</v>
      </c>
      <c r="Z249" s="19">
        <v>0.0</v>
      </c>
      <c r="AA249" s="19">
        <v>0.0</v>
      </c>
      <c r="AB249" s="19">
        <v>0.0</v>
      </c>
      <c r="AC249" s="19">
        <v>0.0</v>
      </c>
      <c r="AD249" s="13">
        <f t="shared" ref="AD249:AD259" si="51">SUM(E249:AC249)</f>
        <v>4</v>
      </c>
    </row>
    <row r="250" ht="12.75" customHeight="1">
      <c r="A250" s="30" t="s">
        <v>39</v>
      </c>
      <c r="B250" s="55">
        <v>1.0</v>
      </c>
      <c r="C250" s="59" t="s">
        <v>184</v>
      </c>
      <c r="D250" s="57"/>
      <c r="E250" s="19">
        <v>1.0</v>
      </c>
      <c r="F250" s="19">
        <v>0.0</v>
      </c>
      <c r="G250" s="19">
        <v>0.0</v>
      </c>
      <c r="H250" s="19">
        <v>0.0</v>
      </c>
      <c r="I250" s="19">
        <v>0.0</v>
      </c>
      <c r="J250" s="19">
        <v>1.0</v>
      </c>
      <c r="K250" s="19">
        <v>0.0</v>
      </c>
      <c r="L250" s="19">
        <v>0.0</v>
      </c>
      <c r="M250" s="19">
        <v>0.0</v>
      </c>
      <c r="N250" s="19">
        <v>0.0</v>
      </c>
      <c r="O250" s="19">
        <v>0.0</v>
      </c>
      <c r="P250" s="19">
        <v>2.0</v>
      </c>
      <c r="Q250" s="19">
        <v>0.0</v>
      </c>
      <c r="R250" s="19">
        <v>0.0</v>
      </c>
      <c r="S250" s="19">
        <v>0.0</v>
      </c>
      <c r="T250" s="19">
        <v>0.0</v>
      </c>
      <c r="U250" s="19">
        <v>0.0</v>
      </c>
      <c r="V250" s="19">
        <v>0.0</v>
      </c>
      <c r="W250" s="19">
        <v>0.0</v>
      </c>
      <c r="X250" s="19">
        <v>0.0</v>
      </c>
      <c r="Y250" s="19">
        <v>0.0</v>
      </c>
      <c r="Z250" s="19">
        <v>0.0</v>
      </c>
      <c r="AA250" s="19">
        <v>0.0</v>
      </c>
      <c r="AB250" s="19">
        <v>0.0</v>
      </c>
      <c r="AC250" s="19">
        <v>0.0</v>
      </c>
      <c r="AD250" s="13">
        <f t="shared" si="51"/>
        <v>4</v>
      </c>
    </row>
    <row r="251" ht="12.75" customHeight="1">
      <c r="A251" s="18"/>
      <c r="B251" s="55">
        <v>2.0</v>
      </c>
      <c r="C251" s="59" t="s">
        <v>185</v>
      </c>
      <c r="D251" s="57"/>
      <c r="E251" s="19">
        <v>0.0</v>
      </c>
      <c r="F251" s="19">
        <v>0.0</v>
      </c>
      <c r="G251" s="19">
        <v>0.0</v>
      </c>
      <c r="H251" s="19">
        <v>0.0</v>
      </c>
      <c r="I251" s="19">
        <v>0.0</v>
      </c>
      <c r="J251" s="19">
        <v>0.0</v>
      </c>
      <c r="K251" s="19">
        <v>0.0</v>
      </c>
      <c r="L251" s="19">
        <v>0.0</v>
      </c>
      <c r="M251" s="19">
        <v>0.0</v>
      </c>
      <c r="N251" s="19">
        <v>0.0</v>
      </c>
      <c r="O251" s="19">
        <v>0.0</v>
      </c>
      <c r="P251" s="19">
        <v>0.0</v>
      </c>
      <c r="Q251" s="19">
        <v>0.0</v>
      </c>
      <c r="R251" s="19">
        <v>0.0</v>
      </c>
      <c r="S251" s="19">
        <v>0.0</v>
      </c>
      <c r="T251" s="19">
        <v>0.0</v>
      </c>
      <c r="U251" s="19">
        <v>0.0</v>
      </c>
      <c r="V251" s="19">
        <v>0.0</v>
      </c>
      <c r="W251" s="19">
        <v>0.0</v>
      </c>
      <c r="X251" s="19">
        <v>0.0</v>
      </c>
      <c r="Y251" s="19">
        <v>0.0</v>
      </c>
      <c r="Z251" s="19">
        <v>0.0</v>
      </c>
      <c r="AA251" s="19">
        <v>0.0</v>
      </c>
      <c r="AB251" s="19">
        <v>0.0</v>
      </c>
      <c r="AC251" s="19">
        <v>0.0</v>
      </c>
      <c r="AD251" s="13">
        <f t="shared" si="51"/>
        <v>0</v>
      </c>
    </row>
    <row r="252" ht="12.75" customHeight="1">
      <c r="A252" s="18"/>
      <c r="B252" s="55">
        <v>3.0</v>
      </c>
      <c r="C252" s="59" t="s">
        <v>186</v>
      </c>
      <c r="D252" s="57"/>
      <c r="E252" s="19">
        <v>0.0</v>
      </c>
      <c r="F252" s="19">
        <v>0.0</v>
      </c>
      <c r="G252" s="19">
        <v>0.0</v>
      </c>
      <c r="H252" s="19">
        <v>0.0</v>
      </c>
      <c r="I252" s="19">
        <v>0.0</v>
      </c>
      <c r="J252" s="19">
        <v>0.0</v>
      </c>
      <c r="K252" s="19">
        <v>0.0</v>
      </c>
      <c r="L252" s="19">
        <v>0.0</v>
      </c>
      <c r="M252" s="19">
        <v>0.0</v>
      </c>
      <c r="N252" s="19">
        <v>1.0</v>
      </c>
      <c r="O252" s="19">
        <v>0.0</v>
      </c>
      <c r="P252" s="19">
        <v>0.0</v>
      </c>
      <c r="Q252" s="19">
        <v>0.0</v>
      </c>
      <c r="R252" s="19">
        <v>0.0</v>
      </c>
      <c r="S252" s="19">
        <v>0.0</v>
      </c>
      <c r="T252" s="19">
        <v>0.0</v>
      </c>
      <c r="U252" s="19">
        <v>0.0</v>
      </c>
      <c r="V252" s="19">
        <v>0.0</v>
      </c>
      <c r="W252" s="19">
        <v>0.0</v>
      </c>
      <c r="X252" s="19">
        <v>0.0</v>
      </c>
      <c r="Y252" s="19">
        <v>0.0</v>
      </c>
      <c r="Z252" s="19">
        <v>0.0</v>
      </c>
      <c r="AA252" s="19">
        <v>0.0</v>
      </c>
      <c r="AB252" s="19">
        <v>0.0</v>
      </c>
      <c r="AC252" s="19">
        <v>0.0</v>
      </c>
      <c r="AD252" s="13">
        <f t="shared" si="51"/>
        <v>1</v>
      </c>
    </row>
    <row r="253" ht="12.75" customHeight="1">
      <c r="A253" s="18"/>
      <c r="B253" s="55">
        <v>4.0</v>
      </c>
      <c r="C253" s="59" t="s">
        <v>187</v>
      </c>
      <c r="D253" s="57"/>
      <c r="E253" s="19">
        <v>0.0</v>
      </c>
      <c r="F253" s="19">
        <v>0.0</v>
      </c>
      <c r="G253" s="19">
        <v>1.0</v>
      </c>
      <c r="H253" s="19">
        <v>0.0</v>
      </c>
      <c r="I253" s="19">
        <v>0.0</v>
      </c>
      <c r="J253" s="19">
        <v>0.0</v>
      </c>
      <c r="K253" s="19">
        <v>0.0</v>
      </c>
      <c r="L253" s="19">
        <v>0.0</v>
      </c>
      <c r="M253" s="19">
        <v>0.0</v>
      </c>
      <c r="N253" s="19">
        <v>0.0</v>
      </c>
      <c r="O253" s="19">
        <v>0.0</v>
      </c>
      <c r="P253" s="19">
        <v>0.0</v>
      </c>
      <c r="Q253" s="19">
        <v>0.0</v>
      </c>
      <c r="R253" s="19">
        <v>0.0</v>
      </c>
      <c r="S253" s="19">
        <v>0.0</v>
      </c>
      <c r="T253" s="19">
        <v>0.0</v>
      </c>
      <c r="U253" s="19">
        <v>0.0</v>
      </c>
      <c r="V253" s="19">
        <v>0.0</v>
      </c>
      <c r="W253" s="19">
        <v>0.0</v>
      </c>
      <c r="X253" s="19">
        <v>0.0</v>
      </c>
      <c r="Y253" s="19">
        <v>0.0</v>
      </c>
      <c r="Z253" s="19">
        <v>0.0</v>
      </c>
      <c r="AA253" s="19">
        <v>0.0</v>
      </c>
      <c r="AB253" s="19">
        <v>0.0</v>
      </c>
      <c r="AC253" s="19">
        <v>0.0</v>
      </c>
      <c r="AD253" s="13">
        <f t="shared" si="51"/>
        <v>1</v>
      </c>
    </row>
    <row r="254" ht="12.75" customHeight="1">
      <c r="A254" s="18"/>
      <c r="B254" s="55">
        <v>5.0</v>
      </c>
      <c r="C254" s="59" t="s">
        <v>188</v>
      </c>
      <c r="D254" s="57"/>
      <c r="E254" s="19">
        <v>0.0</v>
      </c>
      <c r="F254" s="19">
        <v>0.0</v>
      </c>
      <c r="G254" s="19">
        <v>0.0</v>
      </c>
      <c r="H254" s="19">
        <v>0.0</v>
      </c>
      <c r="I254" s="19">
        <v>0.0</v>
      </c>
      <c r="J254" s="19">
        <v>0.0</v>
      </c>
      <c r="K254" s="19">
        <v>0.0</v>
      </c>
      <c r="L254" s="19">
        <v>0.0</v>
      </c>
      <c r="M254" s="19">
        <v>0.0</v>
      </c>
      <c r="N254" s="19">
        <v>1.0</v>
      </c>
      <c r="O254" s="19">
        <v>0.0</v>
      </c>
      <c r="P254" s="19">
        <v>0.0</v>
      </c>
      <c r="Q254" s="19">
        <v>0.0</v>
      </c>
      <c r="R254" s="19">
        <v>0.0</v>
      </c>
      <c r="S254" s="19">
        <v>0.0</v>
      </c>
      <c r="T254" s="19">
        <v>0.0</v>
      </c>
      <c r="U254" s="19">
        <v>0.0</v>
      </c>
      <c r="V254" s="19">
        <v>0.0</v>
      </c>
      <c r="W254" s="19">
        <v>0.0</v>
      </c>
      <c r="X254" s="19">
        <v>0.0</v>
      </c>
      <c r="Y254" s="19">
        <v>0.0</v>
      </c>
      <c r="Z254" s="19">
        <v>0.0</v>
      </c>
      <c r="AA254" s="19">
        <v>0.0</v>
      </c>
      <c r="AB254" s="19">
        <v>0.0</v>
      </c>
      <c r="AC254" s="19">
        <v>0.0</v>
      </c>
      <c r="AD254" s="13">
        <f t="shared" si="51"/>
        <v>1</v>
      </c>
    </row>
    <row r="255" ht="12.75" customHeight="1">
      <c r="A255" s="18"/>
      <c r="B255" s="55">
        <v>6.0</v>
      </c>
      <c r="C255" s="59" t="s">
        <v>189</v>
      </c>
      <c r="D255" s="57"/>
      <c r="E255" s="19">
        <v>0.0</v>
      </c>
      <c r="F255" s="19">
        <v>0.0</v>
      </c>
      <c r="G255" s="19">
        <v>0.0</v>
      </c>
      <c r="H255" s="19">
        <v>0.0</v>
      </c>
      <c r="I255" s="19">
        <v>0.0</v>
      </c>
      <c r="J255" s="19">
        <v>0.0</v>
      </c>
      <c r="K255" s="19">
        <v>0.0</v>
      </c>
      <c r="L255" s="19">
        <v>0.0</v>
      </c>
      <c r="M255" s="19">
        <v>1.0</v>
      </c>
      <c r="N255" s="19">
        <v>0.0</v>
      </c>
      <c r="O255" s="19">
        <v>0.0</v>
      </c>
      <c r="P255" s="19">
        <v>0.0</v>
      </c>
      <c r="Q255" s="19">
        <v>0.0</v>
      </c>
      <c r="R255" s="19">
        <v>0.0</v>
      </c>
      <c r="S255" s="19">
        <v>0.0</v>
      </c>
      <c r="T255" s="19">
        <v>0.0</v>
      </c>
      <c r="U255" s="19">
        <v>0.0</v>
      </c>
      <c r="V255" s="19">
        <v>1.0</v>
      </c>
      <c r="W255" s="19">
        <v>0.0</v>
      </c>
      <c r="X255" s="19">
        <v>0.0</v>
      </c>
      <c r="Y255" s="19">
        <v>0.0</v>
      </c>
      <c r="Z255" s="19">
        <v>0.0</v>
      </c>
      <c r="AA255" s="19">
        <v>0.0</v>
      </c>
      <c r="AB255" s="19">
        <v>0.0</v>
      </c>
      <c r="AC255" s="19">
        <v>0.0</v>
      </c>
      <c r="AD255" s="13">
        <f t="shared" si="51"/>
        <v>2</v>
      </c>
    </row>
    <row r="256" ht="12.75" customHeight="1">
      <c r="A256" s="18"/>
      <c r="B256" s="68"/>
      <c r="C256" s="73"/>
      <c r="D256" s="71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3">
        <f t="shared" si="51"/>
        <v>0</v>
      </c>
    </row>
    <row r="257" ht="12.75" customHeight="1">
      <c r="A257" s="18"/>
      <c r="B257" s="68"/>
      <c r="C257" s="73"/>
      <c r="D257" s="71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3">
        <f t="shared" si="51"/>
        <v>0</v>
      </c>
    </row>
    <row r="258" ht="12.75" customHeight="1">
      <c r="A258" s="18"/>
      <c r="B258" s="68"/>
      <c r="C258" s="73"/>
      <c r="D258" s="71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3">
        <f t="shared" si="51"/>
        <v>0</v>
      </c>
    </row>
    <row r="259" ht="15.0" customHeight="1">
      <c r="A259" s="19" t="s">
        <v>15</v>
      </c>
      <c r="B259" s="47" t="s">
        <v>47</v>
      </c>
      <c r="C259" s="15"/>
      <c r="D259" s="16"/>
      <c r="E259" s="13">
        <f t="shared" ref="E259:AC259" si="52">SUM(E249:E255)</f>
        <v>2</v>
      </c>
      <c r="F259" s="13">
        <f t="shared" si="52"/>
        <v>0</v>
      </c>
      <c r="G259" s="13">
        <f t="shared" si="52"/>
        <v>1</v>
      </c>
      <c r="H259" s="13">
        <f t="shared" si="52"/>
        <v>0</v>
      </c>
      <c r="I259" s="13">
        <f t="shared" si="52"/>
        <v>0</v>
      </c>
      <c r="J259" s="13">
        <f t="shared" si="52"/>
        <v>1</v>
      </c>
      <c r="K259" s="13">
        <f t="shared" si="52"/>
        <v>0</v>
      </c>
      <c r="L259" s="13">
        <f t="shared" si="52"/>
        <v>0</v>
      </c>
      <c r="M259" s="13">
        <f t="shared" si="52"/>
        <v>1</v>
      </c>
      <c r="N259" s="13">
        <f t="shared" si="52"/>
        <v>2</v>
      </c>
      <c r="O259" s="13">
        <f t="shared" si="52"/>
        <v>0</v>
      </c>
      <c r="P259" s="13">
        <f t="shared" si="52"/>
        <v>3</v>
      </c>
      <c r="Q259" s="13">
        <f t="shared" si="52"/>
        <v>0</v>
      </c>
      <c r="R259" s="13">
        <f t="shared" si="52"/>
        <v>0</v>
      </c>
      <c r="S259" s="13">
        <f t="shared" si="52"/>
        <v>1</v>
      </c>
      <c r="T259" s="13">
        <f t="shared" si="52"/>
        <v>0</v>
      </c>
      <c r="U259" s="13">
        <f t="shared" si="52"/>
        <v>1</v>
      </c>
      <c r="V259" s="13">
        <f t="shared" si="52"/>
        <v>1</v>
      </c>
      <c r="W259" s="13">
        <f t="shared" si="52"/>
        <v>0</v>
      </c>
      <c r="X259" s="13">
        <f t="shared" si="52"/>
        <v>0</v>
      </c>
      <c r="Y259" s="13">
        <f t="shared" si="52"/>
        <v>0</v>
      </c>
      <c r="Z259" s="13">
        <f t="shared" si="52"/>
        <v>0</v>
      </c>
      <c r="AA259" s="13">
        <f t="shared" si="52"/>
        <v>0</v>
      </c>
      <c r="AB259" s="13">
        <f t="shared" si="52"/>
        <v>0</v>
      </c>
      <c r="AC259" s="13">
        <f t="shared" si="52"/>
        <v>0</v>
      </c>
      <c r="AD259" s="13">
        <f t="shared" si="51"/>
        <v>13</v>
      </c>
    </row>
    <row r="260" ht="12.75" customHeight="1"/>
    <row r="261" ht="12.75" customHeight="1">
      <c r="A261" s="42" t="s">
        <v>190</v>
      </c>
      <c r="B261" s="14" t="s">
        <v>191</v>
      </c>
      <c r="C261" s="15"/>
      <c r="D261" s="16"/>
      <c r="E261" s="13"/>
      <c r="F261" s="13"/>
      <c r="G261" s="13"/>
      <c r="H261" s="13"/>
      <c r="I261" s="13"/>
      <c r="J261" s="13"/>
      <c r="K261" s="13"/>
      <c r="L261" s="13"/>
      <c r="M261" s="13"/>
      <c r="N261" s="77"/>
      <c r="O261" s="13"/>
      <c r="P261" s="13"/>
      <c r="Q261" s="13"/>
      <c r="R261" s="13"/>
      <c r="S261" s="77"/>
      <c r="T261" s="13"/>
      <c r="U261" s="13"/>
      <c r="V261" s="13"/>
      <c r="W261" s="13"/>
      <c r="X261" s="77"/>
      <c r="Y261" s="13"/>
      <c r="Z261" s="13"/>
      <c r="AA261" s="13"/>
      <c r="AB261" s="13"/>
      <c r="AC261" s="77"/>
      <c r="AD261" s="13"/>
    </row>
    <row r="262" ht="12.75" customHeight="1">
      <c r="A262" s="42"/>
      <c r="B262" s="62" t="s">
        <v>192</v>
      </c>
      <c r="C262" s="63" t="s">
        <v>193</v>
      </c>
      <c r="D262" s="16"/>
      <c r="E262" s="19">
        <f t="shared" ref="E262:AC262" si="53">E55+E67+E79+E91+E103+E115+E127+E139+E151+E163+E175+E187+E199+E211+E223+E235+E247+E259</f>
        <v>134</v>
      </c>
      <c r="F262" s="19">
        <f t="shared" si="53"/>
        <v>114</v>
      </c>
      <c r="G262" s="19">
        <f t="shared" si="53"/>
        <v>149</v>
      </c>
      <c r="H262" s="19">
        <f t="shared" si="53"/>
        <v>148</v>
      </c>
      <c r="I262" s="19">
        <f t="shared" si="53"/>
        <v>125</v>
      </c>
      <c r="J262" s="19">
        <f t="shared" si="53"/>
        <v>128</v>
      </c>
      <c r="K262" s="19">
        <f t="shared" si="53"/>
        <v>116</v>
      </c>
      <c r="L262" s="19">
        <f t="shared" si="53"/>
        <v>148</v>
      </c>
      <c r="M262" s="19">
        <f t="shared" si="53"/>
        <v>147</v>
      </c>
      <c r="N262" s="19">
        <f t="shared" si="53"/>
        <v>193</v>
      </c>
      <c r="O262" s="19">
        <f t="shared" si="53"/>
        <v>154</v>
      </c>
      <c r="P262" s="19">
        <f t="shared" si="53"/>
        <v>164</v>
      </c>
      <c r="Q262" s="19">
        <f t="shared" si="53"/>
        <v>216</v>
      </c>
      <c r="R262" s="19">
        <f t="shared" si="53"/>
        <v>175</v>
      </c>
      <c r="S262" s="19">
        <f t="shared" si="53"/>
        <v>148</v>
      </c>
      <c r="T262" s="19">
        <f t="shared" si="53"/>
        <v>143</v>
      </c>
      <c r="U262" s="19">
        <f t="shared" si="53"/>
        <v>157</v>
      </c>
      <c r="V262" s="19">
        <f t="shared" si="53"/>
        <v>186</v>
      </c>
      <c r="W262" s="19">
        <f t="shared" si="53"/>
        <v>189</v>
      </c>
      <c r="X262" s="19">
        <f t="shared" si="53"/>
        <v>205</v>
      </c>
      <c r="Y262" s="19">
        <f t="shared" si="53"/>
        <v>152</v>
      </c>
      <c r="Z262" s="19">
        <f t="shared" si="53"/>
        <v>163</v>
      </c>
      <c r="AA262" s="19">
        <f t="shared" si="53"/>
        <v>184</v>
      </c>
      <c r="AB262" s="19">
        <f t="shared" si="53"/>
        <v>133</v>
      </c>
      <c r="AC262" s="19">
        <f t="shared" si="53"/>
        <v>135</v>
      </c>
      <c r="AD262" s="13">
        <f t="shared" ref="AD262:AD264" si="54">SUM(E262:AC262)</f>
        <v>3906</v>
      </c>
    </row>
    <row r="263" ht="12.75" customHeight="1">
      <c r="A263" s="35"/>
      <c r="B263" s="62" t="s">
        <v>194</v>
      </c>
      <c r="C263" s="63" t="s">
        <v>195</v>
      </c>
      <c r="D263" s="16"/>
      <c r="E263" s="19">
        <v>30.0</v>
      </c>
      <c r="F263" s="19">
        <v>31.0</v>
      </c>
      <c r="G263" s="19">
        <v>19.0</v>
      </c>
      <c r="H263" s="19">
        <v>18.0</v>
      </c>
      <c r="I263" s="19">
        <v>28.0</v>
      </c>
      <c r="J263" s="19">
        <v>26.0</v>
      </c>
      <c r="K263" s="19">
        <v>19.0</v>
      </c>
      <c r="L263" s="19">
        <v>23.0</v>
      </c>
      <c r="M263" s="19">
        <v>20.0</v>
      </c>
      <c r="N263" s="19">
        <v>26.0</v>
      </c>
      <c r="O263" s="19">
        <v>19.0</v>
      </c>
      <c r="P263" s="19">
        <v>22.0</v>
      </c>
      <c r="Q263" s="19">
        <v>14.0</v>
      </c>
      <c r="R263" s="19">
        <v>13.0</v>
      </c>
      <c r="S263" s="19">
        <v>15.0</v>
      </c>
      <c r="T263" s="19">
        <v>17.0</v>
      </c>
      <c r="U263" s="19">
        <v>15.0</v>
      </c>
      <c r="V263" s="19">
        <v>39.0</v>
      </c>
      <c r="W263" s="19">
        <v>23.0</v>
      </c>
      <c r="X263" s="19">
        <v>18.0</v>
      </c>
      <c r="Y263" s="19">
        <v>6.0</v>
      </c>
      <c r="Z263" s="19">
        <v>24.0</v>
      </c>
      <c r="AA263" s="19">
        <v>25.0</v>
      </c>
      <c r="AB263" s="19">
        <v>5.0</v>
      </c>
      <c r="AC263" s="19">
        <v>12.0</v>
      </c>
      <c r="AD263" s="13">
        <f t="shared" si="54"/>
        <v>507</v>
      </c>
    </row>
    <row r="264" ht="12.75" customHeight="1">
      <c r="A264" s="41"/>
      <c r="B264" s="62" t="s">
        <v>196</v>
      </c>
      <c r="C264" s="63" t="s">
        <v>197</v>
      </c>
      <c r="D264" s="16"/>
      <c r="E264" s="13">
        <f t="shared" ref="E264:AC264" si="55">SUM(E262:E263)</f>
        <v>164</v>
      </c>
      <c r="F264" s="13">
        <f t="shared" si="55"/>
        <v>145</v>
      </c>
      <c r="G264" s="13">
        <f t="shared" si="55"/>
        <v>168</v>
      </c>
      <c r="H264" s="13">
        <f t="shared" si="55"/>
        <v>166</v>
      </c>
      <c r="I264" s="13">
        <f t="shared" si="55"/>
        <v>153</v>
      </c>
      <c r="J264" s="13">
        <f t="shared" si="55"/>
        <v>154</v>
      </c>
      <c r="K264" s="13">
        <f t="shared" si="55"/>
        <v>135</v>
      </c>
      <c r="L264" s="13">
        <f t="shared" si="55"/>
        <v>171</v>
      </c>
      <c r="M264" s="13">
        <f t="shared" si="55"/>
        <v>167</v>
      </c>
      <c r="N264" s="13">
        <f t="shared" si="55"/>
        <v>219</v>
      </c>
      <c r="O264" s="13">
        <f t="shared" si="55"/>
        <v>173</v>
      </c>
      <c r="P264" s="13">
        <f t="shared" si="55"/>
        <v>186</v>
      </c>
      <c r="Q264" s="13">
        <f t="shared" si="55"/>
        <v>230</v>
      </c>
      <c r="R264" s="13">
        <f t="shared" si="55"/>
        <v>188</v>
      </c>
      <c r="S264" s="13">
        <f t="shared" si="55"/>
        <v>163</v>
      </c>
      <c r="T264" s="13">
        <f t="shared" si="55"/>
        <v>160</v>
      </c>
      <c r="U264" s="13">
        <f t="shared" si="55"/>
        <v>172</v>
      </c>
      <c r="V264" s="13">
        <f t="shared" si="55"/>
        <v>225</v>
      </c>
      <c r="W264" s="13">
        <f t="shared" si="55"/>
        <v>212</v>
      </c>
      <c r="X264" s="13">
        <f t="shared" si="55"/>
        <v>223</v>
      </c>
      <c r="Y264" s="13">
        <f t="shared" si="55"/>
        <v>158</v>
      </c>
      <c r="Z264" s="13">
        <f t="shared" si="55"/>
        <v>187</v>
      </c>
      <c r="AA264" s="13">
        <f t="shared" si="55"/>
        <v>209</v>
      </c>
      <c r="AB264" s="13">
        <f t="shared" si="55"/>
        <v>138</v>
      </c>
      <c r="AC264" s="13">
        <f t="shared" si="55"/>
        <v>147</v>
      </c>
      <c r="AD264" s="13">
        <f t="shared" si="54"/>
        <v>4413</v>
      </c>
    </row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3"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03:D103"/>
    <mergeCell ref="A104:E104"/>
    <mergeCell ref="B127:D127"/>
    <mergeCell ref="A128:E128"/>
    <mergeCell ref="C129:D129"/>
    <mergeCell ref="B139:D139"/>
    <mergeCell ref="A140:E140"/>
    <mergeCell ref="C141:D141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C262:D262"/>
    <mergeCell ref="C263:D263"/>
    <mergeCell ref="C264:D264"/>
    <mergeCell ref="A236:E236"/>
    <mergeCell ref="C237:D237"/>
    <mergeCell ref="B247:D247"/>
    <mergeCell ref="A248:E248"/>
    <mergeCell ref="C249:D249"/>
    <mergeCell ref="B259:D259"/>
    <mergeCell ref="B261:D261"/>
    <mergeCell ref="B12:D12"/>
    <mergeCell ref="E12:AC12"/>
    <mergeCell ref="AD12:AD13"/>
    <mergeCell ref="B13:D13"/>
    <mergeCell ref="B14:C16"/>
    <mergeCell ref="A17:D17"/>
    <mergeCell ref="B18:D18"/>
    <mergeCell ref="B19:B21"/>
    <mergeCell ref="C19:C21"/>
    <mergeCell ref="B22:B24"/>
    <mergeCell ref="C22:C24"/>
    <mergeCell ref="B25:B27"/>
    <mergeCell ref="C25:C27"/>
    <mergeCell ref="B28:B30"/>
    <mergeCell ref="A37:D37"/>
    <mergeCell ref="E37:I37"/>
    <mergeCell ref="C28:C30"/>
    <mergeCell ref="A31:D31"/>
    <mergeCell ref="B32:D32"/>
    <mergeCell ref="B33:D33"/>
    <mergeCell ref="B34:D34"/>
    <mergeCell ref="B35:D35"/>
    <mergeCell ref="B36:D36"/>
    <mergeCell ref="B38:D38"/>
    <mergeCell ref="B39:C41"/>
    <mergeCell ref="A42:D42"/>
    <mergeCell ref="E42:I42"/>
    <mergeCell ref="B43:D43"/>
    <mergeCell ref="A44:D44"/>
    <mergeCell ref="C45:D45"/>
    <mergeCell ref="C46:D46"/>
    <mergeCell ref="C47:D47"/>
    <mergeCell ref="C48:D48"/>
    <mergeCell ref="C49:D49"/>
    <mergeCell ref="C50:D50"/>
    <mergeCell ref="C51:D51"/>
    <mergeCell ref="C52:D52"/>
    <mergeCell ref="C105:D105"/>
    <mergeCell ref="B115:D115"/>
    <mergeCell ref="A116:E116"/>
    <mergeCell ref="C117:D117"/>
  </mergeCells>
  <conditionalFormatting sqref="E14:AC15">
    <cfRule type="containsBlanks" dxfId="1" priority="1">
      <formula>LEN(TRIM(E14))=0</formula>
    </cfRule>
  </conditionalFormatting>
  <conditionalFormatting sqref="E19:AC20">
    <cfRule type="containsBlanks" dxfId="1" priority="2">
      <formula>LEN(TRIM(E19))=0</formula>
    </cfRule>
  </conditionalFormatting>
  <conditionalFormatting sqref="E22:AC23 E25:AC26 E33:L33 E35:L35 E39:AC40 M33:M35 N33:AC33 N35:AC35">
    <cfRule type="containsBlanks" dxfId="1" priority="3">
      <formula>LEN(TRIM(E22))=0</formula>
    </cfRule>
  </conditionalFormatting>
  <conditionalFormatting sqref="E30:AC30">
    <cfRule type="expression" dxfId="0" priority="4">
      <formula>E30&lt;&gt;E47</formula>
    </cfRule>
  </conditionalFormatting>
  <conditionalFormatting sqref="E30:AC30">
    <cfRule type="expression" dxfId="0" priority="5">
      <formula>E30&lt;&gt;E34</formula>
    </cfRule>
  </conditionalFormatting>
  <conditionalFormatting sqref="E34:AC34">
    <cfRule type="expression" dxfId="2" priority="6">
      <formula>E30&lt;&gt;E34</formula>
    </cfRule>
  </conditionalFormatting>
  <conditionalFormatting sqref="E34:AC34">
    <cfRule type="expression" dxfId="3" priority="7">
      <formula>E30=E34</formula>
    </cfRule>
  </conditionalFormatting>
  <conditionalFormatting sqref="E34:AC34">
    <cfRule type="expression" dxfId="0" priority="8">
      <formula>E34&lt;&gt;E30</formula>
    </cfRule>
  </conditionalFormatting>
  <conditionalFormatting sqref="E34:AC34">
    <cfRule type="expression" dxfId="0" priority="9">
      <formula>E34&lt;&gt;E64</formula>
    </cfRule>
  </conditionalFormatting>
  <conditionalFormatting sqref="E45:AC54">
    <cfRule type="containsBlanks" dxfId="1" priority="10">
      <formula>LEN(TRIM(E45))=0</formula>
    </cfRule>
  </conditionalFormatting>
  <conditionalFormatting sqref="E57:AC66">
    <cfRule type="containsBlanks" dxfId="1" priority="11">
      <formula>LEN(TRIM(E57))=0</formula>
    </cfRule>
  </conditionalFormatting>
  <conditionalFormatting sqref="E69:AC78">
    <cfRule type="containsBlanks" dxfId="1" priority="12">
      <formula>LEN(TRIM(E69))=0</formula>
    </cfRule>
  </conditionalFormatting>
  <conditionalFormatting sqref="E81:AC90">
    <cfRule type="containsBlanks" dxfId="1" priority="13">
      <formula>LEN(TRIM(E81))=0</formula>
    </cfRule>
  </conditionalFormatting>
  <conditionalFormatting sqref="E93:AC102">
    <cfRule type="containsBlanks" dxfId="1" priority="14">
      <formula>LEN(TRIM(E93))=0</formula>
    </cfRule>
  </conditionalFormatting>
  <conditionalFormatting sqref="E105:AC114">
    <cfRule type="containsBlanks" dxfId="1" priority="15">
      <formula>LEN(TRIM(E105))=0</formula>
    </cfRule>
  </conditionalFormatting>
  <conditionalFormatting sqref="E117:AC126">
    <cfRule type="containsBlanks" dxfId="1" priority="16">
      <formula>LEN(TRIM(E117))=0</formula>
    </cfRule>
  </conditionalFormatting>
  <conditionalFormatting sqref="E129:AC138">
    <cfRule type="containsBlanks" dxfId="1" priority="17">
      <formula>LEN(TRIM(E129))=0</formula>
    </cfRule>
  </conditionalFormatting>
  <conditionalFormatting sqref="E141:AC150">
    <cfRule type="containsBlanks" dxfId="1" priority="18">
      <formula>LEN(TRIM(E141))=0</formula>
    </cfRule>
  </conditionalFormatting>
  <conditionalFormatting sqref="E153:AC162">
    <cfRule type="containsBlanks" dxfId="1" priority="19">
      <formula>LEN(TRIM(E153))=0</formula>
    </cfRule>
  </conditionalFormatting>
  <conditionalFormatting sqref="E165:AC174">
    <cfRule type="containsBlanks" dxfId="1" priority="20">
      <formula>LEN(TRIM(E165))=0</formula>
    </cfRule>
  </conditionalFormatting>
  <conditionalFormatting sqref="E177:AC186">
    <cfRule type="containsBlanks" dxfId="1" priority="21">
      <formula>LEN(TRIM(E177))=0</formula>
    </cfRule>
  </conditionalFormatting>
  <conditionalFormatting sqref="E189:AC198">
    <cfRule type="containsBlanks" dxfId="1" priority="22">
      <formula>LEN(TRIM(E189))=0</formula>
    </cfRule>
  </conditionalFormatting>
  <conditionalFormatting sqref="E201:AC210">
    <cfRule type="containsBlanks" dxfId="1" priority="23">
      <formula>LEN(TRIM(E201))=0</formula>
    </cfRule>
  </conditionalFormatting>
  <conditionalFormatting sqref="E213:AC222">
    <cfRule type="containsBlanks" dxfId="1" priority="24">
      <formula>LEN(TRIM(E213))=0</formula>
    </cfRule>
  </conditionalFormatting>
  <conditionalFormatting sqref="E225:AC234">
    <cfRule type="containsBlanks" dxfId="1" priority="25">
      <formula>LEN(TRIM(E225))=0</formula>
    </cfRule>
  </conditionalFormatting>
  <conditionalFormatting sqref="E237:AC246">
    <cfRule type="containsBlanks" dxfId="1" priority="26">
      <formula>LEN(TRIM(E237))=0</formula>
    </cfRule>
  </conditionalFormatting>
  <conditionalFormatting sqref="E249:AC259">
    <cfRule type="containsBlanks" dxfId="1" priority="27">
      <formula>LEN(TRIM(E249))=0</formula>
    </cfRule>
  </conditionalFormatting>
  <conditionalFormatting sqref="E262:AC263">
    <cfRule type="containsBlanks" dxfId="1" priority="28">
      <formula>LEN(TRIM(E262))=0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2026-01-14T02:26:01Z</dcterms:created>
  <dc:creator>TEKHUM KPU BWI</dc:creator>
</cp:coreProperties>
</file>