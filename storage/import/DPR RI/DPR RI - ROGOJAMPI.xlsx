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R" sheetId="1" r:id="rId4"/>
    <sheet state="visible" name="ALIYAN" sheetId="2" r:id="rId5"/>
    <sheet state="visible" name="BUBUK" sheetId="3" r:id="rId6"/>
    <sheet state="visible" name="GITIK" sheetId="4" r:id="rId7"/>
    <sheet state="visible" name="GLADAG" sheetId="5" r:id="rId8"/>
    <sheet state="visible" name="KARANGBENDO" sheetId="6" r:id="rId9"/>
    <sheet state="visible" name="KEDALEMAN" sheetId="7" r:id="rId10"/>
    <sheet state="visible" name="LEMAHBANGDEWO" sheetId="8" r:id="rId11"/>
    <sheet state="visible" name="MANGIR" sheetId="9" r:id="rId12"/>
    <sheet state="visible" name="PENGATIGAN" sheetId="10" r:id="rId13"/>
    <sheet state="visible" name="ROGOJAMPI" sheetId="11" r:id="rId14"/>
  </sheets>
  <definedNames/>
  <calcPr/>
  <extLst>
    <ext uri="GoogleSheetsCustomDataVersion2">
      <go:sheetsCustomData xmlns:go="http://customooxmlschemas.google.com/" r:id="rId15" roundtripDataChecksum="D7PUmIyCEAe4ya+5TH5OuGjxFHqPA+f1i8wZXZICrs0="/>
    </ext>
  </extLst>
</workbook>
</file>

<file path=xl/sharedStrings.xml><?xml version="1.0" encoding="utf-8"?>
<sst xmlns="http://schemas.openxmlformats.org/spreadsheetml/2006/main" count="3338" uniqueCount="242">
  <si>
    <t>Kecamatan</t>
  </si>
  <si>
    <t>ROGOJAMPI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</si>
  <si>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</si>
  <si>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</si>
  <si>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</si>
  <si>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</si>
  <si>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</si>
  <si>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</si>
  <si>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</si>
  <si>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</si>
  <si>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</si>
  <si>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</si>
  <si>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</si>
  <si>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</si>
  <si>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</si>
  <si>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</si>
  <si>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</si>
  <si>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</si>
  <si>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</si>
  <si>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</si>
  <si>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</si>
  <si>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</si>
  <si>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</si>
  <si>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</si>
  <si>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</si>
  <si>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</si>
  <si>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</si>
  <si>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</si>
  <si>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</si>
  <si>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</si>
  <si>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</si>
  <si>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</si>
  <si>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</si>
  <si>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</si>
  <si>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</si>
  <si>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</si>
  <si>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</si>
  <si>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</si>
  <si>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</si>
  <si>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</si>
  <si>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Dr. Hj. NIHAYATUL WAFIROH, M.A.</t>
  </si>
  <si>
    <t>2. H. M. NASIM KHAN</t>
  </si>
  <si>
    <t>3. Dr. H. AKIK ZAMAN, M.Pd.I.</t>
  </si>
  <si>
    <t>4. AHMAD RIFA'I, S.H.</t>
  </si>
  <si>
    <t>5. Drs. H. MAHFUD M.N.</t>
  </si>
  <si>
    <t>6. NURHAYATI, S.Pd.</t>
  </si>
  <si>
    <t>7. MAFTUHA KISWAH</t>
  </si>
  <si>
    <t>JUMLAH SUARA SAH PARTAI POLITIK DAN CALON (A1 + A2)</t>
  </si>
  <si>
    <t>Partai Gerakan Indonesia Raya</t>
  </si>
  <si>
    <t>1. SUMAIL ABDULLAH</t>
  </si>
  <si>
    <t>2. MUHAMMAD ALI ADRIAN SALEH</t>
  </si>
  <si>
    <t>3. DURROTUN NAFISAH</t>
  </si>
  <si>
    <t>4. H. EKO SUSILO NURHIDAYAT</t>
  </si>
  <si>
    <t>5. KARNADI HARIJANTO, S.S.</t>
  </si>
  <si>
    <t>6. NURHAYATI</t>
  </si>
  <si>
    <t>7. MASHUDI</t>
  </si>
  <si>
    <t>Partai Demokrasi Indonesia Perjuangan</t>
  </si>
  <si>
    <t>1. SONNY TRI DANAPARAMITA, S.H., M.H.</t>
  </si>
  <si>
    <t>2. H. MOHAMAD GUNTUR ROMLI</t>
  </si>
  <si>
    <t>3. INA AMMANIA</t>
  </si>
  <si>
    <t>4. IRWAN BACHTIAR RACHMAT, M.Si.</t>
  </si>
  <si>
    <t>5. LUCKY PERDANA</t>
  </si>
  <si>
    <t>6. WIWIK PUJIYATI</t>
  </si>
  <si>
    <t>7. CHANDRA ASTAN, S.T.</t>
  </si>
  <si>
    <t>Partai Golongan Karya</t>
  </si>
  <si>
    <t>1. ZULFIKAR ARSE SADIKIN, S.I.P., M.Si.</t>
  </si>
  <si>
    <t>2. HANDOKO</t>
  </si>
  <si>
    <t>3. Hj. OVI DEWI YANTI</t>
  </si>
  <si>
    <t>4. Ir. AZAM AZMAN NATAWIJANA</t>
  </si>
  <si>
    <t>5. UBAIDILLAH AMIN, S.Kom.</t>
  </si>
  <si>
    <t>6. DENNY YUNIANDARI, S.H., M.Kn.</t>
  </si>
  <si>
    <t>7. ERNADI, S.H.I.</t>
  </si>
  <si>
    <t>5.</t>
  </si>
  <si>
    <t>Partai NasDem</t>
  </si>
  <si>
    <t>1. ACH. FADIL MUZAKKI SYAH</t>
  </si>
  <si>
    <t>2. BENY</t>
  </si>
  <si>
    <t>3. VINA VERONIKA</t>
  </si>
  <si>
    <t>4. TEDDY ANUGRIANTO</t>
  </si>
  <si>
    <t>5. INSAN KAMIL</t>
  </si>
  <si>
    <t>6. LILIK LINDARWATI</t>
  </si>
  <si>
    <t>7. YULI ANITA</t>
  </si>
  <si>
    <t>6.</t>
  </si>
  <si>
    <t>Partai Buruh</t>
  </si>
  <si>
    <t>1. KHOIRUL ANAM</t>
  </si>
  <si>
    <t>2. INA KURNIA</t>
  </si>
  <si>
    <t>3. JIBRAL TAROUK</t>
  </si>
  <si>
    <t>4. ASTUTI DAENG PUJI</t>
  </si>
  <si>
    <t>5. ASDARMAWAN</t>
  </si>
  <si>
    <t>6. RIFQI MUBAROK</t>
  </si>
  <si>
    <t>7. FIRNANDA ALTA MEGA</t>
  </si>
  <si>
    <t>7.</t>
  </si>
  <si>
    <t>Partai Gelombang Rakyat Indonesia</t>
  </si>
  <si>
    <t>1. TITI WIDORETNO WARISMAN</t>
  </si>
  <si>
    <t>2. MAMIEK SETYANINGSIH</t>
  </si>
  <si>
    <t>3. ROMIL AZIZEN</t>
  </si>
  <si>
    <t>8.</t>
  </si>
  <si>
    <t>Partai Keadilan Sejahtera</t>
  </si>
  <si>
    <t>1. H. SAIMI SALEH, S.E., M.M.</t>
  </si>
  <si>
    <t>2. Prof. Dr. H. EGGI SUDJANA, S.H., M.Si.</t>
  </si>
  <si>
    <t>3. NURUL KHOTIMAH</t>
  </si>
  <si>
    <t>4. AKHMAD SUYANTO, S.T., M.T.</t>
  </si>
  <si>
    <t>5. PUJIYATNI</t>
  </si>
  <si>
    <t>6. HENI PURWATININGSIH</t>
  </si>
  <si>
    <t>7. MUHADI</t>
  </si>
  <si>
    <t>9.</t>
  </si>
  <si>
    <t>Partai Kebangkitan Nusantara</t>
  </si>
  <si>
    <t>1. ARIEF PRIHARDONO DARMAWAN</t>
  </si>
  <si>
    <t>2. MUSLIMIN</t>
  </si>
  <si>
    <t>3. ANDARINI RIEKE LESTINA H.</t>
  </si>
  <si>
    <t>4. CHARLES ADIKURNIA NARA HIDA</t>
  </si>
  <si>
    <t>5. FARADILLA ZAEINATH KALAKE</t>
  </si>
  <si>
    <t>6. TONY</t>
  </si>
  <si>
    <t>7. ADOLFRIN YUNIARTO KALA</t>
  </si>
  <si>
    <t>10.</t>
  </si>
  <si>
    <t>Partai Hati Nurani Rakyat</t>
  </si>
  <si>
    <t>1. Ir. H. A. BAMBANG IRIANTO</t>
  </si>
  <si>
    <t>2. EKO SUWARNO</t>
  </si>
  <si>
    <t>3. Dra. MIRTHA LISTIAYU ETTY TEDJA ADIYANTI</t>
  </si>
  <si>
    <t>4. SITI SOLIKHA</t>
  </si>
  <si>
    <t>11.</t>
  </si>
  <si>
    <t>Partai Garda Republik Indonesia</t>
  </si>
  <si>
    <t>1. TAUFIKUR RAHMAN, S.Kom.</t>
  </si>
  <si>
    <t>2. ELIN CHAERNURELINAH</t>
  </si>
  <si>
    <t>3. ARI NUROHMAN</t>
  </si>
  <si>
    <t>4. SAEFUL BAHRI</t>
  </si>
  <si>
    <t>5. NINDA HERAWATI</t>
  </si>
  <si>
    <t>6. UJANG IHWANUDIN</t>
  </si>
  <si>
    <t>7. MUHAMMAD ABDUL ROHMAN</t>
  </si>
  <si>
    <t>12.</t>
  </si>
  <si>
    <t>Partai Amanat Nasional</t>
  </si>
  <si>
    <t>1. Dr. ACH. RUBAIE, S.H., M.H.</t>
  </si>
  <si>
    <t>2. Brigjen. TNI (Purn.) SYUKRAN HAMBALI, S.H.</t>
  </si>
  <si>
    <t>3. Dra. Hj. MUSFIROH S BADRIE, M.Si.</t>
  </si>
  <si>
    <t>4. SITI ZULEHA</t>
  </si>
  <si>
    <t>5. GHOZI ZAINUDDIN, S.Ag.</t>
  </si>
  <si>
    <t>6. MUHAMMAD</t>
  </si>
  <si>
    <t>7. Drs. H. IMAM NGAQOIB, M.H.</t>
  </si>
  <si>
    <t>13.</t>
  </si>
  <si>
    <t>Partai Bulan Bintang</t>
  </si>
  <si>
    <t>1. MOHAMAD AFIFFILAH SAID</t>
  </si>
  <si>
    <t>2. AHMAD LUTFIANTO</t>
  </si>
  <si>
    <t>3. RUFINA LAILY KURNIATI</t>
  </si>
  <si>
    <t>4. WIWIK WAHYUNI, S.T.</t>
  </si>
  <si>
    <t>5. MAHFUD</t>
  </si>
  <si>
    <t>6. MARYAM CHOIRUN NISA</t>
  </si>
  <si>
    <t>7. ABU HASAN</t>
  </si>
  <si>
    <t>14.</t>
  </si>
  <si>
    <t>Partai Demokrat</t>
  </si>
  <si>
    <t>1. Dina Lorenza Audria</t>
  </si>
  <si>
    <t>2. Bobby B. Batubara, S.T., M.B.A.</t>
  </si>
  <si>
    <t>3. YUYON ALI FAHMI</t>
  </si>
  <si>
    <t>4. Mirda Rasyid, S.E., M.M.</t>
  </si>
  <si>
    <t>5. FAKHRI MUHAMMAD NOVENDRA</t>
  </si>
  <si>
    <t>6. Papang Sapari</t>
  </si>
  <si>
    <t>7. RIFKY MIFTAHUL ACHMAD</t>
  </si>
  <si>
    <t>15.</t>
  </si>
  <si>
    <t>Partai Solidaritas Indonesia</t>
  </si>
  <si>
    <t>1. IKHWAN ARIEF, S.H.I.</t>
  </si>
  <si>
    <t>2. ABDUL GHONI</t>
  </si>
  <si>
    <t>3. RAHAYU</t>
  </si>
  <si>
    <t>4. Muchamat Zainal Muzani</t>
  </si>
  <si>
    <t>5. WAHYU RAMADHAN</t>
  </si>
  <si>
    <t>6. ULFIA CAHAYANI</t>
  </si>
  <si>
    <t>7. YULIA SAFITRI</t>
  </si>
  <si>
    <t>16.</t>
  </si>
  <si>
    <t>PARTAI PERINDO</t>
  </si>
  <si>
    <t>1. ALFEN FAFIRLY, S.T.</t>
  </si>
  <si>
    <t>2. MOH. SUKRI</t>
  </si>
  <si>
    <t>3. ERFINA</t>
  </si>
  <si>
    <t>4. BEBY FAUZIANA</t>
  </si>
  <si>
    <t>5. GURITNO HIMANTORO. S.T.P., M.Si.</t>
  </si>
  <si>
    <t>6. HABSARI SUKMAYANTI</t>
  </si>
  <si>
    <t>7. EMILIA CONTESSA</t>
  </si>
  <si>
    <t>17.</t>
  </si>
  <si>
    <t>Partai Persatuan Pembangunan</t>
  </si>
  <si>
    <t>1. NORMAN ZEIN NAHDI, S.E.</t>
  </si>
  <si>
    <t>2. BASIR, S.Ag.</t>
  </si>
  <si>
    <t>3. NUR AZIZAH</t>
  </si>
  <si>
    <t>4. H. MOCH. MAHFUDH</t>
  </si>
  <si>
    <t>5. DWI SETYO EFENDI</t>
  </si>
  <si>
    <t>6. LULUK AVIYA</t>
  </si>
  <si>
    <t>7. SY. ANAS THAHIR</t>
  </si>
  <si>
    <t>18.</t>
  </si>
  <si>
    <t>Partai Ummat</t>
  </si>
  <si>
    <t>1. Ir. H. ABDUL RASYID</t>
  </si>
  <si>
    <t>2. NUR AINI, S.T.P.</t>
  </si>
  <si>
    <t>3. ERFIN SOFIA ASTUTI, S.Pd.</t>
  </si>
  <si>
    <t>4. SARIYANTO</t>
  </si>
  <si>
    <t>5. PURNOMO</t>
  </si>
  <si>
    <t>6. TRI SETYORINI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</si>
  <si>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</si>
  <si>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</si>
  <si>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</si>
  <si>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</si>
  <si>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</si>
  <si>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</si>
  <si>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</si>
  <si>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</si>
  <si>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</si>
  <si>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ALIYAN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</si>
  <si>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</si>
  <si>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</si>
  <si>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</si>
  <si>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</si>
  <si>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</si>
  <si>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</si>
  <si>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</si>
  <si>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</si>
  <si>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</si>
  <si>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</si>
  <si>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</si>
  <si>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</si>
  <si>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</si>
  <si>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</si>
  <si>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</si>
  <si>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</si>
  <si>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</si>
  <si>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BUBUK</t>
  </si>
  <si>
    <t>GITIK</t>
  </si>
  <si>
    <t>GLADAG</t>
  </si>
  <si>
    <t>TPS 018</t>
  </si>
  <si>
    <t>KARANGBENDO</t>
  </si>
  <si>
    <t>TPS 019</t>
  </si>
  <si>
    <t>TPS 020</t>
  </si>
  <si>
    <t>TPS 021</t>
  </si>
  <si>
    <t>KEDALEMAN</t>
  </si>
  <si>
    <t>LEMAHBANGDEWO</t>
  </si>
  <si>
    <t>MANGIR</t>
  </si>
  <si>
    <t>PENGATIGAN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</si>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</sst>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sz val="10.0"/>
      <color theme="1"/>
      <name val="Calibri"/>
    </font>
    <font>
      <b/>
      <sz val="10.0"/>
      <color rgb="FF000000"/>
      <name val="Bookman Old Style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18" fillId="3" fontId="3" numFmtId="0" xfId="0" applyAlignment="1" applyBorder="1" applyFill="1" applyFont="1">
      <alignment horizontal="center" shrinkToFit="0" vertical="center" wrapText="1"/>
    </xf>
    <xf borderId="19" fillId="3" fontId="3" numFmtId="0" xfId="0" applyAlignment="1" applyBorder="1" applyFont="1">
      <alignment shrinkToFit="0" vertical="center" wrapText="1"/>
    </xf>
    <xf borderId="18" fillId="3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20" fillId="3" fontId="3" numFmtId="0" xfId="0" applyAlignment="1" applyBorder="1" applyFont="1">
      <alignment shrinkToFit="0" vertical="center" wrapText="1"/>
    </xf>
    <xf borderId="20" fillId="3" fontId="2" numFmtId="0" xfId="0" applyBorder="1" applyFont="1"/>
    <xf borderId="19" fillId="3" fontId="3" numFmtId="0" xfId="0" applyAlignment="1" applyBorder="1" applyFont="1">
      <alignment horizontal="center" vertical="center"/>
    </xf>
    <xf borderId="14" fillId="0" fontId="1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left" shrinkToFit="0" vertical="top" wrapText="1"/>
    </xf>
    <xf borderId="19" fillId="3" fontId="6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center" shrinkToFit="0" vertical="center" wrapText="1"/>
    </xf>
    <xf borderId="0" fillId="0" fontId="7" numFmtId="0" xfId="0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8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9" numFmtId="0" xfId="0" applyBorder="1" applyFont="1"/>
    <xf borderId="1" fillId="0" fontId="1" numFmtId="0" xfId="0" applyAlignment="1" applyBorder="1" applyFont="1">
      <alignment vertical="center"/>
    </xf>
    <xf borderId="19" fillId="2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ALIYAN!V14+BUBUK!T14+GITIK!N14+GLADAG!W14+KARANGBENDO!Z14+KEDALEMAN!S14+LEMAHBANGDEWO!O14+MANGIR!S14+PENGATIGAN!Y14+ROGOJAMPI!AM14</f>
        <v>21540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ALIYAN!V15+BUBUK!T15+GITIK!N15+GLADAG!W15+KARANGBENDO!Z15+KEDALEMAN!S15+LEMAHBANGDEWO!O15+MANGIR!S15+PENGATIGAN!Y15+ROGOJAMPI!AM15</f>
        <v>22247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43787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ALIYAN!V19+BUBUK!T19+GITIK!N19+GLADAG!W19+KARANGBENDO!Z19+KEDALEMAN!S19+LEMAHBANGDEWO!O19+MANGIR!S19+PENGATIGAN!Y19+ROGOJAMPI!AM19</f>
        <v>16685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ALIYAN!V20+BUBUK!T20+GITIK!N20+GLADAG!W20+KARANGBENDO!Z20+KEDALEMAN!S20+LEMAHBANGDEWO!O20+MANGIR!S20+PENGATIGAN!Y20+ROGOJAMPI!AM20</f>
        <v>18273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34958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ALIYAN!V22+BUBUK!T22+GITIK!N22+GLADAG!W22+KARANGBENDO!Z22+KEDALEMAN!S22+LEMAHBANGDEWO!O22+MANGIR!S22+PENGATIGAN!Y22+ROGOJAMPI!AM22</f>
        <v>66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ALIYAN!V23+BUBUK!T23+GITIK!N23+GLADAG!W23+KARANGBENDO!Z23+KEDALEMAN!S23+LEMAHBANGDEWO!O23+MANGIR!S23+PENGATIGAN!Y23+ROGOJAMPI!AM23</f>
        <v>94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160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ALIYAN!V25+BUBUK!T25+GITIK!N25+GLADAG!W25+KARANGBENDO!Z25+KEDALEMAN!S25+LEMAHBANGDEWO!O25+MANGIR!S25+PENGATIGAN!Y25+ROGOJAMPI!AM25</f>
        <v>174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ALIYAN!V26+BUBUK!T26+GITIK!N26+GLADAG!W26+KARANGBENDO!Z26+KEDALEMAN!S26+LEMAHBANGDEWO!O26+MANGIR!S26+PENGATIGAN!Y26+ROGOJAMPI!AM26</f>
        <v>223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397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16925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18590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35515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ALIYAN!V33+BUBUK!T33+GITIK!N33+GLADAG!W33+KARANGBENDO!Z33+KEDALEMAN!S33+LEMAHBANGDEWO!O33+MANGIR!S33+PENGATIGAN!Y33+ROGOJAMPI!AM33</f>
        <v>44639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ALIYAN!V34+BUBUK!T34+GITIK!N34+GLADAG!W34+KARANGBENDO!Z34+KEDALEMAN!S34+LEMAHBANGDEWO!O34+MANGIR!S34+PENGATIGAN!Y34+ROGOJAMPI!AM34</f>
        <v>35515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ALIYAN!V35+BUBUK!T35+GITIK!N35+GLADAG!W35+KARANGBENDO!Z35+KEDALEMAN!S35+LEMAHBANGDEWO!O35+MANGIR!S35+PENGATIGAN!Y35+ROGOJAMPI!AM35</f>
        <v>81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9043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ALIYAN!V39+BUBUK!T39+GITIK!N39+GLADAG!W39+KARANGBENDO!Z39+KEDALEMAN!S39+LEMAHBANGDEWO!O39+MANGIR!S39+PENGATIGAN!Y39+ROGOJAMPI!AM39</f>
        <v>46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ALIYAN!V40+BUBUK!T40+GITIK!N40+GLADAG!W40+KARANGBENDO!Z40+KEDALEMAN!S40+LEMAHBANGDEWO!O40+MANGIR!S40+PENGATIGAN!Y40+ROGOJAMPI!AM40</f>
        <v>51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97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v>851.0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>
        <v>1.0</v>
      </c>
      <c r="C46" s="50" t="s">
        <v>40</v>
      </c>
      <c r="D46" s="16"/>
      <c r="E46" s="24">
        <v>2167.0</v>
      </c>
      <c r="F46" s="51"/>
      <c r="G46" s="52"/>
      <c r="H46" s="52"/>
      <c r="I46" s="52"/>
      <c r="J46" s="52"/>
      <c r="K46" s="52"/>
      <c r="L46" s="52"/>
      <c r="M46" s="52"/>
      <c r="N46" s="52"/>
      <c r="O46" s="52"/>
      <c r="P46" s="53"/>
      <c r="Q46" s="3"/>
      <c r="R46" s="3"/>
      <c r="S46" s="3"/>
      <c r="T46" s="3"/>
      <c r="U46" s="3"/>
      <c r="V46" s="3"/>
      <c r="W46" s="54"/>
      <c r="X46" s="3"/>
      <c r="Y46" s="3"/>
      <c r="Z46" s="3"/>
    </row>
    <row r="47" ht="15.75" customHeight="1">
      <c r="A47" s="18"/>
      <c r="B47" s="55">
        <v>2.0</v>
      </c>
      <c r="C47" s="50" t="s">
        <v>41</v>
      </c>
      <c r="D47" s="16"/>
      <c r="E47" s="24">
        <v>804.0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5">
        <v>3.0</v>
      </c>
      <c r="C48" s="50" t="s">
        <v>42</v>
      </c>
      <c r="D48" s="16"/>
      <c r="E48" s="24">
        <v>142.0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5">
        <v>4.0</v>
      </c>
      <c r="C49" s="50" t="s">
        <v>43</v>
      </c>
      <c r="D49" s="16"/>
      <c r="E49" s="24">
        <v>126.0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5">
        <v>5.0</v>
      </c>
      <c r="C50" s="50" t="s">
        <v>44</v>
      </c>
      <c r="D50" s="16"/>
      <c r="E50" s="24">
        <v>83.0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5">
        <v>6.0</v>
      </c>
      <c r="C51" s="50" t="s">
        <v>45</v>
      </c>
      <c r="D51" s="16"/>
      <c r="E51" s="24">
        <v>34.0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5">
        <v>7.0</v>
      </c>
      <c r="C52" s="50" t="s">
        <v>46</v>
      </c>
      <c r="D52" s="16"/>
      <c r="E52" s="24">
        <v>27.0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6"/>
      <c r="C53" s="57"/>
      <c r="D53" s="57"/>
      <c r="E53" s="58"/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6"/>
      <c r="C54" s="57"/>
      <c r="D54" s="57"/>
      <c r="E54" s="58"/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15</v>
      </c>
      <c r="B55" s="47" t="s">
        <v>47</v>
      </c>
      <c r="C55" s="15"/>
      <c r="D55" s="16"/>
      <c r="E55" s="13">
        <f>SUM(E45:E54)</f>
        <v>4234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5"/>
      <c r="B56" s="44"/>
      <c r="C56" s="44"/>
      <c r="D56" s="44"/>
      <c r="E56" s="44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 t="s">
        <v>37</v>
      </c>
      <c r="B57" s="47" t="s">
        <v>19</v>
      </c>
      <c r="C57" s="48" t="s">
        <v>48</v>
      </c>
      <c r="D57" s="16"/>
      <c r="E57" s="24">
        <v>1419.0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39</v>
      </c>
      <c r="B58" s="55">
        <v>1.0</v>
      </c>
      <c r="C58" s="50" t="s">
        <v>49</v>
      </c>
      <c r="D58" s="59"/>
      <c r="E58" s="24">
        <v>2184.0</v>
      </c>
      <c r="F58" s="51"/>
      <c r="G58" s="52"/>
      <c r="H58" s="52"/>
      <c r="I58" s="52"/>
      <c r="J58" s="52"/>
      <c r="K58" s="52"/>
      <c r="L58" s="52"/>
      <c r="M58" s="52"/>
      <c r="N58" s="52"/>
      <c r="O58" s="52"/>
      <c r="P58" s="53"/>
      <c r="Q58" s="3"/>
      <c r="R58" s="3"/>
      <c r="S58" s="3"/>
      <c r="T58" s="3"/>
      <c r="U58" s="3"/>
      <c r="V58" s="3"/>
      <c r="W58" s="54"/>
      <c r="X58" s="3"/>
      <c r="Y58" s="3"/>
      <c r="Z58" s="3"/>
    </row>
    <row r="59" ht="15.75" customHeight="1">
      <c r="A59" s="18"/>
      <c r="B59" s="55">
        <v>2.0</v>
      </c>
      <c r="C59" s="50" t="s">
        <v>50</v>
      </c>
      <c r="D59" s="59"/>
      <c r="E59" s="24">
        <v>1176.0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5">
        <v>3.0</v>
      </c>
      <c r="C60" s="50" t="s">
        <v>51</v>
      </c>
      <c r="D60" s="59"/>
      <c r="E60" s="24">
        <v>151.0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55">
        <v>4.0</v>
      </c>
      <c r="C61" s="50" t="s">
        <v>52</v>
      </c>
      <c r="D61" s="59"/>
      <c r="E61" s="24">
        <v>304.0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55">
        <v>5.0</v>
      </c>
      <c r="C62" s="50" t="s">
        <v>53</v>
      </c>
      <c r="D62" s="59"/>
      <c r="E62" s="24">
        <v>46.0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55">
        <v>6.0</v>
      </c>
      <c r="C63" s="50" t="s">
        <v>54</v>
      </c>
      <c r="D63" s="60"/>
      <c r="E63" s="24">
        <v>98.0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55">
        <v>7.0</v>
      </c>
      <c r="C64" s="50" t="s">
        <v>55</v>
      </c>
      <c r="D64" s="59"/>
      <c r="E64" s="24">
        <v>27.0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6"/>
      <c r="C65" s="57"/>
      <c r="D65" s="61"/>
      <c r="E65" s="58"/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6"/>
      <c r="C66" s="57"/>
      <c r="D66" s="61"/>
      <c r="E66" s="58"/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15</v>
      </c>
      <c r="B67" s="47" t="s">
        <v>47</v>
      </c>
      <c r="C67" s="15"/>
      <c r="D67" s="16"/>
      <c r="E67" s="13">
        <f>SUM(E57:E66)</f>
        <v>5405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5"/>
      <c r="B68" s="44"/>
      <c r="C68" s="44"/>
      <c r="D68" s="44"/>
      <c r="E68" s="44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0" t="s">
        <v>37</v>
      </c>
      <c r="B69" s="47" t="s">
        <v>21</v>
      </c>
      <c r="C69" s="48" t="s">
        <v>56</v>
      </c>
      <c r="D69" s="16"/>
      <c r="E69" s="24">
        <v>1196.0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39</v>
      </c>
      <c r="B70" s="55">
        <v>1.0</v>
      </c>
      <c r="C70" s="50" t="s">
        <v>57</v>
      </c>
      <c r="D70" s="60"/>
      <c r="E70" s="24">
        <v>1727.0</v>
      </c>
      <c r="F70" s="51"/>
      <c r="G70" s="52"/>
      <c r="H70" s="52"/>
      <c r="I70" s="52"/>
      <c r="J70" s="52"/>
      <c r="K70" s="52"/>
      <c r="L70" s="52"/>
      <c r="M70" s="52"/>
      <c r="N70" s="52"/>
      <c r="O70" s="52"/>
      <c r="P70" s="53"/>
      <c r="Q70" s="3"/>
      <c r="R70" s="3"/>
      <c r="S70" s="3"/>
      <c r="T70" s="3"/>
      <c r="U70" s="3"/>
      <c r="V70" s="3"/>
      <c r="W70" s="54"/>
      <c r="X70" s="3"/>
      <c r="Y70" s="3"/>
      <c r="Z70" s="3"/>
    </row>
    <row r="71" ht="15.75" customHeight="1">
      <c r="A71" s="18"/>
      <c r="B71" s="55">
        <v>2.0</v>
      </c>
      <c r="C71" s="50" t="s">
        <v>58</v>
      </c>
      <c r="D71" s="60"/>
      <c r="E71" s="24">
        <v>1167.0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55">
        <v>3.0</v>
      </c>
      <c r="C72" s="50" t="s">
        <v>59</v>
      </c>
      <c r="D72" s="60"/>
      <c r="E72" s="24">
        <v>1061.0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55">
        <v>4.0</v>
      </c>
      <c r="C73" s="50" t="s">
        <v>60</v>
      </c>
      <c r="D73" s="60"/>
      <c r="E73" s="24">
        <v>103.0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55">
        <v>5.0</v>
      </c>
      <c r="C74" s="50" t="s">
        <v>61</v>
      </c>
      <c r="D74" s="60"/>
      <c r="E74" s="24">
        <v>1148.0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55">
        <v>6.0</v>
      </c>
      <c r="C75" s="50" t="s">
        <v>62</v>
      </c>
      <c r="D75" s="60"/>
      <c r="E75" s="24">
        <v>76.0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5">
        <v>7.0</v>
      </c>
      <c r="C76" s="50" t="s">
        <v>63</v>
      </c>
      <c r="D76" s="60"/>
      <c r="E76" s="24">
        <v>198.0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6"/>
      <c r="C77" s="57"/>
      <c r="D77" s="62"/>
      <c r="E77" s="58"/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6"/>
      <c r="C78" s="57"/>
      <c r="D78" s="62"/>
      <c r="E78" s="58"/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47" t="s">
        <v>47</v>
      </c>
      <c r="C79" s="15"/>
      <c r="D79" s="16"/>
      <c r="E79" s="13">
        <f>SUM(E69:E78)</f>
        <v>6676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5"/>
      <c r="B80" s="44"/>
      <c r="C80" s="44"/>
      <c r="D80" s="44"/>
      <c r="E80" s="44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37</v>
      </c>
      <c r="B81" s="47" t="s">
        <v>23</v>
      </c>
      <c r="C81" s="48" t="s">
        <v>64</v>
      </c>
      <c r="D81" s="16"/>
      <c r="E81" s="24">
        <v>550.0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39</v>
      </c>
      <c r="B82" s="55">
        <v>1.0</v>
      </c>
      <c r="C82" s="50" t="s">
        <v>65</v>
      </c>
      <c r="D82" s="60"/>
      <c r="E82" s="24">
        <v>1900.0</v>
      </c>
      <c r="F82" s="51"/>
      <c r="G82" s="52"/>
      <c r="H82" s="52"/>
      <c r="I82" s="52"/>
      <c r="J82" s="52"/>
      <c r="K82" s="52"/>
      <c r="L82" s="52"/>
      <c r="M82" s="52"/>
      <c r="N82" s="52"/>
      <c r="O82" s="52"/>
      <c r="P82" s="53"/>
      <c r="Q82" s="3"/>
      <c r="R82" s="3"/>
      <c r="S82" s="3"/>
      <c r="T82" s="3"/>
      <c r="U82" s="3"/>
      <c r="V82" s="3"/>
      <c r="W82" s="54"/>
      <c r="X82" s="3"/>
      <c r="Y82" s="3"/>
      <c r="Z82" s="3"/>
    </row>
    <row r="83" ht="15.75" customHeight="1">
      <c r="A83" s="18"/>
      <c r="B83" s="55">
        <v>2.0</v>
      </c>
      <c r="C83" s="50" t="s">
        <v>66</v>
      </c>
      <c r="D83" s="60"/>
      <c r="E83" s="24">
        <v>765.0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55">
        <v>3.0</v>
      </c>
      <c r="C84" s="50" t="s">
        <v>67</v>
      </c>
      <c r="D84" s="60"/>
      <c r="E84" s="24">
        <v>73.0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55">
        <v>4.0</v>
      </c>
      <c r="C85" s="50" t="s">
        <v>68</v>
      </c>
      <c r="D85" s="60"/>
      <c r="E85" s="24">
        <v>118.0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55">
        <v>5.0</v>
      </c>
      <c r="C86" s="50" t="s">
        <v>69</v>
      </c>
      <c r="D86" s="60"/>
      <c r="E86" s="24">
        <v>329.0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55">
        <v>6.0</v>
      </c>
      <c r="C87" s="50" t="s">
        <v>70</v>
      </c>
      <c r="D87" s="60"/>
      <c r="E87" s="24">
        <v>57.0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5">
        <v>7.0</v>
      </c>
      <c r="C88" s="50" t="s">
        <v>71</v>
      </c>
      <c r="D88" s="60"/>
      <c r="E88" s="24">
        <v>9.0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6"/>
      <c r="C89" s="57"/>
      <c r="D89" s="62"/>
      <c r="E89" s="58"/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6"/>
      <c r="C90" s="57"/>
      <c r="D90" s="62"/>
      <c r="E90" s="58"/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15</v>
      </c>
      <c r="B91" s="47" t="s">
        <v>47</v>
      </c>
      <c r="C91" s="15"/>
      <c r="D91" s="16"/>
      <c r="E91" s="13">
        <f>SUM(E81:E90)</f>
        <v>3801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5"/>
      <c r="B92" s="44"/>
      <c r="C92" s="44"/>
      <c r="D92" s="44"/>
      <c r="E92" s="44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37</v>
      </c>
      <c r="B93" s="47" t="s">
        <v>72</v>
      </c>
      <c r="C93" s="48" t="s">
        <v>73</v>
      </c>
      <c r="D93" s="16"/>
      <c r="E93" s="24">
        <v>240.0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39</v>
      </c>
      <c r="B94" s="55">
        <v>1.0</v>
      </c>
      <c r="C94" s="50" t="s">
        <v>74</v>
      </c>
      <c r="D94" s="60"/>
      <c r="E94" s="24">
        <v>548.0</v>
      </c>
      <c r="F94" s="51"/>
      <c r="G94" s="52"/>
      <c r="H94" s="52"/>
      <c r="I94" s="52"/>
      <c r="J94" s="52"/>
      <c r="K94" s="52"/>
      <c r="L94" s="52"/>
      <c r="M94" s="52"/>
      <c r="N94" s="52"/>
      <c r="O94" s="52"/>
      <c r="P94" s="53"/>
      <c r="Q94" s="3"/>
      <c r="R94" s="3"/>
      <c r="S94" s="3"/>
      <c r="T94" s="3"/>
      <c r="U94" s="3"/>
      <c r="V94" s="3"/>
      <c r="W94" s="54"/>
      <c r="X94" s="3"/>
      <c r="Y94" s="3"/>
      <c r="Z94" s="3"/>
    </row>
    <row r="95" ht="15.75" customHeight="1">
      <c r="A95" s="18"/>
      <c r="B95" s="55">
        <v>2.0</v>
      </c>
      <c r="C95" s="50" t="s">
        <v>75</v>
      </c>
      <c r="D95" s="60"/>
      <c r="E95" s="24">
        <v>119.0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55">
        <v>3.0</v>
      </c>
      <c r="C96" s="50" t="s">
        <v>76</v>
      </c>
      <c r="D96" s="60"/>
      <c r="E96" s="24">
        <v>12.0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55">
        <v>4.0</v>
      </c>
      <c r="C97" s="50" t="s">
        <v>77</v>
      </c>
      <c r="D97" s="60"/>
      <c r="E97" s="24">
        <v>465.0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55">
        <v>5.0</v>
      </c>
      <c r="C98" s="50" t="s">
        <v>78</v>
      </c>
      <c r="D98" s="60"/>
      <c r="E98" s="24">
        <v>29.0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55">
        <v>6.0</v>
      </c>
      <c r="C99" s="50" t="s">
        <v>79</v>
      </c>
      <c r="D99" s="60"/>
      <c r="E99" s="24">
        <v>10.0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5">
        <v>7.0</v>
      </c>
      <c r="C100" s="50" t="s">
        <v>80</v>
      </c>
      <c r="D100" s="60"/>
      <c r="E100" s="24">
        <v>3.0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6"/>
      <c r="C101" s="57"/>
      <c r="D101" s="62"/>
      <c r="E101" s="58"/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6"/>
      <c r="C102" s="57"/>
      <c r="D102" s="62"/>
      <c r="E102" s="58"/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15</v>
      </c>
      <c r="B103" s="47" t="s">
        <v>47</v>
      </c>
      <c r="C103" s="15"/>
      <c r="D103" s="16"/>
      <c r="E103" s="13">
        <f>SUM(E93:E102)</f>
        <v>1426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5"/>
      <c r="B104" s="44"/>
      <c r="C104" s="44"/>
      <c r="D104" s="44"/>
      <c r="E104" s="44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37</v>
      </c>
      <c r="B105" s="47" t="s">
        <v>81</v>
      </c>
      <c r="C105" s="48" t="s">
        <v>82</v>
      </c>
      <c r="D105" s="16"/>
      <c r="E105" s="24">
        <v>66.0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39</v>
      </c>
      <c r="B106" s="55">
        <v>1.0</v>
      </c>
      <c r="C106" s="50" t="s">
        <v>83</v>
      </c>
      <c r="D106" s="60"/>
      <c r="E106" s="24">
        <v>31.0</v>
      </c>
      <c r="F106" s="51"/>
      <c r="G106" s="52"/>
      <c r="H106" s="52"/>
      <c r="I106" s="52"/>
      <c r="J106" s="52"/>
      <c r="K106" s="52"/>
      <c r="L106" s="52"/>
      <c r="M106" s="52"/>
      <c r="N106" s="52"/>
      <c r="O106" s="52"/>
      <c r="P106" s="53"/>
      <c r="Q106" s="3"/>
      <c r="R106" s="3"/>
      <c r="S106" s="3"/>
      <c r="T106" s="3"/>
      <c r="U106" s="3"/>
      <c r="V106" s="3"/>
      <c r="W106" s="54"/>
      <c r="X106" s="3"/>
      <c r="Y106" s="3"/>
      <c r="Z106" s="3"/>
    </row>
    <row r="107" ht="15.75" customHeight="1">
      <c r="A107" s="18"/>
      <c r="B107" s="55">
        <v>2.0</v>
      </c>
      <c r="C107" s="50" t="s">
        <v>84</v>
      </c>
      <c r="D107" s="60"/>
      <c r="E107" s="24">
        <v>17.0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5">
        <v>3.0</v>
      </c>
      <c r="C108" s="50" t="s">
        <v>85</v>
      </c>
      <c r="D108" s="60"/>
      <c r="E108" s="24">
        <v>8.0</v>
      </c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5">
        <v>4.0</v>
      </c>
      <c r="C109" s="50" t="s">
        <v>86</v>
      </c>
      <c r="D109" s="60"/>
      <c r="E109" s="24">
        <v>10.0</v>
      </c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5">
        <v>5.0</v>
      </c>
      <c r="C110" s="50" t="s">
        <v>87</v>
      </c>
      <c r="D110" s="60"/>
      <c r="E110" s="24">
        <v>7.0</v>
      </c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5">
        <v>6.0</v>
      </c>
      <c r="C111" s="50" t="s">
        <v>88</v>
      </c>
      <c r="D111" s="60"/>
      <c r="E111" s="24">
        <v>10.0</v>
      </c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5">
        <v>7.0</v>
      </c>
      <c r="C112" s="50" t="s">
        <v>89</v>
      </c>
      <c r="D112" s="60"/>
      <c r="E112" s="24">
        <v>4.0</v>
      </c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6"/>
      <c r="C113" s="57"/>
      <c r="D113" s="62"/>
      <c r="E113" s="58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6"/>
      <c r="C114" s="57"/>
      <c r="D114" s="62"/>
      <c r="E114" s="58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7" t="s">
        <v>47</v>
      </c>
      <c r="C115" s="15"/>
      <c r="D115" s="16"/>
      <c r="E115" s="13">
        <f>SUM(E105:E114)</f>
        <v>153</v>
      </c>
      <c r="F115" s="51"/>
      <c r="G115" s="52"/>
      <c r="H115" s="52"/>
      <c r="I115" s="52"/>
      <c r="J115" s="52"/>
      <c r="K115" s="52"/>
      <c r="L115" s="52"/>
      <c r="M115" s="52"/>
      <c r="N115" s="52"/>
      <c r="O115" s="52"/>
      <c r="P115" s="53"/>
      <c r="Q115" s="3"/>
      <c r="R115" s="3"/>
      <c r="S115" s="3"/>
      <c r="T115" s="3"/>
      <c r="U115" s="3"/>
      <c r="V115" s="3"/>
      <c r="W115" s="54"/>
      <c r="X115" s="3"/>
      <c r="Y115" s="3"/>
      <c r="Z115" s="3"/>
    </row>
    <row r="116" ht="15.75" customHeight="1">
      <c r="A116" s="24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37</v>
      </c>
      <c r="B117" s="47" t="s">
        <v>90</v>
      </c>
      <c r="C117" s="48" t="s">
        <v>91</v>
      </c>
      <c r="D117" s="16"/>
      <c r="E117" s="24">
        <v>54.0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39</v>
      </c>
      <c r="B118" s="55">
        <v>1.0</v>
      </c>
      <c r="C118" s="50" t="s">
        <v>92</v>
      </c>
      <c r="D118" s="60"/>
      <c r="E118" s="24">
        <v>55.0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55">
        <v>2.0</v>
      </c>
      <c r="C119" s="50" t="s">
        <v>93</v>
      </c>
      <c r="D119" s="60"/>
      <c r="E119" s="24">
        <v>13.0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55">
        <v>3.0</v>
      </c>
      <c r="C120" s="50" t="s">
        <v>94</v>
      </c>
      <c r="D120" s="60"/>
      <c r="E120" s="24">
        <v>10.0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6"/>
      <c r="C121" s="57"/>
      <c r="D121" s="61"/>
      <c r="E121" s="58"/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6"/>
      <c r="C122" s="57"/>
      <c r="D122" s="61"/>
      <c r="E122" s="58"/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6"/>
      <c r="C123" s="57"/>
      <c r="D123" s="61"/>
      <c r="E123" s="58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6"/>
      <c r="C124" s="57"/>
      <c r="D124" s="62"/>
      <c r="E124" s="63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6"/>
      <c r="C125" s="57"/>
      <c r="D125" s="62"/>
      <c r="E125" s="63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6"/>
      <c r="C126" s="57"/>
      <c r="D126" s="62"/>
      <c r="E126" s="63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15</v>
      </c>
      <c r="B127" s="47" t="s">
        <v>47</v>
      </c>
      <c r="C127" s="15"/>
      <c r="D127" s="16"/>
      <c r="E127" s="13">
        <f>SUM(E117:E126)</f>
        <v>132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4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0" t="s">
        <v>37</v>
      </c>
      <c r="B129" s="47" t="s">
        <v>95</v>
      </c>
      <c r="C129" s="48" t="s">
        <v>96</v>
      </c>
      <c r="D129" s="16"/>
      <c r="E129" s="24">
        <v>146.0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39</v>
      </c>
      <c r="B130" s="55">
        <v>1.0</v>
      </c>
      <c r="C130" s="50" t="s">
        <v>97</v>
      </c>
      <c r="D130" s="59"/>
      <c r="E130" s="24">
        <v>208.0</v>
      </c>
      <c r="F130" s="51"/>
      <c r="G130" s="52"/>
      <c r="H130" s="52"/>
      <c r="I130" s="52"/>
      <c r="J130" s="52"/>
      <c r="K130" s="52"/>
      <c r="L130" s="52"/>
      <c r="M130" s="52"/>
      <c r="N130" s="52"/>
      <c r="O130" s="52"/>
      <c r="P130" s="53"/>
      <c r="Q130" s="3"/>
      <c r="R130" s="3"/>
      <c r="S130" s="3"/>
      <c r="T130" s="3"/>
      <c r="U130" s="3"/>
      <c r="V130" s="3"/>
      <c r="W130" s="54"/>
      <c r="X130" s="3"/>
      <c r="Y130" s="3"/>
      <c r="Z130" s="3"/>
    </row>
    <row r="131" ht="15.75" customHeight="1">
      <c r="A131" s="18"/>
      <c r="B131" s="55">
        <v>2.0</v>
      </c>
      <c r="C131" s="50" t="s">
        <v>98</v>
      </c>
      <c r="D131" s="59"/>
      <c r="E131" s="24">
        <v>208.0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55">
        <v>3.0</v>
      </c>
      <c r="C132" s="50" t="s">
        <v>99</v>
      </c>
      <c r="D132" s="59"/>
      <c r="E132" s="24">
        <v>25.0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55">
        <v>4.0</v>
      </c>
      <c r="C133" s="50" t="s">
        <v>100</v>
      </c>
      <c r="D133" s="59"/>
      <c r="E133" s="24">
        <v>14.0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55">
        <v>5.0</v>
      </c>
      <c r="C134" s="50" t="s">
        <v>101</v>
      </c>
      <c r="D134" s="59"/>
      <c r="E134" s="24">
        <v>90.0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5">
        <v>6.0</v>
      </c>
      <c r="C135" s="50" t="s">
        <v>102</v>
      </c>
      <c r="D135" s="60"/>
      <c r="E135" s="24">
        <v>18.0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5">
        <v>7.0</v>
      </c>
      <c r="C136" s="50" t="s">
        <v>103</v>
      </c>
      <c r="D136" s="59"/>
      <c r="E136" s="24">
        <v>4.0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6"/>
      <c r="C137" s="57"/>
      <c r="D137" s="61"/>
      <c r="E137" s="58"/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6"/>
      <c r="C138" s="57"/>
      <c r="D138" s="61"/>
      <c r="E138" s="58"/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15</v>
      </c>
      <c r="B139" s="47" t="s">
        <v>47</v>
      </c>
      <c r="C139" s="15"/>
      <c r="D139" s="16"/>
      <c r="E139" s="13">
        <f>SUM(E129:E138)</f>
        <v>713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4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0" t="s">
        <v>37</v>
      </c>
      <c r="B141" s="47" t="s">
        <v>104</v>
      </c>
      <c r="C141" s="48" t="s">
        <v>105</v>
      </c>
      <c r="D141" s="16"/>
      <c r="E141" s="24">
        <v>4.0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 t="s">
        <v>39</v>
      </c>
      <c r="B142" s="55">
        <v>1.0</v>
      </c>
      <c r="C142" s="50" t="s">
        <v>106</v>
      </c>
      <c r="D142" s="60"/>
      <c r="E142" s="24">
        <v>7.0</v>
      </c>
      <c r="F142" s="51"/>
      <c r="G142" s="52"/>
      <c r="H142" s="52"/>
      <c r="I142" s="52"/>
      <c r="J142" s="52"/>
      <c r="K142" s="52"/>
      <c r="L142" s="52"/>
      <c r="M142" s="52"/>
      <c r="N142" s="52"/>
      <c r="O142" s="52"/>
      <c r="P142" s="53"/>
      <c r="Q142" s="3"/>
      <c r="R142" s="3"/>
      <c r="S142" s="3"/>
      <c r="T142" s="3"/>
      <c r="U142" s="3"/>
      <c r="V142" s="3"/>
      <c r="W142" s="54"/>
      <c r="X142" s="3"/>
      <c r="Y142" s="3"/>
      <c r="Z142" s="3"/>
    </row>
    <row r="143" ht="15.75" customHeight="1">
      <c r="A143" s="18"/>
      <c r="B143" s="55">
        <v>2.0</v>
      </c>
      <c r="C143" s="50" t="s">
        <v>107</v>
      </c>
      <c r="D143" s="60"/>
      <c r="E143" s="24">
        <v>1.0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5">
        <v>3.0</v>
      </c>
      <c r="C144" s="50" t="s">
        <v>108</v>
      </c>
      <c r="D144" s="60"/>
      <c r="E144" s="24">
        <v>0.0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5">
        <v>4.0</v>
      </c>
      <c r="C145" s="50" t="s">
        <v>109</v>
      </c>
      <c r="D145" s="60"/>
      <c r="E145" s="24">
        <v>1.0</v>
      </c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5">
        <v>5.0</v>
      </c>
      <c r="C146" s="50" t="s">
        <v>110</v>
      </c>
      <c r="D146" s="60"/>
      <c r="E146" s="24">
        <v>3.0</v>
      </c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5">
        <v>6.0</v>
      </c>
      <c r="C147" s="50" t="s">
        <v>111</v>
      </c>
      <c r="D147" s="60"/>
      <c r="E147" s="24">
        <v>3.0</v>
      </c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5">
        <v>7.0</v>
      </c>
      <c r="C148" s="50" t="s">
        <v>112</v>
      </c>
      <c r="D148" s="60"/>
      <c r="E148" s="24">
        <v>0.0</v>
      </c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6"/>
      <c r="C149" s="57"/>
      <c r="D149" s="62"/>
      <c r="E149" s="58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6"/>
      <c r="C150" s="57"/>
      <c r="D150" s="62"/>
      <c r="E150" s="58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15</v>
      </c>
      <c r="B151" s="47" t="s">
        <v>47</v>
      </c>
      <c r="C151" s="15"/>
      <c r="D151" s="16"/>
      <c r="E151" s="13">
        <f>SUM(E141:E150)</f>
        <v>19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4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 t="s">
        <v>37</v>
      </c>
      <c r="B153" s="17" t="s">
        <v>113</v>
      </c>
      <c r="C153" s="64" t="s">
        <v>114</v>
      </c>
      <c r="D153" s="23"/>
      <c r="E153" s="24">
        <v>31.0</v>
      </c>
      <c r="F153" s="51"/>
      <c r="G153" s="52"/>
      <c r="H153" s="52"/>
      <c r="I153" s="52"/>
      <c r="J153" s="52"/>
      <c r="K153" s="52"/>
      <c r="L153" s="52"/>
      <c r="M153" s="52"/>
      <c r="N153" s="52"/>
      <c r="O153" s="52"/>
      <c r="P153" s="53"/>
      <c r="Q153" s="3"/>
      <c r="R153" s="3"/>
      <c r="S153" s="3"/>
      <c r="T153" s="3"/>
      <c r="U153" s="3"/>
      <c r="V153" s="3"/>
      <c r="W153" s="54"/>
      <c r="X153" s="3"/>
      <c r="Y153" s="3"/>
      <c r="Z153" s="3"/>
    </row>
    <row r="154" ht="15.75" customHeight="1">
      <c r="A154" s="65" t="s">
        <v>39</v>
      </c>
      <c r="B154" s="55">
        <v>1.0</v>
      </c>
      <c r="C154" s="66" t="s">
        <v>115</v>
      </c>
      <c r="D154" s="60"/>
      <c r="E154" s="24">
        <v>27.0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55">
        <v>2.0</v>
      </c>
      <c r="C155" s="66" t="s">
        <v>116</v>
      </c>
      <c r="D155" s="60"/>
      <c r="E155" s="24">
        <v>38.0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55">
        <v>3.0</v>
      </c>
      <c r="C156" s="66" t="s">
        <v>117</v>
      </c>
      <c r="D156" s="60"/>
      <c r="E156" s="24">
        <v>5.0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55">
        <v>4.0</v>
      </c>
      <c r="C157" s="66" t="s">
        <v>118</v>
      </c>
      <c r="D157" s="60"/>
      <c r="E157" s="24">
        <v>2.0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56"/>
      <c r="C158" s="57"/>
      <c r="D158" s="61"/>
      <c r="E158" s="58"/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56"/>
      <c r="C159" s="57"/>
      <c r="D159" s="61"/>
      <c r="E159" s="58"/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56"/>
      <c r="C160" s="57"/>
      <c r="D160" s="62"/>
      <c r="E160" s="63"/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6"/>
      <c r="C161" s="67"/>
      <c r="D161" s="62"/>
      <c r="E161" s="63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6"/>
      <c r="C162" s="67"/>
      <c r="D162" s="62"/>
      <c r="E162" s="63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15</v>
      </c>
      <c r="B163" s="68" t="s">
        <v>47</v>
      </c>
      <c r="C163" s="44"/>
      <c r="D163" s="28"/>
      <c r="E163" s="13">
        <f>SUM(E153:E162)</f>
        <v>103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4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37</v>
      </c>
      <c r="B165" s="47" t="s">
        <v>119</v>
      </c>
      <c r="C165" s="48" t="s">
        <v>120</v>
      </c>
      <c r="D165" s="16"/>
      <c r="E165" s="24">
        <v>17.0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39</v>
      </c>
      <c r="B166" s="55">
        <v>1.0</v>
      </c>
      <c r="C166" s="50" t="s">
        <v>121</v>
      </c>
      <c r="D166" s="60"/>
      <c r="E166" s="24">
        <v>7.0</v>
      </c>
      <c r="F166" s="51"/>
      <c r="G166" s="52"/>
      <c r="H166" s="52"/>
      <c r="I166" s="52"/>
      <c r="J166" s="52"/>
      <c r="K166" s="52"/>
      <c r="L166" s="52"/>
      <c r="M166" s="52"/>
      <c r="N166" s="52"/>
      <c r="O166" s="52"/>
      <c r="P166" s="53"/>
      <c r="Q166" s="3"/>
      <c r="R166" s="3"/>
      <c r="S166" s="3"/>
      <c r="T166" s="3"/>
      <c r="U166" s="3"/>
      <c r="V166" s="3"/>
      <c r="W166" s="54"/>
      <c r="X166" s="3"/>
      <c r="Y166" s="3"/>
      <c r="Z166" s="3"/>
    </row>
    <row r="167" ht="15.75" customHeight="1">
      <c r="A167" s="18"/>
      <c r="B167" s="55">
        <v>2.0</v>
      </c>
      <c r="C167" s="50" t="s">
        <v>122</v>
      </c>
      <c r="D167" s="60"/>
      <c r="E167" s="24">
        <v>6.0</v>
      </c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5">
        <v>3.0</v>
      </c>
      <c r="C168" s="50" t="s">
        <v>123</v>
      </c>
      <c r="D168" s="60"/>
      <c r="E168" s="24">
        <v>8.0</v>
      </c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5">
        <v>4.0</v>
      </c>
      <c r="C169" s="50" t="s">
        <v>124</v>
      </c>
      <c r="D169" s="60"/>
      <c r="E169" s="24">
        <v>4.0</v>
      </c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5">
        <v>5.0</v>
      </c>
      <c r="C170" s="50" t="s">
        <v>125</v>
      </c>
      <c r="D170" s="60"/>
      <c r="E170" s="24">
        <v>4.0</v>
      </c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5">
        <v>6.0</v>
      </c>
      <c r="C171" s="50" t="s">
        <v>126</v>
      </c>
      <c r="D171" s="60"/>
      <c r="E171" s="24">
        <v>2.0</v>
      </c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5">
        <v>7.0</v>
      </c>
      <c r="C172" s="50" t="s">
        <v>127</v>
      </c>
      <c r="D172" s="60"/>
      <c r="E172" s="24">
        <v>1.0</v>
      </c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6"/>
      <c r="C173" s="57"/>
      <c r="D173" s="62"/>
      <c r="E173" s="58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6"/>
      <c r="C174" s="57"/>
      <c r="D174" s="62"/>
      <c r="E174" s="58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47" t="s">
        <v>47</v>
      </c>
      <c r="C175" s="15"/>
      <c r="D175" s="16"/>
      <c r="E175" s="13">
        <f>SUM(E165:E174)</f>
        <v>49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4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37</v>
      </c>
      <c r="B177" s="47" t="s">
        <v>128</v>
      </c>
      <c r="C177" s="48" t="s">
        <v>129</v>
      </c>
      <c r="D177" s="16"/>
      <c r="E177" s="24">
        <v>107.0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 t="s">
        <v>39</v>
      </c>
      <c r="B178" s="55">
        <v>1.0</v>
      </c>
      <c r="C178" s="50" t="s">
        <v>130</v>
      </c>
      <c r="D178" s="60"/>
      <c r="E178" s="24">
        <v>64.0</v>
      </c>
      <c r="F178" s="51"/>
      <c r="G178" s="52"/>
      <c r="H178" s="52"/>
      <c r="I178" s="52"/>
      <c r="J178" s="52"/>
      <c r="K178" s="52"/>
      <c r="L178" s="52"/>
      <c r="M178" s="52"/>
      <c r="N178" s="52"/>
      <c r="O178" s="52"/>
      <c r="P178" s="53"/>
      <c r="Q178" s="3"/>
      <c r="R178" s="3"/>
      <c r="S178" s="3"/>
      <c r="T178" s="3"/>
      <c r="U178" s="3"/>
      <c r="V178" s="3"/>
      <c r="W178" s="54"/>
      <c r="X178" s="3"/>
      <c r="Y178" s="3"/>
      <c r="Z178" s="3"/>
    </row>
    <row r="179" ht="15.75" customHeight="1">
      <c r="A179" s="18"/>
      <c r="B179" s="55">
        <v>2.0</v>
      </c>
      <c r="C179" s="50" t="s">
        <v>131</v>
      </c>
      <c r="D179" s="60"/>
      <c r="E179" s="24">
        <v>85.0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55">
        <v>3.0</v>
      </c>
      <c r="C180" s="50" t="s">
        <v>132</v>
      </c>
      <c r="D180" s="60"/>
      <c r="E180" s="24">
        <v>38.0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55">
        <v>4.0</v>
      </c>
      <c r="C181" s="50" t="s">
        <v>133</v>
      </c>
      <c r="D181" s="60"/>
      <c r="E181" s="24">
        <v>23.0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55">
        <v>5.0</v>
      </c>
      <c r="C182" s="50" t="s">
        <v>134</v>
      </c>
      <c r="D182" s="60"/>
      <c r="E182" s="24">
        <v>14.0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55">
        <v>6.0</v>
      </c>
      <c r="C183" s="50" t="s">
        <v>135</v>
      </c>
      <c r="D183" s="60"/>
      <c r="E183" s="24">
        <v>9.0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5">
        <v>7.0</v>
      </c>
      <c r="C184" s="50" t="s">
        <v>136</v>
      </c>
      <c r="D184" s="60"/>
      <c r="E184" s="24">
        <v>11.0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6"/>
      <c r="C185" s="57"/>
      <c r="D185" s="62"/>
      <c r="E185" s="58"/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6"/>
      <c r="C186" s="57"/>
      <c r="D186" s="62"/>
      <c r="E186" s="58"/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15</v>
      </c>
      <c r="B187" s="47" t="s">
        <v>47</v>
      </c>
      <c r="C187" s="15"/>
      <c r="D187" s="16"/>
      <c r="E187" s="13">
        <f>SUM(E177:E186)</f>
        <v>351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4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0" t="s">
        <v>37</v>
      </c>
      <c r="B189" s="47" t="s">
        <v>137</v>
      </c>
      <c r="C189" s="48" t="s">
        <v>138</v>
      </c>
      <c r="D189" s="16"/>
      <c r="E189" s="24">
        <v>13.0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 t="s">
        <v>39</v>
      </c>
      <c r="B190" s="55">
        <v>1.0</v>
      </c>
      <c r="C190" s="50" t="s">
        <v>139</v>
      </c>
      <c r="D190" s="60"/>
      <c r="E190" s="24">
        <v>16.0</v>
      </c>
      <c r="F190" s="51"/>
      <c r="G190" s="52"/>
      <c r="H190" s="52"/>
      <c r="I190" s="52"/>
      <c r="J190" s="52"/>
      <c r="K190" s="52"/>
      <c r="L190" s="52"/>
      <c r="M190" s="52"/>
      <c r="N190" s="52"/>
      <c r="O190" s="52"/>
      <c r="P190" s="53"/>
      <c r="Q190" s="3"/>
      <c r="R190" s="3"/>
      <c r="S190" s="3"/>
      <c r="T190" s="3"/>
      <c r="U190" s="3"/>
      <c r="V190" s="3"/>
      <c r="W190" s="54"/>
      <c r="X190" s="3"/>
      <c r="Y190" s="3"/>
      <c r="Z190" s="3"/>
    </row>
    <row r="191" ht="15.75" customHeight="1">
      <c r="A191" s="18"/>
      <c r="B191" s="55">
        <v>2.0</v>
      </c>
      <c r="C191" s="50" t="s">
        <v>140</v>
      </c>
      <c r="D191" s="60"/>
      <c r="E191" s="24">
        <v>13.0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55">
        <v>3.0</v>
      </c>
      <c r="C192" s="50" t="s">
        <v>141</v>
      </c>
      <c r="D192" s="60"/>
      <c r="E192" s="24">
        <v>2.0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55">
        <v>4.0</v>
      </c>
      <c r="C193" s="50" t="s">
        <v>142</v>
      </c>
      <c r="D193" s="60"/>
      <c r="E193" s="24">
        <v>0.0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55">
        <v>5.0</v>
      </c>
      <c r="C194" s="50" t="s">
        <v>143</v>
      </c>
      <c r="D194" s="60"/>
      <c r="E194" s="24">
        <v>2.0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55">
        <v>6.0</v>
      </c>
      <c r="C195" s="50" t="s">
        <v>144</v>
      </c>
      <c r="D195" s="60"/>
      <c r="E195" s="24">
        <v>0.0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55">
        <v>7.0</v>
      </c>
      <c r="C196" s="50" t="s">
        <v>145</v>
      </c>
      <c r="D196" s="60"/>
      <c r="E196" s="24">
        <v>0.0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6"/>
      <c r="C197" s="57"/>
      <c r="D197" s="62"/>
      <c r="E197" s="58"/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6"/>
      <c r="C198" s="57"/>
      <c r="D198" s="62"/>
      <c r="E198" s="58"/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15</v>
      </c>
      <c r="B199" s="47" t="s">
        <v>47</v>
      </c>
      <c r="C199" s="15"/>
      <c r="D199" s="16"/>
      <c r="E199" s="13">
        <f>SUM(E189:E198)</f>
        <v>46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4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0" t="s">
        <v>37</v>
      </c>
      <c r="B201" s="47" t="s">
        <v>146</v>
      </c>
      <c r="C201" s="48" t="s">
        <v>147</v>
      </c>
      <c r="D201" s="16"/>
      <c r="E201" s="24">
        <v>1434.0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0" t="s">
        <v>39</v>
      </c>
      <c r="B202" s="55">
        <v>1.0</v>
      </c>
      <c r="C202" s="50" t="s">
        <v>148</v>
      </c>
      <c r="D202" s="60"/>
      <c r="E202" s="24">
        <v>1691.0</v>
      </c>
      <c r="F202" s="51"/>
      <c r="G202" s="52"/>
      <c r="H202" s="52"/>
      <c r="I202" s="52"/>
      <c r="J202" s="52"/>
      <c r="K202" s="52"/>
      <c r="L202" s="52"/>
      <c r="M202" s="52"/>
      <c r="N202" s="52"/>
      <c r="O202" s="52"/>
      <c r="P202" s="53"/>
      <c r="Q202" s="3"/>
      <c r="R202" s="3"/>
      <c r="S202" s="3"/>
      <c r="T202" s="3"/>
      <c r="U202" s="3"/>
      <c r="V202" s="3"/>
      <c r="W202" s="54"/>
      <c r="X202" s="3"/>
      <c r="Y202" s="3"/>
      <c r="Z202" s="3"/>
    </row>
    <row r="203" ht="15.75" customHeight="1">
      <c r="A203" s="18"/>
      <c r="B203" s="55">
        <v>2.0</v>
      </c>
      <c r="C203" s="50" t="s">
        <v>149</v>
      </c>
      <c r="D203" s="60"/>
      <c r="E203" s="24">
        <v>1005.0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55">
        <v>3.0</v>
      </c>
      <c r="C204" s="50" t="s">
        <v>150</v>
      </c>
      <c r="D204" s="60"/>
      <c r="E204" s="24">
        <v>107.0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55">
        <v>4.0</v>
      </c>
      <c r="C205" s="50" t="s">
        <v>151</v>
      </c>
      <c r="D205" s="60"/>
      <c r="E205" s="24">
        <v>99.0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55">
        <v>5.0</v>
      </c>
      <c r="C206" s="50" t="s">
        <v>152</v>
      </c>
      <c r="D206" s="60"/>
      <c r="E206" s="24">
        <v>86.0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55">
        <v>6.0</v>
      </c>
      <c r="C207" s="50" t="s">
        <v>153</v>
      </c>
      <c r="D207" s="60"/>
      <c r="E207" s="24">
        <v>17.0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55">
        <v>7.0</v>
      </c>
      <c r="C208" s="50" t="s">
        <v>154</v>
      </c>
      <c r="D208" s="60"/>
      <c r="E208" s="24">
        <v>85.0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6"/>
      <c r="C209" s="57"/>
      <c r="D209" s="62"/>
      <c r="E209" s="58"/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6"/>
      <c r="C210" s="57"/>
      <c r="D210" s="62"/>
      <c r="E210" s="58"/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15</v>
      </c>
      <c r="B211" s="47" t="s">
        <v>47</v>
      </c>
      <c r="C211" s="15"/>
      <c r="D211" s="16"/>
      <c r="E211" s="13">
        <f>SUM(E201:E210)</f>
        <v>4524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4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0" t="s">
        <v>37</v>
      </c>
      <c r="B213" s="47" t="s">
        <v>155</v>
      </c>
      <c r="C213" s="48" t="s">
        <v>156</v>
      </c>
      <c r="D213" s="16"/>
      <c r="E213" s="24">
        <v>332.0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0" t="s">
        <v>39</v>
      </c>
      <c r="B214" s="55">
        <v>1.0</v>
      </c>
      <c r="C214" s="50" t="s">
        <v>157</v>
      </c>
      <c r="D214" s="59"/>
      <c r="E214" s="24">
        <v>416.0</v>
      </c>
      <c r="F214" s="51"/>
      <c r="G214" s="52"/>
      <c r="H214" s="52"/>
      <c r="I214" s="52"/>
      <c r="J214" s="52"/>
      <c r="K214" s="52"/>
      <c r="L214" s="52"/>
      <c r="M214" s="52"/>
      <c r="N214" s="52"/>
      <c r="O214" s="52"/>
      <c r="P214" s="53"/>
      <c r="Q214" s="3"/>
      <c r="R214" s="3"/>
      <c r="S214" s="3"/>
      <c r="T214" s="3"/>
      <c r="U214" s="3"/>
      <c r="V214" s="3"/>
      <c r="W214" s="54"/>
      <c r="X214" s="3"/>
      <c r="Y214" s="3"/>
      <c r="Z214" s="3"/>
    </row>
    <row r="215" ht="15.75" customHeight="1">
      <c r="A215" s="18"/>
      <c r="B215" s="55">
        <v>2.0</v>
      </c>
      <c r="C215" s="50" t="s">
        <v>158</v>
      </c>
      <c r="D215" s="59"/>
      <c r="E215" s="24">
        <v>1386.0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55">
        <v>3.0</v>
      </c>
      <c r="C216" s="69" t="s">
        <v>159</v>
      </c>
      <c r="E216" s="24">
        <v>41.0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55">
        <v>4.0</v>
      </c>
      <c r="C217" s="50" t="s">
        <v>160</v>
      </c>
      <c r="D217" s="59"/>
      <c r="E217" s="24">
        <v>18.0</v>
      </c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55">
        <v>5.0</v>
      </c>
      <c r="C218" s="50" t="s">
        <v>161</v>
      </c>
      <c r="D218" s="59"/>
      <c r="E218" s="24">
        <v>16.0</v>
      </c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5">
        <v>6.0</v>
      </c>
      <c r="C219" s="50" t="s">
        <v>162</v>
      </c>
      <c r="D219" s="59"/>
      <c r="E219" s="24">
        <v>20.0</v>
      </c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5">
        <v>7.0</v>
      </c>
      <c r="C220" s="50" t="s">
        <v>163</v>
      </c>
      <c r="D220" s="59"/>
      <c r="E220" s="24">
        <v>19.0</v>
      </c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6"/>
      <c r="C221" s="57"/>
      <c r="D221" s="61"/>
      <c r="E221" s="58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6"/>
      <c r="C222" s="57"/>
      <c r="D222" s="61"/>
      <c r="E222" s="58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15</v>
      </c>
      <c r="B223" s="47" t="s">
        <v>47</v>
      </c>
      <c r="C223" s="15"/>
      <c r="D223" s="16"/>
      <c r="E223" s="13">
        <f>SUM(E213:E222)</f>
        <v>2248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4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0" t="s">
        <v>37</v>
      </c>
      <c r="B225" s="47" t="s">
        <v>164</v>
      </c>
      <c r="C225" s="48" t="s">
        <v>165</v>
      </c>
      <c r="D225" s="16"/>
      <c r="E225" s="24">
        <v>22.0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0" t="s">
        <v>39</v>
      </c>
      <c r="B226" s="55">
        <v>1.0</v>
      </c>
      <c r="C226" s="50" t="s">
        <v>166</v>
      </c>
      <c r="D226" s="60"/>
      <c r="E226" s="24">
        <v>99.0</v>
      </c>
      <c r="F226" s="51"/>
      <c r="G226" s="52"/>
      <c r="H226" s="52"/>
      <c r="I226" s="52"/>
      <c r="J226" s="52"/>
      <c r="K226" s="52"/>
      <c r="L226" s="52"/>
      <c r="M226" s="52"/>
      <c r="N226" s="52"/>
      <c r="O226" s="52"/>
      <c r="P226" s="53"/>
      <c r="Q226" s="3"/>
      <c r="R226" s="3"/>
      <c r="S226" s="3"/>
      <c r="T226" s="3"/>
      <c r="U226" s="3"/>
      <c r="V226" s="3"/>
      <c r="W226" s="54"/>
      <c r="X226" s="3"/>
      <c r="Y226" s="3"/>
      <c r="Z226" s="3"/>
    </row>
    <row r="227" ht="15.75" customHeight="1">
      <c r="A227" s="18"/>
      <c r="B227" s="55">
        <v>2.0</v>
      </c>
      <c r="C227" s="50" t="s">
        <v>167</v>
      </c>
      <c r="D227" s="60"/>
      <c r="E227" s="24">
        <v>10.0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55">
        <v>3.0</v>
      </c>
      <c r="C228" s="50" t="s">
        <v>168</v>
      </c>
      <c r="D228" s="60"/>
      <c r="E228" s="24">
        <v>6.0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55">
        <v>4.0</v>
      </c>
      <c r="C229" s="50" t="s">
        <v>169</v>
      </c>
      <c r="D229" s="60"/>
      <c r="E229" s="24">
        <v>1.0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55">
        <v>5.0</v>
      </c>
      <c r="C230" s="50" t="s">
        <v>170</v>
      </c>
      <c r="D230" s="60"/>
      <c r="E230" s="24">
        <v>4.0</v>
      </c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55">
        <v>6.0</v>
      </c>
      <c r="C231" s="50" t="s">
        <v>171</v>
      </c>
      <c r="D231" s="60"/>
      <c r="E231" s="24">
        <v>1.0</v>
      </c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5">
        <v>7.0</v>
      </c>
      <c r="C232" s="50" t="s">
        <v>172</v>
      </c>
      <c r="D232" s="60"/>
      <c r="E232" s="24">
        <v>69.0</v>
      </c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6"/>
      <c r="C233" s="57"/>
      <c r="D233" s="62"/>
      <c r="E233" s="58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6"/>
      <c r="C234" s="57"/>
      <c r="D234" s="62"/>
      <c r="E234" s="58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15</v>
      </c>
      <c r="B235" s="47" t="s">
        <v>47</v>
      </c>
      <c r="C235" s="15"/>
      <c r="D235" s="16"/>
      <c r="E235" s="13">
        <f>SUM(E225:E234)</f>
        <v>212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4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0" t="s">
        <v>37</v>
      </c>
      <c r="B237" s="47" t="s">
        <v>173</v>
      </c>
      <c r="C237" s="48" t="s">
        <v>174</v>
      </c>
      <c r="D237" s="16"/>
      <c r="E237" s="24">
        <v>116.0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0" t="s">
        <v>39</v>
      </c>
      <c r="B238" s="55">
        <v>1.0</v>
      </c>
      <c r="C238" s="50" t="s">
        <v>175</v>
      </c>
      <c r="D238" s="60"/>
      <c r="E238" s="24">
        <v>67.0</v>
      </c>
      <c r="F238" s="51"/>
      <c r="G238" s="52"/>
      <c r="H238" s="52"/>
      <c r="I238" s="52"/>
      <c r="J238" s="52"/>
      <c r="K238" s="52"/>
      <c r="L238" s="52"/>
      <c r="M238" s="52"/>
      <c r="N238" s="52"/>
      <c r="O238" s="52"/>
      <c r="P238" s="53"/>
      <c r="Q238" s="3"/>
      <c r="R238" s="3"/>
      <c r="S238" s="3"/>
      <c r="T238" s="3"/>
      <c r="U238" s="3"/>
      <c r="V238" s="3"/>
      <c r="W238" s="54"/>
      <c r="X238" s="3"/>
      <c r="Y238" s="3"/>
      <c r="Z238" s="3"/>
    </row>
    <row r="239" ht="15.75" customHeight="1">
      <c r="A239" s="18"/>
      <c r="B239" s="55">
        <v>2.0</v>
      </c>
      <c r="C239" s="50" t="s">
        <v>176</v>
      </c>
      <c r="D239" s="60"/>
      <c r="E239" s="24">
        <v>316.0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55">
        <v>3.0</v>
      </c>
      <c r="C240" s="50" t="s">
        <v>177</v>
      </c>
      <c r="D240" s="60"/>
      <c r="E240" s="24">
        <v>199.0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55">
        <v>4.0</v>
      </c>
      <c r="C241" s="50" t="s">
        <v>178</v>
      </c>
      <c r="D241" s="60"/>
      <c r="E241" s="24">
        <v>28.0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55">
        <v>5.0</v>
      </c>
      <c r="C242" s="50" t="s">
        <v>179</v>
      </c>
      <c r="D242" s="60"/>
      <c r="E242" s="24">
        <v>7.0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55">
        <v>6.0</v>
      </c>
      <c r="C243" s="50" t="s">
        <v>180</v>
      </c>
      <c r="D243" s="60"/>
      <c r="E243" s="24">
        <v>8.0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55">
        <v>7.0</v>
      </c>
      <c r="C244" s="50" t="s">
        <v>181</v>
      </c>
      <c r="D244" s="60"/>
      <c r="E244" s="24">
        <v>122.0</v>
      </c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56"/>
      <c r="C245" s="57"/>
      <c r="D245" s="62"/>
      <c r="E245" s="58"/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56"/>
      <c r="C246" s="57"/>
      <c r="D246" s="62"/>
      <c r="E246" s="58"/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15</v>
      </c>
      <c r="B247" s="47" t="s">
        <v>47</v>
      </c>
      <c r="C247" s="15"/>
      <c r="D247" s="16"/>
      <c r="E247" s="13">
        <f>SUM(E237:E246)</f>
        <v>863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4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0" t="s">
        <v>37</v>
      </c>
      <c r="B249" s="47" t="s">
        <v>182</v>
      </c>
      <c r="C249" s="48" t="s">
        <v>183</v>
      </c>
      <c r="D249" s="16"/>
      <c r="E249" s="24">
        <v>59.0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0" t="s">
        <v>39</v>
      </c>
      <c r="B250" s="55">
        <v>1.0</v>
      </c>
      <c r="C250" s="66" t="s">
        <v>184</v>
      </c>
      <c r="D250" s="60"/>
      <c r="E250" s="24">
        <v>46.0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55">
        <v>2.0</v>
      </c>
      <c r="C251" s="66" t="s">
        <v>185</v>
      </c>
      <c r="D251" s="60"/>
      <c r="E251" s="24">
        <v>37.0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55">
        <v>3.0</v>
      </c>
      <c r="C252" s="66" t="s">
        <v>186</v>
      </c>
      <c r="D252" s="60"/>
      <c r="E252" s="24">
        <v>5.0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55">
        <v>4.0</v>
      </c>
      <c r="C253" s="66" t="s">
        <v>187</v>
      </c>
      <c r="D253" s="60"/>
      <c r="E253" s="24">
        <v>7.0</v>
      </c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5">
        <v>5.0</v>
      </c>
      <c r="C254" s="66" t="s">
        <v>188</v>
      </c>
      <c r="D254" s="60"/>
      <c r="E254" s="24">
        <v>10.0</v>
      </c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5">
        <v>6.0</v>
      </c>
      <c r="C255" s="66" t="s">
        <v>189</v>
      </c>
      <c r="D255" s="60"/>
      <c r="E255" s="24">
        <v>7.0</v>
      </c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6"/>
      <c r="C256" s="67"/>
      <c r="D256" s="62"/>
      <c r="E256" s="58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6"/>
      <c r="C257" s="67"/>
      <c r="D257" s="62"/>
      <c r="E257" s="58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6"/>
      <c r="C258" s="67"/>
      <c r="D258" s="62"/>
      <c r="E258" s="58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15</v>
      </c>
      <c r="B259" s="47" t="s">
        <v>47</v>
      </c>
      <c r="C259" s="15"/>
      <c r="D259" s="16"/>
      <c r="E259" s="13">
        <f>SUM(E249:E258)</f>
        <v>171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2" t="s">
        <v>190</v>
      </c>
      <c r="B261" s="14" t="s">
        <v>191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2"/>
      <c r="B262" s="70" t="s">
        <v>192</v>
      </c>
      <c r="C262" s="71" t="s">
        <v>193</v>
      </c>
      <c r="D262" s="16"/>
      <c r="E262" s="24">
        <v>31126.0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70" t="s">
        <v>194</v>
      </c>
      <c r="C263" s="71" t="s">
        <v>195</v>
      </c>
      <c r="D263" s="16"/>
      <c r="E263" s="24">
        <v>4394.0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1"/>
      <c r="B264" s="70" t="s">
        <v>196</v>
      </c>
      <c r="C264" s="71" t="s">
        <v>197</v>
      </c>
      <c r="D264" s="16"/>
      <c r="E264" s="13">
        <f>SUM(E262:E263)</f>
        <v>35520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72"/>
      <c r="C265" s="73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72"/>
      <c r="C266" s="73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72"/>
      <c r="C267" s="73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72"/>
      <c r="C268" s="73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72"/>
      <c r="C269" s="73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72"/>
      <c r="C270" s="73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72"/>
      <c r="C271" s="73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72"/>
      <c r="C272" s="73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72"/>
      <c r="C273" s="73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72"/>
      <c r="C274" s="73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72"/>
      <c r="C275" s="73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72"/>
      <c r="C276" s="73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72"/>
      <c r="C277" s="73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72"/>
      <c r="C278" s="73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72"/>
      <c r="C279" s="73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72"/>
      <c r="C280" s="73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72"/>
      <c r="C281" s="73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72"/>
      <c r="C282" s="73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72"/>
      <c r="C283" s="73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72"/>
      <c r="C284" s="73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72"/>
      <c r="C285" s="73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72"/>
      <c r="C286" s="73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72"/>
      <c r="C287" s="73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72"/>
      <c r="C288" s="73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72"/>
      <c r="C289" s="73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72"/>
      <c r="C290" s="73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72"/>
      <c r="C291" s="73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72"/>
      <c r="C292" s="73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72"/>
      <c r="C293" s="73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72"/>
      <c r="C294" s="73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72"/>
      <c r="C295" s="73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72"/>
      <c r="C296" s="73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72"/>
      <c r="C297" s="73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72"/>
      <c r="C298" s="73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72"/>
      <c r="C299" s="73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72"/>
      <c r="C300" s="7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72"/>
      <c r="C301" s="7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72"/>
      <c r="C302" s="7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72"/>
      <c r="C303" s="73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72"/>
      <c r="C304" s="73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72"/>
      <c r="C305" s="73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72"/>
      <c r="C306" s="73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72"/>
      <c r="C307" s="73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72"/>
      <c r="C308" s="73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72"/>
      <c r="C309" s="73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72"/>
      <c r="C310" s="73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72"/>
      <c r="C311" s="73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72"/>
      <c r="C312" s="73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72"/>
      <c r="C313" s="73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72"/>
      <c r="C314" s="73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72"/>
      <c r="C315" s="73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72"/>
      <c r="C316" s="73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72"/>
      <c r="C317" s="73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72"/>
      <c r="C318" s="73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72"/>
      <c r="C319" s="73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72"/>
      <c r="C320" s="73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72"/>
      <c r="C321" s="73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72"/>
      <c r="C322" s="73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72"/>
      <c r="C323" s="73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72"/>
      <c r="C324" s="73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72"/>
      <c r="C325" s="73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72"/>
      <c r="C326" s="73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72"/>
      <c r="C327" s="73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72"/>
      <c r="C328" s="73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72"/>
      <c r="C329" s="73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72"/>
      <c r="C330" s="73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72"/>
      <c r="C331" s="73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72"/>
      <c r="C332" s="73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72"/>
      <c r="C333" s="73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72"/>
      <c r="C334" s="73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72"/>
      <c r="C335" s="73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72"/>
      <c r="C336" s="73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72"/>
      <c r="C337" s="73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72"/>
      <c r="C338" s="73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72"/>
      <c r="C339" s="73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72"/>
      <c r="C340" s="73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72"/>
      <c r="C341" s="73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72"/>
      <c r="C342" s="73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72"/>
      <c r="C343" s="73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72"/>
      <c r="C344" s="73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72"/>
      <c r="C345" s="73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72"/>
      <c r="C346" s="73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72"/>
      <c r="C347" s="73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72"/>
      <c r="C348" s="73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72"/>
      <c r="C349" s="73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72"/>
      <c r="C350" s="73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72"/>
      <c r="C351" s="73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72"/>
      <c r="C352" s="73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72"/>
      <c r="C353" s="73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72"/>
      <c r="C354" s="73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72"/>
      <c r="C355" s="73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72"/>
      <c r="C356" s="73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72"/>
      <c r="C357" s="73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72"/>
      <c r="C358" s="73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72"/>
      <c r="C359" s="73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72"/>
      <c r="C360" s="73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72"/>
      <c r="C361" s="73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72"/>
      <c r="C362" s="73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72"/>
      <c r="C363" s="73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72"/>
      <c r="C364" s="73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72"/>
      <c r="C365" s="73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72"/>
      <c r="C366" s="73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72"/>
      <c r="C367" s="73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72"/>
      <c r="C368" s="73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72"/>
      <c r="C369" s="73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72"/>
      <c r="C370" s="73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72"/>
      <c r="C371" s="73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72"/>
      <c r="C372" s="73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72"/>
      <c r="C373" s="73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72"/>
      <c r="C374" s="73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72"/>
      <c r="C375" s="73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72"/>
      <c r="C376" s="73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72"/>
      <c r="C377" s="73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72"/>
      <c r="C378" s="73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72"/>
      <c r="C379" s="73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72"/>
      <c r="C380" s="73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72"/>
      <c r="C381" s="73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72"/>
      <c r="C382" s="73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72"/>
      <c r="C383" s="73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72"/>
      <c r="C384" s="73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72"/>
      <c r="C385" s="73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72"/>
      <c r="C386" s="73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72"/>
      <c r="C387" s="73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72"/>
      <c r="C388" s="73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72"/>
      <c r="C389" s="73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72"/>
      <c r="C390" s="73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72"/>
      <c r="C391" s="73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72"/>
      <c r="C392" s="73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72"/>
      <c r="C393" s="73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72"/>
      <c r="C394" s="73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72"/>
      <c r="C395" s="73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72"/>
      <c r="C396" s="73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72"/>
      <c r="C397" s="73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72"/>
      <c r="C398" s="73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72"/>
      <c r="C399" s="73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72"/>
      <c r="C400" s="73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72"/>
      <c r="C401" s="73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72"/>
      <c r="C402" s="73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72"/>
      <c r="C403" s="73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72"/>
      <c r="C404" s="73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72"/>
      <c r="C405" s="73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72"/>
      <c r="C406" s="73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72"/>
      <c r="C407" s="73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72"/>
      <c r="C408" s="73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72"/>
      <c r="C409" s="73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72"/>
      <c r="C410" s="73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72"/>
      <c r="C411" s="73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72"/>
      <c r="C412" s="73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72"/>
      <c r="C413" s="73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72"/>
      <c r="C414" s="73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72"/>
      <c r="C415" s="73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72"/>
      <c r="C416" s="73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72"/>
      <c r="C417" s="73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72"/>
      <c r="C418" s="73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72"/>
      <c r="C419" s="73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72"/>
      <c r="C420" s="73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72"/>
      <c r="C421" s="73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72"/>
      <c r="C422" s="73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72"/>
      <c r="C423" s="73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72"/>
      <c r="C424" s="73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72"/>
      <c r="C425" s="73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72"/>
      <c r="C426" s="73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72"/>
      <c r="C427" s="73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72"/>
      <c r="C428" s="73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72"/>
      <c r="C429" s="73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72"/>
      <c r="C430" s="73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72"/>
      <c r="C431" s="73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72"/>
      <c r="C432" s="73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72"/>
      <c r="C433" s="73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72"/>
      <c r="C434" s="73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72"/>
      <c r="C435" s="73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72"/>
      <c r="C436" s="73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72"/>
      <c r="C437" s="73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72"/>
      <c r="C438" s="73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72"/>
      <c r="C439" s="73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72"/>
      <c r="C440" s="73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72"/>
      <c r="C441" s="73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72"/>
      <c r="C442" s="73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72"/>
      <c r="C443" s="73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72"/>
      <c r="C444" s="73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72"/>
      <c r="C445" s="73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72"/>
      <c r="C446" s="73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72"/>
      <c r="C447" s="73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72"/>
      <c r="C448" s="73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72"/>
      <c r="C449" s="73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72"/>
      <c r="C450" s="73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72"/>
      <c r="C451" s="73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72"/>
      <c r="C452" s="73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72"/>
      <c r="C453" s="73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72"/>
      <c r="C454" s="73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72"/>
      <c r="C455" s="73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72"/>
      <c r="C456" s="73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72"/>
      <c r="C457" s="73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72"/>
      <c r="C458" s="73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72"/>
      <c r="C459" s="73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72"/>
      <c r="C460" s="73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72"/>
      <c r="C461" s="73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72"/>
      <c r="C462" s="73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72"/>
      <c r="C463" s="73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72"/>
      <c r="C464" s="73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0"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A56:E56"/>
    <mergeCell ref="C57:D57"/>
    <mergeCell ref="C47:D47"/>
    <mergeCell ref="C48:D48"/>
    <mergeCell ref="C49:D49"/>
    <mergeCell ref="C50:D50"/>
    <mergeCell ref="C51:D51"/>
    <mergeCell ref="C52:D52"/>
    <mergeCell ref="B55:D55"/>
    <mergeCell ref="C117:D117"/>
    <mergeCell ref="B127:D127"/>
    <mergeCell ref="A128:E128"/>
    <mergeCell ref="C129:D129"/>
    <mergeCell ref="B139:D139"/>
    <mergeCell ref="A140:E140"/>
    <mergeCell ref="C141:D141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E55">
    <cfRule type="containsBlanks" dxfId="1" priority="3">
      <formula>LEN(TRIM(E55))=0</formula>
    </cfRule>
  </conditionalFormatting>
  <conditionalFormatting sqref="E67">
    <cfRule type="containsBlanks" dxfId="1" priority="4">
      <formula>LEN(TRIM(E67))=0</formula>
    </cfRule>
  </conditionalFormatting>
  <conditionalFormatting sqref="E79">
    <cfRule type="containsBlanks" dxfId="1" priority="5">
      <formula>LEN(TRIM(E79))=0</formula>
    </cfRule>
  </conditionalFormatting>
  <conditionalFormatting sqref="E91">
    <cfRule type="containsBlanks" dxfId="1" priority="6">
      <formula>LEN(TRIM(E91))=0</formula>
    </cfRule>
  </conditionalFormatting>
  <conditionalFormatting sqref="E103">
    <cfRule type="containsBlanks" dxfId="1" priority="7">
      <formula>LEN(TRIM(E103))=0</formula>
    </cfRule>
  </conditionalFormatting>
  <conditionalFormatting sqref="E115">
    <cfRule type="containsBlanks" dxfId="1" priority="8">
      <formula>LEN(TRIM(E115))=0</formula>
    </cfRule>
  </conditionalFormatting>
  <conditionalFormatting sqref="E127">
    <cfRule type="containsBlanks" dxfId="1" priority="9">
      <formula>LEN(TRIM(E127))=0</formula>
    </cfRule>
  </conditionalFormatting>
  <conditionalFormatting sqref="E139">
    <cfRule type="containsBlanks" dxfId="1" priority="10">
      <formula>LEN(TRIM(E139))=0</formula>
    </cfRule>
  </conditionalFormatting>
  <conditionalFormatting sqref="E151">
    <cfRule type="containsBlanks" dxfId="1" priority="11">
      <formula>LEN(TRIM(E151))=0</formula>
    </cfRule>
  </conditionalFormatting>
  <conditionalFormatting sqref="E163">
    <cfRule type="containsBlanks" dxfId="1" priority="12">
      <formula>LEN(TRIM(E163))=0</formula>
    </cfRule>
  </conditionalFormatting>
  <conditionalFormatting sqref="E175">
    <cfRule type="containsBlanks" dxfId="1" priority="13">
      <formula>LEN(TRIM(E175))=0</formula>
    </cfRule>
  </conditionalFormatting>
  <conditionalFormatting sqref="E187">
    <cfRule type="containsBlanks" dxfId="1" priority="14">
      <formula>LEN(TRIM(E187))=0</formula>
    </cfRule>
  </conditionalFormatting>
  <conditionalFormatting sqref="E199">
    <cfRule type="containsBlanks" dxfId="1" priority="15">
      <formula>LEN(TRIM(E199))=0</formula>
    </cfRule>
  </conditionalFormatting>
  <conditionalFormatting sqref="E211">
    <cfRule type="containsBlanks" dxfId="1" priority="16">
      <formula>LEN(TRIM(E211))=0</formula>
    </cfRule>
  </conditionalFormatting>
  <conditionalFormatting sqref="E223">
    <cfRule type="containsBlanks" dxfId="1" priority="17">
      <formula>LEN(TRIM(E223))=0</formula>
    </cfRule>
  </conditionalFormatting>
  <conditionalFormatting sqref="E235">
    <cfRule type="containsBlanks" dxfId="1" priority="18">
      <formula>LEN(TRIM(E235))=0</formula>
    </cfRule>
  </conditionalFormatting>
  <conditionalFormatting sqref="E247">
    <cfRule type="containsBlanks" dxfId="1" priority="19">
      <formula>LEN(TRIM(E247))=0</formula>
    </cfRule>
  </conditionalFormatting>
  <conditionalFormatting sqref="E259">
    <cfRule type="containsBlanks" dxfId="1" priority="20">
      <formula>LEN(TRIM(E259))=0</formula>
    </cfRule>
  </conditionalFormatting>
  <conditionalFormatting sqref="F259:O261">
    <cfRule type="cellIs" dxfId="0" priority="21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1" width="8.71"/>
    <col customWidth="1" min="22" max="22" width="13.29"/>
    <col customWidth="1" min="23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199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  <c r="U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7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36"/>
    </row>
    <row r="14" ht="12.75" customHeight="1">
      <c r="A14" s="18"/>
      <c r="B14" s="22" t="s">
        <v>11</v>
      </c>
      <c r="C14" s="23"/>
      <c r="D14" s="19" t="s">
        <v>12</v>
      </c>
      <c r="E14" s="19">
        <v>76.0</v>
      </c>
      <c r="F14" s="19">
        <v>101.0</v>
      </c>
      <c r="G14" s="19">
        <v>67.0</v>
      </c>
      <c r="H14" s="19">
        <v>144.0</v>
      </c>
      <c r="I14" s="19">
        <v>143.0</v>
      </c>
      <c r="J14" s="19">
        <v>119.0</v>
      </c>
      <c r="K14" s="19">
        <v>147.0</v>
      </c>
      <c r="L14" s="19">
        <v>105.0</v>
      </c>
      <c r="M14" s="19">
        <v>114.0</v>
      </c>
      <c r="N14" s="19">
        <v>118.0</v>
      </c>
      <c r="O14" s="19">
        <v>132.0</v>
      </c>
      <c r="P14" s="19">
        <v>116.0</v>
      </c>
      <c r="Q14" s="19">
        <v>115.0</v>
      </c>
      <c r="R14" s="19">
        <v>137.0</v>
      </c>
      <c r="S14" s="19">
        <v>126.0</v>
      </c>
      <c r="T14" s="19">
        <v>119.0</v>
      </c>
      <c r="U14" s="19">
        <v>121.0</v>
      </c>
      <c r="V14" s="13">
        <f t="shared" ref="V14:V16" si="1">SUM(E14:U14)</f>
        <v>2000</v>
      </c>
    </row>
    <row r="15" ht="12.75" customHeight="1">
      <c r="A15" s="18"/>
      <c r="B15" s="26"/>
      <c r="C15" s="27"/>
      <c r="D15" s="19" t="s">
        <v>13</v>
      </c>
      <c r="E15" s="19">
        <v>78.0</v>
      </c>
      <c r="F15" s="19">
        <v>98.0</v>
      </c>
      <c r="G15" s="19">
        <v>73.0</v>
      </c>
      <c r="H15" s="19">
        <v>137.0</v>
      </c>
      <c r="I15" s="19">
        <v>121.0</v>
      </c>
      <c r="J15" s="19">
        <v>108.0</v>
      </c>
      <c r="K15" s="19">
        <v>145.0</v>
      </c>
      <c r="L15" s="19">
        <v>117.0</v>
      </c>
      <c r="M15" s="19">
        <v>114.0</v>
      </c>
      <c r="N15" s="19">
        <v>130.0</v>
      </c>
      <c r="O15" s="19">
        <v>138.0</v>
      </c>
      <c r="P15" s="19">
        <v>115.0</v>
      </c>
      <c r="Q15" s="19">
        <v>127.0</v>
      </c>
      <c r="R15" s="19">
        <v>134.0</v>
      </c>
      <c r="S15" s="19">
        <v>126.0</v>
      </c>
      <c r="T15" s="19">
        <v>123.0</v>
      </c>
      <c r="U15" s="19">
        <v>140.0</v>
      </c>
      <c r="V15" s="13">
        <f t="shared" si="1"/>
        <v>2024</v>
      </c>
    </row>
    <row r="16" ht="12.75" customHeight="1">
      <c r="A16" s="25"/>
      <c r="B16" s="21"/>
      <c r="C16" s="28"/>
      <c r="D16" s="13" t="s">
        <v>14</v>
      </c>
      <c r="E16" s="13">
        <f t="shared" ref="E16:U16" si="2">SUM(E14:E15)</f>
        <v>154</v>
      </c>
      <c r="F16" s="13">
        <f t="shared" si="2"/>
        <v>199</v>
      </c>
      <c r="G16" s="13">
        <f t="shared" si="2"/>
        <v>140</v>
      </c>
      <c r="H16" s="13">
        <f t="shared" si="2"/>
        <v>281</v>
      </c>
      <c r="I16" s="13">
        <f t="shared" si="2"/>
        <v>264</v>
      </c>
      <c r="J16" s="13">
        <f t="shared" si="2"/>
        <v>227</v>
      </c>
      <c r="K16" s="13">
        <f t="shared" si="2"/>
        <v>292</v>
      </c>
      <c r="L16" s="13">
        <f t="shared" si="2"/>
        <v>222</v>
      </c>
      <c r="M16" s="13">
        <f t="shared" si="2"/>
        <v>228</v>
      </c>
      <c r="N16" s="13">
        <f t="shared" si="2"/>
        <v>248</v>
      </c>
      <c r="O16" s="13">
        <f t="shared" si="2"/>
        <v>270</v>
      </c>
      <c r="P16" s="13">
        <f t="shared" si="2"/>
        <v>231</v>
      </c>
      <c r="Q16" s="13">
        <f t="shared" si="2"/>
        <v>242</v>
      </c>
      <c r="R16" s="13">
        <f t="shared" si="2"/>
        <v>271</v>
      </c>
      <c r="S16" s="13">
        <f t="shared" si="2"/>
        <v>252</v>
      </c>
      <c r="T16" s="13">
        <f t="shared" si="2"/>
        <v>242</v>
      </c>
      <c r="U16" s="13">
        <f t="shared" si="2"/>
        <v>261</v>
      </c>
      <c r="V16" s="13">
        <f t="shared" si="1"/>
        <v>4024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19"/>
      <c r="P17" s="19"/>
      <c r="Q17" s="19"/>
      <c r="R17" s="19"/>
      <c r="S17" s="19"/>
      <c r="T17" s="19"/>
      <c r="U17" s="19"/>
      <c r="V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19"/>
      <c r="P18" s="19"/>
      <c r="Q18" s="19"/>
      <c r="R18" s="19"/>
      <c r="S18" s="19"/>
      <c r="T18" s="19"/>
      <c r="U18" s="19"/>
      <c r="V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62.0</v>
      </c>
      <c r="F19" s="19">
        <v>87.0</v>
      </c>
      <c r="G19" s="19">
        <v>55.0</v>
      </c>
      <c r="H19" s="19">
        <v>112.0</v>
      </c>
      <c r="I19" s="19">
        <v>104.0</v>
      </c>
      <c r="J19" s="19">
        <v>91.0</v>
      </c>
      <c r="K19" s="19">
        <v>118.0</v>
      </c>
      <c r="L19" s="19">
        <v>82.0</v>
      </c>
      <c r="M19" s="19">
        <v>97.0</v>
      </c>
      <c r="N19" s="19">
        <v>93.0</v>
      </c>
      <c r="O19" s="19">
        <v>114.0</v>
      </c>
      <c r="P19" s="19">
        <v>97.0</v>
      </c>
      <c r="Q19" s="19">
        <v>105.0</v>
      </c>
      <c r="R19" s="19">
        <v>111.0</v>
      </c>
      <c r="S19" s="19">
        <v>96.0</v>
      </c>
      <c r="T19" s="19">
        <v>100.0</v>
      </c>
      <c r="U19" s="19">
        <v>100.0</v>
      </c>
      <c r="V19" s="13">
        <f t="shared" ref="V19:V30" si="3">SUM(E19:U19)</f>
        <v>1624</v>
      </c>
    </row>
    <row r="20" ht="12.75" customHeight="1">
      <c r="A20" s="33"/>
      <c r="B20" s="27"/>
      <c r="C20" s="34"/>
      <c r="D20" s="19" t="s">
        <v>13</v>
      </c>
      <c r="E20" s="19">
        <v>67.0</v>
      </c>
      <c r="F20" s="19">
        <v>86.0</v>
      </c>
      <c r="G20" s="19">
        <v>61.0</v>
      </c>
      <c r="H20" s="19">
        <v>118.0</v>
      </c>
      <c r="I20" s="19">
        <v>101.0</v>
      </c>
      <c r="J20" s="19">
        <v>94.0</v>
      </c>
      <c r="K20" s="19">
        <v>134.0</v>
      </c>
      <c r="L20" s="19">
        <v>97.0</v>
      </c>
      <c r="M20" s="19">
        <v>95.0</v>
      </c>
      <c r="N20" s="19">
        <v>110.0</v>
      </c>
      <c r="O20" s="19">
        <v>119.0</v>
      </c>
      <c r="P20" s="19">
        <v>106.0</v>
      </c>
      <c r="Q20" s="19">
        <v>116.0</v>
      </c>
      <c r="R20" s="19">
        <v>111.0</v>
      </c>
      <c r="S20" s="19">
        <v>104.0</v>
      </c>
      <c r="T20" s="19">
        <v>110.0</v>
      </c>
      <c r="U20" s="19">
        <v>122.0</v>
      </c>
      <c r="V20" s="13">
        <f t="shared" si="3"/>
        <v>1751</v>
      </c>
    </row>
    <row r="21" ht="12.75" customHeight="1">
      <c r="A21" s="35"/>
      <c r="B21" s="28"/>
      <c r="C21" s="36"/>
      <c r="D21" s="13" t="s">
        <v>14</v>
      </c>
      <c r="E21" s="13">
        <f t="shared" ref="E21:U21" si="4">SUM(E19:E20)</f>
        <v>129</v>
      </c>
      <c r="F21" s="13">
        <f t="shared" si="4"/>
        <v>173</v>
      </c>
      <c r="G21" s="13">
        <f t="shared" si="4"/>
        <v>116</v>
      </c>
      <c r="H21" s="13">
        <f t="shared" si="4"/>
        <v>230</v>
      </c>
      <c r="I21" s="13">
        <f t="shared" si="4"/>
        <v>205</v>
      </c>
      <c r="J21" s="13">
        <f t="shared" si="4"/>
        <v>185</v>
      </c>
      <c r="K21" s="13">
        <f t="shared" si="4"/>
        <v>252</v>
      </c>
      <c r="L21" s="13">
        <f t="shared" si="4"/>
        <v>179</v>
      </c>
      <c r="M21" s="13">
        <f t="shared" si="4"/>
        <v>192</v>
      </c>
      <c r="N21" s="13">
        <f t="shared" si="4"/>
        <v>203</v>
      </c>
      <c r="O21" s="13">
        <f t="shared" si="4"/>
        <v>233</v>
      </c>
      <c r="P21" s="13">
        <f t="shared" si="4"/>
        <v>203</v>
      </c>
      <c r="Q21" s="13">
        <f t="shared" si="4"/>
        <v>221</v>
      </c>
      <c r="R21" s="13">
        <f t="shared" si="4"/>
        <v>222</v>
      </c>
      <c r="S21" s="13">
        <f t="shared" si="4"/>
        <v>200</v>
      </c>
      <c r="T21" s="13">
        <f t="shared" si="4"/>
        <v>210</v>
      </c>
      <c r="U21" s="13">
        <f t="shared" si="4"/>
        <v>222</v>
      </c>
      <c r="V21" s="13">
        <f t="shared" si="3"/>
        <v>3375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1.0</v>
      </c>
      <c r="K22" s="19">
        <v>0.0</v>
      </c>
      <c r="L22" s="19">
        <v>2.0</v>
      </c>
      <c r="M22" s="19">
        <v>0.0</v>
      </c>
      <c r="N22" s="19">
        <v>2.0</v>
      </c>
      <c r="O22" s="19">
        <v>3.0</v>
      </c>
      <c r="P22" s="19">
        <v>1.0</v>
      </c>
      <c r="Q22" s="19">
        <v>1.0</v>
      </c>
      <c r="R22" s="19">
        <v>1.0</v>
      </c>
      <c r="S22" s="19">
        <v>0.0</v>
      </c>
      <c r="T22" s="19">
        <v>0.0</v>
      </c>
      <c r="U22" s="19">
        <v>0.0</v>
      </c>
      <c r="V22" s="13">
        <f t="shared" si="3"/>
        <v>12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3.0</v>
      </c>
      <c r="J23" s="19">
        <v>0.0</v>
      </c>
      <c r="K23" s="19">
        <v>3.0</v>
      </c>
      <c r="L23" s="19">
        <v>1.0</v>
      </c>
      <c r="M23" s="19">
        <v>1.0</v>
      </c>
      <c r="N23" s="19">
        <v>1.0</v>
      </c>
      <c r="O23" s="19">
        <v>2.0</v>
      </c>
      <c r="P23" s="19">
        <v>1.0</v>
      </c>
      <c r="Q23" s="19">
        <v>2.0</v>
      </c>
      <c r="R23" s="19">
        <v>0.0</v>
      </c>
      <c r="S23" s="19">
        <v>0.0</v>
      </c>
      <c r="T23" s="19">
        <v>1.0</v>
      </c>
      <c r="U23" s="19">
        <v>0.0</v>
      </c>
      <c r="V23" s="13">
        <f t="shared" si="3"/>
        <v>15</v>
      </c>
    </row>
    <row r="24" ht="12.75" customHeight="1">
      <c r="A24" s="35"/>
      <c r="B24" s="28"/>
      <c r="C24" s="36"/>
      <c r="D24" s="13" t="s">
        <v>14</v>
      </c>
      <c r="E24" s="13">
        <f t="shared" ref="E24:U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4</v>
      </c>
      <c r="J24" s="13">
        <f t="shared" si="5"/>
        <v>1</v>
      </c>
      <c r="K24" s="13">
        <f t="shared" si="5"/>
        <v>3</v>
      </c>
      <c r="L24" s="13">
        <f t="shared" si="5"/>
        <v>3</v>
      </c>
      <c r="M24" s="13">
        <f t="shared" si="5"/>
        <v>1</v>
      </c>
      <c r="N24" s="13">
        <f t="shared" si="5"/>
        <v>3</v>
      </c>
      <c r="O24" s="13">
        <f t="shared" si="5"/>
        <v>5</v>
      </c>
      <c r="P24" s="13">
        <f t="shared" si="5"/>
        <v>2</v>
      </c>
      <c r="Q24" s="13">
        <f t="shared" si="5"/>
        <v>3</v>
      </c>
      <c r="R24" s="13">
        <f t="shared" si="5"/>
        <v>1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3"/>
        <v>27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2.0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0.0</v>
      </c>
      <c r="U25" s="19">
        <v>0.0</v>
      </c>
      <c r="V25" s="13">
        <f t="shared" si="3"/>
        <v>3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0.0</v>
      </c>
      <c r="H26" s="19">
        <v>0.0</v>
      </c>
      <c r="I26" s="19">
        <v>1.0</v>
      </c>
      <c r="J26" s="19">
        <v>0.0</v>
      </c>
      <c r="K26" s="19">
        <v>0.0</v>
      </c>
      <c r="L26" s="19">
        <v>1.0</v>
      </c>
      <c r="M26" s="19">
        <v>2.0</v>
      </c>
      <c r="N26" s="19">
        <v>0.0</v>
      </c>
      <c r="O26" s="19">
        <v>0.0</v>
      </c>
      <c r="P26" s="19">
        <v>0.0</v>
      </c>
      <c r="Q26" s="19">
        <v>2.0</v>
      </c>
      <c r="R26" s="19">
        <v>2.0</v>
      </c>
      <c r="S26" s="19">
        <v>3.0</v>
      </c>
      <c r="T26" s="19">
        <v>0.0</v>
      </c>
      <c r="U26" s="19">
        <v>0.0</v>
      </c>
      <c r="V26" s="13">
        <f t="shared" si="3"/>
        <v>12</v>
      </c>
    </row>
    <row r="27" ht="12.75" customHeight="1">
      <c r="A27" s="35"/>
      <c r="B27" s="28"/>
      <c r="C27" s="36"/>
      <c r="D27" s="13" t="s">
        <v>14</v>
      </c>
      <c r="E27" s="13">
        <f t="shared" ref="E27:U27" si="6">SUM(E25:E26)</f>
        <v>1</v>
      </c>
      <c r="F27" s="13">
        <f t="shared" si="6"/>
        <v>1</v>
      </c>
      <c r="G27" s="13">
        <f t="shared" si="6"/>
        <v>0</v>
      </c>
      <c r="H27" s="13">
        <f t="shared" si="6"/>
        <v>0</v>
      </c>
      <c r="I27" s="13">
        <f t="shared" si="6"/>
        <v>1</v>
      </c>
      <c r="J27" s="13">
        <f t="shared" si="6"/>
        <v>0</v>
      </c>
      <c r="K27" s="13">
        <f t="shared" si="6"/>
        <v>0</v>
      </c>
      <c r="L27" s="13">
        <f t="shared" si="6"/>
        <v>3</v>
      </c>
      <c r="M27" s="13">
        <f t="shared" si="6"/>
        <v>2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2</v>
      </c>
      <c r="R27" s="13">
        <f t="shared" si="6"/>
        <v>2</v>
      </c>
      <c r="S27" s="13">
        <f t="shared" si="6"/>
        <v>3</v>
      </c>
      <c r="T27" s="13">
        <f t="shared" si="6"/>
        <v>0</v>
      </c>
      <c r="U27" s="13">
        <f t="shared" si="6"/>
        <v>0</v>
      </c>
      <c r="V27" s="13">
        <f t="shared" si="3"/>
        <v>15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U28" si="7">SUM(E19,E22,E25)</f>
        <v>62</v>
      </c>
      <c r="F28" s="13">
        <f t="shared" si="7"/>
        <v>88</v>
      </c>
      <c r="G28" s="13">
        <f t="shared" si="7"/>
        <v>55</v>
      </c>
      <c r="H28" s="13">
        <f t="shared" si="7"/>
        <v>112</v>
      </c>
      <c r="I28" s="13">
        <f t="shared" si="7"/>
        <v>105</v>
      </c>
      <c r="J28" s="13">
        <f t="shared" si="7"/>
        <v>92</v>
      </c>
      <c r="K28" s="13">
        <f t="shared" si="7"/>
        <v>118</v>
      </c>
      <c r="L28" s="13">
        <f t="shared" si="7"/>
        <v>86</v>
      </c>
      <c r="M28" s="13">
        <f t="shared" si="7"/>
        <v>97</v>
      </c>
      <c r="N28" s="13">
        <f t="shared" si="7"/>
        <v>95</v>
      </c>
      <c r="O28" s="13">
        <f t="shared" si="7"/>
        <v>117</v>
      </c>
      <c r="P28" s="13">
        <f t="shared" si="7"/>
        <v>98</v>
      </c>
      <c r="Q28" s="13">
        <f t="shared" si="7"/>
        <v>106</v>
      </c>
      <c r="R28" s="13">
        <f t="shared" si="7"/>
        <v>112</v>
      </c>
      <c r="S28" s="13">
        <f t="shared" si="7"/>
        <v>96</v>
      </c>
      <c r="T28" s="13">
        <f t="shared" si="7"/>
        <v>100</v>
      </c>
      <c r="U28" s="13">
        <f t="shared" si="7"/>
        <v>100</v>
      </c>
      <c r="V28" s="13">
        <f t="shared" si="3"/>
        <v>1639</v>
      </c>
    </row>
    <row r="29" ht="12.75" customHeight="1">
      <c r="A29" s="35"/>
      <c r="B29" s="27"/>
      <c r="C29" s="34"/>
      <c r="D29" s="13" t="s">
        <v>13</v>
      </c>
      <c r="E29" s="13">
        <f t="shared" ref="E29:U29" si="8">SUM(E20,E23,E26)</f>
        <v>68</v>
      </c>
      <c r="F29" s="13">
        <f t="shared" si="8"/>
        <v>86</v>
      </c>
      <c r="G29" s="13">
        <f t="shared" si="8"/>
        <v>61</v>
      </c>
      <c r="H29" s="13">
        <f t="shared" si="8"/>
        <v>118</v>
      </c>
      <c r="I29" s="13">
        <f t="shared" si="8"/>
        <v>105</v>
      </c>
      <c r="J29" s="13">
        <f t="shared" si="8"/>
        <v>94</v>
      </c>
      <c r="K29" s="13">
        <f t="shared" si="8"/>
        <v>137</v>
      </c>
      <c r="L29" s="13">
        <f t="shared" si="8"/>
        <v>99</v>
      </c>
      <c r="M29" s="13">
        <f t="shared" si="8"/>
        <v>98</v>
      </c>
      <c r="N29" s="13">
        <f t="shared" si="8"/>
        <v>111</v>
      </c>
      <c r="O29" s="13">
        <f t="shared" si="8"/>
        <v>121</v>
      </c>
      <c r="P29" s="13">
        <f t="shared" si="8"/>
        <v>107</v>
      </c>
      <c r="Q29" s="13">
        <f t="shared" si="8"/>
        <v>120</v>
      </c>
      <c r="R29" s="13">
        <f t="shared" si="8"/>
        <v>113</v>
      </c>
      <c r="S29" s="13">
        <f t="shared" si="8"/>
        <v>107</v>
      </c>
      <c r="T29" s="13">
        <f t="shared" si="8"/>
        <v>111</v>
      </c>
      <c r="U29" s="13">
        <f t="shared" si="8"/>
        <v>122</v>
      </c>
      <c r="V29" s="13">
        <f t="shared" si="3"/>
        <v>1778</v>
      </c>
    </row>
    <row r="30" ht="12.75" customHeight="1">
      <c r="A30" s="35"/>
      <c r="B30" s="28"/>
      <c r="C30" s="36"/>
      <c r="D30" s="13" t="s">
        <v>14</v>
      </c>
      <c r="E30" s="13">
        <f t="shared" ref="E30:U30" si="9">SUM(E28:E29)</f>
        <v>130</v>
      </c>
      <c r="F30" s="13">
        <f t="shared" si="9"/>
        <v>174</v>
      </c>
      <c r="G30" s="13">
        <f t="shared" si="9"/>
        <v>116</v>
      </c>
      <c r="H30" s="13">
        <f t="shared" si="9"/>
        <v>230</v>
      </c>
      <c r="I30" s="13">
        <f t="shared" si="9"/>
        <v>210</v>
      </c>
      <c r="J30" s="13">
        <f t="shared" si="9"/>
        <v>186</v>
      </c>
      <c r="K30" s="13">
        <f t="shared" si="9"/>
        <v>255</v>
      </c>
      <c r="L30" s="13">
        <f t="shared" si="9"/>
        <v>185</v>
      </c>
      <c r="M30" s="13">
        <f t="shared" si="9"/>
        <v>195</v>
      </c>
      <c r="N30" s="13">
        <f t="shared" si="9"/>
        <v>206</v>
      </c>
      <c r="O30" s="13">
        <f t="shared" si="9"/>
        <v>238</v>
      </c>
      <c r="P30" s="13">
        <f t="shared" si="9"/>
        <v>205</v>
      </c>
      <c r="Q30" s="13">
        <f t="shared" si="9"/>
        <v>226</v>
      </c>
      <c r="R30" s="13">
        <f t="shared" si="9"/>
        <v>225</v>
      </c>
      <c r="S30" s="13">
        <f t="shared" si="9"/>
        <v>203</v>
      </c>
      <c r="T30" s="13">
        <f t="shared" si="9"/>
        <v>211</v>
      </c>
      <c r="U30" s="13">
        <f t="shared" si="9"/>
        <v>222</v>
      </c>
      <c r="V30" s="13">
        <f t="shared" si="3"/>
        <v>3417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19"/>
      <c r="P31" s="19"/>
      <c r="Q31" s="19"/>
      <c r="R31" s="19"/>
      <c r="S31" s="19"/>
      <c r="T31" s="19"/>
      <c r="U31" s="19"/>
      <c r="V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13"/>
      <c r="P32" s="13"/>
      <c r="Q32" s="13"/>
      <c r="R32" s="13"/>
      <c r="S32" s="13"/>
      <c r="T32" s="13"/>
      <c r="U32" s="13"/>
      <c r="V32" s="76"/>
    </row>
    <row r="33" ht="12.75" customHeight="1">
      <c r="A33" s="19">
        <v>1.0</v>
      </c>
      <c r="B33" s="20" t="s">
        <v>27</v>
      </c>
      <c r="C33" s="15"/>
      <c r="D33" s="16"/>
      <c r="E33" s="19">
        <v>158.0</v>
      </c>
      <c r="F33" s="19">
        <v>203.0</v>
      </c>
      <c r="G33" s="19">
        <v>143.0</v>
      </c>
      <c r="H33" s="19">
        <v>287.0</v>
      </c>
      <c r="I33" s="19">
        <v>270.0</v>
      </c>
      <c r="J33" s="19">
        <v>232.0</v>
      </c>
      <c r="K33" s="19">
        <v>298.0</v>
      </c>
      <c r="L33" s="19">
        <v>227.0</v>
      </c>
      <c r="M33" s="19">
        <v>233.0</v>
      </c>
      <c r="N33" s="19">
        <v>253.0</v>
      </c>
      <c r="O33" s="19">
        <v>276.0</v>
      </c>
      <c r="P33" s="19">
        <v>236.0</v>
      </c>
      <c r="Q33" s="19">
        <v>247.0</v>
      </c>
      <c r="R33" s="19">
        <v>277.0</v>
      </c>
      <c r="S33" s="19">
        <v>258.0</v>
      </c>
      <c r="T33" s="19">
        <v>247.0</v>
      </c>
      <c r="U33" s="19">
        <v>267.0</v>
      </c>
      <c r="V33" s="13">
        <f t="shared" ref="V33:V36" si="10">SUM(E33:U33)</f>
        <v>4112</v>
      </c>
    </row>
    <row r="34" ht="12.75" customHeight="1">
      <c r="A34" s="19">
        <v>2.0</v>
      </c>
      <c r="B34" s="20" t="s">
        <v>28</v>
      </c>
      <c r="C34" s="15"/>
      <c r="D34" s="16"/>
      <c r="E34" s="13">
        <v>130.0</v>
      </c>
      <c r="F34" s="13">
        <v>174.0</v>
      </c>
      <c r="G34" s="13">
        <v>116.0</v>
      </c>
      <c r="H34" s="13">
        <v>230.0</v>
      </c>
      <c r="I34" s="13">
        <v>210.0</v>
      </c>
      <c r="J34" s="13">
        <v>186.0</v>
      </c>
      <c r="K34" s="13">
        <v>255.0</v>
      </c>
      <c r="L34" s="13">
        <v>185.0</v>
      </c>
      <c r="M34" s="13">
        <v>195.0</v>
      </c>
      <c r="N34" s="13">
        <v>206.0</v>
      </c>
      <c r="O34" s="13">
        <v>238.0</v>
      </c>
      <c r="P34" s="13">
        <v>205.0</v>
      </c>
      <c r="Q34" s="13">
        <v>226.0</v>
      </c>
      <c r="R34" s="13">
        <v>225.0</v>
      </c>
      <c r="S34" s="13">
        <v>203.0</v>
      </c>
      <c r="T34" s="13">
        <v>211.0</v>
      </c>
      <c r="U34" s="13">
        <v>222.0</v>
      </c>
      <c r="V34" s="13">
        <f t="shared" si="10"/>
        <v>3417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0.0</v>
      </c>
      <c r="J35" s="19">
        <v>1.0</v>
      </c>
      <c r="K35" s="19">
        <v>0.0</v>
      </c>
      <c r="L35" s="19">
        <v>0.0</v>
      </c>
      <c r="M35" s="19">
        <v>1.0</v>
      </c>
      <c r="N35" s="19">
        <v>2.0</v>
      </c>
      <c r="O35" s="19">
        <v>1.0</v>
      </c>
      <c r="P35" s="19">
        <v>0.0</v>
      </c>
      <c r="Q35" s="19">
        <v>1.0</v>
      </c>
      <c r="R35" s="19">
        <v>0.0</v>
      </c>
      <c r="S35" s="19">
        <v>0.0</v>
      </c>
      <c r="T35" s="19">
        <v>1.0</v>
      </c>
      <c r="U35" s="19">
        <v>2.0</v>
      </c>
      <c r="V35" s="13">
        <f t="shared" si="10"/>
        <v>10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U36" si="11">E33-(E34+E35)</f>
        <v>28</v>
      </c>
      <c r="F36" s="13">
        <f t="shared" si="11"/>
        <v>29</v>
      </c>
      <c r="G36" s="13">
        <f t="shared" si="11"/>
        <v>26</v>
      </c>
      <c r="H36" s="13">
        <f t="shared" si="11"/>
        <v>57</v>
      </c>
      <c r="I36" s="13">
        <f t="shared" si="11"/>
        <v>60</v>
      </c>
      <c r="J36" s="13">
        <f t="shared" si="11"/>
        <v>45</v>
      </c>
      <c r="K36" s="13">
        <f t="shared" si="11"/>
        <v>43</v>
      </c>
      <c r="L36" s="13">
        <f t="shared" si="11"/>
        <v>42</v>
      </c>
      <c r="M36" s="13">
        <f t="shared" si="11"/>
        <v>37</v>
      </c>
      <c r="N36" s="13">
        <f t="shared" si="11"/>
        <v>45</v>
      </c>
      <c r="O36" s="13">
        <f t="shared" si="11"/>
        <v>37</v>
      </c>
      <c r="P36" s="13">
        <f t="shared" si="11"/>
        <v>31</v>
      </c>
      <c r="Q36" s="13">
        <f t="shared" si="11"/>
        <v>20</v>
      </c>
      <c r="R36" s="13">
        <f t="shared" si="11"/>
        <v>52</v>
      </c>
      <c r="S36" s="13">
        <f t="shared" si="11"/>
        <v>55</v>
      </c>
      <c r="T36" s="13">
        <f t="shared" si="11"/>
        <v>35</v>
      </c>
      <c r="U36" s="13">
        <f t="shared" si="11"/>
        <v>43</v>
      </c>
      <c r="V36" s="13">
        <f t="shared" si="10"/>
        <v>685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13"/>
      <c r="P38" s="13"/>
      <c r="Q38" s="13"/>
      <c r="R38" s="13"/>
      <c r="S38" s="13"/>
      <c r="T38" s="13"/>
      <c r="U38" s="13"/>
      <c r="V38" s="76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2.0</v>
      </c>
      <c r="J39" s="19">
        <v>0.0</v>
      </c>
      <c r="K39" s="19">
        <v>0.0</v>
      </c>
      <c r="L39" s="19">
        <v>1.0</v>
      </c>
      <c r="M39" s="19">
        <v>0.0</v>
      </c>
      <c r="N39" s="19">
        <v>0.0</v>
      </c>
      <c r="O39" s="19">
        <v>0.0</v>
      </c>
      <c r="P39" s="19">
        <v>0.0</v>
      </c>
      <c r="Q39" s="19">
        <v>1.0</v>
      </c>
      <c r="R39" s="19">
        <v>0.0</v>
      </c>
      <c r="S39" s="19">
        <v>0.0</v>
      </c>
      <c r="T39" s="19">
        <v>0.0</v>
      </c>
      <c r="U39" s="19">
        <v>0.0</v>
      </c>
      <c r="V39" s="13">
        <f t="shared" ref="V39:V41" si="12">SUM(E39:U39)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2.0</v>
      </c>
      <c r="J40" s="19">
        <v>0.0</v>
      </c>
      <c r="K40" s="19">
        <v>0.0</v>
      </c>
      <c r="L40" s="19">
        <v>0.0</v>
      </c>
      <c r="M40" s="19">
        <v>0.0</v>
      </c>
      <c r="N40" s="19">
        <v>3.0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3">
        <f t="shared" si="12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U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4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3</v>
      </c>
      <c r="O41" s="13">
        <f t="shared" si="13"/>
        <v>0</v>
      </c>
      <c r="P41" s="13">
        <f t="shared" si="13"/>
        <v>0</v>
      </c>
      <c r="Q41" s="13">
        <f t="shared" si="13"/>
        <v>1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2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13"/>
      <c r="Q43" s="13"/>
      <c r="R43" s="13"/>
      <c r="S43" s="13"/>
      <c r="T43" s="13"/>
      <c r="U43" s="13"/>
      <c r="V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19"/>
      <c r="Q44" s="19"/>
      <c r="R44" s="19"/>
      <c r="S44" s="19"/>
      <c r="T44" s="19"/>
      <c r="U44" s="19"/>
      <c r="V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4.0</v>
      </c>
      <c r="F45" s="19">
        <v>5.0</v>
      </c>
      <c r="G45" s="19">
        <v>11.0</v>
      </c>
      <c r="H45" s="19">
        <v>2.0</v>
      </c>
      <c r="I45" s="19">
        <v>4.0</v>
      </c>
      <c r="J45" s="19">
        <v>3.0</v>
      </c>
      <c r="K45" s="19">
        <v>1.0</v>
      </c>
      <c r="L45" s="19">
        <v>2.0</v>
      </c>
      <c r="M45" s="19">
        <v>4.0</v>
      </c>
      <c r="N45" s="19">
        <v>0.0</v>
      </c>
      <c r="O45" s="19">
        <v>0.0</v>
      </c>
      <c r="P45" s="19">
        <v>6.0</v>
      </c>
      <c r="Q45" s="19">
        <v>2.0</v>
      </c>
      <c r="R45" s="19">
        <v>7.0</v>
      </c>
      <c r="S45" s="19">
        <v>1.0</v>
      </c>
      <c r="T45" s="19">
        <v>4.0</v>
      </c>
      <c r="U45" s="19">
        <v>2.0</v>
      </c>
      <c r="V45" s="13">
        <f t="shared" ref="V45:V54" si="14">SUM(E45:U45)</f>
        <v>58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3.0</v>
      </c>
      <c r="F46" s="19">
        <v>2.0</v>
      </c>
      <c r="G46" s="19">
        <v>7.0</v>
      </c>
      <c r="H46" s="19">
        <v>1.0</v>
      </c>
      <c r="I46" s="19">
        <v>4.0</v>
      </c>
      <c r="J46" s="19">
        <v>5.0</v>
      </c>
      <c r="K46" s="19">
        <v>9.0</v>
      </c>
      <c r="L46" s="19">
        <v>4.0</v>
      </c>
      <c r="M46" s="19">
        <v>2.0</v>
      </c>
      <c r="N46" s="19">
        <v>1.0</v>
      </c>
      <c r="O46" s="19">
        <v>8.0</v>
      </c>
      <c r="P46" s="19">
        <v>19.0</v>
      </c>
      <c r="Q46" s="19">
        <v>14.0</v>
      </c>
      <c r="R46" s="19">
        <v>12.0</v>
      </c>
      <c r="S46" s="19">
        <v>15.0</v>
      </c>
      <c r="T46" s="19">
        <v>16.0</v>
      </c>
      <c r="U46" s="19">
        <v>10.0</v>
      </c>
      <c r="V46" s="13">
        <f t="shared" si="14"/>
        <v>132</v>
      </c>
    </row>
    <row r="47" ht="12.75" customHeight="1">
      <c r="A47" s="18"/>
      <c r="B47" s="55">
        <v>2.0</v>
      </c>
      <c r="C47" s="50" t="s">
        <v>41</v>
      </c>
      <c r="D47" s="16"/>
      <c r="E47" s="19">
        <v>10.0</v>
      </c>
      <c r="F47" s="19">
        <v>10.0</v>
      </c>
      <c r="G47" s="19">
        <v>2.0</v>
      </c>
      <c r="H47" s="19">
        <v>2.0</v>
      </c>
      <c r="I47" s="19">
        <v>6.0</v>
      </c>
      <c r="J47" s="19">
        <v>4.0</v>
      </c>
      <c r="K47" s="19">
        <v>14.0</v>
      </c>
      <c r="L47" s="19">
        <v>9.0</v>
      </c>
      <c r="M47" s="19">
        <v>0.0</v>
      </c>
      <c r="N47" s="19">
        <v>1.0</v>
      </c>
      <c r="O47" s="19">
        <v>3.0</v>
      </c>
      <c r="P47" s="19">
        <v>4.0</v>
      </c>
      <c r="Q47" s="19">
        <v>5.0</v>
      </c>
      <c r="R47" s="19">
        <v>4.0</v>
      </c>
      <c r="S47" s="19">
        <v>5.0</v>
      </c>
      <c r="T47" s="19">
        <v>11.0</v>
      </c>
      <c r="U47" s="19">
        <v>5.0</v>
      </c>
      <c r="V47" s="13">
        <f t="shared" si="14"/>
        <v>95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0.0</v>
      </c>
      <c r="H48" s="19">
        <v>0.0</v>
      </c>
      <c r="I48" s="19">
        <v>0.0</v>
      </c>
      <c r="J48" s="19">
        <v>0.0</v>
      </c>
      <c r="K48" s="19">
        <v>1.0</v>
      </c>
      <c r="L48" s="19">
        <v>0.0</v>
      </c>
      <c r="M48" s="19">
        <v>1.0</v>
      </c>
      <c r="N48" s="19">
        <v>0.0</v>
      </c>
      <c r="O48" s="19">
        <v>1.0</v>
      </c>
      <c r="P48" s="19">
        <v>2.0</v>
      </c>
      <c r="Q48" s="19">
        <v>0.0</v>
      </c>
      <c r="R48" s="19">
        <v>1.0</v>
      </c>
      <c r="S48" s="19">
        <v>0.0</v>
      </c>
      <c r="T48" s="19">
        <v>0.0</v>
      </c>
      <c r="U48" s="19">
        <v>0.0</v>
      </c>
      <c r="V48" s="13">
        <f t="shared" si="14"/>
        <v>6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1.0</v>
      </c>
      <c r="G49" s="19">
        <v>0.0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9">
        <v>0.0</v>
      </c>
      <c r="N49" s="19">
        <v>0.0</v>
      </c>
      <c r="O49" s="19">
        <v>1.0</v>
      </c>
      <c r="P49" s="19">
        <v>1.0</v>
      </c>
      <c r="Q49" s="19">
        <v>1.0</v>
      </c>
      <c r="R49" s="19">
        <v>0.0</v>
      </c>
      <c r="S49" s="19">
        <v>0.0</v>
      </c>
      <c r="T49" s="19">
        <v>0.0</v>
      </c>
      <c r="U49" s="19">
        <v>0.0</v>
      </c>
      <c r="V49" s="13">
        <f t="shared" si="14"/>
        <v>4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1.0</v>
      </c>
      <c r="G50" s="19">
        <v>1.0</v>
      </c>
      <c r="H50" s="19">
        <v>1.0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2.0</v>
      </c>
      <c r="P50" s="19">
        <v>0.0</v>
      </c>
      <c r="Q50" s="19">
        <v>0.0</v>
      </c>
      <c r="R50" s="19">
        <v>0.0</v>
      </c>
      <c r="S50" s="19">
        <v>0.0</v>
      </c>
      <c r="T50" s="19">
        <v>0.0</v>
      </c>
      <c r="U50" s="19">
        <v>0.0</v>
      </c>
      <c r="V50" s="13">
        <f t="shared" si="14"/>
        <v>5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1.0</v>
      </c>
      <c r="R51" s="19">
        <v>1.0</v>
      </c>
      <c r="S51" s="19">
        <v>0.0</v>
      </c>
      <c r="T51" s="19">
        <v>0.0</v>
      </c>
      <c r="U51" s="19">
        <v>0.0</v>
      </c>
      <c r="V51" s="13">
        <f t="shared" si="14"/>
        <v>2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3">
        <f t="shared" si="14"/>
        <v>0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V55" si="15">SUM(E45:E54)</f>
        <v>17</v>
      </c>
      <c r="F55" s="13">
        <f t="shared" si="15"/>
        <v>19</v>
      </c>
      <c r="G55" s="13">
        <f t="shared" si="15"/>
        <v>21</v>
      </c>
      <c r="H55" s="13">
        <f t="shared" si="15"/>
        <v>6</v>
      </c>
      <c r="I55" s="13">
        <f t="shared" si="15"/>
        <v>14</v>
      </c>
      <c r="J55" s="13">
        <f t="shared" si="15"/>
        <v>12</v>
      </c>
      <c r="K55" s="13">
        <f t="shared" si="15"/>
        <v>25</v>
      </c>
      <c r="L55" s="13">
        <f t="shared" si="15"/>
        <v>15</v>
      </c>
      <c r="M55" s="13">
        <f t="shared" si="15"/>
        <v>7</v>
      </c>
      <c r="N55" s="13">
        <f t="shared" si="15"/>
        <v>2</v>
      </c>
      <c r="O55" s="13">
        <f t="shared" si="15"/>
        <v>15</v>
      </c>
      <c r="P55" s="13">
        <f t="shared" si="15"/>
        <v>32</v>
      </c>
      <c r="Q55" s="13">
        <f t="shared" si="15"/>
        <v>23</v>
      </c>
      <c r="R55" s="13">
        <f t="shared" si="15"/>
        <v>25</v>
      </c>
      <c r="S55" s="13">
        <f t="shared" si="15"/>
        <v>21</v>
      </c>
      <c r="T55" s="13">
        <f t="shared" si="15"/>
        <v>31</v>
      </c>
      <c r="U55" s="13">
        <f t="shared" si="15"/>
        <v>17</v>
      </c>
      <c r="V55" s="13">
        <f t="shared" si="15"/>
        <v>302</v>
      </c>
    </row>
    <row r="56" ht="12.75" customHeight="1">
      <c r="A56" s="45"/>
      <c r="B56" s="44"/>
      <c r="C56" s="44"/>
      <c r="D56" s="44"/>
      <c r="E56" s="44"/>
      <c r="V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12.0</v>
      </c>
      <c r="F57" s="19">
        <v>13.0</v>
      </c>
      <c r="G57" s="19">
        <v>4.0</v>
      </c>
      <c r="H57" s="19">
        <v>7.0</v>
      </c>
      <c r="I57" s="19">
        <v>10.0</v>
      </c>
      <c r="J57" s="19">
        <v>4.0</v>
      </c>
      <c r="K57" s="19">
        <v>11.0</v>
      </c>
      <c r="L57" s="19">
        <v>7.0</v>
      </c>
      <c r="M57" s="19">
        <v>6.0</v>
      </c>
      <c r="N57" s="19">
        <v>7.0</v>
      </c>
      <c r="O57" s="19">
        <v>4.0</v>
      </c>
      <c r="P57" s="19">
        <v>5.0</v>
      </c>
      <c r="Q57" s="19">
        <v>11.0</v>
      </c>
      <c r="R57" s="19">
        <v>7.0</v>
      </c>
      <c r="S57" s="19">
        <v>5.0</v>
      </c>
      <c r="T57" s="19">
        <v>2.0</v>
      </c>
      <c r="U57" s="19">
        <v>6.0</v>
      </c>
      <c r="V57" s="13">
        <f t="shared" ref="V57:V66" si="16">SUM(E57:U57)</f>
        <v>121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1.0</v>
      </c>
      <c r="F58" s="19">
        <v>2.0</v>
      </c>
      <c r="G58" s="19">
        <v>5.0</v>
      </c>
      <c r="H58" s="19">
        <v>6.0</v>
      </c>
      <c r="I58" s="19">
        <v>5.0</v>
      </c>
      <c r="J58" s="19">
        <v>10.0</v>
      </c>
      <c r="K58" s="19">
        <v>5.0</v>
      </c>
      <c r="L58" s="19">
        <v>6.0</v>
      </c>
      <c r="M58" s="19">
        <v>2.0</v>
      </c>
      <c r="N58" s="19">
        <v>3.0</v>
      </c>
      <c r="O58" s="19">
        <v>17.0</v>
      </c>
      <c r="P58" s="19">
        <v>9.0</v>
      </c>
      <c r="Q58" s="19">
        <v>8.0</v>
      </c>
      <c r="R58" s="19">
        <v>8.0</v>
      </c>
      <c r="S58" s="19">
        <v>6.0</v>
      </c>
      <c r="T58" s="19">
        <v>8.0</v>
      </c>
      <c r="U58" s="19">
        <v>11.0</v>
      </c>
      <c r="V58" s="13">
        <f t="shared" si="16"/>
        <v>112</v>
      </c>
    </row>
    <row r="59" ht="12.75" customHeight="1">
      <c r="A59" s="18"/>
      <c r="B59" s="55">
        <v>2.0</v>
      </c>
      <c r="C59" s="50" t="s">
        <v>50</v>
      </c>
      <c r="D59" s="59"/>
      <c r="E59" s="19">
        <v>8.0</v>
      </c>
      <c r="F59" s="19">
        <v>16.0</v>
      </c>
      <c r="G59" s="19">
        <v>1.0</v>
      </c>
      <c r="H59" s="19">
        <v>12.0</v>
      </c>
      <c r="I59" s="19">
        <v>13.0</v>
      </c>
      <c r="J59" s="19">
        <v>4.0</v>
      </c>
      <c r="K59" s="19">
        <v>6.0</v>
      </c>
      <c r="L59" s="19">
        <v>25.0</v>
      </c>
      <c r="M59" s="19">
        <v>20.0</v>
      </c>
      <c r="N59" s="19">
        <v>34.0</v>
      </c>
      <c r="O59" s="19">
        <v>42.0</v>
      </c>
      <c r="P59" s="19">
        <v>24.0</v>
      </c>
      <c r="Q59" s="19">
        <v>14.0</v>
      </c>
      <c r="R59" s="19">
        <v>11.0</v>
      </c>
      <c r="S59" s="19">
        <v>27.0</v>
      </c>
      <c r="T59" s="19">
        <v>20.0</v>
      </c>
      <c r="U59" s="19">
        <v>9.0</v>
      </c>
      <c r="V59" s="13">
        <f t="shared" si="16"/>
        <v>286</v>
      </c>
    </row>
    <row r="60" ht="12.75" customHeight="1">
      <c r="A60" s="18"/>
      <c r="B60" s="55">
        <v>3.0</v>
      </c>
      <c r="C60" s="50" t="s">
        <v>51</v>
      </c>
      <c r="D60" s="59"/>
      <c r="E60" s="19">
        <v>0.0</v>
      </c>
      <c r="F60" s="19">
        <v>0.0</v>
      </c>
      <c r="G60" s="19">
        <v>0.0</v>
      </c>
      <c r="H60" s="19">
        <v>0.0</v>
      </c>
      <c r="I60" s="19">
        <v>0.0</v>
      </c>
      <c r="J60" s="19">
        <v>5.0</v>
      </c>
      <c r="K60" s="19">
        <v>1.0</v>
      </c>
      <c r="L60" s="19">
        <v>5.0</v>
      </c>
      <c r="M60" s="19">
        <v>0.0</v>
      </c>
      <c r="N60" s="19">
        <v>0.0</v>
      </c>
      <c r="O60" s="19">
        <v>1.0</v>
      </c>
      <c r="P60" s="19">
        <v>1.0</v>
      </c>
      <c r="Q60" s="19">
        <v>1.0</v>
      </c>
      <c r="R60" s="19">
        <v>0.0</v>
      </c>
      <c r="S60" s="19">
        <v>1.0</v>
      </c>
      <c r="T60" s="19">
        <v>0.0</v>
      </c>
      <c r="U60" s="19">
        <v>1.0</v>
      </c>
      <c r="V60" s="13">
        <f t="shared" si="16"/>
        <v>16</v>
      </c>
    </row>
    <row r="61" ht="12.75" customHeight="1">
      <c r="A61" s="18"/>
      <c r="B61" s="55">
        <v>4.0</v>
      </c>
      <c r="C61" s="50" t="s">
        <v>52</v>
      </c>
      <c r="D61" s="59"/>
      <c r="E61" s="19">
        <v>2.0</v>
      </c>
      <c r="F61" s="19">
        <v>0.0</v>
      </c>
      <c r="G61" s="19">
        <v>0.0</v>
      </c>
      <c r="H61" s="19">
        <v>1.0</v>
      </c>
      <c r="I61" s="19">
        <v>1.0</v>
      </c>
      <c r="J61" s="19">
        <v>0.0</v>
      </c>
      <c r="K61" s="19">
        <v>0.0</v>
      </c>
      <c r="L61" s="19">
        <v>3.0</v>
      </c>
      <c r="M61" s="19">
        <v>2.0</v>
      </c>
      <c r="N61" s="19">
        <v>1.0</v>
      </c>
      <c r="O61" s="19">
        <v>0.0</v>
      </c>
      <c r="P61" s="19">
        <v>0.0</v>
      </c>
      <c r="Q61" s="19">
        <v>0.0</v>
      </c>
      <c r="R61" s="19">
        <v>0.0</v>
      </c>
      <c r="S61" s="19">
        <v>0.0</v>
      </c>
      <c r="T61" s="19">
        <v>1.0</v>
      </c>
      <c r="U61" s="19">
        <v>0.0</v>
      </c>
      <c r="V61" s="13">
        <f t="shared" si="16"/>
        <v>11</v>
      </c>
    </row>
    <row r="62" ht="12.75" customHeight="1">
      <c r="A62" s="18"/>
      <c r="B62" s="55">
        <v>5.0</v>
      </c>
      <c r="C62" s="50" t="s">
        <v>53</v>
      </c>
      <c r="D62" s="59"/>
      <c r="E62" s="19">
        <v>1.0</v>
      </c>
      <c r="F62" s="19">
        <v>0.0</v>
      </c>
      <c r="G62" s="19">
        <v>1.0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3">
        <f t="shared" si="16"/>
        <v>2</v>
      </c>
    </row>
    <row r="63" ht="12.75" customHeight="1">
      <c r="A63" s="18"/>
      <c r="B63" s="55">
        <v>6.0</v>
      </c>
      <c r="C63" s="50" t="s">
        <v>54</v>
      </c>
      <c r="D63" s="60"/>
      <c r="E63" s="19">
        <v>0.0</v>
      </c>
      <c r="F63" s="19">
        <v>0.0</v>
      </c>
      <c r="G63" s="19">
        <v>0.0</v>
      </c>
      <c r="H63" s="19">
        <v>1.0</v>
      </c>
      <c r="I63" s="19">
        <v>1.0</v>
      </c>
      <c r="J63" s="19">
        <v>0.0</v>
      </c>
      <c r="K63" s="19">
        <v>0.0</v>
      </c>
      <c r="L63" s="19">
        <v>0.0</v>
      </c>
      <c r="M63" s="19">
        <v>1.0</v>
      </c>
      <c r="N63" s="19">
        <v>1.0</v>
      </c>
      <c r="O63" s="19">
        <v>1.0</v>
      </c>
      <c r="P63" s="19">
        <v>0.0</v>
      </c>
      <c r="Q63" s="19">
        <v>1.0</v>
      </c>
      <c r="R63" s="19">
        <v>1.0</v>
      </c>
      <c r="S63" s="19">
        <v>0.0</v>
      </c>
      <c r="T63" s="19">
        <v>0.0</v>
      </c>
      <c r="U63" s="19">
        <v>1.0</v>
      </c>
      <c r="V63" s="13">
        <f t="shared" si="16"/>
        <v>8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0.0</v>
      </c>
      <c r="G64" s="19">
        <v>1.0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0.0</v>
      </c>
      <c r="U64" s="19">
        <v>0.0</v>
      </c>
      <c r="V64" s="13">
        <f t="shared" si="16"/>
        <v>1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V67" si="17">SUM(E57:E66)</f>
        <v>24</v>
      </c>
      <c r="F67" s="13">
        <f t="shared" si="17"/>
        <v>31</v>
      </c>
      <c r="G67" s="13">
        <f t="shared" si="17"/>
        <v>12</v>
      </c>
      <c r="H67" s="13">
        <f t="shared" si="17"/>
        <v>27</v>
      </c>
      <c r="I67" s="13">
        <f t="shared" si="17"/>
        <v>30</v>
      </c>
      <c r="J67" s="13">
        <f t="shared" si="17"/>
        <v>23</v>
      </c>
      <c r="K67" s="13">
        <f t="shared" si="17"/>
        <v>23</v>
      </c>
      <c r="L67" s="13">
        <f t="shared" si="17"/>
        <v>46</v>
      </c>
      <c r="M67" s="13">
        <f t="shared" si="17"/>
        <v>31</v>
      </c>
      <c r="N67" s="13">
        <f t="shared" si="17"/>
        <v>46</v>
      </c>
      <c r="O67" s="13">
        <f t="shared" si="17"/>
        <v>65</v>
      </c>
      <c r="P67" s="13">
        <f t="shared" si="17"/>
        <v>39</v>
      </c>
      <c r="Q67" s="13">
        <f t="shared" si="17"/>
        <v>35</v>
      </c>
      <c r="R67" s="13">
        <f t="shared" si="17"/>
        <v>27</v>
      </c>
      <c r="S67" s="13">
        <f t="shared" si="17"/>
        <v>39</v>
      </c>
      <c r="T67" s="13">
        <f t="shared" si="17"/>
        <v>31</v>
      </c>
      <c r="U67" s="13">
        <f t="shared" si="17"/>
        <v>28</v>
      </c>
      <c r="V67" s="13">
        <f t="shared" si="17"/>
        <v>557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8.0</v>
      </c>
      <c r="F69" s="19">
        <v>4.0</v>
      </c>
      <c r="G69" s="19">
        <v>5.0</v>
      </c>
      <c r="H69" s="19">
        <v>22.0</v>
      </c>
      <c r="I69" s="19">
        <v>27.0</v>
      </c>
      <c r="J69" s="19">
        <v>15.0</v>
      </c>
      <c r="K69" s="19">
        <v>16.0</v>
      </c>
      <c r="L69" s="19">
        <v>9.0</v>
      </c>
      <c r="M69" s="19">
        <v>4.0</v>
      </c>
      <c r="N69" s="19">
        <v>11.0</v>
      </c>
      <c r="O69" s="19">
        <v>5.0</v>
      </c>
      <c r="P69" s="19">
        <v>9.0</v>
      </c>
      <c r="Q69" s="19">
        <v>13.0</v>
      </c>
      <c r="R69" s="19">
        <v>4.0</v>
      </c>
      <c r="S69" s="19">
        <v>8.0</v>
      </c>
      <c r="T69" s="19">
        <v>14.0</v>
      </c>
      <c r="U69" s="19">
        <v>8.0</v>
      </c>
      <c r="V69" s="13">
        <f t="shared" ref="V69:V78" si="18">SUM(E69:U69)</f>
        <v>182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3.0</v>
      </c>
      <c r="F70" s="19">
        <v>2.0</v>
      </c>
      <c r="G70" s="19">
        <v>4.0</v>
      </c>
      <c r="H70" s="19">
        <v>5.0</v>
      </c>
      <c r="I70" s="19">
        <v>12.0</v>
      </c>
      <c r="J70" s="19">
        <v>3.0</v>
      </c>
      <c r="K70" s="19">
        <v>2.0</v>
      </c>
      <c r="L70" s="19">
        <v>9.0</v>
      </c>
      <c r="M70" s="19">
        <v>1.0</v>
      </c>
      <c r="N70" s="19">
        <v>1.0</v>
      </c>
      <c r="O70" s="19">
        <v>23.0</v>
      </c>
      <c r="P70" s="19">
        <v>7.0</v>
      </c>
      <c r="Q70" s="19">
        <v>18.0</v>
      </c>
      <c r="R70" s="19">
        <v>26.0</v>
      </c>
      <c r="S70" s="19">
        <v>16.0</v>
      </c>
      <c r="T70" s="19">
        <v>16.0</v>
      </c>
      <c r="U70" s="19">
        <v>25.0</v>
      </c>
      <c r="V70" s="13">
        <f t="shared" si="18"/>
        <v>173</v>
      </c>
    </row>
    <row r="71" ht="12.75" customHeight="1">
      <c r="A71" s="18"/>
      <c r="B71" s="55">
        <v>2.0</v>
      </c>
      <c r="C71" s="50" t="s">
        <v>58</v>
      </c>
      <c r="D71" s="60"/>
      <c r="E71" s="19">
        <v>1.0</v>
      </c>
      <c r="F71" s="19">
        <v>5.0</v>
      </c>
      <c r="G71" s="19">
        <v>0.0</v>
      </c>
      <c r="H71" s="19">
        <v>5.0</v>
      </c>
      <c r="I71" s="19">
        <v>6.0</v>
      </c>
      <c r="J71" s="19">
        <v>3.0</v>
      </c>
      <c r="K71" s="19">
        <v>3.0</v>
      </c>
      <c r="L71" s="19">
        <v>3.0</v>
      </c>
      <c r="M71" s="19">
        <v>13.0</v>
      </c>
      <c r="N71" s="19">
        <v>7.0</v>
      </c>
      <c r="O71" s="19">
        <v>9.0</v>
      </c>
      <c r="P71" s="19">
        <v>5.0</v>
      </c>
      <c r="Q71" s="19">
        <v>2.0</v>
      </c>
      <c r="R71" s="19">
        <v>14.0</v>
      </c>
      <c r="S71" s="19">
        <v>4.0</v>
      </c>
      <c r="T71" s="19">
        <v>8.0</v>
      </c>
      <c r="U71" s="19">
        <v>11.0</v>
      </c>
      <c r="V71" s="13">
        <f t="shared" si="18"/>
        <v>99</v>
      </c>
    </row>
    <row r="72" ht="12.75" customHeight="1">
      <c r="A72" s="18"/>
      <c r="B72" s="55">
        <v>3.0</v>
      </c>
      <c r="C72" s="50" t="s">
        <v>59</v>
      </c>
      <c r="D72" s="60"/>
      <c r="E72" s="19">
        <v>0.0</v>
      </c>
      <c r="F72" s="19">
        <v>6.0</v>
      </c>
      <c r="G72" s="19">
        <v>1.0</v>
      </c>
      <c r="H72" s="19">
        <v>70.0</v>
      </c>
      <c r="I72" s="19">
        <v>49.0</v>
      </c>
      <c r="J72" s="19">
        <v>43.0</v>
      </c>
      <c r="K72" s="19">
        <v>44.0</v>
      </c>
      <c r="L72" s="19">
        <v>18.0</v>
      </c>
      <c r="M72" s="19">
        <v>18.0</v>
      </c>
      <c r="N72" s="19">
        <v>41.0</v>
      </c>
      <c r="O72" s="19">
        <v>4.0</v>
      </c>
      <c r="P72" s="19">
        <v>7.0</v>
      </c>
      <c r="Q72" s="19">
        <v>15.0</v>
      </c>
      <c r="R72" s="19">
        <v>8.0</v>
      </c>
      <c r="S72" s="19">
        <v>6.0</v>
      </c>
      <c r="T72" s="19">
        <v>14.0</v>
      </c>
      <c r="U72" s="19">
        <v>3.0</v>
      </c>
      <c r="V72" s="13">
        <f t="shared" si="18"/>
        <v>347</v>
      </c>
    </row>
    <row r="73" ht="12.75" customHeight="1">
      <c r="A73" s="18"/>
      <c r="B73" s="55">
        <v>4.0</v>
      </c>
      <c r="C73" s="50" t="s">
        <v>60</v>
      </c>
      <c r="D73" s="60"/>
      <c r="E73" s="19">
        <v>1.0</v>
      </c>
      <c r="F73" s="19">
        <v>0.0</v>
      </c>
      <c r="G73" s="19">
        <v>0.0</v>
      </c>
      <c r="H73" s="19">
        <v>1.0</v>
      </c>
      <c r="I73" s="19">
        <v>2.0</v>
      </c>
      <c r="J73" s="19">
        <v>0.0</v>
      </c>
      <c r="K73" s="19">
        <v>0.0</v>
      </c>
      <c r="L73" s="19">
        <v>1.0</v>
      </c>
      <c r="M73" s="19">
        <v>0.0</v>
      </c>
      <c r="N73" s="19">
        <v>1.0</v>
      </c>
      <c r="O73" s="19">
        <v>0.0</v>
      </c>
      <c r="P73" s="19">
        <v>0.0</v>
      </c>
      <c r="Q73" s="19">
        <v>1.0</v>
      </c>
      <c r="R73" s="19">
        <v>2.0</v>
      </c>
      <c r="S73" s="19">
        <v>0.0</v>
      </c>
      <c r="T73" s="19">
        <v>4.0</v>
      </c>
      <c r="U73" s="19">
        <v>0.0</v>
      </c>
      <c r="V73" s="13">
        <f t="shared" si="18"/>
        <v>13</v>
      </c>
    </row>
    <row r="74" ht="12.75" customHeight="1">
      <c r="A74" s="18"/>
      <c r="B74" s="55">
        <v>5.0</v>
      </c>
      <c r="C74" s="50" t="s">
        <v>61</v>
      </c>
      <c r="D74" s="60"/>
      <c r="E74" s="19">
        <v>13.0</v>
      </c>
      <c r="F74" s="19">
        <v>14.0</v>
      </c>
      <c r="G74" s="19">
        <v>14.0</v>
      </c>
      <c r="H74" s="19">
        <v>9.0</v>
      </c>
      <c r="I74" s="19">
        <v>14.0</v>
      </c>
      <c r="J74" s="19">
        <v>23.0</v>
      </c>
      <c r="K74" s="19">
        <v>38.0</v>
      </c>
      <c r="L74" s="19">
        <v>9.0</v>
      </c>
      <c r="M74" s="19">
        <v>16.0</v>
      </c>
      <c r="N74" s="19">
        <v>1.0</v>
      </c>
      <c r="O74" s="19">
        <v>17.0</v>
      </c>
      <c r="P74" s="19">
        <v>11.0</v>
      </c>
      <c r="Q74" s="19">
        <v>14.0</v>
      </c>
      <c r="R74" s="19">
        <v>9.0</v>
      </c>
      <c r="S74" s="19">
        <v>3.0</v>
      </c>
      <c r="T74" s="19">
        <v>27.0</v>
      </c>
      <c r="U74" s="19">
        <v>17.0</v>
      </c>
      <c r="V74" s="13">
        <f t="shared" si="18"/>
        <v>249</v>
      </c>
    </row>
    <row r="75" ht="12.75" customHeight="1">
      <c r="A75" s="18"/>
      <c r="B75" s="55">
        <v>6.0</v>
      </c>
      <c r="C75" s="50" t="s">
        <v>62</v>
      </c>
      <c r="D75" s="60"/>
      <c r="E75" s="19">
        <v>1.0</v>
      </c>
      <c r="F75" s="19">
        <v>0.0</v>
      </c>
      <c r="G75" s="19">
        <v>0.0</v>
      </c>
      <c r="H75" s="19">
        <v>2.0</v>
      </c>
      <c r="I75" s="19">
        <v>1.0</v>
      </c>
      <c r="J75" s="19">
        <v>0.0</v>
      </c>
      <c r="K75" s="19">
        <v>1.0</v>
      </c>
      <c r="L75" s="19">
        <v>0.0</v>
      </c>
      <c r="M75" s="19">
        <v>0.0</v>
      </c>
      <c r="N75" s="19">
        <v>0.0</v>
      </c>
      <c r="O75" s="19">
        <v>1.0</v>
      </c>
      <c r="P75" s="19">
        <v>0.0</v>
      </c>
      <c r="Q75" s="19">
        <v>0.0</v>
      </c>
      <c r="R75" s="19">
        <v>0.0</v>
      </c>
      <c r="S75" s="19">
        <v>0.0</v>
      </c>
      <c r="T75" s="19">
        <v>0.0</v>
      </c>
      <c r="U75" s="19">
        <v>0.0</v>
      </c>
      <c r="V75" s="13">
        <f t="shared" si="18"/>
        <v>6</v>
      </c>
    </row>
    <row r="76" ht="12.75" customHeight="1">
      <c r="A76" s="18"/>
      <c r="B76" s="55">
        <v>7.0</v>
      </c>
      <c r="C76" s="50" t="s">
        <v>63</v>
      </c>
      <c r="D76" s="60"/>
      <c r="E76" s="19">
        <v>0.0</v>
      </c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19">
        <v>1.0</v>
      </c>
      <c r="L76" s="19">
        <v>1.0</v>
      </c>
      <c r="M76" s="19">
        <v>48.0</v>
      </c>
      <c r="N76" s="19">
        <v>12.0</v>
      </c>
      <c r="O76" s="19">
        <v>0.0</v>
      </c>
      <c r="P76" s="19">
        <v>0.0</v>
      </c>
      <c r="Q76" s="19">
        <v>0.0</v>
      </c>
      <c r="R76" s="19">
        <v>2.0</v>
      </c>
      <c r="S76" s="19">
        <v>0.0</v>
      </c>
      <c r="T76" s="19">
        <v>0.0</v>
      </c>
      <c r="U76" s="19">
        <v>0.0</v>
      </c>
      <c r="V76" s="13">
        <f t="shared" si="18"/>
        <v>64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V79" si="19">SUM(E69:E78)</f>
        <v>27</v>
      </c>
      <c r="F79" s="13">
        <f t="shared" si="19"/>
        <v>31</v>
      </c>
      <c r="G79" s="13">
        <f t="shared" si="19"/>
        <v>24</v>
      </c>
      <c r="H79" s="13">
        <f t="shared" si="19"/>
        <v>114</v>
      </c>
      <c r="I79" s="13">
        <f t="shared" si="19"/>
        <v>111</v>
      </c>
      <c r="J79" s="13">
        <f t="shared" si="19"/>
        <v>87</v>
      </c>
      <c r="K79" s="13">
        <f t="shared" si="19"/>
        <v>105</v>
      </c>
      <c r="L79" s="13">
        <f t="shared" si="19"/>
        <v>50</v>
      </c>
      <c r="M79" s="13">
        <f t="shared" si="19"/>
        <v>100</v>
      </c>
      <c r="N79" s="13">
        <f t="shared" si="19"/>
        <v>74</v>
      </c>
      <c r="O79" s="13">
        <f t="shared" si="19"/>
        <v>59</v>
      </c>
      <c r="P79" s="13">
        <f t="shared" si="19"/>
        <v>39</v>
      </c>
      <c r="Q79" s="13">
        <f t="shared" si="19"/>
        <v>63</v>
      </c>
      <c r="R79" s="13">
        <f t="shared" si="19"/>
        <v>65</v>
      </c>
      <c r="S79" s="13">
        <f t="shared" si="19"/>
        <v>37</v>
      </c>
      <c r="T79" s="13">
        <f t="shared" si="19"/>
        <v>83</v>
      </c>
      <c r="U79" s="13">
        <f t="shared" si="19"/>
        <v>64</v>
      </c>
      <c r="V79" s="13">
        <f t="shared" si="19"/>
        <v>1133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12.0</v>
      </c>
      <c r="F81" s="19">
        <v>13.0</v>
      </c>
      <c r="G81" s="19">
        <v>6.0</v>
      </c>
      <c r="H81" s="19">
        <v>3.0</v>
      </c>
      <c r="I81" s="19">
        <v>6.0</v>
      </c>
      <c r="J81" s="19">
        <v>4.0</v>
      </c>
      <c r="K81" s="19">
        <v>5.0</v>
      </c>
      <c r="L81" s="19">
        <v>3.0</v>
      </c>
      <c r="M81" s="19">
        <v>0.0</v>
      </c>
      <c r="N81" s="19">
        <v>1.0</v>
      </c>
      <c r="O81" s="19">
        <v>2.0</v>
      </c>
      <c r="P81" s="19">
        <v>5.0</v>
      </c>
      <c r="Q81" s="19">
        <v>5.0</v>
      </c>
      <c r="R81" s="19">
        <v>4.0</v>
      </c>
      <c r="S81" s="19">
        <v>8.0</v>
      </c>
      <c r="T81" s="19">
        <v>1.0</v>
      </c>
      <c r="U81" s="19">
        <v>3.0</v>
      </c>
      <c r="V81" s="13">
        <f t="shared" ref="V81:V90" si="20">SUM(E81:U81)</f>
        <v>81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3.0</v>
      </c>
      <c r="F82" s="19">
        <v>18.0</v>
      </c>
      <c r="G82" s="19">
        <v>21.0</v>
      </c>
      <c r="H82" s="19">
        <v>6.0</v>
      </c>
      <c r="I82" s="19">
        <v>8.0</v>
      </c>
      <c r="J82" s="19">
        <v>8.0</v>
      </c>
      <c r="K82" s="19">
        <v>36.0</v>
      </c>
      <c r="L82" s="19">
        <v>14.0</v>
      </c>
      <c r="M82" s="19">
        <v>3.0</v>
      </c>
      <c r="N82" s="19">
        <v>16.0</v>
      </c>
      <c r="O82" s="19">
        <v>2.0</v>
      </c>
      <c r="P82" s="19">
        <v>4.0</v>
      </c>
      <c r="Q82" s="19">
        <v>7.0</v>
      </c>
      <c r="R82" s="19">
        <v>10.0</v>
      </c>
      <c r="S82" s="19">
        <v>23.0</v>
      </c>
      <c r="T82" s="19">
        <v>7.0</v>
      </c>
      <c r="U82" s="19">
        <v>27.0</v>
      </c>
      <c r="V82" s="13">
        <f t="shared" si="20"/>
        <v>213</v>
      </c>
    </row>
    <row r="83" ht="12.75" customHeight="1">
      <c r="A83" s="18"/>
      <c r="B83" s="55">
        <v>2.0</v>
      </c>
      <c r="C83" s="50" t="s">
        <v>66</v>
      </c>
      <c r="D83" s="60"/>
      <c r="E83" s="19">
        <v>4.0</v>
      </c>
      <c r="F83" s="19">
        <v>2.0</v>
      </c>
      <c r="G83" s="19">
        <v>1.0</v>
      </c>
      <c r="H83" s="19">
        <v>3.0</v>
      </c>
      <c r="I83" s="19">
        <v>1.0</v>
      </c>
      <c r="J83" s="19">
        <v>0.0</v>
      </c>
      <c r="K83" s="19">
        <v>0.0</v>
      </c>
      <c r="L83" s="19">
        <v>0.0</v>
      </c>
      <c r="M83" s="19">
        <v>3.0</v>
      </c>
      <c r="N83" s="19">
        <v>1.0</v>
      </c>
      <c r="O83" s="19">
        <v>1.0</v>
      </c>
      <c r="P83" s="19">
        <v>5.0</v>
      </c>
      <c r="Q83" s="19">
        <v>3.0</v>
      </c>
      <c r="R83" s="19">
        <v>5.0</v>
      </c>
      <c r="S83" s="19">
        <v>8.0</v>
      </c>
      <c r="T83" s="19">
        <v>0.0</v>
      </c>
      <c r="U83" s="19">
        <v>5.0</v>
      </c>
      <c r="V83" s="13">
        <f t="shared" si="20"/>
        <v>42</v>
      </c>
    </row>
    <row r="84" ht="12.75" customHeight="1">
      <c r="A84" s="18"/>
      <c r="B84" s="55">
        <v>3.0</v>
      </c>
      <c r="C84" s="50" t="s">
        <v>67</v>
      </c>
      <c r="D84" s="60"/>
      <c r="E84" s="19">
        <v>1.0</v>
      </c>
      <c r="F84" s="19">
        <v>0.0</v>
      </c>
      <c r="G84" s="19">
        <v>1.0</v>
      </c>
      <c r="H84" s="19">
        <v>1.0</v>
      </c>
      <c r="I84" s="19">
        <v>0.0</v>
      </c>
      <c r="J84" s="19">
        <v>0.0</v>
      </c>
      <c r="K84" s="19">
        <v>1.0</v>
      </c>
      <c r="L84" s="19">
        <v>0.0</v>
      </c>
      <c r="M84" s="19">
        <v>1.0</v>
      </c>
      <c r="N84" s="19">
        <v>0.0</v>
      </c>
      <c r="O84" s="19">
        <v>1.0</v>
      </c>
      <c r="P84" s="19">
        <v>0.0</v>
      </c>
      <c r="Q84" s="19">
        <v>1.0</v>
      </c>
      <c r="R84" s="19">
        <v>0.0</v>
      </c>
      <c r="S84" s="19">
        <v>2.0</v>
      </c>
      <c r="T84" s="19">
        <v>1.0</v>
      </c>
      <c r="U84" s="19">
        <v>0.0</v>
      </c>
      <c r="V84" s="13">
        <f t="shared" si="20"/>
        <v>10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2.0</v>
      </c>
      <c r="G85" s="19">
        <v>1.0</v>
      </c>
      <c r="H85" s="19">
        <v>0.0</v>
      </c>
      <c r="I85" s="19">
        <v>0.0</v>
      </c>
      <c r="J85" s="19">
        <v>0.0</v>
      </c>
      <c r="K85" s="19">
        <v>2.0</v>
      </c>
      <c r="L85" s="19">
        <v>1.0</v>
      </c>
      <c r="M85" s="19">
        <v>0.0</v>
      </c>
      <c r="N85" s="19">
        <v>0.0</v>
      </c>
      <c r="O85" s="19">
        <v>0.0</v>
      </c>
      <c r="P85" s="19">
        <v>0.0</v>
      </c>
      <c r="Q85" s="19">
        <v>1.0</v>
      </c>
      <c r="R85" s="19">
        <v>0.0</v>
      </c>
      <c r="S85" s="19">
        <v>1.0</v>
      </c>
      <c r="T85" s="19">
        <v>0.0</v>
      </c>
      <c r="U85" s="19">
        <v>4.0</v>
      </c>
      <c r="V85" s="13">
        <f t="shared" si="20"/>
        <v>12</v>
      </c>
    </row>
    <row r="86" ht="12.75" customHeight="1">
      <c r="A86" s="18"/>
      <c r="B86" s="55">
        <v>5.0</v>
      </c>
      <c r="C86" s="50" t="s">
        <v>69</v>
      </c>
      <c r="D86" s="60"/>
      <c r="E86" s="19">
        <v>1.0</v>
      </c>
      <c r="F86" s="19">
        <v>13.0</v>
      </c>
      <c r="G86" s="19">
        <v>0.0</v>
      </c>
      <c r="H86" s="19">
        <v>2.0</v>
      </c>
      <c r="I86" s="19">
        <v>0.0</v>
      </c>
      <c r="J86" s="19">
        <v>0.0</v>
      </c>
      <c r="K86" s="19">
        <v>0.0</v>
      </c>
      <c r="L86" s="19">
        <v>1.0</v>
      </c>
      <c r="M86" s="19">
        <v>1.0</v>
      </c>
      <c r="N86" s="19">
        <v>1.0</v>
      </c>
      <c r="O86" s="19">
        <v>4.0</v>
      </c>
      <c r="P86" s="19">
        <v>2.0</v>
      </c>
      <c r="Q86" s="19">
        <v>1.0</v>
      </c>
      <c r="R86" s="19">
        <v>3.0</v>
      </c>
      <c r="S86" s="19">
        <v>3.0</v>
      </c>
      <c r="T86" s="19">
        <v>0.0</v>
      </c>
      <c r="U86" s="19">
        <v>8.0</v>
      </c>
      <c r="V86" s="13">
        <f t="shared" si="20"/>
        <v>40</v>
      </c>
    </row>
    <row r="87" ht="12.75" customHeight="1">
      <c r="A87" s="18"/>
      <c r="B87" s="55">
        <v>6.0</v>
      </c>
      <c r="C87" s="50" t="s">
        <v>70</v>
      </c>
      <c r="D87" s="60"/>
      <c r="E87" s="19">
        <v>1.0</v>
      </c>
      <c r="F87" s="19">
        <v>0.0</v>
      </c>
      <c r="G87" s="19">
        <v>3.0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3.0</v>
      </c>
      <c r="P87" s="19">
        <v>0.0</v>
      </c>
      <c r="Q87" s="19">
        <v>2.0</v>
      </c>
      <c r="R87" s="19">
        <v>2.0</v>
      </c>
      <c r="S87" s="19">
        <v>2.0</v>
      </c>
      <c r="T87" s="19">
        <v>0.0</v>
      </c>
      <c r="U87" s="19">
        <v>0.0</v>
      </c>
      <c r="V87" s="13">
        <f t="shared" si="20"/>
        <v>13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1.0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3">
        <f t="shared" si="20"/>
        <v>1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V91" si="21">SUM(E81:E90)</f>
        <v>22</v>
      </c>
      <c r="F91" s="13">
        <f t="shared" si="21"/>
        <v>49</v>
      </c>
      <c r="G91" s="13">
        <f t="shared" si="21"/>
        <v>33</v>
      </c>
      <c r="H91" s="13">
        <f t="shared" si="21"/>
        <v>15</v>
      </c>
      <c r="I91" s="13">
        <f t="shared" si="21"/>
        <v>15</v>
      </c>
      <c r="J91" s="13">
        <f t="shared" si="21"/>
        <v>12</v>
      </c>
      <c r="K91" s="13">
        <f t="shared" si="21"/>
        <v>44</v>
      </c>
      <c r="L91" s="13">
        <f t="shared" si="21"/>
        <v>19</v>
      </c>
      <c r="M91" s="13">
        <f t="shared" si="21"/>
        <v>8</v>
      </c>
      <c r="N91" s="13">
        <f t="shared" si="21"/>
        <v>19</v>
      </c>
      <c r="O91" s="13">
        <f t="shared" si="21"/>
        <v>13</v>
      </c>
      <c r="P91" s="13">
        <f t="shared" si="21"/>
        <v>16</v>
      </c>
      <c r="Q91" s="13">
        <f t="shared" si="21"/>
        <v>20</v>
      </c>
      <c r="R91" s="13">
        <f t="shared" si="21"/>
        <v>24</v>
      </c>
      <c r="S91" s="13">
        <f t="shared" si="21"/>
        <v>47</v>
      </c>
      <c r="T91" s="13">
        <f t="shared" si="21"/>
        <v>9</v>
      </c>
      <c r="U91" s="13">
        <f t="shared" si="21"/>
        <v>47</v>
      </c>
      <c r="V91" s="13">
        <f t="shared" si="21"/>
        <v>412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2.0</v>
      </c>
      <c r="F93" s="19">
        <v>1.0</v>
      </c>
      <c r="G93" s="19">
        <v>1.0</v>
      </c>
      <c r="H93" s="19">
        <v>2.0</v>
      </c>
      <c r="I93" s="19">
        <v>0.0</v>
      </c>
      <c r="J93" s="19">
        <v>1.0</v>
      </c>
      <c r="K93" s="19">
        <v>1.0</v>
      </c>
      <c r="L93" s="19">
        <v>0.0</v>
      </c>
      <c r="M93" s="19">
        <v>0.0</v>
      </c>
      <c r="N93" s="19">
        <v>0.0</v>
      </c>
      <c r="O93" s="19">
        <v>0.0</v>
      </c>
      <c r="P93" s="19">
        <v>0.0</v>
      </c>
      <c r="Q93" s="19">
        <v>4.0</v>
      </c>
      <c r="R93" s="19">
        <v>0.0</v>
      </c>
      <c r="S93" s="19">
        <v>0.0</v>
      </c>
      <c r="T93" s="19">
        <v>2.0</v>
      </c>
      <c r="U93" s="19">
        <v>0.0</v>
      </c>
      <c r="V93" s="13">
        <f t="shared" ref="V93:V102" si="22">SUM(E93:U93)</f>
        <v>14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1.0</v>
      </c>
      <c r="F94" s="19">
        <v>3.0</v>
      </c>
      <c r="G94" s="19">
        <v>0.0</v>
      </c>
      <c r="H94" s="19">
        <v>0.0</v>
      </c>
      <c r="I94" s="19">
        <v>0.0</v>
      </c>
      <c r="J94" s="19">
        <v>0.0</v>
      </c>
      <c r="K94" s="19">
        <v>0.0</v>
      </c>
      <c r="L94" s="19">
        <v>1.0</v>
      </c>
      <c r="M94" s="19">
        <v>3.0</v>
      </c>
      <c r="N94" s="19">
        <v>0.0</v>
      </c>
      <c r="O94" s="19">
        <v>1.0</v>
      </c>
      <c r="P94" s="19">
        <v>3.0</v>
      </c>
      <c r="Q94" s="19">
        <v>0.0</v>
      </c>
      <c r="R94" s="19">
        <v>4.0</v>
      </c>
      <c r="S94" s="19">
        <v>0.0</v>
      </c>
      <c r="T94" s="19">
        <v>0.0</v>
      </c>
      <c r="U94" s="19">
        <v>0.0</v>
      </c>
      <c r="V94" s="13">
        <f t="shared" si="22"/>
        <v>16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1.0</v>
      </c>
      <c r="R95" s="19">
        <v>2.0</v>
      </c>
      <c r="S95" s="19">
        <v>0.0</v>
      </c>
      <c r="T95" s="19">
        <v>1.0</v>
      </c>
      <c r="U95" s="19">
        <v>0.0</v>
      </c>
      <c r="V95" s="13">
        <f t="shared" si="22"/>
        <v>4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1.0</v>
      </c>
      <c r="R96" s="19">
        <v>0.0</v>
      </c>
      <c r="S96" s="19">
        <v>0.0</v>
      </c>
      <c r="T96" s="19">
        <v>0.0</v>
      </c>
      <c r="U96" s="19">
        <v>0.0</v>
      </c>
      <c r="V96" s="13">
        <f t="shared" si="22"/>
        <v>1</v>
      </c>
    </row>
    <row r="97" ht="12.75" customHeight="1">
      <c r="A97" s="18"/>
      <c r="B97" s="55">
        <v>4.0</v>
      </c>
      <c r="C97" s="50" t="s">
        <v>77</v>
      </c>
      <c r="D97" s="60"/>
      <c r="E97" s="19">
        <v>1.0</v>
      </c>
      <c r="F97" s="19">
        <v>0.0</v>
      </c>
      <c r="G97" s="19">
        <v>2.0</v>
      </c>
      <c r="H97" s="19">
        <v>13.0</v>
      </c>
      <c r="I97" s="19">
        <v>0.0</v>
      </c>
      <c r="J97" s="19">
        <v>2.0</v>
      </c>
      <c r="K97" s="19">
        <v>0.0</v>
      </c>
      <c r="L97" s="19">
        <v>2.0</v>
      </c>
      <c r="M97" s="19">
        <v>0.0</v>
      </c>
      <c r="N97" s="19">
        <v>0.0</v>
      </c>
      <c r="O97" s="19">
        <v>0.0</v>
      </c>
      <c r="P97" s="19">
        <v>0.0</v>
      </c>
      <c r="Q97" s="19">
        <v>3.0</v>
      </c>
      <c r="R97" s="19">
        <v>3.0</v>
      </c>
      <c r="S97" s="19">
        <v>6.0</v>
      </c>
      <c r="T97" s="19">
        <v>4.0</v>
      </c>
      <c r="U97" s="19">
        <v>1.0</v>
      </c>
      <c r="V97" s="13">
        <f t="shared" si="22"/>
        <v>37</v>
      </c>
    </row>
    <row r="98" ht="12.75" customHeight="1">
      <c r="A98" s="18"/>
      <c r="B98" s="55">
        <v>5.0</v>
      </c>
      <c r="C98" s="50" t="s">
        <v>78</v>
      </c>
      <c r="D98" s="60"/>
      <c r="E98" s="19">
        <v>1.0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2.0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1.0</v>
      </c>
      <c r="T98" s="19">
        <v>0.0</v>
      </c>
      <c r="U98" s="19">
        <v>0.0</v>
      </c>
      <c r="V98" s="13">
        <f t="shared" si="22"/>
        <v>4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1.0</v>
      </c>
      <c r="S99" s="19">
        <v>0.0</v>
      </c>
      <c r="T99" s="19">
        <v>0.0</v>
      </c>
      <c r="U99" s="19">
        <v>0.0</v>
      </c>
      <c r="V99" s="13">
        <f t="shared" si="22"/>
        <v>1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3">
        <f t="shared" si="22"/>
        <v>0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V103" si="23">SUM(E93:E102)</f>
        <v>5</v>
      </c>
      <c r="F103" s="13">
        <f t="shared" si="23"/>
        <v>4</v>
      </c>
      <c r="G103" s="13">
        <f t="shared" si="23"/>
        <v>3</v>
      </c>
      <c r="H103" s="13">
        <f t="shared" si="23"/>
        <v>15</v>
      </c>
      <c r="I103" s="13">
        <f t="shared" si="23"/>
        <v>0</v>
      </c>
      <c r="J103" s="13">
        <f t="shared" si="23"/>
        <v>3</v>
      </c>
      <c r="K103" s="13">
        <f t="shared" si="23"/>
        <v>3</v>
      </c>
      <c r="L103" s="13">
        <f t="shared" si="23"/>
        <v>3</v>
      </c>
      <c r="M103" s="13">
        <f t="shared" si="23"/>
        <v>3</v>
      </c>
      <c r="N103" s="13">
        <f t="shared" si="23"/>
        <v>0</v>
      </c>
      <c r="O103" s="13">
        <f t="shared" si="23"/>
        <v>1</v>
      </c>
      <c r="P103" s="13">
        <f t="shared" si="23"/>
        <v>3</v>
      </c>
      <c r="Q103" s="13">
        <f t="shared" si="23"/>
        <v>9</v>
      </c>
      <c r="R103" s="13">
        <f t="shared" si="23"/>
        <v>10</v>
      </c>
      <c r="S103" s="13">
        <f t="shared" si="23"/>
        <v>7</v>
      </c>
      <c r="T103" s="13">
        <f t="shared" si="23"/>
        <v>7</v>
      </c>
      <c r="U103" s="13">
        <f t="shared" si="23"/>
        <v>1</v>
      </c>
      <c r="V103" s="13">
        <f t="shared" si="23"/>
        <v>77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1.0</v>
      </c>
      <c r="G105" s="19">
        <v>0.0</v>
      </c>
      <c r="H105" s="19">
        <v>0.0</v>
      </c>
      <c r="I105" s="19">
        <v>1.0</v>
      </c>
      <c r="J105" s="19">
        <v>1.0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3">
        <f t="shared" ref="V105:V114" si="24">SUM(E105:U105)</f>
        <v>3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1.0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3">
        <f t="shared" si="24"/>
        <v>1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1.0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1.0</v>
      </c>
      <c r="V107" s="13">
        <f t="shared" si="24"/>
        <v>2</v>
      </c>
    </row>
    <row r="108" ht="12.75" customHeight="1">
      <c r="A108" s="18"/>
      <c r="B108" s="55">
        <v>3.0</v>
      </c>
      <c r="C108" s="50" t="s">
        <v>85</v>
      </c>
      <c r="D108" s="60"/>
      <c r="E108" s="7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60"/>
      <c r="E109" s="79">
        <v>0.0</v>
      </c>
      <c r="F109" s="19">
        <v>0.0</v>
      </c>
      <c r="G109" s="19">
        <v>0.0</v>
      </c>
      <c r="H109" s="19">
        <v>1.0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60"/>
      <c r="E110" s="7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2.0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1.0</v>
      </c>
      <c r="S110" s="19">
        <v>0.0</v>
      </c>
      <c r="T110" s="19">
        <v>0.0</v>
      </c>
      <c r="U110" s="19">
        <v>0.0</v>
      </c>
      <c r="V110" s="13">
        <f t="shared" si="24"/>
        <v>3</v>
      </c>
    </row>
    <row r="111" ht="12.75" customHeight="1">
      <c r="A111" s="18"/>
      <c r="B111" s="55">
        <v>6.0</v>
      </c>
      <c r="C111" s="50" t="s">
        <v>88</v>
      </c>
      <c r="D111" s="60"/>
      <c r="E111" s="7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1.0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60"/>
      <c r="E112" s="79">
        <v>0.0</v>
      </c>
      <c r="F112" s="19">
        <v>0.0</v>
      </c>
      <c r="G112" s="19">
        <v>1.0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3">
        <f t="shared" si="24"/>
        <v>1</v>
      </c>
    </row>
    <row r="113" ht="12.75" customHeight="1">
      <c r="A113" s="18"/>
      <c r="B113" s="56"/>
      <c r="C113" s="57"/>
      <c r="D113" s="62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3">
        <f t="shared" si="24"/>
        <v>0</v>
      </c>
    </row>
    <row r="114" ht="12.75" customHeight="1">
      <c r="A114" s="18"/>
      <c r="B114" s="56"/>
      <c r="C114" s="57"/>
      <c r="D114" s="62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V115" si="25">SUM(E105:E114)</f>
        <v>0</v>
      </c>
      <c r="F115" s="13">
        <f t="shared" si="25"/>
        <v>1</v>
      </c>
      <c r="G115" s="13">
        <f t="shared" si="25"/>
        <v>1</v>
      </c>
      <c r="H115" s="13">
        <f t="shared" si="25"/>
        <v>1</v>
      </c>
      <c r="I115" s="13">
        <f t="shared" si="25"/>
        <v>2</v>
      </c>
      <c r="J115" s="13">
        <f t="shared" si="25"/>
        <v>2</v>
      </c>
      <c r="K115" s="13">
        <f t="shared" si="25"/>
        <v>3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1</v>
      </c>
      <c r="S115" s="13">
        <f t="shared" si="25"/>
        <v>0</v>
      </c>
      <c r="T115" s="13">
        <f t="shared" si="25"/>
        <v>0</v>
      </c>
      <c r="U115" s="13">
        <f t="shared" si="25"/>
        <v>1</v>
      </c>
      <c r="V115" s="13">
        <f t="shared" si="25"/>
        <v>12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2.0</v>
      </c>
      <c r="G117" s="19">
        <v>0.0</v>
      </c>
      <c r="H117" s="19">
        <v>1.0</v>
      </c>
      <c r="I117" s="19">
        <v>0.0</v>
      </c>
      <c r="J117" s="19">
        <v>1.0</v>
      </c>
      <c r="K117" s="19">
        <v>0.0</v>
      </c>
      <c r="L117" s="19">
        <v>0.0</v>
      </c>
      <c r="M117" s="19">
        <v>0.0</v>
      </c>
      <c r="N117" s="19">
        <v>1.0</v>
      </c>
      <c r="O117" s="19">
        <v>1.0</v>
      </c>
      <c r="P117" s="19">
        <v>0.0</v>
      </c>
      <c r="Q117" s="19">
        <v>0.0</v>
      </c>
      <c r="R117" s="19">
        <v>0.0</v>
      </c>
      <c r="S117" s="19">
        <v>0.0</v>
      </c>
      <c r="T117" s="19">
        <v>0.0</v>
      </c>
      <c r="U117" s="19">
        <v>0.0</v>
      </c>
      <c r="V117" s="13">
        <f t="shared" ref="V117:V126" si="26">SUM(E117:U117)</f>
        <v>6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1.0</v>
      </c>
      <c r="M118" s="19">
        <v>1.0</v>
      </c>
      <c r="N118" s="19">
        <v>0.0</v>
      </c>
      <c r="O118" s="19">
        <v>0.0</v>
      </c>
      <c r="P118" s="19">
        <v>1.0</v>
      </c>
      <c r="Q118" s="19">
        <v>0.0</v>
      </c>
      <c r="R118" s="19">
        <v>1.0</v>
      </c>
      <c r="S118" s="19">
        <v>0.0</v>
      </c>
      <c r="T118" s="19">
        <v>0.0</v>
      </c>
      <c r="U118" s="19">
        <v>0.0</v>
      </c>
      <c r="V118" s="13">
        <f t="shared" si="26"/>
        <v>4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1.0</v>
      </c>
      <c r="N119" s="19">
        <v>0.0</v>
      </c>
      <c r="O119" s="19">
        <v>1.0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3">
        <f t="shared" si="26"/>
        <v>2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1.0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3">
        <f t="shared" si="26"/>
        <v>1</v>
      </c>
    </row>
    <row r="121" ht="12.75" customHeight="1">
      <c r="A121" s="18"/>
      <c r="B121" s="56"/>
      <c r="C121" s="57"/>
      <c r="D121" s="61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3">
        <f t="shared" si="26"/>
        <v>0</v>
      </c>
    </row>
    <row r="122" ht="12.75" customHeight="1">
      <c r="A122" s="18"/>
      <c r="B122" s="56"/>
      <c r="C122" s="57"/>
      <c r="D122" s="61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3">
        <f t="shared" si="26"/>
        <v>0</v>
      </c>
    </row>
    <row r="123" ht="12.75" customHeight="1">
      <c r="A123" s="18"/>
      <c r="B123" s="56"/>
      <c r="C123" s="57"/>
      <c r="D123" s="61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V127" si="27">SUM(E117:E126)</f>
        <v>0</v>
      </c>
      <c r="F127" s="13">
        <f t="shared" si="27"/>
        <v>2</v>
      </c>
      <c r="G127" s="13">
        <f t="shared" si="27"/>
        <v>0</v>
      </c>
      <c r="H127" s="13">
        <f t="shared" si="27"/>
        <v>2</v>
      </c>
      <c r="I127" s="13">
        <f t="shared" si="27"/>
        <v>0</v>
      </c>
      <c r="J127" s="13">
        <f t="shared" si="27"/>
        <v>1</v>
      </c>
      <c r="K127" s="13">
        <f t="shared" si="27"/>
        <v>0</v>
      </c>
      <c r="L127" s="13">
        <f t="shared" si="27"/>
        <v>1</v>
      </c>
      <c r="M127" s="13">
        <f t="shared" si="27"/>
        <v>2</v>
      </c>
      <c r="N127" s="13">
        <f t="shared" si="27"/>
        <v>1</v>
      </c>
      <c r="O127" s="13">
        <f t="shared" si="27"/>
        <v>2</v>
      </c>
      <c r="P127" s="13">
        <f t="shared" si="27"/>
        <v>1</v>
      </c>
      <c r="Q127" s="13">
        <f t="shared" si="27"/>
        <v>0</v>
      </c>
      <c r="R127" s="13">
        <f t="shared" si="27"/>
        <v>1</v>
      </c>
      <c r="S127" s="13">
        <f t="shared" si="27"/>
        <v>0</v>
      </c>
      <c r="T127" s="13">
        <f t="shared" si="27"/>
        <v>0</v>
      </c>
      <c r="U127" s="13">
        <f t="shared" si="27"/>
        <v>0</v>
      </c>
      <c r="V127" s="13">
        <f t="shared" si="27"/>
        <v>13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1.0</v>
      </c>
      <c r="G129" s="19">
        <v>0.0</v>
      </c>
      <c r="H129" s="19">
        <v>0.0</v>
      </c>
      <c r="I129" s="19">
        <v>0.0</v>
      </c>
      <c r="J129" s="19">
        <v>0.0</v>
      </c>
      <c r="K129" s="19">
        <v>0.0</v>
      </c>
      <c r="L129" s="19">
        <v>0.0</v>
      </c>
      <c r="M129" s="19">
        <v>0.0</v>
      </c>
      <c r="N129" s="19">
        <v>0.0</v>
      </c>
      <c r="O129" s="19">
        <v>0.0</v>
      </c>
      <c r="P129" s="19">
        <v>0.0</v>
      </c>
      <c r="Q129" s="19">
        <v>0.0</v>
      </c>
      <c r="R129" s="19">
        <v>0.0</v>
      </c>
      <c r="S129" s="19">
        <v>0.0</v>
      </c>
      <c r="T129" s="19">
        <v>0.0</v>
      </c>
      <c r="U129" s="19">
        <v>0.0</v>
      </c>
      <c r="V129" s="13">
        <f t="shared" ref="V129:V138" si="28">SUM(E129:U129)</f>
        <v>1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0.0</v>
      </c>
      <c r="F130" s="19">
        <v>0.0</v>
      </c>
      <c r="G130" s="19">
        <v>0.0</v>
      </c>
      <c r="H130" s="19">
        <v>3.0</v>
      </c>
      <c r="I130" s="19">
        <v>1.0</v>
      </c>
      <c r="J130" s="19">
        <v>0.0</v>
      </c>
      <c r="K130" s="19">
        <v>0.0</v>
      </c>
      <c r="L130" s="19">
        <v>2.0</v>
      </c>
      <c r="M130" s="19">
        <v>0.0</v>
      </c>
      <c r="N130" s="19">
        <v>2.0</v>
      </c>
      <c r="O130" s="19">
        <v>0.0</v>
      </c>
      <c r="P130" s="19">
        <v>0.0</v>
      </c>
      <c r="Q130" s="19">
        <v>1.0</v>
      </c>
      <c r="R130" s="19">
        <v>0.0</v>
      </c>
      <c r="S130" s="19">
        <v>0.0</v>
      </c>
      <c r="T130" s="19">
        <v>0.0</v>
      </c>
      <c r="U130" s="19">
        <v>1.0</v>
      </c>
      <c r="V130" s="13">
        <f t="shared" si="28"/>
        <v>10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1.0</v>
      </c>
      <c r="V131" s="13">
        <f t="shared" si="28"/>
        <v>1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1.0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1.0</v>
      </c>
      <c r="V132" s="13">
        <f t="shared" si="28"/>
        <v>2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3">
        <f t="shared" si="28"/>
        <v>0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3">
        <f t="shared" si="28"/>
        <v>0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3">
        <f t="shared" si="28"/>
        <v>0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V139" si="29">SUM(E129:E138)</f>
        <v>0</v>
      </c>
      <c r="F139" s="13">
        <f t="shared" si="29"/>
        <v>1</v>
      </c>
      <c r="G139" s="13">
        <f t="shared" si="29"/>
        <v>0</v>
      </c>
      <c r="H139" s="13">
        <f t="shared" si="29"/>
        <v>3</v>
      </c>
      <c r="I139" s="13">
        <f t="shared" si="29"/>
        <v>1</v>
      </c>
      <c r="J139" s="13">
        <f t="shared" si="29"/>
        <v>0</v>
      </c>
      <c r="K139" s="13">
        <f t="shared" si="29"/>
        <v>1</v>
      </c>
      <c r="L139" s="13">
        <f t="shared" si="29"/>
        <v>2</v>
      </c>
      <c r="M139" s="13">
        <f t="shared" si="29"/>
        <v>0</v>
      </c>
      <c r="N139" s="13">
        <f t="shared" si="29"/>
        <v>2</v>
      </c>
      <c r="O139" s="13">
        <f t="shared" si="29"/>
        <v>0</v>
      </c>
      <c r="P139" s="13">
        <f t="shared" si="29"/>
        <v>0</v>
      </c>
      <c r="Q139" s="13">
        <f t="shared" si="29"/>
        <v>1</v>
      </c>
      <c r="R139" s="13">
        <f t="shared" si="29"/>
        <v>0</v>
      </c>
      <c r="S139" s="13">
        <f t="shared" si="29"/>
        <v>0</v>
      </c>
      <c r="T139" s="13">
        <f t="shared" si="29"/>
        <v>0</v>
      </c>
      <c r="U139" s="13">
        <f t="shared" si="29"/>
        <v>3</v>
      </c>
      <c r="V139" s="13">
        <f t="shared" si="29"/>
        <v>14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3">
        <f t="shared" ref="V141:V150" si="30">SUM(E141:U141)</f>
        <v>0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3">
        <f t="shared" si="30"/>
        <v>0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1.0</v>
      </c>
      <c r="V145" s="13">
        <f t="shared" si="30"/>
        <v>1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1.0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3">
        <f t="shared" si="30"/>
        <v>1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V151" si="31">SUM(E141:E150)</f>
        <v>1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1</v>
      </c>
      <c r="V151" s="13">
        <f t="shared" si="31"/>
        <v>2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13"/>
    </row>
    <row r="153" ht="12.75" customHeight="1">
      <c r="A153" s="30" t="s">
        <v>37</v>
      </c>
      <c r="B153" s="17" t="s">
        <v>113</v>
      </c>
      <c r="C153" s="64" t="s">
        <v>114</v>
      </c>
      <c r="D153" s="23"/>
      <c r="E153" s="19">
        <v>0.0</v>
      </c>
      <c r="F153" s="19">
        <v>1.0</v>
      </c>
      <c r="G153" s="19">
        <v>1.0</v>
      </c>
      <c r="H153" s="19">
        <v>0.0</v>
      </c>
      <c r="I153" s="19">
        <v>0.0</v>
      </c>
      <c r="J153" s="19">
        <v>0.0</v>
      </c>
      <c r="K153" s="19">
        <v>1.0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1.0</v>
      </c>
      <c r="T153" s="19">
        <v>0.0</v>
      </c>
      <c r="U153" s="19">
        <v>0.0</v>
      </c>
      <c r="V153" s="13">
        <f t="shared" ref="V153:V156" si="32">SUM(E154:U154)</f>
        <v>5</v>
      </c>
    </row>
    <row r="154" ht="12.75" customHeight="1">
      <c r="A154" s="65" t="s">
        <v>39</v>
      </c>
      <c r="B154" s="55">
        <v>1.0</v>
      </c>
      <c r="C154" s="66" t="s">
        <v>115</v>
      </c>
      <c r="D154" s="60"/>
      <c r="E154" s="80">
        <v>0.0</v>
      </c>
      <c r="F154" s="19">
        <v>2.0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1.0</v>
      </c>
      <c r="R154" s="19">
        <v>0.0</v>
      </c>
      <c r="S154" s="19">
        <v>1.0</v>
      </c>
      <c r="T154" s="19">
        <v>0.0</v>
      </c>
      <c r="U154" s="19">
        <v>1.0</v>
      </c>
      <c r="V154" s="13">
        <f t="shared" si="32"/>
        <v>13</v>
      </c>
    </row>
    <row r="155" ht="12.75" customHeight="1">
      <c r="A155" s="18"/>
      <c r="B155" s="55">
        <v>2.0</v>
      </c>
      <c r="C155" s="66" t="s">
        <v>116</v>
      </c>
      <c r="D155" s="60"/>
      <c r="E155" s="80">
        <v>0.0</v>
      </c>
      <c r="F155" s="19">
        <v>8.0</v>
      </c>
      <c r="G155" s="19">
        <v>0.0</v>
      </c>
      <c r="H155" s="19">
        <v>0.0</v>
      </c>
      <c r="I155" s="19">
        <v>0.0</v>
      </c>
      <c r="J155" s="19">
        <v>1.0</v>
      </c>
      <c r="K155" s="19">
        <v>3.0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1.0</v>
      </c>
      <c r="T155" s="19">
        <v>0.0</v>
      </c>
      <c r="U155" s="19">
        <v>0.0</v>
      </c>
      <c r="V155" s="13">
        <f t="shared" si="32"/>
        <v>0</v>
      </c>
    </row>
    <row r="156" ht="12.75" customHeight="1">
      <c r="A156" s="18"/>
      <c r="B156" s="55">
        <v>3.0</v>
      </c>
      <c r="C156" s="66" t="s">
        <v>117</v>
      </c>
      <c r="D156" s="60"/>
      <c r="E156" s="80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3">
        <f t="shared" si="32"/>
        <v>1</v>
      </c>
    </row>
    <row r="157" ht="12.75" customHeight="1">
      <c r="A157" s="18"/>
      <c r="B157" s="55">
        <v>4.0</v>
      </c>
      <c r="C157" s="66" t="s">
        <v>118</v>
      </c>
      <c r="D157" s="60"/>
      <c r="E157" s="80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1.0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3">
        <f t="shared" ref="V157:V162" si="33">SUM(E163:U163)</f>
        <v>23</v>
      </c>
    </row>
    <row r="158" ht="12.75" customHeight="1">
      <c r="A158" s="18"/>
      <c r="B158" s="56"/>
      <c r="C158" s="57"/>
      <c r="D158" s="61"/>
      <c r="E158" s="80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3">
        <f t="shared" si="33"/>
        <v>0</v>
      </c>
    </row>
    <row r="159" ht="12.75" customHeight="1">
      <c r="A159" s="18"/>
      <c r="B159" s="56"/>
      <c r="C159" s="57"/>
      <c r="D159" s="61"/>
      <c r="E159" s="80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3">
        <f t="shared" si="33"/>
        <v>3</v>
      </c>
    </row>
    <row r="160" ht="12.75" customHeight="1">
      <c r="A160" s="18"/>
      <c r="B160" s="56"/>
      <c r="C160" s="57"/>
      <c r="D160" s="62"/>
      <c r="E160" s="80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3">
        <f t="shared" si="33"/>
        <v>0</v>
      </c>
    </row>
    <row r="161" ht="12.75" customHeight="1">
      <c r="A161" s="18"/>
      <c r="B161" s="56"/>
      <c r="C161" s="67"/>
      <c r="D161" s="62"/>
      <c r="E161" s="80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3">
        <f t="shared" si="33"/>
        <v>0</v>
      </c>
    </row>
    <row r="162" ht="12.75" customHeight="1">
      <c r="A162" s="18"/>
      <c r="B162" s="56"/>
      <c r="C162" s="67"/>
      <c r="D162" s="62"/>
      <c r="E162" s="80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3">
        <f t="shared" si="33"/>
        <v>0</v>
      </c>
    </row>
    <row r="163" ht="12.75" customHeight="1">
      <c r="A163" s="19" t="s">
        <v>15</v>
      </c>
      <c r="B163" s="68" t="s">
        <v>47</v>
      </c>
      <c r="C163" s="44"/>
      <c r="D163" s="28"/>
      <c r="E163" s="13">
        <f t="shared" ref="E163:V163" si="34">SUM(E153:E162)</f>
        <v>0</v>
      </c>
      <c r="F163" s="13">
        <f t="shared" si="34"/>
        <v>11</v>
      </c>
      <c r="G163" s="13">
        <f t="shared" si="34"/>
        <v>1</v>
      </c>
      <c r="H163" s="13">
        <f t="shared" si="34"/>
        <v>0</v>
      </c>
      <c r="I163" s="13">
        <f t="shared" si="34"/>
        <v>0</v>
      </c>
      <c r="J163" s="13">
        <f t="shared" si="34"/>
        <v>1</v>
      </c>
      <c r="K163" s="13">
        <f t="shared" si="34"/>
        <v>5</v>
      </c>
      <c r="L163" s="13">
        <f t="shared" si="34"/>
        <v>0</v>
      </c>
      <c r="M163" s="13">
        <f t="shared" si="34"/>
        <v>0</v>
      </c>
      <c r="N163" s="13">
        <f t="shared" si="34"/>
        <v>0</v>
      </c>
      <c r="O163" s="13">
        <f t="shared" si="34"/>
        <v>0</v>
      </c>
      <c r="P163" s="13">
        <f t="shared" si="34"/>
        <v>0</v>
      </c>
      <c r="Q163" s="13">
        <f t="shared" si="34"/>
        <v>1</v>
      </c>
      <c r="R163" s="13">
        <f t="shared" si="34"/>
        <v>0</v>
      </c>
      <c r="S163" s="13">
        <f t="shared" si="34"/>
        <v>3</v>
      </c>
      <c r="T163" s="13">
        <f t="shared" si="34"/>
        <v>0</v>
      </c>
      <c r="U163" s="13">
        <f t="shared" si="34"/>
        <v>1</v>
      </c>
      <c r="V163" s="13">
        <f t="shared" si="34"/>
        <v>45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1.0</v>
      </c>
      <c r="F165" s="19">
        <v>0.0</v>
      </c>
      <c r="G165" s="19">
        <v>0.0</v>
      </c>
      <c r="H165" s="19">
        <v>0.0</v>
      </c>
      <c r="I165" s="19">
        <v>0.0</v>
      </c>
      <c r="J165" s="19">
        <v>1.0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1.0</v>
      </c>
      <c r="R165" s="19">
        <v>0.0</v>
      </c>
      <c r="S165" s="19">
        <v>0.0</v>
      </c>
      <c r="T165" s="19">
        <v>0.0</v>
      </c>
      <c r="U165" s="19">
        <v>0.0</v>
      </c>
      <c r="V165" s="13">
        <f t="shared" ref="V165:V174" si="35">SUM(E165:U165)</f>
        <v>3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3">
        <f t="shared" si="35"/>
        <v>0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3">
        <f t="shared" si="35"/>
        <v>0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3">
        <f t="shared" si="35"/>
        <v>0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3">
        <f t="shared" si="35"/>
        <v>0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3">
        <f t="shared" si="35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3">
        <f t="shared" si="35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3">
        <f t="shared" si="35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3">
        <f t="shared" si="35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3">
        <f t="shared" si="35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V175" si="36">SUM(E165:E174)</f>
        <v>1</v>
      </c>
      <c r="F175" s="13">
        <f t="shared" si="36"/>
        <v>0</v>
      </c>
      <c r="G175" s="13">
        <f t="shared" si="36"/>
        <v>0</v>
      </c>
      <c r="H175" s="13">
        <f t="shared" si="36"/>
        <v>0</v>
      </c>
      <c r="I175" s="13">
        <f t="shared" si="36"/>
        <v>0</v>
      </c>
      <c r="J175" s="13">
        <f t="shared" si="36"/>
        <v>1</v>
      </c>
      <c r="K175" s="13">
        <f t="shared" si="36"/>
        <v>0</v>
      </c>
      <c r="L175" s="13">
        <f t="shared" si="36"/>
        <v>0</v>
      </c>
      <c r="M175" s="13">
        <f t="shared" si="36"/>
        <v>0</v>
      </c>
      <c r="N175" s="13">
        <f t="shared" si="36"/>
        <v>0</v>
      </c>
      <c r="O175" s="13">
        <f t="shared" si="36"/>
        <v>0</v>
      </c>
      <c r="P175" s="13">
        <f t="shared" si="36"/>
        <v>0</v>
      </c>
      <c r="Q175" s="13">
        <f t="shared" si="36"/>
        <v>1</v>
      </c>
      <c r="R175" s="13">
        <f t="shared" si="36"/>
        <v>0</v>
      </c>
      <c r="S175" s="13">
        <f t="shared" si="36"/>
        <v>0</v>
      </c>
      <c r="T175" s="13">
        <f t="shared" si="36"/>
        <v>0</v>
      </c>
      <c r="U175" s="13">
        <f t="shared" si="36"/>
        <v>0</v>
      </c>
      <c r="V175" s="13">
        <f t="shared" si="36"/>
        <v>3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0.0</v>
      </c>
      <c r="J177" s="19">
        <v>1.0</v>
      </c>
      <c r="K177" s="19">
        <v>1.0</v>
      </c>
      <c r="L177" s="19">
        <v>1.0</v>
      </c>
      <c r="M177" s="19">
        <v>0.0</v>
      </c>
      <c r="N177" s="19">
        <v>1.0</v>
      </c>
      <c r="O177" s="19">
        <v>0.0</v>
      </c>
      <c r="P177" s="19">
        <v>1.0</v>
      </c>
      <c r="Q177" s="19">
        <v>1.0</v>
      </c>
      <c r="R177" s="19">
        <v>1.0</v>
      </c>
      <c r="S177" s="19">
        <v>0.0</v>
      </c>
      <c r="T177" s="19">
        <v>0.0</v>
      </c>
      <c r="U177" s="19">
        <v>0.0</v>
      </c>
      <c r="V177" s="13">
        <f t="shared" ref="V177:V186" si="37">SUM(E177:U177)</f>
        <v>7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1.0</v>
      </c>
      <c r="G178" s="19">
        <v>0.0</v>
      </c>
      <c r="H178" s="19">
        <v>0.0</v>
      </c>
      <c r="I178" s="19">
        <v>2.0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>
        <v>0.0</v>
      </c>
      <c r="U178" s="19">
        <v>0.0</v>
      </c>
      <c r="V178" s="13">
        <f t="shared" si="37"/>
        <v>3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0.0</v>
      </c>
      <c r="G179" s="19">
        <v>1.0</v>
      </c>
      <c r="H179" s="19">
        <v>2.0</v>
      </c>
      <c r="I179" s="19">
        <v>1.0</v>
      </c>
      <c r="J179" s="19">
        <v>0.0</v>
      </c>
      <c r="K179" s="19">
        <v>0.0</v>
      </c>
      <c r="L179" s="19">
        <v>1.0</v>
      </c>
      <c r="M179" s="19">
        <v>3.0</v>
      </c>
      <c r="N179" s="19">
        <v>0.0</v>
      </c>
      <c r="O179" s="19">
        <v>0.0</v>
      </c>
      <c r="P179" s="19">
        <v>1.0</v>
      </c>
      <c r="Q179" s="19">
        <v>2.0</v>
      </c>
      <c r="R179" s="19">
        <v>1.0</v>
      </c>
      <c r="S179" s="19">
        <v>0.0</v>
      </c>
      <c r="T179" s="19">
        <v>0.0</v>
      </c>
      <c r="U179" s="19">
        <v>1.0</v>
      </c>
      <c r="V179" s="13">
        <f t="shared" si="37"/>
        <v>13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1.0</v>
      </c>
      <c r="L180" s="19">
        <v>0.0</v>
      </c>
      <c r="M180" s="19">
        <v>2.0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3">
        <f t="shared" si="37"/>
        <v>3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3">
        <f t="shared" si="37"/>
        <v>0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3">
        <f t="shared" si="37"/>
        <v>0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3">
        <f t="shared" si="37"/>
        <v>0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3">
        <f t="shared" si="37"/>
        <v>0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3">
        <f t="shared" si="37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3">
        <f t="shared" si="37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V187" si="38">SUM(E177:E186)</f>
        <v>0</v>
      </c>
      <c r="F187" s="13">
        <f t="shared" si="38"/>
        <v>1</v>
      </c>
      <c r="G187" s="13">
        <f t="shared" si="38"/>
        <v>1</v>
      </c>
      <c r="H187" s="13">
        <f t="shared" si="38"/>
        <v>2</v>
      </c>
      <c r="I187" s="13">
        <f t="shared" si="38"/>
        <v>3</v>
      </c>
      <c r="J187" s="13">
        <f t="shared" si="38"/>
        <v>1</v>
      </c>
      <c r="K187" s="13">
        <f t="shared" si="38"/>
        <v>2</v>
      </c>
      <c r="L187" s="13">
        <f t="shared" si="38"/>
        <v>2</v>
      </c>
      <c r="M187" s="13">
        <f t="shared" si="38"/>
        <v>5</v>
      </c>
      <c r="N187" s="13">
        <f t="shared" si="38"/>
        <v>1</v>
      </c>
      <c r="O187" s="13">
        <f t="shared" si="38"/>
        <v>0</v>
      </c>
      <c r="P187" s="13">
        <f t="shared" si="38"/>
        <v>2</v>
      </c>
      <c r="Q187" s="13">
        <f t="shared" si="38"/>
        <v>3</v>
      </c>
      <c r="R187" s="13">
        <f t="shared" si="38"/>
        <v>2</v>
      </c>
      <c r="S187" s="13">
        <f t="shared" si="38"/>
        <v>0</v>
      </c>
      <c r="T187" s="13">
        <f t="shared" si="38"/>
        <v>0</v>
      </c>
      <c r="U187" s="13">
        <f t="shared" si="38"/>
        <v>1</v>
      </c>
      <c r="V187" s="13">
        <f t="shared" si="38"/>
        <v>26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3">
        <f t="shared" ref="V189:V198" si="39">SUM(E189:U189)</f>
        <v>0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1.0</v>
      </c>
      <c r="R190" s="19">
        <v>0.0</v>
      </c>
      <c r="S190" s="19">
        <v>1.0</v>
      </c>
      <c r="T190" s="19">
        <v>0.0</v>
      </c>
      <c r="U190" s="19">
        <v>0.0</v>
      </c>
      <c r="V190" s="13">
        <f t="shared" si="39"/>
        <v>2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3">
        <f t="shared" si="39"/>
        <v>0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3">
        <f t="shared" si="39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3">
        <f t="shared" si="39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3">
        <f t="shared" si="39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3">
        <f t="shared" si="39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3">
        <f t="shared" si="39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3">
        <f t="shared" si="39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3">
        <f t="shared" si="39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V199" si="40">SUM(E189:E198)</f>
        <v>0</v>
      </c>
      <c r="F199" s="13">
        <f t="shared" si="40"/>
        <v>0</v>
      </c>
      <c r="G199" s="13">
        <f t="shared" si="40"/>
        <v>0</v>
      </c>
      <c r="H199" s="13">
        <f t="shared" si="40"/>
        <v>0</v>
      </c>
      <c r="I199" s="13">
        <f t="shared" si="40"/>
        <v>0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0</v>
      </c>
      <c r="N199" s="13">
        <f t="shared" si="40"/>
        <v>0</v>
      </c>
      <c r="O199" s="13">
        <f t="shared" si="40"/>
        <v>0</v>
      </c>
      <c r="P199" s="13">
        <f t="shared" si="40"/>
        <v>0</v>
      </c>
      <c r="Q199" s="13">
        <f t="shared" si="40"/>
        <v>1</v>
      </c>
      <c r="R199" s="13">
        <f t="shared" si="40"/>
        <v>0</v>
      </c>
      <c r="S199" s="13">
        <f t="shared" si="40"/>
        <v>1</v>
      </c>
      <c r="T199" s="13">
        <f t="shared" si="40"/>
        <v>0</v>
      </c>
      <c r="U199" s="13">
        <f t="shared" si="40"/>
        <v>0</v>
      </c>
      <c r="V199" s="13">
        <f t="shared" si="40"/>
        <v>2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2.0</v>
      </c>
      <c r="F201" s="19">
        <v>2.0</v>
      </c>
      <c r="G201" s="19">
        <v>1.0</v>
      </c>
      <c r="H201" s="19">
        <v>1.0</v>
      </c>
      <c r="I201" s="19">
        <v>6.0</v>
      </c>
      <c r="J201" s="19">
        <v>3.0</v>
      </c>
      <c r="K201" s="19">
        <v>1.0</v>
      </c>
      <c r="L201" s="19">
        <v>3.0</v>
      </c>
      <c r="M201" s="19">
        <v>7.0</v>
      </c>
      <c r="N201" s="19">
        <v>5.0</v>
      </c>
      <c r="O201" s="19">
        <v>1.0</v>
      </c>
      <c r="P201" s="19">
        <v>2.0</v>
      </c>
      <c r="Q201" s="19">
        <v>2.0</v>
      </c>
      <c r="R201" s="19">
        <v>1.0</v>
      </c>
      <c r="S201" s="19">
        <v>3.0</v>
      </c>
      <c r="T201" s="19">
        <v>0.0</v>
      </c>
      <c r="U201" s="19">
        <v>2.0</v>
      </c>
      <c r="V201" s="13">
        <f t="shared" ref="V201:V210" si="41">SUM(E201:U201)</f>
        <v>42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9.0</v>
      </c>
      <c r="F202" s="19">
        <v>1.0</v>
      </c>
      <c r="G202" s="19">
        <v>5.0</v>
      </c>
      <c r="H202" s="19">
        <v>18.0</v>
      </c>
      <c r="I202" s="19">
        <v>4.0</v>
      </c>
      <c r="J202" s="19">
        <v>5.0</v>
      </c>
      <c r="K202" s="19">
        <v>3.0</v>
      </c>
      <c r="L202" s="19">
        <v>3.0</v>
      </c>
      <c r="M202" s="19">
        <v>6.0</v>
      </c>
      <c r="N202" s="19">
        <v>7.0</v>
      </c>
      <c r="O202" s="19">
        <v>4.0</v>
      </c>
      <c r="P202" s="19">
        <v>5.0</v>
      </c>
      <c r="Q202" s="19">
        <v>2.0</v>
      </c>
      <c r="R202" s="19">
        <v>1.0</v>
      </c>
      <c r="S202" s="19">
        <v>2.0</v>
      </c>
      <c r="T202" s="19">
        <v>1.0</v>
      </c>
      <c r="U202" s="19">
        <v>3.0</v>
      </c>
      <c r="V202" s="13">
        <f t="shared" si="41"/>
        <v>79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5.0</v>
      </c>
      <c r="F203" s="19">
        <v>2.0</v>
      </c>
      <c r="G203" s="19">
        <v>1.0</v>
      </c>
      <c r="H203" s="19">
        <v>7.0</v>
      </c>
      <c r="I203" s="19">
        <v>6.0</v>
      </c>
      <c r="J203" s="19">
        <v>2.0</v>
      </c>
      <c r="K203" s="19">
        <v>1.0</v>
      </c>
      <c r="L203" s="19">
        <v>1.0</v>
      </c>
      <c r="M203" s="19">
        <v>2.0</v>
      </c>
      <c r="N203" s="19">
        <v>2.0</v>
      </c>
      <c r="O203" s="19">
        <v>0.0</v>
      </c>
      <c r="P203" s="19">
        <v>1.0</v>
      </c>
      <c r="Q203" s="19">
        <v>2.0</v>
      </c>
      <c r="R203" s="19">
        <v>1.0</v>
      </c>
      <c r="S203" s="19">
        <v>1.0</v>
      </c>
      <c r="T203" s="19">
        <v>0.0</v>
      </c>
      <c r="U203" s="19">
        <v>2.0</v>
      </c>
      <c r="V203" s="13">
        <f t="shared" si="41"/>
        <v>36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0.0</v>
      </c>
      <c r="G204" s="19">
        <v>1.0</v>
      </c>
      <c r="H204" s="19">
        <v>1.0</v>
      </c>
      <c r="I204" s="19">
        <v>0.0</v>
      </c>
      <c r="J204" s="19">
        <v>1.0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1.0</v>
      </c>
      <c r="S204" s="19">
        <v>0.0</v>
      </c>
      <c r="T204" s="19">
        <v>0.0</v>
      </c>
      <c r="U204" s="19">
        <v>0.0</v>
      </c>
      <c r="V204" s="13">
        <f t="shared" si="41"/>
        <v>4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0.0</v>
      </c>
      <c r="G205" s="19">
        <v>0.0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9">
        <v>0.0</v>
      </c>
      <c r="N205" s="19">
        <v>0.0</v>
      </c>
      <c r="O205" s="19">
        <v>3.0</v>
      </c>
      <c r="P205" s="19">
        <v>0.0</v>
      </c>
      <c r="Q205" s="19">
        <v>0.0</v>
      </c>
      <c r="R205" s="19">
        <v>0.0</v>
      </c>
      <c r="S205" s="19">
        <v>0.0</v>
      </c>
      <c r="T205" s="19">
        <v>1.0</v>
      </c>
      <c r="U205" s="19">
        <v>0.0</v>
      </c>
      <c r="V205" s="13">
        <f t="shared" si="41"/>
        <v>4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0.0</v>
      </c>
      <c r="G206" s="19">
        <v>1.0</v>
      </c>
      <c r="H206" s="19">
        <v>0.0</v>
      </c>
      <c r="I206" s="19">
        <v>0.0</v>
      </c>
      <c r="J206" s="19">
        <v>1.0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3">
        <f t="shared" si="41"/>
        <v>2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1.0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3">
        <f t="shared" si="41"/>
        <v>1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1.0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3">
        <f t="shared" si="41"/>
        <v>1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3">
        <f t="shared" si="41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3">
        <f t="shared" si="41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V211" si="42">SUM(E201:E210)</f>
        <v>17</v>
      </c>
      <c r="F211" s="13">
        <f t="shared" si="42"/>
        <v>5</v>
      </c>
      <c r="G211" s="13">
        <f t="shared" si="42"/>
        <v>9</v>
      </c>
      <c r="H211" s="13">
        <f t="shared" si="42"/>
        <v>27</v>
      </c>
      <c r="I211" s="13">
        <f t="shared" si="42"/>
        <v>16</v>
      </c>
      <c r="J211" s="13">
        <f t="shared" si="42"/>
        <v>12</v>
      </c>
      <c r="K211" s="13">
        <f t="shared" si="42"/>
        <v>5</v>
      </c>
      <c r="L211" s="13">
        <f t="shared" si="42"/>
        <v>7</v>
      </c>
      <c r="M211" s="13">
        <f t="shared" si="42"/>
        <v>15</v>
      </c>
      <c r="N211" s="13">
        <f t="shared" si="42"/>
        <v>14</v>
      </c>
      <c r="O211" s="13">
        <f t="shared" si="42"/>
        <v>8</v>
      </c>
      <c r="P211" s="13">
        <f t="shared" si="42"/>
        <v>9</v>
      </c>
      <c r="Q211" s="13">
        <f t="shared" si="42"/>
        <v>6</v>
      </c>
      <c r="R211" s="13">
        <f t="shared" si="42"/>
        <v>4</v>
      </c>
      <c r="S211" s="13">
        <f t="shared" si="42"/>
        <v>6</v>
      </c>
      <c r="T211" s="13">
        <f t="shared" si="42"/>
        <v>2</v>
      </c>
      <c r="U211" s="13">
        <f t="shared" si="42"/>
        <v>7</v>
      </c>
      <c r="V211" s="13">
        <f t="shared" si="42"/>
        <v>169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1.0</v>
      </c>
      <c r="G213" s="19">
        <v>0.0</v>
      </c>
      <c r="H213" s="19">
        <v>0.0</v>
      </c>
      <c r="I213" s="19">
        <v>1.0</v>
      </c>
      <c r="J213" s="19">
        <v>0.0</v>
      </c>
      <c r="K213" s="19">
        <v>0.0</v>
      </c>
      <c r="L213" s="19">
        <v>1.0</v>
      </c>
      <c r="M213" s="19">
        <v>0.0</v>
      </c>
      <c r="N213" s="19">
        <v>0.0</v>
      </c>
      <c r="O213" s="19">
        <v>0.0</v>
      </c>
      <c r="P213" s="19">
        <v>1.0</v>
      </c>
      <c r="Q213" s="19">
        <v>1.0</v>
      </c>
      <c r="R213" s="19">
        <v>3.0</v>
      </c>
      <c r="S213" s="19">
        <v>1.0</v>
      </c>
      <c r="T213" s="19">
        <v>0.0</v>
      </c>
      <c r="U213" s="19">
        <v>1.0</v>
      </c>
      <c r="V213" s="13">
        <f t="shared" ref="V213:V222" si="43">SUM(E213:U213)</f>
        <v>10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0.0</v>
      </c>
      <c r="F214" s="19">
        <v>0.0</v>
      </c>
      <c r="G214" s="19">
        <v>1.0</v>
      </c>
      <c r="H214" s="19">
        <v>2.0</v>
      </c>
      <c r="I214" s="19">
        <v>0.0</v>
      </c>
      <c r="J214" s="19">
        <v>0.0</v>
      </c>
      <c r="K214" s="19">
        <v>1.0</v>
      </c>
      <c r="L214" s="19">
        <v>2.0</v>
      </c>
      <c r="M214" s="19">
        <v>6.0</v>
      </c>
      <c r="N214" s="19">
        <v>1.0</v>
      </c>
      <c r="O214" s="19">
        <v>6.0</v>
      </c>
      <c r="P214" s="19">
        <v>6.0</v>
      </c>
      <c r="Q214" s="19">
        <v>1.0</v>
      </c>
      <c r="R214" s="19">
        <v>16.0</v>
      </c>
      <c r="S214" s="19">
        <v>3.0</v>
      </c>
      <c r="T214" s="19">
        <v>1.0</v>
      </c>
      <c r="U214" s="19">
        <v>1.0</v>
      </c>
      <c r="V214" s="13">
        <f t="shared" si="43"/>
        <v>47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0.0</v>
      </c>
      <c r="F215" s="19">
        <v>6.0</v>
      </c>
      <c r="G215" s="19">
        <v>1.0</v>
      </c>
      <c r="H215" s="19">
        <v>1.0</v>
      </c>
      <c r="I215" s="19">
        <v>0.0</v>
      </c>
      <c r="J215" s="19">
        <v>10.0</v>
      </c>
      <c r="K215" s="19">
        <v>6.0</v>
      </c>
      <c r="L215" s="19">
        <v>12.0</v>
      </c>
      <c r="M215" s="19">
        <v>6.0</v>
      </c>
      <c r="N215" s="19">
        <v>26.0</v>
      </c>
      <c r="O215" s="19">
        <v>34.0</v>
      </c>
      <c r="P215" s="19">
        <v>5.0</v>
      </c>
      <c r="Q215" s="19">
        <v>9.0</v>
      </c>
      <c r="R215" s="19">
        <v>10.0</v>
      </c>
      <c r="S215" s="19">
        <v>14.0</v>
      </c>
      <c r="T215" s="19">
        <v>10.0</v>
      </c>
      <c r="U215" s="19">
        <v>15.0</v>
      </c>
      <c r="V215" s="13">
        <f t="shared" si="43"/>
        <v>165</v>
      </c>
    </row>
    <row r="216" ht="12.75" customHeight="1">
      <c r="A216" s="18"/>
      <c r="B216" s="55">
        <v>3.0</v>
      </c>
      <c r="C216" s="69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1.0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1.0</v>
      </c>
      <c r="V216" s="13">
        <f t="shared" si="43"/>
        <v>2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1.0</v>
      </c>
      <c r="O217" s="19">
        <v>0.0</v>
      </c>
      <c r="P217" s="19">
        <v>1.0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3">
        <f t="shared" si="43"/>
        <v>2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3">
        <f t="shared" si="43"/>
        <v>0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3">
        <f t="shared" si="43"/>
        <v>0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1.0</v>
      </c>
      <c r="R220" s="19">
        <v>0.0</v>
      </c>
      <c r="S220" s="19">
        <v>0.0</v>
      </c>
      <c r="T220" s="19">
        <v>0.0</v>
      </c>
      <c r="U220" s="19">
        <v>0.0</v>
      </c>
      <c r="V220" s="13">
        <f t="shared" si="43"/>
        <v>1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3">
        <f t="shared" si="43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3">
        <f t="shared" si="43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V223" si="44">SUM(E213:E222)</f>
        <v>0</v>
      </c>
      <c r="F223" s="13">
        <f t="shared" si="44"/>
        <v>7</v>
      </c>
      <c r="G223" s="13">
        <f t="shared" si="44"/>
        <v>2</v>
      </c>
      <c r="H223" s="13">
        <f t="shared" si="44"/>
        <v>3</v>
      </c>
      <c r="I223" s="13">
        <f t="shared" si="44"/>
        <v>1</v>
      </c>
      <c r="J223" s="13">
        <f t="shared" si="44"/>
        <v>10</v>
      </c>
      <c r="K223" s="13">
        <f t="shared" si="44"/>
        <v>7</v>
      </c>
      <c r="L223" s="13">
        <f t="shared" si="44"/>
        <v>15</v>
      </c>
      <c r="M223" s="13">
        <f t="shared" si="44"/>
        <v>12</v>
      </c>
      <c r="N223" s="13">
        <f t="shared" si="44"/>
        <v>29</v>
      </c>
      <c r="O223" s="13">
        <f t="shared" si="44"/>
        <v>40</v>
      </c>
      <c r="P223" s="13">
        <f t="shared" si="44"/>
        <v>13</v>
      </c>
      <c r="Q223" s="13">
        <f t="shared" si="44"/>
        <v>12</v>
      </c>
      <c r="R223" s="13">
        <f t="shared" si="44"/>
        <v>29</v>
      </c>
      <c r="S223" s="13">
        <f t="shared" si="44"/>
        <v>18</v>
      </c>
      <c r="T223" s="13">
        <f t="shared" si="44"/>
        <v>11</v>
      </c>
      <c r="U223" s="13">
        <f t="shared" si="44"/>
        <v>18</v>
      </c>
      <c r="V223" s="13">
        <f t="shared" si="44"/>
        <v>227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1.0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1.0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3">
        <f t="shared" ref="V225:V234" si="45">SUM(E225:U225)</f>
        <v>2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1.0</v>
      </c>
      <c r="R226" s="19">
        <v>0.0</v>
      </c>
      <c r="S226" s="19">
        <v>0.0</v>
      </c>
      <c r="T226" s="19">
        <v>0.0</v>
      </c>
      <c r="U226" s="19">
        <v>4.0</v>
      </c>
      <c r="V226" s="13">
        <f t="shared" si="45"/>
        <v>5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1.0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3">
        <f t="shared" si="45"/>
        <v>1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1.0</v>
      </c>
      <c r="J228" s="19">
        <v>0.0</v>
      </c>
      <c r="K228" s="19">
        <v>1.0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3">
        <f t="shared" si="45"/>
        <v>2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3">
        <f t="shared" si="45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3">
        <f t="shared" si="45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3">
        <f t="shared" si="45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1.0</v>
      </c>
      <c r="G232" s="19">
        <v>0.0</v>
      </c>
      <c r="H232" s="19">
        <v>0.0</v>
      </c>
      <c r="I232" s="19">
        <v>0.0</v>
      </c>
      <c r="J232" s="19">
        <v>0.0</v>
      </c>
      <c r="K232" s="19">
        <v>2.0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3">
        <f t="shared" si="45"/>
        <v>3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3">
        <f t="shared" si="45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3">
        <f t="shared" si="45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V235" si="46">SUM(E225:E234)</f>
        <v>0</v>
      </c>
      <c r="F235" s="13">
        <f t="shared" si="46"/>
        <v>2</v>
      </c>
      <c r="G235" s="13">
        <f t="shared" si="46"/>
        <v>0</v>
      </c>
      <c r="H235" s="13">
        <f t="shared" si="46"/>
        <v>0</v>
      </c>
      <c r="I235" s="13">
        <f t="shared" si="46"/>
        <v>1</v>
      </c>
      <c r="J235" s="13">
        <f t="shared" si="46"/>
        <v>1</v>
      </c>
      <c r="K235" s="13">
        <f t="shared" si="46"/>
        <v>3</v>
      </c>
      <c r="L235" s="13">
        <f t="shared" si="46"/>
        <v>0</v>
      </c>
      <c r="M235" s="13">
        <f t="shared" si="46"/>
        <v>0</v>
      </c>
      <c r="N235" s="13">
        <f t="shared" si="46"/>
        <v>0</v>
      </c>
      <c r="O235" s="13">
        <f t="shared" si="46"/>
        <v>0</v>
      </c>
      <c r="P235" s="13">
        <f t="shared" si="46"/>
        <v>1</v>
      </c>
      <c r="Q235" s="13">
        <f t="shared" si="46"/>
        <v>1</v>
      </c>
      <c r="R235" s="13">
        <f t="shared" si="46"/>
        <v>0</v>
      </c>
      <c r="S235" s="13">
        <f t="shared" si="46"/>
        <v>0</v>
      </c>
      <c r="T235" s="13">
        <f t="shared" si="46"/>
        <v>0</v>
      </c>
      <c r="U235" s="13">
        <f t="shared" si="46"/>
        <v>4</v>
      </c>
      <c r="V235" s="13">
        <f t="shared" si="46"/>
        <v>13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1.0</v>
      </c>
      <c r="F237" s="19">
        <v>0.0</v>
      </c>
      <c r="G237" s="19">
        <v>0.0</v>
      </c>
      <c r="H237" s="19">
        <v>0.0</v>
      </c>
      <c r="I237" s="19">
        <v>0.0</v>
      </c>
      <c r="J237" s="19">
        <v>0.0</v>
      </c>
      <c r="K237" s="19">
        <v>0.0</v>
      </c>
      <c r="L237" s="19">
        <v>0.0</v>
      </c>
      <c r="M237" s="19">
        <v>0.0</v>
      </c>
      <c r="N237" s="19">
        <v>0.0</v>
      </c>
      <c r="O237" s="19">
        <v>0.0</v>
      </c>
      <c r="P237" s="19">
        <v>1.0</v>
      </c>
      <c r="Q237" s="19">
        <v>0.0</v>
      </c>
      <c r="R237" s="19">
        <v>0.0</v>
      </c>
      <c r="S237" s="19">
        <v>0.0</v>
      </c>
      <c r="T237" s="19">
        <v>1.0</v>
      </c>
      <c r="U237" s="19">
        <v>0.0</v>
      </c>
      <c r="V237" s="13">
        <f t="shared" ref="V237:V246" si="47">SUM(E237:U237)</f>
        <v>3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0.0</v>
      </c>
      <c r="F238" s="19">
        <v>0.0</v>
      </c>
      <c r="G238" s="19">
        <v>1.0</v>
      </c>
      <c r="H238" s="19">
        <v>0.0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0.0</v>
      </c>
      <c r="P238" s="19">
        <v>0.0</v>
      </c>
      <c r="Q238" s="19">
        <v>1.0</v>
      </c>
      <c r="R238" s="19">
        <v>1.0</v>
      </c>
      <c r="S238" s="19">
        <v>0.0</v>
      </c>
      <c r="T238" s="19">
        <v>0.0</v>
      </c>
      <c r="U238" s="19">
        <v>0.0</v>
      </c>
      <c r="V238" s="13">
        <f t="shared" si="47"/>
        <v>3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0.0</v>
      </c>
      <c r="F239" s="19">
        <v>0.0</v>
      </c>
      <c r="G239" s="19">
        <v>0.0</v>
      </c>
      <c r="H239" s="19">
        <v>0.0</v>
      </c>
      <c r="I239" s="19">
        <v>0.0</v>
      </c>
      <c r="J239" s="19">
        <v>0.0</v>
      </c>
      <c r="K239" s="19">
        <v>0.0</v>
      </c>
      <c r="L239" s="19">
        <v>7.0</v>
      </c>
      <c r="M239" s="19">
        <v>0.0</v>
      </c>
      <c r="N239" s="19">
        <v>0.0</v>
      </c>
      <c r="O239" s="19">
        <v>0.0</v>
      </c>
      <c r="P239" s="19">
        <v>1.0</v>
      </c>
      <c r="Q239" s="19">
        <v>0.0</v>
      </c>
      <c r="R239" s="19">
        <v>0.0</v>
      </c>
      <c r="S239" s="19">
        <v>0.0</v>
      </c>
      <c r="T239" s="19">
        <v>0.0</v>
      </c>
      <c r="U239" s="19">
        <v>1.0</v>
      </c>
      <c r="V239" s="13">
        <f t="shared" si="47"/>
        <v>9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1.0</v>
      </c>
      <c r="R240" s="19">
        <v>0.0</v>
      </c>
      <c r="S240" s="19">
        <v>0.0</v>
      </c>
      <c r="T240" s="19">
        <v>0.0</v>
      </c>
      <c r="U240" s="19">
        <v>0.0</v>
      </c>
      <c r="V240" s="13">
        <f t="shared" si="47"/>
        <v>1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1.0</v>
      </c>
      <c r="V241" s="13">
        <f t="shared" si="47"/>
        <v>1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3">
        <f t="shared" si="47"/>
        <v>0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1.0</v>
      </c>
      <c r="V243" s="13">
        <f t="shared" si="47"/>
        <v>1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9">
        <v>0.0</v>
      </c>
      <c r="N244" s="19">
        <v>0.0</v>
      </c>
      <c r="O244" s="19">
        <v>0.0</v>
      </c>
      <c r="P244" s="19">
        <v>0.0</v>
      </c>
      <c r="Q244" s="19">
        <v>1.0</v>
      </c>
      <c r="R244" s="19">
        <v>3.0</v>
      </c>
      <c r="S244" s="19">
        <v>0.0</v>
      </c>
      <c r="T244" s="19">
        <v>0.0</v>
      </c>
      <c r="U244" s="19">
        <v>0.0</v>
      </c>
      <c r="V244" s="13">
        <f t="shared" si="47"/>
        <v>4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3">
        <f t="shared" si="47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3">
        <f t="shared" si="47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V247" si="48">SUM(E237:E246)</f>
        <v>1</v>
      </c>
      <c r="F247" s="13">
        <f t="shared" si="48"/>
        <v>0</v>
      </c>
      <c r="G247" s="13">
        <f t="shared" si="48"/>
        <v>1</v>
      </c>
      <c r="H247" s="13">
        <f t="shared" si="48"/>
        <v>0</v>
      </c>
      <c r="I247" s="13">
        <f t="shared" si="48"/>
        <v>0</v>
      </c>
      <c r="J247" s="13">
        <f t="shared" si="48"/>
        <v>0</v>
      </c>
      <c r="K247" s="13">
        <f t="shared" si="48"/>
        <v>0</v>
      </c>
      <c r="L247" s="13">
        <f t="shared" si="48"/>
        <v>7</v>
      </c>
      <c r="M247" s="13">
        <f t="shared" si="48"/>
        <v>0</v>
      </c>
      <c r="N247" s="13">
        <f t="shared" si="48"/>
        <v>0</v>
      </c>
      <c r="O247" s="13">
        <f t="shared" si="48"/>
        <v>0</v>
      </c>
      <c r="P247" s="13">
        <f t="shared" si="48"/>
        <v>2</v>
      </c>
      <c r="Q247" s="13">
        <f t="shared" si="48"/>
        <v>3</v>
      </c>
      <c r="R247" s="13">
        <f t="shared" si="48"/>
        <v>4</v>
      </c>
      <c r="S247" s="13">
        <f t="shared" si="48"/>
        <v>0</v>
      </c>
      <c r="T247" s="13">
        <f t="shared" si="48"/>
        <v>1</v>
      </c>
      <c r="U247" s="13">
        <f t="shared" si="48"/>
        <v>3</v>
      </c>
      <c r="V247" s="13">
        <f t="shared" si="48"/>
        <v>22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3">
        <f t="shared" ref="V249:V258" si="49">SUM(E249:U249)</f>
        <v>0</v>
      </c>
    </row>
    <row r="250" ht="12.75" customHeight="1">
      <c r="A250" s="30" t="s">
        <v>39</v>
      </c>
      <c r="B250" s="55">
        <v>1.0</v>
      </c>
      <c r="C250" s="66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2.0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3">
        <f t="shared" si="49"/>
        <v>2</v>
      </c>
    </row>
    <row r="251" ht="12.75" customHeight="1">
      <c r="A251" s="18"/>
      <c r="B251" s="55">
        <v>2.0</v>
      </c>
      <c r="C251" s="66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3">
        <f t="shared" si="49"/>
        <v>0</v>
      </c>
    </row>
    <row r="252" ht="12.75" customHeight="1">
      <c r="A252" s="18"/>
      <c r="B252" s="55">
        <v>3.0</v>
      </c>
      <c r="C252" s="66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3">
        <f t="shared" si="49"/>
        <v>0</v>
      </c>
    </row>
    <row r="253" ht="12.75" customHeight="1">
      <c r="A253" s="18"/>
      <c r="B253" s="55">
        <v>4.0</v>
      </c>
      <c r="C253" s="66" t="s">
        <v>187</v>
      </c>
      <c r="D253" s="60"/>
      <c r="E253" s="19">
        <v>1.0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1.0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3">
        <f t="shared" si="49"/>
        <v>2</v>
      </c>
    </row>
    <row r="254" ht="12.75" customHeight="1">
      <c r="A254" s="18"/>
      <c r="B254" s="55">
        <v>5.0</v>
      </c>
      <c r="C254" s="66" t="s">
        <v>188</v>
      </c>
      <c r="D254" s="60"/>
      <c r="E254" s="19">
        <v>1.0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3">
        <f t="shared" si="49"/>
        <v>1</v>
      </c>
    </row>
    <row r="255" ht="12.75" customHeight="1">
      <c r="A255" s="18"/>
      <c r="B255" s="55">
        <v>6.0</v>
      </c>
      <c r="C255" s="66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3">
        <f t="shared" si="49"/>
        <v>0</v>
      </c>
    </row>
    <row r="256" ht="12.75" customHeight="1">
      <c r="A256" s="18"/>
      <c r="B256" s="56"/>
      <c r="C256" s="67"/>
      <c r="D256" s="62"/>
      <c r="E256" s="19">
        <v>2.0</v>
      </c>
      <c r="F256" s="19">
        <v>0.0</v>
      </c>
      <c r="G256" s="19">
        <v>0.0</v>
      </c>
      <c r="H256" s="19">
        <v>0.0</v>
      </c>
      <c r="I256" s="19">
        <v>0.0</v>
      </c>
      <c r="J256" s="19">
        <v>2.0</v>
      </c>
      <c r="K256" s="19">
        <v>1.0</v>
      </c>
      <c r="L256" s="19">
        <v>0.0</v>
      </c>
      <c r="M256" s="19">
        <v>0.0</v>
      </c>
      <c r="N256" s="19">
        <v>0.0</v>
      </c>
      <c r="O256" s="19">
        <v>0.0</v>
      </c>
      <c r="P256" s="19">
        <v>0.0</v>
      </c>
      <c r="Q256" s="19">
        <v>0.0</v>
      </c>
      <c r="R256" s="19">
        <v>0.0</v>
      </c>
      <c r="S256" s="19">
        <v>0.0</v>
      </c>
      <c r="T256" s="19">
        <v>0.0</v>
      </c>
      <c r="U256" s="19">
        <v>0.0</v>
      </c>
      <c r="V256" s="13">
        <f t="shared" si="49"/>
        <v>5</v>
      </c>
    </row>
    <row r="257" ht="12.75" customHeight="1">
      <c r="A257" s="18"/>
      <c r="B257" s="56"/>
      <c r="C257" s="67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3">
        <f t="shared" si="49"/>
        <v>0</v>
      </c>
    </row>
    <row r="258" ht="12.75" customHeight="1">
      <c r="A258" s="18"/>
      <c r="B258" s="56"/>
      <c r="C258" s="67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3">
        <f t="shared" si="49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V259" si="50">SUM(E249:E258)</f>
        <v>4</v>
      </c>
      <c r="F259" s="13">
        <f t="shared" si="50"/>
        <v>0</v>
      </c>
      <c r="G259" s="13">
        <f t="shared" si="50"/>
        <v>0</v>
      </c>
      <c r="H259" s="13">
        <f t="shared" si="50"/>
        <v>0</v>
      </c>
      <c r="I259" s="13">
        <f t="shared" si="50"/>
        <v>0</v>
      </c>
      <c r="J259" s="13">
        <f t="shared" si="50"/>
        <v>4</v>
      </c>
      <c r="K259" s="13">
        <f t="shared" si="50"/>
        <v>2</v>
      </c>
      <c r="L259" s="13">
        <f t="shared" si="50"/>
        <v>0</v>
      </c>
      <c r="M259" s="13">
        <f t="shared" si="50"/>
        <v>0</v>
      </c>
      <c r="N259" s="13">
        <f t="shared" si="50"/>
        <v>0</v>
      </c>
      <c r="O259" s="13">
        <f t="shared" si="50"/>
        <v>0</v>
      </c>
      <c r="P259" s="13">
        <f t="shared" si="50"/>
        <v>0</v>
      </c>
      <c r="Q259" s="13">
        <f t="shared" si="50"/>
        <v>0</v>
      </c>
      <c r="R259" s="13">
        <f t="shared" si="50"/>
        <v>0</v>
      </c>
      <c r="S259" s="13">
        <f t="shared" si="50"/>
        <v>0</v>
      </c>
      <c r="T259" s="13">
        <f t="shared" si="50"/>
        <v>0</v>
      </c>
      <c r="U259" s="13">
        <f t="shared" si="50"/>
        <v>0</v>
      </c>
      <c r="V259" s="13">
        <f t="shared" si="50"/>
        <v>10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13"/>
      <c r="P261" s="13"/>
      <c r="Q261" s="13"/>
      <c r="R261" s="13"/>
      <c r="S261" s="13"/>
      <c r="T261" s="13"/>
      <c r="U261" s="13"/>
      <c r="V261" s="13"/>
    </row>
    <row r="262" ht="12.75" customHeight="1">
      <c r="A262" s="42"/>
      <c r="B262" s="70" t="s">
        <v>192</v>
      </c>
      <c r="C262" s="71" t="s">
        <v>193</v>
      </c>
      <c r="D262" s="16"/>
      <c r="E262" s="19">
        <f t="shared" ref="E262:U262" si="51">E55+E67+E79+E91+E103+E115+E127+E139+E151+E163+E175+E187+E199+E211+E223+E235+E247+E259</f>
        <v>119</v>
      </c>
      <c r="F262" s="19">
        <f t="shared" si="51"/>
        <v>164</v>
      </c>
      <c r="G262" s="19">
        <f t="shared" si="51"/>
        <v>108</v>
      </c>
      <c r="H262" s="19">
        <f t="shared" si="51"/>
        <v>215</v>
      </c>
      <c r="I262" s="19">
        <f t="shared" si="51"/>
        <v>194</v>
      </c>
      <c r="J262" s="19">
        <f t="shared" si="51"/>
        <v>170</v>
      </c>
      <c r="K262" s="19">
        <f t="shared" si="51"/>
        <v>228</v>
      </c>
      <c r="L262" s="19">
        <f t="shared" si="51"/>
        <v>167</v>
      </c>
      <c r="M262" s="19">
        <f t="shared" si="51"/>
        <v>183</v>
      </c>
      <c r="N262" s="19">
        <f t="shared" si="51"/>
        <v>188</v>
      </c>
      <c r="O262" s="19">
        <f t="shared" si="51"/>
        <v>203</v>
      </c>
      <c r="P262" s="19">
        <f t="shared" si="51"/>
        <v>157</v>
      </c>
      <c r="Q262" s="19">
        <f t="shared" si="51"/>
        <v>179</v>
      </c>
      <c r="R262" s="19">
        <f t="shared" si="51"/>
        <v>192</v>
      </c>
      <c r="S262" s="19">
        <f t="shared" si="51"/>
        <v>179</v>
      </c>
      <c r="T262" s="19">
        <f t="shared" si="51"/>
        <v>175</v>
      </c>
      <c r="U262" s="19">
        <f t="shared" si="51"/>
        <v>196</v>
      </c>
      <c r="V262" s="13">
        <f t="shared" ref="V262:V264" si="52">SUM(E262:U262)</f>
        <v>3017</v>
      </c>
    </row>
    <row r="263" ht="12.75" customHeight="1">
      <c r="A263" s="35"/>
      <c r="B263" s="70" t="s">
        <v>194</v>
      </c>
      <c r="C263" s="71" t="s">
        <v>195</v>
      </c>
      <c r="D263" s="16"/>
      <c r="E263" s="19">
        <v>13.0</v>
      </c>
      <c r="F263" s="19">
        <v>10.0</v>
      </c>
      <c r="G263" s="19">
        <v>8.0</v>
      </c>
      <c r="H263" s="19">
        <v>15.0</v>
      </c>
      <c r="I263" s="19">
        <v>16.0</v>
      </c>
      <c r="J263" s="19">
        <v>18.0</v>
      </c>
      <c r="K263" s="19">
        <v>28.0</v>
      </c>
      <c r="L263" s="19">
        <v>18.0</v>
      </c>
      <c r="M263" s="19">
        <v>12.0</v>
      </c>
      <c r="N263" s="19">
        <v>18.0</v>
      </c>
      <c r="O263" s="19">
        <v>35.0</v>
      </c>
      <c r="P263" s="19">
        <v>48.0</v>
      </c>
      <c r="Q263" s="19">
        <v>47.0</v>
      </c>
      <c r="R263" s="19">
        <v>33.0</v>
      </c>
      <c r="S263" s="19">
        <v>24.0</v>
      </c>
      <c r="T263" s="19">
        <v>36.0</v>
      </c>
      <c r="U263" s="19">
        <v>26.0</v>
      </c>
      <c r="V263" s="13">
        <f t="shared" si="52"/>
        <v>405</v>
      </c>
    </row>
    <row r="264" ht="12.75" customHeight="1">
      <c r="A264" s="41"/>
      <c r="B264" s="70" t="s">
        <v>196</v>
      </c>
      <c r="C264" s="71" t="s">
        <v>197</v>
      </c>
      <c r="D264" s="16"/>
      <c r="E264" s="13">
        <f t="shared" ref="E264:U264" si="53">SUM(E262:E263)</f>
        <v>132</v>
      </c>
      <c r="F264" s="13">
        <f t="shared" si="53"/>
        <v>174</v>
      </c>
      <c r="G264" s="13">
        <f t="shared" si="53"/>
        <v>116</v>
      </c>
      <c r="H264" s="13">
        <f t="shared" si="53"/>
        <v>230</v>
      </c>
      <c r="I264" s="13">
        <f t="shared" si="53"/>
        <v>210</v>
      </c>
      <c r="J264" s="13">
        <f t="shared" si="53"/>
        <v>188</v>
      </c>
      <c r="K264" s="13">
        <f t="shared" si="53"/>
        <v>256</v>
      </c>
      <c r="L264" s="13">
        <f t="shared" si="53"/>
        <v>185</v>
      </c>
      <c r="M264" s="13">
        <f t="shared" si="53"/>
        <v>195</v>
      </c>
      <c r="N264" s="13">
        <f t="shared" si="53"/>
        <v>206</v>
      </c>
      <c r="O264" s="13">
        <f t="shared" si="53"/>
        <v>238</v>
      </c>
      <c r="P264" s="13">
        <f t="shared" si="53"/>
        <v>205</v>
      </c>
      <c r="Q264" s="13">
        <f t="shared" si="53"/>
        <v>226</v>
      </c>
      <c r="R264" s="13">
        <f t="shared" si="53"/>
        <v>225</v>
      </c>
      <c r="S264" s="13">
        <f t="shared" si="53"/>
        <v>203</v>
      </c>
      <c r="T264" s="13">
        <f t="shared" si="53"/>
        <v>211</v>
      </c>
      <c r="U264" s="13">
        <f t="shared" si="53"/>
        <v>222</v>
      </c>
      <c r="V264" s="13">
        <f t="shared" si="52"/>
        <v>3422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U12"/>
    <mergeCell ref="V12: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U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U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U15 E19:U20 E22:U23 E25:U26 E33:U33 E35:U35 E39:U40 E45:U54 E57:U66 E69:U78 E81:U90 E93:U102 E105:U114 E117:U126 E129:U138 E141:U150 E153:U162 E165:U174 E177:U186 E189:U198 E201:U210 E213:U222 E225:U234 E237:U246 E249:U258 E262:U263">
    <cfRule type="containsBlanks" dxfId="1" priority="1">
      <formula>LEN(TRIM(E14))=0</formula>
    </cfRule>
  </conditionalFormatting>
  <conditionalFormatting sqref="E30:U30">
    <cfRule type="expression" dxfId="0" priority="2">
      <formula>E30&lt;&gt;E47</formula>
    </cfRule>
  </conditionalFormatting>
  <conditionalFormatting sqref="E30:U30">
    <cfRule type="expression" dxfId="0" priority="3">
      <formula>E30&lt;&gt;E34</formula>
    </cfRule>
  </conditionalFormatting>
  <conditionalFormatting sqref="E34:U34">
    <cfRule type="expression" dxfId="2" priority="4">
      <formula>E30&lt;&gt;E34</formula>
    </cfRule>
  </conditionalFormatting>
  <conditionalFormatting sqref="E34:U34">
    <cfRule type="expression" dxfId="3" priority="5">
      <formula>E30=E34</formula>
    </cfRule>
  </conditionalFormatting>
  <conditionalFormatting sqref="E34:U34">
    <cfRule type="expression" dxfId="0" priority="6">
      <formula>E34&lt;&gt;E30</formula>
    </cfRule>
  </conditionalFormatting>
  <conditionalFormatting sqref="E34:U34">
    <cfRule type="expression" dxfId="0" priority="7">
      <formula>E34&lt;&gt;E64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217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7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36"/>
    </row>
    <row r="14" ht="12.75" customHeight="1">
      <c r="A14" s="18"/>
      <c r="B14" s="22" t="s">
        <v>11</v>
      </c>
      <c r="C14" s="23"/>
      <c r="D14" s="19" t="s">
        <v>12</v>
      </c>
      <c r="E14" s="19">
        <v>133.0</v>
      </c>
      <c r="F14" s="19">
        <v>134.0</v>
      </c>
      <c r="G14" s="19">
        <v>113.0</v>
      </c>
      <c r="H14" s="19">
        <v>131.0</v>
      </c>
      <c r="I14" s="19">
        <v>63.0</v>
      </c>
      <c r="J14" s="19">
        <v>107.0</v>
      </c>
      <c r="K14" s="19">
        <v>122.0</v>
      </c>
      <c r="L14" s="19">
        <v>112.0</v>
      </c>
      <c r="M14" s="19">
        <v>141.0</v>
      </c>
      <c r="N14" s="19">
        <v>149.0</v>
      </c>
      <c r="O14" s="19">
        <v>127.0</v>
      </c>
      <c r="P14" s="19">
        <v>137.0</v>
      </c>
      <c r="Q14" s="19">
        <v>132.0</v>
      </c>
      <c r="R14" s="19">
        <v>107.0</v>
      </c>
      <c r="S14" s="19">
        <v>144.0</v>
      </c>
      <c r="T14" s="13">
        <f t="shared" ref="T14:T16" si="1">SUM(E14:S14)</f>
        <v>1852</v>
      </c>
    </row>
    <row r="15" ht="12.75" customHeight="1">
      <c r="A15" s="18"/>
      <c r="B15" s="26"/>
      <c r="C15" s="27"/>
      <c r="D15" s="19" t="s">
        <v>13</v>
      </c>
      <c r="E15" s="19">
        <v>139.0</v>
      </c>
      <c r="F15" s="19">
        <v>128.0</v>
      </c>
      <c r="G15" s="19">
        <v>111.0</v>
      </c>
      <c r="H15" s="19">
        <v>134.0</v>
      </c>
      <c r="I15" s="19">
        <v>75.0</v>
      </c>
      <c r="J15" s="19">
        <v>130.0</v>
      </c>
      <c r="K15" s="19">
        <v>117.0</v>
      </c>
      <c r="L15" s="19">
        <v>115.0</v>
      </c>
      <c r="M15" s="19">
        <v>117.0</v>
      </c>
      <c r="N15" s="19">
        <v>138.0</v>
      </c>
      <c r="O15" s="19">
        <v>141.0</v>
      </c>
      <c r="P15" s="19">
        <v>130.0</v>
      </c>
      <c r="Q15" s="19">
        <v>136.0</v>
      </c>
      <c r="R15" s="19">
        <v>99.0</v>
      </c>
      <c r="S15" s="19">
        <v>129.0</v>
      </c>
      <c r="T15" s="13">
        <f t="shared" si="1"/>
        <v>1839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272</v>
      </c>
      <c r="F16" s="13">
        <f t="shared" si="2"/>
        <v>262</v>
      </c>
      <c r="G16" s="13">
        <f t="shared" si="2"/>
        <v>224</v>
      </c>
      <c r="H16" s="13">
        <f t="shared" si="2"/>
        <v>265</v>
      </c>
      <c r="I16" s="13">
        <f t="shared" si="2"/>
        <v>138</v>
      </c>
      <c r="J16" s="13">
        <f t="shared" si="2"/>
        <v>237</v>
      </c>
      <c r="K16" s="13">
        <f t="shared" si="2"/>
        <v>239</v>
      </c>
      <c r="L16" s="13">
        <f t="shared" si="2"/>
        <v>227</v>
      </c>
      <c r="M16" s="13">
        <f t="shared" si="2"/>
        <v>258</v>
      </c>
      <c r="N16" s="13">
        <f t="shared" si="2"/>
        <v>287</v>
      </c>
      <c r="O16" s="13">
        <f t="shared" si="2"/>
        <v>268</v>
      </c>
      <c r="P16" s="13">
        <f t="shared" si="2"/>
        <v>267</v>
      </c>
      <c r="Q16" s="13">
        <f t="shared" si="2"/>
        <v>268</v>
      </c>
      <c r="R16" s="13">
        <f t="shared" si="2"/>
        <v>206</v>
      </c>
      <c r="S16" s="13">
        <f t="shared" si="2"/>
        <v>273</v>
      </c>
      <c r="T16" s="13">
        <f t="shared" si="1"/>
        <v>3691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108.0</v>
      </c>
      <c r="F19" s="19">
        <v>88.0</v>
      </c>
      <c r="G19" s="19">
        <v>82.0</v>
      </c>
      <c r="H19" s="19">
        <v>102.0</v>
      </c>
      <c r="I19" s="19">
        <v>46.0</v>
      </c>
      <c r="J19" s="19">
        <v>90.0</v>
      </c>
      <c r="K19" s="19">
        <v>94.0</v>
      </c>
      <c r="L19" s="19">
        <v>78.0</v>
      </c>
      <c r="M19" s="19">
        <v>87.0</v>
      </c>
      <c r="N19" s="19">
        <v>113.0</v>
      </c>
      <c r="O19" s="19">
        <v>101.0</v>
      </c>
      <c r="P19" s="19">
        <v>103.0</v>
      </c>
      <c r="Q19" s="19">
        <v>101.0</v>
      </c>
      <c r="R19" s="19">
        <v>94.0</v>
      </c>
      <c r="S19" s="19">
        <v>122.0</v>
      </c>
      <c r="T19" s="13">
        <f t="shared" ref="T19:T30" si="3">SUM(E19:S19)</f>
        <v>1409</v>
      </c>
    </row>
    <row r="20" ht="12.75" customHeight="1">
      <c r="A20" s="33"/>
      <c r="B20" s="27"/>
      <c r="C20" s="34"/>
      <c r="D20" s="19" t="s">
        <v>13</v>
      </c>
      <c r="E20" s="19">
        <v>119.0</v>
      </c>
      <c r="F20" s="19">
        <v>92.0</v>
      </c>
      <c r="G20" s="19">
        <v>77.0</v>
      </c>
      <c r="H20" s="19">
        <v>111.0</v>
      </c>
      <c r="I20" s="19">
        <v>58.0</v>
      </c>
      <c r="J20" s="19">
        <v>113.0</v>
      </c>
      <c r="K20" s="19">
        <v>105.0</v>
      </c>
      <c r="L20" s="19">
        <v>93.0</v>
      </c>
      <c r="M20" s="19">
        <v>86.0</v>
      </c>
      <c r="N20" s="19">
        <v>117.0</v>
      </c>
      <c r="O20" s="19">
        <v>120.0</v>
      </c>
      <c r="P20" s="19">
        <v>115.0</v>
      </c>
      <c r="Q20" s="19">
        <v>124.0</v>
      </c>
      <c r="R20" s="19">
        <v>91.0</v>
      </c>
      <c r="S20" s="19">
        <v>113.0</v>
      </c>
      <c r="T20" s="13">
        <f t="shared" si="3"/>
        <v>1534</v>
      </c>
    </row>
    <row r="21" ht="12.75" customHeight="1">
      <c r="A21" s="35"/>
      <c r="B21" s="28"/>
      <c r="C21" s="36"/>
      <c r="D21" s="13" t="s">
        <v>14</v>
      </c>
      <c r="E21" s="13">
        <f t="shared" ref="E21:S21" si="4">SUM(E19:E20)</f>
        <v>227</v>
      </c>
      <c r="F21" s="13">
        <f t="shared" si="4"/>
        <v>180</v>
      </c>
      <c r="G21" s="13">
        <f t="shared" si="4"/>
        <v>159</v>
      </c>
      <c r="H21" s="13">
        <f t="shared" si="4"/>
        <v>213</v>
      </c>
      <c r="I21" s="13">
        <f t="shared" si="4"/>
        <v>104</v>
      </c>
      <c r="J21" s="13">
        <f t="shared" si="4"/>
        <v>203</v>
      </c>
      <c r="K21" s="13">
        <f t="shared" si="4"/>
        <v>199</v>
      </c>
      <c r="L21" s="13">
        <f t="shared" si="4"/>
        <v>171</v>
      </c>
      <c r="M21" s="13">
        <f t="shared" si="4"/>
        <v>173</v>
      </c>
      <c r="N21" s="13">
        <f t="shared" si="4"/>
        <v>230</v>
      </c>
      <c r="O21" s="13">
        <f t="shared" si="4"/>
        <v>221</v>
      </c>
      <c r="P21" s="13">
        <f t="shared" si="4"/>
        <v>218</v>
      </c>
      <c r="Q21" s="13">
        <f t="shared" si="4"/>
        <v>225</v>
      </c>
      <c r="R21" s="13">
        <f t="shared" si="4"/>
        <v>185</v>
      </c>
      <c r="S21" s="13">
        <f t="shared" si="4"/>
        <v>235</v>
      </c>
      <c r="T21" s="13">
        <f t="shared" si="3"/>
        <v>2943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2.0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1.0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1.0</v>
      </c>
      <c r="S22" s="19">
        <v>0.0</v>
      </c>
      <c r="T22" s="13">
        <f t="shared" si="3"/>
        <v>6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3.0</v>
      </c>
      <c r="G23" s="19">
        <v>0.0</v>
      </c>
      <c r="H23" s="19">
        <v>1.0</v>
      </c>
      <c r="I23" s="19">
        <v>0.0</v>
      </c>
      <c r="J23" s="19">
        <v>1.0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1.0</v>
      </c>
      <c r="S23" s="19">
        <v>0.0</v>
      </c>
      <c r="T23" s="13">
        <f t="shared" si="3"/>
        <v>7</v>
      </c>
    </row>
    <row r="24" ht="12.75" customHeight="1">
      <c r="A24" s="35"/>
      <c r="B24" s="28"/>
      <c r="C24" s="36"/>
      <c r="D24" s="13" t="s">
        <v>14</v>
      </c>
      <c r="E24" s="13">
        <f t="shared" ref="E24:S24" si="5">SUM(E22:E23)</f>
        <v>2</v>
      </c>
      <c r="F24" s="13">
        <f t="shared" si="5"/>
        <v>5</v>
      </c>
      <c r="G24" s="13">
        <f t="shared" si="5"/>
        <v>0</v>
      </c>
      <c r="H24" s="13">
        <f t="shared" si="5"/>
        <v>1</v>
      </c>
      <c r="I24" s="13">
        <f t="shared" si="5"/>
        <v>0</v>
      </c>
      <c r="J24" s="13">
        <f t="shared" si="5"/>
        <v>2</v>
      </c>
      <c r="K24" s="13">
        <f t="shared" si="5"/>
        <v>0</v>
      </c>
      <c r="L24" s="13">
        <f t="shared" si="5"/>
        <v>1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2</v>
      </c>
      <c r="S24" s="13">
        <f t="shared" si="5"/>
        <v>0</v>
      </c>
      <c r="T24" s="13">
        <f t="shared" si="3"/>
        <v>13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1.0</v>
      </c>
      <c r="H25" s="19">
        <v>0.0</v>
      </c>
      <c r="I25" s="19">
        <v>0.0</v>
      </c>
      <c r="J25" s="19">
        <v>2.0</v>
      </c>
      <c r="K25" s="19">
        <v>0.0</v>
      </c>
      <c r="L25" s="19">
        <v>1.0</v>
      </c>
      <c r="M25" s="19">
        <v>1.0</v>
      </c>
      <c r="N25" s="19">
        <v>0.0</v>
      </c>
      <c r="O25" s="19">
        <v>1.0</v>
      </c>
      <c r="P25" s="19">
        <v>0.0</v>
      </c>
      <c r="Q25" s="19">
        <v>8.0</v>
      </c>
      <c r="R25" s="19">
        <v>1.0</v>
      </c>
      <c r="S25" s="19">
        <v>2.0</v>
      </c>
      <c r="T25" s="13">
        <f t="shared" si="3"/>
        <v>18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1.0</v>
      </c>
      <c r="G26" s="19">
        <v>0.0</v>
      </c>
      <c r="H26" s="19">
        <v>0.0</v>
      </c>
      <c r="I26" s="19">
        <v>0.0</v>
      </c>
      <c r="J26" s="19">
        <v>2.0</v>
      </c>
      <c r="K26" s="19">
        <v>0.0</v>
      </c>
      <c r="L26" s="19">
        <v>2.0</v>
      </c>
      <c r="M26" s="19">
        <v>0.0</v>
      </c>
      <c r="N26" s="19">
        <v>0.0</v>
      </c>
      <c r="O26" s="19">
        <v>3.0</v>
      </c>
      <c r="P26" s="19">
        <v>0.0</v>
      </c>
      <c r="Q26" s="19">
        <v>8.0</v>
      </c>
      <c r="R26" s="19">
        <v>2.0</v>
      </c>
      <c r="S26" s="19">
        <v>5.0</v>
      </c>
      <c r="T26" s="13">
        <f t="shared" si="3"/>
        <v>23</v>
      </c>
    </row>
    <row r="27" ht="12.75" customHeight="1">
      <c r="A27" s="35"/>
      <c r="B27" s="28"/>
      <c r="C27" s="36"/>
      <c r="D27" s="13" t="s">
        <v>14</v>
      </c>
      <c r="E27" s="13">
        <f t="shared" ref="E27:S27" si="6">SUM(E25:E26)</f>
        <v>1</v>
      </c>
      <c r="F27" s="13">
        <f t="shared" si="6"/>
        <v>1</v>
      </c>
      <c r="G27" s="13">
        <f t="shared" si="6"/>
        <v>1</v>
      </c>
      <c r="H27" s="13">
        <f t="shared" si="6"/>
        <v>0</v>
      </c>
      <c r="I27" s="13">
        <f t="shared" si="6"/>
        <v>0</v>
      </c>
      <c r="J27" s="13">
        <f t="shared" si="6"/>
        <v>4</v>
      </c>
      <c r="K27" s="13">
        <f t="shared" si="6"/>
        <v>0</v>
      </c>
      <c r="L27" s="13">
        <f t="shared" si="6"/>
        <v>3</v>
      </c>
      <c r="M27" s="13">
        <f t="shared" si="6"/>
        <v>1</v>
      </c>
      <c r="N27" s="13">
        <f t="shared" si="6"/>
        <v>0</v>
      </c>
      <c r="O27" s="13">
        <f t="shared" si="6"/>
        <v>4</v>
      </c>
      <c r="P27" s="13">
        <f t="shared" si="6"/>
        <v>0</v>
      </c>
      <c r="Q27" s="13">
        <f t="shared" si="6"/>
        <v>16</v>
      </c>
      <c r="R27" s="13">
        <f t="shared" si="6"/>
        <v>3</v>
      </c>
      <c r="S27" s="13">
        <f t="shared" si="6"/>
        <v>7</v>
      </c>
      <c r="T27" s="13">
        <f t="shared" si="3"/>
        <v>41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S28" si="7">SUM(E19,E22,E25)</f>
        <v>110</v>
      </c>
      <c r="F28" s="13">
        <f t="shared" si="7"/>
        <v>90</v>
      </c>
      <c r="G28" s="13">
        <f t="shared" si="7"/>
        <v>83</v>
      </c>
      <c r="H28" s="13">
        <f t="shared" si="7"/>
        <v>102</v>
      </c>
      <c r="I28" s="13">
        <f t="shared" si="7"/>
        <v>46</v>
      </c>
      <c r="J28" s="13">
        <f t="shared" si="7"/>
        <v>93</v>
      </c>
      <c r="K28" s="13">
        <f t="shared" si="7"/>
        <v>94</v>
      </c>
      <c r="L28" s="13">
        <f t="shared" si="7"/>
        <v>80</v>
      </c>
      <c r="M28" s="13">
        <f t="shared" si="7"/>
        <v>88</v>
      </c>
      <c r="N28" s="13">
        <f t="shared" si="7"/>
        <v>113</v>
      </c>
      <c r="O28" s="13">
        <f t="shared" si="7"/>
        <v>102</v>
      </c>
      <c r="P28" s="13">
        <f t="shared" si="7"/>
        <v>103</v>
      </c>
      <c r="Q28" s="13">
        <f t="shared" si="7"/>
        <v>109</v>
      </c>
      <c r="R28" s="13">
        <f t="shared" si="7"/>
        <v>96</v>
      </c>
      <c r="S28" s="13">
        <f t="shared" si="7"/>
        <v>124</v>
      </c>
      <c r="T28" s="13">
        <f t="shared" si="3"/>
        <v>1433</v>
      </c>
    </row>
    <row r="29" ht="12.75" customHeight="1">
      <c r="A29" s="35"/>
      <c r="B29" s="27"/>
      <c r="C29" s="34"/>
      <c r="D29" s="13" t="s">
        <v>13</v>
      </c>
      <c r="E29" s="13">
        <f t="shared" ref="E29:S29" si="8">SUM(E20,E23,E26)</f>
        <v>120</v>
      </c>
      <c r="F29" s="13">
        <f t="shared" si="8"/>
        <v>96</v>
      </c>
      <c r="G29" s="13">
        <f t="shared" si="8"/>
        <v>77</v>
      </c>
      <c r="H29" s="13">
        <f t="shared" si="8"/>
        <v>112</v>
      </c>
      <c r="I29" s="13">
        <f t="shared" si="8"/>
        <v>58</v>
      </c>
      <c r="J29" s="13">
        <f t="shared" si="8"/>
        <v>116</v>
      </c>
      <c r="K29" s="13">
        <f t="shared" si="8"/>
        <v>105</v>
      </c>
      <c r="L29" s="13">
        <f t="shared" si="8"/>
        <v>95</v>
      </c>
      <c r="M29" s="13">
        <f t="shared" si="8"/>
        <v>86</v>
      </c>
      <c r="N29" s="13">
        <f t="shared" si="8"/>
        <v>117</v>
      </c>
      <c r="O29" s="13">
        <f t="shared" si="8"/>
        <v>123</v>
      </c>
      <c r="P29" s="13">
        <f t="shared" si="8"/>
        <v>115</v>
      </c>
      <c r="Q29" s="13">
        <f t="shared" si="8"/>
        <v>132</v>
      </c>
      <c r="R29" s="13">
        <f t="shared" si="8"/>
        <v>94</v>
      </c>
      <c r="S29" s="13">
        <f t="shared" si="8"/>
        <v>118</v>
      </c>
      <c r="T29" s="13">
        <f t="shared" si="3"/>
        <v>1564</v>
      </c>
    </row>
    <row r="30" ht="12.75" customHeight="1">
      <c r="A30" s="35"/>
      <c r="B30" s="28"/>
      <c r="C30" s="36"/>
      <c r="D30" s="13" t="s">
        <v>14</v>
      </c>
      <c r="E30" s="13">
        <f t="shared" ref="E30:S30" si="9">SUM(E28:E29)</f>
        <v>230</v>
      </c>
      <c r="F30" s="13">
        <f t="shared" si="9"/>
        <v>186</v>
      </c>
      <c r="G30" s="13">
        <f t="shared" si="9"/>
        <v>160</v>
      </c>
      <c r="H30" s="13">
        <f t="shared" si="9"/>
        <v>214</v>
      </c>
      <c r="I30" s="13">
        <f t="shared" si="9"/>
        <v>104</v>
      </c>
      <c r="J30" s="13">
        <f t="shared" si="9"/>
        <v>209</v>
      </c>
      <c r="K30" s="13">
        <f t="shared" si="9"/>
        <v>199</v>
      </c>
      <c r="L30" s="13">
        <f t="shared" si="9"/>
        <v>175</v>
      </c>
      <c r="M30" s="13">
        <f t="shared" si="9"/>
        <v>174</v>
      </c>
      <c r="N30" s="13">
        <f t="shared" si="9"/>
        <v>230</v>
      </c>
      <c r="O30" s="13">
        <f t="shared" si="9"/>
        <v>225</v>
      </c>
      <c r="P30" s="13">
        <f t="shared" si="9"/>
        <v>218</v>
      </c>
      <c r="Q30" s="13">
        <f t="shared" si="9"/>
        <v>241</v>
      </c>
      <c r="R30" s="13">
        <f t="shared" si="9"/>
        <v>190</v>
      </c>
      <c r="S30" s="13">
        <f t="shared" si="9"/>
        <v>242</v>
      </c>
      <c r="T30" s="13">
        <f t="shared" si="3"/>
        <v>2997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76"/>
    </row>
    <row r="33" ht="12.75" customHeight="1">
      <c r="A33" s="19">
        <v>1.0</v>
      </c>
      <c r="B33" s="20" t="s">
        <v>27</v>
      </c>
      <c r="C33" s="15"/>
      <c r="D33" s="16"/>
      <c r="E33" s="19">
        <v>277.0</v>
      </c>
      <c r="F33" s="19">
        <v>267.0</v>
      </c>
      <c r="G33" s="19">
        <v>229.0</v>
      </c>
      <c r="H33" s="19">
        <v>270.0</v>
      </c>
      <c r="I33" s="19">
        <v>140.0</v>
      </c>
      <c r="J33" s="19">
        <v>241.0</v>
      </c>
      <c r="K33" s="19">
        <v>245.0</v>
      </c>
      <c r="L33" s="19">
        <v>231.0</v>
      </c>
      <c r="M33" s="19">
        <v>264.0</v>
      </c>
      <c r="N33" s="19">
        <v>293.0</v>
      </c>
      <c r="O33" s="19">
        <v>274.0</v>
      </c>
      <c r="P33" s="19">
        <v>273.0</v>
      </c>
      <c r="Q33" s="19">
        <v>274.0</v>
      </c>
      <c r="R33" s="19">
        <v>211.0</v>
      </c>
      <c r="S33" s="19">
        <v>279.0</v>
      </c>
      <c r="T33" s="13">
        <f t="shared" ref="T33:T36" si="10">SUM(E33:S33)</f>
        <v>3768</v>
      </c>
    </row>
    <row r="34" ht="12.75" customHeight="1">
      <c r="A34" s="19">
        <v>2.0</v>
      </c>
      <c r="B34" s="20" t="s">
        <v>28</v>
      </c>
      <c r="C34" s="15"/>
      <c r="D34" s="16"/>
      <c r="E34" s="13">
        <v>230.0</v>
      </c>
      <c r="F34" s="13">
        <v>186.0</v>
      </c>
      <c r="G34" s="13">
        <v>160.0</v>
      </c>
      <c r="H34" s="13">
        <v>214.0</v>
      </c>
      <c r="I34" s="13">
        <v>104.0</v>
      </c>
      <c r="J34" s="13">
        <v>209.0</v>
      </c>
      <c r="K34" s="13">
        <v>199.0</v>
      </c>
      <c r="L34" s="13">
        <v>175.0</v>
      </c>
      <c r="M34" s="13">
        <v>174.0</v>
      </c>
      <c r="N34" s="13">
        <v>230.0</v>
      </c>
      <c r="O34" s="13">
        <v>225.0</v>
      </c>
      <c r="P34" s="13">
        <v>218.0</v>
      </c>
      <c r="Q34" s="13">
        <v>241.0</v>
      </c>
      <c r="R34" s="13">
        <v>190.0</v>
      </c>
      <c r="S34" s="13">
        <v>242.0</v>
      </c>
      <c r="T34" s="13">
        <f t="shared" si="10"/>
        <v>2997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1.0</v>
      </c>
      <c r="K35" s="19">
        <v>0.0</v>
      </c>
      <c r="L35" s="19">
        <v>0.0</v>
      </c>
      <c r="M35" s="19">
        <v>4.0</v>
      </c>
      <c r="N35" s="19">
        <v>0.0</v>
      </c>
      <c r="O35" s="19">
        <v>0.0</v>
      </c>
      <c r="P35" s="19">
        <v>1.0</v>
      </c>
      <c r="Q35" s="19">
        <v>0.0</v>
      </c>
      <c r="R35" s="19">
        <v>0.0</v>
      </c>
      <c r="S35" s="19">
        <v>1.0</v>
      </c>
      <c r="T35" s="13">
        <f t="shared" si="10"/>
        <v>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47</v>
      </c>
      <c r="F36" s="13">
        <f t="shared" si="11"/>
        <v>81</v>
      </c>
      <c r="G36" s="13">
        <f t="shared" si="11"/>
        <v>69</v>
      </c>
      <c r="H36" s="13">
        <f t="shared" si="11"/>
        <v>56</v>
      </c>
      <c r="I36" s="13">
        <f t="shared" si="11"/>
        <v>36</v>
      </c>
      <c r="J36" s="13">
        <f t="shared" si="11"/>
        <v>31</v>
      </c>
      <c r="K36" s="13">
        <f t="shared" si="11"/>
        <v>46</v>
      </c>
      <c r="L36" s="13">
        <f t="shared" si="11"/>
        <v>56</v>
      </c>
      <c r="M36" s="13">
        <f t="shared" si="11"/>
        <v>86</v>
      </c>
      <c r="N36" s="13">
        <f t="shared" si="11"/>
        <v>63</v>
      </c>
      <c r="O36" s="13">
        <f t="shared" si="11"/>
        <v>49</v>
      </c>
      <c r="P36" s="13">
        <f t="shared" si="11"/>
        <v>54</v>
      </c>
      <c r="Q36" s="13">
        <f t="shared" si="11"/>
        <v>33</v>
      </c>
      <c r="R36" s="13">
        <f t="shared" si="11"/>
        <v>21</v>
      </c>
      <c r="S36" s="13">
        <f t="shared" si="11"/>
        <v>36</v>
      </c>
      <c r="T36" s="13">
        <f t="shared" si="10"/>
        <v>764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6"/>
      <c r="P37" s="19"/>
      <c r="Q37" s="19"/>
      <c r="R37" s="19"/>
      <c r="S37" s="19"/>
      <c r="T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76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2.0</v>
      </c>
      <c r="H39" s="19">
        <v>1.0</v>
      </c>
      <c r="I39" s="19">
        <v>0.0</v>
      </c>
      <c r="J39" s="19">
        <v>1.0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3">
        <f t="shared" ref="T39:T41" si="12">SUM(E39:S39)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1.0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1.0</v>
      </c>
      <c r="T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3</v>
      </c>
      <c r="H41" s="13">
        <f t="shared" si="13"/>
        <v>1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2"/>
        <v>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6"/>
      <c r="P42" s="19"/>
      <c r="Q42" s="19"/>
      <c r="R42" s="19"/>
      <c r="S42" s="19"/>
      <c r="T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8.0</v>
      </c>
      <c r="F45" s="19">
        <v>5.0</v>
      </c>
      <c r="G45" s="19">
        <v>1.0</v>
      </c>
      <c r="H45" s="19">
        <v>4.0</v>
      </c>
      <c r="I45" s="19">
        <v>1.0</v>
      </c>
      <c r="J45" s="19">
        <v>1.0</v>
      </c>
      <c r="K45" s="19">
        <v>1.0</v>
      </c>
      <c r="L45" s="19">
        <v>5.0</v>
      </c>
      <c r="M45" s="19">
        <v>3.0</v>
      </c>
      <c r="N45" s="19">
        <v>14.0</v>
      </c>
      <c r="O45" s="19">
        <v>11.0</v>
      </c>
      <c r="P45" s="19">
        <v>7.0</v>
      </c>
      <c r="Q45" s="19">
        <v>5.0</v>
      </c>
      <c r="R45" s="19">
        <v>7.0</v>
      </c>
      <c r="S45" s="19">
        <v>4.0</v>
      </c>
      <c r="T45" s="13">
        <f t="shared" ref="T45:T54" si="14">SUM(E45:S45)</f>
        <v>77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6.0</v>
      </c>
      <c r="F46" s="19">
        <v>3.0</v>
      </c>
      <c r="G46" s="19">
        <v>2.0</v>
      </c>
      <c r="H46" s="19">
        <v>4.0</v>
      </c>
      <c r="I46" s="19">
        <v>2.0</v>
      </c>
      <c r="J46" s="19">
        <v>7.0</v>
      </c>
      <c r="K46" s="19">
        <v>5.0</v>
      </c>
      <c r="L46" s="19">
        <v>2.0</v>
      </c>
      <c r="M46" s="19">
        <v>4.0</v>
      </c>
      <c r="N46" s="19">
        <v>12.0</v>
      </c>
      <c r="O46" s="19">
        <v>27.0</v>
      </c>
      <c r="P46" s="19">
        <v>15.0</v>
      </c>
      <c r="Q46" s="19">
        <v>18.0</v>
      </c>
      <c r="R46" s="19">
        <v>27.0</v>
      </c>
      <c r="S46" s="19">
        <v>19.0</v>
      </c>
      <c r="T46" s="13">
        <f t="shared" si="14"/>
        <v>153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3.0</v>
      </c>
      <c r="G47" s="19">
        <v>12.0</v>
      </c>
      <c r="H47" s="19">
        <v>4.0</v>
      </c>
      <c r="I47" s="19">
        <v>1.0</v>
      </c>
      <c r="J47" s="19">
        <v>2.0</v>
      </c>
      <c r="K47" s="19">
        <v>2.0</v>
      </c>
      <c r="L47" s="19">
        <v>1.0</v>
      </c>
      <c r="M47" s="19">
        <v>1.0</v>
      </c>
      <c r="N47" s="19">
        <v>1.0</v>
      </c>
      <c r="O47" s="19">
        <v>3.0</v>
      </c>
      <c r="P47" s="19">
        <v>0.0</v>
      </c>
      <c r="Q47" s="19">
        <v>5.0</v>
      </c>
      <c r="R47" s="19">
        <v>6.0</v>
      </c>
      <c r="S47" s="19">
        <v>1.0</v>
      </c>
      <c r="T47" s="13">
        <f t="shared" si="14"/>
        <v>43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1.0</v>
      </c>
      <c r="G48" s="19">
        <v>0.0</v>
      </c>
      <c r="H48" s="19">
        <v>0.0</v>
      </c>
      <c r="I48" s="19">
        <v>0.0</v>
      </c>
      <c r="J48" s="19">
        <v>0.0</v>
      </c>
      <c r="K48" s="19">
        <v>0.0</v>
      </c>
      <c r="L48" s="19">
        <v>0.0</v>
      </c>
      <c r="M48" s="19">
        <v>0.0</v>
      </c>
      <c r="N48" s="19">
        <v>0.0</v>
      </c>
      <c r="O48" s="19">
        <v>0.0</v>
      </c>
      <c r="P48" s="19">
        <v>1.0</v>
      </c>
      <c r="Q48" s="19">
        <v>3.0</v>
      </c>
      <c r="R48" s="19">
        <v>0.0</v>
      </c>
      <c r="S48" s="19">
        <v>0.0</v>
      </c>
      <c r="T48" s="13">
        <f t="shared" si="14"/>
        <v>5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19">
        <v>4.0</v>
      </c>
      <c r="L49" s="19">
        <v>0.0</v>
      </c>
      <c r="M49" s="19">
        <v>2.0</v>
      </c>
      <c r="N49" s="19">
        <v>0.0</v>
      </c>
      <c r="O49" s="19">
        <v>4.0</v>
      </c>
      <c r="P49" s="19">
        <v>2.0</v>
      </c>
      <c r="Q49" s="19">
        <v>0.0</v>
      </c>
      <c r="R49" s="19">
        <v>1.0</v>
      </c>
      <c r="S49" s="19">
        <v>0.0</v>
      </c>
      <c r="T49" s="13">
        <f t="shared" si="14"/>
        <v>13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2.0</v>
      </c>
      <c r="G50" s="19">
        <v>0.0</v>
      </c>
      <c r="H50" s="19">
        <v>0.0</v>
      </c>
      <c r="I50" s="19">
        <v>0.0</v>
      </c>
      <c r="J50" s="19">
        <v>0.0</v>
      </c>
      <c r="K50" s="19">
        <v>2.0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3">
        <f t="shared" si="14"/>
        <v>4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1.0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3">
        <f t="shared" si="14"/>
        <v>1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1.0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3">
        <f t="shared" si="14"/>
        <v>1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T55" si="15">SUM(E45:E54)</f>
        <v>15</v>
      </c>
      <c r="F55" s="13">
        <f t="shared" si="15"/>
        <v>14</v>
      </c>
      <c r="G55" s="13">
        <f t="shared" si="15"/>
        <v>16</v>
      </c>
      <c r="H55" s="13">
        <f t="shared" si="15"/>
        <v>12</v>
      </c>
      <c r="I55" s="13">
        <f t="shared" si="15"/>
        <v>4</v>
      </c>
      <c r="J55" s="13">
        <f t="shared" si="15"/>
        <v>10</v>
      </c>
      <c r="K55" s="13">
        <f t="shared" si="15"/>
        <v>15</v>
      </c>
      <c r="L55" s="13">
        <f t="shared" si="15"/>
        <v>8</v>
      </c>
      <c r="M55" s="13">
        <f t="shared" si="15"/>
        <v>10</v>
      </c>
      <c r="N55" s="13">
        <f t="shared" si="15"/>
        <v>27</v>
      </c>
      <c r="O55" s="13">
        <f t="shared" si="15"/>
        <v>45</v>
      </c>
      <c r="P55" s="13">
        <f t="shared" si="15"/>
        <v>25</v>
      </c>
      <c r="Q55" s="13">
        <f t="shared" si="15"/>
        <v>31</v>
      </c>
      <c r="R55" s="13">
        <f t="shared" si="15"/>
        <v>41</v>
      </c>
      <c r="S55" s="13">
        <f t="shared" si="15"/>
        <v>24</v>
      </c>
      <c r="T55" s="13">
        <f t="shared" si="15"/>
        <v>297</v>
      </c>
    </row>
    <row r="56" ht="12.75" customHeight="1">
      <c r="A56" s="45"/>
      <c r="B56" s="44"/>
      <c r="C56" s="44"/>
      <c r="D56" s="44"/>
      <c r="E56" s="44"/>
      <c r="T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4.0</v>
      </c>
      <c r="F57" s="19">
        <v>8.0</v>
      </c>
      <c r="G57" s="19">
        <v>5.0</v>
      </c>
      <c r="H57" s="19">
        <v>5.0</v>
      </c>
      <c r="I57" s="19">
        <v>4.0</v>
      </c>
      <c r="J57" s="19">
        <v>2.0</v>
      </c>
      <c r="K57" s="19">
        <v>6.0</v>
      </c>
      <c r="L57" s="19">
        <v>4.0</v>
      </c>
      <c r="M57" s="19">
        <v>6.0</v>
      </c>
      <c r="N57" s="19">
        <v>12.0</v>
      </c>
      <c r="O57" s="19">
        <v>4.0</v>
      </c>
      <c r="P57" s="19">
        <v>0.0</v>
      </c>
      <c r="Q57" s="19">
        <v>6.0</v>
      </c>
      <c r="R57" s="19">
        <v>7.0</v>
      </c>
      <c r="S57" s="19">
        <v>9.0</v>
      </c>
      <c r="T57" s="13">
        <f t="shared" ref="T57:T66" si="16">SUM(E57:S57)</f>
        <v>82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21.0</v>
      </c>
      <c r="F58" s="19">
        <v>17.0</v>
      </c>
      <c r="G58" s="19">
        <v>28.0</v>
      </c>
      <c r="H58" s="19">
        <v>62.0</v>
      </c>
      <c r="I58" s="19">
        <v>31.0</v>
      </c>
      <c r="J58" s="19">
        <v>16.0</v>
      </c>
      <c r="K58" s="19">
        <v>7.0</v>
      </c>
      <c r="L58" s="19">
        <v>5.0</v>
      </c>
      <c r="M58" s="19">
        <v>11.0</v>
      </c>
      <c r="N58" s="19">
        <v>17.0</v>
      </c>
      <c r="O58" s="19">
        <v>4.0</v>
      </c>
      <c r="P58" s="19">
        <v>0.0</v>
      </c>
      <c r="Q58" s="19">
        <v>8.0</v>
      </c>
      <c r="R58" s="19">
        <v>8.0</v>
      </c>
      <c r="S58" s="19">
        <v>7.0</v>
      </c>
      <c r="T58" s="13">
        <f t="shared" si="16"/>
        <v>242</v>
      </c>
    </row>
    <row r="59" ht="12.75" customHeight="1">
      <c r="A59" s="18"/>
      <c r="B59" s="55">
        <v>2.0</v>
      </c>
      <c r="C59" s="50" t="s">
        <v>50</v>
      </c>
      <c r="D59" s="59"/>
      <c r="E59" s="19">
        <v>0.0</v>
      </c>
      <c r="F59" s="19">
        <v>1.0</v>
      </c>
      <c r="G59" s="19">
        <v>4.0</v>
      </c>
      <c r="H59" s="19">
        <v>1.0</v>
      </c>
      <c r="I59" s="19">
        <v>0.0</v>
      </c>
      <c r="J59" s="19">
        <v>1.0</v>
      </c>
      <c r="K59" s="19">
        <v>0.0</v>
      </c>
      <c r="L59" s="19">
        <v>1.0</v>
      </c>
      <c r="M59" s="19">
        <v>1.0</v>
      </c>
      <c r="N59" s="19">
        <v>1.0</v>
      </c>
      <c r="O59" s="19">
        <v>6.0</v>
      </c>
      <c r="P59" s="19">
        <v>1.0</v>
      </c>
      <c r="Q59" s="19">
        <v>1.0</v>
      </c>
      <c r="R59" s="19">
        <v>2.0</v>
      </c>
      <c r="S59" s="19">
        <v>2.0</v>
      </c>
      <c r="T59" s="13">
        <f t="shared" si="16"/>
        <v>22</v>
      </c>
    </row>
    <row r="60" ht="12.75" customHeight="1">
      <c r="A60" s="18"/>
      <c r="B60" s="55">
        <v>3.0</v>
      </c>
      <c r="C60" s="50" t="s">
        <v>51</v>
      </c>
      <c r="D60" s="59"/>
      <c r="E60" s="19">
        <v>1.0</v>
      </c>
      <c r="F60" s="19">
        <v>0.0</v>
      </c>
      <c r="G60" s="19">
        <v>0.0</v>
      </c>
      <c r="H60" s="19">
        <v>0.0</v>
      </c>
      <c r="I60" s="19">
        <v>0.0</v>
      </c>
      <c r="J60" s="19">
        <v>1.0</v>
      </c>
      <c r="K60" s="19">
        <v>0.0</v>
      </c>
      <c r="L60" s="19">
        <v>0.0</v>
      </c>
      <c r="M60" s="19">
        <v>0.0</v>
      </c>
      <c r="N60" s="19">
        <v>0.0</v>
      </c>
      <c r="O60" s="19">
        <v>1.0</v>
      </c>
      <c r="P60" s="19">
        <v>1.0</v>
      </c>
      <c r="Q60" s="19">
        <v>4.0</v>
      </c>
      <c r="R60" s="19">
        <v>2.0</v>
      </c>
      <c r="S60" s="19">
        <v>0.0</v>
      </c>
      <c r="T60" s="13">
        <f t="shared" si="16"/>
        <v>10</v>
      </c>
    </row>
    <row r="61" ht="12.75" customHeight="1">
      <c r="A61" s="18"/>
      <c r="B61" s="55">
        <v>4.0</v>
      </c>
      <c r="C61" s="50" t="s">
        <v>52</v>
      </c>
      <c r="D61" s="59"/>
      <c r="E61" s="19">
        <v>1.0</v>
      </c>
      <c r="F61" s="19">
        <v>2.0</v>
      </c>
      <c r="G61" s="19">
        <v>0.0</v>
      </c>
      <c r="H61" s="19">
        <v>1.0</v>
      </c>
      <c r="I61" s="19">
        <v>0.0</v>
      </c>
      <c r="J61" s="19">
        <v>0.0</v>
      </c>
      <c r="K61" s="19">
        <v>1.0</v>
      </c>
      <c r="L61" s="19">
        <v>0.0</v>
      </c>
      <c r="M61" s="19">
        <v>0.0</v>
      </c>
      <c r="N61" s="19">
        <v>0.0</v>
      </c>
      <c r="O61" s="19">
        <v>1.0</v>
      </c>
      <c r="P61" s="19">
        <v>0.0</v>
      </c>
      <c r="Q61" s="19">
        <v>0.0</v>
      </c>
      <c r="R61" s="19">
        <v>0.0</v>
      </c>
      <c r="S61" s="19">
        <v>1.0</v>
      </c>
      <c r="T61" s="13">
        <f t="shared" si="16"/>
        <v>7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1.0</v>
      </c>
      <c r="T62" s="13">
        <f t="shared" si="16"/>
        <v>1</v>
      </c>
    </row>
    <row r="63" ht="12.75" customHeight="1">
      <c r="A63" s="18"/>
      <c r="B63" s="55">
        <v>6.0</v>
      </c>
      <c r="C63" s="50" t="s">
        <v>54</v>
      </c>
      <c r="D63" s="60"/>
      <c r="E63" s="19">
        <v>0.0</v>
      </c>
      <c r="F63" s="19">
        <v>0.0</v>
      </c>
      <c r="G63" s="19">
        <v>1.0</v>
      </c>
      <c r="H63" s="19">
        <v>1.0</v>
      </c>
      <c r="I63" s="19">
        <v>0.0</v>
      </c>
      <c r="J63" s="19">
        <v>1.0</v>
      </c>
      <c r="K63" s="19">
        <v>0.0</v>
      </c>
      <c r="L63" s="19">
        <v>0.0</v>
      </c>
      <c r="M63" s="19">
        <v>1.0</v>
      </c>
      <c r="N63" s="19">
        <v>0.0</v>
      </c>
      <c r="O63" s="19">
        <v>0.0</v>
      </c>
      <c r="P63" s="19">
        <v>2.0</v>
      </c>
      <c r="Q63" s="19">
        <v>0.0</v>
      </c>
      <c r="R63" s="19">
        <v>0.0</v>
      </c>
      <c r="S63" s="19">
        <v>0.0</v>
      </c>
      <c r="T63" s="13">
        <f t="shared" si="16"/>
        <v>6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1.0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3">
        <f t="shared" si="16"/>
        <v>1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T67" si="17">SUM(E57:E66)</f>
        <v>27</v>
      </c>
      <c r="F67" s="13">
        <f t="shared" si="17"/>
        <v>28</v>
      </c>
      <c r="G67" s="13">
        <f t="shared" si="17"/>
        <v>38</v>
      </c>
      <c r="H67" s="13">
        <f t="shared" si="17"/>
        <v>70</v>
      </c>
      <c r="I67" s="13">
        <f t="shared" si="17"/>
        <v>35</v>
      </c>
      <c r="J67" s="13">
        <f t="shared" si="17"/>
        <v>21</v>
      </c>
      <c r="K67" s="13">
        <f t="shared" si="17"/>
        <v>14</v>
      </c>
      <c r="L67" s="13">
        <f t="shared" si="17"/>
        <v>11</v>
      </c>
      <c r="M67" s="13">
        <f t="shared" si="17"/>
        <v>19</v>
      </c>
      <c r="N67" s="13">
        <f t="shared" si="17"/>
        <v>30</v>
      </c>
      <c r="O67" s="13">
        <f t="shared" si="17"/>
        <v>16</v>
      </c>
      <c r="P67" s="13">
        <f t="shared" si="17"/>
        <v>4</v>
      </c>
      <c r="Q67" s="13">
        <f t="shared" si="17"/>
        <v>19</v>
      </c>
      <c r="R67" s="13">
        <f t="shared" si="17"/>
        <v>19</v>
      </c>
      <c r="S67" s="13">
        <f t="shared" si="17"/>
        <v>20</v>
      </c>
      <c r="T67" s="13">
        <f t="shared" si="17"/>
        <v>371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7.0</v>
      </c>
      <c r="F69" s="19">
        <v>5.0</v>
      </c>
      <c r="G69" s="19">
        <v>8.0</v>
      </c>
      <c r="H69" s="19">
        <v>11.0</v>
      </c>
      <c r="I69" s="19">
        <v>6.0</v>
      </c>
      <c r="J69" s="19">
        <v>9.0</v>
      </c>
      <c r="K69" s="19">
        <v>2.0</v>
      </c>
      <c r="L69" s="19">
        <v>2.0</v>
      </c>
      <c r="M69" s="19">
        <v>8.0</v>
      </c>
      <c r="N69" s="19">
        <v>14.0</v>
      </c>
      <c r="O69" s="19">
        <v>1.0</v>
      </c>
      <c r="P69" s="19">
        <v>5.0</v>
      </c>
      <c r="Q69" s="19">
        <v>2.0</v>
      </c>
      <c r="R69" s="19">
        <v>6.0</v>
      </c>
      <c r="S69" s="19">
        <v>5.0</v>
      </c>
      <c r="T69" s="13">
        <f t="shared" ref="T69:T78" si="18">SUM(E69:S69)</f>
        <v>91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8.0</v>
      </c>
      <c r="F70" s="19">
        <v>5.0</v>
      </c>
      <c r="G70" s="19">
        <v>8.0</v>
      </c>
      <c r="H70" s="19">
        <v>5.0</v>
      </c>
      <c r="I70" s="19">
        <v>2.0</v>
      </c>
      <c r="J70" s="19">
        <v>24.0</v>
      </c>
      <c r="K70" s="19">
        <v>6.0</v>
      </c>
      <c r="L70" s="19">
        <v>8.0</v>
      </c>
      <c r="M70" s="19">
        <v>4.0</v>
      </c>
      <c r="N70" s="19">
        <v>15.0</v>
      </c>
      <c r="O70" s="19">
        <v>1.0</v>
      </c>
      <c r="P70" s="19">
        <v>7.0</v>
      </c>
      <c r="Q70" s="19">
        <v>4.0</v>
      </c>
      <c r="R70" s="19">
        <v>11.0</v>
      </c>
      <c r="S70" s="19">
        <v>4.0</v>
      </c>
      <c r="T70" s="13">
        <f t="shared" si="18"/>
        <v>112</v>
      </c>
    </row>
    <row r="71" ht="12.75" customHeight="1">
      <c r="A71" s="18"/>
      <c r="B71" s="55">
        <v>2.0</v>
      </c>
      <c r="C71" s="50" t="s">
        <v>58</v>
      </c>
      <c r="D71" s="60"/>
      <c r="E71" s="19">
        <v>30.0</v>
      </c>
      <c r="F71" s="19">
        <v>25.0</v>
      </c>
      <c r="G71" s="19">
        <v>28.0</v>
      </c>
      <c r="H71" s="19">
        <v>50.0</v>
      </c>
      <c r="I71" s="19">
        <v>32.0</v>
      </c>
      <c r="J71" s="19">
        <v>11.0</v>
      </c>
      <c r="K71" s="19">
        <v>5.0</v>
      </c>
      <c r="L71" s="19">
        <v>5.0</v>
      </c>
      <c r="M71" s="19">
        <v>15.0</v>
      </c>
      <c r="N71" s="19">
        <v>21.0</v>
      </c>
      <c r="O71" s="19">
        <v>10.0</v>
      </c>
      <c r="P71" s="19">
        <v>9.0</v>
      </c>
      <c r="Q71" s="19">
        <v>17.0</v>
      </c>
      <c r="R71" s="19">
        <v>21.0</v>
      </c>
      <c r="S71" s="19">
        <v>22.0</v>
      </c>
      <c r="T71" s="13">
        <f t="shared" si="18"/>
        <v>301</v>
      </c>
    </row>
    <row r="72" ht="12.75" customHeight="1">
      <c r="A72" s="18"/>
      <c r="B72" s="55">
        <v>3.0</v>
      </c>
      <c r="C72" s="50" t="s">
        <v>59</v>
      </c>
      <c r="D72" s="60"/>
      <c r="E72" s="19">
        <v>0.0</v>
      </c>
      <c r="F72" s="19">
        <v>1.0</v>
      </c>
      <c r="G72" s="19">
        <v>0.0</v>
      </c>
      <c r="H72" s="19">
        <v>1.0</v>
      </c>
      <c r="I72" s="19">
        <v>0.0</v>
      </c>
      <c r="J72" s="19">
        <v>20.0</v>
      </c>
      <c r="K72" s="19">
        <v>13.0</v>
      </c>
      <c r="L72" s="19">
        <v>84.0</v>
      </c>
      <c r="M72" s="19">
        <v>26.0</v>
      </c>
      <c r="N72" s="19">
        <v>15.0</v>
      </c>
      <c r="O72" s="19">
        <v>1.0</v>
      </c>
      <c r="P72" s="19">
        <v>1.0</v>
      </c>
      <c r="Q72" s="19">
        <v>1.0</v>
      </c>
      <c r="R72" s="19">
        <v>0.0</v>
      </c>
      <c r="S72" s="19">
        <v>1.0</v>
      </c>
      <c r="T72" s="13">
        <f t="shared" si="18"/>
        <v>164</v>
      </c>
    </row>
    <row r="73" ht="12.75" customHeight="1">
      <c r="A73" s="18"/>
      <c r="B73" s="55">
        <v>4.0</v>
      </c>
      <c r="C73" s="50" t="s">
        <v>60</v>
      </c>
      <c r="D73" s="60"/>
      <c r="E73" s="19">
        <v>0.0</v>
      </c>
      <c r="F73" s="19">
        <v>0.0</v>
      </c>
      <c r="G73" s="19">
        <v>0.0</v>
      </c>
      <c r="H73" s="19">
        <v>1.0</v>
      </c>
      <c r="I73" s="19">
        <v>0.0</v>
      </c>
      <c r="J73" s="19">
        <v>0.0</v>
      </c>
      <c r="K73" s="19">
        <v>0.0</v>
      </c>
      <c r="L73" s="19">
        <v>0.0</v>
      </c>
      <c r="M73" s="19">
        <v>1.0</v>
      </c>
      <c r="N73" s="19">
        <v>1.0</v>
      </c>
      <c r="O73" s="19">
        <v>1.0</v>
      </c>
      <c r="P73" s="19">
        <v>0.0</v>
      </c>
      <c r="Q73" s="19">
        <v>1.0</v>
      </c>
      <c r="R73" s="19">
        <v>0.0</v>
      </c>
      <c r="S73" s="19">
        <v>0.0</v>
      </c>
      <c r="T73" s="13">
        <f t="shared" si="18"/>
        <v>5</v>
      </c>
    </row>
    <row r="74" ht="12.75" customHeight="1">
      <c r="A74" s="18"/>
      <c r="B74" s="55">
        <v>5.0</v>
      </c>
      <c r="C74" s="50" t="s">
        <v>61</v>
      </c>
      <c r="D74" s="60"/>
      <c r="E74" s="19">
        <v>2.0</v>
      </c>
      <c r="F74" s="19">
        <v>1.0</v>
      </c>
      <c r="G74" s="19">
        <v>1.0</v>
      </c>
      <c r="H74" s="19">
        <v>1.0</v>
      </c>
      <c r="I74" s="19">
        <v>2.0</v>
      </c>
      <c r="J74" s="19">
        <v>0.0</v>
      </c>
      <c r="K74" s="19">
        <v>2.0</v>
      </c>
      <c r="L74" s="19">
        <v>1.0</v>
      </c>
      <c r="M74" s="19">
        <v>8.0</v>
      </c>
      <c r="N74" s="19">
        <v>2.0</v>
      </c>
      <c r="O74" s="19">
        <v>0.0</v>
      </c>
      <c r="P74" s="19">
        <v>0.0</v>
      </c>
      <c r="Q74" s="19">
        <v>7.0</v>
      </c>
      <c r="R74" s="19">
        <v>7.0</v>
      </c>
      <c r="S74" s="19">
        <v>1.0</v>
      </c>
      <c r="T74" s="13">
        <f t="shared" si="18"/>
        <v>35</v>
      </c>
    </row>
    <row r="75" ht="12.75" customHeight="1">
      <c r="A75" s="18"/>
      <c r="B75" s="55">
        <v>6.0</v>
      </c>
      <c r="C75" s="50" t="s">
        <v>62</v>
      </c>
      <c r="D75" s="60"/>
      <c r="E75" s="19">
        <v>0.0</v>
      </c>
      <c r="F75" s="19">
        <v>1.0</v>
      </c>
      <c r="G75" s="19">
        <v>0.0</v>
      </c>
      <c r="H75" s="19">
        <v>0.0</v>
      </c>
      <c r="I75" s="19">
        <v>1.0</v>
      </c>
      <c r="J75" s="19">
        <v>0.0</v>
      </c>
      <c r="K75" s="19">
        <v>0.0</v>
      </c>
      <c r="L75" s="19">
        <v>0.0</v>
      </c>
      <c r="M75" s="19">
        <v>1.0</v>
      </c>
      <c r="N75" s="19">
        <v>0.0</v>
      </c>
      <c r="O75" s="19">
        <v>0.0</v>
      </c>
      <c r="P75" s="19">
        <v>1.0</v>
      </c>
      <c r="Q75" s="19">
        <v>1.0</v>
      </c>
      <c r="R75" s="19">
        <v>0.0</v>
      </c>
      <c r="S75" s="19">
        <v>0.0</v>
      </c>
      <c r="T75" s="13">
        <f t="shared" si="18"/>
        <v>5</v>
      </c>
    </row>
    <row r="76" ht="12.75" customHeight="1">
      <c r="A76" s="18"/>
      <c r="B76" s="55">
        <v>7.0</v>
      </c>
      <c r="C76" s="50" t="s">
        <v>63</v>
      </c>
      <c r="D76" s="60"/>
      <c r="E76" s="19">
        <v>0.0</v>
      </c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19">
        <v>0.0</v>
      </c>
      <c r="L76" s="19">
        <v>0.0</v>
      </c>
      <c r="M76" s="19">
        <v>0.0</v>
      </c>
      <c r="N76" s="19">
        <v>0.0</v>
      </c>
      <c r="O76" s="19">
        <v>0.0</v>
      </c>
      <c r="P76" s="19">
        <v>0.0</v>
      </c>
      <c r="Q76" s="19">
        <v>1.0</v>
      </c>
      <c r="R76" s="19">
        <v>0.0</v>
      </c>
      <c r="S76" s="19">
        <v>0.0</v>
      </c>
      <c r="T76" s="13">
        <f t="shared" si="18"/>
        <v>1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T79" si="19">SUM(E69:E78)</f>
        <v>47</v>
      </c>
      <c r="F79" s="13">
        <f t="shared" si="19"/>
        <v>38</v>
      </c>
      <c r="G79" s="13">
        <f t="shared" si="19"/>
        <v>45</v>
      </c>
      <c r="H79" s="13">
        <f t="shared" si="19"/>
        <v>69</v>
      </c>
      <c r="I79" s="13">
        <f t="shared" si="19"/>
        <v>43</v>
      </c>
      <c r="J79" s="13">
        <f t="shared" si="19"/>
        <v>64</v>
      </c>
      <c r="K79" s="13">
        <f t="shared" si="19"/>
        <v>28</v>
      </c>
      <c r="L79" s="13">
        <f t="shared" si="19"/>
        <v>100</v>
      </c>
      <c r="M79" s="13">
        <f t="shared" si="19"/>
        <v>63</v>
      </c>
      <c r="N79" s="13">
        <f t="shared" si="19"/>
        <v>68</v>
      </c>
      <c r="O79" s="13">
        <f t="shared" si="19"/>
        <v>14</v>
      </c>
      <c r="P79" s="13">
        <f t="shared" si="19"/>
        <v>23</v>
      </c>
      <c r="Q79" s="13">
        <f t="shared" si="19"/>
        <v>34</v>
      </c>
      <c r="R79" s="13">
        <f t="shared" si="19"/>
        <v>45</v>
      </c>
      <c r="S79" s="13">
        <f t="shared" si="19"/>
        <v>33</v>
      </c>
      <c r="T79" s="13">
        <f t="shared" si="19"/>
        <v>714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6.0</v>
      </c>
      <c r="F81" s="19">
        <v>6.0</v>
      </c>
      <c r="G81" s="19">
        <v>0.0</v>
      </c>
      <c r="H81" s="19">
        <v>2.0</v>
      </c>
      <c r="I81" s="19">
        <v>0.0</v>
      </c>
      <c r="J81" s="19">
        <v>0.0</v>
      </c>
      <c r="K81" s="19">
        <v>5.0</v>
      </c>
      <c r="L81" s="19">
        <v>0.0</v>
      </c>
      <c r="M81" s="19">
        <v>3.0</v>
      </c>
      <c r="N81" s="19">
        <v>1.0</v>
      </c>
      <c r="O81" s="19">
        <v>1.0</v>
      </c>
      <c r="P81" s="19">
        <v>3.0</v>
      </c>
      <c r="Q81" s="19">
        <v>0.0</v>
      </c>
      <c r="R81" s="19">
        <v>0.0</v>
      </c>
      <c r="S81" s="19">
        <v>1.0</v>
      </c>
      <c r="T81" s="13">
        <f t="shared" ref="T81:T90" si="20">SUM(E81:S81)</f>
        <v>28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60.0</v>
      </c>
      <c r="F82" s="19">
        <v>25.0</v>
      </c>
      <c r="G82" s="19">
        <v>1.0</v>
      </c>
      <c r="H82" s="19">
        <v>4.0</v>
      </c>
      <c r="I82" s="19">
        <v>1.0</v>
      </c>
      <c r="J82" s="19">
        <v>38.0</v>
      </c>
      <c r="K82" s="19">
        <v>62.0</v>
      </c>
      <c r="L82" s="19">
        <v>6.0</v>
      </c>
      <c r="M82" s="19">
        <v>7.0</v>
      </c>
      <c r="N82" s="19">
        <v>15.0</v>
      </c>
      <c r="O82" s="19">
        <v>2.0</v>
      </c>
      <c r="P82" s="19">
        <v>3.0</v>
      </c>
      <c r="Q82" s="19">
        <v>4.0</v>
      </c>
      <c r="R82" s="19">
        <v>1.0</v>
      </c>
      <c r="S82" s="19">
        <v>2.0</v>
      </c>
      <c r="T82" s="13">
        <f t="shared" si="20"/>
        <v>231</v>
      </c>
    </row>
    <row r="83" ht="12.75" customHeight="1">
      <c r="A83" s="18"/>
      <c r="B83" s="55">
        <v>2.0</v>
      </c>
      <c r="C83" s="50" t="s">
        <v>66</v>
      </c>
      <c r="D83" s="60"/>
      <c r="E83" s="19">
        <v>3.0</v>
      </c>
      <c r="F83" s="19">
        <v>4.0</v>
      </c>
      <c r="G83" s="19">
        <v>4.0</v>
      </c>
      <c r="H83" s="19">
        <v>3.0</v>
      </c>
      <c r="I83" s="19">
        <v>0.0</v>
      </c>
      <c r="J83" s="19">
        <v>0.0</v>
      </c>
      <c r="K83" s="19">
        <v>0.0</v>
      </c>
      <c r="L83" s="19">
        <v>1.0</v>
      </c>
      <c r="M83" s="19">
        <v>1.0</v>
      </c>
      <c r="N83" s="19">
        <v>1.0</v>
      </c>
      <c r="O83" s="19">
        <v>0.0</v>
      </c>
      <c r="P83" s="19">
        <v>1.0</v>
      </c>
      <c r="Q83" s="19">
        <v>4.0</v>
      </c>
      <c r="R83" s="19">
        <v>1.0</v>
      </c>
      <c r="S83" s="19">
        <v>0.0</v>
      </c>
      <c r="T83" s="13">
        <f t="shared" si="20"/>
        <v>23</v>
      </c>
    </row>
    <row r="84" ht="12.75" customHeight="1">
      <c r="A84" s="18"/>
      <c r="B84" s="55">
        <v>3.0</v>
      </c>
      <c r="C84" s="50" t="s">
        <v>67</v>
      </c>
      <c r="D84" s="60"/>
      <c r="E84" s="19">
        <v>1.0</v>
      </c>
      <c r="F84" s="19">
        <v>2.0</v>
      </c>
      <c r="G84" s="19">
        <v>0.0</v>
      </c>
      <c r="H84" s="19">
        <v>0.0</v>
      </c>
      <c r="I84" s="19">
        <v>0.0</v>
      </c>
      <c r="J84" s="19">
        <v>0.0</v>
      </c>
      <c r="K84" s="19">
        <v>0.0</v>
      </c>
      <c r="L84" s="19">
        <v>0.0</v>
      </c>
      <c r="M84" s="19">
        <v>0.0</v>
      </c>
      <c r="N84" s="19">
        <v>0.0</v>
      </c>
      <c r="O84" s="19">
        <v>1.0</v>
      </c>
      <c r="P84" s="19">
        <v>1.0</v>
      </c>
      <c r="Q84" s="19">
        <v>1.0</v>
      </c>
      <c r="R84" s="19">
        <v>0.0</v>
      </c>
      <c r="S84" s="19">
        <v>0.0</v>
      </c>
      <c r="T84" s="13">
        <f t="shared" si="20"/>
        <v>6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0.0</v>
      </c>
      <c r="G85" s="19">
        <v>0.0</v>
      </c>
      <c r="H85" s="19">
        <v>0.0</v>
      </c>
      <c r="I85" s="19">
        <v>0.0</v>
      </c>
      <c r="J85" s="19">
        <v>0.0</v>
      </c>
      <c r="K85" s="19">
        <v>1.0</v>
      </c>
      <c r="L85" s="19">
        <v>0.0</v>
      </c>
      <c r="M85" s="19">
        <v>0.0</v>
      </c>
      <c r="N85" s="19">
        <v>1.0</v>
      </c>
      <c r="O85" s="19">
        <v>0.0</v>
      </c>
      <c r="P85" s="19">
        <v>1.0</v>
      </c>
      <c r="Q85" s="19">
        <v>0.0</v>
      </c>
      <c r="R85" s="19">
        <v>0.0</v>
      </c>
      <c r="S85" s="19">
        <v>0.0</v>
      </c>
      <c r="T85" s="13">
        <f t="shared" si="20"/>
        <v>3</v>
      </c>
    </row>
    <row r="86" ht="12.75" customHeight="1">
      <c r="A86" s="18"/>
      <c r="B86" s="55">
        <v>5.0</v>
      </c>
      <c r="C86" s="50" t="s">
        <v>69</v>
      </c>
      <c r="D86" s="60"/>
      <c r="E86" s="19">
        <v>1.0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9">
        <v>0.0</v>
      </c>
      <c r="N86" s="19">
        <v>0.0</v>
      </c>
      <c r="O86" s="19">
        <v>0.0</v>
      </c>
      <c r="P86" s="19">
        <v>0.0</v>
      </c>
      <c r="Q86" s="19">
        <v>1.0</v>
      </c>
      <c r="R86" s="19">
        <v>4.0</v>
      </c>
      <c r="S86" s="19">
        <v>0.0</v>
      </c>
      <c r="T86" s="13">
        <f t="shared" si="20"/>
        <v>6</v>
      </c>
    </row>
    <row r="87" ht="12.75" customHeight="1">
      <c r="A87" s="18"/>
      <c r="B87" s="55">
        <v>6.0</v>
      </c>
      <c r="C87" s="50" t="s">
        <v>70</v>
      </c>
      <c r="D87" s="60"/>
      <c r="E87" s="19">
        <v>1.0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1.0</v>
      </c>
      <c r="P87" s="19">
        <v>0.0</v>
      </c>
      <c r="Q87" s="19">
        <v>0.0</v>
      </c>
      <c r="R87" s="19">
        <v>0.0</v>
      </c>
      <c r="S87" s="19">
        <v>0.0</v>
      </c>
      <c r="T87" s="13">
        <f t="shared" si="20"/>
        <v>2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1.0</v>
      </c>
      <c r="R88" s="19">
        <v>0.0</v>
      </c>
      <c r="S88" s="19">
        <v>0.0</v>
      </c>
      <c r="T88" s="13">
        <f t="shared" si="20"/>
        <v>1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T91" si="21">SUM(E81:E90)</f>
        <v>72</v>
      </c>
      <c r="F91" s="13">
        <f t="shared" si="21"/>
        <v>37</v>
      </c>
      <c r="G91" s="13">
        <f t="shared" si="21"/>
        <v>5</v>
      </c>
      <c r="H91" s="13">
        <f t="shared" si="21"/>
        <v>9</v>
      </c>
      <c r="I91" s="13">
        <f t="shared" si="21"/>
        <v>1</v>
      </c>
      <c r="J91" s="13">
        <f t="shared" si="21"/>
        <v>38</v>
      </c>
      <c r="K91" s="13">
        <f t="shared" si="21"/>
        <v>68</v>
      </c>
      <c r="L91" s="13">
        <f t="shared" si="21"/>
        <v>7</v>
      </c>
      <c r="M91" s="13">
        <f t="shared" si="21"/>
        <v>11</v>
      </c>
      <c r="N91" s="13">
        <f t="shared" si="21"/>
        <v>18</v>
      </c>
      <c r="O91" s="13">
        <f t="shared" si="21"/>
        <v>5</v>
      </c>
      <c r="P91" s="13">
        <f t="shared" si="21"/>
        <v>9</v>
      </c>
      <c r="Q91" s="13">
        <f t="shared" si="21"/>
        <v>11</v>
      </c>
      <c r="R91" s="13">
        <f t="shared" si="21"/>
        <v>6</v>
      </c>
      <c r="S91" s="13">
        <f t="shared" si="21"/>
        <v>3</v>
      </c>
      <c r="T91" s="13">
        <f t="shared" si="21"/>
        <v>300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2.0</v>
      </c>
      <c r="G93" s="19">
        <v>4.0</v>
      </c>
      <c r="H93" s="19">
        <v>5.0</v>
      </c>
      <c r="I93" s="19">
        <v>0.0</v>
      </c>
      <c r="J93" s="19">
        <v>3.0</v>
      </c>
      <c r="K93" s="19">
        <v>3.0</v>
      </c>
      <c r="L93" s="19">
        <v>2.0</v>
      </c>
      <c r="M93" s="19">
        <v>2.0</v>
      </c>
      <c r="N93" s="19">
        <v>1.0</v>
      </c>
      <c r="O93" s="19">
        <v>1.0</v>
      </c>
      <c r="P93" s="19">
        <v>3.0</v>
      </c>
      <c r="Q93" s="19">
        <v>0.0</v>
      </c>
      <c r="R93" s="19">
        <v>0.0</v>
      </c>
      <c r="S93" s="19">
        <v>2.0</v>
      </c>
      <c r="T93" s="13">
        <f t="shared" ref="T93:T102" si="22">SUM(E93:S93)</f>
        <v>28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2.0</v>
      </c>
      <c r="F94" s="19">
        <v>0.0</v>
      </c>
      <c r="G94" s="19">
        <v>2.0</v>
      </c>
      <c r="H94" s="19">
        <v>1.0</v>
      </c>
      <c r="I94" s="19">
        <v>0.0</v>
      </c>
      <c r="J94" s="19">
        <v>2.0</v>
      </c>
      <c r="K94" s="19">
        <v>4.0</v>
      </c>
      <c r="L94" s="19">
        <v>1.0</v>
      </c>
      <c r="M94" s="19">
        <v>0.0</v>
      </c>
      <c r="N94" s="19">
        <v>0.0</v>
      </c>
      <c r="O94" s="19">
        <v>0.0</v>
      </c>
      <c r="P94" s="19">
        <v>2.0</v>
      </c>
      <c r="Q94" s="19">
        <v>1.0</v>
      </c>
      <c r="R94" s="19">
        <v>1.0</v>
      </c>
      <c r="S94" s="19">
        <v>2.0</v>
      </c>
      <c r="T94" s="13">
        <f t="shared" si="22"/>
        <v>18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0.0</v>
      </c>
      <c r="G95" s="19">
        <v>1.0</v>
      </c>
      <c r="H95" s="19">
        <v>0.0</v>
      </c>
      <c r="I95" s="19">
        <v>0.0</v>
      </c>
      <c r="J95" s="19">
        <v>3.0</v>
      </c>
      <c r="K95" s="19">
        <v>0.0</v>
      </c>
      <c r="L95" s="19">
        <v>0.0</v>
      </c>
      <c r="M95" s="19">
        <v>0.0</v>
      </c>
      <c r="N95" s="19">
        <v>3.0</v>
      </c>
      <c r="O95" s="19">
        <v>0.0</v>
      </c>
      <c r="P95" s="19">
        <v>0.0</v>
      </c>
      <c r="Q95" s="19">
        <v>0.0</v>
      </c>
      <c r="R95" s="19">
        <v>0.0</v>
      </c>
      <c r="S95" s="19">
        <v>0.0</v>
      </c>
      <c r="T95" s="13">
        <f t="shared" si="22"/>
        <v>7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3">
        <f t="shared" si="22"/>
        <v>0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3.0</v>
      </c>
      <c r="G97" s="19">
        <v>7.0</v>
      </c>
      <c r="H97" s="19">
        <v>1.0</v>
      </c>
      <c r="I97" s="19">
        <v>0.0</v>
      </c>
      <c r="J97" s="19">
        <v>15.0</v>
      </c>
      <c r="K97" s="19">
        <v>2.0</v>
      </c>
      <c r="L97" s="19">
        <v>2.0</v>
      </c>
      <c r="M97" s="19">
        <v>0.0</v>
      </c>
      <c r="N97" s="19">
        <v>0.0</v>
      </c>
      <c r="O97" s="19">
        <v>5.0</v>
      </c>
      <c r="P97" s="19">
        <v>6.0</v>
      </c>
      <c r="Q97" s="19">
        <v>5.0</v>
      </c>
      <c r="R97" s="19">
        <v>3.0</v>
      </c>
      <c r="S97" s="19">
        <v>14.0</v>
      </c>
      <c r="T97" s="13">
        <f t="shared" si="22"/>
        <v>63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1.0</v>
      </c>
      <c r="H98" s="19">
        <v>1.0</v>
      </c>
      <c r="I98" s="19">
        <v>0.0</v>
      </c>
      <c r="J98" s="19">
        <v>0.0</v>
      </c>
      <c r="K98" s="19">
        <v>0.0</v>
      </c>
      <c r="L98" s="19">
        <v>0.0</v>
      </c>
      <c r="M98" s="19">
        <v>2.0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1.0</v>
      </c>
      <c r="T98" s="13">
        <f t="shared" si="22"/>
        <v>5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1.0</v>
      </c>
      <c r="Q99" s="19">
        <v>0.0</v>
      </c>
      <c r="R99" s="19">
        <v>0.0</v>
      </c>
      <c r="S99" s="19">
        <v>0.0</v>
      </c>
      <c r="T99" s="13">
        <f t="shared" si="22"/>
        <v>1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3">
        <f t="shared" si="22"/>
        <v>0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T103" si="23">SUM(E93:E102)</f>
        <v>2</v>
      </c>
      <c r="F103" s="13">
        <f t="shared" si="23"/>
        <v>5</v>
      </c>
      <c r="G103" s="13">
        <f t="shared" si="23"/>
        <v>15</v>
      </c>
      <c r="H103" s="13">
        <f t="shared" si="23"/>
        <v>8</v>
      </c>
      <c r="I103" s="13">
        <f t="shared" si="23"/>
        <v>0</v>
      </c>
      <c r="J103" s="13">
        <f t="shared" si="23"/>
        <v>23</v>
      </c>
      <c r="K103" s="13">
        <f t="shared" si="23"/>
        <v>9</v>
      </c>
      <c r="L103" s="13">
        <f t="shared" si="23"/>
        <v>5</v>
      </c>
      <c r="M103" s="13">
        <f t="shared" si="23"/>
        <v>4</v>
      </c>
      <c r="N103" s="13">
        <f t="shared" si="23"/>
        <v>4</v>
      </c>
      <c r="O103" s="13">
        <f t="shared" si="23"/>
        <v>6</v>
      </c>
      <c r="P103" s="13">
        <f t="shared" si="23"/>
        <v>12</v>
      </c>
      <c r="Q103" s="13">
        <f t="shared" si="23"/>
        <v>6</v>
      </c>
      <c r="R103" s="13">
        <f t="shared" si="23"/>
        <v>4</v>
      </c>
      <c r="S103" s="13">
        <f t="shared" si="23"/>
        <v>19</v>
      </c>
      <c r="T103" s="13">
        <f t="shared" si="23"/>
        <v>122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1.0</v>
      </c>
      <c r="O105" s="19">
        <v>0.0</v>
      </c>
      <c r="P105" s="19">
        <v>0.0</v>
      </c>
      <c r="Q105" s="19">
        <v>0.0</v>
      </c>
      <c r="R105" s="19">
        <v>0.0</v>
      </c>
      <c r="S105" s="19">
        <v>1.0</v>
      </c>
      <c r="T105" s="13">
        <f t="shared" ref="T105:T114" si="24">SUM(E105:S105)</f>
        <v>2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1.0</v>
      </c>
      <c r="T106" s="13">
        <f t="shared" si="24"/>
        <v>1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1.0</v>
      </c>
      <c r="R107" s="19">
        <v>0.0</v>
      </c>
      <c r="S107" s="19">
        <v>0.0</v>
      </c>
      <c r="T107" s="13">
        <f t="shared" si="24"/>
        <v>1</v>
      </c>
    </row>
    <row r="108" ht="12.75" customHeight="1">
      <c r="A108" s="18"/>
      <c r="B108" s="55">
        <v>3.0</v>
      </c>
      <c r="C108" s="50" t="s">
        <v>85</v>
      </c>
      <c r="D108" s="60"/>
      <c r="E108" s="7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60"/>
      <c r="E109" s="7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60"/>
      <c r="E110" s="7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1.0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3">
        <f t="shared" si="24"/>
        <v>1</v>
      </c>
    </row>
    <row r="111" ht="12.75" customHeight="1">
      <c r="A111" s="18"/>
      <c r="B111" s="55">
        <v>6.0</v>
      </c>
      <c r="C111" s="50" t="s">
        <v>88</v>
      </c>
      <c r="D111" s="60"/>
      <c r="E111" s="7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60"/>
      <c r="E112" s="7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3">
        <f t="shared" si="24"/>
        <v>0</v>
      </c>
    </row>
    <row r="113" ht="12.75" customHeight="1">
      <c r="A113" s="18"/>
      <c r="B113" s="56"/>
      <c r="C113" s="57"/>
      <c r="D113" s="62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3">
        <f t="shared" si="24"/>
        <v>0</v>
      </c>
    </row>
    <row r="114" ht="12.75" customHeight="1">
      <c r="A114" s="18"/>
      <c r="B114" s="56"/>
      <c r="C114" s="57"/>
      <c r="D114" s="62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T115" si="25">SUM(E105:E114)</f>
        <v>0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1</v>
      </c>
      <c r="N115" s="13">
        <f t="shared" si="25"/>
        <v>1</v>
      </c>
      <c r="O115" s="13">
        <f t="shared" si="25"/>
        <v>0</v>
      </c>
      <c r="P115" s="13">
        <f t="shared" si="25"/>
        <v>0</v>
      </c>
      <c r="Q115" s="13">
        <f t="shared" si="25"/>
        <v>1</v>
      </c>
      <c r="R115" s="13">
        <f t="shared" si="25"/>
        <v>0</v>
      </c>
      <c r="S115" s="13">
        <f t="shared" si="25"/>
        <v>2</v>
      </c>
      <c r="T115" s="13">
        <f t="shared" si="25"/>
        <v>5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4.0</v>
      </c>
      <c r="L117" s="19">
        <v>0.0</v>
      </c>
      <c r="M117" s="19">
        <v>0.0</v>
      </c>
      <c r="N117" s="19">
        <v>0.0</v>
      </c>
      <c r="O117" s="19">
        <v>1.0</v>
      </c>
      <c r="P117" s="19">
        <v>0.0</v>
      </c>
      <c r="Q117" s="19">
        <v>0.0</v>
      </c>
      <c r="R117" s="19">
        <v>0.0</v>
      </c>
      <c r="S117" s="19">
        <v>0.0</v>
      </c>
      <c r="T117" s="13">
        <f t="shared" ref="T117:T126" si="26">SUM(E117:S117)</f>
        <v>5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1.0</v>
      </c>
      <c r="I118" s="19">
        <v>0.0</v>
      </c>
      <c r="J118" s="19">
        <v>0.0</v>
      </c>
      <c r="K118" s="19">
        <v>1.0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3">
        <f t="shared" si="26"/>
        <v>2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1.0</v>
      </c>
      <c r="H119" s="19">
        <v>0.0</v>
      </c>
      <c r="I119" s="19">
        <v>0.0</v>
      </c>
      <c r="J119" s="19">
        <v>0.0</v>
      </c>
      <c r="K119" s="19">
        <v>1.0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1.0</v>
      </c>
      <c r="T119" s="13">
        <f t="shared" si="26"/>
        <v>3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3">
        <f t="shared" si="26"/>
        <v>0</v>
      </c>
    </row>
    <row r="121" ht="12.75" customHeight="1">
      <c r="A121" s="18"/>
      <c r="B121" s="56"/>
      <c r="C121" s="57"/>
      <c r="D121" s="61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3">
        <f t="shared" si="26"/>
        <v>0</v>
      </c>
    </row>
    <row r="122" ht="12.75" customHeight="1">
      <c r="A122" s="18"/>
      <c r="B122" s="56"/>
      <c r="C122" s="57"/>
      <c r="D122" s="61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3">
        <f t="shared" si="26"/>
        <v>0</v>
      </c>
    </row>
    <row r="123" ht="12.75" customHeight="1">
      <c r="A123" s="18"/>
      <c r="B123" s="56"/>
      <c r="C123" s="57"/>
      <c r="D123" s="61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T127" si="27">SUM(E117:E126)</f>
        <v>0</v>
      </c>
      <c r="F127" s="13">
        <f t="shared" si="27"/>
        <v>0</v>
      </c>
      <c r="G127" s="13">
        <f t="shared" si="27"/>
        <v>1</v>
      </c>
      <c r="H127" s="13">
        <f t="shared" si="27"/>
        <v>1</v>
      </c>
      <c r="I127" s="13">
        <f t="shared" si="27"/>
        <v>0</v>
      </c>
      <c r="J127" s="13">
        <f t="shared" si="27"/>
        <v>0</v>
      </c>
      <c r="K127" s="13">
        <f t="shared" si="27"/>
        <v>6</v>
      </c>
      <c r="L127" s="13">
        <f t="shared" si="27"/>
        <v>0</v>
      </c>
      <c r="M127" s="13">
        <f t="shared" si="27"/>
        <v>0</v>
      </c>
      <c r="N127" s="13">
        <f t="shared" si="27"/>
        <v>0</v>
      </c>
      <c r="O127" s="13">
        <f t="shared" si="27"/>
        <v>1</v>
      </c>
      <c r="P127" s="13">
        <f t="shared" si="27"/>
        <v>0</v>
      </c>
      <c r="Q127" s="13">
        <f t="shared" si="27"/>
        <v>0</v>
      </c>
      <c r="R127" s="13">
        <f t="shared" si="27"/>
        <v>0</v>
      </c>
      <c r="S127" s="13">
        <f t="shared" si="27"/>
        <v>1</v>
      </c>
      <c r="T127" s="13">
        <f t="shared" si="27"/>
        <v>10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0.0</v>
      </c>
      <c r="G129" s="19">
        <v>0.0</v>
      </c>
      <c r="H129" s="19">
        <v>0.0</v>
      </c>
      <c r="I129" s="19">
        <v>0.0</v>
      </c>
      <c r="J129" s="19">
        <v>1.0</v>
      </c>
      <c r="K129" s="19">
        <v>0.0</v>
      </c>
      <c r="L129" s="19">
        <v>1.0</v>
      </c>
      <c r="M129" s="19">
        <v>3.0</v>
      </c>
      <c r="N129" s="19">
        <v>0.0</v>
      </c>
      <c r="O129" s="19">
        <v>2.0</v>
      </c>
      <c r="P129" s="19">
        <v>0.0</v>
      </c>
      <c r="Q129" s="19">
        <v>1.0</v>
      </c>
      <c r="R129" s="19">
        <v>0.0</v>
      </c>
      <c r="S129" s="19">
        <v>0.0</v>
      </c>
      <c r="T129" s="13">
        <f t="shared" ref="T129:T138" si="28">SUM(E129:S129)</f>
        <v>9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0.0</v>
      </c>
      <c r="F130" s="19">
        <v>0.0</v>
      </c>
      <c r="G130" s="19">
        <v>0.0</v>
      </c>
      <c r="H130" s="19">
        <v>0.0</v>
      </c>
      <c r="I130" s="19">
        <v>0.0</v>
      </c>
      <c r="J130" s="19">
        <v>0.0</v>
      </c>
      <c r="K130" s="19">
        <v>0.0</v>
      </c>
      <c r="L130" s="19">
        <v>0.0</v>
      </c>
      <c r="M130" s="19">
        <v>0.0</v>
      </c>
      <c r="N130" s="19">
        <v>0.0</v>
      </c>
      <c r="O130" s="19">
        <v>5.0</v>
      </c>
      <c r="P130" s="19">
        <v>1.0</v>
      </c>
      <c r="Q130" s="19">
        <v>3.0</v>
      </c>
      <c r="R130" s="19">
        <v>0.0</v>
      </c>
      <c r="S130" s="19">
        <v>0.0</v>
      </c>
      <c r="T130" s="13">
        <f t="shared" si="28"/>
        <v>9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1.0</v>
      </c>
      <c r="G131" s="19">
        <v>0.0</v>
      </c>
      <c r="H131" s="19">
        <v>0.0</v>
      </c>
      <c r="I131" s="19">
        <v>1.0</v>
      </c>
      <c r="J131" s="19">
        <v>1.0</v>
      </c>
      <c r="K131" s="19">
        <v>0.0</v>
      </c>
      <c r="L131" s="19">
        <v>1.0</v>
      </c>
      <c r="M131" s="19">
        <v>4.0</v>
      </c>
      <c r="N131" s="19">
        <v>0.0</v>
      </c>
      <c r="O131" s="19">
        <v>2.0</v>
      </c>
      <c r="P131" s="19">
        <v>0.0</v>
      </c>
      <c r="Q131" s="19">
        <v>2.0</v>
      </c>
      <c r="R131" s="19">
        <v>1.0</v>
      </c>
      <c r="S131" s="19">
        <v>0.0</v>
      </c>
      <c r="T131" s="13">
        <f t="shared" si="28"/>
        <v>13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1.0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1.0</v>
      </c>
      <c r="R132" s="19">
        <v>0.0</v>
      </c>
      <c r="S132" s="19">
        <v>1.0</v>
      </c>
      <c r="T132" s="13">
        <f t="shared" si="28"/>
        <v>3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1.0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1.0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3">
        <f t="shared" si="28"/>
        <v>2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1.0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3">
        <f t="shared" si="28"/>
        <v>1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4.0</v>
      </c>
      <c r="R135" s="19">
        <v>0.0</v>
      </c>
      <c r="S135" s="19">
        <v>0.0</v>
      </c>
      <c r="T135" s="13">
        <f t="shared" si="28"/>
        <v>4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T139" si="29">SUM(E129:E138)</f>
        <v>3</v>
      </c>
      <c r="F139" s="13">
        <f t="shared" si="29"/>
        <v>1</v>
      </c>
      <c r="G139" s="13">
        <f t="shared" si="29"/>
        <v>0</v>
      </c>
      <c r="H139" s="13">
        <f t="shared" si="29"/>
        <v>0</v>
      </c>
      <c r="I139" s="13">
        <f t="shared" si="29"/>
        <v>1</v>
      </c>
      <c r="J139" s="13">
        <f t="shared" si="29"/>
        <v>2</v>
      </c>
      <c r="K139" s="13">
        <f t="shared" si="29"/>
        <v>0</v>
      </c>
      <c r="L139" s="13">
        <f t="shared" si="29"/>
        <v>4</v>
      </c>
      <c r="M139" s="13">
        <f t="shared" si="29"/>
        <v>7</v>
      </c>
      <c r="N139" s="13">
        <f t="shared" si="29"/>
        <v>0</v>
      </c>
      <c r="O139" s="13">
        <f t="shared" si="29"/>
        <v>9</v>
      </c>
      <c r="P139" s="13">
        <f t="shared" si="29"/>
        <v>1</v>
      </c>
      <c r="Q139" s="13">
        <f t="shared" si="29"/>
        <v>11</v>
      </c>
      <c r="R139" s="13">
        <f t="shared" si="29"/>
        <v>1</v>
      </c>
      <c r="S139" s="13">
        <f t="shared" si="29"/>
        <v>1</v>
      </c>
      <c r="T139" s="13">
        <f t="shared" si="29"/>
        <v>41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3">
        <f t="shared" ref="T141:T150" si="30">SUM(E141:S141)</f>
        <v>0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3">
        <f t="shared" si="30"/>
        <v>0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T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13"/>
    </row>
    <row r="153" ht="12.75" customHeight="1">
      <c r="A153" s="30" t="s">
        <v>37</v>
      </c>
      <c r="B153" s="17" t="s">
        <v>113</v>
      </c>
      <c r="C153" s="64" t="s">
        <v>114</v>
      </c>
      <c r="D153" s="23"/>
      <c r="E153" s="19">
        <v>1.0</v>
      </c>
      <c r="F153" s="19">
        <v>1.0</v>
      </c>
      <c r="G153" s="19">
        <v>0.0</v>
      </c>
      <c r="H153" s="19">
        <v>1.0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1.0</v>
      </c>
      <c r="R153" s="19">
        <v>0.0</v>
      </c>
      <c r="S153" s="19">
        <v>0.0</v>
      </c>
      <c r="T153" s="13">
        <f t="shared" ref="T153:T156" si="32">SUM(E154:S154)</f>
        <v>1</v>
      </c>
    </row>
    <row r="154" ht="12.75" customHeight="1">
      <c r="A154" s="65" t="s">
        <v>39</v>
      </c>
      <c r="B154" s="55">
        <v>1.0</v>
      </c>
      <c r="C154" s="66" t="s">
        <v>115</v>
      </c>
      <c r="D154" s="60"/>
      <c r="E154" s="80">
        <v>1.0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3">
        <f t="shared" si="32"/>
        <v>0</v>
      </c>
    </row>
    <row r="155" ht="12.75" customHeight="1">
      <c r="A155" s="18"/>
      <c r="B155" s="55">
        <v>2.0</v>
      </c>
      <c r="C155" s="66" t="s">
        <v>116</v>
      </c>
      <c r="D155" s="60"/>
      <c r="E155" s="80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3">
        <f t="shared" si="32"/>
        <v>1</v>
      </c>
    </row>
    <row r="156" ht="12.75" customHeight="1">
      <c r="A156" s="18"/>
      <c r="B156" s="55">
        <v>3.0</v>
      </c>
      <c r="C156" s="66" t="s">
        <v>117</v>
      </c>
      <c r="D156" s="60"/>
      <c r="E156" s="80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1.0</v>
      </c>
      <c r="R156" s="19">
        <v>0.0</v>
      </c>
      <c r="S156" s="19">
        <v>0.0</v>
      </c>
      <c r="T156" s="13">
        <f t="shared" si="32"/>
        <v>0</v>
      </c>
    </row>
    <row r="157" ht="12.75" customHeight="1">
      <c r="A157" s="18"/>
      <c r="B157" s="55">
        <v>4.0</v>
      </c>
      <c r="C157" s="66" t="s">
        <v>118</v>
      </c>
      <c r="D157" s="60"/>
      <c r="E157" s="80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3">
        <f t="shared" ref="T157:T162" si="33">SUM(E163:S163)</f>
        <v>6</v>
      </c>
    </row>
    <row r="158" ht="12.75" customHeight="1">
      <c r="A158" s="18"/>
      <c r="B158" s="56"/>
      <c r="C158" s="57"/>
      <c r="D158" s="61"/>
      <c r="E158" s="80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3">
        <f t="shared" si="33"/>
        <v>0</v>
      </c>
    </row>
    <row r="159" ht="12.75" customHeight="1">
      <c r="A159" s="18"/>
      <c r="B159" s="56"/>
      <c r="C159" s="57"/>
      <c r="D159" s="61"/>
      <c r="E159" s="80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3">
        <f t="shared" si="33"/>
        <v>2</v>
      </c>
    </row>
    <row r="160" ht="12.75" customHeight="1">
      <c r="A160" s="18"/>
      <c r="B160" s="56"/>
      <c r="C160" s="57"/>
      <c r="D160" s="62"/>
      <c r="E160" s="80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3">
        <f t="shared" si="33"/>
        <v>0</v>
      </c>
    </row>
    <row r="161" ht="12.75" customHeight="1">
      <c r="A161" s="18"/>
      <c r="B161" s="56"/>
      <c r="C161" s="67"/>
      <c r="D161" s="62"/>
      <c r="E161" s="80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3">
        <f t="shared" si="33"/>
        <v>0</v>
      </c>
    </row>
    <row r="162" ht="12.75" customHeight="1">
      <c r="A162" s="18"/>
      <c r="B162" s="56"/>
      <c r="C162" s="67"/>
      <c r="D162" s="62"/>
      <c r="E162" s="80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3">
        <f t="shared" si="33"/>
        <v>2</v>
      </c>
    </row>
    <row r="163" ht="12.75" customHeight="1">
      <c r="A163" s="19" t="s">
        <v>15</v>
      </c>
      <c r="B163" s="68" t="s">
        <v>47</v>
      </c>
      <c r="C163" s="44"/>
      <c r="D163" s="28"/>
      <c r="E163" s="13">
        <f t="shared" ref="E163:T163" si="34">SUM(E153:E162)</f>
        <v>2</v>
      </c>
      <c r="F163" s="13">
        <f t="shared" si="34"/>
        <v>1</v>
      </c>
      <c r="G163" s="13">
        <f t="shared" si="34"/>
        <v>0</v>
      </c>
      <c r="H163" s="13">
        <f t="shared" si="34"/>
        <v>1</v>
      </c>
      <c r="I163" s="13">
        <f t="shared" si="34"/>
        <v>0</v>
      </c>
      <c r="J163" s="13">
        <f t="shared" si="34"/>
        <v>0</v>
      </c>
      <c r="K163" s="13">
        <f t="shared" si="34"/>
        <v>0</v>
      </c>
      <c r="L163" s="13">
        <f t="shared" si="34"/>
        <v>0</v>
      </c>
      <c r="M163" s="13">
        <f t="shared" si="34"/>
        <v>0</v>
      </c>
      <c r="N163" s="13">
        <f t="shared" si="34"/>
        <v>0</v>
      </c>
      <c r="O163" s="13">
        <f t="shared" si="34"/>
        <v>0</v>
      </c>
      <c r="P163" s="13">
        <f t="shared" si="34"/>
        <v>0</v>
      </c>
      <c r="Q163" s="13">
        <f t="shared" si="34"/>
        <v>2</v>
      </c>
      <c r="R163" s="13">
        <f t="shared" si="34"/>
        <v>0</v>
      </c>
      <c r="S163" s="13">
        <f t="shared" si="34"/>
        <v>0</v>
      </c>
      <c r="T163" s="13">
        <f t="shared" si="34"/>
        <v>12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2.0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3">
        <f t="shared" ref="T165:T174" si="35">SUM(E165:S165)</f>
        <v>2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3">
        <f t="shared" si="35"/>
        <v>0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3">
        <f t="shared" si="35"/>
        <v>0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1.0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1.0</v>
      </c>
      <c r="S168" s="19">
        <v>0.0</v>
      </c>
      <c r="T168" s="13">
        <f t="shared" si="35"/>
        <v>2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3">
        <f t="shared" si="35"/>
        <v>0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3">
        <f t="shared" si="35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3">
        <f t="shared" si="35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3">
        <f t="shared" si="35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3">
        <f t="shared" si="35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3">
        <f t="shared" si="35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T175" si="36">SUM(E165:E174)</f>
        <v>3</v>
      </c>
      <c r="F175" s="13">
        <f t="shared" si="36"/>
        <v>0</v>
      </c>
      <c r="G175" s="13">
        <f t="shared" si="36"/>
        <v>0</v>
      </c>
      <c r="H175" s="13">
        <f t="shared" si="36"/>
        <v>0</v>
      </c>
      <c r="I175" s="13">
        <f t="shared" si="36"/>
        <v>0</v>
      </c>
      <c r="J175" s="13">
        <f t="shared" si="36"/>
        <v>0</v>
      </c>
      <c r="K175" s="13">
        <f t="shared" si="36"/>
        <v>0</v>
      </c>
      <c r="L175" s="13">
        <f t="shared" si="36"/>
        <v>0</v>
      </c>
      <c r="M175" s="13">
        <f t="shared" si="36"/>
        <v>0</v>
      </c>
      <c r="N175" s="13">
        <f t="shared" si="36"/>
        <v>0</v>
      </c>
      <c r="O175" s="13">
        <f t="shared" si="36"/>
        <v>0</v>
      </c>
      <c r="P175" s="13">
        <f t="shared" si="36"/>
        <v>0</v>
      </c>
      <c r="Q175" s="13">
        <f t="shared" si="36"/>
        <v>0</v>
      </c>
      <c r="R175" s="13">
        <f t="shared" si="36"/>
        <v>1</v>
      </c>
      <c r="S175" s="13">
        <f t="shared" si="36"/>
        <v>0</v>
      </c>
      <c r="T175" s="13">
        <f t="shared" si="36"/>
        <v>4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1.0</v>
      </c>
      <c r="G177" s="19">
        <v>0.0</v>
      </c>
      <c r="H177" s="19">
        <v>1.0</v>
      </c>
      <c r="I177" s="19">
        <v>0.0</v>
      </c>
      <c r="J177" s="19">
        <v>0.0</v>
      </c>
      <c r="K177" s="19">
        <v>0.0</v>
      </c>
      <c r="L177" s="19">
        <v>0.0</v>
      </c>
      <c r="M177" s="19">
        <v>0.0</v>
      </c>
      <c r="N177" s="19">
        <v>0.0</v>
      </c>
      <c r="O177" s="19">
        <v>0.0</v>
      </c>
      <c r="P177" s="19">
        <v>0.0</v>
      </c>
      <c r="Q177" s="19">
        <v>2.0</v>
      </c>
      <c r="R177" s="19">
        <v>0.0</v>
      </c>
      <c r="S177" s="19">
        <v>0.0</v>
      </c>
      <c r="T177" s="13">
        <f t="shared" ref="T177:T186" si="37">SUM(E177:S177)</f>
        <v>4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2.0</v>
      </c>
      <c r="F178" s="19">
        <v>2.0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3">
        <f t="shared" si="37"/>
        <v>4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1.0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3">
        <f t="shared" si="37"/>
        <v>1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1.0</v>
      </c>
      <c r="R180" s="19">
        <v>0.0</v>
      </c>
      <c r="S180" s="19">
        <v>0.0</v>
      </c>
      <c r="T180" s="13">
        <f t="shared" si="37"/>
        <v>1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1.0</v>
      </c>
      <c r="R181" s="19">
        <v>0.0</v>
      </c>
      <c r="S181" s="19">
        <v>0.0</v>
      </c>
      <c r="T181" s="13">
        <f t="shared" si="37"/>
        <v>1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1.0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3">
        <f t="shared" si="37"/>
        <v>1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1.0</v>
      </c>
      <c r="R183" s="19">
        <v>0.0</v>
      </c>
      <c r="S183" s="19">
        <v>0.0</v>
      </c>
      <c r="T183" s="13">
        <f t="shared" si="37"/>
        <v>1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3">
        <f t="shared" si="37"/>
        <v>0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3">
        <f t="shared" si="37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3">
        <f t="shared" si="37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T187" si="38">SUM(E177:E186)</f>
        <v>4</v>
      </c>
      <c r="F187" s="13">
        <f t="shared" si="38"/>
        <v>3</v>
      </c>
      <c r="G187" s="13">
        <f t="shared" si="38"/>
        <v>0</v>
      </c>
      <c r="H187" s="13">
        <f t="shared" si="38"/>
        <v>1</v>
      </c>
      <c r="I187" s="13">
        <f t="shared" si="38"/>
        <v>0</v>
      </c>
      <c r="J187" s="13">
        <f t="shared" si="38"/>
        <v>0</v>
      </c>
      <c r="K187" s="13">
        <f t="shared" si="38"/>
        <v>0</v>
      </c>
      <c r="L187" s="13">
        <f t="shared" si="38"/>
        <v>0</v>
      </c>
      <c r="M187" s="13">
        <f t="shared" si="38"/>
        <v>0</v>
      </c>
      <c r="N187" s="13">
        <f t="shared" si="38"/>
        <v>0</v>
      </c>
      <c r="O187" s="13">
        <f t="shared" si="38"/>
        <v>0</v>
      </c>
      <c r="P187" s="13">
        <f t="shared" si="38"/>
        <v>0</v>
      </c>
      <c r="Q187" s="13">
        <f t="shared" si="38"/>
        <v>5</v>
      </c>
      <c r="R187" s="13">
        <f t="shared" si="38"/>
        <v>0</v>
      </c>
      <c r="S187" s="13">
        <f t="shared" si="38"/>
        <v>0</v>
      </c>
      <c r="T187" s="13">
        <f t="shared" si="38"/>
        <v>13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1.0</v>
      </c>
      <c r="Q189" s="19">
        <v>0.0</v>
      </c>
      <c r="R189" s="19">
        <v>0.0</v>
      </c>
      <c r="S189" s="19">
        <v>0.0</v>
      </c>
      <c r="T189" s="13">
        <f t="shared" ref="T189:T198" si="39">SUM(E189:S189)</f>
        <v>1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2.0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3">
        <f t="shared" si="39"/>
        <v>2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1.0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3">
        <f t="shared" si="39"/>
        <v>1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1.0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3">
        <f t="shared" si="39"/>
        <v>1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3">
        <f t="shared" si="39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3">
        <f t="shared" si="39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3">
        <f t="shared" si="39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3">
        <f t="shared" si="39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3">
        <f t="shared" si="39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3">
        <f t="shared" si="39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T199" si="40">SUM(E189:E198)</f>
        <v>0</v>
      </c>
      <c r="F199" s="13">
        <f t="shared" si="40"/>
        <v>0</v>
      </c>
      <c r="G199" s="13">
        <f t="shared" si="40"/>
        <v>0</v>
      </c>
      <c r="H199" s="13">
        <f t="shared" si="40"/>
        <v>1</v>
      </c>
      <c r="I199" s="13">
        <f t="shared" si="40"/>
        <v>0</v>
      </c>
      <c r="J199" s="13">
        <f t="shared" si="40"/>
        <v>0</v>
      </c>
      <c r="K199" s="13">
        <f t="shared" si="40"/>
        <v>2</v>
      </c>
      <c r="L199" s="13">
        <f t="shared" si="40"/>
        <v>1</v>
      </c>
      <c r="M199" s="13">
        <f t="shared" si="40"/>
        <v>0</v>
      </c>
      <c r="N199" s="13">
        <f t="shared" si="40"/>
        <v>0</v>
      </c>
      <c r="O199" s="13">
        <f t="shared" si="40"/>
        <v>0</v>
      </c>
      <c r="P199" s="13">
        <f t="shared" si="40"/>
        <v>1</v>
      </c>
      <c r="Q199" s="13">
        <f t="shared" si="40"/>
        <v>0</v>
      </c>
      <c r="R199" s="13">
        <f t="shared" si="40"/>
        <v>0</v>
      </c>
      <c r="S199" s="13">
        <f t="shared" si="40"/>
        <v>0</v>
      </c>
      <c r="T199" s="13">
        <f t="shared" si="40"/>
        <v>5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12.0</v>
      </c>
      <c r="F201" s="19">
        <v>8.0</v>
      </c>
      <c r="G201" s="19">
        <v>2.0</v>
      </c>
      <c r="H201" s="19">
        <v>6.0</v>
      </c>
      <c r="I201" s="19">
        <v>4.0</v>
      </c>
      <c r="J201" s="19">
        <v>2.0</v>
      </c>
      <c r="K201" s="19">
        <v>8.0</v>
      </c>
      <c r="L201" s="19">
        <v>6.0</v>
      </c>
      <c r="M201" s="19">
        <v>10.0</v>
      </c>
      <c r="N201" s="19">
        <v>13.0</v>
      </c>
      <c r="O201" s="19">
        <v>12.0</v>
      </c>
      <c r="P201" s="19">
        <v>10.0</v>
      </c>
      <c r="Q201" s="19">
        <v>19.0</v>
      </c>
      <c r="R201" s="19">
        <v>9.0</v>
      </c>
      <c r="S201" s="19">
        <v>20.0</v>
      </c>
      <c r="T201" s="13">
        <f t="shared" ref="T201:T210" si="41">SUM(E201:S201)</f>
        <v>141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9.0</v>
      </c>
      <c r="F202" s="19">
        <v>12.0</v>
      </c>
      <c r="G202" s="19">
        <v>7.0</v>
      </c>
      <c r="H202" s="19">
        <v>7.0</v>
      </c>
      <c r="I202" s="19">
        <v>2.0</v>
      </c>
      <c r="J202" s="19">
        <v>6.0</v>
      </c>
      <c r="K202" s="19">
        <v>3.0</v>
      </c>
      <c r="L202" s="19">
        <v>8.0</v>
      </c>
      <c r="M202" s="19">
        <v>22.0</v>
      </c>
      <c r="N202" s="19">
        <v>44.0</v>
      </c>
      <c r="O202" s="19">
        <v>27.0</v>
      </c>
      <c r="P202" s="19">
        <v>24.0</v>
      </c>
      <c r="Q202" s="19">
        <v>45.0</v>
      </c>
      <c r="R202" s="19">
        <v>18.0</v>
      </c>
      <c r="S202" s="19">
        <v>25.0</v>
      </c>
      <c r="T202" s="13">
        <f t="shared" si="41"/>
        <v>259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5.0</v>
      </c>
      <c r="F203" s="19">
        <v>7.0</v>
      </c>
      <c r="G203" s="19">
        <v>5.0</v>
      </c>
      <c r="H203" s="19">
        <v>4.0</v>
      </c>
      <c r="I203" s="19">
        <v>0.0</v>
      </c>
      <c r="J203" s="19">
        <v>5.0</v>
      </c>
      <c r="K203" s="19">
        <v>3.0</v>
      </c>
      <c r="L203" s="19">
        <v>1.0</v>
      </c>
      <c r="M203" s="19">
        <v>4.0</v>
      </c>
      <c r="N203" s="19">
        <v>2.0</v>
      </c>
      <c r="O203" s="19">
        <v>35.0</v>
      </c>
      <c r="P203" s="19">
        <v>12.0</v>
      </c>
      <c r="Q203" s="19">
        <v>23.0</v>
      </c>
      <c r="R203" s="19">
        <v>16.0</v>
      </c>
      <c r="S203" s="19">
        <v>35.0</v>
      </c>
      <c r="T203" s="13">
        <f t="shared" si="41"/>
        <v>157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2.0</v>
      </c>
      <c r="F204" s="19">
        <v>0.0</v>
      </c>
      <c r="G204" s="19">
        <v>1.0</v>
      </c>
      <c r="H204" s="19">
        <v>0.0</v>
      </c>
      <c r="I204" s="19">
        <v>0.0</v>
      </c>
      <c r="J204" s="19">
        <v>2.0</v>
      </c>
      <c r="K204" s="19">
        <v>0.0</v>
      </c>
      <c r="L204" s="19">
        <v>1.0</v>
      </c>
      <c r="M204" s="19">
        <v>1.0</v>
      </c>
      <c r="N204" s="19">
        <v>4.0</v>
      </c>
      <c r="O204" s="19">
        <v>0.0</v>
      </c>
      <c r="P204" s="19">
        <v>0.0</v>
      </c>
      <c r="Q204" s="19">
        <v>0.0</v>
      </c>
      <c r="R204" s="19">
        <v>0.0</v>
      </c>
      <c r="S204" s="19">
        <v>1.0</v>
      </c>
      <c r="T204" s="13">
        <f t="shared" si="41"/>
        <v>12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1.0</v>
      </c>
      <c r="F205" s="19">
        <v>0.0</v>
      </c>
      <c r="G205" s="19">
        <v>1.0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9">
        <v>0.0</v>
      </c>
      <c r="N205" s="19">
        <v>0.0</v>
      </c>
      <c r="O205" s="19">
        <v>0.0</v>
      </c>
      <c r="P205" s="19">
        <v>0.0</v>
      </c>
      <c r="Q205" s="19">
        <v>0.0</v>
      </c>
      <c r="R205" s="19">
        <v>1.0</v>
      </c>
      <c r="S205" s="19">
        <v>2.0</v>
      </c>
      <c r="T205" s="13">
        <f t="shared" si="41"/>
        <v>5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1.0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2.0</v>
      </c>
      <c r="P206" s="19">
        <v>1.0</v>
      </c>
      <c r="Q206" s="19">
        <v>2.0</v>
      </c>
      <c r="R206" s="19">
        <v>0.0</v>
      </c>
      <c r="S206" s="19">
        <v>1.0</v>
      </c>
      <c r="T206" s="13">
        <f t="shared" si="41"/>
        <v>7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1.0</v>
      </c>
      <c r="S207" s="19">
        <v>0.0</v>
      </c>
      <c r="T207" s="13">
        <f t="shared" si="41"/>
        <v>1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1.0</v>
      </c>
      <c r="K208" s="19">
        <v>1.0</v>
      </c>
      <c r="L208" s="19">
        <v>2.0</v>
      </c>
      <c r="M208" s="19">
        <v>1.0</v>
      </c>
      <c r="N208" s="19">
        <v>0.0</v>
      </c>
      <c r="O208" s="19">
        <v>0.0</v>
      </c>
      <c r="P208" s="19">
        <v>0.0</v>
      </c>
      <c r="Q208" s="19">
        <v>2.0</v>
      </c>
      <c r="R208" s="19">
        <v>0.0</v>
      </c>
      <c r="S208" s="19">
        <v>1.0</v>
      </c>
      <c r="T208" s="13">
        <f t="shared" si="41"/>
        <v>8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3">
        <f t="shared" si="41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3">
        <f t="shared" si="41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T211" si="42">SUM(E201:E210)</f>
        <v>30</v>
      </c>
      <c r="F211" s="13">
        <f t="shared" si="42"/>
        <v>27</v>
      </c>
      <c r="G211" s="13">
        <f t="shared" si="42"/>
        <v>16</v>
      </c>
      <c r="H211" s="13">
        <f t="shared" si="42"/>
        <v>17</v>
      </c>
      <c r="I211" s="13">
        <f t="shared" si="42"/>
        <v>6</v>
      </c>
      <c r="J211" s="13">
        <f t="shared" si="42"/>
        <v>16</v>
      </c>
      <c r="K211" s="13">
        <f t="shared" si="42"/>
        <v>15</v>
      </c>
      <c r="L211" s="13">
        <f t="shared" si="42"/>
        <v>18</v>
      </c>
      <c r="M211" s="13">
        <f t="shared" si="42"/>
        <v>38</v>
      </c>
      <c r="N211" s="13">
        <f t="shared" si="42"/>
        <v>63</v>
      </c>
      <c r="O211" s="13">
        <f t="shared" si="42"/>
        <v>76</v>
      </c>
      <c r="P211" s="13">
        <f t="shared" si="42"/>
        <v>47</v>
      </c>
      <c r="Q211" s="13">
        <f t="shared" si="42"/>
        <v>91</v>
      </c>
      <c r="R211" s="13">
        <f t="shared" si="42"/>
        <v>45</v>
      </c>
      <c r="S211" s="13">
        <f t="shared" si="42"/>
        <v>85</v>
      </c>
      <c r="T211" s="13">
        <f t="shared" si="42"/>
        <v>590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4.0</v>
      </c>
      <c r="G213" s="19">
        <v>1.0</v>
      </c>
      <c r="H213" s="19">
        <v>3.0</v>
      </c>
      <c r="I213" s="19">
        <v>0.0</v>
      </c>
      <c r="J213" s="19">
        <v>0.0</v>
      </c>
      <c r="K213" s="19">
        <v>1.0</v>
      </c>
      <c r="L213" s="19">
        <v>1.0</v>
      </c>
      <c r="M213" s="19">
        <v>0.0</v>
      </c>
      <c r="N213" s="19">
        <v>0.0</v>
      </c>
      <c r="O213" s="19">
        <v>0.0</v>
      </c>
      <c r="P213" s="19">
        <v>1.0</v>
      </c>
      <c r="Q213" s="19">
        <v>2.0</v>
      </c>
      <c r="R213" s="19">
        <v>1.0</v>
      </c>
      <c r="S213" s="19">
        <v>0.0</v>
      </c>
      <c r="T213" s="13">
        <f t="shared" ref="T213:T222" si="43">SUM(E213:S213)</f>
        <v>14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0.0</v>
      </c>
      <c r="F214" s="19">
        <v>0.0</v>
      </c>
      <c r="G214" s="19">
        <v>0.0</v>
      </c>
      <c r="H214" s="19">
        <v>2.0</v>
      </c>
      <c r="I214" s="19">
        <v>3.0</v>
      </c>
      <c r="J214" s="19">
        <v>0.0</v>
      </c>
      <c r="K214" s="19">
        <v>1.0</v>
      </c>
      <c r="L214" s="19">
        <v>0.0</v>
      </c>
      <c r="M214" s="19">
        <v>0.0</v>
      </c>
      <c r="N214" s="19">
        <v>0.0</v>
      </c>
      <c r="O214" s="19">
        <v>0.0</v>
      </c>
      <c r="P214" s="19">
        <v>0.0</v>
      </c>
      <c r="Q214" s="19">
        <v>3.0</v>
      </c>
      <c r="R214" s="19">
        <v>0.0</v>
      </c>
      <c r="S214" s="19">
        <v>1.0</v>
      </c>
      <c r="T214" s="13">
        <f t="shared" si="43"/>
        <v>10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0.0</v>
      </c>
      <c r="F215" s="19">
        <v>0.0</v>
      </c>
      <c r="G215" s="19">
        <v>0.0</v>
      </c>
      <c r="H215" s="19">
        <v>1.0</v>
      </c>
      <c r="I215" s="19">
        <v>0.0</v>
      </c>
      <c r="J215" s="19">
        <v>0.0</v>
      </c>
      <c r="K215" s="19">
        <v>0.0</v>
      </c>
      <c r="L215" s="19">
        <v>0.0</v>
      </c>
      <c r="M215" s="19">
        <v>0.0</v>
      </c>
      <c r="N215" s="19">
        <v>0.0</v>
      </c>
      <c r="O215" s="19">
        <v>23.0</v>
      </c>
      <c r="P215" s="19">
        <v>37.0</v>
      </c>
      <c r="Q215" s="19">
        <v>4.0</v>
      </c>
      <c r="R215" s="19">
        <v>1.0</v>
      </c>
      <c r="S215" s="19">
        <v>25.0</v>
      </c>
      <c r="T215" s="13">
        <f t="shared" si="43"/>
        <v>91</v>
      </c>
    </row>
    <row r="216" ht="12.75" customHeight="1">
      <c r="A216" s="18"/>
      <c r="B216" s="55">
        <v>3.0</v>
      </c>
      <c r="C216" s="69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1.0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1.0</v>
      </c>
      <c r="R216" s="19">
        <v>0.0</v>
      </c>
      <c r="S216" s="19">
        <v>1.0</v>
      </c>
      <c r="T216" s="13">
        <f t="shared" si="43"/>
        <v>3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3">
        <f t="shared" si="43"/>
        <v>0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3">
        <f t="shared" si="43"/>
        <v>0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1.0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1.0</v>
      </c>
      <c r="P219" s="19">
        <v>0.0</v>
      </c>
      <c r="Q219" s="19">
        <v>0.0</v>
      </c>
      <c r="R219" s="19">
        <v>0.0</v>
      </c>
      <c r="S219" s="19">
        <v>0.0</v>
      </c>
      <c r="T219" s="13">
        <f t="shared" si="43"/>
        <v>2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1.0</v>
      </c>
      <c r="M220" s="19">
        <v>1.0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3">
        <f t="shared" si="43"/>
        <v>2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3">
        <f t="shared" si="43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3">
        <f t="shared" si="43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T223" si="44">SUM(E213:E222)</f>
        <v>0</v>
      </c>
      <c r="F223" s="13">
        <f t="shared" si="44"/>
        <v>5</v>
      </c>
      <c r="G223" s="13">
        <f t="shared" si="44"/>
        <v>1</v>
      </c>
      <c r="H223" s="13">
        <f t="shared" si="44"/>
        <v>6</v>
      </c>
      <c r="I223" s="13">
        <f t="shared" si="44"/>
        <v>4</v>
      </c>
      <c r="J223" s="13">
        <f t="shared" si="44"/>
        <v>0</v>
      </c>
      <c r="K223" s="13">
        <f t="shared" si="44"/>
        <v>2</v>
      </c>
      <c r="L223" s="13">
        <f t="shared" si="44"/>
        <v>2</v>
      </c>
      <c r="M223" s="13">
        <f t="shared" si="44"/>
        <v>1</v>
      </c>
      <c r="N223" s="13">
        <f t="shared" si="44"/>
        <v>0</v>
      </c>
      <c r="O223" s="13">
        <f t="shared" si="44"/>
        <v>24</v>
      </c>
      <c r="P223" s="13">
        <f t="shared" si="44"/>
        <v>38</v>
      </c>
      <c r="Q223" s="13">
        <f t="shared" si="44"/>
        <v>10</v>
      </c>
      <c r="R223" s="13">
        <f t="shared" si="44"/>
        <v>2</v>
      </c>
      <c r="S223" s="13">
        <f t="shared" si="44"/>
        <v>27</v>
      </c>
      <c r="T223" s="13">
        <f t="shared" si="44"/>
        <v>122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1.0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3">
        <f t="shared" ref="T225:T234" si="45">SUM(E225:S225)</f>
        <v>1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2.0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3">
        <f t="shared" si="45"/>
        <v>2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3">
        <f t="shared" si="45"/>
        <v>0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3">
        <f t="shared" si="45"/>
        <v>0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3">
        <f t="shared" si="45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3">
        <f t="shared" si="45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3">
        <f t="shared" si="45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1.0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16.0</v>
      </c>
      <c r="Q232" s="19">
        <v>2.0</v>
      </c>
      <c r="R232" s="19">
        <v>3.0</v>
      </c>
      <c r="S232" s="19">
        <v>8.0</v>
      </c>
      <c r="T232" s="13">
        <f t="shared" si="45"/>
        <v>30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3">
        <f t="shared" si="45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3">
        <f t="shared" si="45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T235" si="46">SUM(E225:E234)</f>
        <v>0</v>
      </c>
      <c r="F235" s="13">
        <f t="shared" si="46"/>
        <v>1</v>
      </c>
      <c r="G235" s="13">
        <f t="shared" si="46"/>
        <v>0</v>
      </c>
      <c r="H235" s="13">
        <f t="shared" si="46"/>
        <v>0</v>
      </c>
      <c r="I235" s="13">
        <f t="shared" si="46"/>
        <v>0</v>
      </c>
      <c r="J235" s="13">
        <f t="shared" si="46"/>
        <v>3</v>
      </c>
      <c r="K235" s="13">
        <f t="shared" si="46"/>
        <v>0</v>
      </c>
      <c r="L235" s="13">
        <f t="shared" si="46"/>
        <v>0</v>
      </c>
      <c r="M235" s="13">
        <f t="shared" si="46"/>
        <v>0</v>
      </c>
      <c r="N235" s="13">
        <f t="shared" si="46"/>
        <v>0</v>
      </c>
      <c r="O235" s="13">
        <f t="shared" si="46"/>
        <v>0</v>
      </c>
      <c r="P235" s="13">
        <f t="shared" si="46"/>
        <v>16</v>
      </c>
      <c r="Q235" s="13">
        <f t="shared" si="46"/>
        <v>2</v>
      </c>
      <c r="R235" s="13">
        <f t="shared" si="46"/>
        <v>3</v>
      </c>
      <c r="S235" s="13">
        <f t="shared" si="46"/>
        <v>8</v>
      </c>
      <c r="T235" s="13">
        <f t="shared" si="46"/>
        <v>33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3.0</v>
      </c>
      <c r="G237" s="19">
        <v>0.0</v>
      </c>
      <c r="H237" s="19">
        <v>0.0</v>
      </c>
      <c r="I237" s="19">
        <v>0.0</v>
      </c>
      <c r="J237" s="19">
        <v>1.0</v>
      </c>
      <c r="K237" s="19">
        <v>0.0</v>
      </c>
      <c r="L237" s="19">
        <v>0.0</v>
      </c>
      <c r="M237" s="19">
        <v>0.0</v>
      </c>
      <c r="N237" s="19">
        <v>0.0</v>
      </c>
      <c r="O237" s="19">
        <v>3.0</v>
      </c>
      <c r="P237" s="19">
        <v>0.0</v>
      </c>
      <c r="Q237" s="19">
        <v>0.0</v>
      </c>
      <c r="R237" s="19">
        <v>0.0</v>
      </c>
      <c r="S237" s="19">
        <v>0.0</v>
      </c>
      <c r="T237" s="13">
        <f t="shared" ref="T237:T246" si="47">SUM(E237:S237)</f>
        <v>7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2.0</v>
      </c>
      <c r="F238" s="19">
        <v>0.0</v>
      </c>
      <c r="G238" s="19">
        <v>1.0</v>
      </c>
      <c r="H238" s="19">
        <v>1.0</v>
      </c>
      <c r="I238" s="19">
        <v>0.0</v>
      </c>
      <c r="J238" s="19">
        <v>0.0</v>
      </c>
      <c r="K238" s="19">
        <v>0.0</v>
      </c>
      <c r="L238" s="19">
        <v>0.0</v>
      </c>
      <c r="M238" s="19">
        <v>1.0</v>
      </c>
      <c r="N238" s="19">
        <v>0.0</v>
      </c>
      <c r="O238" s="19">
        <v>0.0</v>
      </c>
      <c r="P238" s="19">
        <v>0.0</v>
      </c>
      <c r="Q238" s="19">
        <v>1.0</v>
      </c>
      <c r="R238" s="19">
        <v>1.0</v>
      </c>
      <c r="S238" s="19">
        <v>0.0</v>
      </c>
      <c r="T238" s="13">
        <f t="shared" si="47"/>
        <v>7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1.0</v>
      </c>
      <c r="F239" s="19">
        <v>2.0</v>
      </c>
      <c r="G239" s="19">
        <v>4.0</v>
      </c>
      <c r="H239" s="19">
        <v>1.0</v>
      </c>
      <c r="I239" s="19">
        <v>1.0</v>
      </c>
      <c r="J239" s="19">
        <v>8.0</v>
      </c>
      <c r="K239" s="19">
        <v>11.0</v>
      </c>
      <c r="L239" s="19">
        <v>1.0</v>
      </c>
      <c r="M239" s="19">
        <v>0.0</v>
      </c>
      <c r="N239" s="19">
        <v>0.0</v>
      </c>
      <c r="O239" s="19">
        <v>0.0</v>
      </c>
      <c r="P239" s="19">
        <v>0.0</v>
      </c>
      <c r="Q239" s="19">
        <v>0.0</v>
      </c>
      <c r="R239" s="19">
        <v>0.0</v>
      </c>
      <c r="S239" s="19">
        <v>1.0</v>
      </c>
      <c r="T239" s="13">
        <f t="shared" si="47"/>
        <v>30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2.0</v>
      </c>
      <c r="G240" s="19">
        <v>0.0</v>
      </c>
      <c r="H240" s="19">
        <v>1.0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1.0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3">
        <f t="shared" si="47"/>
        <v>4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3">
        <f t="shared" si="47"/>
        <v>0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3">
        <f t="shared" si="47"/>
        <v>0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3">
        <f t="shared" si="47"/>
        <v>0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1.0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9">
        <v>0.0</v>
      </c>
      <c r="N244" s="19">
        <v>0.0</v>
      </c>
      <c r="O244" s="19">
        <v>0.0</v>
      </c>
      <c r="P244" s="19">
        <v>0.0</v>
      </c>
      <c r="Q244" s="19">
        <v>0.0</v>
      </c>
      <c r="R244" s="19">
        <v>2.0</v>
      </c>
      <c r="S244" s="19">
        <v>0.0</v>
      </c>
      <c r="T244" s="13">
        <f t="shared" si="47"/>
        <v>3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3">
        <f t="shared" si="47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3">
        <f t="shared" si="47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T247" si="48">SUM(E237:E246)</f>
        <v>4</v>
      </c>
      <c r="F247" s="13">
        <f t="shared" si="48"/>
        <v>7</v>
      </c>
      <c r="G247" s="13">
        <f t="shared" si="48"/>
        <v>5</v>
      </c>
      <c r="H247" s="13">
        <f t="shared" si="48"/>
        <v>3</v>
      </c>
      <c r="I247" s="13">
        <f t="shared" si="48"/>
        <v>1</v>
      </c>
      <c r="J247" s="13">
        <f t="shared" si="48"/>
        <v>9</v>
      </c>
      <c r="K247" s="13">
        <f t="shared" si="48"/>
        <v>11</v>
      </c>
      <c r="L247" s="13">
        <f t="shared" si="48"/>
        <v>1</v>
      </c>
      <c r="M247" s="13">
        <f t="shared" si="48"/>
        <v>1</v>
      </c>
      <c r="N247" s="13">
        <f t="shared" si="48"/>
        <v>1</v>
      </c>
      <c r="O247" s="13">
        <f t="shared" si="48"/>
        <v>3</v>
      </c>
      <c r="P247" s="13">
        <f t="shared" si="48"/>
        <v>0</v>
      </c>
      <c r="Q247" s="13">
        <f t="shared" si="48"/>
        <v>1</v>
      </c>
      <c r="R247" s="13">
        <f t="shared" si="48"/>
        <v>3</v>
      </c>
      <c r="S247" s="13">
        <f t="shared" si="48"/>
        <v>1</v>
      </c>
      <c r="T247" s="13">
        <f t="shared" si="48"/>
        <v>51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1.0</v>
      </c>
      <c r="N249" s="19">
        <v>0.0</v>
      </c>
      <c r="O249" s="19">
        <v>1.0</v>
      </c>
      <c r="P249" s="19">
        <v>0.0</v>
      </c>
      <c r="Q249" s="19">
        <v>0.0</v>
      </c>
      <c r="R249" s="19">
        <v>0.0</v>
      </c>
      <c r="S249" s="19">
        <v>0.0</v>
      </c>
      <c r="T249" s="13">
        <f t="shared" ref="T249:T258" si="49">SUM(E249:S249)</f>
        <v>2</v>
      </c>
    </row>
    <row r="250" ht="12.75" customHeight="1">
      <c r="A250" s="30" t="s">
        <v>39</v>
      </c>
      <c r="B250" s="55">
        <v>1.0</v>
      </c>
      <c r="C250" s="66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3">
        <f t="shared" si="49"/>
        <v>0</v>
      </c>
    </row>
    <row r="251" ht="12.75" customHeight="1">
      <c r="A251" s="18"/>
      <c r="B251" s="55">
        <v>2.0</v>
      </c>
      <c r="C251" s="66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3">
        <f t="shared" si="49"/>
        <v>0</v>
      </c>
    </row>
    <row r="252" ht="12.75" customHeight="1">
      <c r="A252" s="18"/>
      <c r="B252" s="55">
        <v>3.0</v>
      </c>
      <c r="C252" s="66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3">
        <f t="shared" si="49"/>
        <v>0</v>
      </c>
    </row>
    <row r="253" ht="12.75" customHeight="1">
      <c r="A253" s="18"/>
      <c r="B253" s="55">
        <v>4.0</v>
      </c>
      <c r="C253" s="66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3">
        <f t="shared" si="49"/>
        <v>0</v>
      </c>
    </row>
    <row r="254" ht="12.75" customHeight="1">
      <c r="A254" s="18"/>
      <c r="B254" s="55">
        <v>5.0</v>
      </c>
      <c r="C254" s="66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3">
        <f t="shared" si="49"/>
        <v>0</v>
      </c>
    </row>
    <row r="255" ht="12.75" customHeight="1">
      <c r="A255" s="18"/>
      <c r="B255" s="55">
        <v>6.0</v>
      </c>
      <c r="C255" s="66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1.0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3">
        <f t="shared" si="49"/>
        <v>1</v>
      </c>
    </row>
    <row r="256" ht="12.75" customHeight="1">
      <c r="A256" s="18"/>
      <c r="B256" s="56"/>
      <c r="C256" s="67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3">
        <f t="shared" si="49"/>
        <v>0</v>
      </c>
    </row>
    <row r="257" ht="12.75" customHeight="1">
      <c r="A257" s="18"/>
      <c r="B257" s="56"/>
      <c r="C257" s="67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3">
        <f t="shared" si="49"/>
        <v>0</v>
      </c>
    </row>
    <row r="258" ht="12.75" customHeight="1">
      <c r="A258" s="18"/>
      <c r="B258" s="56"/>
      <c r="C258" s="67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3">
        <f t="shared" si="49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T259" si="50">SUM(E249:E258)</f>
        <v>0</v>
      </c>
      <c r="F259" s="13">
        <f t="shared" si="50"/>
        <v>0</v>
      </c>
      <c r="G259" s="13">
        <f t="shared" si="50"/>
        <v>0</v>
      </c>
      <c r="H259" s="13">
        <f t="shared" si="50"/>
        <v>0</v>
      </c>
      <c r="I259" s="13">
        <f t="shared" si="50"/>
        <v>0</v>
      </c>
      <c r="J259" s="13">
        <f t="shared" si="50"/>
        <v>1</v>
      </c>
      <c r="K259" s="13">
        <f t="shared" si="50"/>
        <v>0</v>
      </c>
      <c r="L259" s="13">
        <f t="shared" si="50"/>
        <v>0</v>
      </c>
      <c r="M259" s="13">
        <f t="shared" si="50"/>
        <v>1</v>
      </c>
      <c r="N259" s="13">
        <f t="shared" si="50"/>
        <v>0</v>
      </c>
      <c r="O259" s="13">
        <f t="shared" si="50"/>
        <v>1</v>
      </c>
      <c r="P259" s="13">
        <f t="shared" si="50"/>
        <v>0</v>
      </c>
      <c r="Q259" s="13">
        <f t="shared" si="50"/>
        <v>0</v>
      </c>
      <c r="R259" s="13">
        <f t="shared" si="50"/>
        <v>0</v>
      </c>
      <c r="S259" s="13">
        <f t="shared" si="50"/>
        <v>0</v>
      </c>
      <c r="T259" s="13">
        <f t="shared" si="50"/>
        <v>3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</row>
    <row r="262" ht="12.75" customHeight="1">
      <c r="A262" s="42"/>
      <c r="B262" s="70" t="s">
        <v>192</v>
      </c>
      <c r="C262" s="71" t="s">
        <v>193</v>
      </c>
      <c r="D262" s="16"/>
      <c r="E262" s="19">
        <f t="shared" ref="E262:S262" si="51">E55+E67+E79+E91+E103+E115+E127+E139+E151+E163+E175+E187+E199+E211+E223+E235+E247+E259</f>
        <v>209</v>
      </c>
      <c r="F262" s="19">
        <f t="shared" si="51"/>
        <v>167</v>
      </c>
      <c r="G262" s="19">
        <f t="shared" si="51"/>
        <v>142</v>
      </c>
      <c r="H262" s="19">
        <f t="shared" si="51"/>
        <v>198</v>
      </c>
      <c r="I262" s="19">
        <f t="shared" si="51"/>
        <v>95</v>
      </c>
      <c r="J262" s="19">
        <f t="shared" si="51"/>
        <v>187</v>
      </c>
      <c r="K262" s="19">
        <f t="shared" si="51"/>
        <v>170</v>
      </c>
      <c r="L262" s="19">
        <f t="shared" si="51"/>
        <v>157</v>
      </c>
      <c r="M262" s="19">
        <f t="shared" si="51"/>
        <v>156</v>
      </c>
      <c r="N262" s="19">
        <f t="shared" si="51"/>
        <v>212</v>
      </c>
      <c r="O262" s="19">
        <f t="shared" si="51"/>
        <v>200</v>
      </c>
      <c r="P262" s="19">
        <f t="shared" si="51"/>
        <v>176</v>
      </c>
      <c r="Q262" s="19">
        <f t="shared" si="51"/>
        <v>224</v>
      </c>
      <c r="R262" s="19">
        <f t="shared" si="51"/>
        <v>170</v>
      </c>
      <c r="S262" s="19">
        <f t="shared" si="51"/>
        <v>224</v>
      </c>
      <c r="T262" s="13">
        <f t="shared" ref="T262:T264" si="52">SUM(E262:S262)</f>
        <v>2687</v>
      </c>
    </row>
    <row r="263" ht="12.75" customHeight="1">
      <c r="A263" s="35"/>
      <c r="B263" s="70" t="s">
        <v>194</v>
      </c>
      <c r="C263" s="71" t="s">
        <v>195</v>
      </c>
      <c r="D263" s="16"/>
      <c r="E263" s="19">
        <v>21.0</v>
      </c>
      <c r="F263" s="19">
        <v>19.0</v>
      </c>
      <c r="G263" s="19">
        <v>18.0</v>
      </c>
      <c r="H263" s="19">
        <v>16.0</v>
      </c>
      <c r="I263" s="19">
        <v>9.0</v>
      </c>
      <c r="J263" s="19">
        <v>22.0</v>
      </c>
      <c r="K263" s="19">
        <v>29.0</v>
      </c>
      <c r="L263" s="19">
        <v>18.0</v>
      </c>
      <c r="M263" s="19">
        <v>18.0</v>
      </c>
      <c r="N263" s="19">
        <v>18.0</v>
      </c>
      <c r="O263" s="19">
        <v>25.0</v>
      </c>
      <c r="P263" s="19">
        <v>42.0</v>
      </c>
      <c r="Q263" s="19">
        <v>17.0</v>
      </c>
      <c r="R263" s="19">
        <v>20.0</v>
      </c>
      <c r="S263" s="19">
        <v>18.0</v>
      </c>
      <c r="T263" s="13">
        <f t="shared" si="52"/>
        <v>310</v>
      </c>
    </row>
    <row r="264" ht="12.75" customHeight="1">
      <c r="A264" s="41"/>
      <c r="B264" s="70" t="s">
        <v>196</v>
      </c>
      <c r="C264" s="71" t="s">
        <v>197</v>
      </c>
      <c r="D264" s="16"/>
      <c r="E264" s="13">
        <f t="shared" ref="E264:S264" si="53">SUM(E262:E263)</f>
        <v>230</v>
      </c>
      <c r="F264" s="13">
        <f t="shared" si="53"/>
        <v>186</v>
      </c>
      <c r="G264" s="13">
        <f t="shared" si="53"/>
        <v>160</v>
      </c>
      <c r="H264" s="13">
        <f t="shared" si="53"/>
        <v>214</v>
      </c>
      <c r="I264" s="13">
        <f t="shared" si="53"/>
        <v>104</v>
      </c>
      <c r="J264" s="13">
        <f t="shared" si="53"/>
        <v>209</v>
      </c>
      <c r="K264" s="13">
        <f t="shared" si="53"/>
        <v>199</v>
      </c>
      <c r="L264" s="13">
        <f t="shared" si="53"/>
        <v>175</v>
      </c>
      <c r="M264" s="13">
        <f t="shared" si="53"/>
        <v>174</v>
      </c>
      <c r="N264" s="13">
        <f t="shared" si="53"/>
        <v>230</v>
      </c>
      <c r="O264" s="13">
        <f t="shared" si="53"/>
        <v>225</v>
      </c>
      <c r="P264" s="13">
        <f t="shared" si="53"/>
        <v>218</v>
      </c>
      <c r="Q264" s="13">
        <f t="shared" si="53"/>
        <v>241</v>
      </c>
      <c r="R264" s="13">
        <f t="shared" si="53"/>
        <v>190</v>
      </c>
      <c r="S264" s="13">
        <f t="shared" si="53"/>
        <v>242</v>
      </c>
      <c r="T264" s="13">
        <f t="shared" si="52"/>
        <v>2997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O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O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S15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E30&lt;&gt;E47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E34&lt;&gt;E64</formula>
    </cfRule>
  </conditionalFormatting>
  <conditionalFormatting sqref="E45:S54">
    <cfRule type="containsBlanks" dxfId="1" priority="10">
      <formula>LEN(TRIM(E45))=0</formula>
    </cfRule>
  </conditionalFormatting>
  <conditionalFormatting sqref="E57:S66">
    <cfRule type="containsBlanks" dxfId="1" priority="11">
      <formula>LEN(TRIM(E57))=0</formula>
    </cfRule>
  </conditionalFormatting>
  <conditionalFormatting sqref="E69:S78">
    <cfRule type="containsBlanks" dxfId="1" priority="12">
      <formula>LEN(TRIM(E69))=0</formula>
    </cfRule>
  </conditionalFormatting>
  <conditionalFormatting sqref="E81:S90">
    <cfRule type="containsBlanks" dxfId="1" priority="13">
      <formula>LEN(TRIM(E81))=0</formula>
    </cfRule>
  </conditionalFormatting>
  <conditionalFormatting sqref="E93:S102">
    <cfRule type="containsBlanks" dxfId="1" priority="14">
      <formula>LEN(TRIM(E93))=0</formula>
    </cfRule>
  </conditionalFormatting>
  <conditionalFormatting sqref="E105:S114">
    <cfRule type="containsBlanks" dxfId="1" priority="15">
      <formula>LEN(TRIM(E105))=0</formula>
    </cfRule>
  </conditionalFormatting>
  <conditionalFormatting sqref="E117:S126">
    <cfRule type="containsBlanks" dxfId="1" priority="16">
      <formula>LEN(TRIM(E117))=0</formula>
    </cfRule>
  </conditionalFormatting>
  <conditionalFormatting sqref="E129:S138">
    <cfRule type="containsBlanks" dxfId="1" priority="17">
      <formula>LEN(TRIM(E129))=0</formula>
    </cfRule>
  </conditionalFormatting>
  <conditionalFormatting sqref="E141:S150">
    <cfRule type="containsBlanks" dxfId="1" priority="18">
      <formula>LEN(TRIM(E141))=0</formula>
    </cfRule>
  </conditionalFormatting>
  <conditionalFormatting sqref="E153:S162">
    <cfRule type="containsBlanks" dxfId="1" priority="19">
      <formula>LEN(TRIM(E153))=0</formula>
    </cfRule>
  </conditionalFormatting>
  <conditionalFormatting sqref="E165:S174">
    <cfRule type="containsBlanks" dxfId="1" priority="20">
      <formula>LEN(TRIM(E165))=0</formula>
    </cfRule>
  </conditionalFormatting>
  <conditionalFormatting sqref="E177:S186">
    <cfRule type="containsBlanks" dxfId="1" priority="21">
      <formula>LEN(TRIM(E177))=0</formula>
    </cfRule>
  </conditionalFormatting>
  <conditionalFormatting sqref="E189:S198">
    <cfRule type="containsBlanks" dxfId="1" priority="22">
      <formula>LEN(TRIM(E189))=0</formula>
    </cfRule>
  </conditionalFormatting>
  <conditionalFormatting sqref="E201:S210">
    <cfRule type="containsBlanks" dxfId="1" priority="23">
      <formula>LEN(TRIM(E201))=0</formula>
    </cfRule>
  </conditionalFormatting>
  <conditionalFormatting sqref="E213:S222">
    <cfRule type="containsBlanks" dxfId="1" priority="24">
      <formula>LEN(TRIM(E213))=0</formula>
    </cfRule>
  </conditionalFormatting>
  <conditionalFormatting sqref="E225:S234">
    <cfRule type="containsBlanks" dxfId="1" priority="25">
      <formula>LEN(TRIM(E225))=0</formula>
    </cfRule>
  </conditionalFormatting>
  <conditionalFormatting sqref="E237:S246">
    <cfRule type="containsBlanks" dxfId="1" priority="26">
      <formula>LEN(TRIM(E237))=0</formula>
    </cfRule>
  </conditionalFormatting>
  <conditionalFormatting sqref="E249:S258">
    <cfRule type="containsBlanks" dxfId="1" priority="27">
      <formula>LEN(TRIM(E249))=0</formula>
    </cfRule>
  </conditionalFormatting>
  <conditionalFormatting sqref="E262:S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  <col customWidth="1" min="14" max="14" width="13.29"/>
    <col customWidth="1" min="1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218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7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36"/>
    </row>
    <row r="14" ht="12.75" customHeight="1">
      <c r="A14" s="18"/>
      <c r="B14" s="22" t="s">
        <v>11</v>
      </c>
      <c r="C14" s="23"/>
      <c r="D14" s="19" t="s">
        <v>12</v>
      </c>
      <c r="E14" s="19">
        <v>125.0</v>
      </c>
      <c r="F14" s="19">
        <v>119.0</v>
      </c>
      <c r="G14" s="19">
        <v>113.0</v>
      </c>
      <c r="H14" s="19">
        <v>136.0</v>
      </c>
      <c r="I14" s="19">
        <v>139.0</v>
      </c>
      <c r="J14" s="19">
        <v>128.0</v>
      </c>
      <c r="K14" s="19">
        <v>139.0</v>
      </c>
      <c r="L14" s="19">
        <v>138.0</v>
      </c>
      <c r="M14" s="19">
        <v>91.0</v>
      </c>
      <c r="N14" s="13">
        <f t="shared" ref="N14:N16" si="1">SUM(E14:M14)</f>
        <v>1128</v>
      </c>
    </row>
    <row r="15" ht="12.75" customHeight="1">
      <c r="A15" s="18"/>
      <c r="B15" s="26"/>
      <c r="C15" s="27"/>
      <c r="D15" s="19" t="s">
        <v>13</v>
      </c>
      <c r="E15" s="19">
        <v>115.0</v>
      </c>
      <c r="F15" s="19">
        <v>118.0</v>
      </c>
      <c r="G15" s="19">
        <v>131.0</v>
      </c>
      <c r="H15" s="19">
        <v>138.0</v>
      </c>
      <c r="I15" s="19">
        <v>149.0</v>
      </c>
      <c r="J15" s="19">
        <v>144.0</v>
      </c>
      <c r="K15" s="19">
        <v>143.0</v>
      </c>
      <c r="L15" s="19">
        <v>140.0</v>
      </c>
      <c r="M15" s="19">
        <v>92.0</v>
      </c>
      <c r="N15" s="13">
        <f t="shared" si="1"/>
        <v>1170</v>
      </c>
    </row>
    <row r="16" ht="12.75" customHeight="1">
      <c r="A16" s="25"/>
      <c r="B16" s="21"/>
      <c r="C16" s="28"/>
      <c r="D16" s="13" t="s">
        <v>14</v>
      </c>
      <c r="E16" s="13">
        <f t="shared" ref="E16:M16" si="2">SUM(E14:E15)</f>
        <v>240</v>
      </c>
      <c r="F16" s="13">
        <f t="shared" si="2"/>
        <v>237</v>
      </c>
      <c r="G16" s="13">
        <f t="shared" si="2"/>
        <v>244</v>
      </c>
      <c r="H16" s="13">
        <f t="shared" si="2"/>
        <v>274</v>
      </c>
      <c r="I16" s="13">
        <f t="shared" si="2"/>
        <v>288</v>
      </c>
      <c r="J16" s="13">
        <f t="shared" si="2"/>
        <v>272</v>
      </c>
      <c r="K16" s="13">
        <f t="shared" si="2"/>
        <v>282</v>
      </c>
      <c r="L16" s="13">
        <f t="shared" si="2"/>
        <v>278</v>
      </c>
      <c r="M16" s="13">
        <f t="shared" si="2"/>
        <v>183</v>
      </c>
      <c r="N16" s="13">
        <f t="shared" si="1"/>
        <v>2298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104.0</v>
      </c>
      <c r="F19" s="19">
        <v>93.0</v>
      </c>
      <c r="G19" s="19">
        <v>88.0</v>
      </c>
      <c r="H19" s="19">
        <v>109.0</v>
      </c>
      <c r="I19" s="19">
        <v>103.0</v>
      </c>
      <c r="J19" s="19">
        <v>107.0</v>
      </c>
      <c r="K19" s="19">
        <v>103.0</v>
      </c>
      <c r="L19" s="19">
        <v>93.0</v>
      </c>
      <c r="M19" s="19">
        <v>65.0</v>
      </c>
      <c r="N19" s="13">
        <f t="shared" ref="N19:N30" si="3">SUM(E19:M19)</f>
        <v>865</v>
      </c>
    </row>
    <row r="20" ht="12.75" customHeight="1">
      <c r="A20" s="33"/>
      <c r="B20" s="27"/>
      <c r="C20" s="34"/>
      <c r="D20" s="19" t="s">
        <v>13</v>
      </c>
      <c r="E20" s="19">
        <v>103.0</v>
      </c>
      <c r="F20" s="19">
        <v>96.0</v>
      </c>
      <c r="G20" s="19">
        <v>109.0</v>
      </c>
      <c r="H20" s="19">
        <v>117.0</v>
      </c>
      <c r="I20" s="19">
        <v>114.0</v>
      </c>
      <c r="J20" s="19">
        <v>119.0</v>
      </c>
      <c r="K20" s="19">
        <v>111.0</v>
      </c>
      <c r="L20" s="19">
        <v>101.0</v>
      </c>
      <c r="M20" s="19">
        <v>74.0</v>
      </c>
      <c r="N20" s="13">
        <f t="shared" si="3"/>
        <v>944</v>
      </c>
    </row>
    <row r="21" ht="12.75" customHeight="1">
      <c r="A21" s="35"/>
      <c r="B21" s="28"/>
      <c r="C21" s="36"/>
      <c r="D21" s="13" t="s">
        <v>14</v>
      </c>
      <c r="E21" s="13">
        <f t="shared" ref="E21:M21" si="4">SUM(E19:E20)</f>
        <v>207</v>
      </c>
      <c r="F21" s="13">
        <f t="shared" si="4"/>
        <v>189</v>
      </c>
      <c r="G21" s="13">
        <f t="shared" si="4"/>
        <v>197</v>
      </c>
      <c r="H21" s="13">
        <f t="shared" si="4"/>
        <v>226</v>
      </c>
      <c r="I21" s="13">
        <f t="shared" si="4"/>
        <v>217</v>
      </c>
      <c r="J21" s="13">
        <f t="shared" si="4"/>
        <v>226</v>
      </c>
      <c r="K21" s="13">
        <f t="shared" si="4"/>
        <v>214</v>
      </c>
      <c r="L21" s="13">
        <f t="shared" si="4"/>
        <v>194</v>
      </c>
      <c r="M21" s="13">
        <f t="shared" si="4"/>
        <v>139</v>
      </c>
      <c r="N21" s="13">
        <f t="shared" si="3"/>
        <v>1809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0.0</v>
      </c>
      <c r="J22" s="19">
        <v>1.0</v>
      </c>
      <c r="K22" s="19">
        <v>0.0</v>
      </c>
      <c r="L22" s="19">
        <v>0.0</v>
      </c>
      <c r="M22" s="19">
        <v>0.0</v>
      </c>
      <c r="N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1.0</v>
      </c>
      <c r="H23" s="19">
        <v>0.0</v>
      </c>
      <c r="I23" s="19">
        <v>0.0</v>
      </c>
      <c r="J23" s="19">
        <v>1.0</v>
      </c>
      <c r="K23" s="19">
        <v>0.0</v>
      </c>
      <c r="L23" s="19">
        <v>2.0</v>
      </c>
      <c r="M23" s="19">
        <v>0.0</v>
      </c>
      <c r="N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M24" si="5">SUM(E22:E23)</f>
        <v>1</v>
      </c>
      <c r="F24" s="13">
        <f t="shared" si="5"/>
        <v>0</v>
      </c>
      <c r="G24" s="13">
        <f t="shared" si="5"/>
        <v>2</v>
      </c>
      <c r="H24" s="13">
        <f t="shared" si="5"/>
        <v>0</v>
      </c>
      <c r="I24" s="13">
        <f t="shared" si="5"/>
        <v>0</v>
      </c>
      <c r="J24" s="13">
        <f t="shared" si="5"/>
        <v>2</v>
      </c>
      <c r="K24" s="13">
        <f t="shared" si="5"/>
        <v>0</v>
      </c>
      <c r="L24" s="13">
        <f t="shared" si="5"/>
        <v>2</v>
      </c>
      <c r="M24" s="13">
        <f t="shared" si="5"/>
        <v>0</v>
      </c>
      <c r="N24" s="13">
        <f t="shared" si="3"/>
        <v>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3.0</v>
      </c>
      <c r="F25" s="19">
        <v>3.0</v>
      </c>
      <c r="G25" s="19">
        <v>0.0</v>
      </c>
      <c r="H25" s="19">
        <v>0.0</v>
      </c>
      <c r="I25" s="19">
        <v>1.0</v>
      </c>
      <c r="J25" s="19">
        <v>1.0</v>
      </c>
      <c r="K25" s="19">
        <v>0.0</v>
      </c>
      <c r="L25" s="19">
        <v>2.0</v>
      </c>
      <c r="M25" s="19">
        <v>1.0</v>
      </c>
      <c r="N25" s="13">
        <f t="shared" si="3"/>
        <v>11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4.0</v>
      </c>
      <c r="G26" s="19">
        <v>0.0</v>
      </c>
      <c r="H26" s="19">
        <v>0.0</v>
      </c>
      <c r="I26" s="19">
        <v>1.0</v>
      </c>
      <c r="J26" s="19">
        <v>4.0</v>
      </c>
      <c r="K26" s="19">
        <v>0.0</v>
      </c>
      <c r="L26" s="19">
        <v>0.0</v>
      </c>
      <c r="M26" s="19">
        <v>1.0</v>
      </c>
      <c r="N26" s="13">
        <f t="shared" si="3"/>
        <v>10</v>
      </c>
    </row>
    <row r="27" ht="12.75" customHeight="1">
      <c r="A27" s="35"/>
      <c r="B27" s="28"/>
      <c r="C27" s="36"/>
      <c r="D27" s="13" t="s">
        <v>14</v>
      </c>
      <c r="E27" s="13">
        <f t="shared" ref="E27:M27" si="6">SUM(E25:E26)</f>
        <v>3</v>
      </c>
      <c r="F27" s="13">
        <f t="shared" si="6"/>
        <v>7</v>
      </c>
      <c r="G27" s="13">
        <f t="shared" si="6"/>
        <v>0</v>
      </c>
      <c r="H27" s="13">
        <f t="shared" si="6"/>
        <v>0</v>
      </c>
      <c r="I27" s="13">
        <f t="shared" si="6"/>
        <v>2</v>
      </c>
      <c r="J27" s="13">
        <f t="shared" si="6"/>
        <v>5</v>
      </c>
      <c r="K27" s="13">
        <f t="shared" si="6"/>
        <v>0</v>
      </c>
      <c r="L27" s="13">
        <f t="shared" si="6"/>
        <v>2</v>
      </c>
      <c r="M27" s="13">
        <f t="shared" si="6"/>
        <v>2</v>
      </c>
      <c r="N27" s="13">
        <f t="shared" si="3"/>
        <v>21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M28" si="7">SUM(E19,E22,E25)</f>
        <v>107</v>
      </c>
      <c r="F28" s="13">
        <f t="shared" si="7"/>
        <v>96</v>
      </c>
      <c r="G28" s="13">
        <f t="shared" si="7"/>
        <v>89</v>
      </c>
      <c r="H28" s="13">
        <f t="shared" si="7"/>
        <v>109</v>
      </c>
      <c r="I28" s="13">
        <f t="shared" si="7"/>
        <v>104</v>
      </c>
      <c r="J28" s="13">
        <f t="shared" si="7"/>
        <v>109</v>
      </c>
      <c r="K28" s="13">
        <f t="shared" si="7"/>
        <v>103</v>
      </c>
      <c r="L28" s="13">
        <f t="shared" si="7"/>
        <v>95</v>
      </c>
      <c r="M28" s="13">
        <f t="shared" si="7"/>
        <v>66</v>
      </c>
      <c r="N28" s="13">
        <f t="shared" si="3"/>
        <v>878</v>
      </c>
    </row>
    <row r="29" ht="12.75" customHeight="1">
      <c r="A29" s="35"/>
      <c r="B29" s="27"/>
      <c r="C29" s="34"/>
      <c r="D29" s="13" t="s">
        <v>13</v>
      </c>
      <c r="E29" s="13">
        <f t="shared" ref="E29:M29" si="8">SUM(E20,E23,E26)</f>
        <v>104</v>
      </c>
      <c r="F29" s="13">
        <f t="shared" si="8"/>
        <v>100</v>
      </c>
      <c r="G29" s="13">
        <f t="shared" si="8"/>
        <v>110</v>
      </c>
      <c r="H29" s="13">
        <f t="shared" si="8"/>
        <v>117</v>
      </c>
      <c r="I29" s="13">
        <f t="shared" si="8"/>
        <v>115</v>
      </c>
      <c r="J29" s="13">
        <f t="shared" si="8"/>
        <v>124</v>
      </c>
      <c r="K29" s="13">
        <f t="shared" si="8"/>
        <v>111</v>
      </c>
      <c r="L29" s="13">
        <f t="shared" si="8"/>
        <v>103</v>
      </c>
      <c r="M29" s="13">
        <f t="shared" si="8"/>
        <v>75</v>
      </c>
      <c r="N29" s="13">
        <f t="shared" si="3"/>
        <v>959</v>
      </c>
    </row>
    <row r="30" ht="12.75" customHeight="1">
      <c r="A30" s="35"/>
      <c r="B30" s="28"/>
      <c r="C30" s="36"/>
      <c r="D30" s="13" t="s">
        <v>14</v>
      </c>
      <c r="E30" s="13">
        <f t="shared" ref="E30:M30" si="9">SUM(E28:E29)</f>
        <v>211</v>
      </c>
      <c r="F30" s="13">
        <f t="shared" si="9"/>
        <v>196</v>
      </c>
      <c r="G30" s="13">
        <f t="shared" si="9"/>
        <v>199</v>
      </c>
      <c r="H30" s="13">
        <f t="shared" si="9"/>
        <v>226</v>
      </c>
      <c r="I30" s="13">
        <f t="shared" si="9"/>
        <v>219</v>
      </c>
      <c r="J30" s="13">
        <f t="shared" si="9"/>
        <v>233</v>
      </c>
      <c r="K30" s="13">
        <f t="shared" si="9"/>
        <v>214</v>
      </c>
      <c r="L30" s="13">
        <f t="shared" si="9"/>
        <v>198</v>
      </c>
      <c r="M30" s="13">
        <f t="shared" si="9"/>
        <v>141</v>
      </c>
      <c r="N30" s="13">
        <f t="shared" si="3"/>
        <v>1837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</row>
    <row r="33" ht="12.75" customHeight="1">
      <c r="A33" s="19">
        <v>1.0</v>
      </c>
      <c r="B33" s="20" t="s">
        <v>27</v>
      </c>
      <c r="C33" s="15"/>
      <c r="D33" s="16"/>
      <c r="E33" s="19">
        <v>245.0</v>
      </c>
      <c r="F33" s="19">
        <v>242.0</v>
      </c>
      <c r="G33" s="19">
        <v>249.0</v>
      </c>
      <c r="H33" s="19">
        <v>280.0</v>
      </c>
      <c r="I33" s="19">
        <v>294.0</v>
      </c>
      <c r="J33" s="19">
        <v>278.0</v>
      </c>
      <c r="K33" s="19">
        <v>283.0</v>
      </c>
      <c r="L33" s="19">
        <v>284.0</v>
      </c>
      <c r="M33" s="19">
        <v>187.0</v>
      </c>
      <c r="N33" s="13">
        <f t="shared" ref="N33:N36" si="10">SUM(E33:M33)</f>
        <v>2342</v>
      </c>
    </row>
    <row r="34" ht="12.75" customHeight="1">
      <c r="A34" s="19">
        <v>2.0</v>
      </c>
      <c r="B34" s="20" t="s">
        <v>28</v>
      </c>
      <c r="C34" s="15"/>
      <c r="D34" s="16"/>
      <c r="E34" s="13">
        <v>211.0</v>
      </c>
      <c r="F34" s="13">
        <v>196.0</v>
      </c>
      <c r="G34" s="13">
        <v>199.0</v>
      </c>
      <c r="H34" s="13">
        <v>226.0</v>
      </c>
      <c r="I34" s="13">
        <v>219.0</v>
      </c>
      <c r="J34" s="13">
        <v>233.0</v>
      </c>
      <c r="K34" s="13">
        <v>214.0</v>
      </c>
      <c r="L34" s="13">
        <v>198.0</v>
      </c>
      <c r="M34" s="13">
        <v>141.0</v>
      </c>
      <c r="N34" s="13">
        <f t="shared" si="10"/>
        <v>1837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1.0</v>
      </c>
      <c r="G35" s="19">
        <v>3.0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M36" si="11">E33-(E34+E35)</f>
        <v>33</v>
      </c>
      <c r="F36" s="13">
        <f t="shared" si="11"/>
        <v>45</v>
      </c>
      <c r="G36" s="13">
        <f t="shared" si="11"/>
        <v>47</v>
      </c>
      <c r="H36" s="13">
        <f t="shared" si="11"/>
        <v>54</v>
      </c>
      <c r="I36" s="13">
        <f t="shared" si="11"/>
        <v>75</v>
      </c>
      <c r="J36" s="13">
        <f t="shared" si="11"/>
        <v>45</v>
      </c>
      <c r="K36" s="13">
        <f t="shared" si="11"/>
        <v>69</v>
      </c>
      <c r="L36" s="13">
        <f t="shared" si="11"/>
        <v>86</v>
      </c>
      <c r="M36" s="13">
        <f t="shared" si="11"/>
        <v>46</v>
      </c>
      <c r="N36" s="13">
        <f t="shared" si="10"/>
        <v>500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3">
        <f t="shared" ref="N39:N41" si="12">SUM(E39:M39)</f>
        <v>0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M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8.0</v>
      </c>
      <c r="F45" s="19">
        <v>11.0</v>
      </c>
      <c r="G45" s="19">
        <v>3.0</v>
      </c>
      <c r="H45" s="19">
        <v>6.0</v>
      </c>
      <c r="I45" s="19">
        <v>8.0</v>
      </c>
      <c r="J45" s="19">
        <v>5.0</v>
      </c>
      <c r="K45" s="19">
        <v>3.0</v>
      </c>
      <c r="L45" s="19">
        <v>4.0</v>
      </c>
      <c r="M45" s="19">
        <v>11.0</v>
      </c>
      <c r="N45" s="13">
        <f t="shared" ref="N45:N54" si="14">SUM(E45:M45)</f>
        <v>59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20.0</v>
      </c>
      <c r="F46" s="19">
        <v>25.0</v>
      </c>
      <c r="G46" s="19">
        <v>6.0</v>
      </c>
      <c r="H46" s="19">
        <v>9.0</v>
      </c>
      <c r="I46" s="19">
        <v>6.0</v>
      </c>
      <c r="J46" s="19">
        <v>16.0</v>
      </c>
      <c r="K46" s="19">
        <v>12.0</v>
      </c>
      <c r="L46" s="19">
        <v>13.0</v>
      </c>
      <c r="M46" s="19">
        <v>11.0</v>
      </c>
      <c r="N46" s="13">
        <f t="shared" si="14"/>
        <v>118</v>
      </c>
    </row>
    <row r="47" ht="12.75" customHeight="1">
      <c r="A47" s="18"/>
      <c r="B47" s="55">
        <v>2.0</v>
      </c>
      <c r="C47" s="50" t="s">
        <v>41</v>
      </c>
      <c r="D47" s="16"/>
      <c r="E47" s="19">
        <v>0.0</v>
      </c>
      <c r="F47" s="19">
        <v>1.0</v>
      </c>
      <c r="G47" s="19">
        <v>0.0</v>
      </c>
      <c r="H47" s="19">
        <v>1.0</v>
      </c>
      <c r="I47" s="19">
        <v>0.0</v>
      </c>
      <c r="J47" s="19">
        <v>2.0</v>
      </c>
      <c r="K47" s="19">
        <v>2.0</v>
      </c>
      <c r="L47" s="19">
        <v>9.0</v>
      </c>
      <c r="M47" s="19">
        <v>4.0</v>
      </c>
      <c r="N47" s="13">
        <f t="shared" si="14"/>
        <v>19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1.0</v>
      </c>
      <c r="G48" s="19">
        <v>0.0</v>
      </c>
      <c r="H48" s="19">
        <v>3.0</v>
      </c>
      <c r="I48" s="19">
        <v>1.0</v>
      </c>
      <c r="J48" s="19">
        <v>1.0</v>
      </c>
      <c r="K48" s="19">
        <v>0.0</v>
      </c>
      <c r="L48" s="19">
        <v>0.0</v>
      </c>
      <c r="M48" s="19">
        <v>0.0</v>
      </c>
      <c r="N48" s="13">
        <f t="shared" si="14"/>
        <v>6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1.0</v>
      </c>
      <c r="J49" s="19">
        <v>0.0</v>
      </c>
      <c r="K49" s="19">
        <v>1.0</v>
      </c>
      <c r="L49" s="19">
        <v>0.0</v>
      </c>
      <c r="M49" s="19">
        <v>0.0</v>
      </c>
      <c r="N49" s="13">
        <f t="shared" si="14"/>
        <v>2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1.0</v>
      </c>
      <c r="G50" s="19">
        <v>2.0</v>
      </c>
      <c r="H50" s="19">
        <v>1.0</v>
      </c>
      <c r="I50" s="19">
        <v>1.0</v>
      </c>
      <c r="J50" s="19">
        <v>0.0</v>
      </c>
      <c r="K50" s="19">
        <v>0.0</v>
      </c>
      <c r="L50" s="19">
        <v>2.0</v>
      </c>
      <c r="M50" s="19">
        <v>1.0</v>
      </c>
      <c r="N50" s="13">
        <f t="shared" si="14"/>
        <v>9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3">
        <f t="shared" si="14"/>
        <v>0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3">
        <f t="shared" si="14"/>
        <v>0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N55" si="15">SUM(E45:E54)</f>
        <v>29</v>
      </c>
      <c r="F55" s="13">
        <f t="shared" si="15"/>
        <v>39</v>
      </c>
      <c r="G55" s="13">
        <f t="shared" si="15"/>
        <v>11</v>
      </c>
      <c r="H55" s="13">
        <f t="shared" si="15"/>
        <v>20</v>
      </c>
      <c r="I55" s="13">
        <f t="shared" si="15"/>
        <v>17</v>
      </c>
      <c r="J55" s="13">
        <f t="shared" si="15"/>
        <v>24</v>
      </c>
      <c r="K55" s="13">
        <f t="shared" si="15"/>
        <v>18</v>
      </c>
      <c r="L55" s="13">
        <f t="shared" si="15"/>
        <v>28</v>
      </c>
      <c r="M55" s="13">
        <f t="shared" si="15"/>
        <v>27</v>
      </c>
      <c r="N55" s="13">
        <f t="shared" si="15"/>
        <v>213</v>
      </c>
    </row>
    <row r="56" ht="12.75" customHeight="1">
      <c r="A56" s="45"/>
      <c r="B56" s="44"/>
      <c r="C56" s="44"/>
      <c r="D56" s="44"/>
      <c r="E56" s="44"/>
      <c r="N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9.0</v>
      </c>
      <c r="F57" s="19">
        <v>8.0</v>
      </c>
      <c r="G57" s="19">
        <v>8.0</v>
      </c>
      <c r="H57" s="19">
        <v>13.0</v>
      </c>
      <c r="I57" s="19">
        <v>8.0</v>
      </c>
      <c r="J57" s="19">
        <v>15.0</v>
      </c>
      <c r="K57" s="19">
        <v>18.0</v>
      </c>
      <c r="L57" s="19">
        <v>9.0</v>
      </c>
      <c r="M57" s="19">
        <v>2.0</v>
      </c>
      <c r="N57" s="13">
        <f t="shared" ref="N57:N66" si="16">SUM(E57:M57)</f>
        <v>90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4.0</v>
      </c>
      <c r="F58" s="19">
        <v>10.0</v>
      </c>
      <c r="G58" s="19">
        <v>8.0</v>
      </c>
      <c r="H58" s="19">
        <v>9.0</v>
      </c>
      <c r="I58" s="19">
        <v>8.0</v>
      </c>
      <c r="J58" s="19">
        <v>17.0</v>
      </c>
      <c r="K58" s="19">
        <v>11.0</v>
      </c>
      <c r="L58" s="19">
        <v>8.0</v>
      </c>
      <c r="M58" s="19">
        <v>5.0</v>
      </c>
      <c r="N58" s="13">
        <f t="shared" si="16"/>
        <v>80</v>
      </c>
    </row>
    <row r="59" ht="12.75" customHeight="1">
      <c r="A59" s="18"/>
      <c r="B59" s="55">
        <v>2.0</v>
      </c>
      <c r="C59" s="50" t="s">
        <v>50</v>
      </c>
      <c r="D59" s="59"/>
      <c r="E59" s="19">
        <v>43.0</v>
      </c>
      <c r="F59" s="19">
        <v>32.0</v>
      </c>
      <c r="G59" s="19">
        <v>7.0</v>
      </c>
      <c r="H59" s="19">
        <v>12.0</v>
      </c>
      <c r="I59" s="19">
        <v>13.0</v>
      </c>
      <c r="J59" s="19">
        <v>23.0</v>
      </c>
      <c r="K59" s="19">
        <v>8.0</v>
      </c>
      <c r="L59" s="19">
        <v>16.0</v>
      </c>
      <c r="M59" s="19">
        <v>2.0</v>
      </c>
      <c r="N59" s="13">
        <f t="shared" si="16"/>
        <v>156</v>
      </c>
    </row>
    <row r="60" ht="12.75" customHeight="1">
      <c r="A60" s="18"/>
      <c r="B60" s="55">
        <v>3.0</v>
      </c>
      <c r="C60" s="50" t="s">
        <v>51</v>
      </c>
      <c r="D60" s="59"/>
      <c r="E60" s="19">
        <v>1.0</v>
      </c>
      <c r="F60" s="19">
        <v>3.0</v>
      </c>
      <c r="G60" s="19">
        <v>1.0</v>
      </c>
      <c r="H60" s="19">
        <v>0.0</v>
      </c>
      <c r="I60" s="19">
        <v>1.0</v>
      </c>
      <c r="J60" s="19">
        <v>0.0</v>
      </c>
      <c r="K60" s="19">
        <v>2.0</v>
      </c>
      <c r="L60" s="19">
        <v>0.0</v>
      </c>
      <c r="M60" s="19">
        <v>0.0</v>
      </c>
      <c r="N60" s="13">
        <f t="shared" si="16"/>
        <v>8</v>
      </c>
    </row>
    <row r="61" ht="12.75" customHeight="1">
      <c r="A61" s="18"/>
      <c r="B61" s="55">
        <v>4.0</v>
      </c>
      <c r="C61" s="50" t="s">
        <v>52</v>
      </c>
      <c r="D61" s="59"/>
      <c r="E61" s="19">
        <v>0.0</v>
      </c>
      <c r="F61" s="19">
        <v>0.0</v>
      </c>
      <c r="G61" s="19">
        <v>3.0</v>
      </c>
      <c r="H61" s="19">
        <v>3.0</v>
      </c>
      <c r="I61" s="19">
        <v>1.0</v>
      </c>
      <c r="J61" s="19">
        <v>0.0</v>
      </c>
      <c r="K61" s="19">
        <v>0.0</v>
      </c>
      <c r="L61" s="19">
        <v>1.0</v>
      </c>
      <c r="M61" s="19">
        <v>2.0</v>
      </c>
      <c r="N61" s="13">
        <f t="shared" si="16"/>
        <v>10</v>
      </c>
    </row>
    <row r="62" ht="12.75" customHeight="1">
      <c r="A62" s="18"/>
      <c r="B62" s="55">
        <v>5.0</v>
      </c>
      <c r="C62" s="50" t="s">
        <v>53</v>
      </c>
      <c r="D62" s="59"/>
      <c r="E62" s="19">
        <v>1.0</v>
      </c>
      <c r="F62" s="19">
        <v>0.0</v>
      </c>
      <c r="G62" s="19">
        <v>1.0</v>
      </c>
      <c r="H62" s="19">
        <v>1.0</v>
      </c>
      <c r="I62" s="19">
        <v>0.0</v>
      </c>
      <c r="J62" s="19">
        <v>0.0</v>
      </c>
      <c r="K62" s="19">
        <v>1.0</v>
      </c>
      <c r="L62" s="19">
        <v>1.0</v>
      </c>
      <c r="M62" s="19">
        <v>1.0</v>
      </c>
      <c r="N62" s="13">
        <f t="shared" si="16"/>
        <v>6</v>
      </c>
    </row>
    <row r="63" ht="12.75" customHeight="1">
      <c r="A63" s="18"/>
      <c r="B63" s="55">
        <v>6.0</v>
      </c>
      <c r="C63" s="50" t="s">
        <v>54</v>
      </c>
      <c r="D63" s="60"/>
      <c r="E63" s="19">
        <v>0.0</v>
      </c>
      <c r="F63" s="19">
        <v>0.0</v>
      </c>
      <c r="G63" s="19">
        <v>0.0</v>
      </c>
      <c r="H63" s="19">
        <v>0.0</v>
      </c>
      <c r="I63" s="19">
        <v>0.0</v>
      </c>
      <c r="J63" s="19">
        <v>0.0</v>
      </c>
      <c r="K63" s="19">
        <v>1.0</v>
      </c>
      <c r="L63" s="19">
        <v>1.0</v>
      </c>
      <c r="M63" s="19">
        <v>1.0</v>
      </c>
      <c r="N63" s="13">
        <f t="shared" si="16"/>
        <v>3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1.0</v>
      </c>
      <c r="L64" s="19">
        <v>0.0</v>
      </c>
      <c r="M64" s="19">
        <v>0.0</v>
      </c>
      <c r="N64" s="13">
        <f t="shared" si="16"/>
        <v>1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N67" si="17">SUM(E57:E66)</f>
        <v>58</v>
      </c>
      <c r="F67" s="13">
        <f t="shared" si="17"/>
        <v>53</v>
      </c>
      <c r="G67" s="13">
        <f t="shared" si="17"/>
        <v>28</v>
      </c>
      <c r="H67" s="13">
        <f t="shared" si="17"/>
        <v>38</v>
      </c>
      <c r="I67" s="13">
        <f t="shared" si="17"/>
        <v>31</v>
      </c>
      <c r="J67" s="13">
        <f t="shared" si="17"/>
        <v>55</v>
      </c>
      <c r="K67" s="13">
        <f t="shared" si="17"/>
        <v>42</v>
      </c>
      <c r="L67" s="13">
        <f t="shared" si="17"/>
        <v>36</v>
      </c>
      <c r="M67" s="13">
        <f t="shared" si="17"/>
        <v>13</v>
      </c>
      <c r="N67" s="13">
        <f t="shared" si="17"/>
        <v>354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7.0</v>
      </c>
      <c r="F69" s="19">
        <v>8.0</v>
      </c>
      <c r="G69" s="19">
        <v>11.0</v>
      </c>
      <c r="H69" s="19">
        <v>6.0</v>
      </c>
      <c r="I69" s="19">
        <v>11.0</v>
      </c>
      <c r="J69" s="19">
        <v>9.0</v>
      </c>
      <c r="K69" s="19">
        <v>8.0</v>
      </c>
      <c r="L69" s="19">
        <v>5.0</v>
      </c>
      <c r="M69" s="19">
        <v>7.0</v>
      </c>
      <c r="N69" s="13">
        <f t="shared" ref="N69:N78" si="18">SUM(E69:M69)</f>
        <v>72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18.0</v>
      </c>
      <c r="F70" s="19">
        <v>18.0</v>
      </c>
      <c r="G70" s="19">
        <v>13.0</v>
      </c>
      <c r="H70" s="19">
        <v>10.0</v>
      </c>
      <c r="I70" s="19">
        <v>47.0</v>
      </c>
      <c r="J70" s="19">
        <v>44.0</v>
      </c>
      <c r="K70" s="19">
        <v>6.0</v>
      </c>
      <c r="L70" s="19">
        <v>6.0</v>
      </c>
      <c r="M70" s="19">
        <v>11.0</v>
      </c>
      <c r="N70" s="13">
        <f t="shared" si="18"/>
        <v>173</v>
      </c>
    </row>
    <row r="71" ht="12.75" customHeight="1">
      <c r="A71" s="18"/>
      <c r="B71" s="55">
        <v>2.0</v>
      </c>
      <c r="C71" s="50" t="s">
        <v>58</v>
      </c>
      <c r="D71" s="60"/>
      <c r="E71" s="19">
        <v>0.0</v>
      </c>
      <c r="F71" s="19">
        <v>1.0</v>
      </c>
      <c r="G71" s="19">
        <v>3.0</v>
      </c>
      <c r="H71" s="19">
        <v>4.0</v>
      </c>
      <c r="I71" s="19">
        <v>2.0</v>
      </c>
      <c r="J71" s="19">
        <v>0.0</v>
      </c>
      <c r="K71" s="19">
        <v>4.0</v>
      </c>
      <c r="L71" s="19">
        <v>0.0</v>
      </c>
      <c r="M71" s="19">
        <v>5.0</v>
      </c>
      <c r="N71" s="13">
        <f t="shared" si="18"/>
        <v>19</v>
      </c>
    </row>
    <row r="72" ht="12.75" customHeight="1">
      <c r="A72" s="18"/>
      <c r="B72" s="55">
        <v>3.0</v>
      </c>
      <c r="C72" s="50" t="s">
        <v>59</v>
      </c>
      <c r="D72" s="60"/>
      <c r="E72" s="19">
        <v>1.0</v>
      </c>
      <c r="F72" s="19">
        <v>2.0</v>
      </c>
      <c r="G72" s="19">
        <v>34.0</v>
      </c>
      <c r="H72" s="19">
        <v>1.0</v>
      </c>
      <c r="I72" s="19">
        <v>2.0</v>
      </c>
      <c r="J72" s="19">
        <v>1.0</v>
      </c>
      <c r="K72" s="19">
        <v>4.0</v>
      </c>
      <c r="L72" s="19">
        <v>2.0</v>
      </c>
      <c r="M72" s="19">
        <v>0.0</v>
      </c>
      <c r="N72" s="13">
        <f t="shared" si="18"/>
        <v>47</v>
      </c>
    </row>
    <row r="73" ht="12.75" customHeight="1">
      <c r="A73" s="18"/>
      <c r="B73" s="55">
        <v>4.0</v>
      </c>
      <c r="C73" s="50" t="s">
        <v>60</v>
      </c>
      <c r="D73" s="60"/>
      <c r="E73" s="19">
        <v>2.0</v>
      </c>
      <c r="F73" s="19">
        <v>0.0</v>
      </c>
      <c r="G73" s="19">
        <v>0.0</v>
      </c>
      <c r="H73" s="19">
        <v>1.0</v>
      </c>
      <c r="I73" s="19">
        <v>1.0</v>
      </c>
      <c r="J73" s="19">
        <v>0.0</v>
      </c>
      <c r="K73" s="19">
        <v>0.0</v>
      </c>
      <c r="L73" s="19">
        <v>0.0</v>
      </c>
      <c r="M73" s="19">
        <v>0.0</v>
      </c>
      <c r="N73" s="13">
        <f t="shared" si="18"/>
        <v>4</v>
      </c>
    </row>
    <row r="74" ht="12.75" customHeight="1">
      <c r="A74" s="18"/>
      <c r="B74" s="55">
        <v>5.0</v>
      </c>
      <c r="C74" s="50" t="s">
        <v>61</v>
      </c>
      <c r="D74" s="60"/>
      <c r="E74" s="19">
        <v>18.0</v>
      </c>
      <c r="F74" s="19">
        <v>12.0</v>
      </c>
      <c r="G74" s="19">
        <v>2.0</v>
      </c>
      <c r="H74" s="19">
        <v>3.0</v>
      </c>
      <c r="I74" s="19">
        <v>17.0</v>
      </c>
      <c r="J74" s="19">
        <v>17.0</v>
      </c>
      <c r="K74" s="19">
        <v>3.0</v>
      </c>
      <c r="L74" s="19">
        <v>5.0</v>
      </c>
      <c r="M74" s="19">
        <v>7.0</v>
      </c>
      <c r="N74" s="13">
        <f t="shared" si="18"/>
        <v>84</v>
      </c>
    </row>
    <row r="75" ht="12.75" customHeight="1">
      <c r="A75" s="18"/>
      <c r="B75" s="55">
        <v>6.0</v>
      </c>
      <c r="C75" s="50" t="s">
        <v>62</v>
      </c>
      <c r="D75" s="60"/>
      <c r="E75" s="19">
        <v>0.0</v>
      </c>
      <c r="F75" s="19">
        <v>0.0</v>
      </c>
      <c r="G75" s="19">
        <v>1.0</v>
      </c>
      <c r="H75" s="19">
        <v>1.0</v>
      </c>
      <c r="I75" s="19">
        <v>0.0</v>
      </c>
      <c r="J75" s="19">
        <v>0.0</v>
      </c>
      <c r="K75" s="19">
        <v>1.0</v>
      </c>
      <c r="L75" s="19">
        <v>0.0</v>
      </c>
      <c r="M75" s="19">
        <v>1.0</v>
      </c>
      <c r="N75" s="13">
        <f t="shared" si="18"/>
        <v>4</v>
      </c>
    </row>
    <row r="76" ht="12.75" customHeight="1">
      <c r="A76" s="18"/>
      <c r="B76" s="55">
        <v>7.0</v>
      </c>
      <c r="C76" s="50" t="s">
        <v>63</v>
      </c>
      <c r="D76" s="60"/>
      <c r="E76" s="19">
        <v>0.0</v>
      </c>
      <c r="F76" s="19">
        <v>5.0</v>
      </c>
      <c r="G76" s="19">
        <v>0.0</v>
      </c>
      <c r="H76" s="19">
        <v>0.0</v>
      </c>
      <c r="I76" s="19">
        <v>2.0</v>
      </c>
      <c r="J76" s="19">
        <v>0.0</v>
      </c>
      <c r="K76" s="19">
        <v>1.0</v>
      </c>
      <c r="L76" s="19">
        <v>0.0</v>
      </c>
      <c r="M76" s="19">
        <v>0.0</v>
      </c>
      <c r="N76" s="13">
        <f t="shared" si="18"/>
        <v>8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N79" si="19">SUM(E69:E78)</f>
        <v>46</v>
      </c>
      <c r="F79" s="13">
        <f t="shared" si="19"/>
        <v>46</v>
      </c>
      <c r="G79" s="13">
        <f t="shared" si="19"/>
        <v>64</v>
      </c>
      <c r="H79" s="13">
        <f t="shared" si="19"/>
        <v>26</v>
      </c>
      <c r="I79" s="13">
        <f t="shared" si="19"/>
        <v>82</v>
      </c>
      <c r="J79" s="13">
        <f t="shared" si="19"/>
        <v>71</v>
      </c>
      <c r="K79" s="13">
        <f t="shared" si="19"/>
        <v>27</v>
      </c>
      <c r="L79" s="13">
        <f t="shared" si="19"/>
        <v>18</v>
      </c>
      <c r="M79" s="13">
        <f t="shared" si="19"/>
        <v>31</v>
      </c>
      <c r="N79" s="13">
        <f t="shared" si="19"/>
        <v>411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1.0</v>
      </c>
      <c r="F81" s="19">
        <v>1.0</v>
      </c>
      <c r="G81" s="19">
        <v>1.0</v>
      </c>
      <c r="H81" s="19">
        <v>5.0</v>
      </c>
      <c r="I81" s="19">
        <v>4.0</v>
      </c>
      <c r="J81" s="19">
        <v>1.0</v>
      </c>
      <c r="K81" s="19">
        <v>6.0</v>
      </c>
      <c r="L81" s="19">
        <v>4.0</v>
      </c>
      <c r="M81" s="19">
        <v>3.0</v>
      </c>
      <c r="N81" s="13">
        <f t="shared" ref="N81:N90" si="20">SUM(E81:M81)</f>
        <v>26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8.0</v>
      </c>
      <c r="F82" s="19">
        <v>3.0</v>
      </c>
      <c r="G82" s="19">
        <v>2.0</v>
      </c>
      <c r="H82" s="19">
        <v>8.0</v>
      </c>
      <c r="I82" s="19">
        <v>2.0</v>
      </c>
      <c r="J82" s="19">
        <v>1.0</v>
      </c>
      <c r="K82" s="19">
        <v>17.0</v>
      </c>
      <c r="L82" s="19">
        <v>12.0</v>
      </c>
      <c r="M82" s="19">
        <v>9.0</v>
      </c>
      <c r="N82" s="13">
        <f t="shared" si="20"/>
        <v>62</v>
      </c>
    </row>
    <row r="83" ht="12.75" customHeight="1">
      <c r="A83" s="18"/>
      <c r="B83" s="55">
        <v>2.0</v>
      </c>
      <c r="C83" s="50" t="s">
        <v>66</v>
      </c>
      <c r="D83" s="60"/>
      <c r="E83" s="19">
        <v>1.0</v>
      </c>
      <c r="F83" s="19">
        <v>1.0</v>
      </c>
      <c r="G83" s="19">
        <v>4.0</v>
      </c>
      <c r="H83" s="19">
        <v>25.0</v>
      </c>
      <c r="I83" s="19">
        <v>1.0</v>
      </c>
      <c r="J83" s="19">
        <v>2.0</v>
      </c>
      <c r="K83" s="19">
        <v>6.0</v>
      </c>
      <c r="L83" s="19">
        <v>4.0</v>
      </c>
      <c r="M83" s="19">
        <v>4.0</v>
      </c>
      <c r="N83" s="13">
        <f t="shared" si="20"/>
        <v>48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0.0</v>
      </c>
      <c r="G84" s="19">
        <v>0.0</v>
      </c>
      <c r="H84" s="19">
        <v>0.0</v>
      </c>
      <c r="I84" s="19">
        <v>1.0</v>
      </c>
      <c r="J84" s="19">
        <v>1.0</v>
      </c>
      <c r="K84" s="19">
        <v>0.0</v>
      </c>
      <c r="L84" s="19">
        <v>0.0</v>
      </c>
      <c r="M84" s="19">
        <v>0.0</v>
      </c>
      <c r="N84" s="13">
        <f t="shared" si="20"/>
        <v>2</v>
      </c>
    </row>
    <row r="85" ht="12.75" customHeight="1">
      <c r="A85" s="18"/>
      <c r="B85" s="55">
        <v>4.0</v>
      </c>
      <c r="C85" s="50" t="s">
        <v>68</v>
      </c>
      <c r="D85" s="60"/>
      <c r="E85" s="19">
        <v>1.0</v>
      </c>
      <c r="F85" s="19">
        <v>0.0</v>
      </c>
      <c r="G85" s="19">
        <v>1.0</v>
      </c>
      <c r="H85" s="19">
        <v>1.0</v>
      </c>
      <c r="I85" s="19">
        <v>2.0</v>
      </c>
      <c r="J85" s="19">
        <v>0.0</v>
      </c>
      <c r="K85" s="19">
        <v>0.0</v>
      </c>
      <c r="L85" s="19">
        <v>4.0</v>
      </c>
      <c r="M85" s="19">
        <v>19.0</v>
      </c>
      <c r="N85" s="13">
        <f t="shared" si="20"/>
        <v>28</v>
      </c>
    </row>
    <row r="86" ht="12.75" customHeight="1">
      <c r="A86" s="18"/>
      <c r="B86" s="55">
        <v>5.0</v>
      </c>
      <c r="C86" s="50" t="s">
        <v>69</v>
      </c>
      <c r="D86" s="60"/>
      <c r="E86" s="19">
        <v>5.0</v>
      </c>
      <c r="F86" s="19">
        <v>2.0</v>
      </c>
      <c r="G86" s="19">
        <v>0.0</v>
      </c>
      <c r="H86" s="19">
        <v>0.0</v>
      </c>
      <c r="I86" s="19">
        <v>5.0</v>
      </c>
      <c r="J86" s="19">
        <v>5.0</v>
      </c>
      <c r="K86" s="19">
        <v>1.0</v>
      </c>
      <c r="L86" s="19">
        <v>1.0</v>
      </c>
      <c r="M86" s="19">
        <v>1.0</v>
      </c>
      <c r="N86" s="13">
        <f t="shared" si="20"/>
        <v>20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1.0</v>
      </c>
      <c r="L87" s="19">
        <v>0.0</v>
      </c>
      <c r="M87" s="19">
        <v>0.0</v>
      </c>
      <c r="N87" s="13">
        <f t="shared" si="20"/>
        <v>1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3">
        <f t="shared" si="20"/>
        <v>0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N91" si="21">SUM(E81:E90)</f>
        <v>16</v>
      </c>
      <c r="F91" s="13">
        <f t="shared" si="21"/>
        <v>7</v>
      </c>
      <c r="G91" s="13">
        <f t="shared" si="21"/>
        <v>8</v>
      </c>
      <c r="H91" s="13">
        <f t="shared" si="21"/>
        <v>39</v>
      </c>
      <c r="I91" s="13">
        <f t="shared" si="21"/>
        <v>15</v>
      </c>
      <c r="J91" s="13">
        <f t="shared" si="21"/>
        <v>10</v>
      </c>
      <c r="K91" s="13">
        <f t="shared" si="21"/>
        <v>31</v>
      </c>
      <c r="L91" s="13">
        <f t="shared" si="21"/>
        <v>25</v>
      </c>
      <c r="M91" s="13">
        <f t="shared" si="21"/>
        <v>36</v>
      </c>
      <c r="N91" s="13">
        <f t="shared" si="21"/>
        <v>187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0.0</v>
      </c>
      <c r="G93" s="19">
        <v>0.0</v>
      </c>
      <c r="H93" s="19">
        <v>1.0</v>
      </c>
      <c r="I93" s="19">
        <v>1.0</v>
      </c>
      <c r="J93" s="19">
        <v>2.0</v>
      </c>
      <c r="K93" s="19">
        <v>0.0</v>
      </c>
      <c r="L93" s="19">
        <v>0.0</v>
      </c>
      <c r="M93" s="19">
        <v>0.0</v>
      </c>
      <c r="N93" s="13">
        <f t="shared" ref="N93:N102" si="22">SUM(E93:M93)</f>
        <v>4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6.0</v>
      </c>
      <c r="F94" s="19">
        <v>1.0</v>
      </c>
      <c r="G94" s="19">
        <v>0.0</v>
      </c>
      <c r="H94" s="19">
        <v>1.0</v>
      </c>
      <c r="I94" s="19">
        <v>8.0</v>
      </c>
      <c r="J94" s="19">
        <v>4.0</v>
      </c>
      <c r="K94" s="19">
        <v>0.0</v>
      </c>
      <c r="L94" s="19">
        <v>0.0</v>
      </c>
      <c r="M94" s="19">
        <v>0.0</v>
      </c>
      <c r="N94" s="13">
        <f t="shared" si="22"/>
        <v>20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1.0</v>
      </c>
      <c r="G95" s="19">
        <v>0.0</v>
      </c>
      <c r="H95" s="19">
        <v>1.0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3">
        <f t="shared" si="22"/>
        <v>2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3">
        <f t="shared" si="22"/>
        <v>0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0.0</v>
      </c>
      <c r="G97" s="19">
        <v>0.0</v>
      </c>
      <c r="H97" s="19">
        <v>2.0</v>
      </c>
      <c r="I97" s="19">
        <v>2.0</v>
      </c>
      <c r="J97" s="19">
        <v>1.0</v>
      </c>
      <c r="K97" s="19">
        <v>1.0</v>
      </c>
      <c r="L97" s="19">
        <v>0.0</v>
      </c>
      <c r="M97" s="19">
        <v>0.0</v>
      </c>
      <c r="N97" s="13">
        <f t="shared" si="22"/>
        <v>6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1.0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3">
        <f t="shared" si="22"/>
        <v>1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3">
        <f t="shared" si="22"/>
        <v>0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N103" si="23">SUM(E93:E102)</f>
        <v>6</v>
      </c>
      <c r="F103" s="13">
        <f t="shared" si="23"/>
        <v>3</v>
      </c>
      <c r="G103" s="13">
        <f t="shared" si="23"/>
        <v>0</v>
      </c>
      <c r="H103" s="13">
        <f t="shared" si="23"/>
        <v>5</v>
      </c>
      <c r="I103" s="13">
        <f t="shared" si="23"/>
        <v>11</v>
      </c>
      <c r="J103" s="13">
        <f t="shared" si="23"/>
        <v>7</v>
      </c>
      <c r="K103" s="13">
        <f t="shared" si="23"/>
        <v>1</v>
      </c>
      <c r="L103" s="13">
        <f t="shared" si="23"/>
        <v>0</v>
      </c>
      <c r="M103" s="13">
        <f t="shared" si="23"/>
        <v>0</v>
      </c>
      <c r="N103" s="13">
        <f t="shared" si="23"/>
        <v>33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/>
      <c r="F105" s="19"/>
      <c r="G105" s="19"/>
      <c r="H105" s="19"/>
      <c r="I105" s="19"/>
      <c r="J105" s="19"/>
      <c r="K105" s="19"/>
      <c r="L105" s="19"/>
      <c r="M105" s="19"/>
      <c r="N105" s="13">
        <f t="shared" ref="N105:N114" si="24">SUM(E105:M105)</f>
        <v>0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/>
      <c r="F106" s="19"/>
      <c r="G106" s="19"/>
      <c r="H106" s="19"/>
      <c r="I106" s="19"/>
      <c r="J106" s="19"/>
      <c r="K106" s="19"/>
      <c r="L106" s="19"/>
      <c r="M106" s="19"/>
      <c r="N106" s="13">
        <f t="shared" si="24"/>
        <v>0</v>
      </c>
    </row>
    <row r="107" ht="12.75" customHeight="1">
      <c r="A107" s="18"/>
      <c r="B107" s="55">
        <v>2.0</v>
      </c>
      <c r="C107" s="50" t="s">
        <v>84</v>
      </c>
      <c r="D107" s="60"/>
      <c r="E107" s="19"/>
      <c r="F107" s="19"/>
      <c r="G107" s="19"/>
      <c r="H107" s="19">
        <v>1.0</v>
      </c>
      <c r="I107" s="19"/>
      <c r="J107" s="19"/>
      <c r="K107" s="19"/>
      <c r="L107" s="19"/>
      <c r="M107" s="19"/>
      <c r="N107" s="13">
        <f t="shared" si="24"/>
        <v>1</v>
      </c>
    </row>
    <row r="108" ht="12.75" customHeight="1">
      <c r="A108" s="18"/>
      <c r="B108" s="55">
        <v>3.0</v>
      </c>
      <c r="C108" s="50" t="s">
        <v>85</v>
      </c>
      <c r="D108" s="60"/>
      <c r="E108" s="79"/>
      <c r="F108" s="19"/>
      <c r="G108" s="19"/>
      <c r="H108" s="19"/>
      <c r="I108" s="19"/>
      <c r="J108" s="19"/>
      <c r="K108" s="19"/>
      <c r="L108" s="19"/>
      <c r="M108" s="19"/>
      <c r="N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60"/>
      <c r="E109" s="79"/>
      <c r="F109" s="19"/>
      <c r="G109" s="19"/>
      <c r="H109" s="19"/>
      <c r="I109" s="19"/>
      <c r="J109" s="19"/>
      <c r="K109" s="19"/>
      <c r="L109" s="19"/>
      <c r="M109" s="19"/>
      <c r="N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60"/>
      <c r="E110" s="79"/>
      <c r="F110" s="19"/>
      <c r="G110" s="19"/>
      <c r="H110" s="19"/>
      <c r="I110" s="19"/>
      <c r="J110" s="19"/>
      <c r="K110" s="19"/>
      <c r="L110" s="19"/>
      <c r="M110" s="19"/>
      <c r="N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79"/>
      <c r="F111" s="19"/>
      <c r="G111" s="19"/>
      <c r="H111" s="19"/>
      <c r="I111" s="19"/>
      <c r="J111" s="19"/>
      <c r="K111" s="19"/>
      <c r="L111" s="19"/>
      <c r="M111" s="19"/>
      <c r="N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60"/>
      <c r="E112" s="79"/>
      <c r="F112" s="19"/>
      <c r="G112" s="19"/>
      <c r="H112" s="19"/>
      <c r="I112" s="19"/>
      <c r="J112" s="19"/>
      <c r="K112" s="19"/>
      <c r="L112" s="19"/>
      <c r="M112" s="19"/>
      <c r="N112" s="13">
        <f t="shared" si="24"/>
        <v>0</v>
      </c>
    </row>
    <row r="113" ht="12.75" customHeight="1">
      <c r="A113" s="18"/>
      <c r="B113" s="56"/>
      <c r="C113" s="57"/>
      <c r="D113" s="62"/>
      <c r="E113" s="79"/>
      <c r="F113" s="19"/>
      <c r="G113" s="19"/>
      <c r="H113" s="19"/>
      <c r="I113" s="19"/>
      <c r="J113" s="19"/>
      <c r="K113" s="19"/>
      <c r="L113" s="19"/>
      <c r="M113" s="19"/>
      <c r="N113" s="13">
        <f t="shared" si="24"/>
        <v>0</v>
      </c>
    </row>
    <row r="114" ht="12.75" customHeight="1">
      <c r="A114" s="18"/>
      <c r="B114" s="56"/>
      <c r="C114" s="57"/>
      <c r="D114" s="62"/>
      <c r="E114" s="79"/>
      <c r="F114" s="19"/>
      <c r="G114" s="19"/>
      <c r="H114" s="19"/>
      <c r="I114" s="19"/>
      <c r="J114" s="19"/>
      <c r="K114" s="19"/>
      <c r="L114" s="19"/>
      <c r="M114" s="19"/>
      <c r="N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N115" si="25">SUM(E105:E114)</f>
        <v>0</v>
      </c>
      <c r="F115" s="13">
        <f t="shared" si="25"/>
        <v>0</v>
      </c>
      <c r="G115" s="13">
        <f t="shared" si="25"/>
        <v>0</v>
      </c>
      <c r="H115" s="13">
        <f t="shared" si="25"/>
        <v>1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1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1.0</v>
      </c>
      <c r="M117" s="19">
        <v>0.0</v>
      </c>
      <c r="N117" s="13">
        <f t="shared" ref="N117:N126" si="26">SUM(E117:M117)</f>
        <v>1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1.0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3">
        <f t="shared" si="26"/>
        <v>1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1.0</v>
      </c>
      <c r="K119" s="19">
        <v>1.0</v>
      </c>
      <c r="L119" s="19">
        <v>0.0</v>
      </c>
      <c r="M119" s="19">
        <v>0.0</v>
      </c>
      <c r="N119" s="13">
        <f t="shared" si="26"/>
        <v>2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3">
        <f t="shared" si="26"/>
        <v>0</v>
      </c>
    </row>
    <row r="121" ht="12.75" customHeight="1">
      <c r="A121" s="18"/>
      <c r="B121" s="56"/>
      <c r="C121" s="57"/>
      <c r="D121" s="61"/>
      <c r="E121" s="19"/>
      <c r="F121" s="19"/>
      <c r="G121" s="19"/>
      <c r="H121" s="19"/>
      <c r="I121" s="19"/>
      <c r="J121" s="19"/>
      <c r="K121" s="19"/>
      <c r="L121" s="19"/>
      <c r="M121" s="19"/>
      <c r="N121" s="13">
        <f t="shared" si="26"/>
        <v>0</v>
      </c>
    </row>
    <row r="122" ht="12.75" customHeight="1">
      <c r="A122" s="18"/>
      <c r="B122" s="56"/>
      <c r="C122" s="57"/>
      <c r="D122" s="61"/>
      <c r="E122" s="19"/>
      <c r="F122" s="19"/>
      <c r="G122" s="19"/>
      <c r="H122" s="19"/>
      <c r="I122" s="19"/>
      <c r="J122" s="19"/>
      <c r="K122" s="19"/>
      <c r="L122" s="19"/>
      <c r="M122" s="19"/>
      <c r="N122" s="13">
        <f t="shared" si="26"/>
        <v>0</v>
      </c>
    </row>
    <row r="123" ht="12.75" customHeight="1">
      <c r="A123" s="18"/>
      <c r="B123" s="56"/>
      <c r="C123" s="57"/>
      <c r="D123" s="61"/>
      <c r="E123" s="63"/>
      <c r="F123" s="40"/>
      <c r="G123" s="40"/>
      <c r="H123" s="40"/>
      <c r="I123" s="40"/>
      <c r="J123" s="40"/>
      <c r="K123" s="40"/>
      <c r="L123" s="40"/>
      <c r="M123" s="40"/>
      <c r="N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N127" si="27">SUM(E117:E126)</f>
        <v>1</v>
      </c>
      <c r="F127" s="13">
        <f t="shared" si="27"/>
        <v>0</v>
      </c>
      <c r="G127" s="13">
        <f t="shared" si="27"/>
        <v>0</v>
      </c>
      <c r="H127" s="13">
        <f t="shared" si="27"/>
        <v>0</v>
      </c>
      <c r="I127" s="13">
        <f t="shared" si="27"/>
        <v>0</v>
      </c>
      <c r="J127" s="13">
        <f t="shared" si="27"/>
        <v>1</v>
      </c>
      <c r="K127" s="13">
        <f t="shared" si="27"/>
        <v>1</v>
      </c>
      <c r="L127" s="13">
        <f t="shared" si="27"/>
        <v>1</v>
      </c>
      <c r="M127" s="13">
        <f t="shared" si="27"/>
        <v>0</v>
      </c>
      <c r="N127" s="13">
        <f t="shared" si="27"/>
        <v>4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1.0</v>
      </c>
      <c r="H129" s="19">
        <v>2.0</v>
      </c>
      <c r="I129" s="19">
        <v>0.0</v>
      </c>
      <c r="J129" s="19">
        <v>2.0</v>
      </c>
      <c r="K129" s="19">
        <v>5.0</v>
      </c>
      <c r="L129" s="19">
        <v>0.0</v>
      </c>
      <c r="M129" s="19">
        <v>0.0</v>
      </c>
      <c r="N129" s="13">
        <f t="shared" ref="N129:N138" si="28">SUM(E129:M129)</f>
        <v>10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0.0</v>
      </c>
      <c r="F130" s="19">
        <v>1.0</v>
      </c>
      <c r="G130" s="19">
        <v>0.0</v>
      </c>
      <c r="H130" s="19">
        <v>2.0</v>
      </c>
      <c r="I130" s="19">
        <v>0.0</v>
      </c>
      <c r="J130" s="19">
        <v>2.0</v>
      </c>
      <c r="K130" s="19">
        <v>0.0</v>
      </c>
      <c r="L130" s="19">
        <v>2.0</v>
      </c>
      <c r="M130" s="19">
        <v>0.0</v>
      </c>
      <c r="N130" s="13">
        <f t="shared" si="28"/>
        <v>7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2.0</v>
      </c>
      <c r="G131" s="19">
        <v>0.0</v>
      </c>
      <c r="H131" s="19">
        <v>0.0</v>
      </c>
      <c r="I131" s="19">
        <v>3.0</v>
      </c>
      <c r="J131" s="19">
        <v>0.0</v>
      </c>
      <c r="K131" s="19">
        <v>6.0</v>
      </c>
      <c r="L131" s="19">
        <v>1.0</v>
      </c>
      <c r="M131" s="19">
        <v>0.0</v>
      </c>
      <c r="N131" s="13">
        <f t="shared" si="28"/>
        <v>12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3">
        <f t="shared" si="28"/>
        <v>0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1.0</v>
      </c>
      <c r="H133" s="19">
        <v>1.0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3">
        <f t="shared" si="28"/>
        <v>2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3">
        <f t="shared" si="28"/>
        <v>0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3">
        <f t="shared" si="28"/>
        <v>0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N139" si="29">SUM(E129:E138)</f>
        <v>0</v>
      </c>
      <c r="F139" s="13">
        <f t="shared" si="29"/>
        <v>3</v>
      </c>
      <c r="G139" s="13">
        <f t="shared" si="29"/>
        <v>2</v>
      </c>
      <c r="H139" s="13">
        <f t="shared" si="29"/>
        <v>5</v>
      </c>
      <c r="I139" s="13">
        <f t="shared" si="29"/>
        <v>3</v>
      </c>
      <c r="J139" s="13">
        <f t="shared" si="29"/>
        <v>4</v>
      </c>
      <c r="K139" s="13">
        <f t="shared" si="29"/>
        <v>11</v>
      </c>
      <c r="L139" s="13">
        <f t="shared" si="29"/>
        <v>3</v>
      </c>
      <c r="M139" s="13">
        <f t="shared" si="29"/>
        <v>0</v>
      </c>
      <c r="N139" s="13">
        <f t="shared" si="29"/>
        <v>31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/>
      <c r="F141" s="19"/>
      <c r="G141" s="19"/>
      <c r="H141" s="19"/>
      <c r="I141" s="19"/>
      <c r="J141" s="19"/>
      <c r="K141" s="19"/>
      <c r="L141" s="19"/>
      <c r="M141" s="19"/>
      <c r="N141" s="13">
        <f t="shared" ref="N141:N150" si="30">SUM(E141:M141)</f>
        <v>0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/>
      <c r="F142" s="19"/>
      <c r="G142" s="19"/>
      <c r="H142" s="19"/>
      <c r="I142" s="19"/>
      <c r="J142" s="19"/>
      <c r="K142" s="19"/>
      <c r="L142" s="19"/>
      <c r="M142" s="19"/>
      <c r="N142" s="13">
        <f t="shared" si="30"/>
        <v>0</v>
      </c>
    </row>
    <row r="143" ht="12.75" customHeight="1">
      <c r="A143" s="18"/>
      <c r="B143" s="55">
        <v>2.0</v>
      </c>
      <c r="C143" s="50" t="s">
        <v>107</v>
      </c>
      <c r="D143" s="60"/>
      <c r="E143" s="19"/>
      <c r="F143" s="19"/>
      <c r="G143" s="19"/>
      <c r="H143" s="19"/>
      <c r="I143" s="19"/>
      <c r="J143" s="19"/>
      <c r="K143" s="19"/>
      <c r="L143" s="19"/>
      <c r="M143" s="19"/>
      <c r="N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/>
      <c r="F144" s="19"/>
      <c r="G144" s="19"/>
      <c r="H144" s="19"/>
      <c r="I144" s="19"/>
      <c r="J144" s="19"/>
      <c r="K144" s="19"/>
      <c r="L144" s="19"/>
      <c r="M144" s="19"/>
      <c r="N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N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13"/>
    </row>
    <row r="153" ht="12.75" customHeight="1">
      <c r="A153" s="30" t="s">
        <v>37</v>
      </c>
      <c r="B153" s="17" t="s">
        <v>113</v>
      </c>
      <c r="C153" s="64" t="s">
        <v>114</v>
      </c>
      <c r="D153" s="23"/>
      <c r="E153" s="19">
        <v>0.0</v>
      </c>
      <c r="F153" s="19">
        <v>0.0</v>
      </c>
      <c r="G153" s="19">
        <v>0.0</v>
      </c>
      <c r="H153" s="19">
        <v>1.0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3">
        <f t="shared" ref="N153:N156" si="32">SUM(E154:M154)</f>
        <v>2</v>
      </c>
    </row>
    <row r="154" ht="12.75" customHeight="1">
      <c r="A154" s="65" t="s">
        <v>39</v>
      </c>
      <c r="B154" s="55">
        <v>1.0</v>
      </c>
      <c r="C154" s="66" t="s">
        <v>115</v>
      </c>
      <c r="D154" s="60"/>
      <c r="E154" s="80">
        <v>0.0</v>
      </c>
      <c r="F154" s="19">
        <v>0.0</v>
      </c>
      <c r="G154" s="19">
        <v>0.0</v>
      </c>
      <c r="H154" s="19">
        <v>2.0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3">
        <f t="shared" si="32"/>
        <v>0</v>
      </c>
    </row>
    <row r="155" ht="12.75" customHeight="1">
      <c r="A155" s="18"/>
      <c r="B155" s="55">
        <v>2.0</v>
      </c>
      <c r="C155" s="66" t="s">
        <v>116</v>
      </c>
      <c r="D155" s="60"/>
      <c r="E155" s="80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3">
        <f t="shared" si="32"/>
        <v>0</v>
      </c>
    </row>
    <row r="156" ht="12.75" customHeight="1">
      <c r="A156" s="18"/>
      <c r="B156" s="55">
        <v>3.0</v>
      </c>
      <c r="C156" s="66" t="s">
        <v>117</v>
      </c>
      <c r="D156" s="60"/>
      <c r="E156" s="80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3">
        <f t="shared" si="32"/>
        <v>1</v>
      </c>
    </row>
    <row r="157" ht="12.75" customHeight="1">
      <c r="A157" s="18"/>
      <c r="B157" s="55">
        <v>4.0</v>
      </c>
      <c r="C157" s="66" t="s">
        <v>118</v>
      </c>
      <c r="D157" s="60"/>
      <c r="E157" s="80">
        <v>0.0</v>
      </c>
      <c r="F157" s="19">
        <v>0.0</v>
      </c>
      <c r="G157" s="19">
        <v>0.0</v>
      </c>
      <c r="H157" s="19">
        <v>1.0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3">
        <f t="shared" ref="N157:N162" si="33">SUM(E163:M163)</f>
        <v>4</v>
      </c>
    </row>
    <row r="158" ht="12.75" customHeight="1">
      <c r="A158" s="18"/>
      <c r="B158" s="56"/>
      <c r="C158" s="57"/>
      <c r="D158" s="61"/>
      <c r="E158" s="80"/>
      <c r="F158" s="19"/>
      <c r="G158" s="19"/>
      <c r="H158" s="19"/>
      <c r="I158" s="19"/>
      <c r="J158" s="19"/>
      <c r="K158" s="19"/>
      <c r="L158" s="19"/>
      <c r="M158" s="19"/>
      <c r="N158" s="13">
        <f t="shared" si="33"/>
        <v>0</v>
      </c>
    </row>
    <row r="159" ht="12.75" customHeight="1">
      <c r="A159" s="18"/>
      <c r="B159" s="56"/>
      <c r="C159" s="57"/>
      <c r="D159" s="61"/>
      <c r="E159" s="80"/>
      <c r="F159" s="19"/>
      <c r="G159" s="19"/>
      <c r="H159" s="19"/>
      <c r="I159" s="19"/>
      <c r="J159" s="19"/>
      <c r="K159" s="19"/>
      <c r="L159" s="19"/>
      <c r="M159" s="19"/>
      <c r="N159" s="13">
        <f t="shared" si="33"/>
        <v>2</v>
      </c>
    </row>
    <row r="160" ht="12.75" customHeight="1">
      <c r="A160" s="18"/>
      <c r="B160" s="56"/>
      <c r="C160" s="57"/>
      <c r="D160" s="62"/>
      <c r="E160" s="80"/>
      <c r="F160" s="19"/>
      <c r="G160" s="19"/>
      <c r="H160" s="19"/>
      <c r="I160" s="19"/>
      <c r="J160" s="19"/>
      <c r="K160" s="19"/>
      <c r="L160" s="19"/>
      <c r="M160" s="19"/>
      <c r="N160" s="13">
        <f t="shared" si="33"/>
        <v>0</v>
      </c>
    </row>
    <row r="161" ht="12.75" customHeight="1">
      <c r="A161" s="18"/>
      <c r="B161" s="56"/>
      <c r="C161" s="67"/>
      <c r="D161" s="62"/>
      <c r="E161" s="80"/>
      <c r="F161" s="19"/>
      <c r="G161" s="19"/>
      <c r="H161" s="19"/>
      <c r="I161" s="19"/>
      <c r="J161" s="19"/>
      <c r="K161" s="19"/>
      <c r="L161" s="19"/>
      <c r="M161" s="19"/>
      <c r="N161" s="13">
        <f t="shared" si="33"/>
        <v>0</v>
      </c>
    </row>
    <row r="162" ht="12.75" customHeight="1">
      <c r="A162" s="18"/>
      <c r="B162" s="56"/>
      <c r="C162" s="67"/>
      <c r="D162" s="62"/>
      <c r="E162" s="80"/>
      <c r="F162" s="19"/>
      <c r="G162" s="19"/>
      <c r="H162" s="19"/>
      <c r="I162" s="19"/>
      <c r="J162" s="19"/>
      <c r="K162" s="19"/>
      <c r="L162" s="19"/>
      <c r="M162" s="19"/>
      <c r="N162" s="13">
        <f t="shared" si="33"/>
        <v>0</v>
      </c>
    </row>
    <row r="163" ht="12.75" customHeight="1">
      <c r="A163" s="19" t="s">
        <v>15</v>
      </c>
      <c r="B163" s="68" t="s">
        <v>47</v>
      </c>
      <c r="C163" s="44"/>
      <c r="D163" s="28"/>
      <c r="E163" s="13">
        <f t="shared" ref="E163:N163" si="34">SUM(E153:E162)</f>
        <v>0</v>
      </c>
      <c r="F163" s="13">
        <f t="shared" si="34"/>
        <v>0</v>
      </c>
      <c r="G163" s="13">
        <f t="shared" si="34"/>
        <v>0</v>
      </c>
      <c r="H163" s="13">
        <f t="shared" si="34"/>
        <v>4</v>
      </c>
      <c r="I163" s="13">
        <f t="shared" si="34"/>
        <v>0</v>
      </c>
      <c r="J163" s="13">
        <f t="shared" si="34"/>
        <v>0</v>
      </c>
      <c r="K163" s="13">
        <f t="shared" si="34"/>
        <v>0</v>
      </c>
      <c r="L163" s="13">
        <f t="shared" si="34"/>
        <v>0</v>
      </c>
      <c r="M163" s="13">
        <f t="shared" si="34"/>
        <v>0</v>
      </c>
      <c r="N163" s="13">
        <f t="shared" si="34"/>
        <v>9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1.0</v>
      </c>
      <c r="I165" s="19">
        <v>0.0</v>
      </c>
      <c r="J165" s="19">
        <v>0.0</v>
      </c>
      <c r="K165" s="19">
        <v>1.0</v>
      </c>
      <c r="L165" s="19">
        <v>0.0</v>
      </c>
      <c r="M165" s="19">
        <v>0.0</v>
      </c>
      <c r="N165" s="13">
        <f t="shared" ref="N165:N174" si="35">SUM(E165:M165)</f>
        <v>2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/>
      <c r="F166" s="19"/>
      <c r="G166" s="19"/>
      <c r="H166" s="19"/>
      <c r="I166" s="19"/>
      <c r="J166" s="19"/>
      <c r="K166" s="19"/>
      <c r="L166" s="19"/>
      <c r="M166" s="19"/>
      <c r="N166" s="13">
        <f t="shared" si="35"/>
        <v>0</v>
      </c>
    </row>
    <row r="167" ht="12.75" customHeight="1">
      <c r="A167" s="18"/>
      <c r="B167" s="55">
        <v>2.0</v>
      </c>
      <c r="C167" s="50" t="s">
        <v>122</v>
      </c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3">
        <f t="shared" si="35"/>
        <v>0</v>
      </c>
    </row>
    <row r="168" ht="12.75" customHeight="1">
      <c r="A168" s="18"/>
      <c r="B168" s="55">
        <v>3.0</v>
      </c>
      <c r="C168" s="50" t="s">
        <v>123</v>
      </c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3">
        <f t="shared" si="35"/>
        <v>0</v>
      </c>
    </row>
    <row r="169" ht="12.75" customHeight="1">
      <c r="A169" s="18"/>
      <c r="B169" s="55">
        <v>4.0</v>
      </c>
      <c r="C169" s="50" t="s">
        <v>124</v>
      </c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3">
        <f t="shared" si="35"/>
        <v>0</v>
      </c>
    </row>
    <row r="170" ht="12.75" customHeight="1">
      <c r="A170" s="18"/>
      <c r="B170" s="55">
        <v>5.0</v>
      </c>
      <c r="C170" s="50" t="s">
        <v>125</v>
      </c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3">
        <f t="shared" si="35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3">
        <f t="shared" si="35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3">
        <f t="shared" si="35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3">
        <f t="shared" si="35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3">
        <f t="shared" si="35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N175" si="36">SUM(E165:E174)</f>
        <v>0</v>
      </c>
      <c r="F175" s="13">
        <f t="shared" si="36"/>
        <v>0</v>
      </c>
      <c r="G175" s="13">
        <f t="shared" si="36"/>
        <v>0</v>
      </c>
      <c r="H175" s="13">
        <f t="shared" si="36"/>
        <v>1</v>
      </c>
      <c r="I175" s="13">
        <f t="shared" si="36"/>
        <v>0</v>
      </c>
      <c r="J175" s="13">
        <f t="shared" si="36"/>
        <v>0</v>
      </c>
      <c r="K175" s="13">
        <f t="shared" si="36"/>
        <v>1</v>
      </c>
      <c r="L175" s="13">
        <f t="shared" si="36"/>
        <v>0</v>
      </c>
      <c r="M175" s="13">
        <f t="shared" si="36"/>
        <v>0</v>
      </c>
      <c r="N175" s="13">
        <f t="shared" si="36"/>
        <v>2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2.0</v>
      </c>
      <c r="F177" s="19">
        <v>0.0</v>
      </c>
      <c r="G177" s="19">
        <v>0.0</v>
      </c>
      <c r="H177" s="19">
        <v>1.0</v>
      </c>
      <c r="I177" s="19">
        <v>1.0</v>
      </c>
      <c r="J177" s="19">
        <v>1.0</v>
      </c>
      <c r="K177" s="19">
        <v>1.0</v>
      </c>
      <c r="L177" s="19">
        <v>0.0</v>
      </c>
      <c r="M177" s="19">
        <v>0.0</v>
      </c>
      <c r="N177" s="13">
        <f t="shared" ref="N177:N186" si="37">SUM(E177:M177)</f>
        <v>6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4.0</v>
      </c>
      <c r="K178" s="19">
        <v>1.0</v>
      </c>
      <c r="L178" s="19">
        <v>1.0</v>
      </c>
      <c r="M178" s="19">
        <v>0.0</v>
      </c>
      <c r="N178" s="13">
        <f t="shared" si="37"/>
        <v>6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0.0</v>
      </c>
      <c r="G179" s="19">
        <v>0.0</v>
      </c>
      <c r="H179" s="19">
        <v>1.0</v>
      </c>
      <c r="I179" s="19">
        <v>0.0</v>
      </c>
      <c r="J179" s="19">
        <v>1.0</v>
      </c>
      <c r="K179" s="19">
        <v>4.0</v>
      </c>
      <c r="L179" s="19">
        <v>0.0</v>
      </c>
      <c r="M179" s="19">
        <v>0.0</v>
      </c>
      <c r="N179" s="13">
        <f t="shared" si="37"/>
        <v>6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1.0</v>
      </c>
      <c r="I180" s="19">
        <v>0.0</v>
      </c>
      <c r="J180" s="19">
        <v>1.0</v>
      </c>
      <c r="K180" s="19">
        <v>1.0</v>
      </c>
      <c r="L180" s="19">
        <v>0.0</v>
      </c>
      <c r="M180" s="19">
        <v>0.0</v>
      </c>
      <c r="N180" s="13">
        <f t="shared" si="37"/>
        <v>3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3">
        <f t="shared" si="37"/>
        <v>0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3">
        <f t="shared" si="37"/>
        <v>0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3">
        <f t="shared" si="37"/>
        <v>0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3.0</v>
      </c>
      <c r="K184" s="19">
        <v>0.0</v>
      </c>
      <c r="L184" s="19">
        <v>0.0</v>
      </c>
      <c r="M184" s="19">
        <v>0.0</v>
      </c>
      <c r="N184" s="13">
        <f t="shared" si="37"/>
        <v>3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3">
        <f t="shared" si="37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3">
        <f t="shared" si="37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N187" si="38">SUM(E177:E186)</f>
        <v>2</v>
      </c>
      <c r="F187" s="13">
        <f t="shared" si="38"/>
        <v>0</v>
      </c>
      <c r="G187" s="13">
        <f t="shared" si="38"/>
        <v>0</v>
      </c>
      <c r="H187" s="13">
        <f t="shared" si="38"/>
        <v>3</v>
      </c>
      <c r="I187" s="13">
        <f t="shared" si="38"/>
        <v>1</v>
      </c>
      <c r="J187" s="13">
        <f t="shared" si="38"/>
        <v>10</v>
      </c>
      <c r="K187" s="13">
        <f t="shared" si="38"/>
        <v>7</v>
      </c>
      <c r="L187" s="13">
        <f t="shared" si="38"/>
        <v>1</v>
      </c>
      <c r="M187" s="13">
        <f t="shared" si="38"/>
        <v>0</v>
      </c>
      <c r="N187" s="13">
        <f t="shared" si="38"/>
        <v>24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/>
      <c r="F189" s="19"/>
      <c r="G189" s="19"/>
      <c r="H189" s="19"/>
      <c r="I189" s="19"/>
      <c r="J189" s="19"/>
      <c r="K189" s="19"/>
      <c r="L189" s="19"/>
      <c r="M189" s="19"/>
      <c r="N189" s="13">
        <f t="shared" ref="N189:N198" si="39">SUM(E189:M189)</f>
        <v>0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/>
      <c r="F190" s="19"/>
      <c r="G190" s="19"/>
      <c r="H190" s="19"/>
      <c r="I190" s="19"/>
      <c r="J190" s="19"/>
      <c r="K190" s="19"/>
      <c r="L190" s="19"/>
      <c r="M190" s="19"/>
      <c r="N190" s="13">
        <f t="shared" si="39"/>
        <v>0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1.0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3">
        <f t="shared" si="39"/>
        <v>1</v>
      </c>
    </row>
    <row r="192" ht="12.75" customHeight="1">
      <c r="A192" s="18"/>
      <c r="B192" s="55">
        <v>3.0</v>
      </c>
      <c r="C192" s="50" t="s">
        <v>141</v>
      </c>
      <c r="D192" s="60"/>
      <c r="E192" s="19"/>
      <c r="F192" s="19"/>
      <c r="G192" s="19"/>
      <c r="H192" s="19"/>
      <c r="I192" s="19"/>
      <c r="J192" s="19"/>
      <c r="K192" s="19"/>
      <c r="L192" s="19"/>
      <c r="M192" s="19"/>
      <c r="N192" s="13">
        <f t="shared" si="39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/>
      <c r="F193" s="19"/>
      <c r="G193" s="19"/>
      <c r="H193" s="19"/>
      <c r="I193" s="19"/>
      <c r="J193" s="19"/>
      <c r="K193" s="19"/>
      <c r="L193" s="19"/>
      <c r="M193" s="19"/>
      <c r="N193" s="13">
        <f t="shared" si="39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/>
      <c r="F194" s="19"/>
      <c r="G194" s="19"/>
      <c r="H194" s="19"/>
      <c r="I194" s="19"/>
      <c r="J194" s="19"/>
      <c r="K194" s="19"/>
      <c r="L194" s="19"/>
      <c r="M194" s="19"/>
      <c r="N194" s="13">
        <f t="shared" si="39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/>
      <c r="F195" s="19"/>
      <c r="G195" s="19"/>
      <c r="H195" s="19"/>
      <c r="I195" s="19"/>
      <c r="J195" s="19"/>
      <c r="K195" s="19"/>
      <c r="L195" s="19"/>
      <c r="M195" s="19"/>
      <c r="N195" s="13">
        <f t="shared" si="39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/>
      <c r="F196" s="19"/>
      <c r="G196" s="19"/>
      <c r="H196" s="19"/>
      <c r="I196" s="19"/>
      <c r="J196" s="19"/>
      <c r="K196" s="19"/>
      <c r="L196" s="19"/>
      <c r="M196" s="19"/>
      <c r="N196" s="13">
        <f t="shared" si="39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3">
        <f t="shared" si="39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3">
        <f t="shared" si="39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N199" si="40">SUM(E189:E198)</f>
        <v>0</v>
      </c>
      <c r="F199" s="13">
        <f t="shared" si="40"/>
        <v>0</v>
      </c>
      <c r="G199" s="13">
        <f t="shared" si="40"/>
        <v>0</v>
      </c>
      <c r="H199" s="13">
        <f t="shared" si="40"/>
        <v>1</v>
      </c>
      <c r="I199" s="13">
        <f t="shared" si="40"/>
        <v>0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0</v>
      </c>
      <c r="N199" s="13">
        <f t="shared" si="40"/>
        <v>1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4.0</v>
      </c>
      <c r="F201" s="19">
        <v>4.0</v>
      </c>
      <c r="G201" s="19">
        <v>11.0</v>
      </c>
      <c r="H201" s="19">
        <v>9.0</v>
      </c>
      <c r="I201" s="19">
        <v>4.0</v>
      </c>
      <c r="J201" s="19">
        <v>3.0</v>
      </c>
      <c r="K201" s="19">
        <v>7.0</v>
      </c>
      <c r="L201" s="19">
        <v>11.0</v>
      </c>
      <c r="M201" s="19">
        <v>0.0</v>
      </c>
      <c r="N201" s="13">
        <f t="shared" ref="N201:N210" si="41">SUM(E201:M201)</f>
        <v>53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2.0</v>
      </c>
      <c r="F202" s="19">
        <v>3.0</v>
      </c>
      <c r="G202" s="19">
        <v>9.0</v>
      </c>
      <c r="H202" s="19">
        <v>10.0</v>
      </c>
      <c r="I202" s="19">
        <v>10.0</v>
      </c>
      <c r="J202" s="19">
        <v>7.0</v>
      </c>
      <c r="K202" s="19">
        <v>7.0</v>
      </c>
      <c r="L202" s="19">
        <v>11.0</v>
      </c>
      <c r="M202" s="19">
        <v>5.0</v>
      </c>
      <c r="N202" s="13">
        <f t="shared" si="41"/>
        <v>64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0.0</v>
      </c>
      <c r="F203" s="19">
        <v>2.0</v>
      </c>
      <c r="G203" s="19">
        <v>11.0</v>
      </c>
      <c r="H203" s="19">
        <v>5.0</v>
      </c>
      <c r="I203" s="19">
        <v>3.0</v>
      </c>
      <c r="J203" s="19">
        <v>1.0</v>
      </c>
      <c r="K203" s="19">
        <v>3.0</v>
      </c>
      <c r="L203" s="19">
        <v>5.0</v>
      </c>
      <c r="M203" s="19">
        <v>1.0</v>
      </c>
      <c r="N203" s="13">
        <f t="shared" si="41"/>
        <v>31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0.0</v>
      </c>
      <c r="G204" s="19">
        <v>1.0</v>
      </c>
      <c r="H204" s="19">
        <v>3.0</v>
      </c>
      <c r="I204" s="19">
        <v>0.0</v>
      </c>
      <c r="J204" s="19">
        <v>0.0</v>
      </c>
      <c r="K204" s="19">
        <v>1.0</v>
      </c>
      <c r="L204" s="19">
        <v>0.0</v>
      </c>
      <c r="M204" s="19">
        <v>0.0</v>
      </c>
      <c r="N204" s="13">
        <f t="shared" si="41"/>
        <v>5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0.0</v>
      </c>
      <c r="G205" s="19">
        <v>0.0</v>
      </c>
      <c r="H205" s="19">
        <v>2.0</v>
      </c>
      <c r="I205" s="19">
        <v>0.0</v>
      </c>
      <c r="J205" s="19">
        <v>2.0</v>
      </c>
      <c r="K205" s="19">
        <v>1.0</v>
      </c>
      <c r="L205" s="19">
        <v>1.0</v>
      </c>
      <c r="M205" s="19">
        <v>0.0</v>
      </c>
      <c r="N205" s="13">
        <f t="shared" si="41"/>
        <v>6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0.0</v>
      </c>
      <c r="G206" s="19">
        <v>0.0</v>
      </c>
      <c r="H206" s="19">
        <v>1.0</v>
      </c>
      <c r="I206" s="19">
        <v>0.0</v>
      </c>
      <c r="J206" s="19">
        <v>0.0</v>
      </c>
      <c r="K206" s="19">
        <v>0.0</v>
      </c>
      <c r="L206" s="19">
        <v>2.0</v>
      </c>
      <c r="M206" s="19">
        <v>0.0</v>
      </c>
      <c r="N206" s="13">
        <f t="shared" si="41"/>
        <v>3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1.0</v>
      </c>
      <c r="M207" s="19">
        <v>0.0</v>
      </c>
      <c r="N207" s="13">
        <f t="shared" si="41"/>
        <v>1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1.0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1.0</v>
      </c>
      <c r="M208" s="19">
        <v>0.0</v>
      </c>
      <c r="N208" s="13">
        <f t="shared" si="41"/>
        <v>2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3">
        <f t="shared" si="41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3">
        <f t="shared" si="41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N211" si="42">SUM(E201:E210)</f>
        <v>7</v>
      </c>
      <c r="F211" s="13">
        <f t="shared" si="42"/>
        <v>9</v>
      </c>
      <c r="G211" s="13">
        <f t="shared" si="42"/>
        <v>32</v>
      </c>
      <c r="H211" s="13">
        <f t="shared" si="42"/>
        <v>30</v>
      </c>
      <c r="I211" s="13">
        <f t="shared" si="42"/>
        <v>17</v>
      </c>
      <c r="J211" s="13">
        <f t="shared" si="42"/>
        <v>13</v>
      </c>
      <c r="K211" s="13">
        <f t="shared" si="42"/>
        <v>19</v>
      </c>
      <c r="L211" s="13">
        <f t="shared" si="42"/>
        <v>32</v>
      </c>
      <c r="M211" s="13">
        <f t="shared" si="42"/>
        <v>6</v>
      </c>
      <c r="N211" s="13">
        <f t="shared" si="42"/>
        <v>165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0.0</v>
      </c>
      <c r="G213" s="19">
        <v>3.0</v>
      </c>
      <c r="H213" s="19">
        <v>4.0</v>
      </c>
      <c r="I213" s="19">
        <v>3.0</v>
      </c>
      <c r="J213" s="19">
        <v>1.0</v>
      </c>
      <c r="K213" s="19">
        <v>4.0</v>
      </c>
      <c r="L213" s="19">
        <v>4.0</v>
      </c>
      <c r="M213" s="19">
        <v>1.0</v>
      </c>
      <c r="N213" s="13">
        <f t="shared" ref="N213:N222" si="43">SUM(E213:M213)</f>
        <v>21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0.0</v>
      </c>
      <c r="F214" s="19">
        <v>0.0</v>
      </c>
      <c r="G214" s="19">
        <v>0.0</v>
      </c>
      <c r="H214" s="19">
        <v>2.0</v>
      </c>
      <c r="I214" s="19">
        <v>2.0</v>
      </c>
      <c r="J214" s="19">
        <v>1.0</v>
      </c>
      <c r="K214" s="19">
        <v>1.0</v>
      </c>
      <c r="L214" s="19">
        <v>1.0</v>
      </c>
      <c r="M214" s="19">
        <v>2.0</v>
      </c>
      <c r="N214" s="13">
        <f t="shared" si="43"/>
        <v>9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5.0</v>
      </c>
      <c r="F215" s="19">
        <v>1.0</v>
      </c>
      <c r="G215" s="19">
        <v>13.0</v>
      </c>
      <c r="H215" s="19">
        <v>0.0</v>
      </c>
      <c r="I215" s="19">
        <v>8.0</v>
      </c>
      <c r="J215" s="19">
        <v>3.0</v>
      </c>
      <c r="K215" s="19">
        <v>0.0</v>
      </c>
      <c r="L215" s="19">
        <v>0.0</v>
      </c>
      <c r="M215" s="19">
        <v>1.0</v>
      </c>
      <c r="N215" s="13">
        <f t="shared" si="43"/>
        <v>31</v>
      </c>
    </row>
    <row r="216" ht="12.75" customHeight="1">
      <c r="A216" s="18"/>
      <c r="B216" s="55">
        <v>3.0</v>
      </c>
      <c r="C216" s="69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3">
        <f t="shared" si="43"/>
        <v>0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1.0</v>
      </c>
      <c r="L217" s="19">
        <v>0.0</v>
      </c>
      <c r="M217" s="19">
        <v>0.0</v>
      </c>
      <c r="N217" s="13">
        <f t="shared" si="43"/>
        <v>1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3">
        <f t="shared" si="43"/>
        <v>0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1.0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3">
        <f t="shared" si="43"/>
        <v>1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3">
        <f t="shared" si="43"/>
        <v>0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3">
        <f t="shared" si="43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3">
        <f t="shared" si="43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N223" si="44">SUM(E213:E222)</f>
        <v>7</v>
      </c>
      <c r="F223" s="13">
        <f t="shared" si="44"/>
        <v>1</v>
      </c>
      <c r="G223" s="13">
        <f t="shared" si="44"/>
        <v>16</v>
      </c>
      <c r="H223" s="13">
        <f t="shared" si="44"/>
        <v>6</v>
      </c>
      <c r="I223" s="13">
        <f t="shared" si="44"/>
        <v>13</v>
      </c>
      <c r="J223" s="13">
        <f t="shared" si="44"/>
        <v>5</v>
      </c>
      <c r="K223" s="13">
        <f t="shared" si="44"/>
        <v>6</v>
      </c>
      <c r="L223" s="13">
        <f t="shared" si="44"/>
        <v>5</v>
      </c>
      <c r="M223" s="13">
        <f t="shared" si="44"/>
        <v>4</v>
      </c>
      <c r="N223" s="13">
        <f t="shared" si="44"/>
        <v>63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1.0</v>
      </c>
      <c r="L225" s="19">
        <v>0.0</v>
      </c>
      <c r="M225" s="19">
        <v>0.0</v>
      </c>
      <c r="N225" s="13">
        <f t="shared" ref="N225:N234" si="45">SUM(E225:M225)</f>
        <v>1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/>
      <c r="F226" s="19"/>
      <c r="G226" s="19"/>
      <c r="H226" s="19"/>
      <c r="I226" s="19"/>
      <c r="J226" s="19"/>
      <c r="K226" s="19"/>
      <c r="L226" s="19"/>
      <c r="M226" s="19"/>
      <c r="N226" s="13">
        <f t="shared" si="45"/>
        <v>0</v>
      </c>
    </row>
    <row r="227" ht="12.75" customHeight="1">
      <c r="A227" s="18"/>
      <c r="B227" s="55">
        <v>2.0</v>
      </c>
      <c r="C227" s="50" t="s">
        <v>167</v>
      </c>
      <c r="D227" s="60"/>
      <c r="E227" s="19"/>
      <c r="F227" s="19"/>
      <c r="G227" s="19"/>
      <c r="H227" s="19"/>
      <c r="I227" s="19"/>
      <c r="J227" s="19"/>
      <c r="K227" s="19"/>
      <c r="L227" s="19"/>
      <c r="M227" s="19"/>
      <c r="N227" s="13">
        <f t="shared" si="45"/>
        <v>0</v>
      </c>
    </row>
    <row r="228" ht="12.75" customHeight="1">
      <c r="A228" s="18"/>
      <c r="B228" s="55">
        <v>3.0</v>
      </c>
      <c r="C228" s="50" t="s">
        <v>168</v>
      </c>
      <c r="D228" s="60"/>
      <c r="E228" s="19"/>
      <c r="F228" s="19"/>
      <c r="G228" s="19"/>
      <c r="H228" s="19"/>
      <c r="I228" s="19"/>
      <c r="J228" s="19"/>
      <c r="K228" s="19"/>
      <c r="L228" s="19"/>
      <c r="M228" s="19"/>
      <c r="N228" s="13">
        <f t="shared" si="45"/>
        <v>0</v>
      </c>
    </row>
    <row r="229" ht="12.75" customHeight="1">
      <c r="A229" s="18"/>
      <c r="B229" s="55">
        <v>4.0</v>
      </c>
      <c r="C229" s="50" t="s">
        <v>169</v>
      </c>
      <c r="D229" s="60"/>
      <c r="E229" s="19"/>
      <c r="F229" s="19"/>
      <c r="G229" s="19"/>
      <c r="H229" s="19"/>
      <c r="I229" s="19"/>
      <c r="J229" s="19"/>
      <c r="K229" s="19"/>
      <c r="L229" s="19"/>
      <c r="M229" s="19"/>
      <c r="N229" s="13">
        <f t="shared" si="45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3">
        <f t="shared" si="45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3">
        <f t="shared" si="45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3">
        <f t="shared" si="45"/>
        <v>0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3">
        <f t="shared" si="45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3">
        <f t="shared" si="45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N235" si="46">SUM(E225:E234)</f>
        <v>0</v>
      </c>
      <c r="F235" s="13">
        <f t="shared" si="46"/>
        <v>0</v>
      </c>
      <c r="G235" s="13">
        <f t="shared" si="46"/>
        <v>0</v>
      </c>
      <c r="H235" s="13">
        <f t="shared" si="46"/>
        <v>0</v>
      </c>
      <c r="I235" s="13">
        <f t="shared" si="46"/>
        <v>0</v>
      </c>
      <c r="J235" s="13">
        <f t="shared" si="46"/>
        <v>0</v>
      </c>
      <c r="K235" s="13">
        <f t="shared" si="46"/>
        <v>1</v>
      </c>
      <c r="L235" s="13">
        <f t="shared" si="46"/>
        <v>0</v>
      </c>
      <c r="M235" s="13">
        <f t="shared" si="46"/>
        <v>0</v>
      </c>
      <c r="N235" s="13">
        <f t="shared" si="46"/>
        <v>1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0.0</v>
      </c>
      <c r="H237" s="19">
        <v>2.0</v>
      </c>
      <c r="I237" s="19">
        <v>2.0</v>
      </c>
      <c r="J237" s="19">
        <v>1.0</v>
      </c>
      <c r="K237" s="19">
        <v>0.0</v>
      </c>
      <c r="L237" s="19">
        <v>2.0</v>
      </c>
      <c r="M237" s="19">
        <v>3.0</v>
      </c>
      <c r="N237" s="13">
        <f t="shared" ref="N237:N246" si="47">SUM(E237:M237)</f>
        <v>10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0.0</v>
      </c>
      <c r="F238" s="19">
        <v>1.0</v>
      </c>
      <c r="G238" s="19">
        <v>0.0</v>
      </c>
      <c r="H238" s="19">
        <v>0.0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3">
        <f t="shared" si="47"/>
        <v>1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10.0</v>
      </c>
      <c r="F239" s="19">
        <v>1.0</v>
      </c>
      <c r="G239" s="19">
        <v>13.0</v>
      </c>
      <c r="H239" s="19">
        <v>7.0</v>
      </c>
      <c r="I239" s="19">
        <v>4.0</v>
      </c>
      <c r="J239" s="19">
        <v>5.0</v>
      </c>
      <c r="K239" s="19">
        <v>8.0</v>
      </c>
      <c r="L239" s="19">
        <v>22.0</v>
      </c>
      <c r="M239" s="19">
        <v>1.0</v>
      </c>
      <c r="N239" s="13">
        <f t="shared" si="47"/>
        <v>71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2.0</v>
      </c>
      <c r="G240" s="19">
        <v>0.0</v>
      </c>
      <c r="H240" s="19">
        <v>0.0</v>
      </c>
      <c r="I240" s="19">
        <v>0.0</v>
      </c>
      <c r="J240" s="19">
        <v>0.0</v>
      </c>
      <c r="K240" s="19">
        <v>2.0</v>
      </c>
      <c r="L240" s="19">
        <v>0.0</v>
      </c>
      <c r="M240" s="19">
        <v>0.0</v>
      </c>
      <c r="N240" s="13">
        <f t="shared" si="47"/>
        <v>4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2.0</v>
      </c>
      <c r="M241" s="19">
        <v>0.0</v>
      </c>
      <c r="N241" s="13">
        <f t="shared" si="47"/>
        <v>2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3">
        <f t="shared" si="47"/>
        <v>0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3">
        <f t="shared" si="47"/>
        <v>0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1.0</v>
      </c>
      <c r="M244" s="19">
        <v>0.0</v>
      </c>
      <c r="N244" s="13">
        <f t="shared" si="47"/>
        <v>1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3">
        <f t="shared" si="47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3">
        <f t="shared" si="47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N247" si="48">SUM(E237:E246)</f>
        <v>10</v>
      </c>
      <c r="F247" s="13">
        <f t="shared" si="48"/>
        <v>4</v>
      </c>
      <c r="G247" s="13">
        <f t="shared" si="48"/>
        <v>13</v>
      </c>
      <c r="H247" s="13">
        <f t="shared" si="48"/>
        <v>9</v>
      </c>
      <c r="I247" s="13">
        <f t="shared" si="48"/>
        <v>6</v>
      </c>
      <c r="J247" s="13">
        <f t="shared" si="48"/>
        <v>6</v>
      </c>
      <c r="K247" s="13">
        <f t="shared" si="48"/>
        <v>10</v>
      </c>
      <c r="L247" s="13">
        <f t="shared" si="48"/>
        <v>27</v>
      </c>
      <c r="M247" s="13">
        <f t="shared" si="48"/>
        <v>4</v>
      </c>
      <c r="N247" s="13">
        <f t="shared" si="48"/>
        <v>89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1.0</v>
      </c>
      <c r="N249" s="13">
        <f t="shared" ref="N249:N258" si="49">SUM(E249:M249)</f>
        <v>1</v>
      </c>
    </row>
    <row r="250" ht="12.75" customHeight="1">
      <c r="A250" s="30" t="s">
        <v>39</v>
      </c>
      <c r="B250" s="55">
        <v>1.0</v>
      </c>
      <c r="C250" s="66" t="s">
        <v>184</v>
      </c>
      <c r="D250" s="60"/>
      <c r="E250" s="19">
        <v>0.0</v>
      </c>
      <c r="F250" s="19">
        <v>0.0</v>
      </c>
      <c r="G250" s="19">
        <v>0.0</v>
      </c>
      <c r="H250" s="19">
        <v>1.0</v>
      </c>
      <c r="I250" s="19">
        <v>1.0</v>
      </c>
      <c r="J250" s="19">
        <v>0.0</v>
      </c>
      <c r="K250" s="19">
        <v>0.0</v>
      </c>
      <c r="L250" s="19">
        <v>0.0</v>
      </c>
      <c r="M250" s="19">
        <v>0.0</v>
      </c>
      <c r="N250" s="13">
        <f t="shared" si="49"/>
        <v>2</v>
      </c>
    </row>
    <row r="251" ht="12.75" customHeight="1">
      <c r="A251" s="18"/>
      <c r="B251" s="55">
        <v>2.0</v>
      </c>
      <c r="C251" s="66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3">
        <f t="shared" si="49"/>
        <v>0</v>
      </c>
    </row>
    <row r="252" ht="12.75" customHeight="1">
      <c r="A252" s="18"/>
      <c r="B252" s="55">
        <v>3.0</v>
      </c>
      <c r="C252" s="66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3">
        <f t="shared" si="49"/>
        <v>0</v>
      </c>
    </row>
    <row r="253" ht="12.75" customHeight="1">
      <c r="A253" s="18"/>
      <c r="B253" s="55">
        <v>4.0</v>
      </c>
      <c r="C253" s="66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3">
        <f t="shared" si="49"/>
        <v>0</v>
      </c>
    </row>
    <row r="254" ht="12.75" customHeight="1">
      <c r="A254" s="18"/>
      <c r="B254" s="55">
        <v>5.0</v>
      </c>
      <c r="C254" s="66" t="s">
        <v>188</v>
      </c>
      <c r="D254" s="60"/>
      <c r="E254" s="19">
        <v>0.0</v>
      </c>
      <c r="F254" s="19">
        <v>1.0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3">
        <f t="shared" si="49"/>
        <v>1</v>
      </c>
    </row>
    <row r="255" ht="12.75" customHeight="1">
      <c r="A255" s="18"/>
      <c r="B255" s="55">
        <v>6.0</v>
      </c>
      <c r="C255" s="66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3">
        <f t="shared" si="49"/>
        <v>0</v>
      </c>
    </row>
    <row r="256" ht="12.75" customHeight="1">
      <c r="A256" s="18"/>
      <c r="B256" s="56"/>
      <c r="C256" s="67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3">
        <f t="shared" si="49"/>
        <v>0</v>
      </c>
    </row>
    <row r="257" ht="12.75" customHeight="1">
      <c r="A257" s="18"/>
      <c r="B257" s="56"/>
      <c r="C257" s="67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3">
        <f t="shared" si="49"/>
        <v>0</v>
      </c>
    </row>
    <row r="258" ht="12.75" customHeight="1">
      <c r="A258" s="18"/>
      <c r="B258" s="56"/>
      <c r="C258" s="67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3">
        <f t="shared" si="49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N259" si="50">SUM(E249:E258)</f>
        <v>0</v>
      </c>
      <c r="F259" s="13">
        <f t="shared" si="50"/>
        <v>1</v>
      </c>
      <c r="G259" s="13">
        <f t="shared" si="50"/>
        <v>0</v>
      </c>
      <c r="H259" s="13">
        <f t="shared" si="50"/>
        <v>1</v>
      </c>
      <c r="I259" s="13">
        <f t="shared" si="50"/>
        <v>1</v>
      </c>
      <c r="J259" s="13">
        <f t="shared" si="50"/>
        <v>0</v>
      </c>
      <c r="K259" s="13">
        <f t="shared" si="50"/>
        <v>0</v>
      </c>
      <c r="L259" s="13">
        <f t="shared" si="50"/>
        <v>0</v>
      </c>
      <c r="M259" s="13">
        <f t="shared" si="50"/>
        <v>1</v>
      </c>
      <c r="N259" s="13">
        <f t="shared" si="50"/>
        <v>4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</row>
    <row r="262" ht="12.75" customHeight="1">
      <c r="A262" s="42"/>
      <c r="B262" s="70" t="s">
        <v>192</v>
      </c>
      <c r="C262" s="71" t="s">
        <v>193</v>
      </c>
      <c r="D262" s="16"/>
      <c r="E262" s="19">
        <f t="shared" ref="E262:M262" si="51">E55+E67+E79+E91+E103+E115+E127+E139+E151+E163+E175+E187+E199+E211+E223+E235+E247+E259</f>
        <v>182</v>
      </c>
      <c r="F262" s="19">
        <f t="shared" si="51"/>
        <v>166</v>
      </c>
      <c r="G262" s="19">
        <f t="shared" si="51"/>
        <v>174</v>
      </c>
      <c r="H262" s="19">
        <f t="shared" si="51"/>
        <v>189</v>
      </c>
      <c r="I262" s="19">
        <f t="shared" si="51"/>
        <v>197</v>
      </c>
      <c r="J262" s="19">
        <f t="shared" si="51"/>
        <v>206</v>
      </c>
      <c r="K262" s="19">
        <f t="shared" si="51"/>
        <v>175</v>
      </c>
      <c r="L262" s="19">
        <f t="shared" si="51"/>
        <v>176</v>
      </c>
      <c r="M262" s="19">
        <f t="shared" si="51"/>
        <v>122</v>
      </c>
      <c r="N262" s="13">
        <f t="shared" ref="N262:N264" si="52">SUM(E262:M262)</f>
        <v>1587</v>
      </c>
    </row>
    <row r="263" ht="12.75" customHeight="1">
      <c r="A263" s="35"/>
      <c r="B263" s="70" t="s">
        <v>194</v>
      </c>
      <c r="C263" s="71" t="s">
        <v>195</v>
      </c>
      <c r="D263" s="16"/>
      <c r="E263" s="19">
        <v>29.0</v>
      </c>
      <c r="F263" s="19">
        <v>30.0</v>
      </c>
      <c r="G263" s="19">
        <v>25.0</v>
      </c>
      <c r="H263" s="19">
        <v>37.0</v>
      </c>
      <c r="I263" s="19">
        <v>22.0</v>
      </c>
      <c r="J263" s="19">
        <v>27.0</v>
      </c>
      <c r="K263" s="19">
        <v>39.0</v>
      </c>
      <c r="L263" s="19">
        <v>22.0</v>
      </c>
      <c r="M263" s="19">
        <v>19.0</v>
      </c>
      <c r="N263" s="13">
        <f t="shared" si="52"/>
        <v>250</v>
      </c>
    </row>
    <row r="264" ht="12.75" customHeight="1">
      <c r="A264" s="41"/>
      <c r="B264" s="70" t="s">
        <v>196</v>
      </c>
      <c r="C264" s="71" t="s">
        <v>197</v>
      </c>
      <c r="D264" s="16"/>
      <c r="E264" s="13">
        <f t="shared" ref="E264:M264" si="53">SUM(E262:E263)</f>
        <v>211</v>
      </c>
      <c r="F264" s="13">
        <f t="shared" si="53"/>
        <v>196</v>
      </c>
      <c r="G264" s="13">
        <f t="shared" si="53"/>
        <v>199</v>
      </c>
      <c r="H264" s="13">
        <f t="shared" si="53"/>
        <v>226</v>
      </c>
      <c r="I264" s="13">
        <f t="shared" si="53"/>
        <v>219</v>
      </c>
      <c r="J264" s="13">
        <f t="shared" si="53"/>
        <v>233</v>
      </c>
      <c r="K264" s="13">
        <f t="shared" si="53"/>
        <v>214</v>
      </c>
      <c r="L264" s="13">
        <f t="shared" si="53"/>
        <v>198</v>
      </c>
      <c r="M264" s="13">
        <f t="shared" si="53"/>
        <v>141</v>
      </c>
      <c r="N264" s="13">
        <f t="shared" si="52"/>
        <v>1837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M15">
    <cfRule type="containsBlanks" dxfId="1" priority="1">
      <formula>LEN(TRIM(E14))=0</formula>
    </cfRule>
  </conditionalFormatting>
  <conditionalFormatting sqref="E19:M20">
    <cfRule type="containsBlanks" dxfId="1" priority="2">
      <formula>LEN(TRIM(E19))=0</formula>
    </cfRule>
  </conditionalFormatting>
  <conditionalFormatting sqref="E22:M23 E25:M26 E33:M33 E35:M35 E39:M40">
    <cfRule type="containsBlanks" dxfId="1" priority="3">
      <formula>LEN(TRIM(E22))=0</formula>
    </cfRule>
  </conditionalFormatting>
  <conditionalFormatting sqref="E30:M30">
    <cfRule type="expression" dxfId="0" priority="4">
      <formula>E30&lt;&gt;E47</formula>
    </cfRule>
  </conditionalFormatting>
  <conditionalFormatting sqref="E30:M30">
    <cfRule type="expression" dxfId="0" priority="5">
      <formula>E30&lt;&gt;E34</formula>
    </cfRule>
  </conditionalFormatting>
  <conditionalFormatting sqref="E34:M34">
    <cfRule type="expression" dxfId="2" priority="6">
      <formula>E30&lt;&gt;E34</formula>
    </cfRule>
  </conditionalFormatting>
  <conditionalFormatting sqref="E34:M34">
    <cfRule type="expression" dxfId="3" priority="7">
      <formula>E30=E34</formula>
    </cfRule>
  </conditionalFormatting>
  <conditionalFormatting sqref="E34:M34">
    <cfRule type="expression" dxfId="0" priority="8">
      <formula>E34&lt;&gt;E30</formula>
    </cfRule>
  </conditionalFormatting>
  <conditionalFormatting sqref="E34:M34">
    <cfRule type="expression" dxfId="0" priority="9">
      <formula>E34&lt;&gt;E64</formula>
    </cfRule>
  </conditionalFormatting>
  <conditionalFormatting sqref="E45:M54">
    <cfRule type="containsBlanks" dxfId="1" priority="10">
      <formula>LEN(TRIM(E45))=0</formula>
    </cfRule>
  </conditionalFormatting>
  <conditionalFormatting sqref="E57:M66">
    <cfRule type="containsBlanks" dxfId="1" priority="11">
      <formula>LEN(TRIM(E57))=0</formula>
    </cfRule>
  </conditionalFormatting>
  <conditionalFormatting sqref="E69:M78">
    <cfRule type="containsBlanks" dxfId="1" priority="12">
      <formula>LEN(TRIM(E69))=0</formula>
    </cfRule>
  </conditionalFormatting>
  <conditionalFormatting sqref="E81:M90">
    <cfRule type="containsBlanks" dxfId="1" priority="13">
      <formula>LEN(TRIM(E81))=0</formula>
    </cfRule>
  </conditionalFormatting>
  <conditionalFormatting sqref="E93:M102">
    <cfRule type="containsBlanks" dxfId="1" priority="14">
      <formula>LEN(TRIM(E93))=0</formula>
    </cfRule>
  </conditionalFormatting>
  <conditionalFormatting sqref="E105:M114">
    <cfRule type="containsBlanks" dxfId="1" priority="15">
      <formula>LEN(TRIM(E105))=0</formula>
    </cfRule>
  </conditionalFormatting>
  <conditionalFormatting sqref="E117:M126">
    <cfRule type="containsBlanks" dxfId="1" priority="16">
      <formula>LEN(TRIM(E117))=0</formula>
    </cfRule>
  </conditionalFormatting>
  <conditionalFormatting sqref="E129:M138">
    <cfRule type="containsBlanks" dxfId="1" priority="17">
      <formula>LEN(TRIM(E129))=0</formula>
    </cfRule>
  </conditionalFormatting>
  <conditionalFormatting sqref="E141:M150">
    <cfRule type="containsBlanks" dxfId="1" priority="18">
      <formula>LEN(TRIM(E141))=0</formula>
    </cfRule>
  </conditionalFormatting>
  <conditionalFormatting sqref="E153:M162">
    <cfRule type="containsBlanks" dxfId="1" priority="19">
      <formula>LEN(TRIM(E153))=0</formula>
    </cfRule>
  </conditionalFormatting>
  <conditionalFormatting sqref="E165:M174">
    <cfRule type="containsBlanks" dxfId="1" priority="20">
      <formula>LEN(TRIM(E165))=0</formula>
    </cfRule>
  </conditionalFormatting>
  <conditionalFormatting sqref="E177:M186">
    <cfRule type="containsBlanks" dxfId="1" priority="21">
      <formula>LEN(TRIM(E177))=0</formula>
    </cfRule>
  </conditionalFormatting>
  <conditionalFormatting sqref="E189:M198">
    <cfRule type="containsBlanks" dxfId="1" priority="22">
      <formula>LEN(TRIM(E189))=0</formula>
    </cfRule>
  </conditionalFormatting>
  <conditionalFormatting sqref="E201:M210">
    <cfRule type="containsBlanks" dxfId="1" priority="23">
      <formula>LEN(TRIM(E201))=0</formula>
    </cfRule>
  </conditionalFormatting>
  <conditionalFormatting sqref="E213:M222">
    <cfRule type="containsBlanks" dxfId="1" priority="24">
      <formula>LEN(TRIM(E213))=0</formula>
    </cfRule>
  </conditionalFormatting>
  <conditionalFormatting sqref="E225:M234">
    <cfRule type="containsBlanks" dxfId="1" priority="25">
      <formula>LEN(TRIM(E225))=0</formula>
    </cfRule>
  </conditionalFormatting>
  <conditionalFormatting sqref="E237:M246">
    <cfRule type="containsBlanks" dxfId="1" priority="26">
      <formula>LEN(TRIM(E237))=0</formula>
    </cfRule>
  </conditionalFormatting>
  <conditionalFormatting sqref="E249:M258">
    <cfRule type="containsBlanks" dxfId="1" priority="27">
      <formula>LEN(TRIM(E249))=0</formula>
    </cfRule>
  </conditionalFormatting>
  <conditionalFormatting sqref="E262:M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2" width="8.71"/>
    <col customWidth="1" min="23" max="23" width="13.29"/>
    <col customWidth="1" min="2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219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7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220</v>
      </c>
      <c r="W13" s="36"/>
    </row>
    <row r="14" ht="12.75" customHeight="1">
      <c r="A14" s="18"/>
      <c r="B14" s="22" t="s">
        <v>11</v>
      </c>
      <c r="C14" s="23"/>
      <c r="D14" s="19" t="s">
        <v>12</v>
      </c>
      <c r="E14" s="19">
        <v>96.0</v>
      </c>
      <c r="F14" s="19">
        <v>116.0</v>
      </c>
      <c r="G14" s="19">
        <v>127.0</v>
      </c>
      <c r="H14" s="19">
        <v>102.0</v>
      </c>
      <c r="I14" s="19">
        <v>112.0</v>
      </c>
      <c r="J14" s="19">
        <v>126.0</v>
      </c>
      <c r="K14" s="19">
        <v>127.0</v>
      </c>
      <c r="L14" s="19">
        <v>140.0</v>
      </c>
      <c r="M14" s="19">
        <v>133.0</v>
      </c>
      <c r="N14" s="19">
        <v>124.0</v>
      </c>
      <c r="O14" s="19">
        <v>132.0</v>
      </c>
      <c r="P14" s="19">
        <v>136.0</v>
      </c>
      <c r="Q14" s="19">
        <v>131.0</v>
      </c>
      <c r="R14" s="19">
        <v>133.0</v>
      </c>
      <c r="S14" s="19">
        <v>140.0</v>
      </c>
      <c r="T14" s="19">
        <v>84.0</v>
      </c>
      <c r="U14" s="19">
        <v>110.0</v>
      </c>
      <c r="V14" s="19">
        <v>69.0</v>
      </c>
      <c r="W14" s="13">
        <f t="shared" ref="W14:W16" si="1">SUM(E14:V14)</f>
        <v>2138</v>
      </c>
    </row>
    <row r="15" ht="12.75" customHeight="1">
      <c r="A15" s="18"/>
      <c r="B15" s="26"/>
      <c r="C15" s="27"/>
      <c r="D15" s="19" t="s">
        <v>13</v>
      </c>
      <c r="E15" s="19">
        <v>123.0</v>
      </c>
      <c r="F15" s="19">
        <v>132.0</v>
      </c>
      <c r="G15" s="19">
        <v>127.0</v>
      </c>
      <c r="H15" s="19">
        <v>130.0</v>
      </c>
      <c r="I15" s="19">
        <v>125.0</v>
      </c>
      <c r="J15" s="19">
        <v>146.0</v>
      </c>
      <c r="K15" s="19">
        <v>131.0</v>
      </c>
      <c r="L15" s="19">
        <v>139.0</v>
      </c>
      <c r="M15" s="19">
        <v>137.0</v>
      </c>
      <c r="N15" s="19">
        <v>131.0</v>
      </c>
      <c r="O15" s="19">
        <v>130.0</v>
      </c>
      <c r="P15" s="19">
        <v>133.0</v>
      </c>
      <c r="Q15" s="19">
        <v>128.0</v>
      </c>
      <c r="R15" s="19">
        <v>140.0</v>
      </c>
      <c r="S15" s="19">
        <v>136.0</v>
      </c>
      <c r="T15" s="19">
        <v>80.0</v>
      </c>
      <c r="U15" s="19">
        <v>116.0</v>
      </c>
      <c r="V15" s="19">
        <v>74.0</v>
      </c>
      <c r="W15" s="13">
        <f t="shared" si="1"/>
        <v>2258</v>
      </c>
    </row>
    <row r="16" ht="12.75" customHeight="1">
      <c r="A16" s="25"/>
      <c r="B16" s="21"/>
      <c r="C16" s="28"/>
      <c r="D16" s="13" t="s">
        <v>14</v>
      </c>
      <c r="E16" s="13">
        <f t="shared" ref="E16:V16" si="2">SUM(E14:E15)</f>
        <v>219</v>
      </c>
      <c r="F16" s="13">
        <f t="shared" si="2"/>
        <v>248</v>
      </c>
      <c r="G16" s="13">
        <f t="shared" si="2"/>
        <v>254</v>
      </c>
      <c r="H16" s="13">
        <f t="shared" si="2"/>
        <v>232</v>
      </c>
      <c r="I16" s="13">
        <f t="shared" si="2"/>
        <v>237</v>
      </c>
      <c r="J16" s="13">
        <f t="shared" si="2"/>
        <v>272</v>
      </c>
      <c r="K16" s="13">
        <f t="shared" si="2"/>
        <v>258</v>
      </c>
      <c r="L16" s="13">
        <f t="shared" si="2"/>
        <v>279</v>
      </c>
      <c r="M16" s="13">
        <f t="shared" si="2"/>
        <v>270</v>
      </c>
      <c r="N16" s="13">
        <f t="shared" si="2"/>
        <v>255</v>
      </c>
      <c r="O16" s="13">
        <f t="shared" si="2"/>
        <v>262</v>
      </c>
      <c r="P16" s="13">
        <f t="shared" si="2"/>
        <v>269</v>
      </c>
      <c r="Q16" s="13">
        <f t="shared" si="2"/>
        <v>259</v>
      </c>
      <c r="R16" s="13">
        <f t="shared" si="2"/>
        <v>273</v>
      </c>
      <c r="S16" s="13">
        <f t="shared" si="2"/>
        <v>276</v>
      </c>
      <c r="T16" s="13">
        <f t="shared" si="2"/>
        <v>164</v>
      </c>
      <c r="U16" s="13">
        <f t="shared" si="2"/>
        <v>226</v>
      </c>
      <c r="V16" s="13">
        <f t="shared" si="2"/>
        <v>143</v>
      </c>
      <c r="W16" s="13">
        <f t="shared" si="1"/>
        <v>4396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75.0</v>
      </c>
      <c r="F19" s="19">
        <v>91.0</v>
      </c>
      <c r="G19" s="19">
        <v>90.0</v>
      </c>
      <c r="H19" s="19">
        <v>87.0</v>
      </c>
      <c r="I19" s="19">
        <v>89.0</v>
      </c>
      <c r="J19" s="19">
        <v>93.0</v>
      </c>
      <c r="K19" s="19">
        <v>92.0</v>
      </c>
      <c r="L19" s="19">
        <v>111.0</v>
      </c>
      <c r="M19" s="19">
        <v>102.0</v>
      </c>
      <c r="N19" s="19">
        <v>83.0</v>
      </c>
      <c r="O19" s="19">
        <v>89.0</v>
      </c>
      <c r="P19" s="19">
        <v>94.0</v>
      </c>
      <c r="Q19" s="19">
        <v>86.0</v>
      </c>
      <c r="R19" s="19">
        <v>103.0</v>
      </c>
      <c r="S19" s="19">
        <v>108.0</v>
      </c>
      <c r="T19" s="19">
        <v>56.0</v>
      </c>
      <c r="U19" s="19">
        <v>88.0</v>
      </c>
      <c r="V19" s="19">
        <v>60.0</v>
      </c>
      <c r="W19" s="13">
        <f t="shared" ref="W19:W30" si="3">SUM(E19:V19)</f>
        <v>1597</v>
      </c>
    </row>
    <row r="20" ht="12.75" customHeight="1">
      <c r="A20" s="33"/>
      <c r="B20" s="27"/>
      <c r="C20" s="34"/>
      <c r="D20" s="19" t="s">
        <v>13</v>
      </c>
      <c r="E20" s="19">
        <v>104.0</v>
      </c>
      <c r="F20" s="19">
        <v>115.0</v>
      </c>
      <c r="G20" s="19">
        <v>107.0</v>
      </c>
      <c r="H20" s="19">
        <v>115.0</v>
      </c>
      <c r="I20" s="19">
        <v>108.0</v>
      </c>
      <c r="J20" s="19">
        <v>127.0</v>
      </c>
      <c r="K20" s="19">
        <v>105.0</v>
      </c>
      <c r="L20" s="19">
        <v>120.0</v>
      </c>
      <c r="M20" s="19">
        <v>111.0</v>
      </c>
      <c r="N20" s="19">
        <v>104.0</v>
      </c>
      <c r="O20" s="19">
        <v>113.0</v>
      </c>
      <c r="P20" s="19">
        <v>114.0</v>
      </c>
      <c r="Q20" s="19">
        <v>105.0</v>
      </c>
      <c r="R20" s="19">
        <v>119.0</v>
      </c>
      <c r="S20" s="19">
        <v>106.0</v>
      </c>
      <c r="T20" s="19">
        <v>67.0</v>
      </c>
      <c r="U20" s="19">
        <v>100.0</v>
      </c>
      <c r="V20" s="19">
        <v>68.0</v>
      </c>
      <c r="W20" s="13">
        <f t="shared" si="3"/>
        <v>1908</v>
      </c>
    </row>
    <row r="21" ht="12.75" customHeight="1">
      <c r="A21" s="35"/>
      <c r="B21" s="28"/>
      <c r="C21" s="36"/>
      <c r="D21" s="13" t="s">
        <v>14</v>
      </c>
      <c r="E21" s="13">
        <f t="shared" ref="E21:V21" si="4">SUM(E19:E20)</f>
        <v>179</v>
      </c>
      <c r="F21" s="13">
        <f t="shared" si="4"/>
        <v>206</v>
      </c>
      <c r="G21" s="13">
        <f t="shared" si="4"/>
        <v>197</v>
      </c>
      <c r="H21" s="13">
        <f t="shared" si="4"/>
        <v>202</v>
      </c>
      <c r="I21" s="13">
        <f t="shared" si="4"/>
        <v>197</v>
      </c>
      <c r="J21" s="13">
        <f t="shared" si="4"/>
        <v>220</v>
      </c>
      <c r="K21" s="13">
        <f t="shared" si="4"/>
        <v>197</v>
      </c>
      <c r="L21" s="13">
        <f t="shared" si="4"/>
        <v>231</v>
      </c>
      <c r="M21" s="13">
        <f t="shared" si="4"/>
        <v>213</v>
      </c>
      <c r="N21" s="13">
        <f t="shared" si="4"/>
        <v>187</v>
      </c>
      <c r="O21" s="13">
        <f t="shared" si="4"/>
        <v>202</v>
      </c>
      <c r="P21" s="13">
        <f t="shared" si="4"/>
        <v>208</v>
      </c>
      <c r="Q21" s="13">
        <f t="shared" si="4"/>
        <v>191</v>
      </c>
      <c r="R21" s="13">
        <f t="shared" si="4"/>
        <v>222</v>
      </c>
      <c r="S21" s="13">
        <f t="shared" si="4"/>
        <v>214</v>
      </c>
      <c r="T21" s="13">
        <f t="shared" si="4"/>
        <v>123</v>
      </c>
      <c r="U21" s="13">
        <f t="shared" si="4"/>
        <v>188</v>
      </c>
      <c r="V21" s="13">
        <f t="shared" si="4"/>
        <v>128</v>
      </c>
      <c r="W21" s="13">
        <f t="shared" si="3"/>
        <v>3505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3.0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0.0</v>
      </c>
      <c r="M22" s="19">
        <v>1.0</v>
      </c>
      <c r="N22" s="19">
        <v>0.0</v>
      </c>
      <c r="O22" s="19">
        <v>0.0</v>
      </c>
      <c r="P22" s="19">
        <v>2.0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3">
        <f t="shared" si="3"/>
        <v>7</v>
      </c>
    </row>
    <row r="23" ht="12.75" customHeight="1">
      <c r="A23" s="33"/>
      <c r="B23" s="27"/>
      <c r="C23" s="34"/>
      <c r="D23" s="19" t="s">
        <v>13</v>
      </c>
      <c r="E23" s="19">
        <v>2.0</v>
      </c>
      <c r="F23" s="19">
        <v>1.0</v>
      </c>
      <c r="G23" s="19">
        <v>0.0</v>
      </c>
      <c r="H23" s="19">
        <v>1.0</v>
      </c>
      <c r="I23" s="19">
        <v>0.0</v>
      </c>
      <c r="J23" s="19">
        <v>2.0</v>
      </c>
      <c r="K23" s="19">
        <v>1.0</v>
      </c>
      <c r="L23" s="19">
        <v>1.0</v>
      </c>
      <c r="M23" s="19">
        <v>0.0</v>
      </c>
      <c r="N23" s="19">
        <v>1.0</v>
      </c>
      <c r="O23" s="19">
        <v>0.0</v>
      </c>
      <c r="P23" s="19">
        <v>1.0</v>
      </c>
      <c r="Q23" s="19">
        <v>1.0</v>
      </c>
      <c r="R23" s="19">
        <v>0.0</v>
      </c>
      <c r="S23" s="19">
        <v>0.0</v>
      </c>
      <c r="T23" s="19">
        <v>0.0</v>
      </c>
      <c r="U23" s="19">
        <v>2.0</v>
      </c>
      <c r="V23" s="19">
        <v>0.0</v>
      </c>
      <c r="W23" s="13">
        <f t="shared" si="3"/>
        <v>13</v>
      </c>
    </row>
    <row r="24" ht="12.75" customHeight="1">
      <c r="A24" s="35"/>
      <c r="B24" s="28"/>
      <c r="C24" s="36"/>
      <c r="D24" s="13" t="s">
        <v>14</v>
      </c>
      <c r="E24" s="13">
        <f t="shared" ref="E24:V24" si="5">SUM(E22:E23)</f>
        <v>5</v>
      </c>
      <c r="F24" s="13">
        <f t="shared" si="5"/>
        <v>1</v>
      </c>
      <c r="G24" s="13">
        <f t="shared" si="5"/>
        <v>0</v>
      </c>
      <c r="H24" s="13">
        <f t="shared" si="5"/>
        <v>1</v>
      </c>
      <c r="I24" s="13">
        <f t="shared" si="5"/>
        <v>0</v>
      </c>
      <c r="J24" s="13">
        <f t="shared" si="5"/>
        <v>3</v>
      </c>
      <c r="K24" s="13">
        <f t="shared" si="5"/>
        <v>1</v>
      </c>
      <c r="L24" s="13">
        <f t="shared" si="5"/>
        <v>1</v>
      </c>
      <c r="M24" s="13">
        <f t="shared" si="5"/>
        <v>1</v>
      </c>
      <c r="N24" s="13">
        <f t="shared" si="5"/>
        <v>1</v>
      </c>
      <c r="O24" s="13">
        <f t="shared" si="5"/>
        <v>0</v>
      </c>
      <c r="P24" s="13">
        <f t="shared" si="5"/>
        <v>3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2</v>
      </c>
      <c r="V24" s="13">
        <f t="shared" si="5"/>
        <v>0</v>
      </c>
      <c r="W24" s="13">
        <f t="shared" si="3"/>
        <v>20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4.0</v>
      </c>
      <c r="F25" s="19">
        <v>2.0</v>
      </c>
      <c r="G25" s="19">
        <v>0.0</v>
      </c>
      <c r="H25" s="19">
        <v>1.0</v>
      </c>
      <c r="I25" s="19">
        <v>2.0</v>
      </c>
      <c r="J25" s="19">
        <v>2.0</v>
      </c>
      <c r="K25" s="19">
        <v>1.0</v>
      </c>
      <c r="L25" s="19">
        <v>1.0</v>
      </c>
      <c r="M25" s="19">
        <v>0.0</v>
      </c>
      <c r="N25" s="19">
        <v>0.0</v>
      </c>
      <c r="O25" s="19">
        <v>0.0</v>
      </c>
      <c r="P25" s="19">
        <v>2.0</v>
      </c>
      <c r="Q25" s="19">
        <v>1.0</v>
      </c>
      <c r="R25" s="19">
        <v>0.0</v>
      </c>
      <c r="S25" s="19">
        <v>0.0</v>
      </c>
      <c r="T25" s="19">
        <v>1.0</v>
      </c>
      <c r="U25" s="19">
        <v>2.0</v>
      </c>
      <c r="V25" s="19">
        <v>1.0</v>
      </c>
      <c r="W25" s="13">
        <f t="shared" si="3"/>
        <v>20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1.0</v>
      </c>
      <c r="H26" s="19">
        <v>1.0</v>
      </c>
      <c r="I26" s="19">
        <v>0.0</v>
      </c>
      <c r="J26" s="19">
        <v>0.0</v>
      </c>
      <c r="K26" s="19">
        <v>2.0</v>
      </c>
      <c r="L26" s="19">
        <v>2.0</v>
      </c>
      <c r="M26" s="19">
        <v>0.0</v>
      </c>
      <c r="N26" s="19">
        <v>3.0</v>
      </c>
      <c r="O26" s="19">
        <v>0.0</v>
      </c>
      <c r="P26" s="19">
        <v>1.0</v>
      </c>
      <c r="Q26" s="19">
        <v>2.0</v>
      </c>
      <c r="R26" s="19">
        <v>0.0</v>
      </c>
      <c r="S26" s="19">
        <v>0.0</v>
      </c>
      <c r="T26" s="19">
        <v>0.0</v>
      </c>
      <c r="U26" s="19">
        <v>2.0</v>
      </c>
      <c r="V26" s="19">
        <v>1.0</v>
      </c>
      <c r="W26" s="13">
        <f t="shared" si="3"/>
        <v>15</v>
      </c>
    </row>
    <row r="27" ht="12.75" customHeight="1">
      <c r="A27" s="35"/>
      <c r="B27" s="28"/>
      <c r="C27" s="36"/>
      <c r="D27" s="13" t="s">
        <v>14</v>
      </c>
      <c r="E27" s="13">
        <f t="shared" ref="E27:V27" si="6">SUM(E25:E26)</f>
        <v>4</v>
      </c>
      <c r="F27" s="13">
        <f t="shared" si="6"/>
        <v>2</v>
      </c>
      <c r="G27" s="13">
        <f t="shared" si="6"/>
        <v>1</v>
      </c>
      <c r="H27" s="13">
        <f t="shared" si="6"/>
        <v>2</v>
      </c>
      <c r="I27" s="13">
        <f t="shared" si="6"/>
        <v>2</v>
      </c>
      <c r="J27" s="13">
        <f t="shared" si="6"/>
        <v>2</v>
      </c>
      <c r="K27" s="13">
        <f t="shared" si="6"/>
        <v>3</v>
      </c>
      <c r="L27" s="13">
        <f t="shared" si="6"/>
        <v>3</v>
      </c>
      <c r="M27" s="13">
        <f t="shared" si="6"/>
        <v>0</v>
      </c>
      <c r="N27" s="13">
        <f t="shared" si="6"/>
        <v>3</v>
      </c>
      <c r="O27" s="13">
        <f t="shared" si="6"/>
        <v>0</v>
      </c>
      <c r="P27" s="13">
        <f t="shared" si="6"/>
        <v>3</v>
      </c>
      <c r="Q27" s="13">
        <f t="shared" si="6"/>
        <v>3</v>
      </c>
      <c r="R27" s="13">
        <f t="shared" si="6"/>
        <v>0</v>
      </c>
      <c r="S27" s="13">
        <f t="shared" si="6"/>
        <v>0</v>
      </c>
      <c r="T27" s="13">
        <f t="shared" si="6"/>
        <v>1</v>
      </c>
      <c r="U27" s="13">
        <f t="shared" si="6"/>
        <v>4</v>
      </c>
      <c r="V27" s="13">
        <f t="shared" si="6"/>
        <v>2</v>
      </c>
      <c r="W27" s="13">
        <f t="shared" si="3"/>
        <v>35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V28" si="7">SUM(E19,E22,E25)</f>
        <v>82</v>
      </c>
      <c r="F28" s="13">
        <f t="shared" si="7"/>
        <v>93</v>
      </c>
      <c r="G28" s="13">
        <f t="shared" si="7"/>
        <v>90</v>
      </c>
      <c r="H28" s="13">
        <f t="shared" si="7"/>
        <v>88</v>
      </c>
      <c r="I28" s="13">
        <f t="shared" si="7"/>
        <v>91</v>
      </c>
      <c r="J28" s="13">
        <f t="shared" si="7"/>
        <v>96</v>
      </c>
      <c r="K28" s="13">
        <f t="shared" si="7"/>
        <v>93</v>
      </c>
      <c r="L28" s="13">
        <f t="shared" si="7"/>
        <v>112</v>
      </c>
      <c r="M28" s="13">
        <f t="shared" si="7"/>
        <v>103</v>
      </c>
      <c r="N28" s="13">
        <f t="shared" si="7"/>
        <v>83</v>
      </c>
      <c r="O28" s="13">
        <f t="shared" si="7"/>
        <v>89</v>
      </c>
      <c r="P28" s="13">
        <f t="shared" si="7"/>
        <v>98</v>
      </c>
      <c r="Q28" s="13">
        <f t="shared" si="7"/>
        <v>87</v>
      </c>
      <c r="R28" s="13">
        <f t="shared" si="7"/>
        <v>103</v>
      </c>
      <c r="S28" s="13">
        <f t="shared" si="7"/>
        <v>108</v>
      </c>
      <c r="T28" s="13">
        <f t="shared" si="7"/>
        <v>57</v>
      </c>
      <c r="U28" s="13">
        <f t="shared" si="7"/>
        <v>90</v>
      </c>
      <c r="V28" s="13">
        <f t="shared" si="7"/>
        <v>61</v>
      </c>
      <c r="W28" s="13">
        <f t="shared" si="3"/>
        <v>1624</v>
      </c>
    </row>
    <row r="29" ht="12.75" customHeight="1">
      <c r="A29" s="35"/>
      <c r="B29" s="27"/>
      <c r="C29" s="34"/>
      <c r="D29" s="13" t="s">
        <v>13</v>
      </c>
      <c r="E29" s="13">
        <f t="shared" ref="E29:V29" si="8">SUM(E20,E23,E26)</f>
        <v>106</v>
      </c>
      <c r="F29" s="13">
        <f t="shared" si="8"/>
        <v>116</v>
      </c>
      <c r="G29" s="13">
        <f t="shared" si="8"/>
        <v>108</v>
      </c>
      <c r="H29" s="13">
        <f t="shared" si="8"/>
        <v>117</v>
      </c>
      <c r="I29" s="13">
        <f t="shared" si="8"/>
        <v>108</v>
      </c>
      <c r="J29" s="13">
        <f t="shared" si="8"/>
        <v>129</v>
      </c>
      <c r="K29" s="13">
        <f t="shared" si="8"/>
        <v>108</v>
      </c>
      <c r="L29" s="13">
        <f t="shared" si="8"/>
        <v>123</v>
      </c>
      <c r="M29" s="13">
        <f t="shared" si="8"/>
        <v>111</v>
      </c>
      <c r="N29" s="13">
        <f t="shared" si="8"/>
        <v>108</v>
      </c>
      <c r="O29" s="13">
        <f t="shared" si="8"/>
        <v>113</v>
      </c>
      <c r="P29" s="13">
        <f t="shared" si="8"/>
        <v>116</v>
      </c>
      <c r="Q29" s="13">
        <f t="shared" si="8"/>
        <v>108</v>
      </c>
      <c r="R29" s="13">
        <f t="shared" si="8"/>
        <v>119</v>
      </c>
      <c r="S29" s="13">
        <f t="shared" si="8"/>
        <v>106</v>
      </c>
      <c r="T29" s="13">
        <f t="shared" si="8"/>
        <v>67</v>
      </c>
      <c r="U29" s="13">
        <f t="shared" si="8"/>
        <v>104</v>
      </c>
      <c r="V29" s="13">
        <f t="shared" si="8"/>
        <v>69</v>
      </c>
      <c r="W29" s="13">
        <f t="shared" si="3"/>
        <v>1936</v>
      </c>
    </row>
    <row r="30" ht="12.75" customHeight="1">
      <c r="A30" s="35"/>
      <c r="B30" s="28"/>
      <c r="C30" s="36"/>
      <c r="D30" s="13" t="s">
        <v>14</v>
      </c>
      <c r="E30" s="13">
        <f t="shared" ref="E30:V30" si="9">SUM(E28:E29)</f>
        <v>188</v>
      </c>
      <c r="F30" s="13">
        <f t="shared" si="9"/>
        <v>209</v>
      </c>
      <c r="G30" s="13">
        <f t="shared" si="9"/>
        <v>198</v>
      </c>
      <c r="H30" s="13">
        <f t="shared" si="9"/>
        <v>205</v>
      </c>
      <c r="I30" s="13">
        <f t="shared" si="9"/>
        <v>199</v>
      </c>
      <c r="J30" s="13">
        <f t="shared" si="9"/>
        <v>225</v>
      </c>
      <c r="K30" s="13">
        <f t="shared" si="9"/>
        <v>201</v>
      </c>
      <c r="L30" s="13">
        <f t="shared" si="9"/>
        <v>235</v>
      </c>
      <c r="M30" s="13">
        <f t="shared" si="9"/>
        <v>214</v>
      </c>
      <c r="N30" s="13">
        <f t="shared" si="9"/>
        <v>191</v>
      </c>
      <c r="O30" s="13">
        <f t="shared" si="9"/>
        <v>202</v>
      </c>
      <c r="P30" s="13">
        <f t="shared" si="9"/>
        <v>214</v>
      </c>
      <c r="Q30" s="13">
        <f t="shared" si="9"/>
        <v>195</v>
      </c>
      <c r="R30" s="13">
        <f t="shared" si="9"/>
        <v>222</v>
      </c>
      <c r="S30" s="13">
        <f t="shared" si="9"/>
        <v>214</v>
      </c>
      <c r="T30" s="13">
        <f t="shared" si="9"/>
        <v>124</v>
      </c>
      <c r="U30" s="13">
        <f t="shared" si="9"/>
        <v>194</v>
      </c>
      <c r="V30" s="13">
        <f t="shared" si="9"/>
        <v>130</v>
      </c>
      <c r="W30" s="13">
        <f t="shared" si="3"/>
        <v>3560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76"/>
    </row>
    <row r="33" ht="12.75" customHeight="1">
      <c r="A33" s="19">
        <v>1.0</v>
      </c>
      <c r="B33" s="20" t="s">
        <v>27</v>
      </c>
      <c r="C33" s="15"/>
      <c r="D33" s="16"/>
      <c r="E33" s="19">
        <v>224.0</v>
      </c>
      <c r="F33" s="19">
        <v>253.0</v>
      </c>
      <c r="G33" s="19">
        <v>260.0</v>
      </c>
      <c r="H33" s="19">
        <v>237.0</v>
      </c>
      <c r="I33" s="19">
        <v>242.0</v>
      </c>
      <c r="J33" s="19">
        <v>278.0</v>
      </c>
      <c r="K33" s="19">
        <v>264.0</v>
      </c>
      <c r="L33" s="19">
        <v>285.0</v>
      </c>
      <c r="M33" s="19">
        <v>276.0</v>
      </c>
      <c r="N33" s="19">
        <v>261.0</v>
      </c>
      <c r="O33" s="19">
        <v>268.0</v>
      </c>
      <c r="P33" s="19">
        <v>275.0</v>
      </c>
      <c r="Q33" s="19">
        <v>265.0</v>
      </c>
      <c r="R33" s="19">
        <v>279.0</v>
      </c>
      <c r="S33" s="19">
        <v>282.0</v>
      </c>
      <c r="T33" s="19">
        <v>179.0</v>
      </c>
      <c r="U33" s="19">
        <v>231.0</v>
      </c>
      <c r="V33" s="19">
        <v>146.0</v>
      </c>
      <c r="W33" s="13">
        <f t="shared" ref="W33:W36" si="10">SUM(E33:V33)</f>
        <v>4505</v>
      </c>
    </row>
    <row r="34" ht="12.75" customHeight="1">
      <c r="A34" s="19">
        <v>2.0</v>
      </c>
      <c r="B34" s="20" t="s">
        <v>28</v>
      </c>
      <c r="C34" s="15"/>
      <c r="D34" s="16"/>
      <c r="E34" s="13">
        <v>188.0</v>
      </c>
      <c r="F34" s="13">
        <v>209.0</v>
      </c>
      <c r="G34" s="13">
        <v>198.0</v>
      </c>
      <c r="H34" s="13">
        <v>205.0</v>
      </c>
      <c r="I34" s="13">
        <v>199.0</v>
      </c>
      <c r="J34" s="13">
        <v>225.0</v>
      </c>
      <c r="K34" s="13">
        <v>201.0</v>
      </c>
      <c r="L34" s="13">
        <v>235.0</v>
      </c>
      <c r="M34" s="13">
        <v>214.0</v>
      </c>
      <c r="N34" s="13">
        <v>191.0</v>
      </c>
      <c r="O34" s="13">
        <v>202.0</v>
      </c>
      <c r="P34" s="13">
        <v>214.0</v>
      </c>
      <c r="Q34" s="13">
        <v>195.0</v>
      </c>
      <c r="R34" s="13">
        <v>222.0</v>
      </c>
      <c r="S34" s="13">
        <v>214.0</v>
      </c>
      <c r="T34" s="13">
        <v>124.0</v>
      </c>
      <c r="U34" s="13">
        <v>194.0</v>
      </c>
      <c r="V34" s="13">
        <v>130.0</v>
      </c>
      <c r="W34" s="13">
        <f t="shared" si="10"/>
        <v>3560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2.0</v>
      </c>
      <c r="I35" s="19">
        <v>2.0</v>
      </c>
      <c r="J35" s="19">
        <v>0.0</v>
      </c>
      <c r="K35" s="19">
        <v>1.0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2.0</v>
      </c>
      <c r="R35" s="19">
        <v>0.0</v>
      </c>
      <c r="S35" s="19">
        <v>1.0</v>
      </c>
      <c r="T35" s="19">
        <v>0.0</v>
      </c>
      <c r="U35" s="19">
        <v>0.0</v>
      </c>
      <c r="V35" s="19">
        <v>1.0</v>
      </c>
      <c r="W35" s="13">
        <f t="shared" si="10"/>
        <v>10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V36" si="11">E33-(E34+E35)</f>
        <v>36</v>
      </c>
      <c r="F36" s="13">
        <f t="shared" si="11"/>
        <v>44</v>
      </c>
      <c r="G36" s="13">
        <f t="shared" si="11"/>
        <v>61</v>
      </c>
      <c r="H36" s="13">
        <f t="shared" si="11"/>
        <v>30</v>
      </c>
      <c r="I36" s="13">
        <f t="shared" si="11"/>
        <v>41</v>
      </c>
      <c r="J36" s="13">
        <f t="shared" si="11"/>
        <v>53</v>
      </c>
      <c r="K36" s="13">
        <f t="shared" si="11"/>
        <v>62</v>
      </c>
      <c r="L36" s="13">
        <f t="shared" si="11"/>
        <v>50</v>
      </c>
      <c r="M36" s="13">
        <f t="shared" si="11"/>
        <v>62</v>
      </c>
      <c r="N36" s="13">
        <f t="shared" si="11"/>
        <v>70</v>
      </c>
      <c r="O36" s="13">
        <f t="shared" si="11"/>
        <v>66</v>
      </c>
      <c r="P36" s="13">
        <f t="shared" si="11"/>
        <v>61</v>
      </c>
      <c r="Q36" s="13">
        <f t="shared" si="11"/>
        <v>68</v>
      </c>
      <c r="R36" s="13">
        <f t="shared" si="11"/>
        <v>57</v>
      </c>
      <c r="S36" s="13">
        <f t="shared" si="11"/>
        <v>67</v>
      </c>
      <c r="T36" s="13">
        <f t="shared" si="11"/>
        <v>55</v>
      </c>
      <c r="U36" s="13">
        <f t="shared" si="11"/>
        <v>37</v>
      </c>
      <c r="V36" s="13">
        <f t="shared" si="11"/>
        <v>15</v>
      </c>
      <c r="W36" s="13">
        <f t="shared" si="10"/>
        <v>935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6"/>
      <c r="R37" s="19"/>
      <c r="S37" s="19"/>
      <c r="T37" s="19"/>
      <c r="U37" s="19"/>
      <c r="V37" s="19"/>
      <c r="W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76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1.0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3.0</v>
      </c>
      <c r="M39" s="19">
        <v>0.0</v>
      </c>
      <c r="N39" s="19">
        <v>3.0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3">
        <f t="shared" ref="W39:W41" si="12">SUM(E39:V39)</f>
        <v>7</v>
      </c>
    </row>
    <row r="40" ht="12.75" customHeight="1">
      <c r="A40" s="33"/>
      <c r="C40" s="27"/>
      <c r="D40" s="19" t="s">
        <v>13</v>
      </c>
      <c r="E40" s="19">
        <v>0.0</v>
      </c>
      <c r="F40" s="19">
        <v>1.0</v>
      </c>
      <c r="G40" s="19">
        <v>0.0</v>
      </c>
      <c r="H40" s="19">
        <v>0.0</v>
      </c>
      <c r="I40" s="19">
        <v>0.0</v>
      </c>
      <c r="J40" s="19">
        <v>5.0</v>
      </c>
      <c r="K40" s="19">
        <v>1.0</v>
      </c>
      <c r="L40" s="19">
        <v>1.0</v>
      </c>
      <c r="M40" s="19">
        <v>0.0</v>
      </c>
      <c r="N40" s="19">
        <v>4.0</v>
      </c>
      <c r="O40" s="19">
        <v>3.0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3">
        <f t="shared" si="12"/>
        <v>15</v>
      </c>
    </row>
    <row r="41" ht="12.75" customHeight="1">
      <c r="A41" s="41"/>
      <c r="B41" s="44"/>
      <c r="C41" s="28"/>
      <c r="D41" s="13" t="s">
        <v>14</v>
      </c>
      <c r="E41" s="13">
        <f t="shared" ref="E41:V41" si="13">SUM(E39:E40)</f>
        <v>0</v>
      </c>
      <c r="F41" s="13">
        <f t="shared" si="13"/>
        <v>2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5</v>
      </c>
      <c r="K41" s="13">
        <f t="shared" si="13"/>
        <v>1</v>
      </c>
      <c r="L41" s="13">
        <f t="shared" si="13"/>
        <v>4</v>
      </c>
      <c r="M41" s="13">
        <f t="shared" si="13"/>
        <v>0</v>
      </c>
      <c r="N41" s="13">
        <f t="shared" si="13"/>
        <v>7</v>
      </c>
      <c r="O41" s="13">
        <f t="shared" si="13"/>
        <v>3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2"/>
        <v>22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6"/>
      <c r="R42" s="19"/>
      <c r="S42" s="19"/>
      <c r="T42" s="19"/>
      <c r="U42" s="19"/>
      <c r="V42" s="19"/>
      <c r="W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5.0</v>
      </c>
      <c r="F45" s="19">
        <v>1.0</v>
      </c>
      <c r="G45" s="19">
        <v>1.0</v>
      </c>
      <c r="H45" s="19">
        <v>0.0</v>
      </c>
      <c r="I45" s="19">
        <v>4.0</v>
      </c>
      <c r="J45" s="19">
        <v>4.0</v>
      </c>
      <c r="K45" s="19">
        <v>4.0</v>
      </c>
      <c r="L45" s="19">
        <v>4.0</v>
      </c>
      <c r="M45" s="19">
        <v>6.0</v>
      </c>
      <c r="N45" s="19">
        <v>3.0</v>
      </c>
      <c r="O45" s="19">
        <v>5.0</v>
      </c>
      <c r="P45" s="19">
        <v>3.0</v>
      </c>
      <c r="Q45" s="19">
        <v>3.0</v>
      </c>
      <c r="R45" s="19">
        <v>1.0</v>
      </c>
      <c r="S45" s="19">
        <v>7.0</v>
      </c>
      <c r="T45" s="19">
        <v>3.0</v>
      </c>
      <c r="U45" s="19">
        <v>3.0</v>
      </c>
      <c r="V45" s="19">
        <v>3.0</v>
      </c>
      <c r="W45" s="13">
        <f t="shared" ref="W45:W54" si="14">SUM(E45:V45)</f>
        <v>60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19.0</v>
      </c>
      <c r="F46" s="19">
        <v>5.0</v>
      </c>
      <c r="G46" s="19">
        <v>4.0</v>
      </c>
      <c r="H46" s="19">
        <v>18.0</v>
      </c>
      <c r="I46" s="19">
        <v>37.0</v>
      </c>
      <c r="J46" s="19">
        <v>17.0</v>
      </c>
      <c r="K46" s="19">
        <v>15.0</v>
      </c>
      <c r="L46" s="19">
        <v>20.0</v>
      </c>
      <c r="M46" s="19">
        <v>35.0</v>
      </c>
      <c r="N46" s="19">
        <v>15.0</v>
      </c>
      <c r="O46" s="19">
        <v>16.0</v>
      </c>
      <c r="P46" s="19">
        <v>15.0</v>
      </c>
      <c r="Q46" s="19">
        <v>6.0</v>
      </c>
      <c r="R46" s="19">
        <v>5.0</v>
      </c>
      <c r="S46" s="19">
        <v>9.0</v>
      </c>
      <c r="T46" s="19">
        <v>10.0</v>
      </c>
      <c r="U46" s="19">
        <v>0.0</v>
      </c>
      <c r="V46" s="19">
        <v>0.0</v>
      </c>
      <c r="W46" s="13">
        <f t="shared" si="14"/>
        <v>246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2.0</v>
      </c>
      <c r="G47" s="19">
        <v>0.0</v>
      </c>
      <c r="H47" s="19">
        <v>0.0</v>
      </c>
      <c r="I47" s="19">
        <v>0.0</v>
      </c>
      <c r="J47" s="19">
        <v>1.0</v>
      </c>
      <c r="K47" s="19">
        <v>1.0</v>
      </c>
      <c r="L47" s="19">
        <v>1.0</v>
      </c>
      <c r="M47" s="19">
        <v>0.0</v>
      </c>
      <c r="N47" s="19">
        <v>3.0</v>
      </c>
      <c r="O47" s="19">
        <v>0.0</v>
      </c>
      <c r="P47" s="19">
        <v>2.0</v>
      </c>
      <c r="Q47" s="19">
        <v>0.0</v>
      </c>
      <c r="R47" s="19">
        <v>0.0</v>
      </c>
      <c r="S47" s="19">
        <v>1.0</v>
      </c>
      <c r="T47" s="19">
        <v>0.0</v>
      </c>
      <c r="U47" s="19">
        <v>0.0</v>
      </c>
      <c r="V47" s="19">
        <v>1.0</v>
      </c>
      <c r="W47" s="13">
        <f t="shared" si="14"/>
        <v>13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0.0</v>
      </c>
      <c r="H48" s="19">
        <v>2.0</v>
      </c>
      <c r="I48" s="19">
        <v>1.0</v>
      </c>
      <c r="J48" s="19">
        <v>1.0</v>
      </c>
      <c r="K48" s="19">
        <v>1.0</v>
      </c>
      <c r="L48" s="19">
        <v>0.0</v>
      </c>
      <c r="M48" s="19">
        <v>3.0</v>
      </c>
      <c r="N48" s="19">
        <v>3.0</v>
      </c>
      <c r="O48" s="19">
        <v>2.0</v>
      </c>
      <c r="P48" s="19">
        <v>0.0</v>
      </c>
      <c r="Q48" s="19">
        <v>0.0</v>
      </c>
      <c r="R48" s="19">
        <v>0.0</v>
      </c>
      <c r="S48" s="19">
        <v>1.0</v>
      </c>
      <c r="T48" s="19">
        <v>0.0</v>
      </c>
      <c r="U48" s="19">
        <v>3.0</v>
      </c>
      <c r="V48" s="19">
        <v>0.0</v>
      </c>
      <c r="W48" s="13">
        <f t="shared" si="14"/>
        <v>17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1.0</v>
      </c>
      <c r="G49" s="19">
        <v>0.0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9">
        <v>1.0</v>
      </c>
      <c r="N49" s="19">
        <v>0.0</v>
      </c>
      <c r="O49" s="19">
        <v>2.0</v>
      </c>
      <c r="P49" s="19">
        <v>0.0</v>
      </c>
      <c r="Q49" s="19">
        <v>0.0</v>
      </c>
      <c r="R49" s="19">
        <v>0.0</v>
      </c>
      <c r="S49" s="19">
        <v>0.0</v>
      </c>
      <c r="T49" s="19">
        <v>0.0</v>
      </c>
      <c r="U49" s="19">
        <v>0.0</v>
      </c>
      <c r="V49" s="19">
        <v>0.0</v>
      </c>
      <c r="W49" s="13">
        <f t="shared" si="14"/>
        <v>4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2.0</v>
      </c>
      <c r="K50" s="19">
        <v>0.0</v>
      </c>
      <c r="L50" s="19">
        <v>0.0</v>
      </c>
      <c r="M50" s="19">
        <v>0.0</v>
      </c>
      <c r="N50" s="19">
        <v>1.0</v>
      </c>
      <c r="O50" s="19">
        <v>1.0</v>
      </c>
      <c r="P50" s="19">
        <v>0.0</v>
      </c>
      <c r="Q50" s="19">
        <v>0.0</v>
      </c>
      <c r="R50" s="19">
        <v>0.0</v>
      </c>
      <c r="S50" s="19">
        <v>0.0</v>
      </c>
      <c r="T50" s="19">
        <v>0.0</v>
      </c>
      <c r="U50" s="19">
        <v>0.0</v>
      </c>
      <c r="V50" s="19">
        <v>0.0</v>
      </c>
      <c r="W50" s="13">
        <f t="shared" si="14"/>
        <v>4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1.0</v>
      </c>
      <c r="H51" s="19">
        <v>1.0</v>
      </c>
      <c r="I51" s="19">
        <v>0.0</v>
      </c>
      <c r="J51" s="19">
        <v>0.0</v>
      </c>
      <c r="K51" s="19">
        <v>0.0</v>
      </c>
      <c r="L51" s="19">
        <v>1.0</v>
      </c>
      <c r="M51" s="19">
        <v>1.0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3">
        <f t="shared" si="14"/>
        <v>4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3">
        <f t="shared" si="14"/>
        <v>0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W55" si="15">SUM(E45:E54)</f>
        <v>25</v>
      </c>
      <c r="F55" s="13">
        <f t="shared" si="15"/>
        <v>9</v>
      </c>
      <c r="G55" s="13">
        <f t="shared" si="15"/>
        <v>6</v>
      </c>
      <c r="H55" s="13">
        <f t="shared" si="15"/>
        <v>21</v>
      </c>
      <c r="I55" s="13">
        <f t="shared" si="15"/>
        <v>42</v>
      </c>
      <c r="J55" s="13">
        <f t="shared" si="15"/>
        <v>25</v>
      </c>
      <c r="K55" s="13">
        <f t="shared" si="15"/>
        <v>21</v>
      </c>
      <c r="L55" s="13">
        <f t="shared" si="15"/>
        <v>26</v>
      </c>
      <c r="M55" s="13">
        <f t="shared" si="15"/>
        <v>46</v>
      </c>
      <c r="N55" s="13">
        <f t="shared" si="15"/>
        <v>25</v>
      </c>
      <c r="O55" s="13">
        <f t="shared" si="15"/>
        <v>26</v>
      </c>
      <c r="P55" s="13">
        <f t="shared" si="15"/>
        <v>20</v>
      </c>
      <c r="Q55" s="13">
        <f t="shared" si="15"/>
        <v>9</v>
      </c>
      <c r="R55" s="13">
        <f t="shared" si="15"/>
        <v>6</v>
      </c>
      <c r="S55" s="13">
        <f t="shared" si="15"/>
        <v>18</v>
      </c>
      <c r="T55" s="13">
        <f t="shared" si="15"/>
        <v>13</v>
      </c>
      <c r="U55" s="13">
        <f t="shared" si="15"/>
        <v>6</v>
      </c>
      <c r="V55" s="13">
        <f t="shared" si="15"/>
        <v>4</v>
      </c>
      <c r="W55" s="13">
        <f t="shared" si="15"/>
        <v>348</v>
      </c>
    </row>
    <row r="56" ht="12.75" customHeight="1">
      <c r="A56" s="45"/>
      <c r="B56" s="44"/>
      <c r="C56" s="44"/>
      <c r="D56" s="44"/>
      <c r="E56" s="44"/>
      <c r="W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9.0</v>
      </c>
      <c r="F57" s="19">
        <v>1.0</v>
      </c>
      <c r="G57" s="19">
        <v>9.0</v>
      </c>
      <c r="H57" s="19">
        <v>5.0</v>
      </c>
      <c r="I57" s="19">
        <v>4.0</v>
      </c>
      <c r="J57" s="19">
        <v>2.0</v>
      </c>
      <c r="K57" s="19">
        <v>3.0</v>
      </c>
      <c r="L57" s="19">
        <v>7.0</v>
      </c>
      <c r="M57" s="19">
        <v>6.0</v>
      </c>
      <c r="N57" s="19">
        <v>7.0</v>
      </c>
      <c r="O57" s="19">
        <v>8.0</v>
      </c>
      <c r="P57" s="19">
        <v>9.0</v>
      </c>
      <c r="Q57" s="19">
        <v>6.0</v>
      </c>
      <c r="R57" s="19">
        <v>1.0</v>
      </c>
      <c r="S57" s="19">
        <v>4.0</v>
      </c>
      <c r="T57" s="19">
        <v>6.0</v>
      </c>
      <c r="U57" s="19">
        <v>13.0</v>
      </c>
      <c r="V57" s="19">
        <v>3.0</v>
      </c>
      <c r="W57" s="13">
        <f t="shared" ref="W57:W66" si="16">SUM(E57:V57)</f>
        <v>103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5.0</v>
      </c>
      <c r="F58" s="19">
        <v>6.0</v>
      </c>
      <c r="G58" s="19">
        <v>11.0</v>
      </c>
      <c r="H58" s="19">
        <v>14.0</v>
      </c>
      <c r="I58" s="19">
        <v>5.0</v>
      </c>
      <c r="J58" s="19">
        <v>7.0</v>
      </c>
      <c r="K58" s="19">
        <v>9.0</v>
      </c>
      <c r="L58" s="19">
        <v>1.0</v>
      </c>
      <c r="M58" s="19">
        <v>6.0</v>
      </c>
      <c r="N58" s="19">
        <v>4.0</v>
      </c>
      <c r="O58" s="19">
        <v>12.0</v>
      </c>
      <c r="P58" s="19">
        <v>8.0</v>
      </c>
      <c r="Q58" s="19">
        <v>1.0</v>
      </c>
      <c r="R58" s="19">
        <v>1.0</v>
      </c>
      <c r="S58" s="19">
        <v>2.0</v>
      </c>
      <c r="T58" s="19">
        <v>10.0</v>
      </c>
      <c r="U58" s="19">
        <v>2.0</v>
      </c>
      <c r="V58" s="19">
        <v>6.0</v>
      </c>
      <c r="W58" s="13">
        <f t="shared" si="16"/>
        <v>110</v>
      </c>
    </row>
    <row r="59" ht="12.75" customHeight="1">
      <c r="A59" s="18"/>
      <c r="B59" s="55">
        <v>2.0</v>
      </c>
      <c r="C59" s="50" t="s">
        <v>50</v>
      </c>
      <c r="D59" s="59"/>
      <c r="E59" s="19">
        <v>36.0</v>
      </c>
      <c r="F59" s="19">
        <v>74.0</v>
      </c>
      <c r="G59" s="19">
        <v>28.0</v>
      </c>
      <c r="H59" s="19">
        <v>39.0</v>
      </c>
      <c r="I59" s="19">
        <v>51.0</v>
      </c>
      <c r="J59" s="19">
        <v>17.0</v>
      </c>
      <c r="K59" s="19">
        <v>33.0</v>
      </c>
      <c r="L59" s="19">
        <v>66.0</v>
      </c>
      <c r="M59" s="19">
        <v>6.0</v>
      </c>
      <c r="N59" s="19">
        <v>3.0</v>
      </c>
      <c r="O59" s="19">
        <v>2.0</v>
      </c>
      <c r="P59" s="19">
        <v>1.0</v>
      </c>
      <c r="Q59" s="19">
        <v>1.0</v>
      </c>
      <c r="R59" s="19">
        <v>0.0</v>
      </c>
      <c r="S59" s="19">
        <v>3.0</v>
      </c>
      <c r="T59" s="19">
        <v>2.0</v>
      </c>
      <c r="U59" s="19">
        <v>1.0</v>
      </c>
      <c r="V59" s="19">
        <v>2.0</v>
      </c>
      <c r="W59" s="13">
        <f t="shared" si="16"/>
        <v>365</v>
      </c>
    </row>
    <row r="60" ht="12.75" customHeight="1">
      <c r="A60" s="18"/>
      <c r="B60" s="55">
        <v>3.0</v>
      </c>
      <c r="C60" s="50" t="s">
        <v>51</v>
      </c>
      <c r="D60" s="59"/>
      <c r="E60" s="19">
        <v>1.0</v>
      </c>
      <c r="F60" s="19">
        <v>1.0</v>
      </c>
      <c r="G60" s="19">
        <v>0.0</v>
      </c>
      <c r="H60" s="19">
        <v>0.0</v>
      </c>
      <c r="I60" s="19">
        <v>1.0</v>
      </c>
      <c r="J60" s="19">
        <v>0.0</v>
      </c>
      <c r="K60" s="19">
        <v>3.0</v>
      </c>
      <c r="L60" s="19">
        <v>0.0</v>
      </c>
      <c r="M60" s="19">
        <v>0.0</v>
      </c>
      <c r="N60" s="19">
        <v>1.0</v>
      </c>
      <c r="O60" s="19">
        <v>0.0</v>
      </c>
      <c r="P60" s="19">
        <v>0.0</v>
      </c>
      <c r="Q60" s="19">
        <v>1.0</v>
      </c>
      <c r="R60" s="19">
        <v>1.0</v>
      </c>
      <c r="S60" s="19">
        <v>0.0</v>
      </c>
      <c r="T60" s="19">
        <v>0.0</v>
      </c>
      <c r="U60" s="19">
        <v>0.0</v>
      </c>
      <c r="V60" s="19">
        <v>1.0</v>
      </c>
      <c r="W60" s="13">
        <f t="shared" si="16"/>
        <v>10</v>
      </c>
    </row>
    <row r="61" ht="12.75" customHeight="1">
      <c r="A61" s="18"/>
      <c r="B61" s="55">
        <v>4.0</v>
      </c>
      <c r="C61" s="50" t="s">
        <v>52</v>
      </c>
      <c r="D61" s="59"/>
      <c r="E61" s="19">
        <v>1.0</v>
      </c>
      <c r="F61" s="19">
        <v>0.0</v>
      </c>
      <c r="G61" s="19">
        <v>1.0</v>
      </c>
      <c r="H61" s="19">
        <v>2.0</v>
      </c>
      <c r="I61" s="19">
        <v>1.0</v>
      </c>
      <c r="J61" s="19">
        <v>1.0</v>
      </c>
      <c r="K61" s="19">
        <v>0.0</v>
      </c>
      <c r="L61" s="19">
        <v>0.0</v>
      </c>
      <c r="M61" s="19">
        <v>2.0</v>
      </c>
      <c r="N61" s="19">
        <v>1.0</v>
      </c>
      <c r="O61" s="19">
        <v>0.0</v>
      </c>
      <c r="P61" s="19">
        <v>1.0</v>
      </c>
      <c r="Q61" s="19">
        <v>0.0</v>
      </c>
      <c r="R61" s="19">
        <v>0.0</v>
      </c>
      <c r="S61" s="19">
        <v>0.0</v>
      </c>
      <c r="T61" s="19">
        <v>0.0</v>
      </c>
      <c r="U61" s="19">
        <v>0.0</v>
      </c>
      <c r="V61" s="19">
        <v>1.0</v>
      </c>
      <c r="W61" s="13">
        <f t="shared" si="16"/>
        <v>11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0.0</v>
      </c>
      <c r="G62" s="19">
        <v>0.0</v>
      </c>
      <c r="H62" s="19">
        <v>0.0</v>
      </c>
      <c r="I62" s="19">
        <v>1.0</v>
      </c>
      <c r="J62" s="19">
        <v>0.0</v>
      </c>
      <c r="K62" s="19">
        <v>1.0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1.0</v>
      </c>
      <c r="U62" s="19">
        <v>0.0</v>
      </c>
      <c r="V62" s="19">
        <v>0.0</v>
      </c>
      <c r="W62" s="13">
        <f t="shared" si="16"/>
        <v>3</v>
      </c>
    </row>
    <row r="63" ht="12.75" customHeight="1">
      <c r="A63" s="18"/>
      <c r="B63" s="55">
        <v>6.0</v>
      </c>
      <c r="C63" s="50" t="s">
        <v>54</v>
      </c>
      <c r="D63" s="60"/>
      <c r="E63" s="19">
        <v>0.0</v>
      </c>
      <c r="F63" s="19">
        <v>0.0</v>
      </c>
      <c r="G63" s="19">
        <v>1.0</v>
      </c>
      <c r="H63" s="19">
        <v>2.0</v>
      </c>
      <c r="I63" s="19">
        <v>0.0</v>
      </c>
      <c r="J63" s="19">
        <v>0.0</v>
      </c>
      <c r="K63" s="19">
        <v>0.0</v>
      </c>
      <c r="L63" s="19">
        <v>1.0</v>
      </c>
      <c r="M63" s="19">
        <v>0.0</v>
      </c>
      <c r="N63" s="19">
        <v>0.0</v>
      </c>
      <c r="O63" s="19">
        <v>0.0</v>
      </c>
      <c r="P63" s="19">
        <v>2.0</v>
      </c>
      <c r="Q63" s="19">
        <v>0.0</v>
      </c>
      <c r="R63" s="19">
        <v>0.0</v>
      </c>
      <c r="S63" s="19">
        <v>0.0</v>
      </c>
      <c r="T63" s="19">
        <v>1.0</v>
      </c>
      <c r="U63" s="19">
        <v>0.0</v>
      </c>
      <c r="V63" s="19">
        <v>1.0</v>
      </c>
      <c r="W63" s="13">
        <f t="shared" si="16"/>
        <v>8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1.0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0.0</v>
      </c>
      <c r="U64" s="19">
        <v>0.0</v>
      </c>
      <c r="V64" s="19">
        <v>0.0</v>
      </c>
      <c r="W64" s="13">
        <f t="shared" si="16"/>
        <v>1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W67" si="17">SUM(E57:E66)</f>
        <v>52</v>
      </c>
      <c r="F67" s="13">
        <f t="shared" si="17"/>
        <v>82</v>
      </c>
      <c r="G67" s="13">
        <f t="shared" si="17"/>
        <v>50</v>
      </c>
      <c r="H67" s="13">
        <f t="shared" si="17"/>
        <v>62</v>
      </c>
      <c r="I67" s="13">
        <f t="shared" si="17"/>
        <v>63</v>
      </c>
      <c r="J67" s="13">
        <f t="shared" si="17"/>
        <v>27</v>
      </c>
      <c r="K67" s="13">
        <f t="shared" si="17"/>
        <v>49</v>
      </c>
      <c r="L67" s="13">
        <f t="shared" si="17"/>
        <v>75</v>
      </c>
      <c r="M67" s="13">
        <f t="shared" si="17"/>
        <v>21</v>
      </c>
      <c r="N67" s="13">
        <f t="shared" si="17"/>
        <v>16</v>
      </c>
      <c r="O67" s="13">
        <f t="shared" si="17"/>
        <v>22</v>
      </c>
      <c r="P67" s="13">
        <f t="shared" si="17"/>
        <v>21</v>
      </c>
      <c r="Q67" s="13">
        <f t="shared" si="17"/>
        <v>9</v>
      </c>
      <c r="R67" s="13">
        <f t="shared" si="17"/>
        <v>3</v>
      </c>
      <c r="S67" s="13">
        <f t="shared" si="17"/>
        <v>9</v>
      </c>
      <c r="T67" s="13">
        <f t="shared" si="17"/>
        <v>20</v>
      </c>
      <c r="U67" s="13">
        <f t="shared" si="17"/>
        <v>16</v>
      </c>
      <c r="V67" s="13">
        <f t="shared" si="17"/>
        <v>14</v>
      </c>
      <c r="W67" s="13">
        <f t="shared" si="17"/>
        <v>611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8.0</v>
      </c>
      <c r="F69" s="19">
        <v>6.0</v>
      </c>
      <c r="G69" s="19">
        <v>13.0</v>
      </c>
      <c r="H69" s="19">
        <v>14.0</v>
      </c>
      <c r="I69" s="19">
        <v>2.0</v>
      </c>
      <c r="J69" s="19">
        <v>12.0</v>
      </c>
      <c r="K69" s="19">
        <v>5.0</v>
      </c>
      <c r="L69" s="19">
        <v>16.0</v>
      </c>
      <c r="M69" s="19">
        <v>4.0</v>
      </c>
      <c r="N69" s="19">
        <v>6.0</v>
      </c>
      <c r="O69" s="19">
        <v>11.0</v>
      </c>
      <c r="P69" s="19">
        <v>3.0</v>
      </c>
      <c r="Q69" s="19">
        <v>0.0</v>
      </c>
      <c r="R69" s="19">
        <v>2.0</v>
      </c>
      <c r="S69" s="19">
        <v>13.0</v>
      </c>
      <c r="T69" s="19">
        <v>4.0</v>
      </c>
      <c r="U69" s="19">
        <v>7.0</v>
      </c>
      <c r="V69" s="19">
        <v>7.0</v>
      </c>
      <c r="W69" s="13">
        <f t="shared" ref="W69:W78" si="18">SUM(E69:V69)</f>
        <v>133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19.0</v>
      </c>
      <c r="F70" s="19">
        <v>5.0</v>
      </c>
      <c r="G70" s="19">
        <v>20.0</v>
      </c>
      <c r="H70" s="19">
        <v>19.0</v>
      </c>
      <c r="I70" s="19">
        <v>4.0</v>
      </c>
      <c r="J70" s="19">
        <v>18.0</v>
      </c>
      <c r="K70" s="19">
        <v>7.0</v>
      </c>
      <c r="L70" s="19">
        <v>6.0</v>
      </c>
      <c r="M70" s="19">
        <v>4.0</v>
      </c>
      <c r="N70" s="19">
        <v>14.0</v>
      </c>
      <c r="O70" s="19">
        <v>41.0</v>
      </c>
      <c r="P70" s="19">
        <v>14.0</v>
      </c>
      <c r="Q70" s="19">
        <v>7.0</v>
      </c>
      <c r="R70" s="19">
        <v>13.0</v>
      </c>
      <c r="S70" s="19">
        <v>8.0</v>
      </c>
      <c r="T70" s="19">
        <v>7.0</v>
      </c>
      <c r="U70" s="19">
        <v>5.0</v>
      </c>
      <c r="V70" s="19">
        <v>53.0</v>
      </c>
      <c r="W70" s="13">
        <f t="shared" si="18"/>
        <v>264</v>
      </c>
    </row>
    <row r="71" ht="12.75" customHeight="1">
      <c r="A71" s="18"/>
      <c r="B71" s="55">
        <v>2.0</v>
      </c>
      <c r="C71" s="50" t="s">
        <v>58</v>
      </c>
      <c r="D71" s="60"/>
      <c r="E71" s="19">
        <v>7.0</v>
      </c>
      <c r="F71" s="19">
        <v>9.0</v>
      </c>
      <c r="G71" s="19">
        <v>4.0</v>
      </c>
      <c r="H71" s="19">
        <v>14.0</v>
      </c>
      <c r="I71" s="19">
        <v>7.0</v>
      </c>
      <c r="J71" s="19">
        <v>32.0</v>
      </c>
      <c r="K71" s="19">
        <v>26.0</v>
      </c>
      <c r="L71" s="19">
        <v>20.0</v>
      </c>
      <c r="M71" s="19">
        <v>10.0</v>
      </c>
      <c r="N71" s="19">
        <v>2.0</v>
      </c>
      <c r="O71" s="19">
        <v>2.0</v>
      </c>
      <c r="P71" s="19">
        <v>2.0</v>
      </c>
      <c r="Q71" s="19">
        <v>4.0</v>
      </c>
      <c r="R71" s="19">
        <v>3.0</v>
      </c>
      <c r="S71" s="19">
        <v>12.0</v>
      </c>
      <c r="T71" s="19">
        <v>1.0</v>
      </c>
      <c r="U71" s="19">
        <v>4.0</v>
      </c>
      <c r="V71" s="19">
        <v>1.0</v>
      </c>
      <c r="W71" s="13">
        <f t="shared" si="18"/>
        <v>160</v>
      </c>
    </row>
    <row r="72" ht="12.75" customHeight="1">
      <c r="A72" s="18"/>
      <c r="B72" s="55">
        <v>3.0</v>
      </c>
      <c r="C72" s="50" t="s">
        <v>59</v>
      </c>
      <c r="D72" s="60"/>
      <c r="E72" s="19">
        <v>2.0</v>
      </c>
      <c r="F72" s="19">
        <v>1.0</v>
      </c>
      <c r="G72" s="19">
        <v>1.0</v>
      </c>
      <c r="H72" s="19">
        <v>2.0</v>
      </c>
      <c r="I72" s="19">
        <v>1.0</v>
      </c>
      <c r="J72" s="19">
        <v>1.0</v>
      </c>
      <c r="K72" s="19">
        <v>2.0</v>
      </c>
      <c r="L72" s="19">
        <v>0.0</v>
      </c>
      <c r="M72" s="19">
        <v>0.0</v>
      </c>
      <c r="N72" s="19">
        <v>0.0</v>
      </c>
      <c r="O72" s="19">
        <v>2.0</v>
      </c>
      <c r="P72" s="19">
        <v>0.0</v>
      </c>
      <c r="Q72" s="19">
        <v>0.0</v>
      </c>
      <c r="R72" s="19">
        <v>2.0</v>
      </c>
      <c r="S72" s="19">
        <v>0.0</v>
      </c>
      <c r="T72" s="19">
        <v>0.0</v>
      </c>
      <c r="U72" s="19">
        <v>1.0</v>
      </c>
      <c r="V72" s="19">
        <v>0.0</v>
      </c>
      <c r="W72" s="13">
        <f t="shared" si="18"/>
        <v>15</v>
      </c>
    </row>
    <row r="73" ht="12.75" customHeight="1">
      <c r="A73" s="18"/>
      <c r="B73" s="55">
        <v>4.0</v>
      </c>
      <c r="C73" s="50" t="s">
        <v>60</v>
      </c>
      <c r="D73" s="60"/>
      <c r="E73" s="19">
        <v>0.0</v>
      </c>
      <c r="F73" s="19">
        <v>0.0</v>
      </c>
      <c r="G73" s="19">
        <v>0.0</v>
      </c>
      <c r="H73" s="19">
        <v>1.0</v>
      </c>
      <c r="I73" s="19">
        <v>0.0</v>
      </c>
      <c r="J73" s="19">
        <v>1.0</v>
      </c>
      <c r="K73" s="19">
        <v>1.0</v>
      </c>
      <c r="L73" s="19">
        <v>0.0</v>
      </c>
      <c r="M73" s="19">
        <v>0.0</v>
      </c>
      <c r="N73" s="19">
        <v>0.0</v>
      </c>
      <c r="O73" s="19">
        <v>0.0</v>
      </c>
      <c r="P73" s="19">
        <v>1.0</v>
      </c>
      <c r="Q73" s="19">
        <v>1.0</v>
      </c>
      <c r="R73" s="19">
        <v>1.0</v>
      </c>
      <c r="S73" s="19">
        <v>0.0</v>
      </c>
      <c r="T73" s="19">
        <v>0.0</v>
      </c>
      <c r="U73" s="19">
        <v>2.0</v>
      </c>
      <c r="V73" s="19">
        <v>0.0</v>
      </c>
      <c r="W73" s="13">
        <f t="shared" si="18"/>
        <v>8</v>
      </c>
    </row>
    <row r="74" ht="12.75" customHeight="1">
      <c r="A74" s="18"/>
      <c r="B74" s="55">
        <v>5.0</v>
      </c>
      <c r="C74" s="50" t="s">
        <v>61</v>
      </c>
      <c r="D74" s="60"/>
      <c r="E74" s="19">
        <v>8.0</v>
      </c>
      <c r="F74" s="19">
        <v>8.0</v>
      </c>
      <c r="G74" s="19">
        <v>6.0</v>
      </c>
      <c r="H74" s="19">
        <v>7.0</v>
      </c>
      <c r="I74" s="19">
        <v>1.0</v>
      </c>
      <c r="J74" s="19">
        <v>19.0</v>
      </c>
      <c r="K74" s="19">
        <v>5.0</v>
      </c>
      <c r="L74" s="19">
        <v>16.0</v>
      </c>
      <c r="M74" s="19">
        <v>9.0</v>
      </c>
      <c r="N74" s="19">
        <v>0.0</v>
      </c>
      <c r="O74" s="19">
        <v>3.0</v>
      </c>
      <c r="P74" s="19">
        <v>4.0</v>
      </c>
      <c r="Q74" s="19">
        <v>0.0</v>
      </c>
      <c r="R74" s="19">
        <v>2.0</v>
      </c>
      <c r="S74" s="19">
        <v>4.0</v>
      </c>
      <c r="T74" s="19">
        <v>3.0</v>
      </c>
      <c r="U74" s="19">
        <v>4.0</v>
      </c>
      <c r="V74" s="19">
        <v>0.0</v>
      </c>
      <c r="W74" s="13">
        <f t="shared" si="18"/>
        <v>99</v>
      </c>
    </row>
    <row r="75" ht="12.75" customHeight="1">
      <c r="A75" s="18"/>
      <c r="B75" s="55">
        <v>6.0</v>
      </c>
      <c r="C75" s="50" t="s">
        <v>62</v>
      </c>
      <c r="D75" s="60"/>
      <c r="E75" s="19">
        <v>0.0</v>
      </c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19">
        <v>0.0</v>
      </c>
      <c r="L75" s="19">
        <v>0.0</v>
      </c>
      <c r="M75" s="19">
        <v>0.0</v>
      </c>
      <c r="N75" s="19">
        <v>0.0</v>
      </c>
      <c r="O75" s="19">
        <v>0.0</v>
      </c>
      <c r="P75" s="19">
        <v>0.0</v>
      </c>
      <c r="Q75" s="19">
        <v>0.0</v>
      </c>
      <c r="R75" s="19">
        <v>0.0</v>
      </c>
      <c r="S75" s="19">
        <v>0.0</v>
      </c>
      <c r="T75" s="19">
        <v>0.0</v>
      </c>
      <c r="U75" s="19">
        <v>1.0</v>
      </c>
      <c r="V75" s="19">
        <v>0.0</v>
      </c>
      <c r="W75" s="13">
        <f t="shared" si="18"/>
        <v>1</v>
      </c>
    </row>
    <row r="76" ht="12.75" customHeight="1">
      <c r="A76" s="18"/>
      <c r="B76" s="55">
        <v>7.0</v>
      </c>
      <c r="C76" s="50" t="s">
        <v>63</v>
      </c>
      <c r="D76" s="60"/>
      <c r="E76" s="19">
        <v>2.0</v>
      </c>
      <c r="F76" s="19">
        <v>0.0</v>
      </c>
      <c r="G76" s="19">
        <v>0.0</v>
      </c>
      <c r="H76" s="19">
        <v>0.0</v>
      </c>
      <c r="I76" s="19">
        <v>0.0</v>
      </c>
      <c r="J76" s="19">
        <v>1.0</v>
      </c>
      <c r="K76" s="19">
        <v>2.0</v>
      </c>
      <c r="L76" s="19">
        <v>1.0</v>
      </c>
      <c r="M76" s="19">
        <v>1.0</v>
      </c>
      <c r="N76" s="19">
        <v>1.0</v>
      </c>
      <c r="O76" s="19">
        <v>0.0</v>
      </c>
      <c r="P76" s="19">
        <v>1.0</v>
      </c>
      <c r="Q76" s="19">
        <v>1.0</v>
      </c>
      <c r="R76" s="19">
        <v>0.0</v>
      </c>
      <c r="S76" s="19">
        <v>1.0</v>
      </c>
      <c r="T76" s="19">
        <v>0.0</v>
      </c>
      <c r="U76" s="19">
        <v>0.0</v>
      </c>
      <c r="V76" s="19">
        <v>1.0</v>
      </c>
      <c r="W76" s="13">
        <f t="shared" si="18"/>
        <v>12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W79" si="19">SUM(E69:E78)</f>
        <v>46</v>
      </c>
      <c r="F79" s="13">
        <f t="shared" si="19"/>
        <v>29</v>
      </c>
      <c r="G79" s="13">
        <f t="shared" si="19"/>
        <v>44</v>
      </c>
      <c r="H79" s="13">
        <f t="shared" si="19"/>
        <v>57</v>
      </c>
      <c r="I79" s="13">
        <f t="shared" si="19"/>
        <v>15</v>
      </c>
      <c r="J79" s="13">
        <f t="shared" si="19"/>
        <v>84</v>
      </c>
      <c r="K79" s="13">
        <f t="shared" si="19"/>
        <v>48</v>
      </c>
      <c r="L79" s="13">
        <f t="shared" si="19"/>
        <v>59</v>
      </c>
      <c r="M79" s="13">
        <f t="shared" si="19"/>
        <v>28</v>
      </c>
      <c r="N79" s="13">
        <f t="shared" si="19"/>
        <v>23</v>
      </c>
      <c r="O79" s="13">
        <f t="shared" si="19"/>
        <v>59</v>
      </c>
      <c r="P79" s="13">
        <f t="shared" si="19"/>
        <v>25</v>
      </c>
      <c r="Q79" s="13">
        <f t="shared" si="19"/>
        <v>13</v>
      </c>
      <c r="R79" s="13">
        <f t="shared" si="19"/>
        <v>23</v>
      </c>
      <c r="S79" s="13">
        <f t="shared" si="19"/>
        <v>38</v>
      </c>
      <c r="T79" s="13">
        <f t="shared" si="19"/>
        <v>15</v>
      </c>
      <c r="U79" s="13">
        <f t="shared" si="19"/>
        <v>24</v>
      </c>
      <c r="V79" s="13">
        <f t="shared" si="19"/>
        <v>62</v>
      </c>
      <c r="W79" s="13">
        <f t="shared" si="19"/>
        <v>692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4.0</v>
      </c>
      <c r="F81" s="19">
        <v>3.0</v>
      </c>
      <c r="G81" s="19">
        <v>6.0</v>
      </c>
      <c r="H81" s="19">
        <v>11.0</v>
      </c>
      <c r="I81" s="19">
        <v>3.0</v>
      </c>
      <c r="J81" s="19">
        <v>1.0</v>
      </c>
      <c r="K81" s="19">
        <v>2.0</v>
      </c>
      <c r="L81" s="19">
        <v>5.0</v>
      </c>
      <c r="M81" s="19">
        <v>3.0</v>
      </c>
      <c r="N81" s="19">
        <v>2.0</v>
      </c>
      <c r="O81" s="19">
        <v>1.0</v>
      </c>
      <c r="P81" s="19">
        <v>1.0</v>
      </c>
      <c r="Q81" s="19">
        <v>8.0</v>
      </c>
      <c r="R81" s="19">
        <v>5.0</v>
      </c>
      <c r="S81" s="19">
        <v>11.0</v>
      </c>
      <c r="T81" s="19">
        <v>8.0</v>
      </c>
      <c r="U81" s="19">
        <v>4.0</v>
      </c>
      <c r="V81" s="19">
        <v>1.0</v>
      </c>
      <c r="W81" s="13">
        <f t="shared" ref="W81:W90" si="20">SUM(E81:V81)</f>
        <v>79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4.0</v>
      </c>
      <c r="F82" s="19">
        <v>11.0</v>
      </c>
      <c r="G82" s="19">
        <v>10.0</v>
      </c>
      <c r="H82" s="19">
        <v>15.0</v>
      </c>
      <c r="I82" s="19">
        <v>14.0</v>
      </c>
      <c r="J82" s="19">
        <v>9.0</v>
      </c>
      <c r="K82" s="19">
        <v>10.0</v>
      </c>
      <c r="L82" s="19">
        <v>8.0</v>
      </c>
      <c r="M82" s="19">
        <v>1.0</v>
      </c>
      <c r="N82" s="19">
        <v>1.0</v>
      </c>
      <c r="O82" s="19">
        <v>0.0</v>
      </c>
      <c r="P82" s="19">
        <v>2.0</v>
      </c>
      <c r="Q82" s="19">
        <v>58.0</v>
      </c>
      <c r="R82" s="19">
        <v>63.0</v>
      </c>
      <c r="S82" s="19">
        <v>15.0</v>
      </c>
      <c r="T82" s="19">
        <v>23.0</v>
      </c>
      <c r="U82" s="19">
        <v>62.0</v>
      </c>
      <c r="V82" s="19">
        <v>1.0</v>
      </c>
      <c r="W82" s="13">
        <f t="shared" si="20"/>
        <v>307</v>
      </c>
    </row>
    <row r="83" ht="12.75" customHeight="1">
      <c r="A83" s="18"/>
      <c r="B83" s="55">
        <v>2.0</v>
      </c>
      <c r="C83" s="50" t="s">
        <v>66</v>
      </c>
      <c r="D83" s="60"/>
      <c r="E83" s="19">
        <v>1.0</v>
      </c>
      <c r="F83" s="19">
        <v>5.0</v>
      </c>
      <c r="G83" s="19">
        <v>2.0</v>
      </c>
      <c r="H83" s="19">
        <v>3.0</v>
      </c>
      <c r="I83" s="19">
        <v>3.0</v>
      </c>
      <c r="J83" s="19">
        <v>1.0</v>
      </c>
      <c r="K83" s="19">
        <v>3.0</v>
      </c>
      <c r="L83" s="19">
        <v>3.0</v>
      </c>
      <c r="M83" s="19">
        <v>4.0</v>
      </c>
      <c r="N83" s="19">
        <v>4.0</v>
      </c>
      <c r="O83" s="19">
        <v>1.0</v>
      </c>
      <c r="P83" s="19">
        <v>1.0</v>
      </c>
      <c r="Q83" s="19">
        <v>13.0</v>
      </c>
      <c r="R83" s="19">
        <v>9.0</v>
      </c>
      <c r="S83" s="19">
        <v>22.0</v>
      </c>
      <c r="T83" s="19">
        <v>6.0</v>
      </c>
      <c r="U83" s="19">
        <v>9.0</v>
      </c>
      <c r="V83" s="19">
        <v>7.0</v>
      </c>
      <c r="W83" s="13">
        <f t="shared" si="20"/>
        <v>97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1.0</v>
      </c>
      <c r="G84" s="19">
        <v>1.0</v>
      </c>
      <c r="H84" s="19">
        <v>1.0</v>
      </c>
      <c r="I84" s="19">
        <v>0.0</v>
      </c>
      <c r="J84" s="19">
        <v>0.0</v>
      </c>
      <c r="K84" s="19">
        <v>0.0</v>
      </c>
      <c r="L84" s="19">
        <v>0.0</v>
      </c>
      <c r="M84" s="19">
        <v>2.0</v>
      </c>
      <c r="N84" s="19">
        <v>2.0</v>
      </c>
      <c r="O84" s="19">
        <v>0.0</v>
      </c>
      <c r="P84" s="19">
        <v>0.0</v>
      </c>
      <c r="Q84" s="19">
        <v>0.0</v>
      </c>
      <c r="R84" s="19">
        <v>0.0</v>
      </c>
      <c r="S84" s="19">
        <v>1.0</v>
      </c>
      <c r="T84" s="19">
        <v>2.0</v>
      </c>
      <c r="U84" s="19">
        <v>0.0</v>
      </c>
      <c r="V84" s="19">
        <v>0.0</v>
      </c>
      <c r="W84" s="13">
        <f t="shared" si="20"/>
        <v>10</v>
      </c>
    </row>
    <row r="85" ht="12.75" customHeight="1">
      <c r="A85" s="18"/>
      <c r="B85" s="55">
        <v>4.0</v>
      </c>
      <c r="C85" s="50" t="s">
        <v>68</v>
      </c>
      <c r="D85" s="60"/>
      <c r="E85" s="19">
        <v>3.0</v>
      </c>
      <c r="F85" s="19">
        <v>0.0</v>
      </c>
      <c r="G85" s="19">
        <v>1.0</v>
      </c>
      <c r="H85" s="19">
        <v>0.0</v>
      </c>
      <c r="I85" s="19">
        <v>0.0</v>
      </c>
      <c r="J85" s="19">
        <v>0.0</v>
      </c>
      <c r="K85" s="19">
        <v>1.0</v>
      </c>
      <c r="L85" s="19">
        <v>3.0</v>
      </c>
      <c r="M85" s="19">
        <v>0.0</v>
      </c>
      <c r="N85" s="19">
        <v>1.0</v>
      </c>
      <c r="O85" s="19">
        <v>0.0</v>
      </c>
      <c r="P85" s="19">
        <v>1.0</v>
      </c>
      <c r="Q85" s="19">
        <v>0.0</v>
      </c>
      <c r="R85" s="19">
        <v>0.0</v>
      </c>
      <c r="S85" s="19">
        <v>0.0</v>
      </c>
      <c r="T85" s="19">
        <v>0.0</v>
      </c>
      <c r="U85" s="19">
        <v>1.0</v>
      </c>
      <c r="V85" s="19">
        <v>1.0</v>
      </c>
      <c r="W85" s="13">
        <f t="shared" si="20"/>
        <v>12</v>
      </c>
    </row>
    <row r="86" ht="12.75" customHeight="1">
      <c r="A86" s="18"/>
      <c r="B86" s="55">
        <v>5.0</v>
      </c>
      <c r="C86" s="50" t="s">
        <v>69</v>
      </c>
      <c r="D86" s="60"/>
      <c r="E86" s="19">
        <v>0.0</v>
      </c>
      <c r="F86" s="19">
        <v>1.0</v>
      </c>
      <c r="G86" s="19">
        <v>0.0</v>
      </c>
      <c r="H86" s="19">
        <v>2.0</v>
      </c>
      <c r="I86" s="19">
        <v>13.0</v>
      </c>
      <c r="J86" s="19">
        <v>2.0</v>
      </c>
      <c r="K86" s="19">
        <v>1.0</v>
      </c>
      <c r="L86" s="19">
        <v>0.0</v>
      </c>
      <c r="M86" s="19">
        <v>1.0</v>
      </c>
      <c r="N86" s="19">
        <v>2.0</v>
      </c>
      <c r="O86" s="19">
        <v>1.0</v>
      </c>
      <c r="P86" s="19">
        <v>2.0</v>
      </c>
      <c r="Q86" s="19">
        <v>0.0</v>
      </c>
      <c r="R86" s="19">
        <v>0.0</v>
      </c>
      <c r="S86" s="19">
        <v>0.0</v>
      </c>
      <c r="T86" s="19">
        <v>0.0</v>
      </c>
      <c r="U86" s="19">
        <v>0.0</v>
      </c>
      <c r="V86" s="19">
        <v>0.0</v>
      </c>
      <c r="W86" s="13">
        <f t="shared" si="20"/>
        <v>25</v>
      </c>
    </row>
    <row r="87" ht="12.75" customHeight="1">
      <c r="A87" s="18"/>
      <c r="B87" s="55">
        <v>6.0</v>
      </c>
      <c r="C87" s="50" t="s">
        <v>70</v>
      </c>
      <c r="D87" s="60"/>
      <c r="E87" s="19">
        <v>1.0</v>
      </c>
      <c r="F87" s="19">
        <v>0.0</v>
      </c>
      <c r="G87" s="19">
        <v>0.0</v>
      </c>
      <c r="H87" s="19">
        <v>1.0</v>
      </c>
      <c r="I87" s="19">
        <v>0.0</v>
      </c>
      <c r="J87" s="19">
        <v>2.0</v>
      </c>
      <c r="K87" s="19">
        <v>1.0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1.0</v>
      </c>
      <c r="U87" s="19">
        <v>1.0</v>
      </c>
      <c r="V87" s="19">
        <v>0.0</v>
      </c>
      <c r="W87" s="13">
        <f t="shared" si="20"/>
        <v>7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1.0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1.0</v>
      </c>
      <c r="V88" s="19">
        <v>0.0</v>
      </c>
      <c r="W88" s="13">
        <f t="shared" si="20"/>
        <v>2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W91" si="21">SUM(E81:E90)</f>
        <v>13</v>
      </c>
      <c r="F91" s="13">
        <f t="shared" si="21"/>
        <v>22</v>
      </c>
      <c r="G91" s="13">
        <f t="shared" si="21"/>
        <v>20</v>
      </c>
      <c r="H91" s="13">
        <f t="shared" si="21"/>
        <v>33</v>
      </c>
      <c r="I91" s="13">
        <f t="shared" si="21"/>
        <v>33</v>
      </c>
      <c r="J91" s="13">
        <f t="shared" si="21"/>
        <v>15</v>
      </c>
      <c r="K91" s="13">
        <f t="shared" si="21"/>
        <v>18</v>
      </c>
      <c r="L91" s="13">
        <f t="shared" si="21"/>
        <v>19</v>
      </c>
      <c r="M91" s="13">
        <f t="shared" si="21"/>
        <v>11</v>
      </c>
      <c r="N91" s="13">
        <f t="shared" si="21"/>
        <v>12</v>
      </c>
      <c r="O91" s="13">
        <f t="shared" si="21"/>
        <v>3</v>
      </c>
      <c r="P91" s="13">
        <f t="shared" si="21"/>
        <v>7</v>
      </c>
      <c r="Q91" s="13">
        <f t="shared" si="21"/>
        <v>79</v>
      </c>
      <c r="R91" s="13">
        <f t="shared" si="21"/>
        <v>77</v>
      </c>
      <c r="S91" s="13">
        <f t="shared" si="21"/>
        <v>49</v>
      </c>
      <c r="T91" s="13">
        <f t="shared" si="21"/>
        <v>40</v>
      </c>
      <c r="U91" s="13">
        <f t="shared" si="21"/>
        <v>78</v>
      </c>
      <c r="V91" s="13">
        <f t="shared" si="21"/>
        <v>10</v>
      </c>
      <c r="W91" s="13">
        <f t="shared" si="21"/>
        <v>539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0.0</v>
      </c>
      <c r="G93" s="19">
        <v>1.0</v>
      </c>
      <c r="H93" s="19">
        <v>0.0</v>
      </c>
      <c r="I93" s="19">
        <v>0.0</v>
      </c>
      <c r="J93" s="19">
        <v>0.0</v>
      </c>
      <c r="K93" s="19">
        <v>1.0</v>
      </c>
      <c r="L93" s="19">
        <v>8.0</v>
      </c>
      <c r="M93" s="19">
        <v>3.0</v>
      </c>
      <c r="N93" s="19">
        <v>3.0</v>
      </c>
      <c r="O93" s="19">
        <v>11.0</v>
      </c>
      <c r="P93" s="19">
        <v>3.0</v>
      </c>
      <c r="Q93" s="19">
        <v>2.0</v>
      </c>
      <c r="R93" s="19">
        <v>0.0</v>
      </c>
      <c r="S93" s="19">
        <v>6.0</v>
      </c>
      <c r="T93" s="19">
        <v>0.0</v>
      </c>
      <c r="U93" s="19">
        <v>2.0</v>
      </c>
      <c r="V93" s="19">
        <v>0.0</v>
      </c>
      <c r="W93" s="13">
        <f t="shared" ref="W93:W102" si="22">SUM(E93:V93)</f>
        <v>40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0.0</v>
      </c>
      <c r="F94" s="19">
        <v>0.0</v>
      </c>
      <c r="G94" s="19">
        <v>1.0</v>
      </c>
      <c r="H94" s="19">
        <v>2.0</v>
      </c>
      <c r="I94" s="19">
        <v>0.0</v>
      </c>
      <c r="J94" s="19">
        <v>2.0</v>
      </c>
      <c r="K94" s="19">
        <v>0.0</v>
      </c>
      <c r="L94" s="19">
        <v>1.0</v>
      </c>
      <c r="M94" s="19">
        <v>0.0</v>
      </c>
      <c r="N94" s="19">
        <v>4.0</v>
      </c>
      <c r="O94" s="19">
        <v>7.0</v>
      </c>
      <c r="P94" s="19">
        <v>1.0</v>
      </c>
      <c r="Q94" s="19">
        <v>0.0</v>
      </c>
      <c r="R94" s="19">
        <v>1.0</v>
      </c>
      <c r="S94" s="19">
        <v>3.0</v>
      </c>
      <c r="T94" s="19">
        <v>2.0</v>
      </c>
      <c r="U94" s="19">
        <v>2.0</v>
      </c>
      <c r="V94" s="19">
        <v>21.0</v>
      </c>
      <c r="W94" s="13">
        <f t="shared" si="22"/>
        <v>47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3.0</v>
      </c>
      <c r="N95" s="19">
        <v>3.0</v>
      </c>
      <c r="O95" s="19">
        <v>4.0</v>
      </c>
      <c r="P95" s="19">
        <v>0.0</v>
      </c>
      <c r="Q95" s="19">
        <v>0.0</v>
      </c>
      <c r="R95" s="19">
        <v>0.0</v>
      </c>
      <c r="S95" s="19">
        <v>1.0</v>
      </c>
      <c r="T95" s="19">
        <v>1.0</v>
      </c>
      <c r="U95" s="19">
        <v>0.0</v>
      </c>
      <c r="V95" s="19">
        <v>0.0</v>
      </c>
      <c r="W95" s="13">
        <f t="shared" si="22"/>
        <v>12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1.0</v>
      </c>
      <c r="N96" s="19">
        <v>1.0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3">
        <f t="shared" si="22"/>
        <v>2</v>
      </c>
    </row>
    <row r="97" ht="12.75" customHeight="1">
      <c r="A97" s="18"/>
      <c r="B97" s="55">
        <v>4.0</v>
      </c>
      <c r="C97" s="50" t="s">
        <v>77</v>
      </c>
      <c r="D97" s="60"/>
      <c r="E97" s="19">
        <v>5.0</v>
      </c>
      <c r="F97" s="19">
        <v>6.0</v>
      </c>
      <c r="G97" s="19">
        <v>16.0</v>
      </c>
      <c r="H97" s="19">
        <v>1.0</v>
      </c>
      <c r="I97" s="19">
        <v>0.0</v>
      </c>
      <c r="J97" s="19">
        <v>2.0</v>
      </c>
      <c r="K97" s="19">
        <v>4.0</v>
      </c>
      <c r="L97" s="19">
        <v>3.0</v>
      </c>
      <c r="M97" s="19">
        <v>5.0</v>
      </c>
      <c r="N97" s="19">
        <v>5.0</v>
      </c>
      <c r="O97" s="19">
        <v>3.0</v>
      </c>
      <c r="P97" s="19">
        <v>12.0</v>
      </c>
      <c r="Q97" s="19">
        <v>0.0</v>
      </c>
      <c r="R97" s="19">
        <v>0.0</v>
      </c>
      <c r="S97" s="19">
        <v>4.0</v>
      </c>
      <c r="T97" s="19">
        <v>0.0</v>
      </c>
      <c r="U97" s="19">
        <v>0.0</v>
      </c>
      <c r="V97" s="19">
        <v>0.0</v>
      </c>
      <c r="W97" s="13">
        <f t="shared" si="22"/>
        <v>66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1.0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3">
        <f t="shared" si="22"/>
        <v>1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3">
        <f t="shared" si="22"/>
        <v>0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W103" si="23">SUM(E93:E102)</f>
        <v>5</v>
      </c>
      <c r="F103" s="13">
        <f t="shared" si="23"/>
        <v>6</v>
      </c>
      <c r="G103" s="13">
        <f t="shared" si="23"/>
        <v>18</v>
      </c>
      <c r="H103" s="13">
        <f t="shared" si="23"/>
        <v>3</v>
      </c>
      <c r="I103" s="13">
        <f t="shared" si="23"/>
        <v>0</v>
      </c>
      <c r="J103" s="13">
        <f t="shared" si="23"/>
        <v>4</v>
      </c>
      <c r="K103" s="13">
        <f t="shared" si="23"/>
        <v>5</v>
      </c>
      <c r="L103" s="13">
        <f t="shared" si="23"/>
        <v>13</v>
      </c>
      <c r="M103" s="13">
        <f t="shared" si="23"/>
        <v>12</v>
      </c>
      <c r="N103" s="13">
        <f t="shared" si="23"/>
        <v>16</v>
      </c>
      <c r="O103" s="13">
        <f t="shared" si="23"/>
        <v>25</v>
      </c>
      <c r="P103" s="13">
        <f t="shared" si="23"/>
        <v>16</v>
      </c>
      <c r="Q103" s="13">
        <f t="shared" si="23"/>
        <v>2</v>
      </c>
      <c r="R103" s="13">
        <f t="shared" si="23"/>
        <v>1</v>
      </c>
      <c r="S103" s="13">
        <f t="shared" si="23"/>
        <v>14</v>
      </c>
      <c r="T103" s="13">
        <f t="shared" si="23"/>
        <v>3</v>
      </c>
      <c r="U103" s="13">
        <f t="shared" si="23"/>
        <v>4</v>
      </c>
      <c r="V103" s="13">
        <f t="shared" si="23"/>
        <v>21</v>
      </c>
      <c r="W103" s="13">
        <f t="shared" si="23"/>
        <v>168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1.0</v>
      </c>
      <c r="H105" s="19">
        <v>0.0</v>
      </c>
      <c r="I105" s="19">
        <v>0.0</v>
      </c>
      <c r="J105" s="19">
        <v>0.0</v>
      </c>
      <c r="K105" s="19">
        <v>2.0</v>
      </c>
      <c r="L105" s="19">
        <v>2.0</v>
      </c>
      <c r="M105" s="19">
        <v>0.0</v>
      </c>
      <c r="N105" s="19">
        <v>2.0</v>
      </c>
      <c r="O105" s="19">
        <v>0.0</v>
      </c>
      <c r="P105" s="19">
        <v>0.0</v>
      </c>
      <c r="Q105" s="19">
        <v>0.0</v>
      </c>
      <c r="R105" s="19">
        <v>0.0</v>
      </c>
      <c r="S105" s="19">
        <v>2.0</v>
      </c>
      <c r="T105" s="19">
        <v>1.0</v>
      </c>
      <c r="U105" s="19">
        <v>0.0</v>
      </c>
      <c r="V105" s="19">
        <v>0.0</v>
      </c>
      <c r="W105" s="13">
        <f t="shared" ref="W105:W114" si="24">SUM(E105:V105)</f>
        <v>10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3.0</v>
      </c>
      <c r="S106" s="19">
        <v>1.0</v>
      </c>
      <c r="T106" s="19">
        <v>0.0</v>
      </c>
      <c r="U106" s="19">
        <v>0.0</v>
      </c>
      <c r="V106" s="19">
        <v>0.0</v>
      </c>
      <c r="W106" s="13">
        <f t="shared" si="24"/>
        <v>4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1.0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3">
        <f t="shared" si="24"/>
        <v>1</v>
      </c>
    </row>
    <row r="108" ht="12.75" customHeight="1">
      <c r="A108" s="18"/>
      <c r="B108" s="55">
        <v>3.0</v>
      </c>
      <c r="C108" s="50" t="s">
        <v>85</v>
      </c>
      <c r="D108" s="60"/>
      <c r="E108" s="79">
        <v>0.0</v>
      </c>
      <c r="F108" s="19">
        <v>0.0</v>
      </c>
      <c r="G108" s="19">
        <v>1.0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3">
        <f t="shared" si="24"/>
        <v>1</v>
      </c>
    </row>
    <row r="109" ht="12.75" customHeight="1">
      <c r="A109" s="18"/>
      <c r="B109" s="55">
        <v>4.0</v>
      </c>
      <c r="C109" s="50" t="s">
        <v>86</v>
      </c>
      <c r="D109" s="60"/>
      <c r="E109" s="7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60"/>
      <c r="E110" s="7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7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60"/>
      <c r="E112" s="7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1.0</v>
      </c>
      <c r="S112" s="19">
        <v>0.0</v>
      </c>
      <c r="T112" s="19">
        <v>0.0</v>
      </c>
      <c r="U112" s="19">
        <v>0.0</v>
      </c>
      <c r="V112" s="19">
        <v>0.0</v>
      </c>
      <c r="W112" s="13">
        <f t="shared" si="24"/>
        <v>1</v>
      </c>
    </row>
    <row r="113" ht="12.75" customHeight="1">
      <c r="A113" s="18"/>
      <c r="B113" s="56"/>
      <c r="C113" s="57"/>
      <c r="D113" s="62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3">
        <f t="shared" si="24"/>
        <v>0</v>
      </c>
    </row>
    <row r="114" ht="12.75" customHeight="1">
      <c r="A114" s="18"/>
      <c r="B114" s="56"/>
      <c r="C114" s="57"/>
      <c r="D114" s="62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W115" si="25">SUM(E105:E114)</f>
        <v>0</v>
      </c>
      <c r="F115" s="13">
        <f t="shared" si="25"/>
        <v>0</v>
      </c>
      <c r="G115" s="13">
        <f t="shared" si="25"/>
        <v>2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2</v>
      </c>
      <c r="L115" s="13">
        <f t="shared" si="25"/>
        <v>2</v>
      </c>
      <c r="M115" s="13">
        <f t="shared" si="25"/>
        <v>0</v>
      </c>
      <c r="N115" s="13">
        <f t="shared" si="25"/>
        <v>2</v>
      </c>
      <c r="O115" s="13">
        <f t="shared" si="25"/>
        <v>1</v>
      </c>
      <c r="P115" s="13">
        <f t="shared" si="25"/>
        <v>0</v>
      </c>
      <c r="Q115" s="13">
        <f t="shared" si="25"/>
        <v>0</v>
      </c>
      <c r="R115" s="13">
        <f t="shared" si="25"/>
        <v>4</v>
      </c>
      <c r="S115" s="13">
        <f t="shared" si="25"/>
        <v>3</v>
      </c>
      <c r="T115" s="13">
        <f t="shared" si="25"/>
        <v>1</v>
      </c>
      <c r="U115" s="13">
        <f t="shared" si="25"/>
        <v>0</v>
      </c>
      <c r="V115" s="13">
        <f t="shared" si="25"/>
        <v>0</v>
      </c>
      <c r="W115" s="13">
        <f t="shared" si="25"/>
        <v>17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2.0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1.0</v>
      </c>
      <c r="P117" s="19">
        <v>0.0</v>
      </c>
      <c r="Q117" s="19">
        <v>0.0</v>
      </c>
      <c r="R117" s="19">
        <v>1.0</v>
      </c>
      <c r="S117" s="19">
        <v>0.0</v>
      </c>
      <c r="T117" s="19">
        <v>0.0</v>
      </c>
      <c r="U117" s="19">
        <v>0.0</v>
      </c>
      <c r="V117" s="19">
        <v>0.0</v>
      </c>
      <c r="W117" s="13">
        <f t="shared" ref="W117:W126" si="26">SUM(E117:V117)</f>
        <v>4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2.0</v>
      </c>
      <c r="L118" s="19">
        <v>1.0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1.0</v>
      </c>
      <c r="T118" s="19">
        <v>0.0</v>
      </c>
      <c r="U118" s="19">
        <v>0.0</v>
      </c>
      <c r="V118" s="19">
        <v>1.0</v>
      </c>
      <c r="W118" s="13">
        <f t="shared" si="26"/>
        <v>5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3">
        <f t="shared" si="26"/>
        <v>0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3">
        <f t="shared" si="26"/>
        <v>0</v>
      </c>
    </row>
    <row r="121" ht="12.75" customHeight="1">
      <c r="A121" s="18"/>
      <c r="B121" s="56"/>
      <c r="C121" s="57"/>
      <c r="D121" s="61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3">
        <f t="shared" si="26"/>
        <v>0</v>
      </c>
    </row>
    <row r="122" ht="12.75" customHeight="1">
      <c r="A122" s="18"/>
      <c r="B122" s="56"/>
      <c r="C122" s="57"/>
      <c r="D122" s="61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3">
        <f t="shared" si="26"/>
        <v>0</v>
      </c>
    </row>
    <row r="123" ht="12.75" customHeight="1">
      <c r="A123" s="18"/>
      <c r="B123" s="56"/>
      <c r="C123" s="57"/>
      <c r="D123" s="61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W127" si="27">SUM(E117:E126)</f>
        <v>0</v>
      </c>
      <c r="F127" s="13">
        <f t="shared" si="27"/>
        <v>0</v>
      </c>
      <c r="G127" s="13">
        <f t="shared" si="27"/>
        <v>0</v>
      </c>
      <c r="H127" s="13">
        <f t="shared" si="27"/>
        <v>2</v>
      </c>
      <c r="I127" s="13">
        <f t="shared" si="27"/>
        <v>0</v>
      </c>
      <c r="J127" s="13">
        <f t="shared" si="27"/>
        <v>0</v>
      </c>
      <c r="K127" s="13">
        <f t="shared" si="27"/>
        <v>2</v>
      </c>
      <c r="L127" s="13">
        <f t="shared" si="27"/>
        <v>1</v>
      </c>
      <c r="M127" s="13">
        <f t="shared" si="27"/>
        <v>0</v>
      </c>
      <c r="N127" s="13">
        <f t="shared" si="27"/>
        <v>0</v>
      </c>
      <c r="O127" s="13">
        <f t="shared" si="27"/>
        <v>1</v>
      </c>
      <c r="P127" s="13">
        <f t="shared" si="27"/>
        <v>0</v>
      </c>
      <c r="Q127" s="13">
        <f t="shared" si="27"/>
        <v>0</v>
      </c>
      <c r="R127" s="13">
        <f t="shared" si="27"/>
        <v>1</v>
      </c>
      <c r="S127" s="13">
        <f t="shared" si="27"/>
        <v>1</v>
      </c>
      <c r="T127" s="13">
        <f t="shared" si="27"/>
        <v>0</v>
      </c>
      <c r="U127" s="13">
        <f t="shared" si="27"/>
        <v>0</v>
      </c>
      <c r="V127" s="13">
        <f t="shared" si="27"/>
        <v>1</v>
      </c>
      <c r="W127" s="13">
        <f t="shared" si="27"/>
        <v>9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1.0</v>
      </c>
      <c r="G129" s="19">
        <v>4.0</v>
      </c>
      <c r="H129" s="19">
        <v>0.0</v>
      </c>
      <c r="I129" s="19">
        <v>0.0</v>
      </c>
      <c r="J129" s="19">
        <v>0.0</v>
      </c>
      <c r="K129" s="19">
        <v>0.0</v>
      </c>
      <c r="L129" s="19">
        <v>0.0</v>
      </c>
      <c r="M129" s="19">
        <v>3.0</v>
      </c>
      <c r="N129" s="19">
        <v>4.0</v>
      </c>
      <c r="O129" s="19">
        <v>0.0</v>
      </c>
      <c r="P129" s="19">
        <v>0.0</v>
      </c>
      <c r="Q129" s="19">
        <v>2.0</v>
      </c>
      <c r="R129" s="19">
        <v>0.0</v>
      </c>
      <c r="S129" s="19">
        <v>0.0</v>
      </c>
      <c r="T129" s="19">
        <v>0.0</v>
      </c>
      <c r="U129" s="19">
        <v>0.0</v>
      </c>
      <c r="V129" s="19">
        <v>0.0</v>
      </c>
      <c r="W129" s="13">
        <f t="shared" ref="W129:W138" si="28">SUM(E129:V129)</f>
        <v>14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1.0</v>
      </c>
      <c r="F130" s="19">
        <v>0.0</v>
      </c>
      <c r="G130" s="19">
        <v>0.0</v>
      </c>
      <c r="H130" s="19">
        <v>0.0</v>
      </c>
      <c r="I130" s="19">
        <v>0.0</v>
      </c>
      <c r="J130" s="19">
        <v>0.0</v>
      </c>
      <c r="K130" s="19">
        <v>0.0</v>
      </c>
      <c r="L130" s="19">
        <v>0.0</v>
      </c>
      <c r="M130" s="19">
        <v>3.0</v>
      </c>
      <c r="N130" s="19">
        <v>4.0</v>
      </c>
      <c r="O130" s="19">
        <v>1.0</v>
      </c>
      <c r="P130" s="19">
        <v>1.0</v>
      </c>
      <c r="Q130" s="19">
        <v>0.0</v>
      </c>
      <c r="R130" s="19">
        <v>0.0</v>
      </c>
      <c r="S130" s="19">
        <v>0.0</v>
      </c>
      <c r="T130" s="19">
        <v>0.0</v>
      </c>
      <c r="U130" s="19">
        <v>0.0</v>
      </c>
      <c r="V130" s="19">
        <v>1.0</v>
      </c>
      <c r="W130" s="13">
        <f t="shared" si="28"/>
        <v>11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2.0</v>
      </c>
      <c r="L131" s="19">
        <v>0.0</v>
      </c>
      <c r="M131" s="19">
        <v>1.0</v>
      </c>
      <c r="N131" s="19">
        <v>1.0</v>
      </c>
      <c r="O131" s="19">
        <v>0.0</v>
      </c>
      <c r="P131" s="19">
        <v>0.0</v>
      </c>
      <c r="Q131" s="19">
        <v>2.0</v>
      </c>
      <c r="R131" s="19">
        <v>0.0</v>
      </c>
      <c r="S131" s="19">
        <v>0.0</v>
      </c>
      <c r="T131" s="19">
        <v>1.0</v>
      </c>
      <c r="U131" s="19">
        <v>0.0</v>
      </c>
      <c r="V131" s="19">
        <v>2.0</v>
      </c>
      <c r="W131" s="13">
        <f t="shared" si="28"/>
        <v>9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3">
        <f t="shared" si="28"/>
        <v>0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1.0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3">
        <f t="shared" si="28"/>
        <v>1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3">
        <f t="shared" si="28"/>
        <v>0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1.0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1.0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3">
        <f t="shared" si="28"/>
        <v>2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1.0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3">
        <f t="shared" si="28"/>
        <v>1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W139" si="29">SUM(E129:E138)</f>
        <v>1</v>
      </c>
      <c r="F139" s="13">
        <f t="shared" si="29"/>
        <v>2</v>
      </c>
      <c r="G139" s="13">
        <f t="shared" si="29"/>
        <v>6</v>
      </c>
      <c r="H139" s="13">
        <f t="shared" si="29"/>
        <v>0</v>
      </c>
      <c r="I139" s="13">
        <f t="shared" si="29"/>
        <v>0</v>
      </c>
      <c r="J139" s="13">
        <f t="shared" si="29"/>
        <v>0</v>
      </c>
      <c r="K139" s="13">
        <f t="shared" si="29"/>
        <v>2</v>
      </c>
      <c r="L139" s="13">
        <f t="shared" si="29"/>
        <v>0</v>
      </c>
      <c r="M139" s="13">
        <f t="shared" si="29"/>
        <v>7</v>
      </c>
      <c r="N139" s="13">
        <f t="shared" si="29"/>
        <v>10</v>
      </c>
      <c r="O139" s="13">
        <f t="shared" si="29"/>
        <v>1</v>
      </c>
      <c r="P139" s="13">
        <f t="shared" si="29"/>
        <v>1</v>
      </c>
      <c r="Q139" s="13">
        <f t="shared" si="29"/>
        <v>4</v>
      </c>
      <c r="R139" s="13">
        <f t="shared" si="29"/>
        <v>0</v>
      </c>
      <c r="S139" s="13">
        <f t="shared" si="29"/>
        <v>0</v>
      </c>
      <c r="T139" s="13">
        <f t="shared" si="29"/>
        <v>1</v>
      </c>
      <c r="U139" s="13">
        <f t="shared" si="29"/>
        <v>0</v>
      </c>
      <c r="V139" s="13">
        <f t="shared" si="29"/>
        <v>3</v>
      </c>
      <c r="W139" s="13">
        <f t="shared" si="29"/>
        <v>38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1.0</v>
      </c>
      <c r="T141" s="19">
        <v>0.0</v>
      </c>
      <c r="U141" s="19">
        <v>0.0</v>
      </c>
      <c r="V141" s="19">
        <v>0.0</v>
      </c>
      <c r="W141" s="13">
        <f t="shared" ref="W141:W150" si="30">SUM(E141:V141)</f>
        <v>1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1.0</v>
      </c>
      <c r="K142" s="19">
        <v>0.0</v>
      </c>
      <c r="L142" s="19">
        <v>0.0</v>
      </c>
      <c r="M142" s="19">
        <v>0.0</v>
      </c>
      <c r="N142" s="19">
        <v>1.0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3">
        <f t="shared" si="30"/>
        <v>2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W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1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1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1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3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13"/>
    </row>
    <row r="153" ht="12.75" customHeight="1">
      <c r="A153" s="30" t="s">
        <v>37</v>
      </c>
      <c r="B153" s="17" t="s">
        <v>113</v>
      </c>
      <c r="C153" s="64" t="s">
        <v>114</v>
      </c>
      <c r="D153" s="23"/>
      <c r="E153" s="19">
        <v>0.0</v>
      </c>
      <c r="F153" s="19">
        <v>1.0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1.0</v>
      </c>
      <c r="M153" s="19">
        <v>0.0</v>
      </c>
      <c r="N153" s="19">
        <v>1.0</v>
      </c>
      <c r="O153" s="19">
        <v>0.0</v>
      </c>
      <c r="P153" s="19">
        <v>0.0</v>
      </c>
      <c r="Q153" s="19">
        <v>1.0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3">
        <f t="shared" ref="W153:W156" si="32">SUM(E154:V154)</f>
        <v>1</v>
      </c>
    </row>
    <row r="154" ht="12.75" customHeight="1">
      <c r="A154" s="65" t="s">
        <v>39</v>
      </c>
      <c r="B154" s="55">
        <v>1.0</v>
      </c>
      <c r="C154" s="66" t="s">
        <v>115</v>
      </c>
      <c r="D154" s="60"/>
      <c r="E154" s="80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1.0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3">
        <f t="shared" si="32"/>
        <v>4</v>
      </c>
    </row>
    <row r="155" ht="12.75" customHeight="1">
      <c r="A155" s="18"/>
      <c r="B155" s="55">
        <v>2.0</v>
      </c>
      <c r="C155" s="66" t="s">
        <v>116</v>
      </c>
      <c r="D155" s="60"/>
      <c r="E155" s="80">
        <v>0.0</v>
      </c>
      <c r="F155" s="19">
        <v>1.0</v>
      </c>
      <c r="G155" s="19">
        <v>0.0</v>
      </c>
      <c r="H155" s="19">
        <v>0.0</v>
      </c>
      <c r="I155" s="19">
        <v>1.0</v>
      </c>
      <c r="J155" s="19">
        <v>0.0</v>
      </c>
      <c r="K155" s="19">
        <v>1.0</v>
      </c>
      <c r="L155" s="19">
        <v>1.0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3">
        <f t="shared" si="32"/>
        <v>0</v>
      </c>
    </row>
    <row r="156" ht="12.75" customHeight="1">
      <c r="A156" s="18"/>
      <c r="B156" s="55">
        <v>3.0</v>
      </c>
      <c r="C156" s="66" t="s">
        <v>117</v>
      </c>
      <c r="D156" s="60"/>
      <c r="E156" s="80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3">
        <f t="shared" si="32"/>
        <v>0</v>
      </c>
    </row>
    <row r="157" ht="12.75" customHeight="1">
      <c r="A157" s="18"/>
      <c r="B157" s="55">
        <v>4.0</v>
      </c>
      <c r="C157" s="66" t="s">
        <v>118</v>
      </c>
      <c r="D157" s="60"/>
      <c r="E157" s="80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3">
        <f t="shared" ref="W157:W162" si="33">SUM(E163:V163)</f>
        <v>9</v>
      </c>
    </row>
    <row r="158" ht="12.75" customHeight="1">
      <c r="A158" s="18"/>
      <c r="B158" s="56"/>
      <c r="C158" s="57"/>
      <c r="D158" s="61"/>
      <c r="E158" s="80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3">
        <f t="shared" si="33"/>
        <v>0</v>
      </c>
    </row>
    <row r="159" ht="12.75" customHeight="1">
      <c r="A159" s="18"/>
      <c r="B159" s="56"/>
      <c r="C159" s="57"/>
      <c r="D159" s="61"/>
      <c r="E159" s="80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3">
        <f t="shared" si="33"/>
        <v>1</v>
      </c>
    </row>
    <row r="160" ht="12.75" customHeight="1">
      <c r="A160" s="18"/>
      <c r="B160" s="56"/>
      <c r="C160" s="57"/>
      <c r="D160" s="62"/>
      <c r="E160" s="80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3">
        <f t="shared" si="33"/>
        <v>0</v>
      </c>
    </row>
    <row r="161" ht="12.75" customHeight="1">
      <c r="A161" s="18"/>
      <c r="B161" s="56"/>
      <c r="C161" s="67"/>
      <c r="D161" s="62"/>
      <c r="E161" s="80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3">
        <f t="shared" si="33"/>
        <v>1</v>
      </c>
    </row>
    <row r="162" ht="12.75" customHeight="1">
      <c r="A162" s="18"/>
      <c r="B162" s="56"/>
      <c r="C162" s="67"/>
      <c r="D162" s="62"/>
      <c r="E162" s="80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3">
        <f t="shared" si="33"/>
        <v>0</v>
      </c>
    </row>
    <row r="163" ht="12.75" customHeight="1">
      <c r="A163" s="19" t="s">
        <v>15</v>
      </c>
      <c r="B163" s="68" t="s">
        <v>47</v>
      </c>
      <c r="C163" s="44"/>
      <c r="D163" s="28"/>
      <c r="E163" s="13">
        <f t="shared" ref="E163:W163" si="34">SUM(E153:E162)</f>
        <v>0</v>
      </c>
      <c r="F163" s="13">
        <f t="shared" si="34"/>
        <v>2</v>
      </c>
      <c r="G163" s="13">
        <f t="shared" si="34"/>
        <v>0</v>
      </c>
      <c r="H163" s="13">
        <f t="shared" si="34"/>
        <v>0</v>
      </c>
      <c r="I163" s="13">
        <f t="shared" si="34"/>
        <v>1</v>
      </c>
      <c r="J163" s="13">
        <f t="shared" si="34"/>
        <v>0</v>
      </c>
      <c r="K163" s="13">
        <f t="shared" si="34"/>
        <v>2</v>
      </c>
      <c r="L163" s="13">
        <f t="shared" si="34"/>
        <v>2</v>
      </c>
      <c r="M163" s="13">
        <f t="shared" si="34"/>
        <v>0</v>
      </c>
      <c r="N163" s="13">
        <f t="shared" si="34"/>
        <v>1</v>
      </c>
      <c r="O163" s="13">
        <f t="shared" si="34"/>
        <v>0</v>
      </c>
      <c r="P163" s="13">
        <f t="shared" si="34"/>
        <v>0</v>
      </c>
      <c r="Q163" s="13">
        <f t="shared" si="34"/>
        <v>1</v>
      </c>
      <c r="R163" s="13">
        <f t="shared" si="34"/>
        <v>0</v>
      </c>
      <c r="S163" s="13">
        <f t="shared" si="34"/>
        <v>0</v>
      </c>
      <c r="T163" s="13">
        <f t="shared" si="34"/>
        <v>0</v>
      </c>
      <c r="U163" s="13">
        <f t="shared" si="34"/>
        <v>0</v>
      </c>
      <c r="V163" s="13">
        <f t="shared" si="34"/>
        <v>0</v>
      </c>
      <c r="W163" s="13">
        <f t="shared" si="34"/>
        <v>16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1.0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3">
        <f t="shared" ref="W165:W174" si="35">SUM(E165:V165)</f>
        <v>1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3">
        <f t="shared" si="35"/>
        <v>0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1.0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3">
        <f t="shared" si="35"/>
        <v>1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3">
        <f t="shared" si="35"/>
        <v>0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3">
        <f t="shared" si="35"/>
        <v>0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3">
        <f t="shared" si="35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3">
        <f t="shared" si="35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3">
        <f t="shared" si="35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3">
        <f t="shared" si="35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3">
        <f t="shared" si="35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W175" si="36">SUM(E165:E174)</f>
        <v>0</v>
      </c>
      <c r="F175" s="13">
        <f t="shared" si="36"/>
        <v>0</v>
      </c>
      <c r="G175" s="13">
        <f t="shared" si="36"/>
        <v>0</v>
      </c>
      <c r="H175" s="13">
        <f t="shared" si="36"/>
        <v>0</v>
      </c>
      <c r="I175" s="13">
        <f t="shared" si="36"/>
        <v>0</v>
      </c>
      <c r="J175" s="13">
        <f t="shared" si="36"/>
        <v>0</v>
      </c>
      <c r="K175" s="13">
        <f t="shared" si="36"/>
        <v>0</v>
      </c>
      <c r="L175" s="13">
        <f t="shared" si="36"/>
        <v>1</v>
      </c>
      <c r="M175" s="13">
        <f t="shared" si="36"/>
        <v>0</v>
      </c>
      <c r="N175" s="13">
        <f t="shared" si="36"/>
        <v>1</v>
      </c>
      <c r="O175" s="13">
        <f t="shared" si="36"/>
        <v>0</v>
      </c>
      <c r="P175" s="13">
        <f t="shared" si="36"/>
        <v>0</v>
      </c>
      <c r="Q175" s="13">
        <f t="shared" si="36"/>
        <v>0</v>
      </c>
      <c r="R175" s="13">
        <f t="shared" si="36"/>
        <v>0</v>
      </c>
      <c r="S175" s="13">
        <f t="shared" si="36"/>
        <v>0</v>
      </c>
      <c r="T175" s="13">
        <f t="shared" si="36"/>
        <v>0</v>
      </c>
      <c r="U175" s="13">
        <f t="shared" si="36"/>
        <v>0</v>
      </c>
      <c r="V175" s="13">
        <f t="shared" si="36"/>
        <v>0</v>
      </c>
      <c r="W175" s="13">
        <f t="shared" si="36"/>
        <v>2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0.0</v>
      </c>
      <c r="J177" s="19">
        <v>0.0</v>
      </c>
      <c r="K177" s="19">
        <v>0.0</v>
      </c>
      <c r="L177" s="19">
        <v>0.0</v>
      </c>
      <c r="M177" s="19">
        <v>1.0</v>
      </c>
      <c r="N177" s="19">
        <v>2.0</v>
      </c>
      <c r="O177" s="19">
        <v>0.0</v>
      </c>
      <c r="P177" s="19">
        <v>0.0</v>
      </c>
      <c r="Q177" s="19">
        <v>0.0</v>
      </c>
      <c r="R177" s="19">
        <v>0.0</v>
      </c>
      <c r="S177" s="19">
        <v>0.0</v>
      </c>
      <c r="T177" s="19">
        <v>0.0</v>
      </c>
      <c r="U177" s="19">
        <v>0.0</v>
      </c>
      <c r="V177" s="19">
        <v>0.0</v>
      </c>
      <c r="W177" s="13">
        <f t="shared" ref="W177:W186" si="37">SUM(E177:V177)</f>
        <v>3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1.0</v>
      </c>
      <c r="R178" s="19">
        <v>0.0</v>
      </c>
      <c r="S178" s="19">
        <v>0.0</v>
      </c>
      <c r="T178" s="19">
        <v>0.0</v>
      </c>
      <c r="U178" s="19">
        <v>1.0</v>
      </c>
      <c r="V178" s="19">
        <v>0.0</v>
      </c>
      <c r="W178" s="13">
        <f t="shared" si="37"/>
        <v>2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1.0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1.0</v>
      </c>
      <c r="L179" s="19">
        <v>0.0</v>
      </c>
      <c r="M179" s="19">
        <v>2.0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0.0</v>
      </c>
      <c r="W179" s="13">
        <f t="shared" si="37"/>
        <v>4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1.0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1.0</v>
      </c>
      <c r="T180" s="19">
        <v>0.0</v>
      </c>
      <c r="U180" s="19">
        <v>0.0</v>
      </c>
      <c r="V180" s="19">
        <v>0.0</v>
      </c>
      <c r="W180" s="13">
        <f t="shared" si="37"/>
        <v>2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1.0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3">
        <f t="shared" si="37"/>
        <v>1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3">
        <f t="shared" si="37"/>
        <v>0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3">
        <f t="shared" si="37"/>
        <v>0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3">
        <f t="shared" si="37"/>
        <v>0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3">
        <f t="shared" si="37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3">
        <f t="shared" si="37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W187" si="38">SUM(E177:E186)</f>
        <v>1</v>
      </c>
      <c r="F187" s="13">
        <f t="shared" si="38"/>
        <v>0</v>
      </c>
      <c r="G187" s="13">
        <f t="shared" si="38"/>
        <v>0</v>
      </c>
      <c r="H187" s="13">
        <f t="shared" si="38"/>
        <v>0</v>
      </c>
      <c r="I187" s="13">
        <f t="shared" si="38"/>
        <v>0</v>
      </c>
      <c r="J187" s="13">
        <f t="shared" si="38"/>
        <v>0</v>
      </c>
      <c r="K187" s="13">
        <f t="shared" si="38"/>
        <v>2</v>
      </c>
      <c r="L187" s="13">
        <f t="shared" si="38"/>
        <v>0</v>
      </c>
      <c r="M187" s="13">
        <f t="shared" si="38"/>
        <v>4</v>
      </c>
      <c r="N187" s="13">
        <f t="shared" si="38"/>
        <v>2</v>
      </c>
      <c r="O187" s="13">
        <f t="shared" si="38"/>
        <v>0</v>
      </c>
      <c r="P187" s="13">
        <f t="shared" si="38"/>
        <v>0</v>
      </c>
      <c r="Q187" s="13">
        <f t="shared" si="38"/>
        <v>1</v>
      </c>
      <c r="R187" s="13">
        <f t="shared" si="38"/>
        <v>0</v>
      </c>
      <c r="S187" s="13">
        <f t="shared" si="38"/>
        <v>1</v>
      </c>
      <c r="T187" s="13">
        <f t="shared" si="38"/>
        <v>0</v>
      </c>
      <c r="U187" s="13">
        <f t="shared" si="38"/>
        <v>1</v>
      </c>
      <c r="V187" s="13">
        <f t="shared" si="38"/>
        <v>0</v>
      </c>
      <c r="W187" s="13">
        <f t="shared" si="38"/>
        <v>12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1.0</v>
      </c>
      <c r="T189" s="19">
        <v>0.0</v>
      </c>
      <c r="U189" s="19">
        <v>0.0</v>
      </c>
      <c r="V189" s="19">
        <v>0.0</v>
      </c>
      <c r="W189" s="13">
        <f t="shared" ref="W189:W198" si="39">SUM(E189:V189)</f>
        <v>1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3">
        <f t="shared" si="39"/>
        <v>0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3">
        <f t="shared" si="39"/>
        <v>0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3">
        <f t="shared" si="39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3">
        <f t="shared" si="39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3">
        <f t="shared" si="39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3">
        <f t="shared" si="39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3">
        <f t="shared" si="39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3">
        <f t="shared" si="39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3">
        <f t="shared" si="39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W199" si="40">SUM(E189:E198)</f>
        <v>0</v>
      </c>
      <c r="F199" s="13">
        <f t="shared" si="40"/>
        <v>0</v>
      </c>
      <c r="G199" s="13">
        <f t="shared" si="40"/>
        <v>0</v>
      </c>
      <c r="H199" s="13">
        <f t="shared" si="40"/>
        <v>0</v>
      </c>
      <c r="I199" s="13">
        <f t="shared" si="40"/>
        <v>0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0</v>
      </c>
      <c r="N199" s="13">
        <f t="shared" si="40"/>
        <v>0</v>
      </c>
      <c r="O199" s="13">
        <f t="shared" si="40"/>
        <v>0</v>
      </c>
      <c r="P199" s="13">
        <f t="shared" si="40"/>
        <v>0</v>
      </c>
      <c r="Q199" s="13">
        <f t="shared" si="40"/>
        <v>0</v>
      </c>
      <c r="R199" s="13">
        <f t="shared" si="40"/>
        <v>0</v>
      </c>
      <c r="S199" s="13">
        <f t="shared" si="40"/>
        <v>1</v>
      </c>
      <c r="T199" s="13">
        <f t="shared" si="40"/>
        <v>0</v>
      </c>
      <c r="U199" s="13">
        <f t="shared" si="40"/>
        <v>0</v>
      </c>
      <c r="V199" s="13">
        <f t="shared" si="40"/>
        <v>0</v>
      </c>
      <c r="W199" s="13">
        <f t="shared" si="40"/>
        <v>1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3.0</v>
      </c>
      <c r="F201" s="19">
        <v>6.0</v>
      </c>
      <c r="G201" s="19">
        <v>4.0</v>
      </c>
      <c r="H201" s="19">
        <v>0.0</v>
      </c>
      <c r="I201" s="19">
        <v>3.0</v>
      </c>
      <c r="J201" s="19">
        <v>4.0</v>
      </c>
      <c r="K201" s="19">
        <v>5.0</v>
      </c>
      <c r="L201" s="19">
        <v>3.0</v>
      </c>
      <c r="M201" s="19">
        <v>6.0</v>
      </c>
      <c r="N201" s="19">
        <v>12.0</v>
      </c>
      <c r="O201" s="19">
        <v>11.0</v>
      </c>
      <c r="P201" s="19">
        <v>19.0</v>
      </c>
      <c r="Q201" s="19">
        <v>6.0</v>
      </c>
      <c r="R201" s="19">
        <v>2.0</v>
      </c>
      <c r="S201" s="19">
        <v>0.0</v>
      </c>
      <c r="T201" s="19">
        <v>2.0</v>
      </c>
      <c r="U201" s="19">
        <v>1.0</v>
      </c>
      <c r="V201" s="19">
        <v>0.0</v>
      </c>
      <c r="W201" s="13">
        <f t="shared" ref="W201:W210" si="41">SUM(E201:V201)</f>
        <v>87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5.0</v>
      </c>
      <c r="F202" s="19">
        <v>4.0</v>
      </c>
      <c r="G202" s="19">
        <v>3.0</v>
      </c>
      <c r="H202" s="19">
        <v>2.0</v>
      </c>
      <c r="I202" s="19">
        <v>1.0</v>
      </c>
      <c r="J202" s="19">
        <v>4.0</v>
      </c>
      <c r="K202" s="19">
        <v>4.0</v>
      </c>
      <c r="L202" s="19">
        <v>3.0</v>
      </c>
      <c r="M202" s="19">
        <v>14.0</v>
      </c>
      <c r="N202" s="19">
        <v>6.0</v>
      </c>
      <c r="O202" s="19">
        <v>9.0</v>
      </c>
      <c r="P202" s="19">
        <v>12.0</v>
      </c>
      <c r="Q202" s="19">
        <v>8.0</v>
      </c>
      <c r="R202" s="19">
        <v>4.0</v>
      </c>
      <c r="S202" s="19">
        <v>0.0</v>
      </c>
      <c r="T202" s="19">
        <v>4.0</v>
      </c>
      <c r="U202" s="19">
        <v>4.0</v>
      </c>
      <c r="V202" s="19">
        <v>0.0</v>
      </c>
      <c r="W202" s="13">
        <f t="shared" si="41"/>
        <v>87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1.0</v>
      </c>
      <c r="F203" s="19">
        <v>2.0</v>
      </c>
      <c r="G203" s="19">
        <v>5.0</v>
      </c>
      <c r="H203" s="19">
        <v>0.0</v>
      </c>
      <c r="I203" s="19">
        <v>4.0</v>
      </c>
      <c r="J203" s="19">
        <v>4.0</v>
      </c>
      <c r="K203" s="19">
        <v>3.0</v>
      </c>
      <c r="L203" s="19">
        <v>6.0</v>
      </c>
      <c r="M203" s="19">
        <v>3.0</v>
      </c>
      <c r="N203" s="19">
        <v>8.0</v>
      </c>
      <c r="O203" s="19">
        <v>9.0</v>
      </c>
      <c r="P203" s="19">
        <v>8.0</v>
      </c>
      <c r="Q203" s="19">
        <v>2.0</v>
      </c>
      <c r="R203" s="19">
        <v>2.0</v>
      </c>
      <c r="S203" s="19">
        <v>1.0</v>
      </c>
      <c r="T203" s="19">
        <v>1.0</v>
      </c>
      <c r="U203" s="19">
        <v>5.0</v>
      </c>
      <c r="V203" s="19">
        <v>0.0</v>
      </c>
      <c r="W203" s="13">
        <f t="shared" si="41"/>
        <v>64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2.0</v>
      </c>
      <c r="G204" s="19">
        <v>4.0</v>
      </c>
      <c r="H204" s="19">
        <v>0.0</v>
      </c>
      <c r="I204" s="19">
        <v>1.0</v>
      </c>
      <c r="J204" s="19">
        <v>2.0</v>
      </c>
      <c r="K204" s="19">
        <v>0.0</v>
      </c>
      <c r="L204" s="19">
        <v>0.0</v>
      </c>
      <c r="M204" s="19">
        <v>1.0</v>
      </c>
      <c r="N204" s="19">
        <v>3.0</v>
      </c>
      <c r="O204" s="19">
        <v>1.0</v>
      </c>
      <c r="P204" s="19">
        <v>2.0</v>
      </c>
      <c r="Q204" s="19">
        <v>0.0</v>
      </c>
      <c r="R204" s="19">
        <v>1.0</v>
      </c>
      <c r="S204" s="19">
        <v>0.0</v>
      </c>
      <c r="T204" s="19">
        <v>0.0</v>
      </c>
      <c r="U204" s="19">
        <v>1.0</v>
      </c>
      <c r="V204" s="19">
        <v>0.0</v>
      </c>
      <c r="W204" s="13">
        <f t="shared" si="41"/>
        <v>18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0.0</v>
      </c>
      <c r="G205" s="19">
        <v>0.0</v>
      </c>
      <c r="H205" s="19">
        <v>0.0</v>
      </c>
      <c r="I205" s="19">
        <v>0.0</v>
      </c>
      <c r="J205" s="19">
        <v>0.0</v>
      </c>
      <c r="K205" s="19">
        <v>1.0</v>
      </c>
      <c r="L205" s="19">
        <v>0.0</v>
      </c>
      <c r="M205" s="19">
        <v>0.0</v>
      </c>
      <c r="N205" s="19">
        <v>0.0</v>
      </c>
      <c r="O205" s="19">
        <v>1.0</v>
      </c>
      <c r="P205" s="19">
        <v>1.0</v>
      </c>
      <c r="Q205" s="19">
        <v>0.0</v>
      </c>
      <c r="R205" s="19">
        <v>0.0</v>
      </c>
      <c r="S205" s="19">
        <v>0.0</v>
      </c>
      <c r="T205" s="19">
        <v>2.0</v>
      </c>
      <c r="U205" s="19">
        <v>1.0</v>
      </c>
      <c r="V205" s="19">
        <v>0.0</v>
      </c>
      <c r="W205" s="13">
        <f t="shared" si="41"/>
        <v>6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0.0</v>
      </c>
      <c r="G206" s="19">
        <v>0.0</v>
      </c>
      <c r="H206" s="19">
        <v>0.0</v>
      </c>
      <c r="I206" s="19">
        <v>1.0</v>
      </c>
      <c r="J206" s="19">
        <v>0.0</v>
      </c>
      <c r="K206" s="19">
        <v>1.0</v>
      </c>
      <c r="L206" s="19">
        <v>0.0</v>
      </c>
      <c r="M206" s="19">
        <v>1.0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3">
        <f t="shared" si="41"/>
        <v>3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3">
        <f t="shared" si="41"/>
        <v>0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1.0</v>
      </c>
      <c r="K208" s="19">
        <v>0.0</v>
      </c>
      <c r="L208" s="19">
        <v>0.0</v>
      </c>
      <c r="M208" s="19">
        <v>6.0</v>
      </c>
      <c r="N208" s="19">
        <v>0.0</v>
      </c>
      <c r="O208" s="19">
        <v>1.0</v>
      </c>
      <c r="P208" s="19">
        <v>1.0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3">
        <f t="shared" si="41"/>
        <v>9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3">
        <f t="shared" si="41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3">
        <f t="shared" si="41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W211" si="42">SUM(E201:E210)</f>
        <v>9</v>
      </c>
      <c r="F211" s="13">
        <f t="shared" si="42"/>
        <v>14</v>
      </c>
      <c r="G211" s="13">
        <f t="shared" si="42"/>
        <v>16</v>
      </c>
      <c r="H211" s="13">
        <f t="shared" si="42"/>
        <v>2</v>
      </c>
      <c r="I211" s="13">
        <f t="shared" si="42"/>
        <v>10</v>
      </c>
      <c r="J211" s="13">
        <f t="shared" si="42"/>
        <v>15</v>
      </c>
      <c r="K211" s="13">
        <f t="shared" si="42"/>
        <v>14</v>
      </c>
      <c r="L211" s="13">
        <f t="shared" si="42"/>
        <v>12</v>
      </c>
      <c r="M211" s="13">
        <f t="shared" si="42"/>
        <v>31</v>
      </c>
      <c r="N211" s="13">
        <f t="shared" si="42"/>
        <v>29</v>
      </c>
      <c r="O211" s="13">
        <f t="shared" si="42"/>
        <v>32</v>
      </c>
      <c r="P211" s="13">
        <f t="shared" si="42"/>
        <v>43</v>
      </c>
      <c r="Q211" s="13">
        <f t="shared" si="42"/>
        <v>16</v>
      </c>
      <c r="R211" s="13">
        <f t="shared" si="42"/>
        <v>9</v>
      </c>
      <c r="S211" s="13">
        <f t="shared" si="42"/>
        <v>1</v>
      </c>
      <c r="T211" s="13">
        <f t="shared" si="42"/>
        <v>9</v>
      </c>
      <c r="U211" s="13">
        <f t="shared" si="42"/>
        <v>12</v>
      </c>
      <c r="V211" s="13">
        <f t="shared" si="42"/>
        <v>0</v>
      </c>
      <c r="W211" s="13">
        <f t="shared" si="42"/>
        <v>274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2.0</v>
      </c>
      <c r="G213" s="19">
        <v>1.0</v>
      </c>
      <c r="H213" s="19">
        <v>2.0</v>
      </c>
      <c r="I213" s="19">
        <v>1.0</v>
      </c>
      <c r="J213" s="19">
        <v>3.0</v>
      </c>
      <c r="K213" s="19">
        <v>2.0</v>
      </c>
      <c r="L213" s="19">
        <v>3.0</v>
      </c>
      <c r="M213" s="19">
        <v>5.0</v>
      </c>
      <c r="N213" s="19">
        <v>2.0</v>
      </c>
      <c r="O213" s="19">
        <v>1.0</v>
      </c>
      <c r="P213" s="19">
        <v>3.0</v>
      </c>
      <c r="Q213" s="19">
        <v>3.0</v>
      </c>
      <c r="R213" s="19">
        <v>3.0</v>
      </c>
      <c r="S213" s="19">
        <v>8.0</v>
      </c>
      <c r="T213" s="19">
        <v>1.0</v>
      </c>
      <c r="U213" s="19">
        <v>2.0</v>
      </c>
      <c r="V213" s="19">
        <v>0.0</v>
      </c>
      <c r="W213" s="13">
        <f t="shared" ref="W213:W222" si="43">SUM(E213:V213)</f>
        <v>43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0.0</v>
      </c>
      <c r="F214" s="19">
        <v>0.0</v>
      </c>
      <c r="G214" s="19">
        <v>1.0</v>
      </c>
      <c r="H214" s="19">
        <v>0.0</v>
      </c>
      <c r="I214" s="19">
        <v>13.0</v>
      </c>
      <c r="J214" s="19">
        <v>0.0</v>
      </c>
      <c r="K214" s="19">
        <v>0.0</v>
      </c>
      <c r="L214" s="19">
        <v>0.0</v>
      </c>
      <c r="M214" s="19">
        <v>2.0</v>
      </c>
      <c r="N214" s="19">
        <v>0.0</v>
      </c>
      <c r="O214" s="19">
        <v>0.0</v>
      </c>
      <c r="P214" s="19">
        <v>1.0</v>
      </c>
      <c r="Q214" s="19">
        <v>1.0</v>
      </c>
      <c r="R214" s="19">
        <v>0.0</v>
      </c>
      <c r="S214" s="19">
        <v>0.0</v>
      </c>
      <c r="T214" s="19">
        <v>0.0</v>
      </c>
      <c r="U214" s="19">
        <v>0.0</v>
      </c>
      <c r="V214" s="19">
        <v>0.0</v>
      </c>
      <c r="W214" s="13">
        <f t="shared" si="43"/>
        <v>18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2.0</v>
      </c>
      <c r="F215" s="19">
        <v>11.0</v>
      </c>
      <c r="G215" s="19">
        <v>6.0</v>
      </c>
      <c r="H215" s="19">
        <v>0.0</v>
      </c>
      <c r="I215" s="19">
        <v>3.0</v>
      </c>
      <c r="J215" s="19">
        <v>0.0</v>
      </c>
      <c r="K215" s="19">
        <v>0.0</v>
      </c>
      <c r="L215" s="19">
        <v>2.0</v>
      </c>
      <c r="M215" s="19">
        <v>35.0</v>
      </c>
      <c r="N215" s="19">
        <v>26.0</v>
      </c>
      <c r="O215" s="19">
        <v>16.0</v>
      </c>
      <c r="P215" s="19">
        <v>53.0</v>
      </c>
      <c r="Q215" s="19">
        <v>16.0</v>
      </c>
      <c r="R215" s="19">
        <v>73.0</v>
      </c>
      <c r="S215" s="19">
        <v>43.0</v>
      </c>
      <c r="T215" s="19">
        <v>8.0</v>
      </c>
      <c r="U215" s="19">
        <v>34.0</v>
      </c>
      <c r="V215" s="19">
        <v>14.0</v>
      </c>
      <c r="W215" s="13">
        <f t="shared" si="43"/>
        <v>342</v>
      </c>
    </row>
    <row r="216" ht="12.75" customHeight="1">
      <c r="A216" s="18"/>
      <c r="B216" s="55">
        <v>3.0</v>
      </c>
      <c r="C216" s="69" t="s">
        <v>159</v>
      </c>
      <c r="E216" s="19">
        <v>0.0</v>
      </c>
      <c r="F216" s="19">
        <v>0.0</v>
      </c>
      <c r="G216" s="19">
        <v>0.0</v>
      </c>
      <c r="H216" s="19">
        <v>1.0</v>
      </c>
      <c r="I216" s="19">
        <v>0.0</v>
      </c>
      <c r="J216" s="19">
        <v>1.0</v>
      </c>
      <c r="K216" s="19">
        <v>0.0</v>
      </c>
      <c r="L216" s="19">
        <v>0.0</v>
      </c>
      <c r="M216" s="19">
        <v>0.0</v>
      </c>
      <c r="N216" s="19">
        <v>1.0</v>
      </c>
      <c r="O216" s="19">
        <v>1.0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0.0</v>
      </c>
      <c r="W216" s="13">
        <f t="shared" si="43"/>
        <v>4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1.0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3">
        <f t="shared" si="43"/>
        <v>1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3">
        <f t="shared" si="43"/>
        <v>0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3">
        <f t="shared" si="43"/>
        <v>0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1.0</v>
      </c>
      <c r="H220" s="19">
        <v>1.0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3">
        <f t="shared" si="43"/>
        <v>2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3">
        <f t="shared" si="43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3">
        <f t="shared" si="43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W223" si="44">SUM(E213:E222)</f>
        <v>3</v>
      </c>
      <c r="F223" s="13">
        <f t="shared" si="44"/>
        <v>13</v>
      </c>
      <c r="G223" s="13">
        <f t="shared" si="44"/>
        <v>9</v>
      </c>
      <c r="H223" s="13">
        <f t="shared" si="44"/>
        <v>5</v>
      </c>
      <c r="I223" s="13">
        <f t="shared" si="44"/>
        <v>17</v>
      </c>
      <c r="J223" s="13">
        <f t="shared" si="44"/>
        <v>4</v>
      </c>
      <c r="K223" s="13">
        <f t="shared" si="44"/>
        <v>2</v>
      </c>
      <c r="L223" s="13">
        <f t="shared" si="44"/>
        <v>5</v>
      </c>
      <c r="M223" s="13">
        <f t="shared" si="44"/>
        <v>42</v>
      </c>
      <c r="N223" s="13">
        <f t="shared" si="44"/>
        <v>29</v>
      </c>
      <c r="O223" s="13">
        <f t="shared" si="44"/>
        <v>18</v>
      </c>
      <c r="P223" s="13">
        <f t="shared" si="44"/>
        <v>57</v>
      </c>
      <c r="Q223" s="13">
        <f t="shared" si="44"/>
        <v>20</v>
      </c>
      <c r="R223" s="13">
        <f t="shared" si="44"/>
        <v>76</v>
      </c>
      <c r="S223" s="13">
        <f t="shared" si="44"/>
        <v>51</v>
      </c>
      <c r="T223" s="13">
        <f t="shared" si="44"/>
        <v>9</v>
      </c>
      <c r="U223" s="13">
        <f t="shared" si="44"/>
        <v>36</v>
      </c>
      <c r="V223" s="13">
        <f t="shared" si="44"/>
        <v>14</v>
      </c>
      <c r="W223" s="13">
        <f t="shared" si="44"/>
        <v>410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3">
        <f t="shared" ref="W225:W234" si="45">SUM(E225:V225)</f>
        <v>0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6.0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9">
        <v>0.0</v>
      </c>
      <c r="U226" s="19">
        <v>0.0</v>
      </c>
      <c r="V226" s="19">
        <v>0.0</v>
      </c>
      <c r="W226" s="13">
        <f t="shared" si="45"/>
        <v>6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1.0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3">
        <f t="shared" si="45"/>
        <v>1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3">
        <f t="shared" si="45"/>
        <v>0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3">
        <f t="shared" si="45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3">
        <f t="shared" si="45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3">
        <f t="shared" si="45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1.0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3">
        <f t="shared" si="45"/>
        <v>1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3">
        <f t="shared" si="45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3">
        <f t="shared" si="45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W235" si="46">SUM(E225:E234)</f>
        <v>0</v>
      </c>
      <c r="F235" s="13">
        <f t="shared" si="46"/>
        <v>1</v>
      </c>
      <c r="G235" s="13">
        <f t="shared" si="46"/>
        <v>0</v>
      </c>
      <c r="H235" s="13">
        <f t="shared" si="46"/>
        <v>0</v>
      </c>
      <c r="I235" s="13">
        <f t="shared" si="46"/>
        <v>0</v>
      </c>
      <c r="J235" s="13">
        <f t="shared" si="46"/>
        <v>0</v>
      </c>
      <c r="K235" s="13">
        <f t="shared" si="46"/>
        <v>6</v>
      </c>
      <c r="L235" s="13">
        <f t="shared" si="46"/>
        <v>0</v>
      </c>
      <c r="M235" s="13">
        <f t="shared" si="46"/>
        <v>0</v>
      </c>
      <c r="N235" s="13">
        <f t="shared" si="46"/>
        <v>1</v>
      </c>
      <c r="O235" s="13">
        <f t="shared" si="46"/>
        <v>0</v>
      </c>
      <c r="P235" s="13">
        <f t="shared" si="46"/>
        <v>0</v>
      </c>
      <c r="Q235" s="13">
        <f t="shared" si="46"/>
        <v>0</v>
      </c>
      <c r="R235" s="13">
        <f t="shared" si="46"/>
        <v>0</v>
      </c>
      <c r="S235" s="13">
        <f t="shared" si="46"/>
        <v>0</v>
      </c>
      <c r="T235" s="13">
        <f t="shared" si="46"/>
        <v>0</v>
      </c>
      <c r="U235" s="13">
        <f t="shared" si="46"/>
        <v>0</v>
      </c>
      <c r="V235" s="13">
        <f t="shared" si="46"/>
        <v>0</v>
      </c>
      <c r="W235" s="13">
        <f t="shared" si="46"/>
        <v>8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2.0</v>
      </c>
      <c r="H237" s="19">
        <v>0.0</v>
      </c>
      <c r="I237" s="19">
        <v>0.0</v>
      </c>
      <c r="J237" s="19">
        <v>0.0</v>
      </c>
      <c r="K237" s="19">
        <v>1.0</v>
      </c>
      <c r="L237" s="19">
        <v>1.0</v>
      </c>
      <c r="M237" s="19">
        <v>0.0</v>
      </c>
      <c r="N237" s="19">
        <v>2.0</v>
      </c>
      <c r="O237" s="19">
        <v>0.0</v>
      </c>
      <c r="P237" s="19">
        <v>0.0</v>
      </c>
      <c r="Q237" s="19">
        <v>2.0</v>
      </c>
      <c r="R237" s="19">
        <v>0.0</v>
      </c>
      <c r="S237" s="19">
        <v>1.0</v>
      </c>
      <c r="T237" s="19">
        <v>0.0</v>
      </c>
      <c r="U237" s="19">
        <v>0.0</v>
      </c>
      <c r="V237" s="19">
        <v>0.0</v>
      </c>
      <c r="W237" s="13">
        <f t="shared" ref="W237:W246" si="47">SUM(E237:V237)</f>
        <v>9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1.0</v>
      </c>
      <c r="F238" s="19">
        <v>1.0</v>
      </c>
      <c r="G238" s="19">
        <v>0.0</v>
      </c>
      <c r="H238" s="19">
        <v>0.0</v>
      </c>
      <c r="I238" s="19">
        <v>1.0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0.0</v>
      </c>
      <c r="P238" s="19">
        <v>0.0</v>
      </c>
      <c r="Q238" s="19">
        <v>0.0</v>
      </c>
      <c r="R238" s="19">
        <v>0.0</v>
      </c>
      <c r="S238" s="19">
        <v>1.0</v>
      </c>
      <c r="T238" s="19">
        <v>0.0</v>
      </c>
      <c r="U238" s="19">
        <v>0.0</v>
      </c>
      <c r="V238" s="19">
        <v>0.0</v>
      </c>
      <c r="W238" s="13">
        <f t="shared" si="47"/>
        <v>4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3.0</v>
      </c>
      <c r="F239" s="19">
        <v>0.0</v>
      </c>
      <c r="G239" s="19">
        <v>0.0</v>
      </c>
      <c r="H239" s="19">
        <v>0.0</v>
      </c>
      <c r="I239" s="19">
        <v>0.0</v>
      </c>
      <c r="J239" s="19">
        <v>0.0</v>
      </c>
      <c r="K239" s="19">
        <v>1.0</v>
      </c>
      <c r="L239" s="19">
        <v>1.0</v>
      </c>
      <c r="M239" s="19">
        <v>0.0</v>
      </c>
      <c r="N239" s="19">
        <v>0.0</v>
      </c>
      <c r="O239" s="19">
        <v>0.0</v>
      </c>
      <c r="P239" s="19">
        <v>5.0</v>
      </c>
      <c r="Q239" s="19">
        <v>4.0</v>
      </c>
      <c r="R239" s="19">
        <v>0.0</v>
      </c>
      <c r="S239" s="19">
        <v>0.0</v>
      </c>
      <c r="T239" s="19">
        <v>0.0</v>
      </c>
      <c r="U239" s="19">
        <v>0.0</v>
      </c>
      <c r="V239" s="19">
        <v>0.0</v>
      </c>
      <c r="W239" s="13">
        <f t="shared" si="47"/>
        <v>14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1.0</v>
      </c>
      <c r="F240" s="19">
        <v>0.0</v>
      </c>
      <c r="G240" s="19">
        <v>1.0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2.0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3">
        <f t="shared" si="47"/>
        <v>4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1.0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3">
        <f t="shared" si="47"/>
        <v>1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3">
        <f t="shared" si="47"/>
        <v>0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3">
        <f t="shared" si="47"/>
        <v>0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3.0</v>
      </c>
      <c r="F244" s="19">
        <v>0.0</v>
      </c>
      <c r="G244" s="19">
        <v>0.0</v>
      </c>
      <c r="H244" s="19">
        <v>1.0</v>
      </c>
      <c r="I244" s="19">
        <v>1.0</v>
      </c>
      <c r="J244" s="19">
        <v>0.0</v>
      </c>
      <c r="K244" s="19">
        <v>0.0</v>
      </c>
      <c r="L244" s="19">
        <v>0.0</v>
      </c>
      <c r="M244" s="19">
        <v>0.0</v>
      </c>
      <c r="N244" s="19">
        <v>0.0</v>
      </c>
      <c r="O244" s="19">
        <v>0.0</v>
      </c>
      <c r="P244" s="19">
        <v>0.0</v>
      </c>
      <c r="Q244" s="19">
        <v>0.0</v>
      </c>
      <c r="R244" s="19">
        <v>0.0</v>
      </c>
      <c r="S244" s="19">
        <v>0.0</v>
      </c>
      <c r="T244" s="19">
        <v>0.0</v>
      </c>
      <c r="U244" s="19">
        <v>0.0</v>
      </c>
      <c r="V244" s="19">
        <v>0.0</v>
      </c>
      <c r="W244" s="13">
        <f t="shared" si="47"/>
        <v>5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3">
        <f t="shared" si="47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3">
        <f t="shared" si="47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W247" si="48">SUM(E237:E246)</f>
        <v>8</v>
      </c>
      <c r="F247" s="13">
        <f t="shared" si="48"/>
        <v>1</v>
      </c>
      <c r="G247" s="13">
        <f t="shared" si="48"/>
        <v>3</v>
      </c>
      <c r="H247" s="13">
        <f t="shared" si="48"/>
        <v>1</v>
      </c>
      <c r="I247" s="13">
        <f t="shared" si="48"/>
        <v>2</v>
      </c>
      <c r="J247" s="13">
        <f t="shared" si="48"/>
        <v>0</v>
      </c>
      <c r="K247" s="13">
        <f t="shared" si="48"/>
        <v>3</v>
      </c>
      <c r="L247" s="13">
        <f t="shared" si="48"/>
        <v>2</v>
      </c>
      <c r="M247" s="13">
        <f t="shared" si="48"/>
        <v>2</v>
      </c>
      <c r="N247" s="13">
        <f t="shared" si="48"/>
        <v>2</v>
      </c>
      <c r="O247" s="13">
        <f t="shared" si="48"/>
        <v>0</v>
      </c>
      <c r="P247" s="13">
        <f t="shared" si="48"/>
        <v>5</v>
      </c>
      <c r="Q247" s="13">
        <f t="shared" si="48"/>
        <v>6</v>
      </c>
      <c r="R247" s="13">
        <f t="shared" si="48"/>
        <v>0</v>
      </c>
      <c r="S247" s="13">
        <f t="shared" si="48"/>
        <v>2</v>
      </c>
      <c r="T247" s="13">
        <f t="shared" si="48"/>
        <v>0</v>
      </c>
      <c r="U247" s="13">
        <f t="shared" si="48"/>
        <v>0</v>
      </c>
      <c r="V247" s="13">
        <f t="shared" si="48"/>
        <v>0</v>
      </c>
      <c r="W247" s="13">
        <f t="shared" si="48"/>
        <v>37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1.0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3">
        <f t="shared" ref="W249:W258" si="49">SUM(E249:V249)</f>
        <v>1</v>
      </c>
    </row>
    <row r="250" ht="12.75" customHeight="1">
      <c r="A250" s="30" t="s">
        <v>39</v>
      </c>
      <c r="B250" s="55">
        <v>1.0</v>
      </c>
      <c r="C250" s="66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1.0</v>
      </c>
      <c r="M250" s="19">
        <v>0.0</v>
      </c>
      <c r="N250" s="19">
        <v>1.0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3">
        <f t="shared" si="49"/>
        <v>2</v>
      </c>
    </row>
    <row r="251" ht="12.75" customHeight="1">
      <c r="A251" s="18"/>
      <c r="B251" s="55">
        <v>2.0</v>
      </c>
      <c r="C251" s="66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1.0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3">
        <f t="shared" si="49"/>
        <v>1</v>
      </c>
    </row>
    <row r="252" ht="12.75" customHeight="1">
      <c r="A252" s="18"/>
      <c r="B252" s="55">
        <v>3.0</v>
      </c>
      <c r="C252" s="66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3">
        <f t="shared" si="49"/>
        <v>0</v>
      </c>
    </row>
    <row r="253" ht="12.75" customHeight="1">
      <c r="A253" s="18"/>
      <c r="B253" s="55">
        <v>4.0</v>
      </c>
      <c r="C253" s="66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3">
        <f t="shared" si="49"/>
        <v>0</v>
      </c>
    </row>
    <row r="254" ht="12.75" customHeight="1">
      <c r="A254" s="18"/>
      <c r="B254" s="55">
        <v>5.0</v>
      </c>
      <c r="C254" s="66" t="s">
        <v>188</v>
      </c>
      <c r="D254" s="60"/>
      <c r="E254" s="19">
        <v>1.0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3">
        <f t="shared" si="49"/>
        <v>1</v>
      </c>
    </row>
    <row r="255" ht="12.75" customHeight="1">
      <c r="A255" s="18"/>
      <c r="B255" s="55">
        <v>6.0</v>
      </c>
      <c r="C255" s="66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3">
        <f t="shared" si="49"/>
        <v>0</v>
      </c>
    </row>
    <row r="256" ht="12.75" customHeight="1">
      <c r="A256" s="18"/>
      <c r="B256" s="56"/>
      <c r="C256" s="67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3">
        <f t="shared" si="49"/>
        <v>0</v>
      </c>
    </row>
    <row r="257" ht="12.75" customHeight="1">
      <c r="A257" s="18"/>
      <c r="B257" s="56"/>
      <c r="C257" s="67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3">
        <f t="shared" si="49"/>
        <v>0</v>
      </c>
    </row>
    <row r="258" ht="12.75" customHeight="1">
      <c r="A258" s="18"/>
      <c r="B258" s="56"/>
      <c r="C258" s="67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3">
        <f t="shared" si="49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W259" si="50">SUM(E249:E258)</f>
        <v>1</v>
      </c>
      <c r="F259" s="13">
        <f t="shared" si="50"/>
        <v>0</v>
      </c>
      <c r="G259" s="13">
        <f t="shared" si="50"/>
        <v>0</v>
      </c>
      <c r="H259" s="13">
        <f t="shared" si="50"/>
        <v>0</v>
      </c>
      <c r="I259" s="13">
        <f t="shared" si="50"/>
        <v>0</v>
      </c>
      <c r="J259" s="13">
        <f t="shared" si="50"/>
        <v>0</v>
      </c>
      <c r="K259" s="13">
        <f t="shared" si="50"/>
        <v>0</v>
      </c>
      <c r="L259" s="13">
        <f t="shared" si="50"/>
        <v>1</v>
      </c>
      <c r="M259" s="13">
        <f t="shared" si="50"/>
        <v>1</v>
      </c>
      <c r="N259" s="13">
        <f t="shared" si="50"/>
        <v>2</v>
      </c>
      <c r="O259" s="13">
        <f t="shared" si="50"/>
        <v>0</v>
      </c>
      <c r="P259" s="13">
        <f t="shared" si="50"/>
        <v>0</v>
      </c>
      <c r="Q259" s="13">
        <f t="shared" si="50"/>
        <v>0</v>
      </c>
      <c r="R259" s="13">
        <f t="shared" si="50"/>
        <v>0</v>
      </c>
      <c r="S259" s="13">
        <f t="shared" si="50"/>
        <v>0</v>
      </c>
      <c r="T259" s="13">
        <f t="shared" si="50"/>
        <v>0</v>
      </c>
      <c r="U259" s="13">
        <f t="shared" si="50"/>
        <v>0</v>
      </c>
      <c r="V259" s="13">
        <f t="shared" si="50"/>
        <v>0</v>
      </c>
      <c r="W259" s="13">
        <f t="shared" si="50"/>
        <v>5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</row>
    <row r="262" ht="12.75" customHeight="1">
      <c r="A262" s="42"/>
      <c r="B262" s="70" t="s">
        <v>192</v>
      </c>
      <c r="C262" s="71" t="s">
        <v>193</v>
      </c>
      <c r="D262" s="16"/>
      <c r="E262" s="19">
        <f t="shared" ref="E262:V262" si="51">E55+E67+E79+E91+E103+E115+E127+E139+E151+E163+E175+E187+E199+E211+E223+E235+E247+E259</f>
        <v>164</v>
      </c>
      <c r="F262" s="19">
        <f t="shared" si="51"/>
        <v>181</v>
      </c>
      <c r="G262" s="19">
        <f t="shared" si="51"/>
        <v>174</v>
      </c>
      <c r="H262" s="19">
        <f t="shared" si="51"/>
        <v>186</v>
      </c>
      <c r="I262" s="19">
        <f t="shared" si="51"/>
        <v>183</v>
      </c>
      <c r="J262" s="19">
        <f t="shared" si="51"/>
        <v>175</v>
      </c>
      <c r="K262" s="19">
        <f t="shared" si="51"/>
        <v>176</v>
      </c>
      <c r="L262" s="19">
        <f t="shared" si="51"/>
        <v>218</v>
      </c>
      <c r="M262" s="19">
        <f t="shared" si="51"/>
        <v>205</v>
      </c>
      <c r="N262" s="19">
        <f t="shared" si="51"/>
        <v>172</v>
      </c>
      <c r="O262" s="19">
        <f t="shared" si="51"/>
        <v>188</v>
      </c>
      <c r="P262" s="19">
        <f t="shared" si="51"/>
        <v>195</v>
      </c>
      <c r="Q262" s="19">
        <f t="shared" si="51"/>
        <v>160</v>
      </c>
      <c r="R262" s="19">
        <f t="shared" si="51"/>
        <v>200</v>
      </c>
      <c r="S262" s="19">
        <f t="shared" si="51"/>
        <v>189</v>
      </c>
      <c r="T262" s="19">
        <f t="shared" si="51"/>
        <v>111</v>
      </c>
      <c r="U262" s="19">
        <f t="shared" si="51"/>
        <v>177</v>
      </c>
      <c r="V262" s="19">
        <f t="shared" si="51"/>
        <v>129</v>
      </c>
      <c r="W262" s="13">
        <f t="shared" ref="W262:W264" si="52">SUM(E262:V262)</f>
        <v>3183</v>
      </c>
    </row>
    <row r="263" ht="12.75" customHeight="1">
      <c r="A263" s="35"/>
      <c r="B263" s="70" t="s">
        <v>194</v>
      </c>
      <c r="C263" s="71" t="s">
        <v>195</v>
      </c>
      <c r="D263" s="16"/>
      <c r="E263" s="19">
        <v>24.0</v>
      </c>
      <c r="F263" s="19">
        <v>28.0</v>
      </c>
      <c r="G263" s="19">
        <v>24.0</v>
      </c>
      <c r="H263" s="19">
        <v>19.0</v>
      </c>
      <c r="I263" s="19">
        <v>16.0</v>
      </c>
      <c r="J263" s="19">
        <v>50.0</v>
      </c>
      <c r="K263" s="19">
        <v>25.0</v>
      </c>
      <c r="L263" s="19">
        <v>17.0</v>
      </c>
      <c r="M263" s="19">
        <v>9.0</v>
      </c>
      <c r="N263" s="19">
        <v>19.0</v>
      </c>
      <c r="O263" s="19">
        <v>14.0</v>
      </c>
      <c r="P263" s="19">
        <v>19.0</v>
      </c>
      <c r="Q263" s="19">
        <v>35.0</v>
      </c>
      <c r="R263" s="19">
        <v>22.0</v>
      </c>
      <c r="S263" s="19">
        <v>25.0</v>
      </c>
      <c r="T263" s="19">
        <v>13.0</v>
      </c>
      <c r="U263" s="19">
        <v>17.0</v>
      </c>
      <c r="V263" s="19">
        <v>1.0</v>
      </c>
      <c r="W263" s="13">
        <f t="shared" si="52"/>
        <v>377</v>
      </c>
    </row>
    <row r="264" ht="12.75" customHeight="1">
      <c r="A264" s="41"/>
      <c r="B264" s="70" t="s">
        <v>196</v>
      </c>
      <c r="C264" s="71" t="s">
        <v>197</v>
      </c>
      <c r="D264" s="16"/>
      <c r="E264" s="13">
        <f t="shared" ref="E264:V264" si="53">SUM(E262:E263)</f>
        <v>188</v>
      </c>
      <c r="F264" s="13">
        <f t="shared" si="53"/>
        <v>209</v>
      </c>
      <c r="G264" s="13">
        <f t="shared" si="53"/>
        <v>198</v>
      </c>
      <c r="H264" s="13">
        <f t="shared" si="53"/>
        <v>205</v>
      </c>
      <c r="I264" s="13">
        <f t="shared" si="53"/>
        <v>199</v>
      </c>
      <c r="J264" s="13">
        <f t="shared" si="53"/>
        <v>225</v>
      </c>
      <c r="K264" s="13">
        <f t="shared" si="53"/>
        <v>201</v>
      </c>
      <c r="L264" s="13">
        <f t="shared" si="53"/>
        <v>235</v>
      </c>
      <c r="M264" s="13">
        <f t="shared" si="53"/>
        <v>214</v>
      </c>
      <c r="N264" s="13">
        <f t="shared" si="53"/>
        <v>191</v>
      </c>
      <c r="O264" s="13">
        <f t="shared" si="53"/>
        <v>202</v>
      </c>
      <c r="P264" s="13">
        <f t="shared" si="53"/>
        <v>214</v>
      </c>
      <c r="Q264" s="13">
        <f t="shared" si="53"/>
        <v>195</v>
      </c>
      <c r="R264" s="13">
        <f t="shared" si="53"/>
        <v>222</v>
      </c>
      <c r="S264" s="13">
        <f t="shared" si="53"/>
        <v>214</v>
      </c>
      <c r="T264" s="13">
        <f t="shared" si="53"/>
        <v>124</v>
      </c>
      <c r="U264" s="13">
        <f t="shared" si="53"/>
        <v>194</v>
      </c>
      <c r="V264" s="13">
        <f t="shared" si="53"/>
        <v>130</v>
      </c>
      <c r="W264" s="13">
        <f t="shared" si="52"/>
        <v>3560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V12"/>
    <mergeCell ref="W12:W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Q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Q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V15">
    <cfRule type="containsBlanks" dxfId="1" priority="1">
      <formula>LEN(TRIM(E14))=0</formula>
    </cfRule>
  </conditionalFormatting>
  <conditionalFormatting sqref="E19:V20">
    <cfRule type="containsBlanks" dxfId="1" priority="2">
      <formula>LEN(TRIM(E19))=0</formula>
    </cfRule>
  </conditionalFormatting>
  <conditionalFormatting sqref="E22:V23 E25:V26 E33:V33 E35:V35 E39:V40">
    <cfRule type="containsBlanks" dxfId="1" priority="3">
      <formula>LEN(TRIM(E22))=0</formula>
    </cfRule>
  </conditionalFormatting>
  <conditionalFormatting sqref="E30:V30">
    <cfRule type="expression" dxfId="0" priority="4">
      <formula>E30&lt;&gt;E47</formula>
    </cfRule>
  </conditionalFormatting>
  <conditionalFormatting sqref="E30:V30">
    <cfRule type="expression" dxfId="0" priority="5">
      <formula>E30&lt;&gt;E34</formula>
    </cfRule>
  </conditionalFormatting>
  <conditionalFormatting sqref="E34:V34">
    <cfRule type="expression" dxfId="2" priority="6">
      <formula>E30&lt;&gt;E34</formula>
    </cfRule>
  </conditionalFormatting>
  <conditionalFormatting sqref="E34:V34">
    <cfRule type="expression" dxfId="3" priority="7">
      <formula>E30=E34</formula>
    </cfRule>
  </conditionalFormatting>
  <conditionalFormatting sqref="E34:V34">
    <cfRule type="expression" dxfId="0" priority="8">
      <formula>E34&lt;&gt;E30</formula>
    </cfRule>
  </conditionalFormatting>
  <conditionalFormatting sqref="E34:V34">
    <cfRule type="expression" dxfId="0" priority="9">
      <formula>E34&lt;&gt;E64</formula>
    </cfRule>
  </conditionalFormatting>
  <conditionalFormatting sqref="E45:V54">
    <cfRule type="containsBlanks" dxfId="1" priority="10">
      <formula>LEN(TRIM(E45))=0</formula>
    </cfRule>
  </conditionalFormatting>
  <conditionalFormatting sqref="E57:V66">
    <cfRule type="containsBlanks" dxfId="1" priority="11">
      <formula>LEN(TRIM(E57))=0</formula>
    </cfRule>
  </conditionalFormatting>
  <conditionalFormatting sqref="E69:V78">
    <cfRule type="containsBlanks" dxfId="1" priority="12">
      <formula>LEN(TRIM(E69))=0</formula>
    </cfRule>
  </conditionalFormatting>
  <conditionalFormatting sqref="E81:V90">
    <cfRule type="containsBlanks" dxfId="1" priority="13">
      <formula>LEN(TRIM(E81))=0</formula>
    </cfRule>
  </conditionalFormatting>
  <conditionalFormatting sqref="E93:V102">
    <cfRule type="containsBlanks" dxfId="1" priority="14">
      <formula>LEN(TRIM(E93))=0</formula>
    </cfRule>
  </conditionalFormatting>
  <conditionalFormatting sqref="E105:V114">
    <cfRule type="containsBlanks" dxfId="1" priority="15">
      <formula>LEN(TRIM(E105))=0</formula>
    </cfRule>
  </conditionalFormatting>
  <conditionalFormatting sqref="E117:V126">
    <cfRule type="containsBlanks" dxfId="1" priority="16">
      <formula>LEN(TRIM(E117))=0</formula>
    </cfRule>
  </conditionalFormatting>
  <conditionalFormatting sqref="E129:V138">
    <cfRule type="containsBlanks" dxfId="1" priority="17">
      <formula>LEN(TRIM(E129))=0</formula>
    </cfRule>
  </conditionalFormatting>
  <conditionalFormatting sqref="E141:V150">
    <cfRule type="containsBlanks" dxfId="1" priority="18">
      <formula>LEN(TRIM(E141))=0</formula>
    </cfRule>
  </conditionalFormatting>
  <conditionalFormatting sqref="E153:V162">
    <cfRule type="containsBlanks" dxfId="1" priority="19">
      <formula>LEN(TRIM(E153))=0</formula>
    </cfRule>
  </conditionalFormatting>
  <conditionalFormatting sqref="E165:V174">
    <cfRule type="containsBlanks" dxfId="1" priority="20">
      <formula>LEN(TRIM(E165))=0</formula>
    </cfRule>
  </conditionalFormatting>
  <conditionalFormatting sqref="E177:V186">
    <cfRule type="containsBlanks" dxfId="1" priority="21">
      <formula>LEN(TRIM(E177))=0</formula>
    </cfRule>
  </conditionalFormatting>
  <conditionalFormatting sqref="E189:V198">
    <cfRule type="containsBlanks" dxfId="1" priority="22">
      <formula>LEN(TRIM(E189))=0</formula>
    </cfRule>
  </conditionalFormatting>
  <conditionalFormatting sqref="E201:V210">
    <cfRule type="containsBlanks" dxfId="1" priority="23">
      <formula>LEN(TRIM(E201))=0</formula>
    </cfRule>
  </conditionalFormatting>
  <conditionalFormatting sqref="E213:V222">
    <cfRule type="containsBlanks" dxfId="1" priority="24">
      <formula>LEN(TRIM(E213))=0</formula>
    </cfRule>
  </conditionalFormatting>
  <conditionalFormatting sqref="E225:V234">
    <cfRule type="containsBlanks" dxfId="1" priority="25">
      <formula>LEN(TRIM(E225))=0</formula>
    </cfRule>
  </conditionalFormatting>
  <conditionalFormatting sqref="E237:V246">
    <cfRule type="containsBlanks" dxfId="1" priority="26">
      <formula>LEN(TRIM(E237))=0</formula>
    </cfRule>
  </conditionalFormatting>
  <conditionalFormatting sqref="E249:V258">
    <cfRule type="containsBlanks" dxfId="1" priority="27">
      <formula>LEN(TRIM(E249))=0</formula>
    </cfRule>
  </conditionalFormatting>
  <conditionalFormatting sqref="E262:V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5" width="8.71"/>
    <col customWidth="1" min="26" max="26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R11" s="1"/>
      <c r="S11" s="1"/>
      <c r="T11" s="1"/>
      <c r="U11" s="2"/>
      <c r="Y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7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220</v>
      </c>
      <c r="W13" s="13" t="s">
        <v>222</v>
      </c>
      <c r="X13" s="13" t="s">
        <v>223</v>
      </c>
      <c r="Y13" s="13" t="s">
        <v>224</v>
      </c>
      <c r="Z13" s="36"/>
    </row>
    <row r="14" ht="12.75" customHeight="1">
      <c r="A14" s="18"/>
      <c r="B14" s="22" t="s">
        <v>11</v>
      </c>
      <c r="C14" s="23"/>
      <c r="D14" s="19" t="s">
        <v>12</v>
      </c>
      <c r="E14" s="19">
        <v>127.0</v>
      </c>
      <c r="F14" s="19">
        <v>132.0</v>
      </c>
      <c r="G14" s="19">
        <v>138.0</v>
      </c>
      <c r="H14" s="19">
        <v>128.0</v>
      </c>
      <c r="I14" s="19">
        <v>130.0</v>
      </c>
      <c r="J14" s="19">
        <v>122.0</v>
      </c>
      <c r="K14" s="19">
        <v>140.0</v>
      </c>
      <c r="L14" s="19">
        <v>124.0</v>
      </c>
      <c r="M14" s="19">
        <v>135.0</v>
      </c>
      <c r="N14" s="19">
        <v>118.0</v>
      </c>
      <c r="O14" s="19">
        <v>144.0</v>
      </c>
      <c r="P14" s="19">
        <v>109.0</v>
      </c>
      <c r="Q14" s="19">
        <v>145.0</v>
      </c>
      <c r="R14" s="19">
        <v>127.0</v>
      </c>
      <c r="S14" s="19">
        <v>135.0</v>
      </c>
      <c r="T14" s="19">
        <v>138.0</v>
      </c>
      <c r="U14" s="19">
        <v>140.0</v>
      </c>
      <c r="V14" s="19">
        <v>138.0</v>
      </c>
      <c r="W14" s="19">
        <v>135.0</v>
      </c>
      <c r="X14" s="19">
        <v>132.0</v>
      </c>
      <c r="Y14" s="19">
        <v>115.0</v>
      </c>
      <c r="Z14" s="13">
        <f t="shared" ref="Z14:Z16" si="1">SUM(E14:Y14)</f>
        <v>2752</v>
      </c>
    </row>
    <row r="15" ht="12.75" customHeight="1">
      <c r="A15" s="18"/>
      <c r="B15" s="26"/>
      <c r="C15" s="27"/>
      <c r="D15" s="19" t="s">
        <v>13</v>
      </c>
      <c r="E15" s="19">
        <v>142.0</v>
      </c>
      <c r="F15" s="19">
        <v>136.0</v>
      </c>
      <c r="G15" s="19">
        <v>150.0</v>
      </c>
      <c r="H15" s="19">
        <v>149.0</v>
      </c>
      <c r="I15" s="19">
        <v>140.0</v>
      </c>
      <c r="J15" s="19">
        <v>117.0</v>
      </c>
      <c r="K15" s="19">
        <v>150.0</v>
      </c>
      <c r="L15" s="19">
        <v>129.0</v>
      </c>
      <c r="M15" s="19">
        <v>152.0</v>
      </c>
      <c r="N15" s="19">
        <v>125.0</v>
      </c>
      <c r="O15" s="19">
        <v>143.0</v>
      </c>
      <c r="P15" s="19">
        <v>118.0</v>
      </c>
      <c r="Q15" s="19">
        <v>140.0</v>
      </c>
      <c r="R15" s="19">
        <v>121.0</v>
      </c>
      <c r="S15" s="19">
        <v>135.0</v>
      </c>
      <c r="T15" s="19">
        <v>145.0</v>
      </c>
      <c r="U15" s="19">
        <v>147.0</v>
      </c>
      <c r="V15" s="19">
        <v>137.0</v>
      </c>
      <c r="W15" s="19">
        <v>129.0</v>
      </c>
      <c r="X15" s="19">
        <v>149.0</v>
      </c>
      <c r="Y15" s="19">
        <v>101.0</v>
      </c>
      <c r="Z15" s="13">
        <f t="shared" si="1"/>
        <v>2855</v>
      </c>
    </row>
    <row r="16" ht="12.75" customHeight="1">
      <c r="A16" s="25"/>
      <c r="B16" s="21"/>
      <c r="C16" s="28"/>
      <c r="D16" s="13" t="s">
        <v>14</v>
      </c>
      <c r="E16" s="13">
        <f t="shared" ref="E16:Y16" si="2">SUM(E14:E15)</f>
        <v>269</v>
      </c>
      <c r="F16" s="13">
        <f t="shared" si="2"/>
        <v>268</v>
      </c>
      <c r="G16" s="13">
        <f t="shared" si="2"/>
        <v>288</v>
      </c>
      <c r="H16" s="13">
        <f t="shared" si="2"/>
        <v>277</v>
      </c>
      <c r="I16" s="13">
        <f t="shared" si="2"/>
        <v>270</v>
      </c>
      <c r="J16" s="13">
        <f t="shared" si="2"/>
        <v>239</v>
      </c>
      <c r="K16" s="13">
        <f t="shared" si="2"/>
        <v>290</v>
      </c>
      <c r="L16" s="13">
        <f t="shared" si="2"/>
        <v>253</v>
      </c>
      <c r="M16" s="13">
        <f t="shared" si="2"/>
        <v>287</v>
      </c>
      <c r="N16" s="13">
        <f t="shared" si="2"/>
        <v>243</v>
      </c>
      <c r="O16" s="13">
        <f t="shared" si="2"/>
        <v>287</v>
      </c>
      <c r="P16" s="13">
        <f t="shared" si="2"/>
        <v>227</v>
      </c>
      <c r="Q16" s="13">
        <f t="shared" si="2"/>
        <v>285</v>
      </c>
      <c r="R16" s="13">
        <f t="shared" si="2"/>
        <v>248</v>
      </c>
      <c r="S16" s="13">
        <f t="shared" si="2"/>
        <v>270</v>
      </c>
      <c r="T16" s="13">
        <f t="shared" si="2"/>
        <v>283</v>
      </c>
      <c r="U16" s="13">
        <f t="shared" si="2"/>
        <v>287</v>
      </c>
      <c r="V16" s="13">
        <f t="shared" si="2"/>
        <v>275</v>
      </c>
      <c r="W16" s="13">
        <f t="shared" si="2"/>
        <v>264</v>
      </c>
      <c r="X16" s="13">
        <f t="shared" si="2"/>
        <v>281</v>
      </c>
      <c r="Y16" s="13">
        <f t="shared" si="2"/>
        <v>216</v>
      </c>
      <c r="Z16" s="13">
        <f t="shared" si="1"/>
        <v>5607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19"/>
      <c r="S17" s="19"/>
      <c r="T17" s="19"/>
      <c r="U17" s="75"/>
      <c r="V17" s="75"/>
      <c r="W17" s="75"/>
      <c r="X17" s="75"/>
      <c r="Y17" s="19"/>
      <c r="Z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19"/>
      <c r="S18" s="19"/>
      <c r="T18" s="19"/>
      <c r="U18" s="75"/>
      <c r="V18" s="75"/>
      <c r="W18" s="75"/>
      <c r="X18" s="75"/>
      <c r="Y18" s="19"/>
      <c r="Z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103.0</v>
      </c>
      <c r="F19" s="19">
        <v>98.0</v>
      </c>
      <c r="G19" s="19">
        <v>122.0</v>
      </c>
      <c r="H19" s="19">
        <v>105.0</v>
      </c>
      <c r="I19" s="19">
        <v>96.0</v>
      </c>
      <c r="J19" s="19">
        <v>101.0</v>
      </c>
      <c r="K19" s="19">
        <v>118.0</v>
      </c>
      <c r="L19" s="19">
        <v>101.0</v>
      </c>
      <c r="M19" s="19">
        <v>105.0</v>
      </c>
      <c r="N19" s="19">
        <v>96.0</v>
      </c>
      <c r="O19" s="19">
        <v>119.0</v>
      </c>
      <c r="P19" s="19">
        <v>85.0</v>
      </c>
      <c r="Q19" s="19">
        <v>107.0</v>
      </c>
      <c r="R19" s="19">
        <v>102.0</v>
      </c>
      <c r="S19" s="19">
        <v>101.0</v>
      </c>
      <c r="T19" s="19">
        <v>111.0</v>
      </c>
      <c r="U19" s="19">
        <v>108.0</v>
      </c>
      <c r="V19" s="19">
        <v>103.0</v>
      </c>
      <c r="W19" s="19">
        <v>102.0</v>
      </c>
      <c r="X19" s="19">
        <v>109.0</v>
      </c>
      <c r="Y19" s="19">
        <v>91.0</v>
      </c>
      <c r="Z19" s="13">
        <f t="shared" ref="Z19:Z30" si="3">SUM(E19:Y19)</f>
        <v>2183</v>
      </c>
    </row>
    <row r="20" ht="12.75" customHeight="1">
      <c r="A20" s="33"/>
      <c r="B20" s="27"/>
      <c r="C20" s="34"/>
      <c r="D20" s="19" t="s">
        <v>13</v>
      </c>
      <c r="E20" s="19">
        <v>111.0</v>
      </c>
      <c r="F20" s="19">
        <v>108.0</v>
      </c>
      <c r="G20" s="19">
        <v>104.0</v>
      </c>
      <c r="H20" s="19">
        <v>119.0</v>
      </c>
      <c r="I20" s="19">
        <v>121.0</v>
      </c>
      <c r="J20" s="19">
        <v>87.0</v>
      </c>
      <c r="K20" s="19">
        <v>133.0</v>
      </c>
      <c r="L20" s="19">
        <v>110.0</v>
      </c>
      <c r="M20" s="19">
        <v>123.0</v>
      </c>
      <c r="N20" s="19">
        <v>106.0</v>
      </c>
      <c r="O20" s="19">
        <v>117.0</v>
      </c>
      <c r="P20" s="19">
        <v>98.0</v>
      </c>
      <c r="Q20" s="19">
        <v>116.0</v>
      </c>
      <c r="R20" s="19">
        <v>106.0</v>
      </c>
      <c r="S20" s="19">
        <v>114.0</v>
      </c>
      <c r="T20" s="19">
        <v>120.0</v>
      </c>
      <c r="U20" s="19">
        <v>112.0</v>
      </c>
      <c r="V20" s="19">
        <v>104.0</v>
      </c>
      <c r="W20" s="19">
        <v>92.0</v>
      </c>
      <c r="X20" s="19">
        <v>128.0</v>
      </c>
      <c r="Y20" s="19">
        <v>85.0</v>
      </c>
      <c r="Z20" s="13">
        <f t="shared" si="3"/>
        <v>2314</v>
      </c>
    </row>
    <row r="21" ht="12.75" customHeight="1">
      <c r="A21" s="35"/>
      <c r="B21" s="28"/>
      <c r="C21" s="36"/>
      <c r="D21" s="13" t="s">
        <v>14</v>
      </c>
      <c r="E21" s="13">
        <f t="shared" ref="E21:Y21" si="4">SUM(E19:E20)</f>
        <v>214</v>
      </c>
      <c r="F21" s="13">
        <f t="shared" si="4"/>
        <v>206</v>
      </c>
      <c r="G21" s="13">
        <f t="shared" si="4"/>
        <v>226</v>
      </c>
      <c r="H21" s="13">
        <f t="shared" si="4"/>
        <v>224</v>
      </c>
      <c r="I21" s="13">
        <f t="shared" si="4"/>
        <v>217</v>
      </c>
      <c r="J21" s="13">
        <f t="shared" si="4"/>
        <v>188</v>
      </c>
      <c r="K21" s="13">
        <f t="shared" si="4"/>
        <v>251</v>
      </c>
      <c r="L21" s="13">
        <f t="shared" si="4"/>
        <v>211</v>
      </c>
      <c r="M21" s="13">
        <f t="shared" si="4"/>
        <v>228</v>
      </c>
      <c r="N21" s="13">
        <f t="shared" si="4"/>
        <v>202</v>
      </c>
      <c r="O21" s="13">
        <f t="shared" si="4"/>
        <v>236</v>
      </c>
      <c r="P21" s="13">
        <f t="shared" si="4"/>
        <v>183</v>
      </c>
      <c r="Q21" s="13">
        <f t="shared" si="4"/>
        <v>223</v>
      </c>
      <c r="R21" s="13">
        <f t="shared" si="4"/>
        <v>208</v>
      </c>
      <c r="S21" s="13">
        <f t="shared" si="4"/>
        <v>215</v>
      </c>
      <c r="T21" s="13">
        <f t="shared" si="4"/>
        <v>231</v>
      </c>
      <c r="U21" s="13">
        <f t="shared" si="4"/>
        <v>220</v>
      </c>
      <c r="V21" s="13">
        <f t="shared" si="4"/>
        <v>207</v>
      </c>
      <c r="W21" s="13">
        <f t="shared" si="4"/>
        <v>194</v>
      </c>
      <c r="X21" s="13">
        <f t="shared" si="4"/>
        <v>237</v>
      </c>
      <c r="Y21" s="13">
        <f t="shared" si="4"/>
        <v>176</v>
      </c>
      <c r="Z21" s="13">
        <f t="shared" si="3"/>
        <v>4497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1.0</v>
      </c>
      <c r="Q22" s="19">
        <v>1.0</v>
      </c>
      <c r="R22" s="19">
        <v>1.0</v>
      </c>
      <c r="S22" s="19">
        <v>1.0</v>
      </c>
      <c r="T22" s="19">
        <v>0.0</v>
      </c>
      <c r="U22" s="19">
        <v>0.0</v>
      </c>
      <c r="V22" s="19">
        <v>0.0</v>
      </c>
      <c r="W22" s="19">
        <v>1.0</v>
      </c>
      <c r="X22" s="19">
        <v>0.0</v>
      </c>
      <c r="Y22" s="19">
        <v>1.0</v>
      </c>
      <c r="Z22" s="13">
        <f t="shared" si="3"/>
        <v>6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1.0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1.0</v>
      </c>
      <c r="R23" s="19">
        <v>0.0</v>
      </c>
      <c r="S23" s="19">
        <v>2.0</v>
      </c>
      <c r="T23" s="19">
        <v>0.0</v>
      </c>
      <c r="U23" s="19">
        <v>0.0</v>
      </c>
      <c r="V23" s="19">
        <v>0.0</v>
      </c>
      <c r="W23" s="19">
        <v>1.0</v>
      </c>
      <c r="X23" s="19">
        <v>0.0</v>
      </c>
      <c r="Y23" s="19">
        <v>0.0</v>
      </c>
      <c r="Z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Y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1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2</v>
      </c>
      <c r="R24" s="13">
        <f t="shared" si="5"/>
        <v>1</v>
      </c>
      <c r="S24" s="13">
        <f t="shared" si="5"/>
        <v>3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2</v>
      </c>
      <c r="X24" s="13">
        <f t="shared" si="5"/>
        <v>0</v>
      </c>
      <c r="Y24" s="13">
        <f t="shared" si="5"/>
        <v>1</v>
      </c>
      <c r="Z24" s="13">
        <f t="shared" si="3"/>
        <v>11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0.0</v>
      </c>
      <c r="H25" s="19">
        <v>0.0</v>
      </c>
      <c r="I25" s="19">
        <v>1.0</v>
      </c>
      <c r="J25" s="19">
        <v>2.0</v>
      </c>
      <c r="K25" s="19">
        <v>2.0</v>
      </c>
      <c r="L25" s="19">
        <v>0.0</v>
      </c>
      <c r="M25" s="19">
        <v>1.0</v>
      </c>
      <c r="N25" s="19">
        <v>3.0</v>
      </c>
      <c r="O25" s="19">
        <v>1.0</v>
      </c>
      <c r="P25" s="19">
        <v>2.0</v>
      </c>
      <c r="Q25" s="19">
        <v>0.0</v>
      </c>
      <c r="R25" s="19">
        <v>1.0</v>
      </c>
      <c r="S25" s="19">
        <v>4.0</v>
      </c>
      <c r="T25" s="19">
        <v>4.0</v>
      </c>
      <c r="U25" s="19">
        <v>0.0</v>
      </c>
      <c r="V25" s="19">
        <v>1.0</v>
      </c>
      <c r="W25" s="19">
        <v>1.0</v>
      </c>
      <c r="X25" s="19">
        <v>1.0</v>
      </c>
      <c r="Y25" s="19">
        <v>2.0</v>
      </c>
      <c r="Z25" s="13">
        <f t="shared" si="3"/>
        <v>27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1.0</v>
      </c>
      <c r="G26" s="19">
        <v>1.0</v>
      </c>
      <c r="H26" s="19">
        <v>0.0</v>
      </c>
      <c r="I26" s="19">
        <v>2.0</v>
      </c>
      <c r="J26" s="19">
        <v>1.0</v>
      </c>
      <c r="K26" s="19">
        <v>4.0</v>
      </c>
      <c r="L26" s="19">
        <v>0.0</v>
      </c>
      <c r="M26" s="19">
        <v>4.0</v>
      </c>
      <c r="N26" s="19">
        <v>4.0</v>
      </c>
      <c r="O26" s="19">
        <v>3.0</v>
      </c>
      <c r="P26" s="19">
        <v>4.0</v>
      </c>
      <c r="Q26" s="19">
        <v>0.0</v>
      </c>
      <c r="R26" s="19">
        <v>3.0</v>
      </c>
      <c r="S26" s="19">
        <v>7.0</v>
      </c>
      <c r="T26" s="19">
        <v>6.0</v>
      </c>
      <c r="U26" s="19">
        <v>3.0</v>
      </c>
      <c r="V26" s="19">
        <v>0.0</v>
      </c>
      <c r="W26" s="19">
        <v>1.0</v>
      </c>
      <c r="X26" s="19">
        <v>1.0</v>
      </c>
      <c r="Y26" s="19">
        <v>0.0</v>
      </c>
      <c r="Z26" s="13">
        <f t="shared" si="3"/>
        <v>46</v>
      </c>
    </row>
    <row r="27" ht="12.75" customHeight="1">
      <c r="A27" s="35"/>
      <c r="B27" s="28"/>
      <c r="C27" s="36"/>
      <c r="D27" s="13" t="s">
        <v>14</v>
      </c>
      <c r="E27" s="13">
        <f t="shared" ref="E27:Y27" si="6">SUM(E25:E26)</f>
        <v>2</v>
      </c>
      <c r="F27" s="13">
        <f t="shared" si="6"/>
        <v>1</v>
      </c>
      <c r="G27" s="13">
        <f t="shared" si="6"/>
        <v>1</v>
      </c>
      <c r="H27" s="13">
        <f t="shared" si="6"/>
        <v>0</v>
      </c>
      <c r="I27" s="13">
        <f t="shared" si="6"/>
        <v>3</v>
      </c>
      <c r="J27" s="13">
        <f t="shared" si="6"/>
        <v>3</v>
      </c>
      <c r="K27" s="13">
        <f t="shared" si="6"/>
        <v>6</v>
      </c>
      <c r="L27" s="13">
        <f t="shared" si="6"/>
        <v>0</v>
      </c>
      <c r="M27" s="13">
        <f t="shared" si="6"/>
        <v>5</v>
      </c>
      <c r="N27" s="13">
        <f t="shared" si="6"/>
        <v>7</v>
      </c>
      <c r="O27" s="13">
        <f t="shared" si="6"/>
        <v>4</v>
      </c>
      <c r="P27" s="13">
        <f t="shared" si="6"/>
        <v>6</v>
      </c>
      <c r="Q27" s="13">
        <f t="shared" si="6"/>
        <v>0</v>
      </c>
      <c r="R27" s="13">
        <f t="shared" si="6"/>
        <v>4</v>
      </c>
      <c r="S27" s="13">
        <f t="shared" si="6"/>
        <v>11</v>
      </c>
      <c r="T27" s="13">
        <f t="shared" si="6"/>
        <v>10</v>
      </c>
      <c r="U27" s="13">
        <f t="shared" si="6"/>
        <v>3</v>
      </c>
      <c r="V27" s="13">
        <f t="shared" si="6"/>
        <v>1</v>
      </c>
      <c r="W27" s="13">
        <f t="shared" si="6"/>
        <v>2</v>
      </c>
      <c r="X27" s="13">
        <f t="shared" si="6"/>
        <v>2</v>
      </c>
      <c r="Y27" s="13">
        <f t="shared" si="6"/>
        <v>2</v>
      </c>
      <c r="Z27" s="13">
        <f t="shared" si="3"/>
        <v>73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Y28" si="7">SUM(E19,E22,E25)</f>
        <v>104</v>
      </c>
      <c r="F28" s="13">
        <f t="shared" si="7"/>
        <v>98</v>
      </c>
      <c r="G28" s="13">
        <f t="shared" si="7"/>
        <v>122</v>
      </c>
      <c r="H28" s="13">
        <f t="shared" si="7"/>
        <v>105</v>
      </c>
      <c r="I28" s="13">
        <f t="shared" si="7"/>
        <v>97</v>
      </c>
      <c r="J28" s="13">
        <f t="shared" si="7"/>
        <v>103</v>
      </c>
      <c r="K28" s="13">
        <f t="shared" si="7"/>
        <v>120</v>
      </c>
      <c r="L28" s="13">
        <f t="shared" si="7"/>
        <v>101</v>
      </c>
      <c r="M28" s="13">
        <f t="shared" si="7"/>
        <v>106</v>
      </c>
      <c r="N28" s="13">
        <f t="shared" si="7"/>
        <v>99</v>
      </c>
      <c r="O28" s="13">
        <f t="shared" si="7"/>
        <v>120</v>
      </c>
      <c r="P28" s="13">
        <f t="shared" si="7"/>
        <v>88</v>
      </c>
      <c r="Q28" s="13">
        <f t="shared" si="7"/>
        <v>108</v>
      </c>
      <c r="R28" s="13">
        <f t="shared" si="7"/>
        <v>104</v>
      </c>
      <c r="S28" s="13">
        <f t="shared" si="7"/>
        <v>106</v>
      </c>
      <c r="T28" s="13">
        <f t="shared" si="7"/>
        <v>115</v>
      </c>
      <c r="U28" s="13">
        <f t="shared" si="7"/>
        <v>108</v>
      </c>
      <c r="V28" s="13">
        <f t="shared" si="7"/>
        <v>104</v>
      </c>
      <c r="W28" s="13">
        <f t="shared" si="7"/>
        <v>104</v>
      </c>
      <c r="X28" s="13">
        <f t="shared" si="7"/>
        <v>110</v>
      </c>
      <c r="Y28" s="13">
        <f t="shared" si="7"/>
        <v>94</v>
      </c>
      <c r="Z28" s="13">
        <f t="shared" si="3"/>
        <v>2216</v>
      </c>
    </row>
    <row r="29" ht="12.75" customHeight="1">
      <c r="A29" s="35"/>
      <c r="B29" s="27"/>
      <c r="C29" s="34"/>
      <c r="D29" s="13" t="s">
        <v>13</v>
      </c>
      <c r="E29" s="13">
        <f t="shared" ref="E29:Y29" si="8">SUM(E20,E23,E26)</f>
        <v>112</v>
      </c>
      <c r="F29" s="13">
        <f t="shared" si="8"/>
        <v>109</v>
      </c>
      <c r="G29" s="13">
        <f t="shared" si="8"/>
        <v>105</v>
      </c>
      <c r="H29" s="13">
        <f t="shared" si="8"/>
        <v>120</v>
      </c>
      <c r="I29" s="13">
        <f t="shared" si="8"/>
        <v>123</v>
      </c>
      <c r="J29" s="13">
        <f t="shared" si="8"/>
        <v>88</v>
      </c>
      <c r="K29" s="13">
        <f t="shared" si="8"/>
        <v>137</v>
      </c>
      <c r="L29" s="13">
        <f t="shared" si="8"/>
        <v>110</v>
      </c>
      <c r="M29" s="13">
        <f t="shared" si="8"/>
        <v>127</v>
      </c>
      <c r="N29" s="13">
        <f t="shared" si="8"/>
        <v>110</v>
      </c>
      <c r="O29" s="13">
        <f t="shared" si="8"/>
        <v>120</v>
      </c>
      <c r="P29" s="13">
        <f t="shared" si="8"/>
        <v>102</v>
      </c>
      <c r="Q29" s="13">
        <f t="shared" si="8"/>
        <v>117</v>
      </c>
      <c r="R29" s="13">
        <f t="shared" si="8"/>
        <v>109</v>
      </c>
      <c r="S29" s="13">
        <f t="shared" si="8"/>
        <v>123</v>
      </c>
      <c r="T29" s="13">
        <f t="shared" si="8"/>
        <v>126</v>
      </c>
      <c r="U29" s="13">
        <f t="shared" si="8"/>
        <v>115</v>
      </c>
      <c r="V29" s="13">
        <f t="shared" si="8"/>
        <v>104</v>
      </c>
      <c r="W29" s="13">
        <f t="shared" si="8"/>
        <v>94</v>
      </c>
      <c r="X29" s="13">
        <f t="shared" si="8"/>
        <v>129</v>
      </c>
      <c r="Y29" s="13">
        <f t="shared" si="8"/>
        <v>85</v>
      </c>
      <c r="Z29" s="13">
        <f t="shared" si="3"/>
        <v>2365</v>
      </c>
    </row>
    <row r="30" ht="12.75" customHeight="1">
      <c r="A30" s="35"/>
      <c r="B30" s="28"/>
      <c r="C30" s="36"/>
      <c r="D30" s="13" t="s">
        <v>14</v>
      </c>
      <c r="E30" s="13">
        <f t="shared" ref="E30:Y30" si="9">SUM(E28:E29)</f>
        <v>216</v>
      </c>
      <c r="F30" s="13">
        <f t="shared" si="9"/>
        <v>207</v>
      </c>
      <c r="G30" s="13">
        <f t="shared" si="9"/>
        <v>227</v>
      </c>
      <c r="H30" s="13">
        <f t="shared" si="9"/>
        <v>225</v>
      </c>
      <c r="I30" s="13">
        <f t="shared" si="9"/>
        <v>220</v>
      </c>
      <c r="J30" s="13">
        <f t="shared" si="9"/>
        <v>191</v>
      </c>
      <c r="K30" s="13">
        <f t="shared" si="9"/>
        <v>257</v>
      </c>
      <c r="L30" s="13">
        <f t="shared" si="9"/>
        <v>211</v>
      </c>
      <c r="M30" s="13">
        <f t="shared" si="9"/>
        <v>233</v>
      </c>
      <c r="N30" s="13">
        <f t="shared" si="9"/>
        <v>209</v>
      </c>
      <c r="O30" s="13">
        <f t="shared" si="9"/>
        <v>240</v>
      </c>
      <c r="P30" s="13">
        <f t="shared" si="9"/>
        <v>190</v>
      </c>
      <c r="Q30" s="13">
        <f t="shared" si="9"/>
        <v>225</v>
      </c>
      <c r="R30" s="13">
        <f t="shared" si="9"/>
        <v>213</v>
      </c>
      <c r="S30" s="13">
        <f t="shared" si="9"/>
        <v>229</v>
      </c>
      <c r="T30" s="13">
        <f t="shared" si="9"/>
        <v>241</v>
      </c>
      <c r="U30" s="13">
        <f t="shared" si="9"/>
        <v>223</v>
      </c>
      <c r="V30" s="13">
        <f t="shared" si="9"/>
        <v>208</v>
      </c>
      <c r="W30" s="13">
        <f t="shared" si="9"/>
        <v>198</v>
      </c>
      <c r="X30" s="13">
        <f t="shared" si="9"/>
        <v>239</v>
      </c>
      <c r="Y30" s="13">
        <f t="shared" si="9"/>
        <v>179</v>
      </c>
      <c r="Z30" s="13">
        <f t="shared" si="3"/>
        <v>4581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19"/>
      <c r="S31" s="19"/>
      <c r="T31" s="19"/>
      <c r="U31" s="75"/>
      <c r="V31" s="75"/>
      <c r="W31" s="75"/>
      <c r="X31" s="75"/>
      <c r="Y31" s="19"/>
      <c r="Z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13"/>
      <c r="S32" s="13"/>
      <c r="T32" s="13"/>
      <c r="U32" s="77"/>
      <c r="V32" s="77"/>
      <c r="W32" s="77"/>
      <c r="X32" s="77"/>
      <c r="Y32" s="13"/>
      <c r="Z32" s="76"/>
    </row>
    <row r="33" ht="12.75" customHeight="1">
      <c r="A33" s="19">
        <v>1.0</v>
      </c>
      <c r="B33" s="20" t="s">
        <v>27</v>
      </c>
      <c r="C33" s="15"/>
      <c r="D33" s="16"/>
      <c r="E33" s="19">
        <v>275.0</v>
      </c>
      <c r="F33" s="19">
        <v>274.0</v>
      </c>
      <c r="G33" s="19">
        <v>294.0</v>
      </c>
      <c r="H33" s="19">
        <v>283.0</v>
      </c>
      <c r="I33" s="19">
        <v>276.0</v>
      </c>
      <c r="J33" s="19">
        <v>244.0</v>
      </c>
      <c r="K33" s="19">
        <v>296.0</v>
      </c>
      <c r="L33" s="19">
        <v>259.0</v>
      </c>
      <c r="M33" s="19">
        <v>293.0</v>
      </c>
      <c r="N33" s="19">
        <v>248.0</v>
      </c>
      <c r="O33" s="19">
        <v>293.0</v>
      </c>
      <c r="P33" s="19">
        <v>232.0</v>
      </c>
      <c r="Q33" s="19">
        <v>291.0</v>
      </c>
      <c r="R33" s="19">
        <v>253.0</v>
      </c>
      <c r="S33" s="19">
        <v>276.0</v>
      </c>
      <c r="T33" s="19">
        <v>289.0</v>
      </c>
      <c r="U33" s="19">
        <v>293.0</v>
      </c>
      <c r="V33" s="19">
        <v>281.0</v>
      </c>
      <c r="W33" s="19">
        <v>270.0</v>
      </c>
      <c r="X33" s="19">
        <v>286.0</v>
      </c>
      <c r="Y33" s="19">
        <v>221.0</v>
      </c>
      <c r="Z33" s="13">
        <f t="shared" ref="Z33:Z36" si="10">SUM(E33:Y33)</f>
        <v>5727</v>
      </c>
    </row>
    <row r="34" ht="12.75" customHeight="1">
      <c r="A34" s="19">
        <v>2.0</v>
      </c>
      <c r="B34" s="20" t="s">
        <v>28</v>
      </c>
      <c r="C34" s="15"/>
      <c r="D34" s="16"/>
      <c r="E34" s="13">
        <v>216.0</v>
      </c>
      <c r="F34" s="13">
        <v>207.0</v>
      </c>
      <c r="G34" s="13">
        <v>227.0</v>
      </c>
      <c r="H34" s="13">
        <v>225.0</v>
      </c>
      <c r="I34" s="13">
        <v>220.0</v>
      </c>
      <c r="J34" s="13">
        <v>191.0</v>
      </c>
      <c r="K34" s="13">
        <v>257.0</v>
      </c>
      <c r="L34" s="13">
        <v>211.0</v>
      </c>
      <c r="M34" s="13">
        <v>233.0</v>
      </c>
      <c r="N34" s="13">
        <v>209.0</v>
      </c>
      <c r="O34" s="13">
        <v>240.0</v>
      </c>
      <c r="P34" s="13">
        <v>190.0</v>
      </c>
      <c r="Q34" s="13">
        <v>225.0</v>
      </c>
      <c r="R34" s="13">
        <v>213.0</v>
      </c>
      <c r="S34" s="13">
        <v>229.0</v>
      </c>
      <c r="T34" s="13">
        <v>241.0</v>
      </c>
      <c r="U34" s="13">
        <v>223.0</v>
      </c>
      <c r="V34" s="13">
        <v>208.0</v>
      </c>
      <c r="W34" s="13">
        <v>198.0</v>
      </c>
      <c r="X34" s="13">
        <v>239.0</v>
      </c>
      <c r="Y34" s="13">
        <v>179.0</v>
      </c>
      <c r="Z34" s="13">
        <f t="shared" si="10"/>
        <v>4581</v>
      </c>
    </row>
    <row r="35" ht="12.75" customHeight="1">
      <c r="A35" s="19">
        <v>3.0</v>
      </c>
      <c r="B35" s="20" t="s">
        <v>29</v>
      </c>
      <c r="C35" s="15"/>
      <c r="D35" s="16"/>
      <c r="E35" s="19">
        <v>2.0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2.0</v>
      </c>
      <c r="N35" s="19">
        <v>1.0</v>
      </c>
      <c r="O35" s="19">
        <v>0.0</v>
      </c>
      <c r="P35" s="19">
        <v>0.0</v>
      </c>
      <c r="Q35" s="19">
        <v>1.0</v>
      </c>
      <c r="R35" s="19">
        <v>0.0</v>
      </c>
      <c r="S35" s="19">
        <v>0.0</v>
      </c>
      <c r="T35" s="19">
        <v>0.0</v>
      </c>
      <c r="U35" s="19">
        <v>0.0</v>
      </c>
      <c r="V35" s="19">
        <v>11.0</v>
      </c>
      <c r="W35" s="19">
        <v>0.0</v>
      </c>
      <c r="X35" s="19">
        <v>0.0</v>
      </c>
      <c r="Y35" s="19">
        <v>0.0</v>
      </c>
      <c r="Z35" s="13">
        <f t="shared" si="10"/>
        <v>17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Y36" si="11">E33-(E34+E35)</f>
        <v>57</v>
      </c>
      <c r="F36" s="13">
        <f t="shared" si="11"/>
        <v>67</v>
      </c>
      <c r="G36" s="13">
        <f t="shared" si="11"/>
        <v>67</v>
      </c>
      <c r="H36" s="13">
        <f t="shared" si="11"/>
        <v>58</v>
      </c>
      <c r="I36" s="13">
        <f t="shared" si="11"/>
        <v>56</v>
      </c>
      <c r="J36" s="13">
        <f t="shared" si="11"/>
        <v>53</v>
      </c>
      <c r="K36" s="13">
        <f t="shared" si="11"/>
        <v>39</v>
      </c>
      <c r="L36" s="13">
        <f t="shared" si="11"/>
        <v>48</v>
      </c>
      <c r="M36" s="13">
        <f t="shared" si="11"/>
        <v>58</v>
      </c>
      <c r="N36" s="13">
        <f t="shared" si="11"/>
        <v>38</v>
      </c>
      <c r="O36" s="13">
        <f t="shared" si="11"/>
        <v>53</v>
      </c>
      <c r="P36" s="13">
        <f t="shared" si="11"/>
        <v>42</v>
      </c>
      <c r="Q36" s="13">
        <f t="shared" si="11"/>
        <v>65</v>
      </c>
      <c r="R36" s="13">
        <f t="shared" si="11"/>
        <v>40</v>
      </c>
      <c r="S36" s="13">
        <f t="shared" si="11"/>
        <v>47</v>
      </c>
      <c r="T36" s="13">
        <f t="shared" si="11"/>
        <v>48</v>
      </c>
      <c r="U36" s="13">
        <f t="shared" si="11"/>
        <v>70</v>
      </c>
      <c r="V36" s="13">
        <f t="shared" si="11"/>
        <v>62</v>
      </c>
      <c r="W36" s="13">
        <f t="shared" si="11"/>
        <v>72</v>
      </c>
      <c r="X36" s="13">
        <f t="shared" si="11"/>
        <v>47</v>
      </c>
      <c r="Y36" s="13">
        <f t="shared" si="11"/>
        <v>42</v>
      </c>
      <c r="Z36" s="13">
        <f t="shared" si="10"/>
        <v>1129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81"/>
      <c r="P37" s="81"/>
      <c r="Q37" s="81"/>
      <c r="R37" s="19"/>
      <c r="S37" s="19"/>
      <c r="T37" s="19"/>
      <c r="U37" s="75"/>
      <c r="V37" s="81"/>
      <c r="W37" s="81"/>
      <c r="X37" s="81"/>
      <c r="Y37" s="19"/>
      <c r="Z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13"/>
      <c r="S38" s="13"/>
      <c r="T38" s="13"/>
      <c r="U38" s="77"/>
      <c r="V38" s="77"/>
      <c r="W38" s="77"/>
      <c r="X38" s="77"/>
      <c r="Y38" s="13"/>
      <c r="Z38" s="76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1.0</v>
      </c>
      <c r="Q39" s="19">
        <v>0.0</v>
      </c>
      <c r="R39" s="19">
        <v>1.0</v>
      </c>
      <c r="S39" s="19">
        <v>0.0</v>
      </c>
      <c r="T39" s="19">
        <v>0.0</v>
      </c>
      <c r="U39" s="19">
        <v>1.0</v>
      </c>
      <c r="V39" s="19">
        <v>0.0</v>
      </c>
      <c r="W39" s="19">
        <v>1.0</v>
      </c>
      <c r="X39" s="19">
        <v>0.0</v>
      </c>
      <c r="Y39" s="19">
        <v>0.0</v>
      </c>
      <c r="Z39" s="13">
        <f t="shared" ref="Z39:Z41" si="12">SUM(E39:Y39)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2.0</v>
      </c>
      <c r="Q40" s="19">
        <v>0.0</v>
      </c>
      <c r="R40" s="19">
        <v>2.0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Y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3</v>
      </c>
      <c r="Q41" s="13">
        <f t="shared" si="13"/>
        <v>0</v>
      </c>
      <c r="R41" s="13">
        <f t="shared" si="13"/>
        <v>3</v>
      </c>
      <c r="S41" s="13">
        <f t="shared" si="13"/>
        <v>0</v>
      </c>
      <c r="T41" s="13">
        <f t="shared" si="13"/>
        <v>0</v>
      </c>
      <c r="U41" s="13">
        <f t="shared" si="13"/>
        <v>1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2"/>
        <v>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19"/>
      <c r="S42" s="19"/>
      <c r="T42" s="19"/>
      <c r="U42" s="75"/>
      <c r="V42" s="19"/>
      <c r="W42" s="75"/>
      <c r="X42" s="19"/>
      <c r="Y42" s="19"/>
      <c r="Z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13"/>
      <c r="S43" s="13"/>
      <c r="T43" s="13"/>
      <c r="U43" s="77"/>
      <c r="V43" s="13"/>
      <c r="W43" s="77"/>
      <c r="X43" s="13"/>
      <c r="Y43" s="13"/>
      <c r="Z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19"/>
      <c r="S44" s="19"/>
      <c r="T44" s="19"/>
      <c r="U44" s="75"/>
      <c r="V44" s="19"/>
      <c r="W44" s="75"/>
      <c r="X44" s="19"/>
      <c r="Y44" s="19"/>
      <c r="Z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3.0</v>
      </c>
      <c r="F45" s="19">
        <v>3.0</v>
      </c>
      <c r="G45" s="19">
        <v>5.0</v>
      </c>
      <c r="H45" s="19">
        <v>6.0</v>
      </c>
      <c r="I45" s="19">
        <v>7.0</v>
      </c>
      <c r="J45" s="19">
        <v>13.0</v>
      </c>
      <c r="K45" s="19">
        <v>1.0</v>
      </c>
      <c r="L45" s="19">
        <v>0.0</v>
      </c>
      <c r="M45" s="19">
        <v>4.0</v>
      </c>
      <c r="N45" s="19">
        <v>3.0</v>
      </c>
      <c r="O45" s="19">
        <v>1.0</v>
      </c>
      <c r="P45" s="19">
        <v>3.0</v>
      </c>
      <c r="Q45" s="19">
        <v>4.0</v>
      </c>
      <c r="R45" s="19">
        <v>3.0</v>
      </c>
      <c r="S45" s="19">
        <v>1.0</v>
      </c>
      <c r="T45" s="19">
        <v>4.0</v>
      </c>
      <c r="U45" s="19">
        <v>8.0</v>
      </c>
      <c r="V45" s="19">
        <v>3.0</v>
      </c>
      <c r="W45" s="19">
        <v>1.0</v>
      </c>
      <c r="X45" s="19">
        <v>3.0</v>
      </c>
      <c r="Y45" s="19">
        <v>3.0</v>
      </c>
      <c r="Z45" s="13">
        <f t="shared" ref="Z45:Z54" si="14">SUM(E45:Y45)</f>
        <v>79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15.0</v>
      </c>
      <c r="F46" s="19">
        <v>31.0</v>
      </c>
      <c r="G46" s="19">
        <v>28.0</v>
      </c>
      <c r="H46" s="19">
        <v>10.0</v>
      </c>
      <c r="I46" s="19">
        <v>18.0</v>
      </c>
      <c r="J46" s="19">
        <v>14.0</v>
      </c>
      <c r="K46" s="19">
        <v>0.0</v>
      </c>
      <c r="L46" s="19">
        <v>10.0</v>
      </c>
      <c r="M46" s="19">
        <v>19.0</v>
      </c>
      <c r="N46" s="19">
        <v>15.0</v>
      </c>
      <c r="O46" s="19">
        <v>14.0</v>
      </c>
      <c r="P46" s="19">
        <v>11.0</v>
      </c>
      <c r="Q46" s="19">
        <v>9.0</v>
      </c>
      <c r="R46" s="19">
        <v>4.0</v>
      </c>
      <c r="S46" s="19">
        <v>17.0</v>
      </c>
      <c r="T46" s="19">
        <v>1.0</v>
      </c>
      <c r="U46" s="19">
        <v>11.0</v>
      </c>
      <c r="V46" s="19">
        <v>4.0</v>
      </c>
      <c r="W46" s="19">
        <v>6.0</v>
      </c>
      <c r="X46" s="19">
        <v>8.0</v>
      </c>
      <c r="Y46" s="19">
        <v>14.0</v>
      </c>
      <c r="Z46" s="13">
        <f t="shared" si="14"/>
        <v>259</v>
      </c>
    </row>
    <row r="47" ht="12.75" customHeight="1">
      <c r="A47" s="18"/>
      <c r="B47" s="55">
        <v>2.0</v>
      </c>
      <c r="C47" s="50" t="s">
        <v>41</v>
      </c>
      <c r="D47" s="16"/>
      <c r="E47" s="19">
        <v>2.0</v>
      </c>
      <c r="F47" s="19">
        <v>0.0</v>
      </c>
      <c r="G47" s="19">
        <v>1.0</v>
      </c>
      <c r="H47" s="19">
        <v>2.0</v>
      </c>
      <c r="I47" s="19">
        <v>4.0</v>
      </c>
      <c r="J47" s="19">
        <v>1.0</v>
      </c>
      <c r="K47" s="19">
        <v>1.0</v>
      </c>
      <c r="L47" s="19">
        <v>43.0</v>
      </c>
      <c r="M47" s="19">
        <v>4.0</v>
      </c>
      <c r="N47" s="19">
        <v>1.0</v>
      </c>
      <c r="O47" s="19">
        <v>0.0</v>
      </c>
      <c r="P47" s="19">
        <v>2.0</v>
      </c>
      <c r="Q47" s="19">
        <v>0.0</v>
      </c>
      <c r="R47" s="19">
        <v>2.0</v>
      </c>
      <c r="S47" s="19">
        <v>3.0</v>
      </c>
      <c r="T47" s="19">
        <v>1.0</v>
      </c>
      <c r="U47" s="19">
        <v>0.0</v>
      </c>
      <c r="V47" s="19">
        <v>1.0</v>
      </c>
      <c r="W47" s="19">
        <v>0.0</v>
      </c>
      <c r="X47" s="19">
        <v>1.0</v>
      </c>
      <c r="Y47" s="19">
        <v>2.0</v>
      </c>
      <c r="Z47" s="13">
        <f t="shared" si="14"/>
        <v>71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0.0</v>
      </c>
      <c r="H48" s="19">
        <v>0.0</v>
      </c>
      <c r="I48" s="19">
        <v>2.0</v>
      </c>
      <c r="J48" s="19">
        <v>0.0</v>
      </c>
      <c r="K48" s="19">
        <v>1.0</v>
      </c>
      <c r="L48" s="19">
        <v>0.0</v>
      </c>
      <c r="M48" s="19">
        <v>0.0</v>
      </c>
      <c r="N48" s="19">
        <v>2.0</v>
      </c>
      <c r="O48" s="19">
        <v>3.0</v>
      </c>
      <c r="P48" s="19">
        <v>2.0</v>
      </c>
      <c r="Q48" s="19">
        <v>0.0</v>
      </c>
      <c r="R48" s="19">
        <v>1.0</v>
      </c>
      <c r="S48" s="19">
        <v>0.0</v>
      </c>
      <c r="T48" s="19">
        <v>1.0</v>
      </c>
      <c r="U48" s="19">
        <v>1.0</v>
      </c>
      <c r="V48" s="19">
        <v>0.0</v>
      </c>
      <c r="W48" s="19">
        <v>1.0</v>
      </c>
      <c r="X48" s="19">
        <v>1.0</v>
      </c>
      <c r="Y48" s="19">
        <v>0.0</v>
      </c>
      <c r="Z48" s="13">
        <f t="shared" si="14"/>
        <v>16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1.0</v>
      </c>
      <c r="H49" s="19">
        <v>1.0</v>
      </c>
      <c r="I49" s="19">
        <v>1.0</v>
      </c>
      <c r="J49" s="19">
        <v>0.0</v>
      </c>
      <c r="K49" s="19">
        <v>0.0</v>
      </c>
      <c r="L49" s="19">
        <v>1.0</v>
      </c>
      <c r="M49" s="19">
        <v>0.0</v>
      </c>
      <c r="N49" s="19">
        <v>0.0</v>
      </c>
      <c r="O49" s="19">
        <v>0.0</v>
      </c>
      <c r="P49" s="19">
        <v>0.0</v>
      </c>
      <c r="Q49" s="19">
        <v>1.0</v>
      </c>
      <c r="R49" s="19">
        <v>0.0</v>
      </c>
      <c r="S49" s="19">
        <v>1.0</v>
      </c>
      <c r="T49" s="19">
        <v>0.0</v>
      </c>
      <c r="U49" s="19">
        <v>1.0</v>
      </c>
      <c r="V49" s="19">
        <v>2.0</v>
      </c>
      <c r="W49" s="19">
        <v>0.0</v>
      </c>
      <c r="X49" s="19">
        <v>0.0</v>
      </c>
      <c r="Y49" s="19">
        <v>1.0</v>
      </c>
      <c r="Z49" s="13">
        <f t="shared" si="14"/>
        <v>10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1.0</v>
      </c>
      <c r="O50" s="19">
        <v>0.0</v>
      </c>
      <c r="P50" s="19">
        <v>1.0</v>
      </c>
      <c r="Q50" s="19">
        <v>3.0</v>
      </c>
      <c r="R50" s="19">
        <v>0.0</v>
      </c>
      <c r="S50" s="19">
        <v>0.0</v>
      </c>
      <c r="T50" s="19">
        <v>0.0</v>
      </c>
      <c r="U50" s="19">
        <v>0.0</v>
      </c>
      <c r="V50" s="19">
        <v>1.0</v>
      </c>
      <c r="W50" s="19">
        <v>0.0</v>
      </c>
      <c r="X50" s="19">
        <v>0.0</v>
      </c>
      <c r="Y50" s="19">
        <v>1.0</v>
      </c>
      <c r="Z50" s="13">
        <f t="shared" si="14"/>
        <v>7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1.0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9">
        <v>0.0</v>
      </c>
      <c r="Y51" s="19">
        <v>0.0</v>
      </c>
      <c r="Z51" s="13">
        <f t="shared" si="14"/>
        <v>2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3.0</v>
      </c>
      <c r="H52" s="19">
        <v>3.0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1.0</v>
      </c>
      <c r="W52" s="19">
        <v>0.0</v>
      </c>
      <c r="X52" s="19">
        <v>0.0</v>
      </c>
      <c r="Y52" s="19">
        <v>0.0</v>
      </c>
      <c r="Z52" s="13">
        <f t="shared" si="14"/>
        <v>7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Z55" si="15">SUM(E45:E54)</f>
        <v>22</v>
      </c>
      <c r="F55" s="13">
        <f t="shared" si="15"/>
        <v>34</v>
      </c>
      <c r="G55" s="13">
        <f t="shared" si="15"/>
        <v>38</v>
      </c>
      <c r="H55" s="13">
        <f t="shared" si="15"/>
        <v>22</v>
      </c>
      <c r="I55" s="13">
        <f t="shared" si="15"/>
        <v>32</v>
      </c>
      <c r="J55" s="13">
        <f t="shared" si="15"/>
        <v>28</v>
      </c>
      <c r="K55" s="13">
        <f t="shared" si="15"/>
        <v>3</v>
      </c>
      <c r="L55" s="13">
        <f t="shared" si="15"/>
        <v>54</v>
      </c>
      <c r="M55" s="13">
        <f t="shared" si="15"/>
        <v>28</v>
      </c>
      <c r="N55" s="13">
        <f t="shared" si="15"/>
        <v>22</v>
      </c>
      <c r="O55" s="13">
        <f t="shared" si="15"/>
        <v>18</v>
      </c>
      <c r="P55" s="13">
        <f t="shared" si="15"/>
        <v>19</v>
      </c>
      <c r="Q55" s="13">
        <f t="shared" si="15"/>
        <v>17</v>
      </c>
      <c r="R55" s="13">
        <f t="shared" si="15"/>
        <v>10</v>
      </c>
      <c r="S55" s="13">
        <f t="shared" si="15"/>
        <v>22</v>
      </c>
      <c r="T55" s="13">
        <f t="shared" si="15"/>
        <v>7</v>
      </c>
      <c r="U55" s="13">
        <f t="shared" si="15"/>
        <v>21</v>
      </c>
      <c r="V55" s="13">
        <f t="shared" si="15"/>
        <v>12</v>
      </c>
      <c r="W55" s="13">
        <f t="shared" si="15"/>
        <v>8</v>
      </c>
      <c r="X55" s="13">
        <f t="shared" si="15"/>
        <v>13</v>
      </c>
      <c r="Y55" s="13">
        <f t="shared" si="15"/>
        <v>21</v>
      </c>
      <c r="Z55" s="13">
        <f t="shared" si="15"/>
        <v>451</v>
      </c>
    </row>
    <row r="56" ht="12.75" customHeight="1">
      <c r="A56" s="45"/>
      <c r="B56" s="44"/>
      <c r="C56" s="44"/>
      <c r="D56" s="44"/>
      <c r="E56" s="44"/>
      <c r="Z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8.0</v>
      </c>
      <c r="F57" s="19">
        <v>14.0</v>
      </c>
      <c r="G57" s="19">
        <v>12.0</v>
      </c>
      <c r="H57" s="19">
        <v>13.0</v>
      </c>
      <c r="I57" s="19">
        <v>25.0</v>
      </c>
      <c r="J57" s="19">
        <v>19.0</v>
      </c>
      <c r="K57" s="19">
        <v>7.0</v>
      </c>
      <c r="L57" s="19">
        <v>7.0</v>
      </c>
      <c r="M57" s="19">
        <v>15.0</v>
      </c>
      <c r="N57" s="19">
        <v>9.0</v>
      </c>
      <c r="O57" s="19">
        <v>7.0</v>
      </c>
      <c r="P57" s="19">
        <v>7.0</v>
      </c>
      <c r="Q57" s="19">
        <v>7.0</v>
      </c>
      <c r="R57" s="19">
        <v>2.0</v>
      </c>
      <c r="S57" s="19">
        <v>5.0</v>
      </c>
      <c r="T57" s="19">
        <v>5.0</v>
      </c>
      <c r="U57" s="19">
        <v>6.0</v>
      </c>
      <c r="V57" s="19">
        <v>11.0</v>
      </c>
      <c r="W57" s="19">
        <v>7.0</v>
      </c>
      <c r="X57" s="19">
        <v>14.0</v>
      </c>
      <c r="Y57" s="19">
        <v>7.0</v>
      </c>
      <c r="Z57" s="13">
        <f t="shared" ref="Z57:Z66" si="16">SUM(E57:Y57)</f>
        <v>207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28.0</v>
      </c>
      <c r="F58" s="19">
        <v>16.0</v>
      </c>
      <c r="G58" s="19">
        <v>17.0</v>
      </c>
      <c r="H58" s="19">
        <v>12.0</v>
      </c>
      <c r="I58" s="19">
        <v>7.0</v>
      </c>
      <c r="J58" s="19">
        <v>13.0</v>
      </c>
      <c r="K58" s="19">
        <v>13.0</v>
      </c>
      <c r="L58" s="19">
        <v>9.0</v>
      </c>
      <c r="M58" s="19">
        <v>42.0</v>
      </c>
      <c r="N58" s="19">
        <v>19.0</v>
      </c>
      <c r="O58" s="19">
        <v>11.0</v>
      </c>
      <c r="P58" s="19">
        <v>28.0</v>
      </c>
      <c r="Q58" s="19">
        <v>28.0</v>
      </c>
      <c r="R58" s="19">
        <v>3.0</v>
      </c>
      <c r="S58" s="19">
        <v>5.0</v>
      </c>
      <c r="T58" s="19">
        <v>11.0</v>
      </c>
      <c r="U58" s="19">
        <v>12.0</v>
      </c>
      <c r="V58" s="19">
        <v>3.0</v>
      </c>
      <c r="W58" s="19">
        <v>3.0</v>
      </c>
      <c r="X58" s="19">
        <v>2.0</v>
      </c>
      <c r="Y58" s="19">
        <v>7.0</v>
      </c>
      <c r="Z58" s="13">
        <f t="shared" si="16"/>
        <v>289</v>
      </c>
    </row>
    <row r="59" ht="12.75" customHeight="1">
      <c r="A59" s="18"/>
      <c r="B59" s="55">
        <v>2.0</v>
      </c>
      <c r="C59" s="50" t="s">
        <v>50</v>
      </c>
      <c r="D59" s="59"/>
      <c r="E59" s="19">
        <v>4.0</v>
      </c>
      <c r="F59" s="19">
        <v>1.0</v>
      </c>
      <c r="G59" s="19">
        <v>0.0</v>
      </c>
      <c r="H59" s="19">
        <v>3.0</v>
      </c>
      <c r="I59" s="19">
        <v>5.0</v>
      </c>
      <c r="J59" s="19">
        <v>8.0</v>
      </c>
      <c r="K59" s="19">
        <v>4.0</v>
      </c>
      <c r="L59" s="19">
        <v>1.0</v>
      </c>
      <c r="M59" s="19">
        <v>4.0</v>
      </c>
      <c r="N59" s="19">
        <v>1.0</v>
      </c>
      <c r="O59" s="19">
        <v>3.0</v>
      </c>
      <c r="P59" s="19">
        <v>4.0</v>
      </c>
      <c r="Q59" s="19">
        <v>3.0</v>
      </c>
      <c r="R59" s="19">
        <v>1.0</v>
      </c>
      <c r="S59" s="19">
        <v>4.0</v>
      </c>
      <c r="T59" s="19">
        <v>1.0</v>
      </c>
      <c r="U59" s="19">
        <v>2.0</v>
      </c>
      <c r="V59" s="19">
        <v>5.0</v>
      </c>
      <c r="W59" s="19">
        <v>2.0</v>
      </c>
      <c r="X59" s="19">
        <v>6.0</v>
      </c>
      <c r="Y59" s="19">
        <v>1.0</v>
      </c>
      <c r="Z59" s="13">
        <f t="shared" si="16"/>
        <v>63</v>
      </c>
    </row>
    <row r="60" ht="12.75" customHeight="1">
      <c r="A60" s="18"/>
      <c r="B60" s="55">
        <v>3.0</v>
      </c>
      <c r="C60" s="50" t="s">
        <v>51</v>
      </c>
      <c r="D60" s="59"/>
      <c r="E60" s="19">
        <v>0.0</v>
      </c>
      <c r="F60" s="19">
        <v>0.0</v>
      </c>
      <c r="G60" s="19">
        <v>1.0</v>
      </c>
      <c r="H60" s="19">
        <v>3.0</v>
      </c>
      <c r="I60" s="19">
        <v>2.0</v>
      </c>
      <c r="J60" s="19">
        <v>0.0</v>
      </c>
      <c r="K60" s="19">
        <v>0.0</v>
      </c>
      <c r="L60" s="19">
        <v>0.0</v>
      </c>
      <c r="M60" s="19">
        <v>1.0</v>
      </c>
      <c r="N60" s="19">
        <v>1.0</v>
      </c>
      <c r="O60" s="19">
        <v>3.0</v>
      </c>
      <c r="P60" s="19">
        <v>2.0</v>
      </c>
      <c r="Q60" s="19">
        <v>3.0</v>
      </c>
      <c r="R60" s="19">
        <v>1.0</v>
      </c>
      <c r="S60" s="19">
        <v>1.0</v>
      </c>
      <c r="T60" s="19">
        <v>0.0</v>
      </c>
      <c r="U60" s="19">
        <v>0.0</v>
      </c>
      <c r="V60" s="19">
        <v>0.0</v>
      </c>
      <c r="W60" s="19">
        <v>0.0</v>
      </c>
      <c r="X60" s="19">
        <v>4.0</v>
      </c>
      <c r="Y60" s="19">
        <v>0.0</v>
      </c>
      <c r="Z60" s="13">
        <f t="shared" si="16"/>
        <v>22</v>
      </c>
    </row>
    <row r="61" ht="12.75" customHeight="1">
      <c r="A61" s="18"/>
      <c r="B61" s="55">
        <v>4.0</v>
      </c>
      <c r="C61" s="50" t="s">
        <v>52</v>
      </c>
      <c r="D61" s="59"/>
      <c r="E61" s="19">
        <v>10.0</v>
      </c>
      <c r="F61" s="19">
        <v>0.0</v>
      </c>
      <c r="G61" s="19">
        <v>0.0</v>
      </c>
      <c r="H61" s="19">
        <v>1.0</v>
      </c>
      <c r="I61" s="19">
        <v>0.0</v>
      </c>
      <c r="J61" s="19">
        <v>0.0</v>
      </c>
      <c r="K61" s="19">
        <v>2.0</v>
      </c>
      <c r="L61" s="19">
        <v>0.0</v>
      </c>
      <c r="M61" s="19">
        <v>2.0</v>
      </c>
      <c r="N61" s="19">
        <v>4.0</v>
      </c>
      <c r="O61" s="19">
        <v>0.0</v>
      </c>
      <c r="P61" s="19">
        <v>0.0</v>
      </c>
      <c r="Q61" s="19">
        <v>1.0</v>
      </c>
      <c r="R61" s="19">
        <v>1.0</v>
      </c>
      <c r="S61" s="19">
        <v>1.0</v>
      </c>
      <c r="T61" s="19">
        <v>0.0</v>
      </c>
      <c r="U61" s="19">
        <v>0.0</v>
      </c>
      <c r="V61" s="19">
        <v>3.0</v>
      </c>
      <c r="W61" s="19">
        <v>2.0</v>
      </c>
      <c r="X61" s="19">
        <v>2.0</v>
      </c>
      <c r="Y61" s="19">
        <v>1.0</v>
      </c>
      <c r="Z61" s="13">
        <f t="shared" si="16"/>
        <v>30</v>
      </c>
    </row>
    <row r="62" ht="12.75" customHeight="1">
      <c r="A62" s="18"/>
      <c r="B62" s="55">
        <v>5.0</v>
      </c>
      <c r="C62" s="50" t="s">
        <v>53</v>
      </c>
      <c r="D62" s="59"/>
      <c r="E62" s="19">
        <v>1.0</v>
      </c>
      <c r="F62" s="19">
        <v>1.0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2.0</v>
      </c>
      <c r="M62" s="19">
        <v>0.0</v>
      </c>
      <c r="N62" s="19">
        <v>1.0</v>
      </c>
      <c r="O62" s="19">
        <v>0.0</v>
      </c>
      <c r="P62" s="19">
        <v>1.0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1.0</v>
      </c>
      <c r="X62" s="19">
        <v>1.0</v>
      </c>
      <c r="Y62" s="19">
        <v>0.0</v>
      </c>
      <c r="Z62" s="13">
        <f t="shared" si="16"/>
        <v>8</v>
      </c>
    </row>
    <row r="63" ht="12.75" customHeight="1">
      <c r="A63" s="18"/>
      <c r="B63" s="55">
        <v>6.0</v>
      </c>
      <c r="C63" s="50" t="s">
        <v>54</v>
      </c>
      <c r="D63" s="60"/>
      <c r="E63" s="19">
        <v>0.0</v>
      </c>
      <c r="F63" s="19">
        <v>0.0</v>
      </c>
      <c r="G63" s="19">
        <v>1.0</v>
      </c>
      <c r="H63" s="19">
        <v>0.0</v>
      </c>
      <c r="I63" s="19">
        <v>0.0</v>
      </c>
      <c r="J63" s="19">
        <v>1.0</v>
      </c>
      <c r="K63" s="19">
        <v>1.0</v>
      </c>
      <c r="L63" s="19">
        <v>1.0</v>
      </c>
      <c r="M63" s="19">
        <v>1.0</v>
      </c>
      <c r="N63" s="19">
        <v>0.0</v>
      </c>
      <c r="O63" s="19">
        <v>0.0</v>
      </c>
      <c r="P63" s="19">
        <v>0.0</v>
      </c>
      <c r="Q63" s="19">
        <v>1.0</v>
      </c>
      <c r="R63" s="19">
        <v>0.0</v>
      </c>
      <c r="S63" s="19">
        <v>0.0</v>
      </c>
      <c r="T63" s="19">
        <v>0.0</v>
      </c>
      <c r="U63" s="19">
        <v>0.0</v>
      </c>
      <c r="V63" s="19">
        <v>0.0</v>
      </c>
      <c r="W63" s="19">
        <v>0.0</v>
      </c>
      <c r="X63" s="19">
        <v>1.0</v>
      </c>
      <c r="Y63" s="19">
        <v>0.0</v>
      </c>
      <c r="Z63" s="13">
        <f t="shared" si="16"/>
        <v>7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0.0</v>
      </c>
      <c r="G64" s="19">
        <v>0.0</v>
      </c>
      <c r="H64" s="19">
        <v>1.0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1.0</v>
      </c>
      <c r="P64" s="19">
        <v>0.0</v>
      </c>
      <c r="Q64" s="19">
        <v>0.0</v>
      </c>
      <c r="R64" s="19">
        <v>0.0</v>
      </c>
      <c r="S64" s="19">
        <v>0.0</v>
      </c>
      <c r="T64" s="19">
        <v>1.0</v>
      </c>
      <c r="U64" s="19">
        <v>0.0</v>
      </c>
      <c r="V64" s="19">
        <v>0.0</v>
      </c>
      <c r="W64" s="19">
        <v>0.0</v>
      </c>
      <c r="X64" s="19">
        <v>0.0</v>
      </c>
      <c r="Y64" s="19">
        <v>0.0</v>
      </c>
      <c r="Z64" s="13">
        <f t="shared" si="16"/>
        <v>3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Z67" si="17">SUM(E57:E66)</f>
        <v>51</v>
      </c>
      <c r="F67" s="13">
        <f t="shared" si="17"/>
        <v>32</v>
      </c>
      <c r="G67" s="13">
        <f t="shared" si="17"/>
        <v>31</v>
      </c>
      <c r="H67" s="13">
        <f t="shared" si="17"/>
        <v>33</v>
      </c>
      <c r="I67" s="13">
        <f t="shared" si="17"/>
        <v>39</v>
      </c>
      <c r="J67" s="13">
        <f t="shared" si="17"/>
        <v>41</v>
      </c>
      <c r="K67" s="13">
        <f t="shared" si="17"/>
        <v>27</v>
      </c>
      <c r="L67" s="13">
        <f t="shared" si="17"/>
        <v>20</v>
      </c>
      <c r="M67" s="13">
        <f t="shared" si="17"/>
        <v>65</v>
      </c>
      <c r="N67" s="13">
        <f t="shared" si="17"/>
        <v>35</v>
      </c>
      <c r="O67" s="13">
        <f t="shared" si="17"/>
        <v>25</v>
      </c>
      <c r="P67" s="13">
        <f t="shared" si="17"/>
        <v>42</v>
      </c>
      <c r="Q67" s="13">
        <f t="shared" si="17"/>
        <v>43</v>
      </c>
      <c r="R67" s="13">
        <f t="shared" si="17"/>
        <v>8</v>
      </c>
      <c r="S67" s="13">
        <f t="shared" si="17"/>
        <v>16</v>
      </c>
      <c r="T67" s="13">
        <f t="shared" si="17"/>
        <v>18</v>
      </c>
      <c r="U67" s="13">
        <f t="shared" si="17"/>
        <v>20</v>
      </c>
      <c r="V67" s="13">
        <f t="shared" si="17"/>
        <v>22</v>
      </c>
      <c r="W67" s="13">
        <f t="shared" si="17"/>
        <v>15</v>
      </c>
      <c r="X67" s="13">
        <f t="shared" si="17"/>
        <v>30</v>
      </c>
      <c r="Y67" s="13">
        <f t="shared" si="17"/>
        <v>16</v>
      </c>
      <c r="Z67" s="13">
        <f t="shared" si="17"/>
        <v>629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2.0</v>
      </c>
      <c r="F69" s="19">
        <v>4.0</v>
      </c>
      <c r="G69" s="19">
        <v>4.0</v>
      </c>
      <c r="H69" s="19">
        <v>6.0</v>
      </c>
      <c r="I69" s="19">
        <v>2.0</v>
      </c>
      <c r="J69" s="19">
        <v>1.0</v>
      </c>
      <c r="K69" s="19">
        <v>2.0</v>
      </c>
      <c r="L69" s="19">
        <v>1.0</v>
      </c>
      <c r="M69" s="19">
        <v>1.0</v>
      </c>
      <c r="N69" s="19">
        <v>2.0</v>
      </c>
      <c r="O69" s="19">
        <v>4.0</v>
      </c>
      <c r="P69" s="19">
        <v>1.0</v>
      </c>
      <c r="Q69" s="19">
        <v>3.0</v>
      </c>
      <c r="R69" s="19">
        <v>2.0</v>
      </c>
      <c r="S69" s="19">
        <v>4.0</v>
      </c>
      <c r="T69" s="19">
        <v>5.0</v>
      </c>
      <c r="U69" s="19">
        <v>6.0</v>
      </c>
      <c r="V69" s="19">
        <v>10.0</v>
      </c>
      <c r="W69" s="19">
        <v>9.0</v>
      </c>
      <c r="X69" s="19">
        <v>9.0</v>
      </c>
      <c r="Y69" s="19">
        <v>3.0</v>
      </c>
      <c r="Z69" s="13">
        <f t="shared" ref="Z69:Z78" si="18">SUM(E69:Y69)</f>
        <v>81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13.0</v>
      </c>
      <c r="F70" s="19">
        <v>24.0</v>
      </c>
      <c r="G70" s="19">
        <v>14.0</v>
      </c>
      <c r="H70" s="19">
        <v>3.0</v>
      </c>
      <c r="I70" s="19">
        <v>1.0</v>
      </c>
      <c r="J70" s="19">
        <v>1.0</v>
      </c>
      <c r="K70" s="19">
        <v>5.0</v>
      </c>
      <c r="L70" s="19">
        <v>2.0</v>
      </c>
      <c r="M70" s="19">
        <v>3.0</v>
      </c>
      <c r="N70" s="19">
        <v>1.0</v>
      </c>
      <c r="O70" s="19">
        <v>17.0</v>
      </c>
      <c r="P70" s="19">
        <v>1.0</v>
      </c>
      <c r="Q70" s="19">
        <v>2.0</v>
      </c>
      <c r="R70" s="19">
        <v>2.0</v>
      </c>
      <c r="S70" s="19">
        <v>5.0</v>
      </c>
      <c r="T70" s="19">
        <v>3.0</v>
      </c>
      <c r="U70" s="19">
        <v>0.0</v>
      </c>
      <c r="V70" s="19">
        <v>4.0</v>
      </c>
      <c r="W70" s="19">
        <v>11.0</v>
      </c>
      <c r="X70" s="19">
        <v>3.0</v>
      </c>
      <c r="Y70" s="19">
        <v>4.0</v>
      </c>
      <c r="Z70" s="13">
        <f t="shared" si="18"/>
        <v>119</v>
      </c>
    </row>
    <row r="71" ht="12.75" customHeight="1">
      <c r="A71" s="18"/>
      <c r="B71" s="55">
        <v>2.0</v>
      </c>
      <c r="C71" s="50" t="s">
        <v>58</v>
      </c>
      <c r="D71" s="60"/>
      <c r="E71" s="19">
        <v>2.0</v>
      </c>
      <c r="F71" s="19">
        <v>4.0</v>
      </c>
      <c r="G71" s="19">
        <v>0.0</v>
      </c>
      <c r="H71" s="19">
        <v>3.0</v>
      </c>
      <c r="I71" s="19">
        <v>3.0</v>
      </c>
      <c r="J71" s="19">
        <v>2.0</v>
      </c>
      <c r="K71" s="19">
        <v>2.0</v>
      </c>
      <c r="L71" s="19">
        <v>0.0</v>
      </c>
      <c r="M71" s="19">
        <v>3.0</v>
      </c>
      <c r="N71" s="19">
        <v>3.0</v>
      </c>
      <c r="O71" s="19">
        <v>1.0</v>
      </c>
      <c r="P71" s="19">
        <v>3.0</v>
      </c>
      <c r="Q71" s="19">
        <v>2.0</v>
      </c>
      <c r="R71" s="19">
        <v>0.0</v>
      </c>
      <c r="S71" s="19">
        <v>2.0</v>
      </c>
      <c r="T71" s="19">
        <v>2.0</v>
      </c>
      <c r="U71" s="19">
        <v>2.0</v>
      </c>
      <c r="V71" s="19">
        <v>10.0</v>
      </c>
      <c r="W71" s="19">
        <v>5.0</v>
      </c>
      <c r="X71" s="19">
        <v>30.0</v>
      </c>
      <c r="Y71" s="19">
        <v>5.0</v>
      </c>
      <c r="Z71" s="13">
        <f t="shared" si="18"/>
        <v>84</v>
      </c>
    </row>
    <row r="72" ht="12.75" customHeight="1">
      <c r="A72" s="18"/>
      <c r="B72" s="55">
        <v>3.0</v>
      </c>
      <c r="C72" s="50" t="s">
        <v>59</v>
      </c>
      <c r="D72" s="60"/>
      <c r="E72" s="19">
        <v>0.0</v>
      </c>
      <c r="F72" s="19">
        <v>1.0</v>
      </c>
      <c r="G72" s="19">
        <v>2.0</v>
      </c>
      <c r="H72" s="19">
        <v>0.0</v>
      </c>
      <c r="I72" s="19">
        <v>0.0</v>
      </c>
      <c r="J72" s="19">
        <v>1.0</v>
      </c>
      <c r="K72" s="19">
        <v>1.0</v>
      </c>
      <c r="L72" s="19">
        <v>0.0</v>
      </c>
      <c r="M72" s="19">
        <v>0.0</v>
      </c>
      <c r="N72" s="19">
        <v>1.0</v>
      </c>
      <c r="O72" s="19">
        <v>1.0</v>
      </c>
      <c r="P72" s="19">
        <v>0.0</v>
      </c>
      <c r="Q72" s="19">
        <v>1.0</v>
      </c>
      <c r="R72" s="19">
        <v>0.0</v>
      </c>
      <c r="S72" s="19">
        <v>1.0</v>
      </c>
      <c r="T72" s="19">
        <v>2.0</v>
      </c>
      <c r="U72" s="19">
        <v>0.0</v>
      </c>
      <c r="V72" s="19">
        <v>7.0</v>
      </c>
      <c r="W72" s="19">
        <v>2.0</v>
      </c>
      <c r="X72" s="19">
        <v>3.0</v>
      </c>
      <c r="Y72" s="19">
        <v>0.0</v>
      </c>
      <c r="Z72" s="13">
        <f t="shared" si="18"/>
        <v>23</v>
      </c>
    </row>
    <row r="73" ht="12.75" customHeight="1">
      <c r="A73" s="18"/>
      <c r="B73" s="55">
        <v>4.0</v>
      </c>
      <c r="C73" s="50" t="s">
        <v>60</v>
      </c>
      <c r="D73" s="60"/>
      <c r="E73" s="19">
        <v>1.0</v>
      </c>
      <c r="F73" s="19">
        <v>1.0</v>
      </c>
      <c r="G73" s="19">
        <v>0.0</v>
      </c>
      <c r="H73" s="19">
        <v>0.0</v>
      </c>
      <c r="I73" s="19">
        <v>0.0</v>
      </c>
      <c r="J73" s="19">
        <v>0.0</v>
      </c>
      <c r="K73" s="19">
        <v>0.0</v>
      </c>
      <c r="L73" s="19">
        <v>0.0</v>
      </c>
      <c r="M73" s="19">
        <v>0.0</v>
      </c>
      <c r="N73" s="19">
        <v>0.0</v>
      </c>
      <c r="O73" s="19">
        <v>0.0</v>
      </c>
      <c r="P73" s="19">
        <v>0.0</v>
      </c>
      <c r="Q73" s="19">
        <v>1.0</v>
      </c>
      <c r="R73" s="19">
        <v>2.0</v>
      </c>
      <c r="S73" s="19">
        <v>0.0</v>
      </c>
      <c r="T73" s="19">
        <v>0.0</v>
      </c>
      <c r="U73" s="19">
        <v>1.0</v>
      </c>
      <c r="V73" s="19">
        <v>2.0</v>
      </c>
      <c r="W73" s="19">
        <v>0.0</v>
      </c>
      <c r="X73" s="19">
        <v>2.0</v>
      </c>
      <c r="Y73" s="19">
        <v>0.0</v>
      </c>
      <c r="Z73" s="13">
        <f t="shared" si="18"/>
        <v>10</v>
      </c>
    </row>
    <row r="74" ht="12.75" customHeight="1">
      <c r="A74" s="18"/>
      <c r="B74" s="55">
        <v>5.0</v>
      </c>
      <c r="C74" s="50" t="s">
        <v>61</v>
      </c>
      <c r="D74" s="60"/>
      <c r="E74" s="19">
        <v>1.0</v>
      </c>
      <c r="F74" s="19">
        <v>2.0</v>
      </c>
      <c r="G74" s="19">
        <v>1.0</v>
      </c>
      <c r="H74" s="19">
        <v>0.0</v>
      </c>
      <c r="I74" s="19">
        <v>2.0</v>
      </c>
      <c r="J74" s="19">
        <v>4.0</v>
      </c>
      <c r="K74" s="19">
        <v>12.0</v>
      </c>
      <c r="L74" s="19">
        <v>2.0</v>
      </c>
      <c r="M74" s="19">
        <v>9.0</v>
      </c>
      <c r="N74" s="19">
        <v>16.0</v>
      </c>
      <c r="O74" s="19">
        <v>2.0</v>
      </c>
      <c r="P74" s="19">
        <v>3.0</v>
      </c>
      <c r="Q74" s="19">
        <v>1.0</v>
      </c>
      <c r="R74" s="19">
        <v>0.0</v>
      </c>
      <c r="S74" s="19">
        <v>2.0</v>
      </c>
      <c r="T74" s="19">
        <v>2.0</v>
      </c>
      <c r="U74" s="19">
        <v>3.0</v>
      </c>
      <c r="V74" s="19">
        <v>4.0</v>
      </c>
      <c r="W74" s="19">
        <v>4.0</v>
      </c>
      <c r="X74" s="19">
        <v>2.0</v>
      </c>
      <c r="Y74" s="19">
        <v>0.0</v>
      </c>
      <c r="Z74" s="13">
        <f t="shared" si="18"/>
        <v>72</v>
      </c>
    </row>
    <row r="75" ht="12.75" customHeight="1">
      <c r="A75" s="18"/>
      <c r="B75" s="55">
        <v>6.0</v>
      </c>
      <c r="C75" s="50" t="s">
        <v>62</v>
      </c>
      <c r="D75" s="60"/>
      <c r="E75" s="19">
        <v>0.0</v>
      </c>
      <c r="F75" s="19">
        <v>0.0</v>
      </c>
      <c r="G75" s="19">
        <v>0.0</v>
      </c>
      <c r="H75" s="19">
        <v>3.0</v>
      </c>
      <c r="I75" s="19">
        <v>0.0</v>
      </c>
      <c r="J75" s="19">
        <v>0.0</v>
      </c>
      <c r="K75" s="19">
        <v>0.0</v>
      </c>
      <c r="L75" s="19">
        <v>0.0</v>
      </c>
      <c r="M75" s="19">
        <v>0.0</v>
      </c>
      <c r="N75" s="19">
        <v>0.0</v>
      </c>
      <c r="O75" s="19">
        <v>1.0</v>
      </c>
      <c r="P75" s="19">
        <v>0.0</v>
      </c>
      <c r="Q75" s="19">
        <v>0.0</v>
      </c>
      <c r="R75" s="19">
        <v>0.0</v>
      </c>
      <c r="S75" s="19">
        <v>1.0</v>
      </c>
      <c r="T75" s="19">
        <v>0.0</v>
      </c>
      <c r="U75" s="19">
        <v>0.0</v>
      </c>
      <c r="V75" s="19">
        <v>2.0</v>
      </c>
      <c r="W75" s="19">
        <v>0.0</v>
      </c>
      <c r="X75" s="19">
        <v>1.0</v>
      </c>
      <c r="Y75" s="19">
        <v>1.0</v>
      </c>
      <c r="Z75" s="13">
        <f t="shared" si="18"/>
        <v>9</v>
      </c>
    </row>
    <row r="76" ht="12.75" customHeight="1">
      <c r="A76" s="18"/>
      <c r="B76" s="55">
        <v>7.0</v>
      </c>
      <c r="C76" s="50" t="s">
        <v>63</v>
      </c>
      <c r="D76" s="60"/>
      <c r="E76" s="19">
        <v>0.0</v>
      </c>
      <c r="F76" s="19">
        <v>0.0</v>
      </c>
      <c r="G76" s="19">
        <v>2.0</v>
      </c>
      <c r="H76" s="19">
        <v>1.0</v>
      </c>
      <c r="I76" s="19">
        <v>0.0</v>
      </c>
      <c r="J76" s="19">
        <v>1.0</v>
      </c>
      <c r="K76" s="19">
        <v>3.0</v>
      </c>
      <c r="L76" s="19">
        <v>0.0</v>
      </c>
      <c r="M76" s="19">
        <v>3.0</v>
      </c>
      <c r="N76" s="19">
        <v>0.0</v>
      </c>
      <c r="O76" s="19">
        <v>1.0</v>
      </c>
      <c r="P76" s="19">
        <v>0.0</v>
      </c>
      <c r="Q76" s="19">
        <v>0.0</v>
      </c>
      <c r="R76" s="19">
        <v>0.0</v>
      </c>
      <c r="S76" s="19">
        <v>0.0</v>
      </c>
      <c r="T76" s="19">
        <v>0.0</v>
      </c>
      <c r="U76" s="19">
        <v>1.0</v>
      </c>
      <c r="V76" s="19">
        <v>0.0</v>
      </c>
      <c r="W76" s="19">
        <v>1.0</v>
      </c>
      <c r="X76" s="19">
        <v>0.0</v>
      </c>
      <c r="Y76" s="19">
        <v>0.0</v>
      </c>
      <c r="Z76" s="13">
        <f t="shared" si="18"/>
        <v>13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Z79" si="19">SUM(E69:E78)</f>
        <v>19</v>
      </c>
      <c r="F79" s="13">
        <f t="shared" si="19"/>
        <v>36</v>
      </c>
      <c r="G79" s="13">
        <f t="shared" si="19"/>
        <v>23</v>
      </c>
      <c r="H79" s="13">
        <f t="shared" si="19"/>
        <v>16</v>
      </c>
      <c r="I79" s="13">
        <f t="shared" si="19"/>
        <v>8</v>
      </c>
      <c r="J79" s="13">
        <f t="shared" si="19"/>
        <v>10</v>
      </c>
      <c r="K79" s="13">
        <f t="shared" si="19"/>
        <v>25</v>
      </c>
      <c r="L79" s="13">
        <f t="shared" si="19"/>
        <v>5</v>
      </c>
      <c r="M79" s="13">
        <f t="shared" si="19"/>
        <v>19</v>
      </c>
      <c r="N79" s="13">
        <f t="shared" si="19"/>
        <v>23</v>
      </c>
      <c r="O79" s="13">
        <f t="shared" si="19"/>
        <v>27</v>
      </c>
      <c r="P79" s="13">
        <f t="shared" si="19"/>
        <v>8</v>
      </c>
      <c r="Q79" s="13">
        <f t="shared" si="19"/>
        <v>10</v>
      </c>
      <c r="R79" s="13">
        <f t="shared" si="19"/>
        <v>6</v>
      </c>
      <c r="S79" s="13">
        <f t="shared" si="19"/>
        <v>15</v>
      </c>
      <c r="T79" s="13">
        <f t="shared" si="19"/>
        <v>14</v>
      </c>
      <c r="U79" s="13">
        <f t="shared" si="19"/>
        <v>13</v>
      </c>
      <c r="V79" s="13">
        <f t="shared" si="19"/>
        <v>39</v>
      </c>
      <c r="W79" s="13">
        <f t="shared" si="19"/>
        <v>32</v>
      </c>
      <c r="X79" s="13">
        <f t="shared" si="19"/>
        <v>50</v>
      </c>
      <c r="Y79" s="13">
        <f t="shared" si="19"/>
        <v>13</v>
      </c>
      <c r="Z79" s="13">
        <f t="shared" si="19"/>
        <v>411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0.0</v>
      </c>
      <c r="F81" s="19">
        <v>3.0</v>
      </c>
      <c r="G81" s="19">
        <v>2.0</v>
      </c>
      <c r="H81" s="19">
        <v>3.0</v>
      </c>
      <c r="I81" s="19">
        <v>4.0</v>
      </c>
      <c r="J81" s="19">
        <v>0.0</v>
      </c>
      <c r="K81" s="19">
        <v>0.0</v>
      </c>
      <c r="L81" s="19">
        <v>0.0</v>
      </c>
      <c r="M81" s="19">
        <v>1.0</v>
      </c>
      <c r="N81" s="19">
        <v>2.0</v>
      </c>
      <c r="O81" s="19">
        <v>3.0</v>
      </c>
      <c r="P81" s="19">
        <v>1.0</v>
      </c>
      <c r="Q81" s="19">
        <v>1.0</v>
      </c>
      <c r="R81" s="19">
        <v>2.0</v>
      </c>
      <c r="S81" s="19">
        <v>3.0</v>
      </c>
      <c r="T81" s="19">
        <v>3.0</v>
      </c>
      <c r="U81" s="19">
        <v>2.0</v>
      </c>
      <c r="V81" s="19">
        <v>2.0</v>
      </c>
      <c r="W81" s="19">
        <v>3.0</v>
      </c>
      <c r="X81" s="19">
        <v>4.0</v>
      </c>
      <c r="Y81" s="19">
        <v>1.0</v>
      </c>
      <c r="Z81" s="13">
        <f t="shared" ref="Z81:Z90" si="20">SUM(E81:Y81)</f>
        <v>40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1.0</v>
      </c>
      <c r="F82" s="19">
        <v>7.0</v>
      </c>
      <c r="G82" s="19">
        <v>6.0</v>
      </c>
      <c r="H82" s="19">
        <v>0.0</v>
      </c>
      <c r="I82" s="19">
        <v>1.0</v>
      </c>
      <c r="J82" s="19">
        <v>0.0</v>
      </c>
      <c r="K82" s="19">
        <v>1.0</v>
      </c>
      <c r="L82" s="19">
        <v>0.0</v>
      </c>
      <c r="M82" s="19">
        <v>1.0</v>
      </c>
      <c r="N82" s="19">
        <v>2.0</v>
      </c>
      <c r="O82" s="19">
        <v>7.0</v>
      </c>
      <c r="P82" s="19">
        <v>3.0</v>
      </c>
      <c r="Q82" s="19">
        <v>4.0</v>
      </c>
      <c r="R82" s="19">
        <v>6.0</v>
      </c>
      <c r="S82" s="19">
        <v>15.0</v>
      </c>
      <c r="T82" s="19">
        <v>24.0</v>
      </c>
      <c r="U82" s="19">
        <v>25.0</v>
      </c>
      <c r="V82" s="19">
        <v>8.0</v>
      </c>
      <c r="W82" s="19">
        <v>9.0</v>
      </c>
      <c r="X82" s="19">
        <v>0.0</v>
      </c>
      <c r="Y82" s="19">
        <v>1.0</v>
      </c>
      <c r="Z82" s="13">
        <f t="shared" si="20"/>
        <v>121</v>
      </c>
    </row>
    <row r="83" ht="12.75" customHeight="1">
      <c r="A83" s="18"/>
      <c r="B83" s="55">
        <v>2.0</v>
      </c>
      <c r="C83" s="50" t="s">
        <v>66</v>
      </c>
      <c r="D83" s="60"/>
      <c r="E83" s="19">
        <v>2.0</v>
      </c>
      <c r="F83" s="19">
        <v>4.0</v>
      </c>
      <c r="G83" s="19">
        <v>10.0</v>
      </c>
      <c r="H83" s="19">
        <v>8.0</v>
      </c>
      <c r="I83" s="19">
        <v>1.0</v>
      </c>
      <c r="J83" s="19">
        <v>0.0</v>
      </c>
      <c r="K83" s="19">
        <v>0.0</v>
      </c>
      <c r="L83" s="19">
        <v>1.0</v>
      </c>
      <c r="M83" s="19">
        <v>0.0</v>
      </c>
      <c r="N83" s="19">
        <v>0.0</v>
      </c>
      <c r="O83" s="19">
        <v>2.0</v>
      </c>
      <c r="P83" s="19">
        <v>5.0</v>
      </c>
      <c r="Q83" s="19">
        <v>4.0</v>
      </c>
      <c r="R83" s="19">
        <v>2.0</v>
      </c>
      <c r="S83" s="19">
        <v>9.0</v>
      </c>
      <c r="T83" s="19">
        <v>23.0</v>
      </c>
      <c r="U83" s="19">
        <v>7.0</v>
      </c>
      <c r="V83" s="19">
        <v>6.0</v>
      </c>
      <c r="W83" s="19">
        <v>5.0</v>
      </c>
      <c r="X83" s="19">
        <v>5.0</v>
      </c>
      <c r="Y83" s="19">
        <v>9.0</v>
      </c>
      <c r="Z83" s="13">
        <f t="shared" si="20"/>
        <v>103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1.0</v>
      </c>
      <c r="G84" s="19">
        <v>0.0</v>
      </c>
      <c r="H84" s="19">
        <v>0.0</v>
      </c>
      <c r="I84" s="19">
        <v>1.0</v>
      </c>
      <c r="J84" s="19">
        <v>0.0</v>
      </c>
      <c r="K84" s="19">
        <v>1.0</v>
      </c>
      <c r="L84" s="19">
        <v>0.0</v>
      </c>
      <c r="M84" s="19">
        <v>0.0</v>
      </c>
      <c r="N84" s="19">
        <v>0.0</v>
      </c>
      <c r="O84" s="19">
        <v>1.0</v>
      </c>
      <c r="P84" s="19">
        <v>0.0</v>
      </c>
      <c r="Q84" s="19">
        <v>0.0</v>
      </c>
      <c r="R84" s="19">
        <v>0.0</v>
      </c>
      <c r="S84" s="19">
        <v>0.0</v>
      </c>
      <c r="T84" s="19">
        <v>0.0</v>
      </c>
      <c r="U84" s="19">
        <v>1.0</v>
      </c>
      <c r="V84" s="19">
        <v>1.0</v>
      </c>
      <c r="W84" s="19">
        <v>0.0</v>
      </c>
      <c r="X84" s="19">
        <v>0.0</v>
      </c>
      <c r="Y84" s="19">
        <v>1.0</v>
      </c>
      <c r="Z84" s="13">
        <f t="shared" si="20"/>
        <v>7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0.0</v>
      </c>
      <c r="G85" s="19">
        <v>0.0</v>
      </c>
      <c r="H85" s="19">
        <v>0.0</v>
      </c>
      <c r="I85" s="19">
        <v>0.0</v>
      </c>
      <c r="J85" s="19">
        <v>0.0</v>
      </c>
      <c r="K85" s="19">
        <v>1.0</v>
      </c>
      <c r="L85" s="19">
        <v>0.0</v>
      </c>
      <c r="M85" s="19">
        <v>0.0</v>
      </c>
      <c r="N85" s="19">
        <v>0.0</v>
      </c>
      <c r="O85" s="19">
        <v>0.0</v>
      </c>
      <c r="P85" s="19">
        <v>1.0</v>
      </c>
      <c r="Q85" s="19">
        <v>0.0</v>
      </c>
      <c r="R85" s="19">
        <v>0.0</v>
      </c>
      <c r="S85" s="19">
        <v>0.0</v>
      </c>
      <c r="T85" s="19">
        <v>0.0</v>
      </c>
      <c r="U85" s="19">
        <v>0.0</v>
      </c>
      <c r="V85" s="19">
        <v>0.0</v>
      </c>
      <c r="W85" s="19">
        <v>1.0</v>
      </c>
      <c r="X85" s="19">
        <v>0.0</v>
      </c>
      <c r="Y85" s="19">
        <v>0.0</v>
      </c>
      <c r="Z85" s="13">
        <f t="shared" si="20"/>
        <v>3</v>
      </c>
    </row>
    <row r="86" ht="12.75" customHeight="1">
      <c r="A86" s="18"/>
      <c r="B86" s="55">
        <v>5.0</v>
      </c>
      <c r="C86" s="50" t="s">
        <v>69</v>
      </c>
      <c r="D86" s="60"/>
      <c r="E86" s="19">
        <v>1.0</v>
      </c>
      <c r="F86" s="19">
        <v>1.0</v>
      </c>
      <c r="G86" s="19">
        <v>5.0</v>
      </c>
      <c r="H86" s="19">
        <v>0.0</v>
      </c>
      <c r="I86" s="19">
        <v>2.0</v>
      </c>
      <c r="J86" s="19">
        <v>3.0</v>
      </c>
      <c r="K86" s="19">
        <v>1.0</v>
      </c>
      <c r="L86" s="19">
        <v>0.0</v>
      </c>
      <c r="M86" s="19">
        <v>1.0</v>
      </c>
      <c r="N86" s="19">
        <v>1.0</v>
      </c>
      <c r="O86" s="19">
        <v>2.0</v>
      </c>
      <c r="P86" s="19">
        <v>2.0</v>
      </c>
      <c r="Q86" s="19">
        <v>0.0</v>
      </c>
      <c r="R86" s="19">
        <v>0.0</v>
      </c>
      <c r="S86" s="19">
        <v>1.0</v>
      </c>
      <c r="T86" s="19">
        <v>3.0</v>
      </c>
      <c r="U86" s="19">
        <v>0.0</v>
      </c>
      <c r="V86" s="19">
        <v>0.0</v>
      </c>
      <c r="W86" s="19">
        <v>0.0</v>
      </c>
      <c r="X86" s="19">
        <v>1.0</v>
      </c>
      <c r="Y86" s="19">
        <v>7.0</v>
      </c>
      <c r="Z86" s="13">
        <f t="shared" si="20"/>
        <v>31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0.0</v>
      </c>
      <c r="H87" s="19">
        <v>2.0</v>
      </c>
      <c r="I87" s="19">
        <v>2.0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3">
        <f t="shared" si="20"/>
        <v>4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3">
        <f t="shared" si="20"/>
        <v>0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Z91" si="21">SUM(E81:E90)</f>
        <v>4</v>
      </c>
      <c r="F91" s="13">
        <f t="shared" si="21"/>
        <v>16</v>
      </c>
      <c r="G91" s="13">
        <f t="shared" si="21"/>
        <v>23</v>
      </c>
      <c r="H91" s="13">
        <f t="shared" si="21"/>
        <v>13</v>
      </c>
      <c r="I91" s="13">
        <f t="shared" si="21"/>
        <v>11</v>
      </c>
      <c r="J91" s="13">
        <f t="shared" si="21"/>
        <v>3</v>
      </c>
      <c r="K91" s="13">
        <f t="shared" si="21"/>
        <v>4</v>
      </c>
      <c r="L91" s="13">
        <f t="shared" si="21"/>
        <v>1</v>
      </c>
      <c r="M91" s="13">
        <f t="shared" si="21"/>
        <v>3</v>
      </c>
      <c r="N91" s="13">
        <f t="shared" si="21"/>
        <v>5</v>
      </c>
      <c r="O91" s="13">
        <f t="shared" si="21"/>
        <v>15</v>
      </c>
      <c r="P91" s="13">
        <f t="shared" si="21"/>
        <v>12</v>
      </c>
      <c r="Q91" s="13">
        <f t="shared" si="21"/>
        <v>9</v>
      </c>
      <c r="R91" s="13">
        <f t="shared" si="21"/>
        <v>10</v>
      </c>
      <c r="S91" s="13">
        <f t="shared" si="21"/>
        <v>28</v>
      </c>
      <c r="T91" s="13">
        <f t="shared" si="21"/>
        <v>53</v>
      </c>
      <c r="U91" s="13">
        <f t="shared" si="21"/>
        <v>35</v>
      </c>
      <c r="V91" s="13">
        <f t="shared" si="21"/>
        <v>17</v>
      </c>
      <c r="W91" s="13">
        <f t="shared" si="21"/>
        <v>18</v>
      </c>
      <c r="X91" s="13">
        <f t="shared" si="21"/>
        <v>10</v>
      </c>
      <c r="Y91" s="13">
        <f t="shared" si="21"/>
        <v>19</v>
      </c>
      <c r="Z91" s="13">
        <f t="shared" si="21"/>
        <v>309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3.0</v>
      </c>
      <c r="F93" s="19">
        <v>2.0</v>
      </c>
      <c r="G93" s="19">
        <v>0.0</v>
      </c>
      <c r="H93" s="19">
        <v>0.0</v>
      </c>
      <c r="I93" s="19">
        <v>0.0</v>
      </c>
      <c r="J93" s="19">
        <v>1.0</v>
      </c>
      <c r="K93" s="19">
        <v>4.0</v>
      </c>
      <c r="L93" s="19">
        <v>0.0</v>
      </c>
      <c r="M93" s="19">
        <v>0.0</v>
      </c>
      <c r="N93" s="19">
        <v>0.0</v>
      </c>
      <c r="O93" s="19">
        <v>0.0</v>
      </c>
      <c r="P93" s="19">
        <v>0.0</v>
      </c>
      <c r="Q93" s="19">
        <v>3.0</v>
      </c>
      <c r="R93" s="19">
        <v>0.0</v>
      </c>
      <c r="S93" s="19">
        <v>4.0</v>
      </c>
      <c r="T93" s="19">
        <v>2.0</v>
      </c>
      <c r="U93" s="19">
        <v>7.0</v>
      </c>
      <c r="V93" s="19">
        <v>0.0</v>
      </c>
      <c r="W93" s="19">
        <v>2.0</v>
      </c>
      <c r="X93" s="19">
        <v>0.0</v>
      </c>
      <c r="Y93" s="19">
        <v>0.0</v>
      </c>
      <c r="Z93" s="13">
        <f t="shared" ref="Z93:Z102" si="22">SUM(E93:Y93)</f>
        <v>28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4.0</v>
      </c>
      <c r="F94" s="19">
        <v>3.0</v>
      </c>
      <c r="G94" s="19">
        <v>1.0</v>
      </c>
      <c r="H94" s="19">
        <v>0.0</v>
      </c>
      <c r="I94" s="19">
        <v>0.0</v>
      </c>
      <c r="J94" s="19">
        <v>0.0</v>
      </c>
      <c r="K94" s="19">
        <v>6.0</v>
      </c>
      <c r="L94" s="19">
        <v>0.0</v>
      </c>
      <c r="M94" s="19">
        <v>0.0</v>
      </c>
      <c r="N94" s="19">
        <v>2.0</v>
      </c>
      <c r="O94" s="19">
        <v>6.0</v>
      </c>
      <c r="P94" s="19">
        <v>4.0</v>
      </c>
      <c r="Q94" s="19">
        <v>1.0</v>
      </c>
      <c r="R94" s="19">
        <v>0.0</v>
      </c>
      <c r="S94" s="19">
        <v>4.0</v>
      </c>
      <c r="T94" s="19">
        <v>3.0</v>
      </c>
      <c r="U94" s="19">
        <v>9.0</v>
      </c>
      <c r="V94" s="19">
        <v>0.0</v>
      </c>
      <c r="W94" s="19">
        <v>1.0</v>
      </c>
      <c r="X94" s="19">
        <v>0.0</v>
      </c>
      <c r="Y94" s="19">
        <v>1.0</v>
      </c>
      <c r="Z94" s="13">
        <f t="shared" si="22"/>
        <v>45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0.0</v>
      </c>
      <c r="G95" s="19">
        <v>0.0</v>
      </c>
      <c r="H95" s="19">
        <v>0.0</v>
      </c>
      <c r="I95" s="19">
        <v>1.0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1.0</v>
      </c>
      <c r="Q95" s="19">
        <v>2.0</v>
      </c>
      <c r="R95" s="19">
        <v>2.0</v>
      </c>
      <c r="S95" s="19">
        <v>2.0</v>
      </c>
      <c r="T95" s="19">
        <v>0.0</v>
      </c>
      <c r="U95" s="19">
        <v>3.0</v>
      </c>
      <c r="V95" s="19">
        <v>4.0</v>
      </c>
      <c r="W95" s="19">
        <v>2.0</v>
      </c>
      <c r="X95" s="19">
        <v>0.0</v>
      </c>
      <c r="Y95" s="19">
        <v>1.0</v>
      </c>
      <c r="Z95" s="13">
        <f t="shared" si="22"/>
        <v>18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1.0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1.0</v>
      </c>
      <c r="X96" s="19">
        <v>0.0</v>
      </c>
      <c r="Y96" s="19">
        <v>0.0</v>
      </c>
      <c r="Z96" s="13">
        <f t="shared" si="22"/>
        <v>2</v>
      </c>
    </row>
    <row r="97" ht="12.75" customHeight="1">
      <c r="A97" s="18"/>
      <c r="B97" s="55">
        <v>4.0</v>
      </c>
      <c r="C97" s="50" t="s">
        <v>77</v>
      </c>
      <c r="D97" s="60"/>
      <c r="E97" s="19">
        <v>3.0</v>
      </c>
      <c r="F97" s="19">
        <v>1.0</v>
      </c>
      <c r="G97" s="19">
        <v>4.0</v>
      </c>
      <c r="H97" s="19">
        <v>0.0</v>
      </c>
      <c r="I97" s="19">
        <v>0.0</v>
      </c>
      <c r="J97" s="19">
        <v>0.0</v>
      </c>
      <c r="K97" s="19">
        <v>8.0</v>
      </c>
      <c r="L97" s="19">
        <v>16.0</v>
      </c>
      <c r="M97" s="19">
        <v>3.0</v>
      </c>
      <c r="N97" s="19">
        <v>0.0</v>
      </c>
      <c r="O97" s="19">
        <v>1.0</v>
      </c>
      <c r="P97" s="19">
        <v>1.0</v>
      </c>
      <c r="Q97" s="19">
        <v>5.0</v>
      </c>
      <c r="R97" s="19">
        <v>3.0</v>
      </c>
      <c r="S97" s="19">
        <v>36.0</v>
      </c>
      <c r="T97" s="19">
        <v>3.0</v>
      </c>
      <c r="U97" s="19">
        <v>14.0</v>
      </c>
      <c r="V97" s="19">
        <v>1.0</v>
      </c>
      <c r="W97" s="19">
        <v>6.0</v>
      </c>
      <c r="X97" s="19">
        <v>9.0</v>
      </c>
      <c r="Y97" s="19">
        <v>0.0</v>
      </c>
      <c r="Z97" s="13">
        <f t="shared" si="22"/>
        <v>114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1.0</v>
      </c>
      <c r="L98" s="19">
        <v>0.0</v>
      </c>
      <c r="M98" s="19">
        <v>0.0</v>
      </c>
      <c r="N98" s="19">
        <v>0.0</v>
      </c>
      <c r="O98" s="19">
        <v>1.0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1.0</v>
      </c>
      <c r="V98" s="19">
        <v>1.0</v>
      </c>
      <c r="W98" s="19">
        <v>0.0</v>
      </c>
      <c r="X98" s="19">
        <v>0.0</v>
      </c>
      <c r="Y98" s="19">
        <v>0.0</v>
      </c>
      <c r="Z98" s="13">
        <f t="shared" si="22"/>
        <v>4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1.0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3">
        <f t="shared" si="22"/>
        <v>1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Z103" si="23">SUM(E93:E102)</f>
        <v>10</v>
      </c>
      <c r="F103" s="13">
        <f t="shared" si="23"/>
        <v>6</v>
      </c>
      <c r="G103" s="13">
        <f t="shared" si="23"/>
        <v>5</v>
      </c>
      <c r="H103" s="13">
        <f t="shared" si="23"/>
        <v>0</v>
      </c>
      <c r="I103" s="13">
        <f t="shared" si="23"/>
        <v>1</v>
      </c>
      <c r="J103" s="13">
        <f t="shared" si="23"/>
        <v>1</v>
      </c>
      <c r="K103" s="13">
        <f t="shared" si="23"/>
        <v>20</v>
      </c>
      <c r="L103" s="13">
        <f t="shared" si="23"/>
        <v>16</v>
      </c>
      <c r="M103" s="13">
        <f t="shared" si="23"/>
        <v>3</v>
      </c>
      <c r="N103" s="13">
        <f t="shared" si="23"/>
        <v>2</v>
      </c>
      <c r="O103" s="13">
        <f t="shared" si="23"/>
        <v>8</v>
      </c>
      <c r="P103" s="13">
        <f t="shared" si="23"/>
        <v>6</v>
      </c>
      <c r="Q103" s="13">
        <f t="shared" si="23"/>
        <v>12</v>
      </c>
      <c r="R103" s="13">
        <f t="shared" si="23"/>
        <v>5</v>
      </c>
      <c r="S103" s="13">
        <f t="shared" si="23"/>
        <v>46</v>
      </c>
      <c r="T103" s="13">
        <f t="shared" si="23"/>
        <v>8</v>
      </c>
      <c r="U103" s="13">
        <f t="shared" si="23"/>
        <v>34</v>
      </c>
      <c r="V103" s="13">
        <f t="shared" si="23"/>
        <v>6</v>
      </c>
      <c r="W103" s="13">
        <f t="shared" si="23"/>
        <v>12</v>
      </c>
      <c r="X103" s="13">
        <f t="shared" si="23"/>
        <v>9</v>
      </c>
      <c r="Y103" s="13">
        <f t="shared" si="23"/>
        <v>2</v>
      </c>
      <c r="Z103" s="13">
        <f t="shared" si="23"/>
        <v>212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1.0</v>
      </c>
      <c r="H105" s="19">
        <v>0.0</v>
      </c>
      <c r="I105" s="19">
        <v>0.0</v>
      </c>
      <c r="J105" s="19">
        <v>1.0</v>
      </c>
      <c r="K105" s="19">
        <v>0.0</v>
      </c>
      <c r="L105" s="19">
        <v>0.0</v>
      </c>
      <c r="M105" s="19">
        <v>0.0</v>
      </c>
      <c r="N105" s="19">
        <v>0.0</v>
      </c>
      <c r="O105" s="19">
        <v>1.0</v>
      </c>
      <c r="P105" s="19">
        <v>0.0</v>
      </c>
      <c r="Q105" s="19">
        <v>0.0</v>
      </c>
      <c r="R105" s="19">
        <v>0.0</v>
      </c>
      <c r="S105" s="19">
        <v>1.0</v>
      </c>
      <c r="T105" s="19">
        <v>0.0</v>
      </c>
      <c r="U105" s="19">
        <v>0.0</v>
      </c>
      <c r="V105" s="19">
        <v>0.0</v>
      </c>
      <c r="W105" s="19">
        <v>0.0</v>
      </c>
      <c r="X105" s="19">
        <v>0.0</v>
      </c>
      <c r="Y105" s="19">
        <v>0.0</v>
      </c>
      <c r="Z105" s="13">
        <f t="shared" ref="Z105:Z114" si="24">SUM(E105:Y105)</f>
        <v>4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1.0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1.0</v>
      </c>
      <c r="Y106" s="19">
        <v>0.0</v>
      </c>
      <c r="Z106" s="13">
        <f t="shared" si="24"/>
        <v>2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3">
        <f t="shared" si="24"/>
        <v>0</v>
      </c>
    </row>
    <row r="108" ht="12.75" customHeight="1">
      <c r="A108" s="18"/>
      <c r="B108" s="55">
        <v>3.0</v>
      </c>
      <c r="C108" s="50" t="s">
        <v>85</v>
      </c>
      <c r="D108" s="60"/>
      <c r="E108" s="7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60"/>
      <c r="E109" s="7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60"/>
      <c r="E110" s="7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7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1.0</v>
      </c>
      <c r="X111" s="19">
        <v>0.0</v>
      </c>
      <c r="Y111" s="19">
        <v>0.0</v>
      </c>
      <c r="Z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60"/>
      <c r="E112" s="7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1.0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3">
        <f t="shared" si="24"/>
        <v>1</v>
      </c>
    </row>
    <row r="113" ht="12.75" customHeight="1">
      <c r="A113" s="18"/>
      <c r="B113" s="56"/>
      <c r="C113" s="57"/>
      <c r="D113" s="62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3">
        <f t="shared" si="24"/>
        <v>0</v>
      </c>
    </row>
    <row r="114" ht="12.75" customHeight="1">
      <c r="A114" s="18"/>
      <c r="B114" s="56"/>
      <c r="C114" s="57"/>
      <c r="D114" s="62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Z115" si="25">SUM(E105:E114)</f>
        <v>0</v>
      </c>
      <c r="F115" s="13">
        <f t="shared" si="25"/>
        <v>0</v>
      </c>
      <c r="G115" s="13">
        <f t="shared" si="25"/>
        <v>1</v>
      </c>
      <c r="H115" s="13">
        <f t="shared" si="25"/>
        <v>0</v>
      </c>
      <c r="I115" s="13">
        <f t="shared" si="25"/>
        <v>0</v>
      </c>
      <c r="J115" s="13">
        <f t="shared" si="25"/>
        <v>2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2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1</v>
      </c>
      <c r="T115" s="13">
        <f t="shared" si="25"/>
        <v>0</v>
      </c>
      <c r="U115" s="13">
        <f t="shared" si="25"/>
        <v>0</v>
      </c>
      <c r="V115" s="13">
        <f t="shared" si="25"/>
        <v>0</v>
      </c>
      <c r="W115" s="13">
        <f t="shared" si="25"/>
        <v>1</v>
      </c>
      <c r="X115" s="13">
        <f t="shared" si="25"/>
        <v>1</v>
      </c>
      <c r="Y115" s="13">
        <f t="shared" si="25"/>
        <v>0</v>
      </c>
      <c r="Z115" s="13">
        <f t="shared" si="25"/>
        <v>8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1.0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1.0</v>
      </c>
      <c r="O117" s="19">
        <v>0.0</v>
      </c>
      <c r="P117" s="19">
        <v>0.0</v>
      </c>
      <c r="Q117" s="19">
        <v>0.0</v>
      </c>
      <c r="R117" s="19">
        <v>0.0</v>
      </c>
      <c r="S117" s="19">
        <v>1.0</v>
      </c>
      <c r="T117" s="19">
        <v>0.0</v>
      </c>
      <c r="U117" s="19">
        <v>0.0</v>
      </c>
      <c r="V117" s="19">
        <v>1.0</v>
      </c>
      <c r="W117" s="19">
        <v>1.0</v>
      </c>
      <c r="X117" s="19">
        <v>0.0</v>
      </c>
      <c r="Y117" s="19">
        <v>0.0</v>
      </c>
      <c r="Z117" s="13">
        <f t="shared" ref="Z117:Z126" si="26">SUM(E117:Y117)</f>
        <v>5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1.0</v>
      </c>
      <c r="G118" s="19">
        <v>2.0</v>
      </c>
      <c r="H118" s="19">
        <v>0.0</v>
      </c>
      <c r="I118" s="19">
        <v>0.0</v>
      </c>
      <c r="J118" s="19">
        <v>1.0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3">
        <f t="shared" si="26"/>
        <v>4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3">
        <f t="shared" si="26"/>
        <v>0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1.0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1.0</v>
      </c>
      <c r="Y120" s="19">
        <v>0.0</v>
      </c>
      <c r="Z120" s="13">
        <f t="shared" si="26"/>
        <v>2</v>
      </c>
    </row>
    <row r="121" ht="12.75" customHeight="1">
      <c r="A121" s="18"/>
      <c r="B121" s="56"/>
      <c r="C121" s="57"/>
      <c r="D121" s="61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3">
        <f t="shared" si="26"/>
        <v>0</v>
      </c>
    </row>
    <row r="122" ht="12.75" customHeight="1">
      <c r="A122" s="18"/>
      <c r="B122" s="56"/>
      <c r="C122" s="57"/>
      <c r="D122" s="61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3">
        <f t="shared" si="26"/>
        <v>0</v>
      </c>
    </row>
    <row r="123" ht="12.75" customHeight="1">
      <c r="A123" s="18"/>
      <c r="B123" s="56"/>
      <c r="C123" s="57"/>
      <c r="D123" s="61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Z127" si="27">SUM(E117:E126)</f>
        <v>0</v>
      </c>
      <c r="F127" s="13">
        <f t="shared" si="27"/>
        <v>2</v>
      </c>
      <c r="G127" s="13">
        <f t="shared" si="27"/>
        <v>2</v>
      </c>
      <c r="H127" s="13">
        <f t="shared" si="27"/>
        <v>1</v>
      </c>
      <c r="I127" s="13">
        <f t="shared" si="27"/>
        <v>0</v>
      </c>
      <c r="J127" s="13">
        <f t="shared" si="27"/>
        <v>1</v>
      </c>
      <c r="K127" s="13">
        <f t="shared" si="27"/>
        <v>0</v>
      </c>
      <c r="L127" s="13">
        <f t="shared" si="27"/>
        <v>0</v>
      </c>
      <c r="M127" s="13">
        <f t="shared" si="27"/>
        <v>0</v>
      </c>
      <c r="N127" s="13">
        <f t="shared" si="27"/>
        <v>1</v>
      </c>
      <c r="O127" s="13">
        <f t="shared" si="27"/>
        <v>0</v>
      </c>
      <c r="P127" s="13">
        <f t="shared" si="27"/>
        <v>0</v>
      </c>
      <c r="Q127" s="13">
        <f t="shared" si="27"/>
        <v>0</v>
      </c>
      <c r="R127" s="13">
        <f t="shared" si="27"/>
        <v>0</v>
      </c>
      <c r="S127" s="13">
        <f t="shared" si="27"/>
        <v>1</v>
      </c>
      <c r="T127" s="13">
        <f t="shared" si="27"/>
        <v>0</v>
      </c>
      <c r="U127" s="13">
        <f t="shared" si="27"/>
        <v>0</v>
      </c>
      <c r="V127" s="13">
        <f t="shared" si="27"/>
        <v>1</v>
      </c>
      <c r="W127" s="13">
        <f t="shared" si="27"/>
        <v>1</v>
      </c>
      <c r="X127" s="13">
        <f t="shared" si="27"/>
        <v>1</v>
      </c>
      <c r="Y127" s="13">
        <f t="shared" si="27"/>
        <v>0</v>
      </c>
      <c r="Z127" s="13">
        <f t="shared" si="27"/>
        <v>11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2.0</v>
      </c>
      <c r="I129" s="19">
        <v>0.0</v>
      </c>
      <c r="J129" s="19">
        <v>1.0</v>
      </c>
      <c r="K129" s="19">
        <v>1.0</v>
      </c>
      <c r="L129" s="19">
        <v>1.0</v>
      </c>
      <c r="M129" s="19">
        <v>0.0</v>
      </c>
      <c r="N129" s="19">
        <v>0.0</v>
      </c>
      <c r="O129" s="19">
        <v>0.0</v>
      </c>
      <c r="P129" s="19">
        <v>0.0</v>
      </c>
      <c r="Q129" s="19">
        <v>0.0</v>
      </c>
      <c r="R129" s="19">
        <v>0.0</v>
      </c>
      <c r="S129" s="19">
        <v>0.0</v>
      </c>
      <c r="T129" s="19">
        <v>1.0</v>
      </c>
      <c r="U129" s="19">
        <v>1.0</v>
      </c>
      <c r="V129" s="19">
        <v>0.0</v>
      </c>
      <c r="W129" s="19">
        <v>0.0</v>
      </c>
      <c r="X129" s="19">
        <v>0.0</v>
      </c>
      <c r="Y129" s="19">
        <v>1.0</v>
      </c>
      <c r="Z129" s="13">
        <f t="shared" ref="Z129:Z138" si="28">SUM(E129:Y129)</f>
        <v>8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0.0</v>
      </c>
      <c r="F130" s="19">
        <v>0.0</v>
      </c>
      <c r="G130" s="19">
        <v>1.0</v>
      </c>
      <c r="H130" s="19">
        <v>1.0</v>
      </c>
      <c r="I130" s="19">
        <v>0.0</v>
      </c>
      <c r="J130" s="19">
        <v>1.0</v>
      </c>
      <c r="K130" s="19">
        <v>1.0</v>
      </c>
      <c r="L130" s="19">
        <v>0.0</v>
      </c>
      <c r="M130" s="19">
        <v>1.0</v>
      </c>
      <c r="N130" s="19">
        <v>0.0</v>
      </c>
      <c r="O130" s="19">
        <v>6.0</v>
      </c>
      <c r="P130" s="19">
        <v>0.0</v>
      </c>
      <c r="Q130" s="19">
        <v>0.0</v>
      </c>
      <c r="R130" s="19">
        <v>0.0</v>
      </c>
      <c r="S130" s="19">
        <v>0.0</v>
      </c>
      <c r="T130" s="19">
        <v>0.0</v>
      </c>
      <c r="U130" s="19">
        <v>0.0</v>
      </c>
      <c r="V130" s="19">
        <v>0.0</v>
      </c>
      <c r="W130" s="19">
        <v>3.0</v>
      </c>
      <c r="X130" s="19">
        <v>0.0</v>
      </c>
      <c r="Y130" s="19">
        <v>0.0</v>
      </c>
      <c r="Z130" s="13">
        <f t="shared" si="28"/>
        <v>14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1.0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1.0</v>
      </c>
      <c r="N131" s="19">
        <v>0.0</v>
      </c>
      <c r="O131" s="19">
        <v>1.0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9">
        <v>1.0</v>
      </c>
      <c r="W131" s="19">
        <v>0.0</v>
      </c>
      <c r="X131" s="19">
        <v>0.0</v>
      </c>
      <c r="Y131" s="19">
        <v>0.0</v>
      </c>
      <c r="Z131" s="13">
        <f t="shared" si="28"/>
        <v>4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1.0</v>
      </c>
      <c r="M132" s="19">
        <v>0.0</v>
      </c>
      <c r="N132" s="19">
        <v>0.0</v>
      </c>
      <c r="O132" s="19">
        <v>0.0</v>
      </c>
      <c r="P132" s="19">
        <v>0.0</v>
      </c>
      <c r="Q132" s="19">
        <v>1.0</v>
      </c>
      <c r="R132" s="19">
        <v>1.0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1.0</v>
      </c>
      <c r="Y132" s="19">
        <v>0.0</v>
      </c>
      <c r="Z132" s="13">
        <f t="shared" si="28"/>
        <v>4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3">
        <f t="shared" si="28"/>
        <v>0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5.0</v>
      </c>
      <c r="I134" s="19">
        <v>1.0</v>
      </c>
      <c r="J134" s="19">
        <v>1.0</v>
      </c>
      <c r="K134" s="19">
        <v>2.0</v>
      </c>
      <c r="L134" s="19">
        <v>0.0</v>
      </c>
      <c r="M134" s="19">
        <v>0.0</v>
      </c>
      <c r="N134" s="19">
        <v>0.0</v>
      </c>
      <c r="O134" s="19">
        <v>0.0</v>
      </c>
      <c r="P134" s="19">
        <v>1.0</v>
      </c>
      <c r="Q134" s="19">
        <v>4.0</v>
      </c>
      <c r="R134" s="19">
        <v>4.0</v>
      </c>
      <c r="S134" s="19">
        <v>16.0</v>
      </c>
      <c r="T134" s="19">
        <v>6.0</v>
      </c>
      <c r="U134" s="19">
        <v>17.0</v>
      </c>
      <c r="V134" s="19">
        <v>10.0</v>
      </c>
      <c r="W134" s="19">
        <v>0.0</v>
      </c>
      <c r="X134" s="19">
        <v>7.0</v>
      </c>
      <c r="Y134" s="19">
        <v>0.0</v>
      </c>
      <c r="Z134" s="13">
        <f t="shared" si="28"/>
        <v>74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3">
        <f t="shared" si="28"/>
        <v>0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Z139" si="29">SUM(E129:E138)</f>
        <v>0</v>
      </c>
      <c r="F139" s="13">
        <f t="shared" si="29"/>
        <v>1</v>
      </c>
      <c r="G139" s="13">
        <f t="shared" si="29"/>
        <v>1</v>
      </c>
      <c r="H139" s="13">
        <f t="shared" si="29"/>
        <v>8</v>
      </c>
      <c r="I139" s="13">
        <f t="shared" si="29"/>
        <v>1</v>
      </c>
      <c r="J139" s="13">
        <f t="shared" si="29"/>
        <v>3</v>
      </c>
      <c r="K139" s="13">
        <f t="shared" si="29"/>
        <v>4</v>
      </c>
      <c r="L139" s="13">
        <f t="shared" si="29"/>
        <v>2</v>
      </c>
      <c r="M139" s="13">
        <f t="shared" si="29"/>
        <v>2</v>
      </c>
      <c r="N139" s="13">
        <f t="shared" si="29"/>
        <v>0</v>
      </c>
      <c r="O139" s="13">
        <f t="shared" si="29"/>
        <v>7</v>
      </c>
      <c r="P139" s="13">
        <f t="shared" si="29"/>
        <v>1</v>
      </c>
      <c r="Q139" s="13">
        <f t="shared" si="29"/>
        <v>5</v>
      </c>
      <c r="R139" s="13">
        <f t="shared" si="29"/>
        <v>5</v>
      </c>
      <c r="S139" s="13">
        <f t="shared" si="29"/>
        <v>16</v>
      </c>
      <c r="T139" s="13">
        <f t="shared" si="29"/>
        <v>7</v>
      </c>
      <c r="U139" s="13">
        <f t="shared" si="29"/>
        <v>18</v>
      </c>
      <c r="V139" s="13">
        <f t="shared" si="29"/>
        <v>11</v>
      </c>
      <c r="W139" s="13">
        <f t="shared" si="29"/>
        <v>3</v>
      </c>
      <c r="X139" s="13">
        <f t="shared" si="29"/>
        <v>8</v>
      </c>
      <c r="Y139" s="13">
        <f t="shared" si="29"/>
        <v>1</v>
      </c>
      <c r="Z139" s="13">
        <f t="shared" si="29"/>
        <v>104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3">
        <f t="shared" ref="Z141:Z150" si="30">SUM(E141:Y141)</f>
        <v>0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3">
        <f t="shared" si="30"/>
        <v>0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1.0</v>
      </c>
      <c r="Y147" s="19">
        <v>0.0</v>
      </c>
      <c r="Z147" s="13">
        <f t="shared" si="30"/>
        <v>1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Z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1</v>
      </c>
      <c r="Y151" s="13">
        <f t="shared" si="31"/>
        <v>0</v>
      </c>
      <c r="Z151" s="13">
        <f t="shared" si="31"/>
        <v>1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13"/>
    </row>
    <row r="153" ht="12.75" customHeight="1">
      <c r="A153" s="30" t="s">
        <v>37</v>
      </c>
      <c r="B153" s="17" t="s">
        <v>113</v>
      </c>
      <c r="C153" s="64" t="s">
        <v>114</v>
      </c>
      <c r="D153" s="23"/>
      <c r="E153" s="19">
        <v>0.0</v>
      </c>
      <c r="F153" s="19">
        <v>0.0</v>
      </c>
      <c r="G153" s="19">
        <v>1.0</v>
      </c>
      <c r="H153" s="19">
        <v>1.0</v>
      </c>
      <c r="I153" s="19">
        <v>1.0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1.0</v>
      </c>
      <c r="V153" s="19">
        <v>0.0</v>
      </c>
      <c r="W153" s="19">
        <v>0.0</v>
      </c>
      <c r="X153" s="19">
        <v>0.0</v>
      </c>
      <c r="Y153" s="19">
        <v>0.0</v>
      </c>
      <c r="Z153" s="13">
        <f t="shared" ref="Z153:Z156" si="32">SUM(E154:Y154)</f>
        <v>1</v>
      </c>
    </row>
    <row r="154" ht="12.75" customHeight="1">
      <c r="A154" s="65" t="s">
        <v>39</v>
      </c>
      <c r="B154" s="55">
        <v>1.0</v>
      </c>
      <c r="C154" s="66" t="s">
        <v>115</v>
      </c>
      <c r="D154" s="60"/>
      <c r="E154" s="80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1.0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3">
        <f t="shared" si="32"/>
        <v>3</v>
      </c>
    </row>
    <row r="155" ht="12.75" customHeight="1">
      <c r="A155" s="18"/>
      <c r="B155" s="55">
        <v>2.0</v>
      </c>
      <c r="C155" s="66" t="s">
        <v>116</v>
      </c>
      <c r="D155" s="60"/>
      <c r="E155" s="80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1.0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1.0</v>
      </c>
      <c r="V155" s="19">
        <v>1.0</v>
      </c>
      <c r="W155" s="19">
        <v>0.0</v>
      </c>
      <c r="X155" s="19">
        <v>0.0</v>
      </c>
      <c r="Y155" s="19">
        <v>0.0</v>
      </c>
      <c r="Z155" s="13">
        <f t="shared" si="32"/>
        <v>1</v>
      </c>
    </row>
    <row r="156" ht="12.75" customHeight="1">
      <c r="A156" s="18"/>
      <c r="B156" s="55">
        <v>3.0</v>
      </c>
      <c r="C156" s="66" t="s">
        <v>117</v>
      </c>
      <c r="D156" s="60"/>
      <c r="E156" s="80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1.0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3">
        <f t="shared" si="32"/>
        <v>0</v>
      </c>
    </row>
    <row r="157" ht="12.75" customHeight="1">
      <c r="A157" s="18"/>
      <c r="B157" s="55">
        <v>4.0</v>
      </c>
      <c r="C157" s="66" t="s">
        <v>118</v>
      </c>
      <c r="D157" s="60"/>
      <c r="E157" s="80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3">
        <f t="shared" ref="Z157:Z162" si="33">SUM(E163:Y163)</f>
        <v>9</v>
      </c>
    </row>
    <row r="158" ht="12.75" customHeight="1">
      <c r="A158" s="18"/>
      <c r="B158" s="56"/>
      <c r="C158" s="57"/>
      <c r="D158" s="61"/>
      <c r="E158" s="80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3">
        <f t="shared" si="33"/>
        <v>0</v>
      </c>
    </row>
    <row r="159" ht="12.75" customHeight="1">
      <c r="A159" s="18"/>
      <c r="B159" s="56"/>
      <c r="C159" s="57"/>
      <c r="D159" s="61"/>
      <c r="E159" s="80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3">
        <f t="shared" si="33"/>
        <v>3</v>
      </c>
    </row>
    <row r="160" ht="12.75" customHeight="1">
      <c r="A160" s="18"/>
      <c r="B160" s="56"/>
      <c r="C160" s="57"/>
      <c r="D160" s="62"/>
      <c r="E160" s="80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3">
        <f t="shared" si="33"/>
        <v>1</v>
      </c>
    </row>
    <row r="161" ht="12.75" customHeight="1">
      <c r="A161" s="18"/>
      <c r="B161" s="56"/>
      <c r="C161" s="67"/>
      <c r="D161" s="62"/>
      <c r="E161" s="80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3">
        <f t="shared" si="33"/>
        <v>1</v>
      </c>
    </row>
    <row r="162" ht="12.75" customHeight="1">
      <c r="A162" s="18"/>
      <c r="B162" s="56"/>
      <c r="C162" s="67"/>
      <c r="D162" s="62"/>
      <c r="E162" s="80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3">
        <f t="shared" si="33"/>
        <v>0</v>
      </c>
    </row>
    <row r="163" ht="12.75" customHeight="1">
      <c r="A163" s="19" t="s">
        <v>15</v>
      </c>
      <c r="B163" s="68" t="s">
        <v>47</v>
      </c>
      <c r="C163" s="44"/>
      <c r="D163" s="28"/>
      <c r="E163" s="13">
        <f t="shared" ref="E163:Z163" si="34">SUM(E153:E162)</f>
        <v>0</v>
      </c>
      <c r="F163" s="13">
        <f t="shared" si="34"/>
        <v>0</v>
      </c>
      <c r="G163" s="13">
        <f t="shared" si="34"/>
        <v>1</v>
      </c>
      <c r="H163" s="13">
        <f t="shared" si="34"/>
        <v>1</v>
      </c>
      <c r="I163" s="13">
        <f t="shared" si="34"/>
        <v>1</v>
      </c>
      <c r="J163" s="13">
        <f t="shared" si="34"/>
        <v>1</v>
      </c>
      <c r="K163" s="13">
        <f t="shared" si="34"/>
        <v>0</v>
      </c>
      <c r="L163" s="13">
        <f t="shared" si="34"/>
        <v>0</v>
      </c>
      <c r="M163" s="13">
        <f t="shared" si="34"/>
        <v>0</v>
      </c>
      <c r="N163" s="13">
        <f t="shared" si="34"/>
        <v>0</v>
      </c>
      <c r="O163" s="13">
        <f t="shared" si="34"/>
        <v>2</v>
      </c>
      <c r="P163" s="13">
        <f t="shared" si="34"/>
        <v>0</v>
      </c>
      <c r="Q163" s="13">
        <f t="shared" si="34"/>
        <v>0</v>
      </c>
      <c r="R163" s="13">
        <f t="shared" si="34"/>
        <v>0</v>
      </c>
      <c r="S163" s="13">
        <f t="shared" si="34"/>
        <v>0</v>
      </c>
      <c r="T163" s="13">
        <f t="shared" si="34"/>
        <v>0</v>
      </c>
      <c r="U163" s="13">
        <f t="shared" si="34"/>
        <v>2</v>
      </c>
      <c r="V163" s="13">
        <f t="shared" si="34"/>
        <v>1</v>
      </c>
      <c r="W163" s="13">
        <f t="shared" si="34"/>
        <v>0</v>
      </c>
      <c r="X163" s="13">
        <f t="shared" si="34"/>
        <v>0</v>
      </c>
      <c r="Y163" s="13">
        <f t="shared" si="34"/>
        <v>0</v>
      </c>
      <c r="Z163" s="13">
        <f t="shared" si="34"/>
        <v>19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1.0</v>
      </c>
      <c r="H165" s="19">
        <v>0.0</v>
      </c>
      <c r="I165" s="19">
        <v>0.0</v>
      </c>
      <c r="J165" s="19">
        <v>0.0</v>
      </c>
      <c r="K165" s="19">
        <v>0.0</v>
      </c>
      <c r="L165" s="19">
        <v>1.0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1.0</v>
      </c>
      <c r="X165" s="19">
        <v>0.0</v>
      </c>
      <c r="Y165" s="19">
        <v>0.0</v>
      </c>
      <c r="Z165" s="13">
        <f t="shared" ref="Z165:Z174" si="35">SUM(E165:Y165)</f>
        <v>3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1.0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3">
        <f t="shared" si="35"/>
        <v>1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1.0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3">
        <f t="shared" si="35"/>
        <v>1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3">
        <f t="shared" si="35"/>
        <v>0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1.0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1.0</v>
      </c>
      <c r="W169" s="19">
        <v>0.0</v>
      </c>
      <c r="X169" s="19">
        <v>0.0</v>
      </c>
      <c r="Y169" s="19">
        <v>1.0</v>
      </c>
      <c r="Z169" s="13">
        <f t="shared" si="35"/>
        <v>3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3">
        <f t="shared" si="35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3">
        <f t="shared" si="35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3">
        <f t="shared" si="35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3">
        <f t="shared" si="35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3">
        <f t="shared" si="35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Z175" si="36">SUM(E165:E174)</f>
        <v>0</v>
      </c>
      <c r="F175" s="13">
        <f t="shared" si="36"/>
        <v>0</v>
      </c>
      <c r="G175" s="13">
        <f t="shared" si="36"/>
        <v>1</v>
      </c>
      <c r="H175" s="13">
        <f t="shared" si="36"/>
        <v>0</v>
      </c>
      <c r="I175" s="13">
        <f t="shared" si="36"/>
        <v>1</v>
      </c>
      <c r="J175" s="13">
        <f t="shared" si="36"/>
        <v>0</v>
      </c>
      <c r="K175" s="13">
        <f t="shared" si="36"/>
        <v>1</v>
      </c>
      <c r="L175" s="13">
        <f t="shared" si="36"/>
        <v>1</v>
      </c>
      <c r="M175" s="13">
        <f t="shared" si="36"/>
        <v>0</v>
      </c>
      <c r="N175" s="13">
        <f t="shared" si="36"/>
        <v>1</v>
      </c>
      <c r="O175" s="13">
        <f t="shared" si="36"/>
        <v>0</v>
      </c>
      <c r="P175" s="13">
        <f t="shared" si="36"/>
        <v>0</v>
      </c>
      <c r="Q175" s="13">
        <f t="shared" si="36"/>
        <v>0</v>
      </c>
      <c r="R175" s="13">
        <f t="shared" si="36"/>
        <v>0</v>
      </c>
      <c r="S175" s="13">
        <f t="shared" si="36"/>
        <v>0</v>
      </c>
      <c r="T175" s="13">
        <f t="shared" si="36"/>
        <v>0</v>
      </c>
      <c r="U175" s="13">
        <f t="shared" si="36"/>
        <v>0</v>
      </c>
      <c r="V175" s="13">
        <f t="shared" si="36"/>
        <v>1</v>
      </c>
      <c r="W175" s="13">
        <f t="shared" si="36"/>
        <v>1</v>
      </c>
      <c r="X175" s="13">
        <f t="shared" si="36"/>
        <v>0</v>
      </c>
      <c r="Y175" s="13">
        <f t="shared" si="36"/>
        <v>1</v>
      </c>
      <c r="Z175" s="13">
        <f t="shared" si="36"/>
        <v>8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1.0</v>
      </c>
      <c r="H177" s="19">
        <v>2.0</v>
      </c>
      <c r="I177" s="19">
        <v>0.0</v>
      </c>
      <c r="J177" s="19">
        <v>1.0</v>
      </c>
      <c r="K177" s="19">
        <v>1.0</v>
      </c>
      <c r="L177" s="19">
        <v>0.0</v>
      </c>
      <c r="M177" s="19">
        <v>1.0</v>
      </c>
      <c r="N177" s="19">
        <v>1.0</v>
      </c>
      <c r="O177" s="19">
        <v>0.0</v>
      </c>
      <c r="P177" s="19">
        <v>1.0</v>
      </c>
      <c r="Q177" s="19">
        <v>1.0</v>
      </c>
      <c r="R177" s="19">
        <v>0.0</v>
      </c>
      <c r="S177" s="19">
        <v>1.0</v>
      </c>
      <c r="T177" s="19">
        <v>1.0</v>
      </c>
      <c r="U177" s="19">
        <v>1.0</v>
      </c>
      <c r="V177" s="19">
        <v>1.0</v>
      </c>
      <c r="W177" s="19">
        <v>1.0</v>
      </c>
      <c r="X177" s="19">
        <v>1.0</v>
      </c>
      <c r="Y177" s="19">
        <v>0.0</v>
      </c>
      <c r="Z177" s="13">
        <f t="shared" ref="Z177:Z186" si="37">SUM(E177:Y177)</f>
        <v>15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1.0</v>
      </c>
      <c r="F178" s="19">
        <v>0.0</v>
      </c>
      <c r="G178" s="19">
        <v>0.0</v>
      </c>
      <c r="H178" s="19">
        <v>0.0</v>
      </c>
      <c r="I178" s="19">
        <v>0.0</v>
      </c>
      <c r="J178" s="19">
        <v>1.0</v>
      </c>
      <c r="K178" s="19">
        <v>1.0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>
        <v>0.0</v>
      </c>
      <c r="U178" s="19">
        <v>0.0</v>
      </c>
      <c r="V178" s="19">
        <v>1.0</v>
      </c>
      <c r="W178" s="19">
        <v>1.0</v>
      </c>
      <c r="X178" s="19">
        <v>1.0</v>
      </c>
      <c r="Y178" s="19">
        <v>0.0</v>
      </c>
      <c r="Z178" s="13">
        <f t="shared" si="37"/>
        <v>6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1.0</v>
      </c>
      <c r="K179" s="19">
        <v>0.0</v>
      </c>
      <c r="L179" s="19">
        <v>0.0</v>
      </c>
      <c r="M179" s="19">
        <v>0.0</v>
      </c>
      <c r="N179" s="19">
        <v>1.0</v>
      </c>
      <c r="O179" s="19">
        <v>3.0</v>
      </c>
      <c r="P179" s="19">
        <v>0.0</v>
      </c>
      <c r="Q179" s="19">
        <v>0.0</v>
      </c>
      <c r="R179" s="19">
        <v>0.0</v>
      </c>
      <c r="S179" s="19">
        <v>0.0</v>
      </c>
      <c r="T179" s="19">
        <v>1.0</v>
      </c>
      <c r="U179" s="19">
        <v>0.0</v>
      </c>
      <c r="V179" s="19">
        <v>1.0</v>
      </c>
      <c r="W179" s="19">
        <v>2.0</v>
      </c>
      <c r="X179" s="19">
        <v>1.0</v>
      </c>
      <c r="Y179" s="19">
        <v>0.0</v>
      </c>
      <c r="Z179" s="13">
        <f t="shared" si="37"/>
        <v>10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1.0</v>
      </c>
      <c r="P180" s="19">
        <v>0.0</v>
      </c>
      <c r="Q180" s="19">
        <v>0.0</v>
      </c>
      <c r="R180" s="19">
        <v>1.0</v>
      </c>
      <c r="S180" s="19">
        <v>3.0</v>
      </c>
      <c r="T180" s="19">
        <v>0.0</v>
      </c>
      <c r="U180" s="19">
        <v>0.0</v>
      </c>
      <c r="V180" s="19">
        <v>0.0</v>
      </c>
      <c r="W180" s="19">
        <v>1.0</v>
      </c>
      <c r="X180" s="19">
        <v>0.0</v>
      </c>
      <c r="Y180" s="19">
        <v>0.0</v>
      </c>
      <c r="Z180" s="13">
        <f t="shared" si="37"/>
        <v>6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1.0</v>
      </c>
      <c r="J181" s="19">
        <v>0.0</v>
      </c>
      <c r="K181" s="19">
        <v>0.0</v>
      </c>
      <c r="L181" s="19">
        <v>0.0</v>
      </c>
      <c r="M181" s="19">
        <v>1.0</v>
      </c>
      <c r="N181" s="19">
        <v>0.0</v>
      </c>
      <c r="O181" s="19">
        <v>0.0</v>
      </c>
      <c r="P181" s="19">
        <v>0.0</v>
      </c>
      <c r="Q181" s="19">
        <v>1.0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1.0</v>
      </c>
      <c r="Y181" s="19">
        <v>1.0</v>
      </c>
      <c r="Z181" s="13">
        <f t="shared" si="37"/>
        <v>5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1.0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3">
        <f t="shared" si="37"/>
        <v>1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1.0</v>
      </c>
      <c r="W183" s="19">
        <v>0.0</v>
      </c>
      <c r="X183" s="19">
        <v>0.0</v>
      </c>
      <c r="Y183" s="19">
        <v>0.0</v>
      </c>
      <c r="Z183" s="13">
        <f t="shared" si="37"/>
        <v>1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3">
        <f t="shared" si="37"/>
        <v>0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3">
        <f t="shared" si="37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3">
        <f t="shared" si="37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Z187" si="38">SUM(E177:E186)</f>
        <v>1</v>
      </c>
      <c r="F187" s="13">
        <f t="shared" si="38"/>
        <v>0</v>
      </c>
      <c r="G187" s="13">
        <f t="shared" si="38"/>
        <v>1</v>
      </c>
      <c r="H187" s="13">
        <f t="shared" si="38"/>
        <v>2</v>
      </c>
      <c r="I187" s="13">
        <f t="shared" si="38"/>
        <v>1</v>
      </c>
      <c r="J187" s="13">
        <f t="shared" si="38"/>
        <v>3</v>
      </c>
      <c r="K187" s="13">
        <f t="shared" si="38"/>
        <v>2</v>
      </c>
      <c r="L187" s="13">
        <f t="shared" si="38"/>
        <v>0</v>
      </c>
      <c r="M187" s="13">
        <f t="shared" si="38"/>
        <v>2</v>
      </c>
      <c r="N187" s="13">
        <f t="shared" si="38"/>
        <v>2</v>
      </c>
      <c r="O187" s="13">
        <f t="shared" si="38"/>
        <v>4</v>
      </c>
      <c r="P187" s="13">
        <f t="shared" si="38"/>
        <v>1</v>
      </c>
      <c r="Q187" s="13">
        <f t="shared" si="38"/>
        <v>2</v>
      </c>
      <c r="R187" s="13">
        <f t="shared" si="38"/>
        <v>2</v>
      </c>
      <c r="S187" s="13">
        <f t="shared" si="38"/>
        <v>4</v>
      </c>
      <c r="T187" s="13">
        <f t="shared" si="38"/>
        <v>2</v>
      </c>
      <c r="U187" s="13">
        <f t="shared" si="38"/>
        <v>1</v>
      </c>
      <c r="V187" s="13">
        <f t="shared" si="38"/>
        <v>4</v>
      </c>
      <c r="W187" s="13">
        <f t="shared" si="38"/>
        <v>5</v>
      </c>
      <c r="X187" s="13">
        <f t="shared" si="38"/>
        <v>4</v>
      </c>
      <c r="Y187" s="13">
        <f t="shared" si="38"/>
        <v>1</v>
      </c>
      <c r="Z187" s="13">
        <f t="shared" si="38"/>
        <v>44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R188" s="78"/>
      <c r="S188" s="78"/>
      <c r="T188" s="78"/>
      <c r="U188" s="78"/>
      <c r="Y188" s="78"/>
      <c r="Z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1.0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1.0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1.0</v>
      </c>
      <c r="U189" s="19">
        <v>0.0</v>
      </c>
      <c r="V189" s="19">
        <v>0.0</v>
      </c>
      <c r="W189" s="19">
        <v>0.0</v>
      </c>
      <c r="X189" s="19">
        <v>1.0</v>
      </c>
      <c r="Y189" s="19">
        <v>0.0</v>
      </c>
      <c r="Z189" s="13">
        <f t="shared" ref="Z189:Z198" si="39">SUM(E189:Y189)</f>
        <v>4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4.0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3">
        <f t="shared" si="39"/>
        <v>4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3">
        <f t="shared" si="39"/>
        <v>0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1.0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3">
        <f t="shared" si="39"/>
        <v>1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3">
        <f t="shared" si="39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1.0</v>
      </c>
      <c r="V194" s="19">
        <v>0.0</v>
      </c>
      <c r="W194" s="19">
        <v>0.0</v>
      </c>
      <c r="X194" s="19">
        <v>0.0</v>
      </c>
      <c r="Y194" s="19">
        <v>0.0</v>
      </c>
      <c r="Z194" s="13">
        <f t="shared" si="39"/>
        <v>1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3">
        <f t="shared" si="39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3">
        <f t="shared" si="39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3">
        <f t="shared" si="39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3">
        <f t="shared" si="39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Z199" si="40">SUM(E189:E198)</f>
        <v>0</v>
      </c>
      <c r="F199" s="13">
        <f t="shared" si="40"/>
        <v>0</v>
      </c>
      <c r="G199" s="13">
        <f t="shared" si="40"/>
        <v>1</v>
      </c>
      <c r="H199" s="13">
        <f t="shared" si="40"/>
        <v>0</v>
      </c>
      <c r="I199" s="13">
        <f t="shared" si="40"/>
        <v>0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1</v>
      </c>
      <c r="N199" s="13">
        <f t="shared" si="40"/>
        <v>1</v>
      </c>
      <c r="O199" s="13">
        <f t="shared" si="40"/>
        <v>0</v>
      </c>
      <c r="P199" s="13">
        <f t="shared" si="40"/>
        <v>0</v>
      </c>
      <c r="Q199" s="13">
        <f t="shared" si="40"/>
        <v>0</v>
      </c>
      <c r="R199" s="13">
        <f t="shared" si="40"/>
        <v>0</v>
      </c>
      <c r="S199" s="13">
        <f t="shared" si="40"/>
        <v>4</v>
      </c>
      <c r="T199" s="13">
        <f t="shared" si="40"/>
        <v>1</v>
      </c>
      <c r="U199" s="13">
        <f t="shared" si="40"/>
        <v>1</v>
      </c>
      <c r="V199" s="13">
        <f t="shared" si="40"/>
        <v>0</v>
      </c>
      <c r="W199" s="13">
        <f t="shared" si="40"/>
        <v>0</v>
      </c>
      <c r="X199" s="13">
        <f t="shared" si="40"/>
        <v>1</v>
      </c>
      <c r="Y199" s="13">
        <f t="shared" si="40"/>
        <v>0</v>
      </c>
      <c r="Z199" s="13">
        <f t="shared" si="40"/>
        <v>10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16.0</v>
      </c>
      <c r="F201" s="19">
        <v>25.0</v>
      </c>
      <c r="G201" s="19">
        <v>25.0</v>
      </c>
      <c r="H201" s="19">
        <v>25.0</v>
      </c>
      <c r="I201" s="19">
        <v>42.0</v>
      </c>
      <c r="J201" s="19">
        <v>35.0</v>
      </c>
      <c r="K201" s="19">
        <v>35.0</v>
      </c>
      <c r="L201" s="19">
        <v>14.0</v>
      </c>
      <c r="M201" s="19">
        <v>39.0</v>
      </c>
      <c r="N201" s="19">
        <v>24.0</v>
      </c>
      <c r="O201" s="19">
        <v>25.0</v>
      </c>
      <c r="P201" s="19">
        <v>20.0</v>
      </c>
      <c r="Q201" s="19">
        <v>25.0</v>
      </c>
      <c r="R201" s="19">
        <v>25.0</v>
      </c>
      <c r="S201" s="19">
        <v>9.0</v>
      </c>
      <c r="T201" s="19">
        <v>15.0</v>
      </c>
      <c r="U201" s="19">
        <v>10.0</v>
      </c>
      <c r="V201" s="19">
        <v>15.0</v>
      </c>
      <c r="W201" s="19">
        <v>16.0</v>
      </c>
      <c r="X201" s="19">
        <v>21.0</v>
      </c>
      <c r="Y201" s="19">
        <v>25.0</v>
      </c>
      <c r="Z201" s="13">
        <f t="shared" ref="Z201:Z210" si="41">SUM(E201:Y201)</f>
        <v>486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20.0</v>
      </c>
      <c r="F202" s="19">
        <v>1.0</v>
      </c>
      <c r="G202" s="19">
        <v>20.0</v>
      </c>
      <c r="H202" s="19">
        <v>17.0</v>
      </c>
      <c r="I202" s="19">
        <v>18.0</v>
      </c>
      <c r="J202" s="19">
        <v>14.0</v>
      </c>
      <c r="K202" s="19">
        <v>36.0</v>
      </c>
      <c r="L202" s="19">
        <v>24.0</v>
      </c>
      <c r="M202" s="19">
        <v>20.0</v>
      </c>
      <c r="N202" s="19">
        <v>28.0</v>
      </c>
      <c r="O202" s="19">
        <v>27.0</v>
      </c>
      <c r="P202" s="19">
        <v>22.0</v>
      </c>
      <c r="Q202" s="19">
        <v>25.0</v>
      </c>
      <c r="R202" s="19">
        <v>70.0</v>
      </c>
      <c r="S202" s="19">
        <v>28.0</v>
      </c>
      <c r="T202" s="19">
        <v>30.0</v>
      </c>
      <c r="U202" s="19">
        <v>10.0</v>
      </c>
      <c r="V202" s="19">
        <v>15.0</v>
      </c>
      <c r="W202" s="19">
        <v>26.0</v>
      </c>
      <c r="X202" s="19">
        <v>14.0</v>
      </c>
      <c r="Y202" s="19">
        <v>10.0</v>
      </c>
      <c r="Z202" s="13">
        <f t="shared" si="41"/>
        <v>475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15.0</v>
      </c>
      <c r="F203" s="19">
        <v>14.0</v>
      </c>
      <c r="G203" s="19">
        <v>10.0</v>
      </c>
      <c r="H203" s="19">
        <v>11.0</v>
      </c>
      <c r="I203" s="19">
        <v>22.0</v>
      </c>
      <c r="J203" s="19">
        <v>9.0</v>
      </c>
      <c r="K203" s="19">
        <v>27.0</v>
      </c>
      <c r="L203" s="19">
        <v>7.0</v>
      </c>
      <c r="M203" s="19">
        <v>17.0</v>
      </c>
      <c r="N203" s="19">
        <v>38.0</v>
      </c>
      <c r="O203" s="19">
        <v>13.0</v>
      </c>
      <c r="P203" s="19">
        <v>6.0</v>
      </c>
      <c r="Q203" s="19">
        <v>9.0</v>
      </c>
      <c r="R203" s="19">
        <v>22.0</v>
      </c>
      <c r="S203" s="19">
        <v>8.0</v>
      </c>
      <c r="T203" s="19">
        <v>10.0</v>
      </c>
      <c r="U203" s="19">
        <v>5.0</v>
      </c>
      <c r="V203" s="19">
        <v>19.0</v>
      </c>
      <c r="W203" s="19">
        <v>14.0</v>
      </c>
      <c r="X203" s="19">
        <v>28.0</v>
      </c>
      <c r="Y203" s="19">
        <v>9.0</v>
      </c>
      <c r="Z203" s="13">
        <f t="shared" si="41"/>
        <v>313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2.0</v>
      </c>
      <c r="F204" s="19">
        <v>2.0</v>
      </c>
      <c r="G204" s="19">
        <v>1.0</v>
      </c>
      <c r="H204" s="19">
        <v>1.0</v>
      </c>
      <c r="I204" s="19">
        <v>2.0</v>
      </c>
      <c r="J204" s="19">
        <v>2.0</v>
      </c>
      <c r="K204" s="19">
        <v>1.0</v>
      </c>
      <c r="L204" s="19">
        <v>3.0</v>
      </c>
      <c r="M204" s="19">
        <v>3.0</v>
      </c>
      <c r="N204" s="19">
        <v>0.0</v>
      </c>
      <c r="O204" s="19">
        <v>1.0</v>
      </c>
      <c r="P204" s="19">
        <v>0.0</v>
      </c>
      <c r="Q204" s="19">
        <v>0.0</v>
      </c>
      <c r="R204" s="19">
        <v>3.0</v>
      </c>
      <c r="S204" s="19">
        <v>0.0</v>
      </c>
      <c r="T204" s="19">
        <v>0.0</v>
      </c>
      <c r="U204" s="19">
        <v>0.0</v>
      </c>
      <c r="V204" s="19">
        <v>0.0</v>
      </c>
      <c r="W204" s="19">
        <v>2.0</v>
      </c>
      <c r="X204" s="19">
        <v>1.0</v>
      </c>
      <c r="Y204" s="19">
        <v>0.0</v>
      </c>
      <c r="Z204" s="13">
        <f t="shared" si="41"/>
        <v>24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2.0</v>
      </c>
      <c r="F205" s="19">
        <v>1.0</v>
      </c>
      <c r="G205" s="19">
        <v>1.0</v>
      </c>
      <c r="H205" s="19">
        <v>4.0</v>
      </c>
      <c r="I205" s="19">
        <v>0.0</v>
      </c>
      <c r="J205" s="19">
        <v>4.0</v>
      </c>
      <c r="K205" s="19">
        <v>1.0</v>
      </c>
      <c r="L205" s="19">
        <v>0.0</v>
      </c>
      <c r="M205" s="19">
        <v>0.0</v>
      </c>
      <c r="N205" s="19">
        <v>1.0</v>
      </c>
      <c r="O205" s="19">
        <v>1.0</v>
      </c>
      <c r="P205" s="19">
        <v>0.0</v>
      </c>
      <c r="Q205" s="19">
        <v>0.0</v>
      </c>
      <c r="R205" s="19">
        <v>0.0</v>
      </c>
      <c r="S205" s="19">
        <v>0.0</v>
      </c>
      <c r="T205" s="19">
        <v>0.0</v>
      </c>
      <c r="U205" s="19">
        <v>0.0</v>
      </c>
      <c r="V205" s="19">
        <v>0.0</v>
      </c>
      <c r="W205" s="19">
        <v>1.0</v>
      </c>
      <c r="X205" s="19">
        <v>2.0</v>
      </c>
      <c r="Y205" s="19">
        <v>2.0</v>
      </c>
      <c r="Z205" s="13">
        <f t="shared" si="41"/>
        <v>20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1.0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2.0</v>
      </c>
      <c r="L206" s="19">
        <v>2.0</v>
      </c>
      <c r="M206" s="19">
        <v>1.0</v>
      </c>
      <c r="N206" s="19">
        <v>2.0</v>
      </c>
      <c r="O206" s="19">
        <v>0.0</v>
      </c>
      <c r="P206" s="19">
        <v>0.0</v>
      </c>
      <c r="Q206" s="19">
        <v>1.0</v>
      </c>
      <c r="R206" s="19">
        <v>0.0</v>
      </c>
      <c r="S206" s="19">
        <v>2.0</v>
      </c>
      <c r="T206" s="19">
        <v>1.0</v>
      </c>
      <c r="U206" s="19">
        <v>2.0</v>
      </c>
      <c r="V206" s="19">
        <v>1.0</v>
      </c>
      <c r="W206" s="19">
        <v>0.0</v>
      </c>
      <c r="X206" s="19">
        <v>1.0</v>
      </c>
      <c r="Y206" s="19">
        <v>2.0</v>
      </c>
      <c r="Z206" s="13">
        <f t="shared" si="41"/>
        <v>18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1.0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3">
        <f t="shared" si="41"/>
        <v>1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1.0</v>
      </c>
      <c r="F208" s="19">
        <v>0.0</v>
      </c>
      <c r="G208" s="19">
        <v>0.0</v>
      </c>
      <c r="H208" s="19">
        <v>1.0</v>
      </c>
      <c r="I208" s="19">
        <v>0.0</v>
      </c>
      <c r="J208" s="19">
        <v>1.0</v>
      </c>
      <c r="K208" s="19">
        <v>0.0</v>
      </c>
      <c r="L208" s="19">
        <v>1.0</v>
      </c>
      <c r="M208" s="19">
        <v>1.0</v>
      </c>
      <c r="N208" s="19">
        <v>0.0</v>
      </c>
      <c r="O208" s="19">
        <v>2.0</v>
      </c>
      <c r="P208" s="19">
        <v>1.0</v>
      </c>
      <c r="Q208" s="19">
        <v>2.0</v>
      </c>
      <c r="R208" s="19">
        <v>0.0</v>
      </c>
      <c r="S208" s="19">
        <v>1.0</v>
      </c>
      <c r="T208" s="19">
        <v>0.0</v>
      </c>
      <c r="U208" s="19">
        <v>0.0</v>
      </c>
      <c r="V208" s="19">
        <v>0.0</v>
      </c>
      <c r="W208" s="19">
        <v>0.0</v>
      </c>
      <c r="X208" s="19">
        <v>0.0</v>
      </c>
      <c r="Y208" s="19">
        <v>3.0</v>
      </c>
      <c r="Z208" s="13">
        <f t="shared" si="41"/>
        <v>14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3">
        <f t="shared" si="41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3">
        <f t="shared" si="41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Z211" si="42">SUM(E201:E210)</f>
        <v>57</v>
      </c>
      <c r="F211" s="13">
        <f t="shared" si="42"/>
        <v>43</v>
      </c>
      <c r="G211" s="13">
        <f t="shared" si="42"/>
        <v>57</v>
      </c>
      <c r="H211" s="13">
        <f t="shared" si="42"/>
        <v>59</v>
      </c>
      <c r="I211" s="13">
        <f t="shared" si="42"/>
        <v>85</v>
      </c>
      <c r="J211" s="13">
        <f t="shared" si="42"/>
        <v>65</v>
      </c>
      <c r="K211" s="13">
        <f t="shared" si="42"/>
        <v>102</v>
      </c>
      <c r="L211" s="13">
        <f t="shared" si="42"/>
        <v>51</v>
      </c>
      <c r="M211" s="13">
        <f t="shared" si="42"/>
        <v>81</v>
      </c>
      <c r="N211" s="13">
        <f t="shared" si="42"/>
        <v>93</v>
      </c>
      <c r="O211" s="13">
        <f t="shared" si="42"/>
        <v>69</v>
      </c>
      <c r="P211" s="13">
        <f t="shared" si="42"/>
        <v>49</v>
      </c>
      <c r="Q211" s="13">
        <f t="shared" si="42"/>
        <v>62</v>
      </c>
      <c r="R211" s="13">
        <f t="shared" si="42"/>
        <v>120</v>
      </c>
      <c r="S211" s="13">
        <f t="shared" si="42"/>
        <v>48</v>
      </c>
      <c r="T211" s="13">
        <f t="shared" si="42"/>
        <v>56</v>
      </c>
      <c r="U211" s="13">
        <f t="shared" si="42"/>
        <v>27</v>
      </c>
      <c r="V211" s="13">
        <f t="shared" si="42"/>
        <v>50</v>
      </c>
      <c r="W211" s="13">
        <f t="shared" si="42"/>
        <v>59</v>
      </c>
      <c r="X211" s="13">
        <f t="shared" si="42"/>
        <v>67</v>
      </c>
      <c r="Y211" s="13">
        <f t="shared" si="42"/>
        <v>51</v>
      </c>
      <c r="Z211" s="13">
        <f t="shared" si="42"/>
        <v>1351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1.0</v>
      </c>
      <c r="G213" s="19">
        <v>0.0</v>
      </c>
      <c r="H213" s="19">
        <v>2.0</v>
      </c>
      <c r="I213" s="19">
        <v>3.0</v>
      </c>
      <c r="J213" s="19">
        <v>0.0</v>
      </c>
      <c r="K213" s="19">
        <v>3.0</v>
      </c>
      <c r="L213" s="19">
        <v>0.0</v>
      </c>
      <c r="M213" s="19">
        <v>0.0</v>
      </c>
      <c r="N213" s="19">
        <v>0.0</v>
      </c>
      <c r="O213" s="19">
        <v>0.0</v>
      </c>
      <c r="P213" s="19">
        <v>0.0</v>
      </c>
      <c r="Q213" s="19">
        <v>0.0</v>
      </c>
      <c r="R213" s="19">
        <v>0.0</v>
      </c>
      <c r="S213" s="19">
        <v>1.0</v>
      </c>
      <c r="T213" s="19">
        <v>1.0</v>
      </c>
      <c r="U213" s="19">
        <v>0.0</v>
      </c>
      <c r="V213" s="19">
        <v>2.0</v>
      </c>
      <c r="W213" s="19">
        <v>3.0</v>
      </c>
      <c r="X213" s="19">
        <v>8.0</v>
      </c>
      <c r="Y213" s="19">
        <v>0.0</v>
      </c>
      <c r="Z213" s="13">
        <f t="shared" ref="Z213:Z222" si="43">SUM(E213:Y213)</f>
        <v>25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0.0</v>
      </c>
      <c r="F214" s="19">
        <v>2.0</v>
      </c>
      <c r="G214" s="19">
        <v>0.0</v>
      </c>
      <c r="H214" s="19">
        <v>3.0</v>
      </c>
      <c r="I214" s="19">
        <v>1.0</v>
      </c>
      <c r="J214" s="19">
        <v>1.0</v>
      </c>
      <c r="K214" s="19">
        <v>0.0</v>
      </c>
      <c r="L214" s="19">
        <v>1.0</v>
      </c>
      <c r="M214" s="19">
        <v>7.0</v>
      </c>
      <c r="N214" s="19">
        <v>5.0</v>
      </c>
      <c r="O214" s="19">
        <v>4.0</v>
      </c>
      <c r="P214" s="19">
        <v>2.0</v>
      </c>
      <c r="Q214" s="19">
        <v>0.0</v>
      </c>
      <c r="R214" s="19">
        <v>1.0</v>
      </c>
      <c r="S214" s="19">
        <v>2.0</v>
      </c>
      <c r="T214" s="19">
        <v>1.0</v>
      </c>
      <c r="U214" s="19">
        <v>1.0</v>
      </c>
      <c r="V214" s="19">
        <v>0.0</v>
      </c>
      <c r="W214" s="19">
        <v>0.0</v>
      </c>
      <c r="X214" s="19">
        <v>3.0</v>
      </c>
      <c r="Y214" s="19">
        <v>0.0</v>
      </c>
      <c r="Z214" s="13">
        <f t="shared" si="43"/>
        <v>34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4.0</v>
      </c>
      <c r="F215" s="19">
        <v>0.0</v>
      </c>
      <c r="G215" s="19">
        <v>1.0</v>
      </c>
      <c r="H215" s="19">
        <v>4.0</v>
      </c>
      <c r="I215" s="19">
        <v>11.0</v>
      </c>
      <c r="J215" s="19">
        <v>5.0</v>
      </c>
      <c r="K215" s="19">
        <v>3.0</v>
      </c>
      <c r="L215" s="19">
        <v>7.0</v>
      </c>
      <c r="M215" s="19">
        <v>1.0</v>
      </c>
      <c r="N215" s="19">
        <v>1.0</v>
      </c>
      <c r="O215" s="19">
        <v>2.0</v>
      </c>
      <c r="P215" s="19">
        <v>10.0</v>
      </c>
      <c r="Q215" s="19">
        <v>7.0</v>
      </c>
      <c r="R215" s="19">
        <v>0.0</v>
      </c>
      <c r="S215" s="19">
        <v>2.0</v>
      </c>
      <c r="T215" s="19">
        <v>6.0</v>
      </c>
      <c r="U215" s="19">
        <v>9.0</v>
      </c>
      <c r="V215" s="19">
        <v>5.0</v>
      </c>
      <c r="W215" s="19">
        <v>8.0</v>
      </c>
      <c r="X215" s="19">
        <v>11.0</v>
      </c>
      <c r="Y215" s="19">
        <v>0.0</v>
      </c>
      <c r="Z215" s="13">
        <f t="shared" si="43"/>
        <v>97</v>
      </c>
    </row>
    <row r="216" ht="12.75" customHeight="1">
      <c r="A216" s="18"/>
      <c r="B216" s="55">
        <v>3.0</v>
      </c>
      <c r="C216" s="69" t="s">
        <v>159</v>
      </c>
      <c r="E216" s="19">
        <v>0.0</v>
      </c>
      <c r="F216" s="19">
        <v>0.0</v>
      </c>
      <c r="G216" s="19">
        <v>1.0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0.0</v>
      </c>
      <c r="W216" s="19">
        <v>0.0</v>
      </c>
      <c r="X216" s="19">
        <v>0.0</v>
      </c>
      <c r="Y216" s="19">
        <v>0.0</v>
      </c>
      <c r="Z216" s="13">
        <f t="shared" si="43"/>
        <v>1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1.0</v>
      </c>
      <c r="I217" s="19">
        <v>0.0</v>
      </c>
      <c r="J217" s="19">
        <v>0.0</v>
      </c>
      <c r="K217" s="19">
        <v>0.0</v>
      </c>
      <c r="L217" s="19">
        <v>0.0</v>
      </c>
      <c r="M217" s="19">
        <v>1.0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3">
        <f t="shared" si="43"/>
        <v>2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1.0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1.0</v>
      </c>
      <c r="Y218" s="19">
        <v>0.0</v>
      </c>
      <c r="Z218" s="13">
        <f t="shared" si="43"/>
        <v>2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1.0</v>
      </c>
      <c r="N219" s="19">
        <v>0.0</v>
      </c>
      <c r="O219" s="19">
        <v>0.0</v>
      </c>
      <c r="P219" s="19">
        <v>0.0</v>
      </c>
      <c r="Q219" s="19">
        <v>0.0</v>
      </c>
      <c r="R219" s="19">
        <v>1.0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3">
        <f t="shared" si="43"/>
        <v>2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1.0</v>
      </c>
      <c r="X220" s="19">
        <v>0.0</v>
      </c>
      <c r="Y220" s="19">
        <v>0.0</v>
      </c>
      <c r="Z220" s="13">
        <f t="shared" si="43"/>
        <v>1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3">
        <f t="shared" si="43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3">
        <f t="shared" si="43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Z223" si="44">SUM(E213:E222)</f>
        <v>5</v>
      </c>
      <c r="F223" s="13">
        <f t="shared" si="44"/>
        <v>3</v>
      </c>
      <c r="G223" s="13">
        <f t="shared" si="44"/>
        <v>2</v>
      </c>
      <c r="H223" s="13">
        <f t="shared" si="44"/>
        <v>10</v>
      </c>
      <c r="I223" s="13">
        <f t="shared" si="44"/>
        <v>15</v>
      </c>
      <c r="J223" s="13">
        <f t="shared" si="44"/>
        <v>6</v>
      </c>
      <c r="K223" s="13">
        <f t="shared" si="44"/>
        <v>6</v>
      </c>
      <c r="L223" s="13">
        <f t="shared" si="44"/>
        <v>8</v>
      </c>
      <c r="M223" s="13">
        <f t="shared" si="44"/>
        <v>10</v>
      </c>
      <c r="N223" s="13">
        <f t="shared" si="44"/>
        <v>7</v>
      </c>
      <c r="O223" s="13">
        <f t="shared" si="44"/>
        <v>6</v>
      </c>
      <c r="P223" s="13">
        <f t="shared" si="44"/>
        <v>12</v>
      </c>
      <c r="Q223" s="13">
        <f t="shared" si="44"/>
        <v>7</v>
      </c>
      <c r="R223" s="13">
        <f t="shared" si="44"/>
        <v>2</v>
      </c>
      <c r="S223" s="13">
        <f t="shared" si="44"/>
        <v>5</v>
      </c>
      <c r="T223" s="13">
        <f t="shared" si="44"/>
        <v>8</v>
      </c>
      <c r="U223" s="13">
        <f t="shared" si="44"/>
        <v>10</v>
      </c>
      <c r="V223" s="13">
        <f t="shared" si="44"/>
        <v>7</v>
      </c>
      <c r="W223" s="13">
        <f t="shared" si="44"/>
        <v>12</v>
      </c>
      <c r="X223" s="13">
        <f t="shared" si="44"/>
        <v>23</v>
      </c>
      <c r="Y223" s="13">
        <f t="shared" si="44"/>
        <v>0</v>
      </c>
      <c r="Z223" s="13">
        <f t="shared" si="44"/>
        <v>164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3">
        <f t="shared" ref="Z225:Z234" si="45">SUM(E225:Y225)</f>
        <v>0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2.0</v>
      </c>
      <c r="M226" s="19">
        <v>1.0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9">
        <v>0.0</v>
      </c>
      <c r="U226" s="19">
        <v>0.0</v>
      </c>
      <c r="V226" s="19">
        <v>1.0</v>
      </c>
      <c r="W226" s="19">
        <v>2.0</v>
      </c>
      <c r="X226" s="19">
        <v>0.0</v>
      </c>
      <c r="Y226" s="19">
        <v>0.0</v>
      </c>
      <c r="Z226" s="13">
        <f t="shared" si="45"/>
        <v>6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1.0</v>
      </c>
      <c r="J227" s="19">
        <v>0.0</v>
      </c>
      <c r="K227" s="19">
        <v>1.0</v>
      </c>
      <c r="L227" s="19">
        <v>0.0</v>
      </c>
      <c r="M227" s="19">
        <v>0.0</v>
      </c>
      <c r="N227" s="19">
        <v>1.0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3">
        <f t="shared" si="45"/>
        <v>3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3">
        <f t="shared" si="45"/>
        <v>0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3">
        <f t="shared" si="45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3">
        <f t="shared" si="45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1.0</v>
      </c>
      <c r="V231" s="19">
        <v>0.0</v>
      </c>
      <c r="W231" s="19">
        <v>0.0</v>
      </c>
      <c r="X231" s="19">
        <v>0.0</v>
      </c>
      <c r="Y231" s="19">
        <v>0.0</v>
      </c>
      <c r="Z231" s="13">
        <f t="shared" si="45"/>
        <v>1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1.0</v>
      </c>
      <c r="F232" s="19">
        <v>0.0</v>
      </c>
      <c r="G232" s="19">
        <v>0.0</v>
      </c>
      <c r="H232" s="19">
        <v>1.0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1.0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1.0</v>
      </c>
      <c r="X232" s="19">
        <v>0.0</v>
      </c>
      <c r="Y232" s="19">
        <v>0.0</v>
      </c>
      <c r="Z232" s="13">
        <f t="shared" si="45"/>
        <v>4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3">
        <f t="shared" si="45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3">
        <f t="shared" si="45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Z235" si="46">SUM(E225:E234)</f>
        <v>1</v>
      </c>
      <c r="F235" s="13">
        <f t="shared" si="46"/>
        <v>0</v>
      </c>
      <c r="G235" s="13">
        <f t="shared" si="46"/>
        <v>0</v>
      </c>
      <c r="H235" s="13">
        <f t="shared" si="46"/>
        <v>1</v>
      </c>
      <c r="I235" s="13">
        <f t="shared" si="46"/>
        <v>1</v>
      </c>
      <c r="J235" s="13">
        <f t="shared" si="46"/>
        <v>0</v>
      </c>
      <c r="K235" s="13">
        <f t="shared" si="46"/>
        <v>1</v>
      </c>
      <c r="L235" s="13">
        <f t="shared" si="46"/>
        <v>2</v>
      </c>
      <c r="M235" s="13">
        <f t="shared" si="46"/>
        <v>1</v>
      </c>
      <c r="N235" s="13">
        <f t="shared" si="46"/>
        <v>1</v>
      </c>
      <c r="O235" s="13">
        <f t="shared" si="46"/>
        <v>1</v>
      </c>
      <c r="P235" s="13">
        <f t="shared" si="46"/>
        <v>0</v>
      </c>
      <c r="Q235" s="13">
        <f t="shared" si="46"/>
        <v>0</v>
      </c>
      <c r="R235" s="13">
        <f t="shared" si="46"/>
        <v>0</v>
      </c>
      <c r="S235" s="13">
        <f t="shared" si="46"/>
        <v>0</v>
      </c>
      <c r="T235" s="13">
        <f t="shared" si="46"/>
        <v>0</v>
      </c>
      <c r="U235" s="13">
        <f t="shared" si="46"/>
        <v>1</v>
      </c>
      <c r="V235" s="13">
        <f t="shared" si="46"/>
        <v>1</v>
      </c>
      <c r="W235" s="13">
        <f t="shared" si="46"/>
        <v>3</v>
      </c>
      <c r="X235" s="13">
        <f t="shared" si="46"/>
        <v>0</v>
      </c>
      <c r="Y235" s="13">
        <f t="shared" si="46"/>
        <v>0</v>
      </c>
      <c r="Z235" s="13">
        <f t="shared" si="46"/>
        <v>14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1.0</v>
      </c>
      <c r="G237" s="19">
        <v>0.0</v>
      </c>
      <c r="H237" s="19">
        <v>4.0</v>
      </c>
      <c r="I237" s="19">
        <v>1.0</v>
      </c>
      <c r="J237" s="19">
        <v>1.0</v>
      </c>
      <c r="K237" s="19">
        <v>0.0</v>
      </c>
      <c r="L237" s="19">
        <v>1.0</v>
      </c>
      <c r="M237" s="19">
        <v>0.0</v>
      </c>
      <c r="N237" s="19">
        <v>4.0</v>
      </c>
      <c r="O237" s="19">
        <v>1.0</v>
      </c>
      <c r="P237" s="19">
        <v>3.0</v>
      </c>
      <c r="Q237" s="19">
        <v>3.0</v>
      </c>
      <c r="R237" s="19">
        <v>1.0</v>
      </c>
      <c r="S237" s="19">
        <v>3.0</v>
      </c>
      <c r="T237" s="19">
        <v>2.0</v>
      </c>
      <c r="U237" s="19">
        <v>5.0</v>
      </c>
      <c r="V237" s="19">
        <v>0.0</v>
      </c>
      <c r="W237" s="19">
        <v>2.0</v>
      </c>
      <c r="X237" s="19">
        <v>0.0</v>
      </c>
      <c r="Y237" s="19">
        <v>0.0</v>
      </c>
      <c r="Z237" s="13">
        <f t="shared" ref="Z237:Z246" si="47">SUM(E237:Y237)</f>
        <v>32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0.0</v>
      </c>
      <c r="F238" s="19">
        <v>0.0</v>
      </c>
      <c r="G238" s="19">
        <v>0.0</v>
      </c>
      <c r="H238" s="19">
        <v>0.0</v>
      </c>
      <c r="I238" s="19">
        <v>0.0</v>
      </c>
      <c r="J238" s="19">
        <v>1.0</v>
      </c>
      <c r="K238" s="19">
        <v>2.0</v>
      </c>
      <c r="L238" s="19">
        <v>0.0</v>
      </c>
      <c r="M238" s="19">
        <v>2.0</v>
      </c>
      <c r="N238" s="19">
        <v>0.0</v>
      </c>
      <c r="O238" s="19">
        <v>1.0</v>
      </c>
      <c r="P238" s="19">
        <v>0.0</v>
      </c>
      <c r="Q238" s="19">
        <v>2.0</v>
      </c>
      <c r="R238" s="19">
        <v>0.0</v>
      </c>
      <c r="S238" s="19">
        <v>0.0</v>
      </c>
      <c r="T238" s="19">
        <v>2.0</v>
      </c>
      <c r="U238" s="19">
        <v>1.0</v>
      </c>
      <c r="V238" s="19">
        <v>1.0</v>
      </c>
      <c r="W238" s="19">
        <v>0.0</v>
      </c>
      <c r="X238" s="19">
        <v>0.0</v>
      </c>
      <c r="Y238" s="19">
        <v>0.0</v>
      </c>
      <c r="Z238" s="13">
        <f t="shared" si="47"/>
        <v>12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1.0</v>
      </c>
      <c r="F239" s="19">
        <v>3.0</v>
      </c>
      <c r="G239" s="19">
        <v>0.0</v>
      </c>
      <c r="H239" s="19">
        <v>2.0</v>
      </c>
      <c r="I239" s="19">
        <v>0.0</v>
      </c>
      <c r="J239" s="19">
        <v>2.0</v>
      </c>
      <c r="K239" s="19">
        <v>1.0</v>
      </c>
      <c r="L239" s="19">
        <v>0.0</v>
      </c>
      <c r="M239" s="19">
        <v>0.0</v>
      </c>
      <c r="N239" s="19">
        <v>2.0</v>
      </c>
      <c r="O239" s="19">
        <v>0.0</v>
      </c>
      <c r="P239" s="19">
        <v>10.0</v>
      </c>
      <c r="Q239" s="19">
        <v>5.0</v>
      </c>
      <c r="R239" s="19">
        <v>3.0</v>
      </c>
      <c r="S239" s="19">
        <v>3.0</v>
      </c>
      <c r="T239" s="19">
        <v>16.0</v>
      </c>
      <c r="U239" s="19">
        <v>5.0</v>
      </c>
      <c r="V239" s="19">
        <v>2.0</v>
      </c>
      <c r="W239" s="19">
        <v>0.0</v>
      </c>
      <c r="X239" s="19">
        <v>0.0</v>
      </c>
      <c r="Y239" s="19">
        <v>0.0</v>
      </c>
      <c r="Z239" s="13">
        <f t="shared" si="47"/>
        <v>55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2.0</v>
      </c>
      <c r="G240" s="19">
        <v>0.0</v>
      </c>
      <c r="H240" s="19">
        <v>0.0</v>
      </c>
      <c r="I240" s="19">
        <v>1.0</v>
      </c>
      <c r="J240" s="19">
        <v>0.0</v>
      </c>
      <c r="K240" s="19">
        <v>1.0</v>
      </c>
      <c r="L240" s="19">
        <v>0.0</v>
      </c>
      <c r="M240" s="19">
        <v>0.0</v>
      </c>
      <c r="N240" s="19">
        <v>1.0</v>
      </c>
      <c r="O240" s="19">
        <v>3.0</v>
      </c>
      <c r="P240" s="19">
        <v>1.0</v>
      </c>
      <c r="Q240" s="19">
        <v>0.0</v>
      </c>
      <c r="R240" s="19">
        <v>1.0</v>
      </c>
      <c r="S240" s="19">
        <v>0.0</v>
      </c>
      <c r="T240" s="19">
        <v>0.0</v>
      </c>
      <c r="U240" s="19">
        <v>1.0</v>
      </c>
      <c r="V240" s="19">
        <v>1.0</v>
      </c>
      <c r="W240" s="19">
        <v>2.0</v>
      </c>
      <c r="X240" s="19">
        <v>0.0</v>
      </c>
      <c r="Y240" s="19">
        <v>0.0</v>
      </c>
      <c r="Z240" s="13">
        <f t="shared" si="47"/>
        <v>14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1.0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1.0</v>
      </c>
      <c r="R241" s="19">
        <v>0.0</v>
      </c>
      <c r="S241" s="19">
        <v>0.0</v>
      </c>
      <c r="T241" s="19">
        <v>1.0</v>
      </c>
      <c r="U241" s="19">
        <v>1.0</v>
      </c>
      <c r="V241" s="19">
        <v>0.0</v>
      </c>
      <c r="W241" s="19">
        <v>0.0</v>
      </c>
      <c r="X241" s="19">
        <v>0.0</v>
      </c>
      <c r="Y241" s="19">
        <v>0.0</v>
      </c>
      <c r="Z241" s="13">
        <f t="shared" si="47"/>
        <v>4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1.0</v>
      </c>
      <c r="F242" s="19">
        <v>0.0</v>
      </c>
      <c r="G242" s="19">
        <v>0.0</v>
      </c>
      <c r="H242" s="19">
        <v>1.0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3">
        <f t="shared" si="47"/>
        <v>2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1.0</v>
      </c>
      <c r="M243" s="19">
        <v>1.0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3">
        <f t="shared" si="47"/>
        <v>2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1.0</v>
      </c>
      <c r="F244" s="19">
        <v>0.0</v>
      </c>
      <c r="G244" s="19">
        <v>0.0</v>
      </c>
      <c r="H244" s="19">
        <v>1.0</v>
      </c>
      <c r="I244" s="19">
        <v>0.0</v>
      </c>
      <c r="J244" s="19">
        <v>3.0</v>
      </c>
      <c r="K244" s="19">
        <v>0.0</v>
      </c>
      <c r="L244" s="19">
        <v>2.0</v>
      </c>
      <c r="M244" s="19">
        <v>0.0</v>
      </c>
      <c r="N244" s="19">
        <v>0.0</v>
      </c>
      <c r="O244" s="19">
        <v>1.0</v>
      </c>
      <c r="P244" s="19">
        <v>0.0</v>
      </c>
      <c r="Q244" s="19">
        <v>0.0</v>
      </c>
      <c r="R244" s="19">
        <v>1.0</v>
      </c>
      <c r="S244" s="19">
        <v>0.0</v>
      </c>
      <c r="T244" s="19">
        <v>0.0</v>
      </c>
      <c r="U244" s="19">
        <v>1.0</v>
      </c>
      <c r="V244" s="19">
        <v>4.0</v>
      </c>
      <c r="W244" s="19">
        <v>1.0</v>
      </c>
      <c r="X244" s="19">
        <v>4.0</v>
      </c>
      <c r="Y244" s="19">
        <v>0.0</v>
      </c>
      <c r="Z244" s="13">
        <f t="shared" si="47"/>
        <v>19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3">
        <f t="shared" si="47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3">
        <f t="shared" si="47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Z247" si="48">SUM(E237:E246)</f>
        <v>3</v>
      </c>
      <c r="F247" s="13">
        <f t="shared" si="48"/>
        <v>7</v>
      </c>
      <c r="G247" s="13">
        <f t="shared" si="48"/>
        <v>0</v>
      </c>
      <c r="H247" s="13">
        <f t="shared" si="48"/>
        <v>8</v>
      </c>
      <c r="I247" s="13">
        <f t="shared" si="48"/>
        <v>2</v>
      </c>
      <c r="J247" s="13">
        <f t="shared" si="48"/>
        <v>7</v>
      </c>
      <c r="K247" s="13">
        <f t="shared" si="48"/>
        <v>4</v>
      </c>
      <c r="L247" s="13">
        <f t="shared" si="48"/>
        <v>4</v>
      </c>
      <c r="M247" s="13">
        <f t="shared" si="48"/>
        <v>3</v>
      </c>
      <c r="N247" s="13">
        <f t="shared" si="48"/>
        <v>7</v>
      </c>
      <c r="O247" s="13">
        <f t="shared" si="48"/>
        <v>6</v>
      </c>
      <c r="P247" s="13">
        <f t="shared" si="48"/>
        <v>14</v>
      </c>
      <c r="Q247" s="13">
        <f t="shared" si="48"/>
        <v>11</v>
      </c>
      <c r="R247" s="13">
        <f t="shared" si="48"/>
        <v>6</v>
      </c>
      <c r="S247" s="13">
        <f t="shared" si="48"/>
        <v>6</v>
      </c>
      <c r="T247" s="13">
        <f t="shared" si="48"/>
        <v>21</v>
      </c>
      <c r="U247" s="13">
        <f t="shared" si="48"/>
        <v>14</v>
      </c>
      <c r="V247" s="13">
        <f t="shared" si="48"/>
        <v>8</v>
      </c>
      <c r="W247" s="13">
        <f t="shared" si="48"/>
        <v>5</v>
      </c>
      <c r="X247" s="13">
        <f t="shared" si="48"/>
        <v>4</v>
      </c>
      <c r="Y247" s="13">
        <f t="shared" si="48"/>
        <v>0</v>
      </c>
      <c r="Z247" s="13">
        <f t="shared" si="48"/>
        <v>140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1.0</v>
      </c>
      <c r="I249" s="19">
        <v>0.0</v>
      </c>
      <c r="J249" s="19">
        <v>1.0</v>
      </c>
      <c r="K249" s="19">
        <v>0.0</v>
      </c>
      <c r="L249" s="19">
        <v>0.0</v>
      </c>
      <c r="M249" s="19">
        <v>0.0</v>
      </c>
      <c r="N249" s="19">
        <v>0.0</v>
      </c>
      <c r="O249" s="19">
        <v>1.0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1.0</v>
      </c>
      <c r="W249" s="19">
        <v>0.0</v>
      </c>
      <c r="X249" s="19">
        <v>1.0</v>
      </c>
      <c r="Y249" s="19">
        <v>0.0</v>
      </c>
      <c r="Z249" s="13">
        <f t="shared" ref="Z249:Z258" si="49">SUM(E249:Y249)</f>
        <v>5</v>
      </c>
    </row>
    <row r="250" ht="12.75" customHeight="1">
      <c r="A250" s="30" t="s">
        <v>39</v>
      </c>
      <c r="B250" s="55">
        <v>1.0</v>
      </c>
      <c r="C250" s="66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2.0</v>
      </c>
      <c r="P250" s="19">
        <v>0.0</v>
      </c>
      <c r="Q250" s="19">
        <v>0.0</v>
      </c>
      <c r="R250" s="19">
        <v>0.0</v>
      </c>
      <c r="S250" s="19">
        <v>0.0</v>
      </c>
      <c r="T250" s="19">
        <v>1.0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3">
        <f t="shared" si="49"/>
        <v>3</v>
      </c>
    </row>
    <row r="251" ht="12.75" customHeight="1">
      <c r="A251" s="18"/>
      <c r="B251" s="55">
        <v>2.0</v>
      </c>
      <c r="C251" s="66" t="s">
        <v>185</v>
      </c>
      <c r="D251" s="60"/>
      <c r="E251" s="19">
        <v>0.0</v>
      </c>
      <c r="F251" s="19">
        <v>0.0</v>
      </c>
      <c r="G251" s="19">
        <v>1.0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1.0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3">
        <f t="shared" si="49"/>
        <v>2</v>
      </c>
    </row>
    <row r="252" ht="12.75" customHeight="1">
      <c r="A252" s="18"/>
      <c r="B252" s="55">
        <v>3.0</v>
      </c>
      <c r="C252" s="66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3">
        <f t="shared" si="49"/>
        <v>0</v>
      </c>
    </row>
    <row r="253" ht="12.75" customHeight="1">
      <c r="A253" s="18"/>
      <c r="B253" s="55">
        <v>4.0</v>
      </c>
      <c r="C253" s="66" t="s">
        <v>187</v>
      </c>
      <c r="D253" s="60"/>
      <c r="E253" s="19">
        <v>0.0</v>
      </c>
      <c r="F253" s="19">
        <v>0.0</v>
      </c>
      <c r="G253" s="19">
        <v>0.0</v>
      </c>
      <c r="H253" s="19">
        <v>1.0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3">
        <f t="shared" si="49"/>
        <v>1</v>
      </c>
    </row>
    <row r="254" ht="12.75" customHeight="1">
      <c r="A254" s="18"/>
      <c r="B254" s="55">
        <v>5.0</v>
      </c>
      <c r="C254" s="66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1.0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1.0</v>
      </c>
      <c r="W254" s="19">
        <v>0.0</v>
      </c>
      <c r="X254" s="19">
        <v>0.0</v>
      </c>
      <c r="Y254" s="19">
        <v>0.0</v>
      </c>
      <c r="Z254" s="13">
        <f t="shared" si="49"/>
        <v>2</v>
      </c>
    </row>
    <row r="255" ht="12.75" customHeight="1">
      <c r="A255" s="18"/>
      <c r="B255" s="55">
        <v>6.0</v>
      </c>
      <c r="C255" s="66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1.0</v>
      </c>
      <c r="X255" s="19">
        <v>0.0</v>
      </c>
      <c r="Y255" s="19">
        <v>0.0</v>
      </c>
      <c r="Z255" s="13">
        <f t="shared" si="49"/>
        <v>1</v>
      </c>
    </row>
    <row r="256" ht="12.75" customHeight="1">
      <c r="A256" s="18"/>
      <c r="B256" s="56"/>
      <c r="C256" s="67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3">
        <f t="shared" si="49"/>
        <v>0</v>
      </c>
    </row>
    <row r="257" ht="12.75" customHeight="1">
      <c r="A257" s="18"/>
      <c r="B257" s="56"/>
      <c r="C257" s="67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3">
        <f t="shared" si="49"/>
        <v>0</v>
      </c>
    </row>
    <row r="258" ht="12.75" customHeight="1">
      <c r="A258" s="18"/>
      <c r="B258" s="56"/>
      <c r="C258" s="67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3">
        <f t="shared" si="49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Z259" si="50">SUM(E249:E258)</f>
        <v>0</v>
      </c>
      <c r="F259" s="13">
        <f t="shared" si="50"/>
        <v>0</v>
      </c>
      <c r="G259" s="13">
        <f t="shared" si="50"/>
        <v>1</v>
      </c>
      <c r="H259" s="13">
        <f t="shared" si="50"/>
        <v>2</v>
      </c>
      <c r="I259" s="13">
        <f t="shared" si="50"/>
        <v>0</v>
      </c>
      <c r="J259" s="13">
        <f t="shared" si="50"/>
        <v>2</v>
      </c>
      <c r="K259" s="13">
        <f t="shared" si="50"/>
        <v>0</v>
      </c>
      <c r="L259" s="13">
        <f t="shared" si="50"/>
        <v>0</v>
      </c>
      <c r="M259" s="13">
        <f t="shared" si="50"/>
        <v>0</v>
      </c>
      <c r="N259" s="13">
        <f t="shared" si="50"/>
        <v>0</v>
      </c>
      <c r="O259" s="13">
        <f t="shared" si="50"/>
        <v>4</v>
      </c>
      <c r="P259" s="13">
        <f t="shared" si="50"/>
        <v>0</v>
      </c>
      <c r="Q259" s="13">
        <f t="shared" si="50"/>
        <v>0</v>
      </c>
      <c r="R259" s="13">
        <f t="shared" si="50"/>
        <v>0</v>
      </c>
      <c r="S259" s="13">
        <f t="shared" si="50"/>
        <v>0</v>
      </c>
      <c r="T259" s="13">
        <f t="shared" si="50"/>
        <v>1</v>
      </c>
      <c r="U259" s="13">
        <f t="shared" si="50"/>
        <v>0</v>
      </c>
      <c r="V259" s="13">
        <f t="shared" si="50"/>
        <v>2</v>
      </c>
      <c r="W259" s="13">
        <f t="shared" si="50"/>
        <v>1</v>
      </c>
      <c r="X259" s="13">
        <f t="shared" si="50"/>
        <v>1</v>
      </c>
      <c r="Y259" s="13">
        <f t="shared" si="50"/>
        <v>0</v>
      </c>
      <c r="Z259" s="13">
        <f t="shared" si="50"/>
        <v>14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13"/>
      <c r="S261" s="13"/>
      <c r="T261" s="13"/>
      <c r="U261" s="77"/>
      <c r="V261" s="77"/>
      <c r="W261" s="77"/>
      <c r="X261" s="77"/>
      <c r="Y261" s="13"/>
      <c r="Z261" s="13"/>
    </row>
    <row r="262" ht="12.75" customHeight="1">
      <c r="A262" s="42"/>
      <c r="B262" s="70" t="s">
        <v>192</v>
      </c>
      <c r="C262" s="71" t="s">
        <v>193</v>
      </c>
      <c r="D262" s="16"/>
      <c r="E262" s="19">
        <f t="shared" ref="E262:Y262" si="51">E55+E67+E79+E91+E103+E115+E127+E139+E151+E163+E175+E187+E199+E211+E223+E235+E247+E259</f>
        <v>173</v>
      </c>
      <c r="F262" s="19">
        <f t="shared" si="51"/>
        <v>180</v>
      </c>
      <c r="G262" s="19">
        <f t="shared" si="51"/>
        <v>188</v>
      </c>
      <c r="H262" s="19">
        <f t="shared" si="51"/>
        <v>176</v>
      </c>
      <c r="I262" s="19">
        <f t="shared" si="51"/>
        <v>198</v>
      </c>
      <c r="J262" s="19">
        <f t="shared" si="51"/>
        <v>173</v>
      </c>
      <c r="K262" s="19">
        <f t="shared" si="51"/>
        <v>199</v>
      </c>
      <c r="L262" s="19">
        <f t="shared" si="51"/>
        <v>164</v>
      </c>
      <c r="M262" s="19">
        <f t="shared" si="51"/>
        <v>218</v>
      </c>
      <c r="N262" s="19">
        <f t="shared" si="51"/>
        <v>200</v>
      </c>
      <c r="O262" s="19">
        <f t="shared" si="51"/>
        <v>194</v>
      </c>
      <c r="P262" s="19">
        <f t="shared" si="51"/>
        <v>164</v>
      </c>
      <c r="Q262" s="19">
        <f t="shared" si="51"/>
        <v>178</v>
      </c>
      <c r="R262" s="19">
        <f t="shared" si="51"/>
        <v>174</v>
      </c>
      <c r="S262" s="19">
        <f t="shared" si="51"/>
        <v>212</v>
      </c>
      <c r="T262" s="19">
        <f t="shared" si="51"/>
        <v>196</v>
      </c>
      <c r="U262" s="19">
        <f t="shared" si="51"/>
        <v>197</v>
      </c>
      <c r="V262" s="19">
        <f t="shared" si="51"/>
        <v>182</v>
      </c>
      <c r="W262" s="19">
        <f t="shared" si="51"/>
        <v>176</v>
      </c>
      <c r="X262" s="19">
        <f t="shared" si="51"/>
        <v>223</v>
      </c>
      <c r="Y262" s="19">
        <f t="shared" si="51"/>
        <v>125</v>
      </c>
      <c r="Z262" s="13">
        <f t="shared" ref="Z262:Z264" si="52">SUM(E262:Y262)</f>
        <v>3890</v>
      </c>
    </row>
    <row r="263" ht="12.75" customHeight="1">
      <c r="A263" s="35"/>
      <c r="B263" s="70" t="s">
        <v>194</v>
      </c>
      <c r="C263" s="71" t="s">
        <v>195</v>
      </c>
      <c r="D263" s="16"/>
      <c r="E263" s="19">
        <v>43.0</v>
      </c>
      <c r="F263" s="19">
        <v>27.0</v>
      </c>
      <c r="G263" s="19">
        <v>39.0</v>
      </c>
      <c r="H263" s="19">
        <v>49.0</v>
      </c>
      <c r="I263" s="19">
        <v>22.0</v>
      </c>
      <c r="J263" s="19">
        <v>18.0</v>
      </c>
      <c r="K263" s="19">
        <v>58.0</v>
      </c>
      <c r="L263" s="19">
        <v>47.0</v>
      </c>
      <c r="M263" s="19">
        <v>15.0</v>
      </c>
      <c r="N263" s="19">
        <v>9.0</v>
      </c>
      <c r="O263" s="19">
        <v>46.0</v>
      </c>
      <c r="P263" s="19">
        <v>26.0</v>
      </c>
      <c r="Q263" s="19">
        <v>47.0</v>
      </c>
      <c r="R263" s="19">
        <v>39.0</v>
      </c>
      <c r="S263" s="19">
        <v>17.0</v>
      </c>
      <c r="T263" s="19">
        <v>45.0</v>
      </c>
      <c r="U263" s="19">
        <v>26.0</v>
      </c>
      <c r="V263" s="19">
        <v>26.0</v>
      </c>
      <c r="W263" s="19">
        <v>22.0</v>
      </c>
      <c r="X263" s="19">
        <v>16.0</v>
      </c>
      <c r="Y263" s="19">
        <v>54.0</v>
      </c>
      <c r="Z263" s="13">
        <f t="shared" si="52"/>
        <v>691</v>
      </c>
    </row>
    <row r="264" ht="12.75" customHeight="1">
      <c r="A264" s="41"/>
      <c r="B264" s="70" t="s">
        <v>196</v>
      </c>
      <c r="C264" s="71" t="s">
        <v>197</v>
      </c>
      <c r="D264" s="16"/>
      <c r="E264" s="13">
        <f t="shared" ref="E264:Y264" si="53">SUM(E262:E263)</f>
        <v>216</v>
      </c>
      <c r="F264" s="13">
        <f t="shared" si="53"/>
        <v>207</v>
      </c>
      <c r="G264" s="13">
        <f t="shared" si="53"/>
        <v>227</v>
      </c>
      <c r="H264" s="13">
        <f t="shared" si="53"/>
        <v>225</v>
      </c>
      <c r="I264" s="13">
        <f t="shared" si="53"/>
        <v>220</v>
      </c>
      <c r="J264" s="13">
        <f t="shared" si="53"/>
        <v>191</v>
      </c>
      <c r="K264" s="13">
        <f t="shared" si="53"/>
        <v>257</v>
      </c>
      <c r="L264" s="13">
        <f t="shared" si="53"/>
        <v>211</v>
      </c>
      <c r="M264" s="13">
        <f t="shared" si="53"/>
        <v>233</v>
      </c>
      <c r="N264" s="13">
        <f t="shared" si="53"/>
        <v>209</v>
      </c>
      <c r="O264" s="13">
        <f t="shared" si="53"/>
        <v>240</v>
      </c>
      <c r="P264" s="13">
        <f t="shared" si="53"/>
        <v>190</v>
      </c>
      <c r="Q264" s="13">
        <f t="shared" si="53"/>
        <v>225</v>
      </c>
      <c r="R264" s="13">
        <f t="shared" si="53"/>
        <v>213</v>
      </c>
      <c r="S264" s="13">
        <f t="shared" si="53"/>
        <v>229</v>
      </c>
      <c r="T264" s="13">
        <f t="shared" si="53"/>
        <v>241</v>
      </c>
      <c r="U264" s="13">
        <f t="shared" si="53"/>
        <v>223</v>
      </c>
      <c r="V264" s="13">
        <f t="shared" si="53"/>
        <v>208</v>
      </c>
      <c r="W264" s="13">
        <f t="shared" si="53"/>
        <v>198</v>
      </c>
      <c r="X264" s="13">
        <f t="shared" si="53"/>
        <v>239</v>
      </c>
      <c r="Y264" s="13">
        <f t="shared" si="53"/>
        <v>179</v>
      </c>
      <c r="Z264" s="13">
        <f t="shared" si="52"/>
        <v>4581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Y12"/>
    <mergeCell ref="Z12:Z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Y15">
    <cfRule type="containsBlanks" dxfId="1" priority="1">
      <formula>LEN(TRIM(E14))=0</formula>
    </cfRule>
  </conditionalFormatting>
  <conditionalFormatting sqref="E19:Y20">
    <cfRule type="containsBlanks" dxfId="1" priority="2">
      <formula>LEN(TRIM(E19))=0</formula>
    </cfRule>
  </conditionalFormatting>
  <conditionalFormatting sqref="E22:Y23 E25:Y26 E33:Y33 E35:Y35 E39:Y40">
    <cfRule type="containsBlanks" dxfId="1" priority="3">
      <formula>LEN(TRIM(E22))=0</formula>
    </cfRule>
  </conditionalFormatting>
  <conditionalFormatting sqref="E30:Y30">
    <cfRule type="expression" dxfId="0" priority="4">
      <formula>E30&lt;&gt;E47</formula>
    </cfRule>
  </conditionalFormatting>
  <conditionalFormatting sqref="E30:Y30">
    <cfRule type="expression" dxfId="0" priority="5">
      <formula>E30&lt;&gt;E34</formula>
    </cfRule>
  </conditionalFormatting>
  <conditionalFormatting sqref="E34:Y34">
    <cfRule type="expression" dxfId="2" priority="6">
      <formula>E30&lt;&gt;E34</formula>
    </cfRule>
  </conditionalFormatting>
  <conditionalFormatting sqref="E34:Y34">
    <cfRule type="expression" dxfId="3" priority="7">
      <formula>E30=E34</formula>
    </cfRule>
  </conditionalFormatting>
  <conditionalFormatting sqref="E34:Y34">
    <cfRule type="expression" dxfId="0" priority="8">
      <formula>E34&lt;&gt;E30</formula>
    </cfRule>
  </conditionalFormatting>
  <conditionalFormatting sqref="E34:Y34">
    <cfRule type="expression" dxfId="0" priority="9">
      <formula>E34&lt;&gt;E64</formula>
    </cfRule>
  </conditionalFormatting>
  <conditionalFormatting sqref="E45:Y54">
    <cfRule type="containsBlanks" dxfId="1" priority="10">
      <formula>LEN(TRIM(E45))=0</formula>
    </cfRule>
  </conditionalFormatting>
  <conditionalFormatting sqref="E57:Y66">
    <cfRule type="containsBlanks" dxfId="1" priority="11">
      <formula>LEN(TRIM(E57))=0</formula>
    </cfRule>
  </conditionalFormatting>
  <conditionalFormatting sqref="E69:Y78">
    <cfRule type="containsBlanks" dxfId="1" priority="12">
      <formula>LEN(TRIM(E69))=0</formula>
    </cfRule>
  </conditionalFormatting>
  <conditionalFormatting sqref="E81:Y90">
    <cfRule type="containsBlanks" dxfId="1" priority="13">
      <formula>LEN(TRIM(E81))=0</formula>
    </cfRule>
  </conditionalFormatting>
  <conditionalFormatting sqref="E93:Y102">
    <cfRule type="containsBlanks" dxfId="1" priority="14">
      <formula>LEN(TRIM(E93))=0</formula>
    </cfRule>
  </conditionalFormatting>
  <conditionalFormatting sqref="E105:Y114">
    <cfRule type="containsBlanks" dxfId="1" priority="15">
      <formula>LEN(TRIM(E105))=0</formula>
    </cfRule>
  </conditionalFormatting>
  <conditionalFormatting sqref="E117:Y126">
    <cfRule type="containsBlanks" dxfId="1" priority="16">
      <formula>LEN(TRIM(E117))=0</formula>
    </cfRule>
  </conditionalFormatting>
  <conditionalFormatting sqref="E129:Y138">
    <cfRule type="containsBlanks" dxfId="1" priority="17">
      <formula>LEN(TRIM(E129))=0</formula>
    </cfRule>
  </conditionalFormatting>
  <conditionalFormatting sqref="E141:Y150">
    <cfRule type="containsBlanks" dxfId="1" priority="18">
      <formula>LEN(TRIM(E141))=0</formula>
    </cfRule>
  </conditionalFormatting>
  <conditionalFormatting sqref="E153:Y162">
    <cfRule type="containsBlanks" dxfId="1" priority="19">
      <formula>LEN(TRIM(E153))=0</formula>
    </cfRule>
  </conditionalFormatting>
  <conditionalFormatting sqref="E165:Y174">
    <cfRule type="containsBlanks" dxfId="1" priority="20">
      <formula>LEN(TRIM(E165))=0</formula>
    </cfRule>
  </conditionalFormatting>
  <conditionalFormatting sqref="E177:Y186">
    <cfRule type="containsBlanks" dxfId="1" priority="21">
      <formula>LEN(TRIM(E177))=0</formula>
    </cfRule>
  </conditionalFormatting>
  <conditionalFormatting sqref="E189:Y198">
    <cfRule type="containsBlanks" dxfId="1" priority="22">
      <formula>LEN(TRIM(E189))=0</formula>
    </cfRule>
  </conditionalFormatting>
  <conditionalFormatting sqref="E201:Y210">
    <cfRule type="containsBlanks" dxfId="1" priority="23">
      <formula>LEN(TRIM(E201))=0</formula>
    </cfRule>
  </conditionalFormatting>
  <conditionalFormatting sqref="E213:Y222">
    <cfRule type="containsBlanks" dxfId="1" priority="24">
      <formula>LEN(TRIM(E213))=0</formula>
    </cfRule>
  </conditionalFormatting>
  <conditionalFormatting sqref="E225:Y234">
    <cfRule type="containsBlanks" dxfId="1" priority="25">
      <formula>LEN(TRIM(E225))=0</formula>
    </cfRule>
  </conditionalFormatting>
  <conditionalFormatting sqref="E237:Y246">
    <cfRule type="containsBlanks" dxfId="1" priority="26">
      <formula>LEN(TRIM(E237))=0</formula>
    </cfRule>
  </conditionalFormatting>
  <conditionalFormatting sqref="E249:Y258">
    <cfRule type="containsBlanks" dxfId="1" priority="27">
      <formula>LEN(TRIM(E249))=0</formula>
    </cfRule>
  </conditionalFormatting>
  <conditionalFormatting sqref="E262:Y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Q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7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36"/>
    </row>
    <row r="14" ht="12.75" customHeight="1">
      <c r="A14" s="18"/>
      <c r="B14" s="22" t="s">
        <v>11</v>
      </c>
      <c r="C14" s="23"/>
      <c r="D14" s="19" t="s">
        <v>12</v>
      </c>
      <c r="E14" s="19">
        <v>130.0</v>
      </c>
      <c r="F14" s="19">
        <v>111.0</v>
      </c>
      <c r="G14" s="19">
        <v>108.0</v>
      </c>
      <c r="H14" s="19">
        <v>125.0</v>
      </c>
      <c r="I14" s="19">
        <v>145.0</v>
      </c>
      <c r="J14" s="19">
        <v>140.0</v>
      </c>
      <c r="K14" s="19">
        <v>136.0</v>
      </c>
      <c r="L14" s="19">
        <v>138.0</v>
      </c>
      <c r="M14" s="19">
        <v>131.0</v>
      </c>
      <c r="N14" s="19">
        <v>127.0</v>
      </c>
      <c r="O14" s="19">
        <v>145.0</v>
      </c>
      <c r="P14" s="19">
        <v>136.0</v>
      </c>
      <c r="Q14" s="19">
        <v>130.0</v>
      </c>
      <c r="R14" s="19">
        <v>144.0</v>
      </c>
      <c r="S14" s="13">
        <f t="shared" ref="S14:S16" si="1">SUM(E14:R14)</f>
        <v>1846</v>
      </c>
    </row>
    <row r="15" ht="12.75" customHeight="1">
      <c r="A15" s="18"/>
      <c r="B15" s="26"/>
      <c r="C15" s="27"/>
      <c r="D15" s="19" t="s">
        <v>13</v>
      </c>
      <c r="E15" s="19">
        <v>123.0</v>
      </c>
      <c r="F15" s="19">
        <v>102.0</v>
      </c>
      <c r="G15" s="19">
        <v>130.0</v>
      </c>
      <c r="H15" s="19">
        <v>130.0</v>
      </c>
      <c r="I15" s="19">
        <v>143.0</v>
      </c>
      <c r="J15" s="19">
        <v>139.0</v>
      </c>
      <c r="K15" s="19">
        <v>143.0</v>
      </c>
      <c r="L15" s="19">
        <v>148.0</v>
      </c>
      <c r="M15" s="19">
        <v>114.0</v>
      </c>
      <c r="N15" s="19">
        <v>123.0</v>
      </c>
      <c r="O15" s="19">
        <v>144.0</v>
      </c>
      <c r="P15" s="19">
        <v>129.0</v>
      </c>
      <c r="Q15" s="19">
        <v>132.0</v>
      </c>
      <c r="R15" s="19">
        <v>127.0</v>
      </c>
      <c r="S15" s="13">
        <f t="shared" si="1"/>
        <v>1827</v>
      </c>
    </row>
    <row r="16" ht="12.75" customHeight="1">
      <c r="A16" s="25"/>
      <c r="B16" s="21"/>
      <c r="C16" s="28"/>
      <c r="D16" s="13" t="s">
        <v>14</v>
      </c>
      <c r="E16" s="13">
        <f t="shared" ref="E16:R16" si="2">SUM(E14:E15)</f>
        <v>253</v>
      </c>
      <c r="F16" s="13">
        <f t="shared" si="2"/>
        <v>213</v>
      </c>
      <c r="G16" s="13">
        <f t="shared" si="2"/>
        <v>238</v>
      </c>
      <c r="H16" s="13">
        <f t="shared" si="2"/>
        <v>255</v>
      </c>
      <c r="I16" s="13">
        <f t="shared" si="2"/>
        <v>288</v>
      </c>
      <c r="J16" s="13">
        <f t="shared" si="2"/>
        <v>279</v>
      </c>
      <c r="K16" s="13">
        <f t="shared" si="2"/>
        <v>279</v>
      </c>
      <c r="L16" s="13">
        <f t="shared" si="2"/>
        <v>286</v>
      </c>
      <c r="M16" s="13">
        <f t="shared" si="2"/>
        <v>245</v>
      </c>
      <c r="N16" s="13">
        <f t="shared" si="2"/>
        <v>250</v>
      </c>
      <c r="O16" s="13">
        <f t="shared" si="2"/>
        <v>289</v>
      </c>
      <c r="P16" s="13">
        <f t="shared" si="2"/>
        <v>265</v>
      </c>
      <c r="Q16" s="13">
        <f t="shared" si="2"/>
        <v>262</v>
      </c>
      <c r="R16" s="13">
        <f t="shared" si="2"/>
        <v>271</v>
      </c>
      <c r="S16" s="13">
        <f t="shared" si="1"/>
        <v>3673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106.0</v>
      </c>
      <c r="F19" s="19">
        <v>77.0</v>
      </c>
      <c r="G19" s="19">
        <v>91.0</v>
      </c>
      <c r="H19" s="19">
        <v>95.0</v>
      </c>
      <c r="I19" s="19">
        <v>117.0</v>
      </c>
      <c r="J19" s="19">
        <v>114.0</v>
      </c>
      <c r="K19" s="19">
        <v>102.0</v>
      </c>
      <c r="L19" s="19">
        <v>109.0</v>
      </c>
      <c r="M19" s="19">
        <v>101.0</v>
      </c>
      <c r="N19" s="19">
        <v>104.0</v>
      </c>
      <c r="O19" s="19">
        <v>119.0</v>
      </c>
      <c r="P19" s="19">
        <v>122.0</v>
      </c>
      <c r="Q19" s="19">
        <v>112.0</v>
      </c>
      <c r="R19" s="19">
        <v>122.0</v>
      </c>
      <c r="S19" s="13">
        <f t="shared" ref="S19:S30" si="3">SUM(E19:R19)</f>
        <v>1491</v>
      </c>
    </row>
    <row r="20" ht="12.75" customHeight="1">
      <c r="A20" s="33"/>
      <c r="B20" s="27"/>
      <c r="C20" s="34"/>
      <c r="D20" s="19" t="s">
        <v>13</v>
      </c>
      <c r="E20" s="19">
        <v>107.0</v>
      </c>
      <c r="F20" s="19">
        <v>69.0</v>
      </c>
      <c r="G20" s="19">
        <v>103.0</v>
      </c>
      <c r="H20" s="19">
        <v>110.0</v>
      </c>
      <c r="I20" s="19">
        <v>93.0</v>
      </c>
      <c r="J20" s="19">
        <v>117.0</v>
      </c>
      <c r="K20" s="19">
        <v>120.0</v>
      </c>
      <c r="L20" s="19">
        <v>120.0</v>
      </c>
      <c r="M20" s="19">
        <v>94.0</v>
      </c>
      <c r="N20" s="19">
        <v>106.0</v>
      </c>
      <c r="O20" s="19">
        <v>117.0</v>
      </c>
      <c r="P20" s="19">
        <v>116.0</v>
      </c>
      <c r="Q20" s="19">
        <v>119.0</v>
      </c>
      <c r="R20" s="19">
        <v>111.0</v>
      </c>
      <c r="S20" s="13">
        <f t="shared" si="3"/>
        <v>1502</v>
      </c>
    </row>
    <row r="21" ht="12.75" customHeight="1">
      <c r="A21" s="35"/>
      <c r="B21" s="28"/>
      <c r="C21" s="36"/>
      <c r="D21" s="13" t="s">
        <v>14</v>
      </c>
      <c r="E21" s="13">
        <f t="shared" ref="E21:R21" si="4">SUM(E19:E20)</f>
        <v>213</v>
      </c>
      <c r="F21" s="13">
        <f t="shared" si="4"/>
        <v>146</v>
      </c>
      <c r="G21" s="13">
        <f t="shared" si="4"/>
        <v>194</v>
      </c>
      <c r="H21" s="13">
        <f t="shared" si="4"/>
        <v>205</v>
      </c>
      <c r="I21" s="13">
        <f t="shared" si="4"/>
        <v>210</v>
      </c>
      <c r="J21" s="13">
        <f t="shared" si="4"/>
        <v>231</v>
      </c>
      <c r="K21" s="13">
        <f t="shared" si="4"/>
        <v>222</v>
      </c>
      <c r="L21" s="13">
        <f t="shared" si="4"/>
        <v>229</v>
      </c>
      <c r="M21" s="13">
        <f t="shared" si="4"/>
        <v>195</v>
      </c>
      <c r="N21" s="13">
        <f t="shared" si="4"/>
        <v>210</v>
      </c>
      <c r="O21" s="13">
        <f t="shared" si="4"/>
        <v>236</v>
      </c>
      <c r="P21" s="13">
        <f t="shared" si="4"/>
        <v>238</v>
      </c>
      <c r="Q21" s="13">
        <f t="shared" si="4"/>
        <v>231</v>
      </c>
      <c r="R21" s="13">
        <f t="shared" si="4"/>
        <v>233</v>
      </c>
      <c r="S21" s="13">
        <f t="shared" si="3"/>
        <v>2993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2.0</v>
      </c>
      <c r="F22" s="19">
        <v>0.0</v>
      </c>
      <c r="G22" s="19">
        <v>0.0</v>
      </c>
      <c r="H22" s="19">
        <v>0.0</v>
      </c>
      <c r="I22" s="19">
        <v>2.0</v>
      </c>
      <c r="J22" s="19">
        <v>0.0</v>
      </c>
      <c r="K22" s="19">
        <v>0.0</v>
      </c>
      <c r="L22" s="19">
        <v>1.0</v>
      </c>
      <c r="M22" s="19">
        <v>0.0</v>
      </c>
      <c r="N22" s="19">
        <v>0.0</v>
      </c>
      <c r="O22" s="19">
        <v>0.0</v>
      </c>
      <c r="P22" s="19">
        <v>1.0</v>
      </c>
      <c r="Q22" s="19">
        <v>1.0</v>
      </c>
      <c r="R22" s="19">
        <v>0.0</v>
      </c>
      <c r="S22" s="13">
        <f t="shared" si="3"/>
        <v>7</v>
      </c>
    </row>
    <row r="23" ht="12.75" customHeight="1">
      <c r="A23" s="33"/>
      <c r="B23" s="27"/>
      <c r="C23" s="34"/>
      <c r="D23" s="19" t="s">
        <v>13</v>
      </c>
      <c r="E23" s="19">
        <v>3.0</v>
      </c>
      <c r="F23" s="19">
        <v>0.0</v>
      </c>
      <c r="G23" s="19">
        <v>0.0</v>
      </c>
      <c r="H23" s="19">
        <v>0.0</v>
      </c>
      <c r="I23" s="19">
        <v>1.0</v>
      </c>
      <c r="J23" s="19">
        <v>0.0</v>
      </c>
      <c r="K23" s="19">
        <v>1.0</v>
      </c>
      <c r="L23" s="19">
        <v>0.0</v>
      </c>
      <c r="M23" s="19">
        <v>0.0</v>
      </c>
      <c r="N23" s="19">
        <v>1.0</v>
      </c>
      <c r="O23" s="19">
        <v>2.0</v>
      </c>
      <c r="P23" s="19">
        <v>2.0</v>
      </c>
      <c r="Q23" s="19">
        <v>0.0</v>
      </c>
      <c r="R23" s="19">
        <v>0.0</v>
      </c>
      <c r="S23" s="13">
        <f t="shared" si="3"/>
        <v>10</v>
      </c>
    </row>
    <row r="24" ht="12.75" customHeight="1">
      <c r="A24" s="35"/>
      <c r="B24" s="28"/>
      <c r="C24" s="36"/>
      <c r="D24" s="13" t="s">
        <v>14</v>
      </c>
      <c r="E24" s="13">
        <f t="shared" ref="E24:R24" si="5">SUM(E22:E23)</f>
        <v>5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3</v>
      </c>
      <c r="J24" s="13">
        <f t="shared" si="5"/>
        <v>0</v>
      </c>
      <c r="K24" s="13">
        <f t="shared" si="5"/>
        <v>1</v>
      </c>
      <c r="L24" s="13">
        <f t="shared" si="5"/>
        <v>1</v>
      </c>
      <c r="M24" s="13">
        <f t="shared" si="5"/>
        <v>0</v>
      </c>
      <c r="N24" s="13">
        <f t="shared" si="5"/>
        <v>1</v>
      </c>
      <c r="O24" s="13">
        <f t="shared" si="5"/>
        <v>2</v>
      </c>
      <c r="P24" s="13">
        <f t="shared" si="5"/>
        <v>3</v>
      </c>
      <c r="Q24" s="13">
        <f t="shared" si="5"/>
        <v>1</v>
      </c>
      <c r="R24" s="13">
        <f t="shared" si="5"/>
        <v>0</v>
      </c>
      <c r="S24" s="13">
        <f t="shared" si="3"/>
        <v>17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3.0</v>
      </c>
      <c r="F25" s="19">
        <v>0.0</v>
      </c>
      <c r="G25" s="19">
        <v>1.0</v>
      </c>
      <c r="H25" s="19">
        <v>0.0</v>
      </c>
      <c r="I25" s="19">
        <v>0.0</v>
      </c>
      <c r="J25" s="19">
        <v>1.0</v>
      </c>
      <c r="K25" s="19">
        <v>0.0</v>
      </c>
      <c r="L25" s="19">
        <v>0.0</v>
      </c>
      <c r="M25" s="19">
        <v>1.0</v>
      </c>
      <c r="N25" s="19">
        <v>0.0</v>
      </c>
      <c r="O25" s="19">
        <v>1.0</v>
      </c>
      <c r="P25" s="19">
        <v>2.0</v>
      </c>
      <c r="Q25" s="19">
        <v>0.0</v>
      </c>
      <c r="R25" s="19">
        <v>0.0</v>
      </c>
      <c r="S25" s="13">
        <f t="shared" si="3"/>
        <v>9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1.0</v>
      </c>
      <c r="G26" s="19">
        <v>4.0</v>
      </c>
      <c r="H26" s="19">
        <v>3.0</v>
      </c>
      <c r="I26" s="19">
        <v>0.0</v>
      </c>
      <c r="J26" s="19">
        <v>2.0</v>
      </c>
      <c r="K26" s="19">
        <v>0.0</v>
      </c>
      <c r="L26" s="19">
        <v>4.0</v>
      </c>
      <c r="M26" s="19">
        <v>2.0</v>
      </c>
      <c r="N26" s="19">
        <v>1.0</v>
      </c>
      <c r="O26" s="19">
        <v>1.0</v>
      </c>
      <c r="P26" s="19">
        <v>3.0</v>
      </c>
      <c r="Q26" s="19">
        <v>0.0</v>
      </c>
      <c r="R26" s="19">
        <v>0.0</v>
      </c>
      <c r="S26" s="13">
        <f t="shared" si="3"/>
        <v>22</v>
      </c>
    </row>
    <row r="27" ht="12.75" customHeight="1">
      <c r="A27" s="35"/>
      <c r="B27" s="28"/>
      <c r="C27" s="36"/>
      <c r="D27" s="13" t="s">
        <v>14</v>
      </c>
      <c r="E27" s="13">
        <f t="shared" ref="E27:R27" si="6">SUM(E25:E26)</f>
        <v>4</v>
      </c>
      <c r="F27" s="13">
        <f t="shared" si="6"/>
        <v>1</v>
      </c>
      <c r="G27" s="13">
        <f t="shared" si="6"/>
        <v>5</v>
      </c>
      <c r="H27" s="13">
        <f t="shared" si="6"/>
        <v>3</v>
      </c>
      <c r="I27" s="13">
        <f t="shared" si="6"/>
        <v>0</v>
      </c>
      <c r="J27" s="13">
        <f t="shared" si="6"/>
        <v>3</v>
      </c>
      <c r="K27" s="13">
        <f t="shared" si="6"/>
        <v>0</v>
      </c>
      <c r="L27" s="13">
        <f t="shared" si="6"/>
        <v>4</v>
      </c>
      <c r="M27" s="13">
        <f t="shared" si="6"/>
        <v>3</v>
      </c>
      <c r="N27" s="13">
        <f t="shared" si="6"/>
        <v>1</v>
      </c>
      <c r="O27" s="13">
        <f t="shared" si="6"/>
        <v>2</v>
      </c>
      <c r="P27" s="13">
        <f t="shared" si="6"/>
        <v>5</v>
      </c>
      <c r="Q27" s="13">
        <f t="shared" si="6"/>
        <v>0</v>
      </c>
      <c r="R27" s="13">
        <f t="shared" si="6"/>
        <v>0</v>
      </c>
      <c r="S27" s="13">
        <f t="shared" si="3"/>
        <v>31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R28" si="7">SUM(E19,E22,E25)</f>
        <v>111</v>
      </c>
      <c r="F28" s="13">
        <f t="shared" si="7"/>
        <v>77</v>
      </c>
      <c r="G28" s="13">
        <f t="shared" si="7"/>
        <v>92</v>
      </c>
      <c r="H28" s="13">
        <f t="shared" si="7"/>
        <v>95</v>
      </c>
      <c r="I28" s="13">
        <f t="shared" si="7"/>
        <v>119</v>
      </c>
      <c r="J28" s="13">
        <f t="shared" si="7"/>
        <v>115</v>
      </c>
      <c r="K28" s="13">
        <f t="shared" si="7"/>
        <v>102</v>
      </c>
      <c r="L28" s="13">
        <f t="shared" si="7"/>
        <v>110</v>
      </c>
      <c r="M28" s="13">
        <f t="shared" si="7"/>
        <v>102</v>
      </c>
      <c r="N28" s="13">
        <f t="shared" si="7"/>
        <v>104</v>
      </c>
      <c r="O28" s="13">
        <f t="shared" si="7"/>
        <v>120</v>
      </c>
      <c r="P28" s="13">
        <f t="shared" si="7"/>
        <v>125</v>
      </c>
      <c r="Q28" s="13">
        <f t="shared" si="7"/>
        <v>113</v>
      </c>
      <c r="R28" s="13">
        <f t="shared" si="7"/>
        <v>122</v>
      </c>
      <c r="S28" s="13">
        <f t="shared" si="3"/>
        <v>1507</v>
      </c>
    </row>
    <row r="29" ht="12.75" customHeight="1">
      <c r="A29" s="35"/>
      <c r="B29" s="27"/>
      <c r="C29" s="34"/>
      <c r="D29" s="13" t="s">
        <v>13</v>
      </c>
      <c r="E29" s="13">
        <f t="shared" ref="E29:R29" si="8">SUM(E20,E23,E26)</f>
        <v>111</v>
      </c>
      <c r="F29" s="13">
        <f t="shared" si="8"/>
        <v>70</v>
      </c>
      <c r="G29" s="13">
        <f t="shared" si="8"/>
        <v>107</v>
      </c>
      <c r="H29" s="13">
        <f t="shared" si="8"/>
        <v>113</v>
      </c>
      <c r="I29" s="13">
        <f t="shared" si="8"/>
        <v>94</v>
      </c>
      <c r="J29" s="13">
        <f t="shared" si="8"/>
        <v>119</v>
      </c>
      <c r="K29" s="13">
        <f t="shared" si="8"/>
        <v>121</v>
      </c>
      <c r="L29" s="13">
        <f t="shared" si="8"/>
        <v>124</v>
      </c>
      <c r="M29" s="13">
        <f t="shared" si="8"/>
        <v>96</v>
      </c>
      <c r="N29" s="13">
        <f t="shared" si="8"/>
        <v>108</v>
      </c>
      <c r="O29" s="13">
        <f t="shared" si="8"/>
        <v>120</v>
      </c>
      <c r="P29" s="13">
        <f t="shared" si="8"/>
        <v>121</v>
      </c>
      <c r="Q29" s="13">
        <f t="shared" si="8"/>
        <v>119</v>
      </c>
      <c r="R29" s="13">
        <f t="shared" si="8"/>
        <v>111</v>
      </c>
      <c r="S29" s="13">
        <f t="shared" si="3"/>
        <v>1534</v>
      </c>
    </row>
    <row r="30" ht="12.75" customHeight="1">
      <c r="A30" s="35"/>
      <c r="B30" s="28"/>
      <c r="C30" s="36"/>
      <c r="D30" s="13" t="s">
        <v>14</v>
      </c>
      <c r="E30" s="13">
        <f t="shared" ref="E30:R30" si="9">SUM(E28:E29)</f>
        <v>222</v>
      </c>
      <c r="F30" s="13">
        <f t="shared" si="9"/>
        <v>147</v>
      </c>
      <c r="G30" s="13">
        <f t="shared" si="9"/>
        <v>199</v>
      </c>
      <c r="H30" s="13">
        <f t="shared" si="9"/>
        <v>208</v>
      </c>
      <c r="I30" s="13">
        <f t="shared" si="9"/>
        <v>213</v>
      </c>
      <c r="J30" s="13">
        <f t="shared" si="9"/>
        <v>234</v>
      </c>
      <c r="K30" s="13">
        <f t="shared" si="9"/>
        <v>223</v>
      </c>
      <c r="L30" s="13">
        <f t="shared" si="9"/>
        <v>234</v>
      </c>
      <c r="M30" s="13">
        <f t="shared" si="9"/>
        <v>198</v>
      </c>
      <c r="N30" s="13">
        <f t="shared" si="9"/>
        <v>212</v>
      </c>
      <c r="O30" s="13">
        <f t="shared" si="9"/>
        <v>240</v>
      </c>
      <c r="P30" s="13">
        <f t="shared" si="9"/>
        <v>246</v>
      </c>
      <c r="Q30" s="13">
        <f t="shared" si="9"/>
        <v>232</v>
      </c>
      <c r="R30" s="13">
        <f t="shared" si="9"/>
        <v>233</v>
      </c>
      <c r="S30" s="13">
        <f t="shared" si="3"/>
        <v>3041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77"/>
      <c r="S32" s="76"/>
    </row>
    <row r="33" ht="12.75" customHeight="1">
      <c r="A33" s="19">
        <v>1.0</v>
      </c>
      <c r="B33" s="20" t="s">
        <v>27</v>
      </c>
      <c r="C33" s="15"/>
      <c r="D33" s="16"/>
      <c r="E33" s="19">
        <v>259.0</v>
      </c>
      <c r="F33" s="19">
        <v>218.0</v>
      </c>
      <c r="G33" s="19">
        <v>244.0</v>
      </c>
      <c r="H33" s="19">
        <v>261.0</v>
      </c>
      <c r="I33" s="19">
        <v>294.0</v>
      </c>
      <c r="J33" s="19">
        <v>284.0</v>
      </c>
      <c r="K33" s="19">
        <v>285.0</v>
      </c>
      <c r="L33" s="19">
        <v>292.0</v>
      </c>
      <c r="M33" s="19">
        <v>250.0</v>
      </c>
      <c r="N33" s="19">
        <v>255.0</v>
      </c>
      <c r="O33" s="19">
        <v>295.0</v>
      </c>
      <c r="P33" s="19">
        <v>271.0</v>
      </c>
      <c r="Q33" s="19">
        <v>268.0</v>
      </c>
      <c r="R33" s="19">
        <v>278.0</v>
      </c>
      <c r="S33" s="13">
        <f t="shared" ref="S33:S36" si="10">SUM(E33:R33)</f>
        <v>3754</v>
      </c>
    </row>
    <row r="34" ht="12.75" customHeight="1">
      <c r="A34" s="19">
        <v>2.0</v>
      </c>
      <c r="B34" s="20" t="s">
        <v>28</v>
      </c>
      <c r="C34" s="15"/>
      <c r="D34" s="16"/>
      <c r="E34" s="13">
        <v>222.0</v>
      </c>
      <c r="F34" s="13">
        <v>147.0</v>
      </c>
      <c r="G34" s="13">
        <v>199.0</v>
      </c>
      <c r="H34" s="13">
        <v>208.0</v>
      </c>
      <c r="I34" s="13">
        <v>213.0</v>
      </c>
      <c r="J34" s="13">
        <v>234.0</v>
      </c>
      <c r="K34" s="13">
        <v>223.0</v>
      </c>
      <c r="L34" s="13">
        <v>234.0</v>
      </c>
      <c r="M34" s="13">
        <v>198.0</v>
      </c>
      <c r="N34" s="13">
        <v>212.0</v>
      </c>
      <c r="O34" s="13">
        <v>240.0</v>
      </c>
      <c r="P34" s="13">
        <v>246.0</v>
      </c>
      <c r="Q34" s="13">
        <v>232.0</v>
      </c>
      <c r="R34" s="13">
        <v>233.0</v>
      </c>
      <c r="S34" s="13">
        <f t="shared" si="10"/>
        <v>3041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0.0</v>
      </c>
      <c r="G35" s="19">
        <v>1.0</v>
      </c>
      <c r="H35" s="19">
        <v>1.0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2.0</v>
      </c>
      <c r="P35" s="19">
        <v>0.0</v>
      </c>
      <c r="Q35" s="19">
        <v>0.0</v>
      </c>
      <c r="R35" s="19">
        <v>1.0</v>
      </c>
      <c r="S35" s="13">
        <f t="shared" si="10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R36" si="11">E33-(E34+E35)</f>
        <v>36</v>
      </c>
      <c r="F36" s="13">
        <f t="shared" si="11"/>
        <v>71</v>
      </c>
      <c r="G36" s="13">
        <f t="shared" si="11"/>
        <v>44</v>
      </c>
      <c r="H36" s="13">
        <f t="shared" si="11"/>
        <v>52</v>
      </c>
      <c r="I36" s="13">
        <f t="shared" si="11"/>
        <v>81</v>
      </c>
      <c r="J36" s="13">
        <f t="shared" si="11"/>
        <v>50</v>
      </c>
      <c r="K36" s="13">
        <f t="shared" si="11"/>
        <v>62</v>
      </c>
      <c r="L36" s="13">
        <f t="shared" si="11"/>
        <v>58</v>
      </c>
      <c r="M36" s="13">
        <f t="shared" si="11"/>
        <v>52</v>
      </c>
      <c r="N36" s="13">
        <f t="shared" si="11"/>
        <v>43</v>
      </c>
      <c r="O36" s="13">
        <f t="shared" si="11"/>
        <v>53</v>
      </c>
      <c r="P36" s="13">
        <f t="shared" si="11"/>
        <v>25</v>
      </c>
      <c r="Q36" s="13">
        <f t="shared" si="11"/>
        <v>36</v>
      </c>
      <c r="R36" s="13">
        <f t="shared" si="11"/>
        <v>44</v>
      </c>
      <c r="S36" s="13">
        <f t="shared" si="10"/>
        <v>707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81"/>
      <c r="P37" s="81"/>
      <c r="Q37" s="75"/>
      <c r="R37" s="81"/>
      <c r="S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77"/>
      <c r="S38" s="76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1.0</v>
      </c>
      <c r="J39" s="19">
        <v>0.0</v>
      </c>
      <c r="K39" s="19">
        <v>1.0</v>
      </c>
      <c r="L39" s="19">
        <v>0.0</v>
      </c>
      <c r="M39" s="19">
        <v>0.0</v>
      </c>
      <c r="N39" s="19">
        <v>0.0</v>
      </c>
      <c r="O39" s="19">
        <v>1.0</v>
      </c>
      <c r="P39" s="19">
        <v>0.0</v>
      </c>
      <c r="Q39" s="19">
        <v>0.0</v>
      </c>
      <c r="R39" s="19">
        <v>0.0</v>
      </c>
      <c r="S39" s="13">
        <f t="shared" ref="S39:S41" si="12">SUM(E39:R39)</f>
        <v>3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1.0</v>
      </c>
      <c r="K40" s="19">
        <v>0.0</v>
      </c>
      <c r="L40" s="19">
        <v>0.0</v>
      </c>
      <c r="M40" s="19">
        <v>0.0</v>
      </c>
      <c r="N40" s="19">
        <v>0.0</v>
      </c>
      <c r="O40" s="19">
        <v>3.0</v>
      </c>
      <c r="P40" s="19">
        <v>0.0</v>
      </c>
      <c r="Q40" s="19">
        <v>0.0</v>
      </c>
      <c r="R40" s="19">
        <v>0.0</v>
      </c>
      <c r="S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R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1</v>
      </c>
      <c r="K41" s="13">
        <f t="shared" si="13"/>
        <v>1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4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75"/>
      <c r="R42" s="19"/>
      <c r="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77"/>
      <c r="R43" s="13"/>
      <c r="S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75"/>
      <c r="R44" s="19"/>
      <c r="S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9.0</v>
      </c>
      <c r="F45" s="19">
        <v>11.0</v>
      </c>
      <c r="G45" s="19">
        <v>2.0</v>
      </c>
      <c r="H45" s="19">
        <v>1.0</v>
      </c>
      <c r="I45" s="19">
        <v>6.0</v>
      </c>
      <c r="J45" s="19">
        <v>8.0</v>
      </c>
      <c r="K45" s="19">
        <v>3.0</v>
      </c>
      <c r="L45" s="19">
        <v>7.0</v>
      </c>
      <c r="M45" s="19">
        <v>10.0</v>
      </c>
      <c r="N45" s="19">
        <v>4.0</v>
      </c>
      <c r="O45" s="19">
        <v>3.0</v>
      </c>
      <c r="P45" s="19">
        <v>4.0</v>
      </c>
      <c r="Q45" s="19">
        <v>7.0</v>
      </c>
      <c r="R45" s="19">
        <v>13.0</v>
      </c>
      <c r="S45" s="13">
        <f t="shared" ref="S45:S54" si="14">SUM(E45:R45)</f>
        <v>88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50.0</v>
      </c>
      <c r="F46" s="19">
        <v>22.0</v>
      </c>
      <c r="G46" s="19">
        <v>8.0</v>
      </c>
      <c r="H46" s="19">
        <v>2.0</v>
      </c>
      <c r="I46" s="19">
        <v>5.0</v>
      </c>
      <c r="J46" s="19">
        <v>11.0</v>
      </c>
      <c r="K46" s="19">
        <v>7.0</v>
      </c>
      <c r="L46" s="19">
        <v>4.0</v>
      </c>
      <c r="M46" s="19">
        <v>14.0</v>
      </c>
      <c r="N46" s="19">
        <v>15.0</v>
      </c>
      <c r="O46" s="19">
        <v>4.0</v>
      </c>
      <c r="P46" s="19">
        <v>11.0</v>
      </c>
      <c r="Q46" s="19">
        <v>9.0</v>
      </c>
      <c r="R46" s="19">
        <v>15.0</v>
      </c>
      <c r="S46" s="13">
        <f t="shared" si="14"/>
        <v>177</v>
      </c>
    </row>
    <row r="47" ht="12.75" customHeight="1">
      <c r="A47" s="18"/>
      <c r="B47" s="55">
        <v>2.0</v>
      </c>
      <c r="C47" s="50" t="s">
        <v>41</v>
      </c>
      <c r="D47" s="16"/>
      <c r="E47" s="19">
        <v>3.0</v>
      </c>
      <c r="F47" s="19">
        <v>8.0</v>
      </c>
      <c r="G47" s="19">
        <v>1.0</v>
      </c>
      <c r="H47" s="19">
        <v>1.0</v>
      </c>
      <c r="I47" s="19">
        <v>6.0</v>
      </c>
      <c r="J47" s="19">
        <v>6.0</v>
      </c>
      <c r="K47" s="19">
        <v>15.0</v>
      </c>
      <c r="L47" s="19">
        <v>26.0</v>
      </c>
      <c r="M47" s="19">
        <v>20.0</v>
      </c>
      <c r="N47" s="19">
        <v>11.0</v>
      </c>
      <c r="O47" s="19">
        <v>8.0</v>
      </c>
      <c r="P47" s="19">
        <v>2.0</v>
      </c>
      <c r="Q47" s="19">
        <v>9.0</v>
      </c>
      <c r="R47" s="19">
        <v>17.0</v>
      </c>
      <c r="S47" s="13">
        <f t="shared" si="14"/>
        <v>133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2.0</v>
      </c>
      <c r="G48" s="19">
        <v>1.0</v>
      </c>
      <c r="H48" s="19">
        <v>0.0</v>
      </c>
      <c r="I48" s="19">
        <v>2.0</v>
      </c>
      <c r="J48" s="19">
        <v>0.0</v>
      </c>
      <c r="K48" s="19">
        <v>1.0</v>
      </c>
      <c r="L48" s="19">
        <v>1.0</v>
      </c>
      <c r="M48" s="19">
        <v>0.0</v>
      </c>
      <c r="N48" s="19">
        <v>0.0</v>
      </c>
      <c r="O48" s="19">
        <v>1.0</v>
      </c>
      <c r="P48" s="19">
        <v>1.0</v>
      </c>
      <c r="Q48" s="19">
        <v>0.0</v>
      </c>
      <c r="R48" s="19">
        <v>0.0</v>
      </c>
      <c r="S48" s="13">
        <f t="shared" si="14"/>
        <v>9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1.0</v>
      </c>
      <c r="G49" s="19">
        <v>3.0</v>
      </c>
      <c r="H49" s="19">
        <v>0.0</v>
      </c>
      <c r="I49" s="19">
        <v>1.0</v>
      </c>
      <c r="J49" s="19">
        <v>1.0</v>
      </c>
      <c r="K49" s="19">
        <v>0.0</v>
      </c>
      <c r="L49" s="19">
        <v>0.0</v>
      </c>
      <c r="M49" s="19">
        <v>1.0</v>
      </c>
      <c r="N49" s="19">
        <v>0.0</v>
      </c>
      <c r="O49" s="19">
        <v>1.0</v>
      </c>
      <c r="P49" s="19">
        <v>1.0</v>
      </c>
      <c r="Q49" s="19">
        <v>0.0</v>
      </c>
      <c r="R49" s="19">
        <v>3.0</v>
      </c>
      <c r="S49" s="13">
        <f t="shared" si="14"/>
        <v>12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1.0</v>
      </c>
      <c r="G50" s="19">
        <v>0.0</v>
      </c>
      <c r="H50" s="19">
        <v>0.0</v>
      </c>
      <c r="I50" s="19">
        <v>0.0</v>
      </c>
      <c r="J50" s="19">
        <v>1.0</v>
      </c>
      <c r="K50" s="19">
        <v>4.0</v>
      </c>
      <c r="L50" s="19">
        <v>1.0</v>
      </c>
      <c r="M50" s="19">
        <v>1.0</v>
      </c>
      <c r="N50" s="19">
        <v>1.0</v>
      </c>
      <c r="O50" s="19">
        <v>0.0</v>
      </c>
      <c r="P50" s="19">
        <v>0.0</v>
      </c>
      <c r="Q50" s="19">
        <v>0.0</v>
      </c>
      <c r="R50" s="19">
        <v>1.0</v>
      </c>
      <c r="S50" s="13">
        <f t="shared" si="14"/>
        <v>11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0.0</v>
      </c>
      <c r="G51" s="19">
        <v>0.0</v>
      </c>
      <c r="H51" s="19">
        <v>0.0</v>
      </c>
      <c r="I51" s="19">
        <v>1.0</v>
      </c>
      <c r="J51" s="19">
        <v>1.0</v>
      </c>
      <c r="K51" s="19">
        <v>1.0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3">
        <f t="shared" si="14"/>
        <v>4</v>
      </c>
    </row>
    <row r="52" ht="12.75" customHeight="1">
      <c r="A52" s="18"/>
      <c r="B52" s="55">
        <v>7.0</v>
      </c>
      <c r="C52" s="50" t="s">
        <v>46</v>
      </c>
      <c r="D52" s="16"/>
      <c r="E52" s="19">
        <v>1.0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3">
        <f t="shared" si="14"/>
        <v>1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S55" si="15">SUM(E45:E54)</f>
        <v>65</v>
      </c>
      <c r="F55" s="13">
        <f t="shared" si="15"/>
        <v>45</v>
      </c>
      <c r="G55" s="13">
        <f t="shared" si="15"/>
        <v>15</v>
      </c>
      <c r="H55" s="13">
        <f t="shared" si="15"/>
        <v>4</v>
      </c>
      <c r="I55" s="13">
        <f t="shared" si="15"/>
        <v>21</v>
      </c>
      <c r="J55" s="13">
        <f t="shared" si="15"/>
        <v>28</v>
      </c>
      <c r="K55" s="13">
        <f t="shared" si="15"/>
        <v>31</v>
      </c>
      <c r="L55" s="13">
        <f t="shared" si="15"/>
        <v>39</v>
      </c>
      <c r="M55" s="13">
        <f t="shared" si="15"/>
        <v>46</v>
      </c>
      <c r="N55" s="13">
        <f t="shared" si="15"/>
        <v>31</v>
      </c>
      <c r="O55" s="13">
        <f t="shared" si="15"/>
        <v>17</v>
      </c>
      <c r="P55" s="13">
        <f t="shared" si="15"/>
        <v>19</v>
      </c>
      <c r="Q55" s="13">
        <f t="shared" si="15"/>
        <v>25</v>
      </c>
      <c r="R55" s="13">
        <f t="shared" si="15"/>
        <v>49</v>
      </c>
      <c r="S55" s="13">
        <f t="shared" si="15"/>
        <v>435</v>
      </c>
    </row>
    <row r="56" ht="12.75" customHeight="1">
      <c r="A56" s="45"/>
      <c r="B56" s="44"/>
      <c r="C56" s="44"/>
      <c r="D56" s="44"/>
      <c r="E56" s="44"/>
      <c r="S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5.0</v>
      </c>
      <c r="F57" s="19">
        <v>4.0</v>
      </c>
      <c r="G57" s="19">
        <v>10.0</v>
      </c>
      <c r="H57" s="19">
        <v>12.0</v>
      </c>
      <c r="I57" s="19">
        <v>3.0</v>
      </c>
      <c r="J57" s="19">
        <v>8.0</v>
      </c>
      <c r="K57" s="19">
        <v>14.0</v>
      </c>
      <c r="L57" s="19">
        <v>9.0</v>
      </c>
      <c r="M57" s="19">
        <v>10.0</v>
      </c>
      <c r="N57" s="19">
        <v>10.0</v>
      </c>
      <c r="O57" s="19">
        <v>7.0</v>
      </c>
      <c r="P57" s="19">
        <v>13.0</v>
      </c>
      <c r="Q57" s="19">
        <v>12.0</v>
      </c>
      <c r="R57" s="19">
        <v>7.0</v>
      </c>
      <c r="S57" s="13">
        <f t="shared" ref="S57:S66" si="16">SUM(E57:R57)</f>
        <v>124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7.0</v>
      </c>
      <c r="F58" s="19">
        <v>6.0</v>
      </c>
      <c r="G58" s="19">
        <v>5.0</v>
      </c>
      <c r="H58" s="19">
        <v>13.0</v>
      </c>
      <c r="I58" s="19">
        <v>8.0</v>
      </c>
      <c r="J58" s="19">
        <v>12.0</v>
      </c>
      <c r="K58" s="19">
        <v>7.0</v>
      </c>
      <c r="L58" s="19">
        <v>4.0</v>
      </c>
      <c r="M58" s="19">
        <v>9.0</v>
      </c>
      <c r="N58" s="19">
        <v>10.0</v>
      </c>
      <c r="O58" s="19">
        <v>10.0</v>
      </c>
      <c r="P58" s="19">
        <v>15.0</v>
      </c>
      <c r="Q58" s="19">
        <v>10.0</v>
      </c>
      <c r="R58" s="19">
        <v>7.0</v>
      </c>
      <c r="S58" s="13">
        <f t="shared" si="16"/>
        <v>123</v>
      </c>
    </row>
    <row r="59" ht="12.75" customHeight="1">
      <c r="A59" s="18"/>
      <c r="B59" s="55">
        <v>2.0</v>
      </c>
      <c r="C59" s="50" t="s">
        <v>50</v>
      </c>
      <c r="D59" s="59"/>
      <c r="E59" s="19">
        <v>1.0</v>
      </c>
      <c r="F59" s="19">
        <v>1.0</v>
      </c>
      <c r="G59" s="19">
        <v>4.0</v>
      </c>
      <c r="H59" s="19">
        <v>5.0</v>
      </c>
      <c r="I59" s="19">
        <v>4.0</v>
      </c>
      <c r="J59" s="19">
        <v>1.0</v>
      </c>
      <c r="K59" s="19">
        <v>4.0</v>
      </c>
      <c r="L59" s="19">
        <v>2.0</v>
      </c>
      <c r="M59" s="19">
        <v>4.0</v>
      </c>
      <c r="N59" s="19">
        <v>3.0</v>
      </c>
      <c r="O59" s="19">
        <v>4.0</v>
      </c>
      <c r="P59" s="19">
        <v>2.0</v>
      </c>
      <c r="Q59" s="19">
        <v>2.0</v>
      </c>
      <c r="R59" s="19">
        <v>5.0</v>
      </c>
      <c r="S59" s="13">
        <f t="shared" si="16"/>
        <v>42</v>
      </c>
    </row>
    <row r="60" ht="12.75" customHeight="1">
      <c r="A60" s="18"/>
      <c r="B60" s="55">
        <v>3.0</v>
      </c>
      <c r="C60" s="50" t="s">
        <v>51</v>
      </c>
      <c r="D60" s="59"/>
      <c r="E60" s="19">
        <v>1.0</v>
      </c>
      <c r="F60" s="19">
        <v>0.0</v>
      </c>
      <c r="G60" s="19">
        <v>3.0</v>
      </c>
      <c r="H60" s="19">
        <v>1.0</v>
      </c>
      <c r="I60" s="19">
        <v>0.0</v>
      </c>
      <c r="J60" s="19">
        <v>1.0</v>
      </c>
      <c r="K60" s="19">
        <v>1.0</v>
      </c>
      <c r="L60" s="19">
        <v>1.0</v>
      </c>
      <c r="M60" s="19">
        <v>2.0</v>
      </c>
      <c r="N60" s="19">
        <v>1.0</v>
      </c>
      <c r="O60" s="19">
        <v>1.0</v>
      </c>
      <c r="P60" s="19">
        <v>0.0</v>
      </c>
      <c r="Q60" s="19">
        <v>2.0</v>
      </c>
      <c r="R60" s="19">
        <v>0.0</v>
      </c>
      <c r="S60" s="13">
        <f t="shared" si="16"/>
        <v>14</v>
      </c>
    </row>
    <row r="61" ht="12.75" customHeight="1">
      <c r="A61" s="18"/>
      <c r="B61" s="55">
        <v>4.0</v>
      </c>
      <c r="C61" s="50" t="s">
        <v>52</v>
      </c>
      <c r="D61" s="59"/>
      <c r="E61" s="19">
        <v>1.0</v>
      </c>
      <c r="F61" s="19">
        <v>1.0</v>
      </c>
      <c r="G61" s="19">
        <v>1.0</v>
      </c>
      <c r="H61" s="19">
        <v>1.0</v>
      </c>
      <c r="I61" s="19">
        <v>2.0</v>
      </c>
      <c r="J61" s="19">
        <v>1.0</v>
      </c>
      <c r="K61" s="19">
        <v>4.0</v>
      </c>
      <c r="L61" s="19">
        <v>0.0</v>
      </c>
      <c r="M61" s="19">
        <v>2.0</v>
      </c>
      <c r="N61" s="19">
        <v>1.0</v>
      </c>
      <c r="O61" s="19">
        <v>2.0</v>
      </c>
      <c r="P61" s="19">
        <v>0.0</v>
      </c>
      <c r="Q61" s="19">
        <v>1.0</v>
      </c>
      <c r="R61" s="19">
        <v>1.0</v>
      </c>
      <c r="S61" s="13">
        <f t="shared" si="16"/>
        <v>18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2.0</v>
      </c>
      <c r="K62" s="19">
        <v>0.0</v>
      </c>
      <c r="L62" s="19">
        <v>0.0</v>
      </c>
      <c r="M62" s="19">
        <v>1.0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3">
        <f t="shared" si="16"/>
        <v>3</v>
      </c>
    </row>
    <row r="63" ht="12.75" customHeight="1">
      <c r="A63" s="18"/>
      <c r="B63" s="55">
        <v>6.0</v>
      </c>
      <c r="C63" s="50" t="s">
        <v>54</v>
      </c>
      <c r="D63" s="60"/>
      <c r="E63" s="19">
        <v>0.0</v>
      </c>
      <c r="F63" s="19">
        <v>1.0</v>
      </c>
      <c r="G63" s="19">
        <v>0.0</v>
      </c>
      <c r="H63" s="19">
        <v>1.0</v>
      </c>
      <c r="I63" s="19">
        <v>0.0</v>
      </c>
      <c r="J63" s="19">
        <v>0.0</v>
      </c>
      <c r="K63" s="19">
        <v>0.0</v>
      </c>
      <c r="L63" s="19">
        <v>0.0</v>
      </c>
      <c r="M63" s="19">
        <v>0.0</v>
      </c>
      <c r="N63" s="19">
        <v>0.0</v>
      </c>
      <c r="O63" s="19">
        <v>1.0</v>
      </c>
      <c r="P63" s="19">
        <v>0.0</v>
      </c>
      <c r="Q63" s="19">
        <v>1.0</v>
      </c>
      <c r="R63" s="19">
        <v>0.0</v>
      </c>
      <c r="S63" s="13">
        <f t="shared" si="16"/>
        <v>4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1.0</v>
      </c>
      <c r="G64" s="19">
        <v>1.0</v>
      </c>
      <c r="H64" s="19">
        <v>0.0</v>
      </c>
      <c r="I64" s="19">
        <v>1.0</v>
      </c>
      <c r="J64" s="19">
        <v>1.0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3">
        <f t="shared" si="16"/>
        <v>4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S67" si="17">SUM(E57:E66)</f>
        <v>15</v>
      </c>
      <c r="F67" s="13">
        <f t="shared" si="17"/>
        <v>14</v>
      </c>
      <c r="G67" s="13">
        <f t="shared" si="17"/>
        <v>24</v>
      </c>
      <c r="H67" s="13">
        <f t="shared" si="17"/>
        <v>33</v>
      </c>
      <c r="I67" s="13">
        <f t="shared" si="17"/>
        <v>18</v>
      </c>
      <c r="J67" s="13">
        <f t="shared" si="17"/>
        <v>26</v>
      </c>
      <c r="K67" s="13">
        <f t="shared" si="17"/>
        <v>30</v>
      </c>
      <c r="L67" s="13">
        <f t="shared" si="17"/>
        <v>16</v>
      </c>
      <c r="M67" s="13">
        <f t="shared" si="17"/>
        <v>28</v>
      </c>
      <c r="N67" s="13">
        <f t="shared" si="17"/>
        <v>25</v>
      </c>
      <c r="O67" s="13">
        <f t="shared" si="17"/>
        <v>25</v>
      </c>
      <c r="P67" s="13">
        <f t="shared" si="17"/>
        <v>30</v>
      </c>
      <c r="Q67" s="13">
        <f t="shared" si="17"/>
        <v>28</v>
      </c>
      <c r="R67" s="13">
        <f t="shared" si="17"/>
        <v>20</v>
      </c>
      <c r="S67" s="13">
        <f t="shared" si="17"/>
        <v>332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4.0</v>
      </c>
      <c r="F69" s="19">
        <v>5.0</v>
      </c>
      <c r="G69" s="19">
        <v>5.0</v>
      </c>
      <c r="H69" s="19">
        <v>6.0</v>
      </c>
      <c r="I69" s="19">
        <v>5.0</v>
      </c>
      <c r="J69" s="19">
        <v>11.0</v>
      </c>
      <c r="K69" s="19">
        <v>12.0</v>
      </c>
      <c r="L69" s="19">
        <v>12.0</v>
      </c>
      <c r="M69" s="19">
        <v>2.0</v>
      </c>
      <c r="N69" s="19">
        <v>4.0</v>
      </c>
      <c r="O69" s="19">
        <v>4.0</v>
      </c>
      <c r="P69" s="19">
        <v>3.0</v>
      </c>
      <c r="Q69" s="19">
        <v>2.0</v>
      </c>
      <c r="R69" s="19">
        <v>7.0</v>
      </c>
      <c r="S69" s="13">
        <f t="shared" ref="S69:S78" si="18">SUM(E69:R69)</f>
        <v>82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3.0</v>
      </c>
      <c r="F70" s="19">
        <v>5.0</v>
      </c>
      <c r="G70" s="19">
        <v>18.0</v>
      </c>
      <c r="H70" s="19">
        <v>11.0</v>
      </c>
      <c r="I70" s="19">
        <v>6.0</v>
      </c>
      <c r="J70" s="19">
        <v>12.0</v>
      </c>
      <c r="K70" s="19">
        <v>7.0</v>
      </c>
      <c r="L70" s="19">
        <v>2.0</v>
      </c>
      <c r="M70" s="19">
        <v>1.0</v>
      </c>
      <c r="N70" s="19">
        <v>7.0</v>
      </c>
      <c r="O70" s="19">
        <v>13.0</v>
      </c>
      <c r="P70" s="19">
        <v>5.0</v>
      </c>
      <c r="Q70" s="19">
        <v>6.0</v>
      </c>
      <c r="R70" s="19">
        <v>6.0</v>
      </c>
      <c r="S70" s="13">
        <f t="shared" si="18"/>
        <v>102</v>
      </c>
    </row>
    <row r="71" ht="12.75" customHeight="1">
      <c r="A71" s="18"/>
      <c r="B71" s="55">
        <v>2.0</v>
      </c>
      <c r="C71" s="50" t="s">
        <v>58</v>
      </c>
      <c r="D71" s="60"/>
      <c r="E71" s="19">
        <v>1.0</v>
      </c>
      <c r="F71" s="19">
        <v>3.0</v>
      </c>
      <c r="G71" s="19">
        <v>4.0</v>
      </c>
      <c r="H71" s="19">
        <v>5.0</v>
      </c>
      <c r="I71" s="19">
        <v>14.0</v>
      </c>
      <c r="J71" s="19">
        <v>10.0</v>
      </c>
      <c r="K71" s="19">
        <v>11.0</v>
      </c>
      <c r="L71" s="19">
        <v>18.0</v>
      </c>
      <c r="M71" s="19">
        <v>8.0</v>
      </c>
      <c r="N71" s="19">
        <v>7.0</v>
      </c>
      <c r="O71" s="19">
        <v>16.0</v>
      </c>
      <c r="P71" s="19">
        <v>31.0</v>
      </c>
      <c r="Q71" s="19">
        <v>21.0</v>
      </c>
      <c r="R71" s="19">
        <v>19.0</v>
      </c>
      <c r="S71" s="13">
        <f t="shared" si="18"/>
        <v>168</v>
      </c>
    </row>
    <row r="72" ht="12.75" customHeight="1">
      <c r="A72" s="18"/>
      <c r="B72" s="55">
        <v>3.0</v>
      </c>
      <c r="C72" s="50" t="s">
        <v>59</v>
      </c>
      <c r="D72" s="60"/>
      <c r="E72" s="19">
        <v>1.0</v>
      </c>
      <c r="F72" s="19">
        <v>1.0</v>
      </c>
      <c r="G72" s="19">
        <v>1.0</v>
      </c>
      <c r="H72" s="19">
        <v>4.0</v>
      </c>
      <c r="I72" s="19">
        <v>35.0</v>
      </c>
      <c r="J72" s="19">
        <v>15.0</v>
      </c>
      <c r="K72" s="19">
        <v>5.0</v>
      </c>
      <c r="L72" s="19">
        <v>6.0</v>
      </c>
      <c r="M72" s="19">
        <v>8.0</v>
      </c>
      <c r="N72" s="19">
        <v>5.0</v>
      </c>
      <c r="O72" s="19">
        <v>8.0</v>
      </c>
      <c r="P72" s="19">
        <v>3.0</v>
      </c>
      <c r="Q72" s="19">
        <v>0.0</v>
      </c>
      <c r="R72" s="19">
        <v>4.0</v>
      </c>
      <c r="S72" s="13">
        <f t="shared" si="18"/>
        <v>96</v>
      </c>
    </row>
    <row r="73" ht="12.75" customHeight="1">
      <c r="A73" s="18"/>
      <c r="B73" s="55">
        <v>4.0</v>
      </c>
      <c r="C73" s="50" t="s">
        <v>60</v>
      </c>
      <c r="D73" s="60"/>
      <c r="E73" s="19">
        <v>1.0</v>
      </c>
      <c r="F73" s="19">
        <v>0.0</v>
      </c>
      <c r="G73" s="19">
        <v>0.0</v>
      </c>
      <c r="H73" s="19">
        <v>0.0</v>
      </c>
      <c r="I73" s="19">
        <v>0.0</v>
      </c>
      <c r="J73" s="19">
        <v>0.0</v>
      </c>
      <c r="K73" s="19">
        <v>0.0</v>
      </c>
      <c r="L73" s="19">
        <v>0.0</v>
      </c>
      <c r="M73" s="19">
        <v>0.0</v>
      </c>
      <c r="N73" s="19">
        <v>0.0</v>
      </c>
      <c r="O73" s="19">
        <v>1.0</v>
      </c>
      <c r="P73" s="19">
        <v>0.0</v>
      </c>
      <c r="Q73" s="19">
        <v>1.0</v>
      </c>
      <c r="R73" s="19">
        <v>2.0</v>
      </c>
      <c r="S73" s="13">
        <f t="shared" si="18"/>
        <v>5</v>
      </c>
    </row>
    <row r="74" ht="12.75" customHeight="1">
      <c r="A74" s="18"/>
      <c r="B74" s="55">
        <v>5.0</v>
      </c>
      <c r="C74" s="50" t="s">
        <v>61</v>
      </c>
      <c r="D74" s="60"/>
      <c r="E74" s="19">
        <v>6.0</v>
      </c>
      <c r="F74" s="19">
        <v>0.0</v>
      </c>
      <c r="G74" s="19">
        <v>2.0</v>
      </c>
      <c r="H74" s="19">
        <v>5.0</v>
      </c>
      <c r="I74" s="19">
        <v>9.0</v>
      </c>
      <c r="J74" s="19">
        <v>4.0</v>
      </c>
      <c r="K74" s="19">
        <v>3.0</v>
      </c>
      <c r="L74" s="19">
        <v>6.0</v>
      </c>
      <c r="M74" s="19">
        <v>3.0</v>
      </c>
      <c r="N74" s="19">
        <v>3.0</v>
      </c>
      <c r="O74" s="19">
        <v>3.0</v>
      </c>
      <c r="P74" s="19">
        <v>1.0</v>
      </c>
      <c r="Q74" s="19">
        <v>9.0</v>
      </c>
      <c r="R74" s="19">
        <v>7.0</v>
      </c>
      <c r="S74" s="13">
        <f t="shared" si="18"/>
        <v>61</v>
      </c>
    </row>
    <row r="75" ht="12.75" customHeight="1">
      <c r="A75" s="18"/>
      <c r="B75" s="55">
        <v>6.0</v>
      </c>
      <c r="C75" s="50" t="s">
        <v>62</v>
      </c>
      <c r="D75" s="60"/>
      <c r="E75" s="19">
        <v>0.0</v>
      </c>
      <c r="F75" s="19">
        <v>0.0</v>
      </c>
      <c r="G75" s="19">
        <v>0.0</v>
      </c>
      <c r="H75" s="19">
        <v>0.0</v>
      </c>
      <c r="I75" s="19">
        <v>0.0</v>
      </c>
      <c r="J75" s="19">
        <v>1.0</v>
      </c>
      <c r="K75" s="19">
        <v>1.0</v>
      </c>
      <c r="L75" s="19">
        <v>0.0</v>
      </c>
      <c r="M75" s="19">
        <v>0.0</v>
      </c>
      <c r="N75" s="19">
        <v>0.0</v>
      </c>
      <c r="O75" s="19">
        <v>0.0</v>
      </c>
      <c r="P75" s="19">
        <v>1.0</v>
      </c>
      <c r="Q75" s="19">
        <v>0.0</v>
      </c>
      <c r="R75" s="19">
        <v>0.0</v>
      </c>
      <c r="S75" s="13">
        <f t="shared" si="18"/>
        <v>3</v>
      </c>
    </row>
    <row r="76" ht="12.75" customHeight="1">
      <c r="A76" s="18"/>
      <c r="B76" s="55">
        <v>7.0</v>
      </c>
      <c r="C76" s="50" t="s">
        <v>63</v>
      </c>
      <c r="D76" s="60"/>
      <c r="E76" s="19">
        <v>1.0</v>
      </c>
      <c r="F76" s="19">
        <v>0.0</v>
      </c>
      <c r="G76" s="19">
        <v>1.0</v>
      </c>
      <c r="H76" s="19">
        <v>0.0</v>
      </c>
      <c r="I76" s="19">
        <v>6.0</v>
      </c>
      <c r="J76" s="19">
        <v>0.0</v>
      </c>
      <c r="K76" s="19">
        <v>0.0</v>
      </c>
      <c r="L76" s="19">
        <v>0.0</v>
      </c>
      <c r="M76" s="19">
        <v>0.0</v>
      </c>
      <c r="N76" s="19">
        <v>0.0</v>
      </c>
      <c r="O76" s="19">
        <v>0.0</v>
      </c>
      <c r="P76" s="19">
        <v>0.0</v>
      </c>
      <c r="Q76" s="19">
        <v>0.0</v>
      </c>
      <c r="R76" s="19">
        <v>0.0</v>
      </c>
      <c r="S76" s="13">
        <f t="shared" si="18"/>
        <v>8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S79" si="19">SUM(E69:E78)</f>
        <v>17</v>
      </c>
      <c r="F79" s="13">
        <f t="shared" si="19"/>
        <v>14</v>
      </c>
      <c r="G79" s="13">
        <f t="shared" si="19"/>
        <v>31</v>
      </c>
      <c r="H79" s="13">
        <f t="shared" si="19"/>
        <v>31</v>
      </c>
      <c r="I79" s="13">
        <f t="shared" si="19"/>
        <v>75</v>
      </c>
      <c r="J79" s="13">
        <f t="shared" si="19"/>
        <v>53</v>
      </c>
      <c r="K79" s="13">
        <f t="shared" si="19"/>
        <v>39</v>
      </c>
      <c r="L79" s="13">
        <f t="shared" si="19"/>
        <v>44</v>
      </c>
      <c r="M79" s="13">
        <f t="shared" si="19"/>
        <v>22</v>
      </c>
      <c r="N79" s="13">
        <f t="shared" si="19"/>
        <v>26</v>
      </c>
      <c r="O79" s="13">
        <f t="shared" si="19"/>
        <v>45</v>
      </c>
      <c r="P79" s="13">
        <f t="shared" si="19"/>
        <v>44</v>
      </c>
      <c r="Q79" s="13">
        <f t="shared" si="19"/>
        <v>39</v>
      </c>
      <c r="R79" s="13">
        <f t="shared" si="19"/>
        <v>45</v>
      </c>
      <c r="S79" s="13">
        <f t="shared" si="19"/>
        <v>525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7.0</v>
      </c>
      <c r="F81" s="19">
        <v>1.0</v>
      </c>
      <c r="G81" s="19">
        <v>3.0</v>
      </c>
      <c r="H81" s="19">
        <v>3.0</v>
      </c>
      <c r="I81" s="19">
        <v>3.0</v>
      </c>
      <c r="J81" s="19">
        <v>1.0</v>
      </c>
      <c r="K81" s="19">
        <v>3.0</v>
      </c>
      <c r="L81" s="19">
        <v>1.0</v>
      </c>
      <c r="M81" s="19">
        <v>5.0</v>
      </c>
      <c r="N81" s="19">
        <v>3.0</v>
      </c>
      <c r="O81" s="19">
        <v>6.0</v>
      </c>
      <c r="P81" s="19">
        <v>2.0</v>
      </c>
      <c r="Q81" s="19">
        <v>3.0</v>
      </c>
      <c r="R81" s="19">
        <v>2.0</v>
      </c>
      <c r="S81" s="13">
        <f t="shared" ref="S81:S90" si="20">SUM(E81:R81)</f>
        <v>43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4.0</v>
      </c>
      <c r="F82" s="19">
        <v>0.0</v>
      </c>
      <c r="G82" s="19">
        <v>5.0</v>
      </c>
      <c r="H82" s="19">
        <v>3.0</v>
      </c>
      <c r="I82" s="19">
        <v>4.0</v>
      </c>
      <c r="J82" s="19">
        <v>8.0</v>
      </c>
      <c r="K82" s="19">
        <v>16.0</v>
      </c>
      <c r="L82" s="19">
        <v>3.0</v>
      </c>
      <c r="M82" s="19">
        <v>1.0</v>
      </c>
      <c r="N82" s="19">
        <v>22.0</v>
      </c>
      <c r="O82" s="19">
        <v>58.0</v>
      </c>
      <c r="P82" s="19">
        <v>40.0</v>
      </c>
      <c r="Q82" s="19">
        <v>23.0</v>
      </c>
      <c r="R82" s="19">
        <v>12.0</v>
      </c>
      <c r="S82" s="13">
        <f t="shared" si="20"/>
        <v>199</v>
      </c>
    </row>
    <row r="83" ht="12.75" customHeight="1">
      <c r="A83" s="18"/>
      <c r="B83" s="55">
        <v>2.0</v>
      </c>
      <c r="C83" s="50" t="s">
        <v>66</v>
      </c>
      <c r="D83" s="60"/>
      <c r="E83" s="19">
        <v>4.0</v>
      </c>
      <c r="F83" s="19">
        <v>0.0</v>
      </c>
      <c r="G83" s="19">
        <v>4.0</v>
      </c>
      <c r="H83" s="19">
        <v>2.0</v>
      </c>
      <c r="I83" s="19">
        <v>7.0</v>
      </c>
      <c r="J83" s="19">
        <v>4.0</v>
      </c>
      <c r="K83" s="19">
        <v>4.0</v>
      </c>
      <c r="L83" s="19">
        <v>4.0</v>
      </c>
      <c r="M83" s="19">
        <v>0.0</v>
      </c>
      <c r="N83" s="19">
        <v>1.0</v>
      </c>
      <c r="O83" s="19">
        <v>3.0</v>
      </c>
      <c r="P83" s="19">
        <v>2.0</v>
      </c>
      <c r="Q83" s="19">
        <v>2.0</v>
      </c>
      <c r="R83" s="19">
        <v>11.0</v>
      </c>
      <c r="S83" s="13">
        <f t="shared" si="20"/>
        <v>48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0.0</v>
      </c>
      <c r="G84" s="19">
        <v>1.0</v>
      </c>
      <c r="H84" s="19">
        <v>0.0</v>
      </c>
      <c r="I84" s="19">
        <v>0.0</v>
      </c>
      <c r="J84" s="19">
        <v>1.0</v>
      </c>
      <c r="K84" s="19">
        <v>0.0</v>
      </c>
      <c r="L84" s="19">
        <v>1.0</v>
      </c>
      <c r="M84" s="19">
        <v>0.0</v>
      </c>
      <c r="N84" s="19">
        <v>0.0</v>
      </c>
      <c r="O84" s="19">
        <v>0.0</v>
      </c>
      <c r="P84" s="19">
        <v>0.0</v>
      </c>
      <c r="Q84" s="19">
        <v>0.0</v>
      </c>
      <c r="R84" s="19">
        <v>0.0</v>
      </c>
      <c r="S84" s="13">
        <f t="shared" si="20"/>
        <v>3</v>
      </c>
    </row>
    <row r="85" ht="12.75" customHeight="1">
      <c r="A85" s="18"/>
      <c r="B85" s="55">
        <v>4.0</v>
      </c>
      <c r="C85" s="50" t="s">
        <v>68</v>
      </c>
      <c r="D85" s="60"/>
      <c r="E85" s="19">
        <v>8.0</v>
      </c>
      <c r="F85" s="19">
        <v>4.0</v>
      </c>
      <c r="G85" s="19">
        <v>0.0</v>
      </c>
      <c r="H85" s="19">
        <v>1.0</v>
      </c>
      <c r="I85" s="19">
        <v>1.0</v>
      </c>
      <c r="J85" s="19">
        <v>1.0</v>
      </c>
      <c r="K85" s="19">
        <v>2.0</v>
      </c>
      <c r="L85" s="19">
        <v>0.0</v>
      </c>
      <c r="M85" s="19">
        <v>2.0</v>
      </c>
      <c r="N85" s="19">
        <v>0.0</v>
      </c>
      <c r="O85" s="19">
        <v>2.0</v>
      </c>
      <c r="P85" s="19">
        <v>1.0</v>
      </c>
      <c r="Q85" s="19">
        <v>2.0</v>
      </c>
      <c r="R85" s="19">
        <v>0.0</v>
      </c>
      <c r="S85" s="13">
        <f t="shared" si="20"/>
        <v>24</v>
      </c>
    </row>
    <row r="86" ht="12.75" customHeight="1">
      <c r="A86" s="18"/>
      <c r="B86" s="55">
        <v>5.0</v>
      </c>
      <c r="C86" s="50" t="s">
        <v>69</v>
      </c>
      <c r="D86" s="60"/>
      <c r="E86" s="19">
        <v>0.0</v>
      </c>
      <c r="F86" s="19">
        <v>6.0</v>
      </c>
      <c r="G86" s="19">
        <v>0.0</v>
      </c>
      <c r="H86" s="19">
        <v>3.0</v>
      </c>
      <c r="I86" s="19">
        <v>0.0</v>
      </c>
      <c r="J86" s="19">
        <v>2.0</v>
      </c>
      <c r="K86" s="19">
        <v>0.0</v>
      </c>
      <c r="L86" s="19">
        <v>3.0</v>
      </c>
      <c r="M86" s="19">
        <v>4.0</v>
      </c>
      <c r="N86" s="19">
        <v>4.0</v>
      </c>
      <c r="O86" s="19">
        <v>3.0</v>
      </c>
      <c r="P86" s="19">
        <v>2.0</v>
      </c>
      <c r="Q86" s="19">
        <v>0.0</v>
      </c>
      <c r="R86" s="19">
        <v>6.0</v>
      </c>
      <c r="S86" s="13">
        <f t="shared" si="20"/>
        <v>33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0.0</v>
      </c>
      <c r="H87" s="19">
        <v>0.0</v>
      </c>
      <c r="I87" s="19">
        <v>1.0</v>
      </c>
      <c r="J87" s="19">
        <v>0.0</v>
      </c>
      <c r="K87" s="19">
        <v>1.0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1.0</v>
      </c>
      <c r="R87" s="19">
        <v>0.0</v>
      </c>
      <c r="S87" s="13">
        <f t="shared" si="20"/>
        <v>3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3">
        <f t="shared" si="20"/>
        <v>0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S91" si="21">SUM(E81:E90)</f>
        <v>23</v>
      </c>
      <c r="F91" s="13">
        <f t="shared" si="21"/>
        <v>11</v>
      </c>
      <c r="G91" s="13">
        <f t="shared" si="21"/>
        <v>13</v>
      </c>
      <c r="H91" s="13">
        <f t="shared" si="21"/>
        <v>12</v>
      </c>
      <c r="I91" s="13">
        <f t="shared" si="21"/>
        <v>16</v>
      </c>
      <c r="J91" s="13">
        <f t="shared" si="21"/>
        <v>17</v>
      </c>
      <c r="K91" s="13">
        <f t="shared" si="21"/>
        <v>26</v>
      </c>
      <c r="L91" s="13">
        <f t="shared" si="21"/>
        <v>12</v>
      </c>
      <c r="M91" s="13">
        <f t="shared" si="21"/>
        <v>12</v>
      </c>
      <c r="N91" s="13">
        <f t="shared" si="21"/>
        <v>30</v>
      </c>
      <c r="O91" s="13">
        <f t="shared" si="21"/>
        <v>72</v>
      </c>
      <c r="P91" s="13">
        <f t="shared" si="21"/>
        <v>47</v>
      </c>
      <c r="Q91" s="13">
        <f t="shared" si="21"/>
        <v>31</v>
      </c>
      <c r="R91" s="13">
        <f t="shared" si="21"/>
        <v>31</v>
      </c>
      <c r="S91" s="13">
        <f t="shared" si="21"/>
        <v>353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1.0</v>
      </c>
      <c r="G93" s="19">
        <v>0.0</v>
      </c>
      <c r="H93" s="19">
        <v>0.0</v>
      </c>
      <c r="I93" s="19">
        <v>0.0</v>
      </c>
      <c r="J93" s="19">
        <v>1.0</v>
      </c>
      <c r="K93" s="19">
        <v>1.0</v>
      </c>
      <c r="L93" s="19">
        <v>0.0</v>
      </c>
      <c r="M93" s="19">
        <v>0.0</v>
      </c>
      <c r="N93" s="19">
        <v>3.0</v>
      </c>
      <c r="O93" s="19">
        <v>0.0</v>
      </c>
      <c r="P93" s="19">
        <v>4.0</v>
      </c>
      <c r="Q93" s="19">
        <v>8.0</v>
      </c>
      <c r="R93" s="19">
        <v>3.0</v>
      </c>
      <c r="S93" s="13">
        <f t="shared" ref="S93:S102" si="22">SUM(E93:R93)</f>
        <v>21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1.0</v>
      </c>
      <c r="F94" s="19">
        <v>0.0</v>
      </c>
      <c r="G94" s="19">
        <v>0.0</v>
      </c>
      <c r="H94" s="19">
        <v>1.0</v>
      </c>
      <c r="I94" s="19">
        <v>0.0</v>
      </c>
      <c r="J94" s="19">
        <v>1.0</v>
      </c>
      <c r="K94" s="19">
        <v>3.0</v>
      </c>
      <c r="L94" s="19">
        <v>0.0</v>
      </c>
      <c r="M94" s="19">
        <v>3.0</v>
      </c>
      <c r="N94" s="19">
        <v>0.0</v>
      </c>
      <c r="O94" s="19">
        <v>2.0</v>
      </c>
      <c r="P94" s="19">
        <v>3.0</v>
      </c>
      <c r="Q94" s="19">
        <v>1.0</v>
      </c>
      <c r="R94" s="19">
        <v>0.0</v>
      </c>
      <c r="S94" s="13">
        <f t="shared" si="22"/>
        <v>15</v>
      </c>
    </row>
    <row r="95" ht="12.75" customHeight="1">
      <c r="A95" s="18"/>
      <c r="B95" s="55">
        <v>2.0</v>
      </c>
      <c r="C95" s="50" t="s">
        <v>75</v>
      </c>
      <c r="D95" s="60"/>
      <c r="E95" s="19">
        <v>1.0</v>
      </c>
      <c r="F95" s="19">
        <v>0.0</v>
      </c>
      <c r="G95" s="19">
        <v>2.0</v>
      </c>
      <c r="H95" s="19">
        <v>0.0</v>
      </c>
      <c r="I95" s="19">
        <v>0.0</v>
      </c>
      <c r="J95" s="19">
        <v>2.0</v>
      </c>
      <c r="K95" s="19">
        <v>0.0</v>
      </c>
      <c r="L95" s="19">
        <v>0.0</v>
      </c>
      <c r="M95" s="19">
        <v>0.0</v>
      </c>
      <c r="N95" s="19">
        <v>2.0</v>
      </c>
      <c r="O95" s="19">
        <v>3.0</v>
      </c>
      <c r="P95" s="19">
        <v>2.0</v>
      </c>
      <c r="Q95" s="19">
        <v>9.0</v>
      </c>
      <c r="R95" s="19">
        <v>6.0</v>
      </c>
      <c r="S95" s="13">
        <f t="shared" si="22"/>
        <v>27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1.0</v>
      </c>
      <c r="H96" s="19">
        <v>1.0</v>
      </c>
      <c r="I96" s="19">
        <v>0.0</v>
      </c>
      <c r="J96" s="19">
        <v>0.0</v>
      </c>
      <c r="K96" s="19">
        <v>0.0</v>
      </c>
      <c r="L96" s="19">
        <v>1.0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3">
        <f t="shared" si="22"/>
        <v>3</v>
      </c>
    </row>
    <row r="97" ht="12.75" customHeight="1">
      <c r="A97" s="18"/>
      <c r="B97" s="55">
        <v>4.0</v>
      </c>
      <c r="C97" s="50" t="s">
        <v>77</v>
      </c>
      <c r="D97" s="60"/>
      <c r="E97" s="19">
        <v>14.0</v>
      </c>
      <c r="F97" s="19">
        <v>2.0</v>
      </c>
      <c r="G97" s="19">
        <v>8.0</v>
      </c>
      <c r="H97" s="19">
        <v>11.0</v>
      </c>
      <c r="I97" s="19">
        <v>2.0</v>
      </c>
      <c r="J97" s="19">
        <v>2.0</v>
      </c>
      <c r="K97" s="19">
        <v>1.0</v>
      </c>
      <c r="L97" s="19">
        <v>0.0</v>
      </c>
      <c r="M97" s="19">
        <v>0.0</v>
      </c>
      <c r="N97" s="19">
        <v>4.0</v>
      </c>
      <c r="O97" s="19">
        <v>1.0</v>
      </c>
      <c r="P97" s="19">
        <v>11.0</v>
      </c>
      <c r="Q97" s="19">
        <v>2.0</v>
      </c>
      <c r="R97" s="19">
        <v>2.0</v>
      </c>
      <c r="S97" s="13">
        <f t="shared" si="22"/>
        <v>60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1.0</v>
      </c>
      <c r="H98" s="19">
        <v>0.0</v>
      </c>
      <c r="I98" s="19">
        <v>1.0</v>
      </c>
      <c r="J98" s="19">
        <v>0.0</v>
      </c>
      <c r="K98" s="19">
        <v>0.0</v>
      </c>
      <c r="L98" s="19">
        <v>0.0</v>
      </c>
      <c r="M98" s="19">
        <v>1.0</v>
      </c>
      <c r="N98" s="19">
        <v>0.0</v>
      </c>
      <c r="O98" s="19">
        <v>0.0</v>
      </c>
      <c r="P98" s="19">
        <v>0.0</v>
      </c>
      <c r="Q98" s="19">
        <v>1.0</v>
      </c>
      <c r="R98" s="19">
        <v>0.0</v>
      </c>
      <c r="S98" s="13">
        <f t="shared" si="22"/>
        <v>4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1.0</v>
      </c>
      <c r="J99" s="19">
        <v>0.0</v>
      </c>
      <c r="K99" s="19">
        <v>1.0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3">
        <f t="shared" si="22"/>
        <v>2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1.0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3">
        <f t="shared" si="22"/>
        <v>1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S103" si="23">SUM(E93:E102)</f>
        <v>16</v>
      </c>
      <c r="F103" s="13">
        <f t="shared" si="23"/>
        <v>3</v>
      </c>
      <c r="G103" s="13">
        <f t="shared" si="23"/>
        <v>12</v>
      </c>
      <c r="H103" s="13">
        <f t="shared" si="23"/>
        <v>13</v>
      </c>
      <c r="I103" s="13">
        <f t="shared" si="23"/>
        <v>4</v>
      </c>
      <c r="J103" s="13">
        <f t="shared" si="23"/>
        <v>7</v>
      </c>
      <c r="K103" s="13">
        <f t="shared" si="23"/>
        <v>6</v>
      </c>
      <c r="L103" s="13">
        <f t="shared" si="23"/>
        <v>1</v>
      </c>
      <c r="M103" s="13">
        <f t="shared" si="23"/>
        <v>4</v>
      </c>
      <c r="N103" s="13">
        <f t="shared" si="23"/>
        <v>9</v>
      </c>
      <c r="O103" s="13">
        <f t="shared" si="23"/>
        <v>6</v>
      </c>
      <c r="P103" s="13">
        <f t="shared" si="23"/>
        <v>20</v>
      </c>
      <c r="Q103" s="13">
        <f t="shared" si="23"/>
        <v>21</v>
      </c>
      <c r="R103" s="13">
        <f t="shared" si="23"/>
        <v>11</v>
      </c>
      <c r="S103" s="13">
        <f t="shared" si="23"/>
        <v>133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1.0</v>
      </c>
      <c r="L105" s="19">
        <v>1.0</v>
      </c>
      <c r="M105" s="19">
        <v>1.0</v>
      </c>
      <c r="N105" s="19">
        <v>2.0</v>
      </c>
      <c r="O105" s="19">
        <v>0.0</v>
      </c>
      <c r="P105" s="19">
        <v>0.0</v>
      </c>
      <c r="Q105" s="19">
        <v>0.0</v>
      </c>
      <c r="R105" s="19">
        <v>1.0</v>
      </c>
      <c r="S105" s="13">
        <f t="shared" ref="S105:S114" si="24">SUM(E105:R105)</f>
        <v>6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1.0</v>
      </c>
      <c r="H106" s="19">
        <v>0.0</v>
      </c>
      <c r="I106" s="19">
        <v>0.0</v>
      </c>
      <c r="J106" s="19">
        <v>1.0</v>
      </c>
      <c r="K106" s="19">
        <v>0.0</v>
      </c>
      <c r="L106" s="19">
        <v>1.0</v>
      </c>
      <c r="M106" s="19">
        <v>0.0</v>
      </c>
      <c r="N106" s="19">
        <v>0.0</v>
      </c>
      <c r="O106" s="19">
        <v>1.0</v>
      </c>
      <c r="P106" s="19">
        <v>0.0</v>
      </c>
      <c r="Q106" s="19">
        <v>1.0</v>
      </c>
      <c r="R106" s="19">
        <v>0.0</v>
      </c>
      <c r="S106" s="13">
        <f t="shared" si="24"/>
        <v>5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2.0</v>
      </c>
      <c r="K107" s="19">
        <v>0.0</v>
      </c>
      <c r="L107" s="19">
        <v>1.0</v>
      </c>
      <c r="M107" s="19">
        <v>1.0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3">
        <f t="shared" si="24"/>
        <v>4</v>
      </c>
    </row>
    <row r="108" ht="12.75" customHeight="1">
      <c r="A108" s="18"/>
      <c r="B108" s="55">
        <v>3.0</v>
      </c>
      <c r="C108" s="50" t="s">
        <v>85</v>
      </c>
      <c r="D108" s="60"/>
      <c r="E108" s="7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1.0</v>
      </c>
      <c r="K108" s="19">
        <v>0.0</v>
      </c>
      <c r="L108" s="19">
        <v>1.0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3">
        <f t="shared" si="24"/>
        <v>2</v>
      </c>
    </row>
    <row r="109" ht="12.75" customHeight="1">
      <c r="A109" s="18"/>
      <c r="B109" s="55">
        <v>4.0</v>
      </c>
      <c r="C109" s="50" t="s">
        <v>86</v>
      </c>
      <c r="D109" s="60"/>
      <c r="E109" s="79">
        <v>1.0</v>
      </c>
      <c r="F109" s="19">
        <v>0.0</v>
      </c>
      <c r="G109" s="19">
        <v>0.0</v>
      </c>
      <c r="H109" s="19">
        <v>0.0</v>
      </c>
      <c r="I109" s="19">
        <v>0.0</v>
      </c>
      <c r="J109" s="19">
        <v>1.0</v>
      </c>
      <c r="K109" s="19">
        <v>0.0</v>
      </c>
      <c r="L109" s="19">
        <v>1.0</v>
      </c>
      <c r="M109" s="19">
        <v>0.0</v>
      </c>
      <c r="N109" s="19">
        <v>1.0</v>
      </c>
      <c r="O109" s="19">
        <v>0.0</v>
      </c>
      <c r="P109" s="19">
        <v>0.0</v>
      </c>
      <c r="Q109" s="19">
        <v>0.0</v>
      </c>
      <c r="R109" s="19">
        <v>0.0</v>
      </c>
      <c r="S109" s="13">
        <f t="shared" si="24"/>
        <v>4</v>
      </c>
    </row>
    <row r="110" ht="12.75" customHeight="1">
      <c r="A110" s="18"/>
      <c r="B110" s="55">
        <v>5.0</v>
      </c>
      <c r="C110" s="50" t="s">
        <v>87</v>
      </c>
      <c r="D110" s="60"/>
      <c r="E110" s="7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1.0</v>
      </c>
      <c r="P110" s="19">
        <v>0.0</v>
      </c>
      <c r="Q110" s="19">
        <v>0.0</v>
      </c>
      <c r="R110" s="19">
        <v>0.0</v>
      </c>
      <c r="S110" s="13">
        <f t="shared" si="24"/>
        <v>1</v>
      </c>
    </row>
    <row r="111" ht="12.75" customHeight="1">
      <c r="A111" s="18"/>
      <c r="B111" s="55">
        <v>6.0</v>
      </c>
      <c r="C111" s="50" t="s">
        <v>88</v>
      </c>
      <c r="D111" s="60"/>
      <c r="E111" s="7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60"/>
      <c r="E112" s="7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3">
        <f t="shared" si="24"/>
        <v>0</v>
      </c>
    </row>
    <row r="113" ht="12.75" customHeight="1">
      <c r="A113" s="18"/>
      <c r="B113" s="56"/>
      <c r="C113" s="57"/>
      <c r="D113" s="62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3">
        <f t="shared" si="24"/>
        <v>0</v>
      </c>
    </row>
    <row r="114" ht="12.75" customHeight="1">
      <c r="A114" s="18"/>
      <c r="B114" s="56"/>
      <c r="C114" s="57"/>
      <c r="D114" s="62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S115" si="25">SUM(E105:E114)</f>
        <v>1</v>
      </c>
      <c r="F115" s="13">
        <f t="shared" si="25"/>
        <v>0</v>
      </c>
      <c r="G115" s="13">
        <f t="shared" si="25"/>
        <v>1</v>
      </c>
      <c r="H115" s="13">
        <f t="shared" si="25"/>
        <v>0</v>
      </c>
      <c r="I115" s="13">
        <f t="shared" si="25"/>
        <v>0</v>
      </c>
      <c r="J115" s="13">
        <f t="shared" si="25"/>
        <v>5</v>
      </c>
      <c r="K115" s="13">
        <f t="shared" si="25"/>
        <v>1</v>
      </c>
      <c r="L115" s="13">
        <f t="shared" si="25"/>
        <v>5</v>
      </c>
      <c r="M115" s="13">
        <f t="shared" si="25"/>
        <v>2</v>
      </c>
      <c r="N115" s="13">
        <f t="shared" si="25"/>
        <v>3</v>
      </c>
      <c r="O115" s="13">
        <f t="shared" si="25"/>
        <v>2</v>
      </c>
      <c r="P115" s="13">
        <f t="shared" si="25"/>
        <v>0</v>
      </c>
      <c r="Q115" s="13">
        <f t="shared" si="25"/>
        <v>1</v>
      </c>
      <c r="R115" s="13">
        <f t="shared" si="25"/>
        <v>1</v>
      </c>
      <c r="S115" s="13">
        <f t="shared" si="25"/>
        <v>22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1.0</v>
      </c>
      <c r="K117" s="19">
        <v>2.0</v>
      </c>
      <c r="L117" s="19">
        <v>1.0</v>
      </c>
      <c r="M117" s="19">
        <v>0.0</v>
      </c>
      <c r="N117" s="19">
        <v>2.0</v>
      </c>
      <c r="O117" s="19">
        <v>0.0</v>
      </c>
      <c r="P117" s="19">
        <v>1.0</v>
      </c>
      <c r="Q117" s="19">
        <v>0.0</v>
      </c>
      <c r="R117" s="19">
        <v>0.0</v>
      </c>
      <c r="S117" s="13">
        <f t="shared" ref="S117:S126" si="26">SUM(E117:R117)</f>
        <v>7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0.0</v>
      </c>
      <c r="I118" s="19">
        <v>1.0</v>
      </c>
      <c r="J118" s="19">
        <v>8.0</v>
      </c>
      <c r="K118" s="19">
        <v>9.0</v>
      </c>
      <c r="L118" s="19">
        <v>0.0</v>
      </c>
      <c r="M118" s="19">
        <v>2.0</v>
      </c>
      <c r="N118" s="19">
        <v>2.0</v>
      </c>
      <c r="O118" s="19">
        <v>0.0</v>
      </c>
      <c r="P118" s="19">
        <v>0.0</v>
      </c>
      <c r="Q118" s="19">
        <v>0.0</v>
      </c>
      <c r="R118" s="19">
        <v>0.0</v>
      </c>
      <c r="S118" s="13">
        <f t="shared" si="26"/>
        <v>22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3">
        <f t="shared" si="26"/>
        <v>0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1.0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1.0</v>
      </c>
      <c r="O120" s="19">
        <v>0.0</v>
      </c>
      <c r="P120" s="19">
        <v>0.0</v>
      </c>
      <c r="Q120" s="19">
        <v>0.0</v>
      </c>
      <c r="R120" s="19">
        <v>0.0</v>
      </c>
      <c r="S120" s="13">
        <f t="shared" si="26"/>
        <v>2</v>
      </c>
    </row>
    <row r="121" ht="12.75" customHeight="1">
      <c r="A121" s="18"/>
      <c r="B121" s="56"/>
      <c r="C121" s="57"/>
      <c r="D121" s="61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3">
        <f t="shared" si="26"/>
        <v>0</v>
      </c>
    </row>
    <row r="122" ht="12.75" customHeight="1">
      <c r="A122" s="18"/>
      <c r="B122" s="56"/>
      <c r="C122" s="57"/>
      <c r="D122" s="61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3">
        <f t="shared" si="26"/>
        <v>0</v>
      </c>
    </row>
    <row r="123" ht="12.75" customHeight="1">
      <c r="A123" s="18"/>
      <c r="B123" s="56"/>
      <c r="C123" s="57"/>
      <c r="D123" s="61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S127" si="27">SUM(E117:E126)</f>
        <v>0</v>
      </c>
      <c r="F127" s="13">
        <f t="shared" si="27"/>
        <v>0</v>
      </c>
      <c r="G127" s="13">
        <f t="shared" si="27"/>
        <v>0</v>
      </c>
      <c r="H127" s="13">
        <f t="shared" si="27"/>
        <v>1</v>
      </c>
      <c r="I127" s="13">
        <f t="shared" si="27"/>
        <v>1</v>
      </c>
      <c r="J127" s="13">
        <f t="shared" si="27"/>
        <v>9</v>
      </c>
      <c r="K127" s="13">
        <f t="shared" si="27"/>
        <v>11</v>
      </c>
      <c r="L127" s="13">
        <f t="shared" si="27"/>
        <v>1</v>
      </c>
      <c r="M127" s="13">
        <f t="shared" si="27"/>
        <v>2</v>
      </c>
      <c r="N127" s="13">
        <f t="shared" si="27"/>
        <v>5</v>
      </c>
      <c r="O127" s="13">
        <f t="shared" si="27"/>
        <v>0</v>
      </c>
      <c r="P127" s="13">
        <f t="shared" si="27"/>
        <v>1</v>
      </c>
      <c r="Q127" s="13">
        <f t="shared" si="27"/>
        <v>0</v>
      </c>
      <c r="R127" s="13">
        <f t="shared" si="27"/>
        <v>0</v>
      </c>
      <c r="S127" s="13">
        <f t="shared" si="27"/>
        <v>31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0.0</v>
      </c>
      <c r="G129" s="19">
        <v>1.0</v>
      </c>
      <c r="H129" s="19">
        <v>0.0</v>
      </c>
      <c r="I129" s="19">
        <v>1.0</v>
      </c>
      <c r="J129" s="19">
        <v>4.0</v>
      </c>
      <c r="K129" s="19">
        <v>0.0</v>
      </c>
      <c r="L129" s="19">
        <v>0.0</v>
      </c>
      <c r="M129" s="19">
        <v>1.0</v>
      </c>
      <c r="N129" s="19">
        <v>0.0</v>
      </c>
      <c r="O129" s="19">
        <v>0.0</v>
      </c>
      <c r="P129" s="19">
        <v>1.0</v>
      </c>
      <c r="Q129" s="19">
        <v>0.0</v>
      </c>
      <c r="R129" s="19">
        <v>0.0</v>
      </c>
      <c r="S129" s="13">
        <f t="shared" ref="S129:S138" si="28">SUM(E129:R129)</f>
        <v>9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0.0</v>
      </c>
      <c r="F130" s="19">
        <v>1.0</v>
      </c>
      <c r="G130" s="19">
        <v>1.0</v>
      </c>
      <c r="H130" s="19">
        <v>1.0</v>
      </c>
      <c r="I130" s="19">
        <v>3.0</v>
      </c>
      <c r="J130" s="19">
        <v>0.0</v>
      </c>
      <c r="K130" s="19">
        <v>1.0</v>
      </c>
      <c r="L130" s="19">
        <v>2.0</v>
      </c>
      <c r="M130" s="19">
        <v>2.0</v>
      </c>
      <c r="N130" s="19">
        <v>0.0</v>
      </c>
      <c r="O130" s="19">
        <v>1.0</v>
      </c>
      <c r="P130" s="19">
        <v>0.0</v>
      </c>
      <c r="Q130" s="19">
        <v>6.0</v>
      </c>
      <c r="R130" s="19">
        <v>4.0</v>
      </c>
      <c r="S130" s="13">
        <f t="shared" si="28"/>
        <v>22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2.0</v>
      </c>
      <c r="G131" s="19">
        <v>2.0</v>
      </c>
      <c r="H131" s="19">
        <v>0.0</v>
      </c>
      <c r="I131" s="19">
        <v>0.0</v>
      </c>
      <c r="J131" s="19">
        <v>0.0</v>
      </c>
      <c r="K131" s="19">
        <v>1.0</v>
      </c>
      <c r="L131" s="19">
        <v>1.0</v>
      </c>
      <c r="M131" s="19">
        <v>0.0</v>
      </c>
      <c r="N131" s="19">
        <v>1.0</v>
      </c>
      <c r="O131" s="19">
        <v>0.0</v>
      </c>
      <c r="P131" s="19">
        <v>0.0</v>
      </c>
      <c r="Q131" s="19">
        <v>0.0</v>
      </c>
      <c r="R131" s="19">
        <v>0.0</v>
      </c>
      <c r="S131" s="13">
        <f t="shared" si="28"/>
        <v>7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1.0</v>
      </c>
      <c r="R132" s="19">
        <v>0.0</v>
      </c>
      <c r="S132" s="13">
        <f t="shared" si="28"/>
        <v>1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1.0</v>
      </c>
      <c r="R133" s="19">
        <v>1.0</v>
      </c>
      <c r="S133" s="13">
        <f t="shared" si="28"/>
        <v>2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1.0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3">
        <f t="shared" si="28"/>
        <v>1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1.0</v>
      </c>
      <c r="K135" s="19">
        <v>3.0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3">
        <f t="shared" si="28"/>
        <v>4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S139" si="29">SUM(E129:E138)</f>
        <v>1</v>
      </c>
      <c r="F139" s="13">
        <f t="shared" si="29"/>
        <v>3</v>
      </c>
      <c r="G139" s="13">
        <f t="shared" si="29"/>
        <v>4</v>
      </c>
      <c r="H139" s="13">
        <f t="shared" si="29"/>
        <v>1</v>
      </c>
      <c r="I139" s="13">
        <f t="shared" si="29"/>
        <v>4</v>
      </c>
      <c r="J139" s="13">
        <f t="shared" si="29"/>
        <v>5</v>
      </c>
      <c r="K139" s="13">
        <f t="shared" si="29"/>
        <v>6</v>
      </c>
      <c r="L139" s="13">
        <f t="shared" si="29"/>
        <v>3</v>
      </c>
      <c r="M139" s="13">
        <f t="shared" si="29"/>
        <v>3</v>
      </c>
      <c r="N139" s="13">
        <f t="shared" si="29"/>
        <v>1</v>
      </c>
      <c r="O139" s="13">
        <f t="shared" si="29"/>
        <v>1</v>
      </c>
      <c r="P139" s="13">
        <f t="shared" si="29"/>
        <v>1</v>
      </c>
      <c r="Q139" s="13">
        <f t="shared" si="29"/>
        <v>8</v>
      </c>
      <c r="R139" s="13">
        <f t="shared" si="29"/>
        <v>5</v>
      </c>
      <c r="S139" s="13">
        <f t="shared" si="29"/>
        <v>46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1.0</v>
      </c>
      <c r="N141" s="19">
        <v>0.0</v>
      </c>
      <c r="O141" s="19">
        <v>0.0</v>
      </c>
      <c r="P141" s="19">
        <v>0.0</v>
      </c>
      <c r="Q141" s="19">
        <v>0.0</v>
      </c>
      <c r="R141" s="19">
        <v>1.0</v>
      </c>
      <c r="S141" s="13">
        <f t="shared" ref="S141:S150" si="30">SUM(E141:R141)</f>
        <v>2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3.0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3">
        <f t="shared" si="30"/>
        <v>3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1.0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3">
        <f t="shared" si="30"/>
        <v>1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1.0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3">
        <f t="shared" si="30"/>
        <v>1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S151" si="31">SUM(E141:E150)</f>
        <v>0</v>
      </c>
      <c r="F151" s="13">
        <f t="shared" si="31"/>
        <v>0</v>
      </c>
      <c r="G151" s="13">
        <f t="shared" si="31"/>
        <v>1</v>
      </c>
      <c r="H151" s="13">
        <f t="shared" si="31"/>
        <v>1</v>
      </c>
      <c r="I151" s="13">
        <f t="shared" si="31"/>
        <v>0</v>
      </c>
      <c r="J151" s="13">
        <f t="shared" si="31"/>
        <v>3</v>
      </c>
      <c r="K151" s="13">
        <f t="shared" si="31"/>
        <v>0</v>
      </c>
      <c r="L151" s="13">
        <f t="shared" si="31"/>
        <v>0</v>
      </c>
      <c r="M151" s="13">
        <f t="shared" si="31"/>
        <v>1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1</v>
      </c>
      <c r="S151" s="13">
        <f t="shared" si="31"/>
        <v>7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13"/>
    </row>
    <row r="153" ht="12.75" customHeight="1">
      <c r="A153" s="30" t="s">
        <v>37</v>
      </c>
      <c r="B153" s="17" t="s">
        <v>113</v>
      </c>
      <c r="C153" s="64" t="s">
        <v>114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1.0</v>
      </c>
      <c r="N153" s="19">
        <v>1.0</v>
      </c>
      <c r="O153" s="19">
        <v>0.0</v>
      </c>
      <c r="P153" s="19">
        <v>1.0</v>
      </c>
      <c r="Q153" s="19">
        <v>0.0</v>
      </c>
      <c r="R153" s="19">
        <v>0.0</v>
      </c>
      <c r="S153" s="13">
        <f t="shared" ref="S153:S156" si="32">SUM(E154:R154)</f>
        <v>2</v>
      </c>
    </row>
    <row r="154" ht="12.75" customHeight="1">
      <c r="A154" s="65" t="s">
        <v>39</v>
      </c>
      <c r="B154" s="55">
        <v>1.0</v>
      </c>
      <c r="C154" s="66" t="s">
        <v>115</v>
      </c>
      <c r="D154" s="60"/>
      <c r="E154" s="80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1.0</v>
      </c>
      <c r="K154" s="19">
        <v>1.0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3">
        <f t="shared" si="32"/>
        <v>3</v>
      </c>
    </row>
    <row r="155" ht="12.75" customHeight="1">
      <c r="A155" s="18"/>
      <c r="B155" s="55">
        <v>2.0</v>
      </c>
      <c r="C155" s="66" t="s">
        <v>116</v>
      </c>
      <c r="D155" s="60"/>
      <c r="E155" s="80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1.0</v>
      </c>
      <c r="N155" s="19">
        <v>1.0</v>
      </c>
      <c r="O155" s="19">
        <v>1.0</v>
      </c>
      <c r="P155" s="19">
        <v>0.0</v>
      </c>
      <c r="Q155" s="19">
        <v>0.0</v>
      </c>
      <c r="R155" s="19">
        <v>0.0</v>
      </c>
      <c r="S155" s="13">
        <f t="shared" si="32"/>
        <v>1</v>
      </c>
    </row>
    <row r="156" ht="12.75" customHeight="1">
      <c r="A156" s="18"/>
      <c r="B156" s="55">
        <v>3.0</v>
      </c>
      <c r="C156" s="66" t="s">
        <v>117</v>
      </c>
      <c r="D156" s="60"/>
      <c r="E156" s="80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1.0</v>
      </c>
      <c r="P156" s="19">
        <v>0.0</v>
      </c>
      <c r="Q156" s="19">
        <v>0.0</v>
      </c>
      <c r="R156" s="19">
        <v>0.0</v>
      </c>
      <c r="S156" s="13">
        <f t="shared" si="32"/>
        <v>0</v>
      </c>
    </row>
    <row r="157" ht="12.75" customHeight="1">
      <c r="A157" s="18"/>
      <c r="B157" s="55">
        <v>4.0</v>
      </c>
      <c r="C157" s="66" t="s">
        <v>118</v>
      </c>
      <c r="D157" s="60"/>
      <c r="E157" s="80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3">
        <f t="shared" ref="S157:S162" si="33">SUM(E163:R163)</f>
        <v>9</v>
      </c>
    </row>
    <row r="158" ht="12.75" customHeight="1">
      <c r="A158" s="18"/>
      <c r="B158" s="56"/>
      <c r="C158" s="57"/>
      <c r="D158" s="61"/>
      <c r="E158" s="80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3">
        <f t="shared" si="33"/>
        <v>0</v>
      </c>
    </row>
    <row r="159" ht="12.75" customHeight="1">
      <c r="A159" s="18"/>
      <c r="B159" s="56"/>
      <c r="C159" s="57"/>
      <c r="D159" s="61"/>
      <c r="E159" s="80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3">
        <f t="shared" si="33"/>
        <v>2</v>
      </c>
    </row>
    <row r="160" ht="12.75" customHeight="1">
      <c r="A160" s="18"/>
      <c r="B160" s="56"/>
      <c r="C160" s="57"/>
      <c r="D160" s="62"/>
      <c r="E160" s="80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3">
        <f t="shared" si="33"/>
        <v>2</v>
      </c>
    </row>
    <row r="161" ht="12.75" customHeight="1">
      <c r="A161" s="18"/>
      <c r="B161" s="56"/>
      <c r="C161" s="67"/>
      <c r="D161" s="62"/>
      <c r="E161" s="80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3">
        <f t="shared" si="33"/>
        <v>1</v>
      </c>
    </row>
    <row r="162" ht="12.75" customHeight="1">
      <c r="A162" s="18"/>
      <c r="B162" s="56"/>
      <c r="C162" s="67"/>
      <c r="D162" s="62"/>
      <c r="E162" s="80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3">
        <f t="shared" si="33"/>
        <v>3</v>
      </c>
    </row>
    <row r="163" ht="12.75" customHeight="1">
      <c r="A163" s="19" t="s">
        <v>15</v>
      </c>
      <c r="B163" s="68" t="s">
        <v>47</v>
      </c>
      <c r="C163" s="44"/>
      <c r="D163" s="28"/>
      <c r="E163" s="13">
        <f t="shared" ref="E163:S163" si="34">SUM(E153:E162)</f>
        <v>0</v>
      </c>
      <c r="F163" s="13">
        <f t="shared" si="34"/>
        <v>0</v>
      </c>
      <c r="G163" s="13">
        <f t="shared" si="34"/>
        <v>0</v>
      </c>
      <c r="H163" s="13">
        <f t="shared" si="34"/>
        <v>0</v>
      </c>
      <c r="I163" s="13">
        <f t="shared" si="34"/>
        <v>0</v>
      </c>
      <c r="J163" s="13">
        <f t="shared" si="34"/>
        <v>1</v>
      </c>
      <c r="K163" s="13">
        <f t="shared" si="34"/>
        <v>1</v>
      </c>
      <c r="L163" s="13">
        <f t="shared" si="34"/>
        <v>0</v>
      </c>
      <c r="M163" s="13">
        <f t="shared" si="34"/>
        <v>2</v>
      </c>
      <c r="N163" s="13">
        <f t="shared" si="34"/>
        <v>2</v>
      </c>
      <c r="O163" s="13">
        <f t="shared" si="34"/>
        <v>2</v>
      </c>
      <c r="P163" s="13">
        <f t="shared" si="34"/>
        <v>1</v>
      </c>
      <c r="Q163" s="13">
        <f t="shared" si="34"/>
        <v>0</v>
      </c>
      <c r="R163" s="13">
        <f t="shared" si="34"/>
        <v>0</v>
      </c>
      <c r="S163" s="13">
        <f t="shared" si="34"/>
        <v>23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2.0</v>
      </c>
      <c r="Q165" s="19">
        <v>0.0</v>
      </c>
      <c r="R165" s="19">
        <v>0.0</v>
      </c>
      <c r="S165" s="13">
        <f t="shared" ref="S165:S174" si="35">SUM(E165:R165)</f>
        <v>2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2.0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3">
        <f t="shared" si="35"/>
        <v>2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1.0</v>
      </c>
      <c r="Q167" s="19">
        <v>0.0</v>
      </c>
      <c r="R167" s="19">
        <v>0.0</v>
      </c>
      <c r="S167" s="13">
        <f t="shared" si="35"/>
        <v>1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1.0</v>
      </c>
      <c r="N168" s="19">
        <v>0.0</v>
      </c>
      <c r="O168" s="19">
        <v>2.0</v>
      </c>
      <c r="P168" s="19">
        <v>0.0</v>
      </c>
      <c r="Q168" s="19">
        <v>0.0</v>
      </c>
      <c r="R168" s="19">
        <v>0.0</v>
      </c>
      <c r="S168" s="13">
        <f t="shared" si="35"/>
        <v>3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3">
        <f t="shared" si="35"/>
        <v>0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1.0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3">
        <f t="shared" si="35"/>
        <v>1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1.0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1.0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3">
        <f t="shared" si="35"/>
        <v>2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1.0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3">
        <f t="shared" si="35"/>
        <v>1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3">
        <f t="shared" si="35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3">
        <f t="shared" si="35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S175" si="36">SUM(E165:E174)</f>
        <v>0</v>
      </c>
      <c r="F175" s="13">
        <f t="shared" si="36"/>
        <v>1</v>
      </c>
      <c r="G175" s="13">
        <f t="shared" si="36"/>
        <v>1</v>
      </c>
      <c r="H175" s="13">
        <f t="shared" si="36"/>
        <v>0</v>
      </c>
      <c r="I175" s="13">
        <f t="shared" si="36"/>
        <v>0</v>
      </c>
      <c r="J175" s="13">
        <f t="shared" si="36"/>
        <v>0</v>
      </c>
      <c r="K175" s="13">
        <f t="shared" si="36"/>
        <v>1</v>
      </c>
      <c r="L175" s="13">
        <f t="shared" si="36"/>
        <v>1</v>
      </c>
      <c r="M175" s="13">
        <f t="shared" si="36"/>
        <v>3</v>
      </c>
      <c r="N175" s="13">
        <f t="shared" si="36"/>
        <v>0</v>
      </c>
      <c r="O175" s="13">
        <f t="shared" si="36"/>
        <v>2</v>
      </c>
      <c r="P175" s="13">
        <f t="shared" si="36"/>
        <v>3</v>
      </c>
      <c r="Q175" s="13">
        <f t="shared" si="36"/>
        <v>0</v>
      </c>
      <c r="R175" s="13">
        <f t="shared" si="36"/>
        <v>0</v>
      </c>
      <c r="S175" s="13">
        <f t="shared" si="36"/>
        <v>12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1.0</v>
      </c>
      <c r="F177" s="19">
        <v>1.0</v>
      </c>
      <c r="G177" s="19">
        <v>0.0</v>
      </c>
      <c r="H177" s="19">
        <v>0.0</v>
      </c>
      <c r="I177" s="19">
        <v>2.0</v>
      </c>
      <c r="J177" s="19">
        <v>0.0</v>
      </c>
      <c r="K177" s="19">
        <v>0.0</v>
      </c>
      <c r="L177" s="19">
        <v>1.0</v>
      </c>
      <c r="M177" s="19">
        <v>0.0</v>
      </c>
      <c r="N177" s="19">
        <v>2.0</v>
      </c>
      <c r="O177" s="19">
        <v>0.0</v>
      </c>
      <c r="P177" s="19">
        <v>0.0</v>
      </c>
      <c r="Q177" s="19">
        <v>1.0</v>
      </c>
      <c r="R177" s="19">
        <v>1.0</v>
      </c>
      <c r="S177" s="13">
        <f t="shared" ref="S177:S186" si="37">SUM(E177:R177)</f>
        <v>9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1.0</v>
      </c>
      <c r="F178" s="19">
        <v>1.0</v>
      </c>
      <c r="G178" s="19">
        <v>0.0</v>
      </c>
      <c r="H178" s="19">
        <v>1.0</v>
      </c>
      <c r="I178" s="19">
        <v>0.0</v>
      </c>
      <c r="J178" s="19">
        <v>1.0</v>
      </c>
      <c r="K178" s="19">
        <v>1.0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3">
        <f t="shared" si="37"/>
        <v>5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1.0</v>
      </c>
      <c r="F179" s="19">
        <v>0.0</v>
      </c>
      <c r="G179" s="19">
        <v>1.0</v>
      </c>
      <c r="H179" s="19">
        <v>2.0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1.0</v>
      </c>
      <c r="Q179" s="19">
        <v>1.0</v>
      </c>
      <c r="R179" s="19">
        <v>0.0</v>
      </c>
      <c r="S179" s="13">
        <f t="shared" si="37"/>
        <v>6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1.0</v>
      </c>
      <c r="I180" s="19">
        <v>1.0</v>
      </c>
      <c r="J180" s="19">
        <v>2.0</v>
      </c>
      <c r="K180" s="19">
        <v>1.0</v>
      </c>
      <c r="L180" s="19">
        <v>0.0</v>
      </c>
      <c r="M180" s="19">
        <v>1.0</v>
      </c>
      <c r="N180" s="19">
        <v>0.0</v>
      </c>
      <c r="O180" s="19">
        <v>0.0</v>
      </c>
      <c r="P180" s="19">
        <v>1.0</v>
      </c>
      <c r="Q180" s="19">
        <v>1.0</v>
      </c>
      <c r="R180" s="19">
        <v>0.0</v>
      </c>
      <c r="S180" s="13">
        <f t="shared" si="37"/>
        <v>8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1.0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3">
        <f t="shared" si="37"/>
        <v>1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3">
        <f t="shared" si="37"/>
        <v>0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1.0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3">
        <f t="shared" si="37"/>
        <v>1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3">
        <f t="shared" si="37"/>
        <v>0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3">
        <f t="shared" si="37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3">
        <f t="shared" si="37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S187" si="38">SUM(E177:E186)</f>
        <v>3</v>
      </c>
      <c r="F187" s="13">
        <f t="shared" si="38"/>
        <v>2</v>
      </c>
      <c r="G187" s="13">
        <f t="shared" si="38"/>
        <v>1</v>
      </c>
      <c r="H187" s="13">
        <f t="shared" si="38"/>
        <v>5</v>
      </c>
      <c r="I187" s="13">
        <f t="shared" si="38"/>
        <v>3</v>
      </c>
      <c r="J187" s="13">
        <f t="shared" si="38"/>
        <v>3</v>
      </c>
      <c r="K187" s="13">
        <f t="shared" si="38"/>
        <v>2</v>
      </c>
      <c r="L187" s="13">
        <f t="shared" si="38"/>
        <v>1</v>
      </c>
      <c r="M187" s="13">
        <f t="shared" si="38"/>
        <v>2</v>
      </c>
      <c r="N187" s="13">
        <f t="shared" si="38"/>
        <v>2</v>
      </c>
      <c r="O187" s="13">
        <f t="shared" si="38"/>
        <v>0</v>
      </c>
      <c r="P187" s="13">
        <f t="shared" si="38"/>
        <v>2</v>
      </c>
      <c r="Q187" s="13">
        <f t="shared" si="38"/>
        <v>3</v>
      </c>
      <c r="R187" s="13">
        <f t="shared" si="38"/>
        <v>1</v>
      </c>
      <c r="S187" s="13">
        <f t="shared" si="38"/>
        <v>30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Q188" s="78"/>
      <c r="S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1.0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3">
        <f t="shared" ref="S189:S198" si="39">SUM(E189:R189)</f>
        <v>1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1.0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3">
        <f t="shared" si="39"/>
        <v>1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2.0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3">
        <f t="shared" si="39"/>
        <v>2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3">
        <f t="shared" si="39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3">
        <f t="shared" si="39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3">
        <f t="shared" si="39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3">
        <f t="shared" si="39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3">
        <f t="shared" si="39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3">
        <f t="shared" si="39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3">
        <f t="shared" si="39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S199" si="40">SUM(E189:E198)</f>
        <v>1</v>
      </c>
      <c r="F199" s="13">
        <f t="shared" si="40"/>
        <v>0</v>
      </c>
      <c r="G199" s="13">
        <f t="shared" si="40"/>
        <v>3</v>
      </c>
      <c r="H199" s="13">
        <f t="shared" si="40"/>
        <v>0</v>
      </c>
      <c r="I199" s="13">
        <f t="shared" si="40"/>
        <v>0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0</v>
      </c>
      <c r="N199" s="13">
        <f t="shared" si="40"/>
        <v>0</v>
      </c>
      <c r="O199" s="13">
        <f t="shared" si="40"/>
        <v>0</v>
      </c>
      <c r="P199" s="13">
        <f t="shared" si="40"/>
        <v>0</v>
      </c>
      <c r="Q199" s="13">
        <f t="shared" si="40"/>
        <v>0</v>
      </c>
      <c r="R199" s="13">
        <f t="shared" si="40"/>
        <v>0</v>
      </c>
      <c r="S199" s="13">
        <f t="shared" si="40"/>
        <v>4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8.0</v>
      </c>
      <c r="F201" s="19">
        <v>8.0</v>
      </c>
      <c r="G201" s="19">
        <v>16.0</v>
      </c>
      <c r="H201" s="19">
        <v>9.0</v>
      </c>
      <c r="I201" s="19">
        <v>5.0</v>
      </c>
      <c r="J201" s="19">
        <v>7.0</v>
      </c>
      <c r="K201" s="19">
        <v>3.0</v>
      </c>
      <c r="L201" s="19">
        <v>4.0</v>
      </c>
      <c r="M201" s="19">
        <v>7.0</v>
      </c>
      <c r="N201" s="19">
        <v>7.0</v>
      </c>
      <c r="O201" s="19">
        <v>8.0</v>
      </c>
      <c r="P201" s="19">
        <v>19.0</v>
      </c>
      <c r="Q201" s="19">
        <v>2.0</v>
      </c>
      <c r="R201" s="19">
        <v>7.0</v>
      </c>
      <c r="S201" s="13">
        <f t="shared" ref="S201:S210" si="41">SUM(E201:R201)</f>
        <v>110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7.0</v>
      </c>
      <c r="F202" s="19">
        <v>4.0</v>
      </c>
      <c r="G202" s="19">
        <v>16.0</v>
      </c>
      <c r="H202" s="19">
        <v>11.0</v>
      </c>
      <c r="I202" s="19">
        <v>7.0</v>
      </c>
      <c r="J202" s="19">
        <v>12.0</v>
      </c>
      <c r="K202" s="19">
        <v>4.0</v>
      </c>
      <c r="L202" s="19">
        <v>6.0</v>
      </c>
      <c r="M202" s="19">
        <v>10.0</v>
      </c>
      <c r="N202" s="19">
        <v>3.0</v>
      </c>
      <c r="O202" s="19">
        <v>12.0</v>
      </c>
      <c r="P202" s="19">
        <v>8.0</v>
      </c>
      <c r="Q202" s="19">
        <v>6.0</v>
      </c>
      <c r="R202" s="19">
        <v>3.0</v>
      </c>
      <c r="S202" s="13">
        <f t="shared" si="41"/>
        <v>109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4.0</v>
      </c>
      <c r="F203" s="19">
        <v>2.0</v>
      </c>
      <c r="G203" s="19">
        <v>6.0</v>
      </c>
      <c r="H203" s="19">
        <v>10.0</v>
      </c>
      <c r="I203" s="19">
        <v>1.0</v>
      </c>
      <c r="J203" s="19">
        <v>3.0</v>
      </c>
      <c r="K203" s="19">
        <v>4.0</v>
      </c>
      <c r="L203" s="19">
        <v>4.0</v>
      </c>
      <c r="M203" s="19">
        <v>5.0</v>
      </c>
      <c r="N203" s="19">
        <v>5.0</v>
      </c>
      <c r="O203" s="19">
        <v>5.0</v>
      </c>
      <c r="P203" s="19">
        <v>11.0</v>
      </c>
      <c r="Q203" s="19">
        <v>3.0</v>
      </c>
      <c r="R203" s="19">
        <v>4.0</v>
      </c>
      <c r="S203" s="13">
        <f t="shared" si="41"/>
        <v>67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1.0</v>
      </c>
      <c r="F204" s="19">
        <v>0.0</v>
      </c>
      <c r="G204" s="19">
        <v>0.0</v>
      </c>
      <c r="H204" s="19">
        <v>0.0</v>
      </c>
      <c r="I204" s="19">
        <v>0.0</v>
      </c>
      <c r="J204" s="19">
        <v>2.0</v>
      </c>
      <c r="K204" s="19">
        <v>0.0</v>
      </c>
      <c r="L204" s="19">
        <v>0.0</v>
      </c>
      <c r="M204" s="19">
        <v>0.0</v>
      </c>
      <c r="N204" s="19">
        <v>1.0</v>
      </c>
      <c r="O204" s="19">
        <v>1.0</v>
      </c>
      <c r="P204" s="19">
        <v>1.0</v>
      </c>
      <c r="Q204" s="19">
        <v>0.0</v>
      </c>
      <c r="R204" s="19">
        <v>0.0</v>
      </c>
      <c r="S204" s="13">
        <f t="shared" si="41"/>
        <v>6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0.0</v>
      </c>
      <c r="G205" s="19">
        <v>2.0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9">
        <v>2.0</v>
      </c>
      <c r="N205" s="19">
        <v>0.0</v>
      </c>
      <c r="O205" s="19">
        <v>3.0</v>
      </c>
      <c r="P205" s="19">
        <v>0.0</v>
      </c>
      <c r="Q205" s="19">
        <v>0.0</v>
      </c>
      <c r="R205" s="19">
        <v>2.0</v>
      </c>
      <c r="S205" s="13">
        <f t="shared" si="41"/>
        <v>9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0.0</v>
      </c>
      <c r="G206" s="19">
        <v>1.0</v>
      </c>
      <c r="H206" s="19">
        <v>1.0</v>
      </c>
      <c r="I206" s="19">
        <v>1.0</v>
      </c>
      <c r="J206" s="19">
        <v>1.0</v>
      </c>
      <c r="K206" s="19">
        <v>1.0</v>
      </c>
      <c r="L206" s="19">
        <v>0.0</v>
      </c>
      <c r="M206" s="19">
        <v>0.0</v>
      </c>
      <c r="N206" s="19">
        <v>1.0</v>
      </c>
      <c r="O206" s="19">
        <v>1.0</v>
      </c>
      <c r="P206" s="19">
        <v>1.0</v>
      </c>
      <c r="Q206" s="19">
        <v>0.0</v>
      </c>
      <c r="R206" s="19">
        <v>1.0</v>
      </c>
      <c r="S206" s="13">
        <f t="shared" si="41"/>
        <v>9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1.0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1.0</v>
      </c>
      <c r="Q207" s="19">
        <v>0.0</v>
      </c>
      <c r="R207" s="19">
        <v>0.0</v>
      </c>
      <c r="S207" s="13">
        <f t="shared" si="41"/>
        <v>2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1.0</v>
      </c>
      <c r="F208" s="19">
        <v>0.0</v>
      </c>
      <c r="G208" s="19">
        <v>2.0</v>
      </c>
      <c r="H208" s="19">
        <v>0.0</v>
      </c>
      <c r="I208" s="19">
        <v>2.0</v>
      </c>
      <c r="J208" s="19">
        <v>1.0</v>
      </c>
      <c r="K208" s="19">
        <v>0.0</v>
      </c>
      <c r="L208" s="19">
        <v>1.0</v>
      </c>
      <c r="M208" s="19">
        <v>0.0</v>
      </c>
      <c r="N208" s="19">
        <v>0.0</v>
      </c>
      <c r="O208" s="19">
        <v>0.0</v>
      </c>
      <c r="P208" s="19">
        <v>0.0</v>
      </c>
      <c r="Q208" s="19">
        <v>2.0</v>
      </c>
      <c r="R208" s="19">
        <v>0.0</v>
      </c>
      <c r="S208" s="13">
        <f t="shared" si="41"/>
        <v>9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3">
        <f t="shared" si="41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3">
        <f t="shared" si="41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S211" si="42">SUM(E201:E210)</f>
        <v>21</v>
      </c>
      <c r="F211" s="13">
        <f t="shared" si="42"/>
        <v>14</v>
      </c>
      <c r="G211" s="13">
        <f t="shared" si="42"/>
        <v>43</v>
      </c>
      <c r="H211" s="13">
        <f t="shared" si="42"/>
        <v>31</v>
      </c>
      <c r="I211" s="13">
        <f t="shared" si="42"/>
        <v>16</v>
      </c>
      <c r="J211" s="13">
        <f t="shared" si="42"/>
        <v>27</v>
      </c>
      <c r="K211" s="13">
        <f t="shared" si="42"/>
        <v>12</v>
      </c>
      <c r="L211" s="13">
        <f t="shared" si="42"/>
        <v>15</v>
      </c>
      <c r="M211" s="13">
        <f t="shared" si="42"/>
        <v>24</v>
      </c>
      <c r="N211" s="13">
        <f t="shared" si="42"/>
        <v>17</v>
      </c>
      <c r="O211" s="13">
        <f t="shared" si="42"/>
        <v>30</v>
      </c>
      <c r="P211" s="13">
        <f t="shared" si="42"/>
        <v>41</v>
      </c>
      <c r="Q211" s="13">
        <f t="shared" si="42"/>
        <v>13</v>
      </c>
      <c r="R211" s="13">
        <f t="shared" si="42"/>
        <v>17</v>
      </c>
      <c r="S211" s="13">
        <f t="shared" si="42"/>
        <v>321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3.0</v>
      </c>
      <c r="G213" s="19">
        <v>3.0</v>
      </c>
      <c r="H213" s="19">
        <v>3.0</v>
      </c>
      <c r="I213" s="19">
        <v>0.0</v>
      </c>
      <c r="J213" s="19">
        <v>2.0</v>
      </c>
      <c r="K213" s="19">
        <v>1.0</v>
      </c>
      <c r="L213" s="19">
        <v>2.0</v>
      </c>
      <c r="M213" s="19">
        <v>4.0</v>
      </c>
      <c r="N213" s="19">
        <v>0.0</v>
      </c>
      <c r="O213" s="19">
        <v>1.0</v>
      </c>
      <c r="P213" s="19">
        <v>0.0</v>
      </c>
      <c r="Q213" s="19">
        <v>1.0</v>
      </c>
      <c r="R213" s="19">
        <v>1.0</v>
      </c>
      <c r="S213" s="13">
        <f t="shared" ref="S213:S222" si="43">SUM(E213:R213)</f>
        <v>22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1.0</v>
      </c>
      <c r="F214" s="19">
        <v>1.0</v>
      </c>
      <c r="G214" s="19">
        <v>1.0</v>
      </c>
      <c r="H214" s="19">
        <v>0.0</v>
      </c>
      <c r="I214" s="19">
        <v>14.0</v>
      </c>
      <c r="J214" s="19">
        <v>4.0</v>
      </c>
      <c r="K214" s="19">
        <v>6.0</v>
      </c>
      <c r="L214" s="19">
        <v>10.0</v>
      </c>
      <c r="M214" s="19">
        <v>5.0</v>
      </c>
      <c r="N214" s="19">
        <v>6.0</v>
      </c>
      <c r="O214" s="19">
        <v>0.0</v>
      </c>
      <c r="P214" s="19">
        <v>3.0</v>
      </c>
      <c r="Q214" s="19">
        <v>2.0</v>
      </c>
      <c r="R214" s="19">
        <v>3.0</v>
      </c>
      <c r="S214" s="13">
        <f t="shared" si="43"/>
        <v>56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23.0</v>
      </c>
      <c r="F215" s="19">
        <v>5.0</v>
      </c>
      <c r="G215" s="19">
        <v>24.0</v>
      </c>
      <c r="H215" s="19">
        <v>22.0</v>
      </c>
      <c r="I215" s="19">
        <v>11.0</v>
      </c>
      <c r="J215" s="19">
        <v>1.0</v>
      </c>
      <c r="K215" s="19">
        <v>4.0</v>
      </c>
      <c r="L215" s="19">
        <v>47.0</v>
      </c>
      <c r="M215" s="19">
        <v>14.0</v>
      </c>
      <c r="N215" s="19">
        <v>33.0</v>
      </c>
      <c r="O215" s="19">
        <v>9.0</v>
      </c>
      <c r="P215" s="19">
        <v>1.0</v>
      </c>
      <c r="Q215" s="19">
        <v>4.0</v>
      </c>
      <c r="R215" s="19">
        <v>13.0</v>
      </c>
      <c r="S215" s="13">
        <f t="shared" si="43"/>
        <v>211</v>
      </c>
    </row>
    <row r="216" ht="12.75" customHeight="1">
      <c r="A216" s="18"/>
      <c r="B216" s="55">
        <v>3.0</v>
      </c>
      <c r="C216" s="69" t="s">
        <v>159</v>
      </c>
      <c r="E216" s="19">
        <v>0.0</v>
      </c>
      <c r="F216" s="19">
        <v>0.0</v>
      </c>
      <c r="G216" s="19">
        <v>0.0</v>
      </c>
      <c r="H216" s="19">
        <v>3.0</v>
      </c>
      <c r="I216" s="19">
        <v>0.0</v>
      </c>
      <c r="J216" s="19">
        <v>1.0</v>
      </c>
      <c r="K216" s="19">
        <v>0.0</v>
      </c>
      <c r="L216" s="19">
        <v>1.0</v>
      </c>
      <c r="M216" s="19">
        <v>0.0</v>
      </c>
      <c r="N216" s="19">
        <v>0.0</v>
      </c>
      <c r="O216" s="19">
        <v>1.0</v>
      </c>
      <c r="P216" s="19">
        <v>0.0</v>
      </c>
      <c r="Q216" s="19">
        <v>1.0</v>
      </c>
      <c r="R216" s="19">
        <v>0.0</v>
      </c>
      <c r="S216" s="13">
        <f t="shared" si="43"/>
        <v>7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2.0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1.0</v>
      </c>
      <c r="N217" s="19">
        <v>0.0</v>
      </c>
      <c r="O217" s="19">
        <v>1.0</v>
      </c>
      <c r="P217" s="19">
        <v>0.0</v>
      </c>
      <c r="Q217" s="19">
        <v>0.0</v>
      </c>
      <c r="R217" s="19">
        <v>0.0</v>
      </c>
      <c r="S217" s="13">
        <f t="shared" si="43"/>
        <v>4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2.0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3">
        <f t="shared" si="43"/>
        <v>2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0.0</v>
      </c>
      <c r="I219" s="19">
        <v>1.0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3">
        <f t="shared" si="43"/>
        <v>1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1.0</v>
      </c>
      <c r="K220" s="19">
        <v>0.0</v>
      </c>
      <c r="L220" s="19">
        <v>1.0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3">
        <f t="shared" si="43"/>
        <v>2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3">
        <f t="shared" si="43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3">
        <f t="shared" si="43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S223" si="44">SUM(E213:E222)</f>
        <v>25</v>
      </c>
      <c r="F223" s="13">
        <f t="shared" si="44"/>
        <v>11</v>
      </c>
      <c r="G223" s="13">
        <f t="shared" si="44"/>
        <v>28</v>
      </c>
      <c r="H223" s="13">
        <f t="shared" si="44"/>
        <v>28</v>
      </c>
      <c r="I223" s="13">
        <f t="shared" si="44"/>
        <v>26</v>
      </c>
      <c r="J223" s="13">
        <f t="shared" si="44"/>
        <v>9</v>
      </c>
      <c r="K223" s="13">
        <f t="shared" si="44"/>
        <v>13</v>
      </c>
      <c r="L223" s="13">
        <f t="shared" si="44"/>
        <v>61</v>
      </c>
      <c r="M223" s="13">
        <f t="shared" si="44"/>
        <v>24</v>
      </c>
      <c r="N223" s="13">
        <f t="shared" si="44"/>
        <v>39</v>
      </c>
      <c r="O223" s="13">
        <f t="shared" si="44"/>
        <v>12</v>
      </c>
      <c r="P223" s="13">
        <f t="shared" si="44"/>
        <v>4</v>
      </c>
      <c r="Q223" s="13">
        <f t="shared" si="44"/>
        <v>8</v>
      </c>
      <c r="R223" s="13">
        <f t="shared" si="44"/>
        <v>17</v>
      </c>
      <c r="S223" s="13">
        <f t="shared" si="44"/>
        <v>305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2.0</v>
      </c>
      <c r="J225" s="19">
        <v>0.0</v>
      </c>
      <c r="K225" s="19">
        <v>1.0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3">
        <f t="shared" ref="S225:S234" si="45">SUM(E225:R225)</f>
        <v>3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1.0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3">
        <f t="shared" si="45"/>
        <v>1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1.0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3">
        <f t="shared" si="45"/>
        <v>1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1.0</v>
      </c>
      <c r="K228" s="19">
        <v>1.0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3">
        <f t="shared" si="45"/>
        <v>2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1.0</v>
      </c>
      <c r="R229" s="19">
        <v>0.0</v>
      </c>
      <c r="S229" s="13">
        <f t="shared" si="45"/>
        <v>1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1.0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3">
        <f t="shared" si="45"/>
        <v>1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3">
        <f t="shared" si="45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0.0</v>
      </c>
      <c r="G232" s="19">
        <v>0.0</v>
      </c>
      <c r="H232" s="19">
        <v>1.0</v>
      </c>
      <c r="I232" s="19">
        <v>0.0</v>
      </c>
      <c r="J232" s="19">
        <v>1.0</v>
      </c>
      <c r="K232" s="19">
        <v>1.0</v>
      </c>
      <c r="L232" s="19">
        <v>0.0</v>
      </c>
      <c r="M232" s="19">
        <v>1.0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3">
        <f t="shared" si="45"/>
        <v>4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3">
        <f t="shared" si="45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3">
        <f t="shared" si="45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S235" si="46">SUM(E225:E234)</f>
        <v>1</v>
      </c>
      <c r="F235" s="13">
        <f t="shared" si="46"/>
        <v>0</v>
      </c>
      <c r="G235" s="13">
        <f t="shared" si="46"/>
        <v>0</v>
      </c>
      <c r="H235" s="13">
        <f t="shared" si="46"/>
        <v>1</v>
      </c>
      <c r="I235" s="13">
        <f t="shared" si="46"/>
        <v>2</v>
      </c>
      <c r="J235" s="13">
        <f t="shared" si="46"/>
        <v>3</v>
      </c>
      <c r="K235" s="13">
        <f t="shared" si="46"/>
        <v>4</v>
      </c>
      <c r="L235" s="13">
        <f t="shared" si="46"/>
        <v>0</v>
      </c>
      <c r="M235" s="13">
        <f t="shared" si="46"/>
        <v>1</v>
      </c>
      <c r="N235" s="13">
        <f t="shared" si="46"/>
        <v>0</v>
      </c>
      <c r="O235" s="13">
        <f t="shared" si="46"/>
        <v>0</v>
      </c>
      <c r="P235" s="13">
        <f t="shared" si="46"/>
        <v>0</v>
      </c>
      <c r="Q235" s="13">
        <f t="shared" si="46"/>
        <v>1</v>
      </c>
      <c r="R235" s="13">
        <f t="shared" si="46"/>
        <v>0</v>
      </c>
      <c r="S235" s="13">
        <f t="shared" si="46"/>
        <v>13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0.0</v>
      </c>
      <c r="H237" s="19">
        <v>0.0</v>
      </c>
      <c r="I237" s="19">
        <v>0.0</v>
      </c>
      <c r="J237" s="19">
        <v>0.0</v>
      </c>
      <c r="K237" s="19">
        <v>0.0</v>
      </c>
      <c r="L237" s="19">
        <v>1.0</v>
      </c>
      <c r="M237" s="19">
        <v>1.0</v>
      </c>
      <c r="N237" s="19">
        <v>0.0</v>
      </c>
      <c r="O237" s="19">
        <v>0.0</v>
      </c>
      <c r="P237" s="19">
        <v>2.0</v>
      </c>
      <c r="Q237" s="19">
        <v>0.0</v>
      </c>
      <c r="R237" s="19">
        <v>0.0</v>
      </c>
      <c r="S237" s="13">
        <f t="shared" ref="S237:S246" si="47">SUM(E237:R237)</f>
        <v>4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0.0</v>
      </c>
      <c r="F238" s="19">
        <v>0.0</v>
      </c>
      <c r="G238" s="19">
        <v>0.0</v>
      </c>
      <c r="H238" s="19">
        <v>0.0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0.0</v>
      </c>
      <c r="P238" s="19">
        <v>0.0</v>
      </c>
      <c r="Q238" s="19">
        <v>0.0</v>
      </c>
      <c r="R238" s="19">
        <v>0.0</v>
      </c>
      <c r="S238" s="13">
        <f t="shared" si="47"/>
        <v>0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0.0</v>
      </c>
      <c r="F239" s="19">
        <v>0.0</v>
      </c>
      <c r="G239" s="19">
        <v>0.0</v>
      </c>
      <c r="H239" s="19">
        <v>1.0</v>
      </c>
      <c r="I239" s="19">
        <v>0.0</v>
      </c>
      <c r="J239" s="19">
        <v>3.0</v>
      </c>
      <c r="K239" s="19">
        <v>0.0</v>
      </c>
      <c r="L239" s="19">
        <v>3.0</v>
      </c>
      <c r="M239" s="19">
        <v>1.0</v>
      </c>
      <c r="N239" s="19">
        <v>1.0</v>
      </c>
      <c r="O239" s="19">
        <v>0.0</v>
      </c>
      <c r="P239" s="19">
        <v>0.0</v>
      </c>
      <c r="Q239" s="19">
        <v>0.0</v>
      </c>
      <c r="R239" s="19">
        <v>0.0</v>
      </c>
      <c r="S239" s="13">
        <f t="shared" si="47"/>
        <v>9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1.0</v>
      </c>
      <c r="J240" s="19">
        <v>3.0</v>
      </c>
      <c r="K240" s="19">
        <v>2.0</v>
      </c>
      <c r="L240" s="19">
        <v>4.0</v>
      </c>
      <c r="M240" s="19">
        <v>0.0</v>
      </c>
      <c r="N240" s="19">
        <v>0.0</v>
      </c>
      <c r="O240" s="19">
        <v>1.0</v>
      </c>
      <c r="P240" s="19">
        <v>0.0</v>
      </c>
      <c r="Q240" s="19">
        <v>0.0</v>
      </c>
      <c r="R240" s="19">
        <v>0.0</v>
      </c>
      <c r="S240" s="13">
        <f t="shared" si="47"/>
        <v>11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1.0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3">
        <f t="shared" si="47"/>
        <v>1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3">
        <f t="shared" si="47"/>
        <v>0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3">
        <f t="shared" si="47"/>
        <v>0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7.0</v>
      </c>
      <c r="F244" s="19">
        <v>5.0</v>
      </c>
      <c r="G244" s="19">
        <v>0.0</v>
      </c>
      <c r="H244" s="19">
        <v>0.0</v>
      </c>
      <c r="I244" s="19">
        <v>0.0</v>
      </c>
      <c r="J244" s="19">
        <v>1.0</v>
      </c>
      <c r="K244" s="19">
        <v>1.0</v>
      </c>
      <c r="L244" s="19">
        <v>1.0</v>
      </c>
      <c r="M244" s="19">
        <v>1.0</v>
      </c>
      <c r="N244" s="19">
        <v>1.0</v>
      </c>
      <c r="O244" s="19">
        <v>0.0</v>
      </c>
      <c r="P244" s="19">
        <v>0.0</v>
      </c>
      <c r="Q244" s="19">
        <v>0.0</v>
      </c>
      <c r="R244" s="19">
        <v>1.0</v>
      </c>
      <c r="S244" s="13">
        <f t="shared" si="47"/>
        <v>18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3">
        <f t="shared" si="47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3">
        <f t="shared" si="47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S247" si="48">SUM(E237:E246)</f>
        <v>7</v>
      </c>
      <c r="F247" s="13">
        <f t="shared" si="48"/>
        <v>5</v>
      </c>
      <c r="G247" s="13">
        <f t="shared" si="48"/>
        <v>0</v>
      </c>
      <c r="H247" s="13">
        <f t="shared" si="48"/>
        <v>1</v>
      </c>
      <c r="I247" s="13">
        <f t="shared" si="48"/>
        <v>1</v>
      </c>
      <c r="J247" s="13">
        <f t="shared" si="48"/>
        <v>8</v>
      </c>
      <c r="K247" s="13">
        <f t="shared" si="48"/>
        <v>3</v>
      </c>
      <c r="L247" s="13">
        <f t="shared" si="48"/>
        <v>9</v>
      </c>
      <c r="M247" s="13">
        <f t="shared" si="48"/>
        <v>3</v>
      </c>
      <c r="N247" s="13">
        <f t="shared" si="48"/>
        <v>2</v>
      </c>
      <c r="O247" s="13">
        <f t="shared" si="48"/>
        <v>1</v>
      </c>
      <c r="P247" s="13">
        <f t="shared" si="48"/>
        <v>2</v>
      </c>
      <c r="Q247" s="13">
        <f t="shared" si="48"/>
        <v>0</v>
      </c>
      <c r="R247" s="13">
        <f t="shared" si="48"/>
        <v>1</v>
      </c>
      <c r="S247" s="13">
        <f t="shared" si="48"/>
        <v>43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1.0</v>
      </c>
      <c r="K249" s="19">
        <v>0.0</v>
      </c>
      <c r="L249" s="19">
        <v>0.0</v>
      </c>
      <c r="M249" s="19">
        <v>0.0</v>
      </c>
      <c r="N249" s="19">
        <v>1.0</v>
      </c>
      <c r="O249" s="19">
        <v>0.0</v>
      </c>
      <c r="P249" s="19">
        <v>2.0</v>
      </c>
      <c r="Q249" s="19">
        <v>11.0</v>
      </c>
      <c r="R249" s="19">
        <v>3.0</v>
      </c>
      <c r="S249" s="13">
        <f t="shared" ref="S249:S258" si="49">SUM(E249:R249)</f>
        <v>18</v>
      </c>
    </row>
    <row r="250" ht="12.75" customHeight="1">
      <c r="A250" s="30" t="s">
        <v>39</v>
      </c>
      <c r="B250" s="55">
        <v>1.0</v>
      </c>
      <c r="C250" s="66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1.0</v>
      </c>
      <c r="J250" s="19">
        <v>1.0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5.0</v>
      </c>
      <c r="R250" s="19">
        <v>6.0</v>
      </c>
      <c r="S250" s="13">
        <f t="shared" si="49"/>
        <v>13</v>
      </c>
    </row>
    <row r="251" ht="12.75" customHeight="1">
      <c r="A251" s="18"/>
      <c r="B251" s="55">
        <v>2.0</v>
      </c>
      <c r="C251" s="66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1.0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1.0</v>
      </c>
      <c r="R251" s="19">
        <v>0.0</v>
      </c>
      <c r="S251" s="13">
        <f t="shared" si="49"/>
        <v>2</v>
      </c>
    </row>
    <row r="252" ht="12.75" customHeight="1">
      <c r="A252" s="18"/>
      <c r="B252" s="55">
        <v>3.0</v>
      </c>
      <c r="C252" s="66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3">
        <f t="shared" si="49"/>
        <v>0</v>
      </c>
    </row>
    <row r="253" ht="12.75" customHeight="1">
      <c r="A253" s="18"/>
      <c r="B253" s="55">
        <v>4.0</v>
      </c>
      <c r="C253" s="66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1.0</v>
      </c>
      <c r="P253" s="19">
        <v>0.0</v>
      </c>
      <c r="Q253" s="19">
        <v>0.0</v>
      </c>
      <c r="R253" s="19">
        <v>0.0</v>
      </c>
      <c r="S253" s="13">
        <f t="shared" si="49"/>
        <v>1</v>
      </c>
    </row>
    <row r="254" ht="12.75" customHeight="1">
      <c r="A254" s="18"/>
      <c r="B254" s="55">
        <v>5.0</v>
      </c>
      <c r="C254" s="66" t="s">
        <v>188</v>
      </c>
      <c r="D254" s="60"/>
      <c r="E254" s="19">
        <v>0.0</v>
      </c>
      <c r="F254" s="19">
        <v>1.0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1.0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3">
        <f t="shared" si="49"/>
        <v>2</v>
      </c>
    </row>
    <row r="255" ht="12.75" customHeight="1">
      <c r="A255" s="18"/>
      <c r="B255" s="55">
        <v>6.0</v>
      </c>
      <c r="C255" s="66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1.0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1.0</v>
      </c>
      <c r="R255" s="19">
        <v>0.0</v>
      </c>
      <c r="S255" s="13">
        <f t="shared" si="49"/>
        <v>2</v>
      </c>
    </row>
    <row r="256" ht="12.75" customHeight="1">
      <c r="A256" s="18"/>
      <c r="B256" s="56"/>
      <c r="C256" s="67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3">
        <f t="shared" si="49"/>
        <v>0</v>
      </c>
    </row>
    <row r="257" ht="12.75" customHeight="1">
      <c r="A257" s="18"/>
      <c r="B257" s="56"/>
      <c r="C257" s="67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3">
        <f t="shared" si="49"/>
        <v>0</v>
      </c>
    </row>
    <row r="258" ht="12.75" customHeight="1">
      <c r="A258" s="18"/>
      <c r="B258" s="56"/>
      <c r="C258" s="67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3">
        <f t="shared" si="49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S259" si="50">SUM(E249:E258)</f>
        <v>0</v>
      </c>
      <c r="F259" s="13">
        <f t="shared" si="50"/>
        <v>1</v>
      </c>
      <c r="G259" s="13">
        <f t="shared" si="50"/>
        <v>0</v>
      </c>
      <c r="H259" s="13">
        <f t="shared" si="50"/>
        <v>0</v>
      </c>
      <c r="I259" s="13">
        <f t="shared" si="50"/>
        <v>1</v>
      </c>
      <c r="J259" s="13">
        <f t="shared" si="50"/>
        <v>4</v>
      </c>
      <c r="K259" s="13">
        <f t="shared" si="50"/>
        <v>0</v>
      </c>
      <c r="L259" s="13">
        <f t="shared" si="50"/>
        <v>1</v>
      </c>
      <c r="M259" s="13">
        <f t="shared" si="50"/>
        <v>0</v>
      </c>
      <c r="N259" s="13">
        <f t="shared" si="50"/>
        <v>1</v>
      </c>
      <c r="O259" s="13">
        <f t="shared" si="50"/>
        <v>1</v>
      </c>
      <c r="P259" s="13">
        <f t="shared" si="50"/>
        <v>2</v>
      </c>
      <c r="Q259" s="13">
        <f t="shared" si="50"/>
        <v>18</v>
      </c>
      <c r="R259" s="13">
        <f t="shared" si="50"/>
        <v>9</v>
      </c>
      <c r="S259" s="13">
        <f t="shared" si="50"/>
        <v>38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77"/>
      <c r="S261" s="13"/>
    </row>
    <row r="262" ht="12.75" customHeight="1">
      <c r="A262" s="42"/>
      <c r="B262" s="70" t="s">
        <v>192</v>
      </c>
      <c r="C262" s="71" t="s">
        <v>193</v>
      </c>
      <c r="D262" s="16"/>
      <c r="E262" s="19">
        <f t="shared" ref="E262:R262" si="51">E55+E67+E79+E91+E103+E115+E127+E139+E151+E163+E175+E187+E199+E211+E223+E235+E247+E259</f>
        <v>196</v>
      </c>
      <c r="F262" s="19">
        <f t="shared" si="51"/>
        <v>124</v>
      </c>
      <c r="G262" s="19">
        <f t="shared" si="51"/>
        <v>177</v>
      </c>
      <c r="H262" s="19">
        <f t="shared" si="51"/>
        <v>162</v>
      </c>
      <c r="I262" s="19">
        <f t="shared" si="51"/>
        <v>188</v>
      </c>
      <c r="J262" s="19">
        <f t="shared" si="51"/>
        <v>208</v>
      </c>
      <c r="K262" s="19">
        <f t="shared" si="51"/>
        <v>186</v>
      </c>
      <c r="L262" s="19">
        <f t="shared" si="51"/>
        <v>209</v>
      </c>
      <c r="M262" s="19">
        <f t="shared" si="51"/>
        <v>179</v>
      </c>
      <c r="N262" s="19">
        <f t="shared" si="51"/>
        <v>193</v>
      </c>
      <c r="O262" s="19">
        <f t="shared" si="51"/>
        <v>216</v>
      </c>
      <c r="P262" s="19">
        <f t="shared" si="51"/>
        <v>217</v>
      </c>
      <c r="Q262" s="19">
        <f t="shared" si="51"/>
        <v>196</v>
      </c>
      <c r="R262" s="19">
        <f t="shared" si="51"/>
        <v>208</v>
      </c>
      <c r="S262" s="13">
        <f t="shared" ref="S262:S264" si="52">SUM(E262:R262)</f>
        <v>2659</v>
      </c>
    </row>
    <row r="263" ht="12.75" customHeight="1">
      <c r="A263" s="35"/>
      <c r="B263" s="70" t="s">
        <v>194</v>
      </c>
      <c r="C263" s="71" t="s">
        <v>195</v>
      </c>
      <c r="D263" s="16"/>
      <c r="E263" s="19">
        <v>26.0</v>
      </c>
      <c r="F263" s="19">
        <v>23.0</v>
      </c>
      <c r="G263" s="19">
        <v>22.0</v>
      </c>
      <c r="H263" s="19">
        <v>46.0</v>
      </c>
      <c r="I263" s="19">
        <v>25.0</v>
      </c>
      <c r="J263" s="19">
        <v>26.0</v>
      </c>
      <c r="K263" s="19">
        <v>37.0</v>
      </c>
      <c r="L263" s="19">
        <v>25.0</v>
      </c>
      <c r="M263" s="19">
        <v>19.0</v>
      </c>
      <c r="N263" s="19">
        <v>19.0</v>
      </c>
      <c r="O263" s="19">
        <v>24.0</v>
      </c>
      <c r="P263" s="19">
        <v>29.0</v>
      </c>
      <c r="Q263" s="19">
        <v>36.0</v>
      </c>
      <c r="R263" s="19">
        <v>25.0</v>
      </c>
      <c r="S263" s="13">
        <f t="shared" si="52"/>
        <v>382</v>
      </c>
    </row>
    <row r="264" ht="12.75" customHeight="1">
      <c r="A264" s="41"/>
      <c r="B264" s="70" t="s">
        <v>196</v>
      </c>
      <c r="C264" s="71" t="s">
        <v>197</v>
      </c>
      <c r="D264" s="16"/>
      <c r="E264" s="13">
        <f t="shared" ref="E264:R264" si="53">SUM(E262:E263)</f>
        <v>222</v>
      </c>
      <c r="F264" s="13">
        <f t="shared" si="53"/>
        <v>147</v>
      </c>
      <c r="G264" s="13">
        <f t="shared" si="53"/>
        <v>199</v>
      </c>
      <c r="H264" s="13">
        <f t="shared" si="53"/>
        <v>208</v>
      </c>
      <c r="I264" s="13">
        <f t="shared" si="53"/>
        <v>213</v>
      </c>
      <c r="J264" s="13">
        <f t="shared" si="53"/>
        <v>234</v>
      </c>
      <c r="K264" s="13">
        <f t="shared" si="53"/>
        <v>223</v>
      </c>
      <c r="L264" s="13">
        <f t="shared" si="53"/>
        <v>234</v>
      </c>
      <c r="M264" s="13">
        <f t="shared" si="53"/>
        <v>198</v>
      </c>
      <c r="N264" s="13">
        <f t="shared" si="53"/>
        <v>212</v>
      </c>
      <c r="O264" s="13">
        <f t="shared" si="53"/>
        <v>240</v>
      </c>
      <c r="P264" s="13">
        <f t="shared" si="53"/>
        <v>246</v>
      </c>
      <c r="Q264" s="13">
        <f t="shared" si="53"/>
        <v>232</v>
      </c>
      <c r="R264" s="13">
        <f t="shared" si="53"/>
        <v>233</v>
      </c>
      <c r="S264" s="13">
        <f t="shared" si="52"/>
        <v>3041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R15">
    <cfRule type="containsBlanks" dxfId="1" priority="1">
      <formula>LEN(TRIM(E14))=0</formula>
    </cfRule>
  </conditionalFormatting>
  <conditionalFormatting sqref="E19:R20">
    <cfRule type="containsBlanks" dxfId="1" priority="2">
      <formula>LEN(TRIM(E19))=0</formula>
    </cfRule>
  </conditionalFormatting>
  <conditionalFormatting sqref="E22:R23 E25:R26 E33:R33 E35:R35 E39:R40">
    <cfRule type="containsBlanks" dxfId="1" priority="3">
      <formula>LEN(TRIM(E22))=0</formula>
    </cfRule>
  </conditionalFormatting>
  <conditionalFormatting sqref="E30:R30">
    <cfRule type="expression" dxfId="0" priority="4">
      <formula>E30&lt;&gt;E47</formula>
    </cfRule>
  </conditionalFormatting>
  <conditionalFormatting sqref="E30:R30">
    <cfRule type="expression" dxfId="0" priority="5">
      <formula>E30&lt;&gt;E34</formula>
    </cfRule>
  </conditionalFormatting>
  <conditionalFormatting sqref="E34:R34">
    <cfRule type="expression" dxfId="2" priority="6">
      <formula>E30&lt;&gt;E34</formula>
    </cfRule>
  </conditionalFormatting>
  <conditionalFormatting sqref="E34:R34">
    <cfRule type="expression" dxfId="3" priority="7">
      <formula>E30=E34</formula>
    </cfRule>
  </conditionalFormatting>
  <conditionalFormatting sqref="E34:R34">
    <cfRule type="expression" dxfId="0" priority="8">
      <formula>E34&lt;&gt;E30</formula>
    </cfRule>
  </conditionalFormatting>
  <conditionalFormatting sqref="E34:R34">
    <cfRule type="expression" dxfId="0" priority="9">
      <formula>E34&lt;&gt;E64</formula>
    </cfRule>
  </conditionalFormatting>
  <conditionalFormatting sqref="E45:R54">
    <cfRule type="containsBlanks" dxfId="1" priority="10">
      <formula>LEN(TRIM(E45))=0</formula>
    </cfRule>
  </conditionalFormatting>
  <conditionalFormatting sqref="E57:R66">
    <cfRule type="containsBlanks" dxfId="1" priority="11">
      <formula>LEN(TRIM(E57))=0</formula>
    </cfRule>
  </conditionalFormatting>
  <conditionalFormatting sqref="E69:R78">
    <cfRule type="containsBlanks" dxfId="1" priority="12">
      <formula>LEN(TRIM(E69))=0</formula>
    </cfRule>
  </conditionalFormatting>
  <conditionalFormatting sqref="E81:R90">
    <cfRule type="containsBlanks" dxfId="1" priority="13">
      <formula>LEN(TRIM(E81))=0</formula>
    </cfRule>
  </conditionalFormatting>
  <conditionalFormatting sqref="E93:R102">
    <cfRule type="containsBlanks" dxfId="1" priority="14">
      <formula>LEN(TRIM(E93))=0</formula>
    </cfRule>
  </conditionalFormatting>
  <conditionalFormatting sqref="E105:R114">
    <cfRule type="containsBlanks" dxfId="1" priority="15">
      <formula>LEN(TRIM(E105))=0</formula>
    </cfRule>
  </conditionalFormatting>
  <conditionalFormatting sqref="E117:R126">
    <cfRule type="containsBlanks" dxfId="1" priority="16">
      <formula>LEN(TRIM(E117))=0</formula>
    </cfRule>
  </conditionalFormatting>
  <conditionalFormatting sqref="E129:R138">
    <cfRule type="containsBlanks" dxfId="1" priority="17">
      <formula>LEN(TRIM(E129))=0</formula>
    </cfRule>
  </conditionalFormatting>
  <conditionalFormatting sqref="E141:R150">
    <cfRule type="containsBlanks" dxfId="1" priority="18">
      <formula>LEN(TRIM(E141))=0</formula>
    </cfRule>
  </conditionalFormatting>
  <conditionalFormatting sqref="E153:R162">
    <cfRule type="containsBlanks" dxfId="1" priority="19">
      <formula>LEN(TRIM(E153))=0</formula>
    </cfRule>
  </conditionalFormatting>
  <conditionalFormatting sqref="E165:R174">
    <cfRule type="containsBlanks" dxfId="1" priority="20">
      <formula>LEN(TRIM(E165))=0</formula>
    </cfRule>
  </conditionalFormatting>
  <conditionalFormatting sqref="E177:R186">
    <cfRule type="containsBlanks" dxfId="1" priority="21">
      <formula>LEN(TRIM(E177))=0</formula>
    </cfRule>
  </conditionalFormatting>
  <conditionalFormatting sqref="E189:R198">
    <cfRule type="containsBlanks" dxfId="1" priority="22">
      <formula>LEN(TRIM(E189))=0</formula>
    </cfRule>
  </conditionalFormatting>
  <conditionalFormatting sqref="E201:R210">
    <cfRule type="containsBlanks" dxfId="1" priority="23">
      <formula>LEN(TRIM(E201))=0</formula>
    </cfRule>
  </conditionalFormatting>
  <conditionalFormatting sqref="E213:R222">
    <cfRule type="containsBlanks" dxfId="1" priority="24">
      <formula>LEN(TRIM(E213))=0</formula>
    </cfRule>
  </conditionalFormatting>
  <conditionalFormatting sqref="E225:R234">
    <cfRule type="containsBlanks" dxfId="1" priority="25">
      <formula>LEN(TRIM(E225))=0</formula>
    </cfRule>
  </conditionalFormatting>
  <conditionalFormatting sqref="E237:R246">
    <cfRule type="containsBlanks" dxfId="1" priority="26">
      <formula>LEN(TRIM(E237))=0</formula>
    </cfRule>
  </conditionalFormatting>
  <conditionalFormatting sqref="E249:R258">
    <cfRule type="containsBlanks" dxfId="1" priority="27">
      <formula>LEN(TRIM(E249))=0</formula>
    </cfRule>
  </conditionalFormatting>
  <conditionalFormatting sqref="E262:R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4" width="8.71"/>
    <col customWidth="1" min="15" max="15" width="13.29"/>
    <col customWidth="1" min="1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7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36"/>
    </row>
    <row r="14" ht="12.75" customHeight="1">
      <c r="A14" s="18"/>
      <c r="B14" s="22" t="s">
        <v>11</v>
      </c>
      <c r="C14" s="23"/>
      <c r="D14" s="19" t="s">
        <v>12</v>
      </c>
      <c r="E14" s="19">
        <v>142.0</v>
      </c>
      <c r="F14" s="19">
        <v>114.0</v>
      </c>
      <c r="G14" s="19">
        <v>96.0</v>
      </c>
      <c r="H14" s="19">
        <v>133.0</v>
      </c>
      <c r="I14" s="19">
        <v>104.0</v>
      </c>
      <c r="J14" s="19">
        <v>133.0</v>
      </c>
      <c r="K14" s="19">
        <v>134.0</v>
      </c>
      <c r="L14" s="19">
        <v>141.0</v>
      </c>
      <c r="M14" s="19">
        <v>119.0</v>
      </c>
      <c r="N14" s="19">
        <v>75.0</v>
      </c>
      <c r="O14" s="13">
        <f t="shared" ref="O14:O16" si="1">SUM(E14:N14)</f>
        <v>1191</v>
      </c>
    </row>
    <row r="15" ht="12.75" customHeight="1">
      <c r="A15" s="18"/>
      <c r="B15" s="26"/>
      <c r="C15" s="27"/>
      <c r="D15" s="19" t="s">
        <v>13</v>
      </c>
      <c r="E15" s="19">
        <v>143.0</v>
      </c>
      <c r="F15" s="19">
        <v>142.0</v>
      </c>
      <c r="G15" s="19">
        <v>99.0</v>
      </c>
      <c r="H15" s="19">
        <v>146.0</v>
      </c>
      <c r="I15" s="19">
        <v>109.0</v>
      </c>
      <c r="J15" s="19">
        <v>133.0</v>
      </c>
      <c r="K15" s="19">
        <v>137.0</v>
      </c>
      <c r="L15" s="19">
        <v>152.0</v>
      </c>
      <c r="M15" s="19">
        <v>122.0</v>
      </c>
      <c r="N15" s="19">
        <v>77.0</v>
      </c>
      <c r="O15" s="13">
        <f t="shared" si="1"/>
        <v>1260</v>
      </c>
    </row>
    <row r="16" ht="12.75" customHeight="1">
      <c r="A16" s="25"/>
      <c r="B16" s="21"/>
      <c r="C16" s="28"/>
      <c r="D16" s="13" t="s">
        <v>14</v>
      </c>
      <c r="E16" s="13">
        <f t="shared" ref="E16:N16" si="2">SUM(E14:E15)</f>
        <v>285</v>
      </c>
      <c r="F16" s="13">
        <f t="shared" si="2"/>
        <v>256</v>
      </c>
      <c r="G16" s="13">
        <f t="shared" si="2"/>
        <v>195</v>
      </c>
      <c r="H16" s="13">
        <f t="shared" si="2"/>
        <v>279</v>
      </c>
      <c r="I16" s="13">
        <f t="shared" si="2"/>
        <v>213</v>
      </c>
      <c r="J16" s="13">
        <f t="shared" si="2"/>
        <v>266</v>
      </c>
      <c r="K16" s="13">
        <f t="shared" si="2"/>
        <v>271</v>
      </c>
      <c r="L16" s="13">
        <f t="shared" si="2"/>
        <v>293</v>
      </c>
      <c r="M16" s="13">
        <f t="shared" si="2"/>
        <v>241</v>
      </c>
      <c r="N16" s="13">
        <f t="shared" si="2"/>
        <v>152</v>
      </c>
      <c r="O16" s="13">
        <f t="shared" si="1"/>
        <v>2451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115.0</v>
      </c>
      <c r="F19" s="19">
        <v>86.0</v>
      </c>
      <c r="G19" s="19">
        <v>79.0</v>
      </c>
      <c r="H19" s="19">
        <v>95.0</v>
      </c>
      <c r="I19" s="19">
        <v>70.0</v>
      </c>
      <c r="J19" s="19">
        <v>104.0</v>
      </c>
      <c r="K19" s="19">
        <v>96.0</v>
      </c>
      <c r="L19" s="19">
        <v>105.0</v>
      </c>
      <c r="M19" s="19">
        <v>90.0</v>
      </c>
      <c r="N19" s="19">
        <v>58.0</v>
      </c>
      <c r="O19" s="13">
        <f t="shared" ref="O19:O30" si="3">SUM(E19:N19)</f>
        <v>898</v>
      </c>
    </row>
    <row r="20" ht="12.75" customHeight="1">
      <c r="A20" s="33"/>
      <c r="B20" s="27"/>
      <c r="C20" s="34"/>
      <c r="D20" s="19" t="s">
        <v>13</v>
      </c>
      <c r="E20" s="19">
        <v>112.0</v>
      </c>
      <c r="F20" s="19">
        <v>114.0</v>
      </c>
      <c r="G20" s="19">
        <v>83.0</v>
      </c>
      <c r="H20" s="19">
        <v>115.0</v>
      </c>
      <c r="I20" s="19">
        <v>83.0</v>
      </c>
      <c r="J20" s="19">
        <v>111.0</v>
      </c>
      <c r="K20" s="19">
        <v>103.0</v>
      </c>
      <c r="L20" s="19">
        <v>115.0</v>
      </c>
      <c r="M20" s="19">
        <v>98.0</v>
      </c>
      <c r="N20" s="19">
        <v>67.0</v>
      </c>
      <c r="O20" s="13">
        <f t="shared" si="3"/>
        <v>1001</v>
      </c>
    </row>
    <row r="21" ht="12.75" customHeight="1">
      <c r="A21" s="35"/>
      <c r="B21" s="28"/>
      <c r="C21" s="36"/>
      <c r="D21" s="13" t="s">
        <v>14</v>
      </c>
      <c r="E21" s="13">
        <f t="shared" ref="E21:N21" si="4">SUM(E19:E20)</f>
        <v>227</v>
      </c>
      <c r="F21" s="13">
        <f t="shared" si="4"/>
        <v>200</v>
      </c>
      <c r="G21" s="13">
        <f t="shared" si="4"/>
        <v>162</v>
      </c>
      <c r="H21" s="13">
        <f t="shared" si="4"/>
        <v>210</v>
      </c>
      <c r="I21" s="13">
        <f t="shared" si="4"/>
        <v>153</v>
      </c>
      <c r="J21" s="13">
        <f t="shared" si="4"/>
        <v>215</v>
      </c>
      <c r="K21" s="13">
        <f t="shared" si="4"/>
        <v>199</v>
      </c>
      <c r="L21" s="13">
        <f t="shared" si="4"/>
        <v>220</v>
      </c>
      <c r="M21" s="13">
        <f t="shared" si="4"/>
        <v>188</v>
      </c>
      <c r="N21" s="13">
        <f t="shared" si="4"/>
        <v>125</v>
      </c>
      <c r="O21" s="13">
        <f t="shared" si="3"/>
        <v>1899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2.0</v>
      </c>
      <c r="H22" s="19">
        <v>1.0</v>
      </c>
      <c r="I22" s="19">
        <v>0.0</v>
      </c>
      <c r="J22" s="19">
        <v>1.0</v>
      </c>
      <c r="K22" s="19">
        <v>0.0</v>
      </c>
      <c r="L22" s="19">
        <v>0.0</v>
      </c>
      <c r="M22" s="19">
        <v>1.0</v>
      </c>
      <c r="N22" s="19">
        <v>3.0</v>
      </c>
      <c r="O22" s="13">
        <f t="shared" si="3"/>
        <v>9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2.0</v>
      </c>
      <c r="G23" s="19">
        <v>0.0</v>
      </c>
      <c r="H23" s="19">
        <v>1.0</v>
      </c>
      <c r="I23" s="19">
        <v>2.0</v>
      </c>
      <c r="J23" s="19">
        <v>1.0</v>
      </c>
      <c r="K23" s="19">
        <v>2.0</v>
      </c>
      <c r="L23" s="19">
        <v>1.0</v>
      </c>
      <c r="M23" s="19">
        <v>1.0</v>
      </c>
      <c r="N23" s="19">
        <v>0.0</v>
      </c>
      <c r="O23" s="13">
        <f t="shared" si="3"/>
        <v>10</v>
      </c>
    </row>
    <row r="24" ht="12.75" customHeight="1">
      <c r="A24" s="35"/>
      <c r="B24" s="28"/>
      <c r="C24" s="36"/>
      <c r="D24" s="13" t="s">
        <v>14</v>
      </c>
      <c r="E24" s="13">
        <f t="shared" ref="E24:N24" si="5">SUM(E22:E23)</f>
        <v>0</v>
      </c>
      <c r="F24" s="13">
        <f t="shared" si="5"/>
        <v>3</v>
      </c>
      <c r="G24" s="13">
        <f t="shared" si="5"/>
        <v>2</v>
      </c>
      <c r="H24" s="13">
        <f t="shared" si="5"/>
        <v>2</v>
      </c>
      <c r="I24" s="13">
        <f t="shared" si="5"/>
        <v>2</v>
      </c>
      <c r="J24" s="13">
        <f t="shared" si="5"/>
        <v>2</v>
      </c>
      <c r="K24" s="13">
        <f t="shared" si="5"/>
        <v>2</v>
      </c>
      <c r="L24" s="13">
        <f t="shared" si="5"/>
        <v>1</v>
      </c>
      <c r="M24" s="13">
        <f t="shared" si="5"/>
        <v>2</v>
      </c>
      <c r="N24" s="13">
        <f t="shared" si="5"/>
        <v>3</v>
      </c>
      <c r="O24" s="13">
        <f t="shared" si="3"/>
        <v>19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3.0</v>
      </c>
      <c r="H25" s="19">
        <v>2.0</v>
      </c>
      <c r="I25" s="19">
        <v>0.0</v>
      </c>
      <c r="J25" s="19">
        <v>1.0</v>
      </c>
      <c r="K25" s="19">
        <v>2.0</v>
      </c>
      <c r="L25" s="19">
        <v>0.0</v>
      </c>
      <c r="M25" s="19">
        <v>0.0</v>
      </c>
      <c r="N25" s="19">
        <v>0.0</v>
      </c>
      <c r="O25" s="13">
        <f t="shared" si="3"/>
        <v>9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1.0</v>
      </c>
      <c r="H26" s="19">
        <v>2.0</v>
      </c>
      <c r="I26" s="19">
        <v>2.0</v>
      </c>
      <c r="J26" s="19">
        <v>0.0</v>
      </c>
      <c r="K26" s="19">
        <v>0.0</v>
      </c>
      <c r="L26" s="19">
        <v>0.0</v>
      </c>
      <c r="M26" s="19">
        <v>0.0</v>
      </c>
      <c r="N26" s="19">
        <v>2.0</v>
      </c>
      <c r="O26" s="13">
        <f t="shared" si="3"/>
        <v>7</v>
      </c>
    </row>
    <row r="27" ht="12.75" customHeight="1">
      <c r="A27" s="35"/>
      <c r="B27" s="28"/>
      <c r="C27" s="36"/>
      <c r="D27" s="13" t="s">
        <v>14</v>
      </c>
      <c r="E27" s="13">
        <f t="shared" ref="E27:N27" si="6">SUM(E25:E26)</f>
        <v>0</v>
      </c>
      <c r="F27" s="13">
        <f t="shared" si="6"/>
        <v>1</v>
      </c>
      <c r="G27" s="13">
        <f t="shared" si="6"/>
        <v>4</v>
      </c>
      <c r="H27" s="13">
        <f t="shared" si="6"/>
        <v>4</v>
      </c>
      <c r="I27" s="13">
        <f t="shared" si="6"/>
        <v>2</v>
      </c>
      <c r="J27" s="13">
        <f t="shared" si="6"/>
        <v>1</v>
      </c>
      <c r="K27" s="13">
        <f t="shared" si="6"/>
        <v>2</v>
      </c>
      <c r="L27" s="13">
        <f t="shared" si="6"/>
        <v>0</v>
      </c>
      <c r="M27" s="13">
        <f t="shared" si="6"/>
        <v>0</v>
      </c>
      <c r="N27" s="13">
        <f t="shared" si="6"/>
        <v>2</v>
      </c>
      <c r="O27" s="13">
        <f t="shared" si="3"/>
        <v>16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N28" si="7">SUM(E19,E22,E25)</f>
        <v>115</v>
      </c>
      <c r="F28" s="13">
        <f t="shared" si="7"/>
        <v>88</v>
      </c>
      <c r="G28" s="13">
        <f t="shared" si="7"/>
        <v>84</v>
      </c>
      <c r="H28" s="13">
        <f t="shared" si="7"/>
        <v>98</v>
      </c>
      <c r="I28" s="13">
        <f t="shared" si="7"/>
        <v>70</v>
      </c>
      <c r="J28" s="13">
        <f t="shared" si="7"/>
        <v>106</v>
      </c>
      <c r="K28" s="13">
        <f t="shared" si="7"/>
        <v>98</v>
      </c>
      <c r="L28" s="13">
        <f t="shared" si="7"/>
        <v>105</v>
      </c>
      <c r="M28" s="13">
        <f t="shared" si="7"/>
        <v>91</v>
      </c>
      <c r="N28" s="13">
        <f t="shared" si="7"/>
        <v>61</v>
      </c>
      <c r="O28" s="13">
        <f t="shared" si="3"/>
        <v>916</v>
      </c>
    </row>
    <row r="29" ht="12.75" customHeight="1">
      <c r="A29" s="35"/>
      <c r="B29" s="27"/>
      <c r="C29" s="34"/>
      <c r="D29" s="13" t="s">
        <v>13</v>
      </c>
      <c r="E29" s="13">
        <f t="shared" ref="E29:N29" si="8">SUM(E20,E23,E26)</f>
        <v>112</v>
      </c>
      <c r="F29" s="13">
        <f t="shared" si="8"/>
        <v>116</v>
      </c>
      <c r="G29" s="13">
        <f t="shared" si="8"/>
        <v>84</v>
      </c>
      <c r="H29" s="13">
        <f t="shared" si="8"/>
        <v>118</v>
      </c>
      <c r="I29" s="13">
        <f t="shared" si="8"/>
        <v>87</v>
      </c>
      <c r="J29" s="13">
        <f t="shared" si="8"/>
        <v>112</v>
      </c>
      <c r="K29" s="13">
        <f t="shared" si="8"/>
        <v>105</v>
      </c>
      <c r="L29" s="13">
        <f t="shared" si="8"/>
        <v>116</v>
      </c>
      <c r="M29" s="13">
        <f t="shared" si="8"/>
        <v>99</v>
      </c>
      <c r="N29" s="13">
        <f t="shared" si="8"/>
        <v>69</v>
      </c>
      <c r="O29" s="13">
        <f t="shared" si="3"/>
        <v>1018</v>
      </c>
    </row>
    <row r="30" ht="12.75" customHeight="1">
      <c r="A30" s="35"/>
      <c r="B30" s="28"/>
      <c r="C30" s="36"/>
      <c r="D30" s="13" t="s">
        <v>14</v>
      </c>
      <c r="E30" s="13">
        <f t="shared" ref="E30:N30" si="9">SUM(E28:E29)</f>
        <v>227</v>
      </c>
      <c r="F30" s="13">
        <f t="shared" si="9"/>
        <v>204</v>
      </c>
      <c r="G30" s="13">
        <f t="shared" si="9"/>
        <v>168</v>
      </c>
      <c r="H30" s="13">
        <f t="shared" si="9"/>
        <v>216</v>
      </c>
      <c r="I30" s="13">
        <f t="shared" si="9"/>
        <v>157</v>
      </c>
      <c r="J30" s="13">
        <f t="shared" si="9"/>
        <v>218</v>
      </c>
      <c r="K30" s="13">
        <f t="shared" si="9"/>
        <v>203</v>
      </c>
      <c r="L30" s="13">
        <f t="shared" si="9"/>
        <v>221</v>
      </c>
      <c r="M30" s="13">
        <f t="shared" si="9"/>
        <v>190</v>
      </c>
      <c r="N30" s="13">
        <f t="shared" si="9"/>
        <v>130</v>
      </c>
      <c r="O30" s="13">
        <f t="shared" si="3"/>
        <v>1934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6"/>
    </row>
    <row r="33" ht="12.75" customHeight="1">
      <c r="A33" s="19">
        <v>1.0</v>
      </c>
      <c r="B33" s="20" t="s">
        <v>27</v>
      </c>
      <c r="C33" s="15"/>
      <c r="D33" s="16"/>
      <c r="E33" s="19">
        <v>291.0</v>
      </c>
      <c r="F33" s="19">
        <v>262.0</v>
      </c>
      <c r="G33" s="19">
        <v>200.0</v>
      </c>
      <c r="H33" s="19">
        <v>285.0</v>
      </c>
      <c r="I33" s="19">
        <v>218.0</v>
      </c>
      <c r="J33" s="19">
        <v>272.0</v>
      </c>
      <c r="K33" s="19">
        <v>277.0</v>
      </c>
      <c r="L33" s="19">
        <v>299.0</v>
      </c>
      <c r="M33" s="19">
        <v>246.0</v>
      </c>
      <c r="N33" s="19">
        <v>156.0</v>
      </c>
      <c r="O33" s="13">
        <f t="shared" ref="O33:O36" si="10">SUM(E33:N33)</f>
        <v>2506</v>
      </c>
    </row>
    <row r="34" ht="12.75" customHeight="1">
      <c r="A34" s="19">
        <v>2.0</v>
      </c>
      <c r="B34" s="20" t="s">
        <v>28</v>
      </c>
      <c r="C34" s="15"/>
      <c r="D34" s="16"/>
      <c r="E34" s="13">
        <v>227.0</v>
      </c>
      <c r="F34" s="13">
        <v>204.0</v>
      </c>
      <c r="G34" s="13">
        <v>168.0</v>
      </c>
      <c r="H34" s="13">
        <v>216.0</v>
      </c>
      <c r="I34" s="13">
        <v>157.0</v>
      </c>
      <c r="J34" s="13">
        <v>218.0</v>
      </c>
      <c r="K34" s="13">
        <v>203.0</v>
      </c>
      <c r="L34" s="13">
        <v>221.0</v>
      </c>
      <c r="M34" s="13">
        <v>190.0</v>
      </c>
      <c r="N34" s="13">
        <v>130.0</v>
      </c>
      <c r="O34" s="13">
        <f t="shared" si="10"/>
        <v>1934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1.0</v>
      </c>
      <c r="K35" s="19">
        <v>2.0</v>
      </c>
      <c r="L35" s="19">
        <v>0.0</v>
      </c>
      <c r="M35" s="19">
        <v>0.0</v>
      </c>
      <c r="N35" s="19">
        <v>2.0</v>
      </c>
      <c r="O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N36" si="11">E33-(E34+E35)</f>
        <v>64</v>
      </c>
      <c r="F36" s="13">
        <f t="shared" si="11"/>
        <v>58</v>
      </c>
      <c r="G36" s="13">
        <f t="shared" si="11"/>
        <v>32</v>
      </c>
      <c r="H36" s="13">
        <f t="shared" si="11"/>
        <v>69</v>
      </c>
      <c r="I36" s="13">
        <f t="shared" si="11"/>
        <v>61</v>
      </c>
      <c r="J36" s="13">
        <f t="shared" si="11"/>
        <v>53</v>
      </c>
      <c r="K36" s="13">
        <f t="shared" si="11"/>
        <v>72</v>
      </c>
      <c r="L36" s="13">
        <f t="shared" si="11"/>
        <v>78</v>
      </c>
      <c r="M36" s="13">
        <f t="shared" si="11"/>
        <v>56</v>
      </c>
      <c r="N36" s="13">
        <f t="shared" si="11"/>
        <v>24</v>
      </c>
      <c r="O36" s="13">
        <f t="shared" si="10"/>
        <v>567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6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0.0</v>
      </c>
      <c r="G39" s="19">
        <v>0.0</v>
      </c>
      <c r="H39" s="19">
        <v>5.0</v>
      </c>
      <c r="I39" s="19">
        <v>0.0</v>
      </c>
      <c r="J39" s="19">
        <v>0.0</v>
      </c>
      <c r="K39" s="19">
        <v>0.0</v>
      </c>
      <c r="L39" s="19">
        <v>3.0</v>
      </c>
      <c r="M39" s="19">
        <v>0.0</v>
      </c>
      <c r="N39" s="19">
        <v>0.0</v>
      </c>
      <c r="O39" s="13">
        <f t="shared" ref="O39:O41" si="12">SUM(E39:N39)</f>
        <v>9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1.0</v>
      </c>
      <c r="H40" s="19">
        <v>0.0</v>
      </c>
      <c r="I40" s="19">
        <v>0.0</v>
      </c>
      <c r="J40" s="19">
        <v>0.0</v>
      </c>
      <c r="K40" s="19">
        <v>0.0</v>
      </c>
      <c r="L40" s="19">
        <v>1.0</v>
      </c>
      <c r="M40" s="19">
        <v>0.0</v>
      </c>
      <c r="N40" s="19">
        <v>0.0</v>
      </c>
      <c r="O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N41" si="13">SUM(E39:E40)</f>
        <v>1</v>
      </c>
      <c r="F41" s="13">
        <f t="shared" si="13"/>
        <v>0</v>
      </c>
      <c r="G41" s="13">
        <f t="shared" si="13"/>
        <v>1</v>
      </c>
      <c r="H41" s="13">
        <f t="shared" si="13"/>
        <v>5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4</v>
      </c>
      <c r="M41" s="13">
        <f t="shared" si="13"/>
        <v>0</v>
      </c>
      <c r="N41" s="13">
        <f t="shared" si="13"/>
        <v>0</v>
      </c>
      <c r="O41" s="13">
        <f t="shared" si="12"/>
        <v>11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5.0</v>
      </c>
      <c r="F45" s="19">
        <v>1.0</v>
      </c>
      <c r="G45" s="19">
        <v>1.0</v>
      </c>
      <c r="H45" s="19">
        <v>0.0</v>
      </c>
      <c r="I45" s="19">
        <v>2.0</v>
      </c>
      <c r="J45" s="19">
        <v>3.0</v>
      </c>
      <c r="K45" s="19">
        <v>6.0</v>
      </c>
      <c r="L45" s="19">
        <v>4.0</v>
      </c>
      <c r="M45" s="19">
        <v>11.0</v>
      </c>
      <c r="N45" s="19">
        <v>10.0</v>
      </c>
      <c r="O45" s="13">
        <f t="shared" ref="O45:O54" si="14">SUM(E45:N45)</f>
        <v>43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4.0</v>
      </c>
      <c r="F46" s="19">
        <v>6.0</v>
      </c>
      <c r="G46" s="19">
        <v>3.0</v>
      </c>
      <c r="H46" s="19">
        <v>9.0</v>
      </c>
      <c r="I46" s="19">
        <v>5.0</v>
      </c>
      <c r="J46" s="19">
        <v>8.0</v>
      </c>
      <c r="K46" s="19">
        <v>30.0</v>
      </c>
      <c r="L46" s="19">
        <v>12.0</v>
      </c>
      <c r="M46" s="19">
        <v>26.0</v>
      </c>
      <c r="N46" s="19">
        <v>21.0</v>
      </c>
      <c r="O46" s="13">
        <f t="shared" si="14"/>
        <v>124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0.0</v>
      </c>
      <c r="G47" s="19">
        <v>0.0</v>
      </c>
      <c r="H47" s="19">
        <v>3.0</v>
      </c>
      <c r="I47" s="19">
        <v>2.0</v>
      </c>
      <c r="J47" s="19">
        <v>2.0</v>
      </c>
      <c r="K47" s="19">
        <v>9.0</v>
      </c>
      <c r="L47" s="19">
        <v>1.0</v>
      </c>
      <c r="M47" s="19">
        <v>1.0</v>
      </c>
      <c r="N47" s="19">
        <v>0.0</v>
      </c>
      <c r="O47" s="13">
        <f t="shared" si="14"/>
        <v>19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1.0</v>
      </c>
      <c r="H48" s="19">
        <v>1.0</v>
      </c>
      <c r="I48" s="19">
        <v>0.0</v>
      </c>
      <c r="J48" s="19">
        <v>2.0</v>
      </c>
      <c r="K48" s="19">
        <v>2.0</v>
      </c>
      <c r="L48" s="19">
        <v>2.0</v>
      </c>
      <c r="M48" s="19">
        <v>1.0</v>
      </c>
      <c r="N48" s="19">
        <v>0.0</v>
      </c>
      <c r="O48" s="13">
        <f t="shared" si="14"/>
        <v>10</v>
      </c>
    </row>
    <row r="49" ht="12.75" customHeight="1">
      <c r="A49" s="18"/>
      <c r="B49" s="55">
        <v>4.0</v>
      </c>
      <c r="C49" s="50" t="s">
        <v>43</v>
      </c>
      <c r="D49" s="16"/>
      <c r="E49" s="19">
        <v>3.0</v>
      </c>
      <c r="F49" s="19">
        <v>1.0</v>
      </c>
      <c r="G49" s="19">
        <v>0.0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9">
        <v>2.0</v>
      </c>
      <c r="N49" s="19">
        <v>0.0</v>
      </c>
      <c r="O49" s="13">
        <f t="shared" si="14"/>
        <v>6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1.0</v>
      </c>
      <c r="K50" s="19">
        <v>0.0</v>
      </c>
      <c r="L50" s="19">
        <v>0.0</v>
      </c>
      <c r="M50" s="19">
        <v>0.0</v>
      </c>
      <c r="N50" s="19">
        <v>0.0</v>
      </c>
      <c r="O50" s="13">
        <f t="shared" si="14"/>
        <v>1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1.0</v>
      </c>
      <c r="L51" s="19">
        <v>0.0</v>
      </c>
      <c r="M51" s="19">
        <v>0.0</v>
      </c>
      <c r="N51" s="19">
        <v>1.0</v>
      </c>
      <c r="O51" s="13">
        <f t="shared" si="14"/>
        <v>2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1.0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3">
        <f t="shared" si="14"/>
        <v>1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O55" si="15">SUM(E45:E54)</f>
        <v>14</v>
      </c>
      <c r="F55" s="13">
        <f t="shared" si="15"/>
        <v>8</v>
      </c>
      <c r="G55" s="13">
        <f t="shared" si="15"/>
        <v>5</v>
      </c>
      <c r="H55" s="13">
        <f t="shared" si="15"/>
        <v>14</v>
      </c>
      <c r="I55" s="13">
        <f t="shared" si="15"/>
        <v>9</v>
      </c>
      <c r="J55" s="13">
        <f t="shared" si="15"/>
        <v>16</v>
      </c>
      <c r="K55" s="13">
        <f t="shared" si="15"/>
        <v>48</v>
      </c>
      <c r="L55" s="13">
        <f t="shared" si="15"/>
        <v>19</v>
      </c>
      <c r="M55" s="13">
        <f t="shared" si="15"/>
        <v>41</v>
      </c>
      <c r="N55" s="13">
        <f t="shared" si="15"/>
        <v>32</v>
      </c>
      <c r="O55" s="13">
        <f t="shared" si="15"/>
        <v>206</v>
      </c>
    </row>
    <row r="56" ht="12.75" customHeight="1">
      <c r="A56" s="45"/>
      <c r="B56" s="44"/>
      <c r="C56" s="44"/>
      <c r="D56" s="44"/>
      <c r="E56" s="44"/>
      <c r="O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13.0</v>
      </c>
      <c r="F57" s="19">
        <v>6.0</v>
      </c>
      <c r="G57" s="19">
        <v>6.0</v>
      </c>
      <c r="H57" s="19">
        <v>5.0</v>
      </c>
      <c r="I57" s="19">
        <v>4.0</v>
      </c>
      <c r="J57" s="19">
        <v>6.0</v>
      </c>
      <c r="K57" s="19">
        <v>5.0</v>
      </c>
      <c r="L57" s="19">
        <v>14.0</v>
      </c>
      <c r="M57" s="19">
        <v>6.0</v>
      </c>
      <c r="N57" s="19">
        <v>6.0</v>
      </c>
      <c r="O57" s="13">
        <f t="shared" ref="O57:O66" si="16">SUM(E57:N57)</f>
        <v>71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7.0</v>
      </c>
      <c r="F58" s="19">
        <v>3.0</v>
      </c>
      <c r="G58" s="19">
        <v>22.0</v>
      </c>
      <c r="H58" s="19">
        <v>7.0</v>
      </c>
      <c r="I58" s="19">
        <v>2.0</v>
      </c>
      <c r="J58" s="19">
        <v>2.0</v>
      </c>
      <c r="K58" s="19">
        <v>0.0</v>
      </c>
      <c r="L58" s="19">
        <v>12.0</v>
      </c>
      <c r="M58" s="19">
        <v>6.0</v>
      </c>
      <c r="N58" s="19">
        <v>0.0</v>
      </c>
      <c r="O58" s="13">
        <f t="shared" si="16"/>
        <v>61</v>
      </c>
    </row>
    <row r="59" ht="12.75" customHeight="1">
      <c r="A59" s="18"/>
      <c r="B59" s="55">
        <v>2.0</v>
      </c>
      <c r="C59" s="50" t="s">
        <v>50</v>
      </c>
      <c r="D59" s="59"/>
      <c r="E59" s="19">
        <v>3.0</v>
      </c>
      <c r="F59" s="19">
        <v>2.0</v>
      </c>
      <c r="G59" s="19">
        <v>2.0</v>
      </c>
      <c r="H59" s="19">
        <v>4.0</v>
      </c>
      <c r="I59" s="19">
        <v>0.0</v>
      </c>
      <c r="J59" s="19">
        <v>4.0</v>
      </c>
      <c r="K59" s="19">
        <v>4.0</v>
      </c>
      <c r="L59" s="19">
        <v>2.0</v>
      </c>
      <c r="M59" s="19">
        <v>0.0</v>
      </c>
      <c r="N59" s="19">
        <v>5.0</v>
      </c>
      <c r="O59" s="13">
        <f t="shared" si="16"/>
        <v>26</v>
      </c>
    </row>
    <row r="60" ht="12.75" customHeight="1">
      <c r="A60" s="18"/>
      <c r="B60" s="55">
        <v>3.0</v>
      </c>
      <c r="C60" s="50" t="s">
        <v>51</v>
      </c>
      <c r="D60" s="59"/>
      <c r="E60" s="19">
        <v>1.0</v>
      </c>
      <c r="F60" s="19">
        <v>0.0</v>
      </c>
      <c r="G60" s="19">
        <v>1.0</v>
      </c>
      <c r="H60" s="19">
        <v>0.0</v>
      </c>
      <c r="I60" s="19">
        <v>0.0</v>
      </c>
      <c r="J60" s="19">
        <v>2.0</v>
      </c>
      <c r="K60" s="19">
        <v>0.0</v>
      </c>
      <c r="L60" s="19">
        <v>0.0</v>
      </c>
      <c r="M60" s="19">
        <v>1.0</v>
      </c>
      <c r="N60" s="19">
        <v>0.0</v>
      </c>
      <c r="O60" s="13">
        <f t="shared" si="16"/>
        <v>5</v>
      </c>
    </row>
    <row r="61" ht="12.75" customHeight="1">
      <c r="A61" s="18"/>
      <c r="B61" s="55">
        <v>4.0</v>
      </c>
      <c r="C61" s="50" t="s">
        <v>52</v>
      </c>
      <c r="D61" s="59"/>
      <c r="E61" s="19">
        <v>2.0</v>
      </c>
      <c r="F61" s="19">
        <v>1.0</v>
      </c>
      <c r="G61" s="19">
        <v>7.0</v>
      </c>
      <c r="H61" s="19">
        <v>5.0</v>
      </c>
      <c r="I61" s="19">
        <v>4.0</v>
      </c>
      <c r="J61" s="19">
        <v>3.0</v>
      </c>
      <c r="K61" s="19">
        <v>40.0</v>
      </c>
      <c r="L61" s="19">
        <v>1.0</v>
      </c>
      <c r="M61" s="19">
        <v>29.0</v>
      </c>
      <c r="N61" s="19">
        <v>9.0</v>
      </c>
      <c r="O61" s="13">
        <f t="shared" si="16"/>
        <v>101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0.0</v>
      </c>
      <c r="G62" s="19">
        <v>1.0</v>
      </c>
      <c r="H62" s="19">
        <v>0.0</v>
      </c>
      <c r="I62" s="19">
        <v>1.0</v>
      </c>
      <c r="J62" s="19">
        <v>1.0</v>
      </c>
      <c r="K62" s="19">
        <v>0.0</v>
      </c>
      <c r="L62" s="19">
        <v>0.0</v>
      </c>
      <c r="M62" s="19">
        <v>0.0</v>
      </c>
      <c r="N62" s="19">
        <v>1.0</v>
      </c>
      <c r="O62" s="13">
        <f t="shared" si="16"/>
        <v>4</v>
      </c>
    </row>
    <row r="63" ht="12.75" customHeight="1">
      <c r="A63" s="18"/>
      <c r="B63" s="55">
        <v>6.0</v>
      </c>
      <c r="C63" s="50" t="s">
        <v>54</v>
      </c>
      <c r="D63" s="60"/>
      <c r="E63" s="19">
        <v>1.0</v>
      </c>
      <c r="F63" s="19">
        <v>1.0</v>
      </c>
      <c r="G63" s="19">
        <v>1.0</v>
      </c>
      <c r="H63" s="19">
        <v>1.0</v>
      </c>
      <c r="I63" s="19">
        <v>0.0</v>
      </c>
      <c r="J63" s="19">
        <v>0.0</v>
      </c>
      <c r="K63" s="19">
        <v>0.0</v>
      </c>
      <c r="L63" s="19">
        <v>0.0</v>
      </c>
      <c r="M63" s="19">
        <v>2.0</v>
      </c>
      <c r="N63" s="19">
        <v>0.0</v>
      </c>
      <c r="O63" s="13">
        <f t="shared" si="16"/>
        <v>6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0.0</v>
      </c>
      <c r="G64" s="19">
        <v>0.0</v>
      </c>
      <c r="H64" s="19">
        <v>1.0</v>
      </c>
      <c r="I64" s="19">
        <v>0.0</v>
      </c>
      <c r="J64" s="19">
        <v>0.0</v>
      </c>
      <c r="K64" s="19">
        <v>0.0</v>
      </c>
      <c r="L64" s="19">
        <v>0.0</v>
      </c>
      <c r="M64" s="19">
        <v>1.0</v>
      </c>
      <c r="N64" s="19">
        <v>0.0</v>
      </c>
      <c r="O64" s="13">
        <f t="shared" si="16"/>
        <v>2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O67" si="17">SUM(E57:E66)</f>
        <v>27</v>
      </c>
      <c r="F67" s="13">
        <f t="shared" si="17"/>
        <v>13</v>
      </c>
      <c r="G67" s="13">
        <f t="shared" si="17"/>
        <v>40</v>
      </c>
      <c r="H67" s="13">
        <f t="shared" si="17"/>
        <v>23</v>
      </c>
      <c r="I67" s="13">
        <f t="shared" si="17"/>
        <v>11</v>
      </c>
      <c r="J67" s="13">
        <f t="shared" si="17"/>
        <v>18</v>
      </c>
      <c r="K67" s="13">
        <f t="shared" si="17"/>
        <v>49</v>
      </c>
      <c r="L67" s="13">
        <f t="shared" si="17"/>
        <v>29</v>
      </c>
      <c r="M67" s="13">
        <f t="shared" si="17"/>
        <v>45</v>
      </c>
      <c r="N67" s="13">
        <f t="shared" si="17"/>
        <v>21</v>
      </c>
      <c r="O67" s="13">
        <f t="shared" si="17"/>
        <v>276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9.0</v>
      </c>
      <c r="F69" s="19">
        <v>14.0</v>
      </c>
      <c r="G69" s="19">
        <v>5.0</v>
      </c>
      <c r="H69" s="19">
        <v>4.0</v>
      </c>
      <c r="I69" s="19">
        <v>5.0</v>
      </c>
      <c r="J69" s="19">
        <v>4.0</v>
      </c>
      <c r="K69" s="19">
        <v>2.0</v>
      </c>
      <c r="L69" s="19">
        <v>7.0</v>
      </c>
      <c r="M69" s="19">
        <v>4.0</v>
      </c>
      <c r="N69" s="19">
        <v>5.0</v>
      </c>
      <c r="O69" s="13">
        <f t="shared" ref="O69:O78" si="18">SUM(E69:N69)</f>
        <v>59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8.0</v>
      </c>
      <c r="F70" s="19">
        <v>7.0</v>
      </c>
      <c r="G70" s="19">
        <v>6.0</v>
      </c>
      <c r="H70" s="19">
        <v>2.0</v>
      </c>
      <c r="I70" s="19">
        <v>5.0</v>
      </c>
      <c r="J70" s="19">
        <v>12.0</v>
      </c>
      <c r="K70" s="19">
        <v>3.0</v>
      </c>
      <c r="L70" s="19">
        <v>13.0</v>
      </c>
      <c r="M70" s="19">
        <v>4.0</v>
      </c>
      <c r="N70" s="19">
        <v>3.0</v>
      </c>
      <c r="O70" s="13">
        <f t="shared" si="18"/>
        <v>63</v>
      </c>
    </row>
    <row r="71" ht="12.75" customHeight="1">
      <c r="A71" s="18"/>
      <c r="B71" s="55">
        <v>2.0</v>
      </c>
      <c r="C71" s="50" t="s">
        <v>58</v>
      </c>
      <c r="D71" s="60"/>
      <c r="E71" s="19">
        <v>1.0</v>
      </c>
      <c r="F71" s="19">
        <v>7.0</v>
      </c>
      <c r="G71" s="19">
        <v>2.0</v>
      </c>
      <c r="H71" s="19">
        <v>6.0</v>
      </c>
      <c r="I71" s="19">
        <v>2.0</v>
      </c>
      <c r="J71" s="19">
        <v>1.0</v>
      </c>
      <c r="K71" s="19">
        <v>2.0</v>
      </c>
      <c r="L71" s="19">
        <v>5.0</v>
      </c>
      <c r="M71" s="19">
        <v>3.0</v>
      </c>
      <c r="N71" s="19">
        <v>1.0</v>
      </c>
      <c r="O71" s="13">
        <f t="shared" si="18"/>
        <v>30</v>
      </c>
    </row>
    <row r="72" ht="12.75" customHeight="1">
      <c r="A72" s="18"/>
      <c r="B72" s="55">
        <v>3.0</v>
      </c>
      <c r="C72" s="50" t="s">
        <v>59</v>
      </c>
      <c r="D72" s="60"/>
      <c r="E72" s="19">
        <v>3.0</v>
      </c>
      <c r="F72" s="19">
        <v>0.0</v>
      </c>
      <c r="G72" s="19">
        <v>2.0</v>
      </c>
      <c r="H72" s="19">
        <v>4.0</v>
      </c>
      <c r="I72" s="19">
        <v>0.0</v>
      </c>
      <c r="J72" s="19">
        <v>1.0</v>
      </c>
      <c r="K72" s="19">
        <v>0.0</v>
      </c>
      <c r="L72" s="19">
        <v>3.0</v>
      </c>
      <c r="M72" s="19">
        <v>0.0</v>
      </c>
      <c r="N72" s="19">
        <v>0.0</v>
      </c>
      <c r="O72" s="13">
        <f t="shared" si="18"/>
        <v>13</v>
      </c>
    </row>
    <row r="73" ht="12.75" customHeight="1">
      <c r="A73" s="18"/>
      <c r="B73" s="55">
        <v>4.0</v>
      </c>
      <c r="C73" s="50" t="s">
        <v>60</v>
      </c>
      <c r="D73" s="60"/>
      <c r="E73" s="19">
        <v>0.0</v>
      </c>
      <c r="F73" s="19">
        <v>1.0</v>
      </c>
      <c r="G73" s="19">
        <v>0.0</v>
      </c>
      <c r="H73" s="19">
        <v>2.0</v>
      </c>
      <c r="I73" s="19">
        <v>0.0</v>
      </c>
      <c r="J73" s="19">
        <v>2.0</v>
      </c>
      <c r="K73" s="19">
        <v>1.0</v>
      </c>
      <c r="L73" s="19">
        <v>0.0</v>
      </c>
      <c r="M73" s="19">
        <v>1.0</v>
      </c>
      <c r="N73" s="19">
        <v>0.0</v>
      </c>
      <c r="O73" s="13">
        <f t="shared" si="18"/>
        <v>7</v>
      </c>
    </row>
    <row r="74" ht="12.75" customHeight="1">
      <c r="A74" s="18"/>
      <c r="B74" s="55">
        <v>5.0</v>
      </c>
      <c r="C74" s="50" t="s">
        <v>61</v>
      </c>
      <c r="D74" s="60"/>
      <c r="E74" s="19">
        <v>11.0</v>
      </c>
      <c r="F74" s="19">
        <v>23.0</v>
      </c>
      <c r="G74" s="19">
        <v>3.0</v>
      </c>
      <c r="H74" s="19">
        <v>1.0</v>
      </c>
      <c r="I74" s="19">
        <v>7.0</v>
      </c>
      <c r="J74" s="19">
        <v>21.0</v>
      </c>
      <c r="K74" s="19">
        <v>12.0</v>
      </c>
      <c r="L74" s="19">
        <v>9.0</v>
      </c>
      <c r="M74" s="19">
        <v>3.0</v>
      </c>
      <c r="N74" s="19">
        <v>5.0</v>
      </c>
      <c r="O74" s="13">
        <f t="shared" si="18"/>
        <v>95</v>
      </c>
    </row>
    <row r="75" ht="12.75" customHeight="1">
      <c r="A75" s="18"/>
      <c r="B75" s="55">
        <v>6.0</v>
      </c>
      <c r="C75" s="50" t="s">
        <v>62</v>
      </c>
      <c r="D75" s="60"/>
      <c r="E75" s="19">
        <v>1.0</v>
      </c>
      <c r="F75" s="19">
        <v>0.0</v>
      </c>
      <c r="G75" s="19">
        <v>0.0</v>
      </c>
      <c r="H75" s="19">
        <v>1.0</v>
      </c>
      <c r="I75" s="19">
        <v>0.0</v>
      </c>
      <c r="J75" s="19">
        <v>0.0</v>
      </c>
      <c r="K75" s="19">
        <v>1.0</v>
      </c>
      <c r="L75" s="19">
        <v>0.0</v>
      </c>
      <c r="M75" s="19">
        <v>0.0</v>
      </c>
      <c r="N75" s="19">
        <v>0.0</v>
      </c>
      <c r="O75" s="13">
        <f t="shared" si="18"/>
        <v>3</v>
      </c>
    </row>
    <row r="76" ht="12.75" customHeight="1">
      <c r="A76" s="18"/>
      <c r="B76" s="55">
        <v>7.0</v>
      </c>
      <c r="C76" s="50" t="s">
        <v>63</v>
      </c>
      <c r="D76" s="60"/>
      <c r="E76" s="19">
        <v>1.0</v>
      </c>
      <c r="F76" s="19">
        <v>0.0</v>
      </c>
      <c r="G76" s="19">
        <v>0.0</v>
      </c>
      <c r="H76" s="19">
        <v>1.0</v>
      </c>
      <c r="I76" s="19">
        <v>9.0</v>
      </c>
      <c r="J76" s="19">
        <v>2.0</v>
      </c>
      <c r="K76" s="19">
        <v>0.0</v>
      </c>
      <c r="L76" s="19">
        <v>1.0</v>
      </c>
      <c r="M76" s="19">
        <v>0.0</v>
      </c>
      <c r="N76" s="19">
        <v>0.0</v>
      </c>
      <c r="O76" s="13">
        <f t="shared" si="18"/>
        <v>14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O79" si="19">SUM(E69:E78)</f>
        <v>34</v>
      </c>
      <c r="F79" s="13">
        <f t="shared" si="19"/>
        <v>52</v>
      </c>
      <c r="G79" s="13">
        <f t="shared" si="19"/>
        <v>18</v>
      </c>
      <c r="H79" s="13">
        <f t="shared" si="19"/>
        <v>21</v>
      </c>
      <c r="I79" s="13">
        <f t="shared" si="19"/>
        <v>28</v>
      </c>
      <c r="J79" s="13">
        <f t="shared" si="19"/>
        <v>43</v>
      </c>
      <c r="K79" s="13">
        <f t="shared" si="19"/>
        <v>21</v>
      </c>
      <c r="L79" s="13">
        <f t="shared" si="19"/>
        <v>38</v>
      </c>
      <c r="M79" s="13">
        <f t="shared" si="19"/>
        <v>15</v>
      </c>
      <c r="N79" s="13">
        <f t="shared" si="19"/>
        <v>14</v>
      </c>
      <c r="O79" s="13">
        <f t="shared" si="19"/>
        <v>284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5.0</v>
      </c>
      <c r="F81" s="19">
        <v>8.0</v>
      </c>
      <c r="G81" s="19">
        <v>2.0</v>
      </c>
      <c r="H81" s="19">
        <v>6.0</v>
      </c>
      <c r="I81" s="19">
        <v>4.0</v>
      </c>
      <c r="J81" s="19">
        <v>5.0</v>
      </c>
      <c r="K81" s="19">
        <v>6.0</v>
      </c>
      <c r="L81" s="19">
        <v>5.0</v>
      </c>
      <c r="M81" s="19">
        <v>6.0</v>
      </c>
      <c r="N81" s="19">
        <v>2.0</v>
      </c>
      <c r="O81" s="13">
        <f t="shared" ref="O81:O90" si="20">SUM(E81:N81)</f>
        <v>49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24.0</v>
      </c>
      <c r="F82" s="19">
        <v>17.0</v>
      </c>
      <c r="G82" s="19">
        <v>6.0</v>
      </c>
      <c r="H82" s="19">
        <v>44.0</v>
      </c>
      <c r="I82" s="19">
        <v>34.0</v>
      </c>
      <c r="J82" s="19">
        <v>60.0</v>
      </c>
      <c r="K82" s="19">
        <v>30.0</v>
      </c>
      <c r="L82" s="19">
        <v>9.0</v>
      </c>
      <c r="M82" s="19">
        <v>6.0</v>
      </c>
      <c r="N82" s="19">
        <v>5.0</v>
      </c>
      <c r="O82" s="13">
        <f t="shared" si="20"/>
        <v>235</v>
      </c>
    </row>
    <row r="83" ht="12.75" customHeight="1">
      <c r="A83" s="18"/>
      <c r="B83" s="55">
        <v>2.0</v>
      </c>
      <c r="C83" s="50" t="s">
        <v>66</v>
      </c>
      <c r="D83" s="60"/>
      <c r="E83" s="19">
        <v>13.0</v>
      </c>
      <c r="F83" s="19">
        <v>14.0</v>
      </c>
      <c r="G83" s="19">
        <v>12.0</v>
      </c>
      <c r="H83" s="19">
        <v>9.0</v>
      </c>
      <c r="I83" s="19">
        <v>7.0</v>
      </c>
      <c r="J83" s="19">
        <v>7.0</v>
      </c>
      <c r="K83" s="19">
        <v>9.0</v>
      </c>
      <c r="L83" s="19">
        <v>4.0</v>
      </c>
      <c r="M83" s="19">
        <v>21.0</v>
      </c>
      <c r="N83" s="19">
        <v>5.0</v>
      </c>
      <c r="O83" s="13">
        <f t="shared" si="20"/>
        <v>101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0.0</v>
      </c>
      <c r="G84" s="19">
        <v>0.0</v>
      </c>
      <c r="H84" s="19">
        <v>0.0</v>
      </c>
      <c r="I84" s="19">
        <v>1.0</v>
      </c>
      <c r="J84" s="19">
        <v>0.0</v>
      </c>
      <c r="K84" s="19">
        <v>2.0</v>
      </c>
      <c r="L84" s="19">
        <v>0.0</v>
      </c>
      <c r="M84" s="19">
        <v>0.0</v>
      </c>
      <c r="N84" s="19">
        <v>0.0</v>
      </c>
      <c r="O84" s="13">
        <f t="shared" si="20"/>
        <v>3</v>
      </c>
    </row>
    <row r="85" ht="12.75" customHeight="1">
      <c r="A85" s="18"/>
      <c r="B85" s="55">
        <v>4.0</v>
      </c>
      <c r="C85" s="50" t="s">
        <v>68</v>
      </c>
      <c r="D85" s="60"/>
      <c r="E85" s="19">
        <v>2.0</v>
      </c>
      <c r="F85" s="19">
        <v>2.0</v>
      </c>
      <c r="G85" s="19">
        <v>0.0</v>
      </c>
      <c r="H85" s="19">
        <v>0.0</v>
      </c>
      <c r="I85" s="19">
        <v>0.0</v>
      </c>
      <c r="J85" s="19">
        <v>1.0</v>
      </c>
      <c r="K85" s="19">
        <v>0.0</v>
      </c>
      <c r="L85" s="19">
        <v>1.0</v>
      </c>
      <c r="M85" s="19">
        <v>2.0</v>
      </c>
      <c r="N85" s="19">
        <v>0.0</v>
      </c>
      <c r="O85" s="13">
        <f t="shared" si="20"/>
        <v>8</v>
      </c>
    </row>
    <row r="86" ht="12.75" customHeight="1">
      <c r="A86" s="18"/>
      <c r="B86" s="55">
        <v>5.0</v>
      </c>
      <c r="C86" s="50" t="s">
        <v>69</v>
      </c>
      <c r="D86" s="60"/>
      <c r="E86" s="19">
        <v>4.0</v>
      </c>
      <c r="F86" s="19">
        <v>2.0</v>
      </c>
      <c r="G86" s="19">
        <v>0.0</v>
      </c>
      <c r="H86" s="19">
        <v>7.0</v>
      </c>
      <c r="I86" s="19">
        <v>1.0</v>
      </c>
      <c r="J86" s="19">
        <v>3.0</v>
      </c>
      <c r="K86" s="19">
        <v>0.0</v>
      </c>
      <c r="L86" s="19">
        <v>2.0</v>
      </c>
      <c r="M86" s="19">
        <v>2.0</v>
      </c>
      <c r="N86" s="19">
        <v>0.0</v>
      </c>
      <c r="O86" s="13">
        <f t="shared" si="20"/>
        <v>21</v>
      </c>
    </row>
    <row r="87" ht="12.75" customHeight="1">
      <c r="A87" s="18"/>
      <c r="B87" s="55">
        <v>6.0</v>
      </c>
      <c r="C87" s="50" t="s">
        <v>70</v>
      </c>
      <c r="D87" s="60"/>
      <c r="E87" s="19">
        <v>4.0</v>
      </c>
      <c r="F87" s="19">
        <v>0.0</v>
      </c>
      <c r="G87" s="19">
        <v>2.0</v>
      </c>
      <c r="H87" s="19">
        <v>0.0</v>
      </c>
      <c r="I87" s="19">
        <v>1.0</v>
      </c>
      <c r="J87" s="19">
        <v>0.0</v>
      </c>
      <c r="K87" s="19">
        <v>1.0</v>
      </c>
      <c r="L87" s="19">
        <v>2.0</v>
      </c>
      <c r="M87" s="19">
        <v>1.0</v>
      </c>
      <c r="N87" s="19">
        <v>0.0</v>
      </c>
      <c r="O87" s="13">
        <f t="shared" si="20"/>
        <v>11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3">
        <f t="shared" si="20"/>
        <v>0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O91" si="21">SUM(E81:E90)</f>
        <v>52</v>
      </c>
      <c r="F91" s="13">
        <f t="shared" si="21"/>
        <v>43</v>
      </c>
      <c r="G91" s="13">
        <f t="shared" si="21"/>
        <v>22</v>
      </c>
      <c r="H91" s="13">
        <f t="shared" si="21"/>
        <v>66</v>
      </c>
      <c r="I91" s="13">
        <f t="shared" si="21"/>
        <v>48</v>
      </c>
      <c r="J91" s="13">
        <f t="shared" si="21"/>
        <v>76</v>
      </c>
      <c r="K91" s="13">
        <f t="shared" si="21"/>
        <v>48</v>
      </c>
      <c r="L91" s="13">
        <f t="shared" si="21"/>
        <v>23</v>
      </c>
      <c r="M91" s="13">
        <f t="shared" si="21"/>
        <v>38</v>
      </c>
      <c r="N91" s="13">
        <f t="shared" si="21"/>
        <v>12</v>
      </c>
      <c r="O91" s="13">
        <f t="shared" si="21"/>
        <v>428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2.0</v>
      </c>
      <c r="F93" s="19">
        <v>2.0</v>
      </c>
      <c r="G93" s="19">
        <v>0.0</v>
      </c>
      <c r="H93" s="19">
        <v>3.0</v>
      </c>
      <c r="I93" s="19">
        <v>2.0</v>
      </c>
      <c r="J93" s="19">
        <v>0.0</v>
      </c>
      <c r="K93" s="19">
        <v>1.0</v>
      </c>
      <c r="L93" s="19">
        <v>1.0</v>
      </c>
      <c r="M93" s="19">
        <v>1.0</v>
      </c>
      <c r="N93" s="19">
        <v>0.0</v>
      </c>
      <c r="O93" s="13">
        <f t="shared" ref="O93:O102" si="22">SUM(E93:N93)</f>
        <v>12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2.0</v>
      </c>
      <c r="F94" s="19">
        <v>2.0</v>
      </c>
      <c r="G94" s="19">
        <v>1.0</v>
      </c>
      <c r="H94" s="19">
        <v>18.0</v>
      </c>
      <c r="I94" s="19">
        <v>6.0</v>
      </c>
      <c r="J94" s="19">
        <v>0.0</v>
      </c>
      <c r="K94" s="19">
        <v>0.0</v>
      </c>
      <c r="L94" s="19">
        <v>1.0</v>
      </c>
      <c r="M94" s="19">
        <v>0.0</v>
      </c>
      <c r="N94" s="19">
        <v>1.0</v>
      </c>
      <c r="O94" s="13">
        <f t="shared" si="22"/>
        <v>31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3">
        <f t="shared" si="22"/>
        <v>0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3">
        <f t="shared" si="22"/>
        <v>0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1.0</v>
      </c>
      <c r="K97" s="19">
        <v>2.0</v>
      </c>
      <c r="L97" s="19">
        <v>6.0</v>
      </c>
      <c r="M97" s="19">
        <v>1.0</v>
      </c>
      <c r="N97" s="19">
        <v>0.0</v>
      </c>
      <c r="O97" s="13">
        <f t="shared" si="22"/>
        <v>10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1.0</v>
      </c>
      <c r="K98" s="19">
        <v>0.0</v>
      </c>
      <c r="L98" s="19">
        <v>0.0</v>
      </c>
      <c r="M98" s="19">
        <v>0.0</v>
      </c>
      <c r="N98" s="19">
        <v>0.0</v>
      </c>
      <c r="O98" s="13">
        <f t="shared" si="22"/>
        <v>1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3">
        <f t="shared" si="22"/>
        <v>0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O103" si="23">SUM(E93:E102)</f>
        <v>4</v>
      </c>
      <c r="F103" s="13">
        <f t="shared" si="23"/>
        <v>4</v>
      </c>
      <c r="G103" s="13">
        <f t="shared" si="23"/>
        <v>1</v>
      </c>
      <c r="H103" s="13">
        <f t="shared" si="23"/>
        <v>21</v>
      </c>
      <c r="I103" s="13">
        <f t="shared" si="23"/>
        <v>8</v>
      </c>
      <c r="J103" s="13">
        <f t="shared" si="23"/>
        <v>2</v>
      </c>
      <c r="K103" s="13">
        <f t="shared" si="23"/>
        <v>3</v>
      </c>
      <c r="L103" s="13">
        <f t="shared" si="23"/>
        <v>8</v>
      </c>
      <c r="M103" s="13">
        <f t="shared" si="23"/>
        <v>2</v>
      </c>
      <c r="N103" s="13">
        <f t="shared" si="23"/>
        <v>1</v>
      </c>
      <c r="O103" s="13">
        <f t="shared" si="23"/>
        <v>54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3.0</v>
      </c>
      <c r="G105" s="19">
        <v>1.0</v>
      </c>
      <c r="H105" s="19">
        <v>1.0</v>
      </c>
      <c r="I105" s="19">
        <v>0.0</v>
      </c>
      <c r="J105" s="19">
        <v>1.0</v>
      </c>
      <c r="K105" s="19">
        <v>2.0</v>
      </c>
      <c r="L105" s="19">
        <v>0.0</v>
      </c>
      <c r="M105" s="19">
        <v>2.0</v>
      </c>
      <c r="N105" s="19">
        <v>1.0</v>
      </c>
      <c r="O105" s="13">
        <f t="shared" ref="O105:O114" si="24">SUM(E105:N105)</f>
        <v>11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0.0</v>
      </c>
      <c r="H106" s="19">
        <v>1.0</v>
      </c>
      <c r="I106" s="19">
        <v>1.0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3">
        <f t="shared" si="24"/>
        <v>2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1.0</v>
      </c>
      <c r="F107" s="19">
        <v>0.0</v>
      </c>
      <c r="G107" s="19">
        <v>0.0</v>
      </c>
      <c r="H107" s="19">
        <v>1.0</v>
      </c>
      <c r="I107" s="19">
        <v>0.0</v>
      </c>
      <c r="J107" s="19">
        <v>0.0</v>
      </c>
      <c r="K107" s="19">
        <v>0.0</v>
      </c>
      <c r="L107" s="19">
        <v>1.0</v>
      </c>
      <c r="M107" s="19">
        <v>0.0</v>
      </c>
      <c r="N107" s="19">
        <v>0.0</v>
      </c>
      <c r="O107" s="13">
        <f t="shared" si="24"/>
        <v>3</v>
      </c>
    </row>
    <row r="108" ht="12.75" customHeight="1">
      <c r="A108" s="18"/>
      <c r="B108" s="55">
        <v>3.0</v>
      </c>
      <c r="C108" s="50" t="s">
        <v>85</v>
      </c>
      <c r="D108" s="60"/>
      <c r="E108" s="7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60"/>
      <c r="E109" s="79">
        <v>1.0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60"/>
      <c r="E110" s="7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79">
        <v>0.0</v>
      </c>
      <c r="F111" s="19">
        <v>0.0</v>
      </c>
      <c r="G111" s="19">
        <v>0.0</v>
      </c>
      <c r="H111" s="19">
        <v>1.0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60"/>
      <c r="E112" s="7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3">
        <f t="shared" si="24"/>
        <v>0</v>
      </c>
    </row>
    <row r="113" ht="12.75" customHeight="1">
      <c r="A113" s="18"/>
      <c r="B113" s="56"/>
      <c r="C113" s="57"/>
      <c r="D113" s="62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3">
        <f t="shared" si="24"/>
        <v>0</v>
      </c>
    </row>
    <row r="114" ht="12.75" customHeight="1">
      <c r="A114" s="18"/>
      <c r="B114" s="56"/>
      <c r="C114" s="57"/>
      <c r="D114" s="62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O115" si="25">SUM(E105:E114)</f>
        <v>2</v>
      </c>
      <c r="F115" s="13">
        <f t="shared" si="25"/>
        <v>3</v>
      </c>
      <c r="G115" s="13">
        <f t="shared" si="25"/>
        <v>1</v>
      </c>
      <c r="H115" s="13">
        <f t="shared" si="25"/>
        <v>4</v>
      </c>
      <c r="I115" s="13">
        <f t="shared" si="25"/>
        <v>1</v>
      </c>
      <c r="J115" s="13">
        <f t="shared" si="25"/>
        <v>1</v>
      </c>
      <c r="K115" s="13">
        <f t="shared" si="25"/>
        <v>2</v>
      </c>
      <c r="L115" s="13">
        <f t="shared" si="25"/>
        <v>1</v>
      </c>
      <c r="M115" s="13">
        <f t="shared" si="25"/>
        <v>2</v>
      </c>
      <c r="N115" s="13">
        <f t="shared" si="25"/>
        <v>1</v>
      </c>
      <c r="O115" s="13">
        <f t="shared" si="25"/>
        <v>18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1.0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1.0</v>
      </c>
      <c r="N117" s="19">
        <v>1.0</v>
      </c>
      <c r="O117" s="13">
        <f t="shared" ref="O117:O126" si="26">SUM(E117:N117)</f>
        <v>3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1.0</v>
      </c>
      <c r="I118" s="19">
        <v>0.0</v>
      </c>
      <c r="J118" s="19">
        <v>1.0</v>
      </c>
      <c r="K118" s="19">
        <v>0.0</v>
      </c>
      <c r="L118" s="19">
        <v>0.0</v>
      </c>
      <c r="M118" s="19">
        <v>0.0</v>
      </c>
      <c r="N118" s="19">
        <v>0.0</v>
      </c>
      <c r="O118" s="13">
        <f t="shared" si="26"/>
        <v>2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1.0</v>
      </c>
      <c r="K119" s="19">
        <v>0.0</v>
      </c>
      <c r="L119" s="19">
        <v>2.0</v>
      </c>
      <c r="M119" s="19">
        <v>0.0</v>
      </c>
      <c r="N119" s="19">
        <v>0.0</v>
      </c>
      <c r="O119" s="13">
        <f t="shared" si="26"/>
        <v>3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3">
        <f t="shared" si="26"/>
        <v>0</v>
      </c>
    </row>
    <row r="121" ht="12.75" customHeight="1">
      <c r="A121" s="18"/>
      <c r="B121" s="56"/>
      <c r="C121" s="57"/>
      <c r="D121" s="61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3">
        <f t="shared" si="26"/>
        <v>0</v>
      </c>
    </row>
    <row r="122" ht="12.75" customHeight="1">
      <c r="A122" s="18"/>
      <c r="B122" s="56"/>
      <c r="C122" s="57"/>
      <c r="D122" s="61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3">
        <f t="shared" si="26"/>
        <v>0</v>
      </c>
    </row>
    <row r="123" ht="12.75" customHeight="1">
      <c r="A123" s="18"/>
      <c r="B123" s="56"/>
      <c r="C123" s="57"/>
      <c r="D123" s="61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O127" si="27">SUM(E117:E126)</f>
        <v>0</v>
      </c>
      <c r="F127" s="13">
        <f t="shared" si="27"/>
        <v>1</v>
      </c>
      <c r="G127" s="13">
        <f t="shared" si="27"/>
        <v>0</v>
      </c>
      <c r="H127" s="13">
        <f t="shared" si="27"/>
        <v>1</v>
      </c>
      <c r="I127" s="13">
        <f t="shared" si="27"/>
        <v>0</v>
      </c>
      <c r="J127" s="13">
        <f t="shared" si="27"/>
        <v>2</v>
      </c>
      <c r="K127" s="13">
        <f t="shared" si="27"/>
        <v>0</v>
      </c>
      <c r="L127" s="13">
        <f t="shared" si="27"/>
        <v>2</v>
      </c>
      <c r="M127" s="13">
        <f t="shared" si="27"/>
        <v>1</v>
      </c>
      <c r="N127" s="13">
        <f t="shared" si="27"/>
        <v>1</v>
      </c>
      <c r="O127" s="13">
        <f t="shared" si="27"/>
        <v>8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3.0</v>
      </c>
      <c r="G129" s="19">
        <v>1.0</v>
      </c>
      <c r="H129" s="19">
        <v>1.0</v>
      </c>
      <c r="I129" s="19">
        <v>0.0</v>
      </c>
      <c r="J129" s="19">
        <v>0.0</v>
      </c>
      <c r="K129" s="19">
        <v>1.0</v>
      </c>
      <c r="L129" s="19">
        <v>0.0</v>
      </c>
      <c r="M129" s="19">
        <v>0.0</v>
      </c>
      <c r="N129" s="19">
        <v>1.0</v>
      </c>
      <c r="O129" s="13">
        <f t="shared" ref="O129:O138" si="28">SUM(E129:N129)</f>
        <v>8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1.0</v>
      </c>
      <c r="F130" s="19">
        <v>1.0</v>
      </c>
      <c r="G130" s="19">
        <v>3.0</v>
      </c>
      <c r="H130" s="19">
        <v>1.0</v>
      </c>
      <c r="I130" s="19">
        <v>2.0</v>
      </c>
      <c r="J130" s="19">
        <v>0.0</v>
      </c>
      <c r="K130" s="19">
        <v>0.0</v>
      </c>
      <c r="L130" s="19">
        <v>1.0</v>
      </c>
      <c r="M130" s="19">
        <v>0.0</v>
      </c>
      <c r="N130" s="19">
        <v>0.0</v>
      </c>
      <c r="O130" s="13">
        <f t="shared" si="28"/>
        <v>9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2.0</v>
      </c>
      <c r="F131" s="19">
        <v>3.0</v>
      </c>
      <c r="G131" s="19">
        <v>2.0</v>
      </c>
      <c r="H131" s="19">
        <v>0.0</v>
      </c>
      <c r="I131" s="19">
        <v>4.0</v>
      </c>
      <c r="J131" s="19">
        <v>0.0</v>
      </c>
      <c r="K131" s="19">
        <v>2.0</v>
      </c>
      <c r="L131" s="19">
        <v>2.0</v>
      </c>
      <c r="M131" s="19">
        <v>3.0</v>
      </c>
      <c r="N131" s="19">
        <v>0.0</v>
      </c>
      <c r="O131" s="13">
        <f t="shared" si="28"/>
        <v>18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1.0</v>
      </c>
      <c r="M132" s="19">
        <v>0.0</v>
      </c>
      <c r="N132" s="19">
        <v>0.0</v>
      </c>
      <c r="O132" s="13">
        <f t="shared" si="28"/>
        <v>1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3">
        <f t="shared" si="28"/>
        <v>0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3">
        <f t="shared" si="28"/>
        <v>0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3">
        <f t="shared" si="28"/>
        <v>0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O139" si="29">SUM(E129:E138)</f>
        <v>4</v>
      </c>
      <c r="F139" s="13">
        <f t="shared" si="29"/>
        <v>7</v>
      </c>
      <c r="G139" s="13">
        <f t="shared" si="29"/>
        <v>6</v>
      </c>
      <c r="H139" s="13">
        <f t="shared" si="29"/>
        <v>2</v>
      </c>
      <c r="I139" s="13">
        <f t="shared" si="29"/>
        <v>6</v>
      </c>
      <c r="J139" s="13">
        <f t="shared" si="29"/>
        <v>0</v>
      </c>
      <c r="K139" s="13">
        <f t="shared" si="29"/>
        <v>3</v>
      </c>
      <c r="L139" s="13">
        <f t="shared" si="29"/>
        <v>4</v>
      </c>
      <c r="M139" s="13">
        <f t="shared" si="29"/>
        <v>3</v>
      </c>
      <c r="N139" s="13">
        <f t="shared" si="29"/>
        <v>1</v>
      </c>
      <c r="O139" s="13">
        <f t="shared" si="29"/>
        <v>36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3">
        <f t="shared" ref="O141:O150" si="30">SUM(E141:N141)</f>
        <v>0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3">
        <f t="shared" si="30"/>
        <v>0</v>
      </c>
    </row>
    <row r="143" ht="12.75" customHeight="1">
      <c r="A143" s="18"/>
      <c r="B143" s="55">
        <v>2.0</v>
      </c>
      <c r="C143" s="50" t="s">
        <v>107</v>
      </c>
      <c r="D143" s="60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O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13"/>
    </row>
    <row r="153" ht="12.75" customHeight="1">
      <c r="A153" s="30" t="s">
        <v>37</v>
      </c>
      <c r="B153" s="17" t="s">
        <v>113</v>
      </c>
      <c r="C153" s="64" t="s">
        <v>114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1.0</v>
      </c>
      <c r="J153" s="19">
        <v>0.0</v>
      </c>
      <c r="K153" s="19">
        <v>0.0</v>
      </c>
      <c r="L153" s="19">
        <v>0.0</v>
      </c>
      <c r="M153" s="19">
        <v>1.0</v>
      </c>
      <c r="N153" s="19">
        <v>0.0</v>
      </c>
      <c r="O153" s="13">
        <f t="shared" ref="O153:O156" si="32">SUM(E154:N154)</f>
        <v>0</v>
      </c>
    </row>
    <row r="154" ht="12.75" customHeight="1">
      <c r="A154" s="65" t="s">
        <v>39</v>
      </c>
      <c r="B154" s="55">
        <v>1.0</v>
      </c>
      <c r="C154" s="66" t="s">
        <v>115</v>
      </c>
      <c r="D154" s="60"/>
      <c r="E154" s="80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3">
        <f t="shared" si="32"/>
        <v>0</v>
      </c>
    </row>
    <row r="155" ht="12.75" customHeight="1">
      <c r="A155" s="18"/>
      <c r="B155" s="55">
        <v>2.0</v>
      </c>
      <c r="C155" s="66" t="s">
        <v>116</v>
      </c>
      <c r="D155" s="60"/>
      <c r="E155" s="80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3">
        <f t="shared" si="32"/>
        <v>0</v>
      </c>
    </row>
    <row r="156" ht="12.75" customHeight="1">
      <c r="A156" s="18"/>
      <c r="B156" s="55">
        <v>3.0</v>
      </c>
      <c r="C156" s="66" t="s">
        <v>117</v>
      </c>
      <c r="D156" s="60"/>
      <c r="E156" s="80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3">
        <f t="shared" si="32"/>
        <v>0</v>
      </c>
    </row>
    <row r="157" ht="12.75" customHeight="1">
      <c r="A157" s="18"/>
      <c r="B157" s="55">
        <v>4.0</v>
      </c>
      <c r="C157" s="66" t="s">
        <v>118</v>
      </c>
      <c r="D157" s="60"/>
      <c r="E157" s="80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3">
        <f t="shared" ref="O157:O162" si="33">SUM(E163:N163)</f>
        <v>2</v>
      </c>
    </row>
    <row r="158" ht="12.75" customHeight="1">
      <c r="A158" s="18"/>
      <c r="B158" s="56"/>
      <c r="C158" s="57"/>
      <c r="D158" s="61"/>
      <c r="E158" s="80"/>
      <c r="F158" s="19"/>
      <c r="G158" s="19"/>
      <c r="H158" s="19"/>
      <c r="I158" s="19"/>
      <c r="J158" s="19"/>
      <c r="K158" s="19"/>
      <c r="L158" s="19"/>
      <c r="M158" s="19"/>
      <c r="N158" s="19"/>
      <c r="O158" s="13">
        <f t="shared" si="33"/>
        <v>0</v>
      </c>
    </row>
    <row r="159" ht="12.75" customHeight="1">
      <c r="A159" s="18"/>
      <c r="B159" s="56"/>
      <c r="C159" s="57"/>
      <c r="D159" s="61"/>
      <c r="E159" s="80"/>
      <c r="F159" s="19"/>
      <c r="G159" s="19"/>
      <c r="H159" s="19"/>
      <c r="I159" s="19"/>
      <c r="J159" s="19"/>
      <c r="K159" s="19"/>
      <c r="L159" s="19"/>
      <c r="M159" s="19"/>
      <c r="N159" s="19"/>
      <c r="O159" s="13">
        <f t="shared" si="33"/>
        <v>0</v>
      </c>
    </row>
    <row r="160" ht="12.75" customHeight="1">
      <c r="A160" s="18"/>
      <c r="B160" s="56"/>
      <c r="C160" s="57"/>
      <c r="D160" s="62"/>
      <c r="E160" s="80"/>
      <c r="F160" s="19"/>
      <c r="G160" s="19"/>
      <c r="H160" s="19"/>
      <c r="I160" s="19"/>
      <c r="J160" s="19"/>
      <c r="K160" s="19"/>
      <c r="L160" s="19"/>
      <c r="M160" s="19"/>
      <c r="N160" s="19"/>
      <c r="O160" s="13">
        <f t="shared" si="33"/>
        <v>0</v>
      </c>
    </row>
    <row r="161" ht="12.75" customHeight="1">
      <c r="A161" s="18"/>
      <c r="B161" s="56"/>
      <c r="C161" s="67"/>
      <c r="D161" s="62"/>
      <c r="E161" s="80"/>
      <c r="F161" s="19"/>
      <c r="G161" s="19"/>
      <c r="H161" s="19"/>
      <c r="I161" s="19"/>
      <c r="J161" s="19"/>
      <c r="K161" s="19"/>
      <c r="L161" s="19"/>
      <c r="M161" s="19"/>
      <c r="N161" s="19"/>
      <c r="O161" s="13">
        <f t="shared" si="33"/>
        <v>1</v>
      </c>
    </row>
    <row r="162" ht="12.75" customHeight="1">
      <c r="A162" s="18"/>
      <c r="B162" s="56"/>
      <c r="C162" s="67"/>
      <c r="D162" s="62"/>
      <c r="E162" s="80"/>
      <c r="F162" s="19"/>
      <c r="G162" s="19"/>
      <c r="H162" s="19"/>
      <c r="I162" s="19"/>
      <c r="J162" s="19"/>
      <c r="K162" s="19"/>
      <c r="L162" s="19"/>
      <c r="M162" s="19"/>
      <c r="N162" s="19"/>
      <c r="O162" s="13">
        <f t="shared" si="33"/>
        <v>0</v>
      </c>
    </row>
    <row r="163" ht="12.75" customHeight="1">
      <c r="A163" s="19" t="s">
        <v>15</v>
      </c>
      <c r="B163" s="68" t="s">
        <v>47</v>
      </c>
      <c r="C163" s="44"/>
      <c r="D163" s="28"/>
      <c r="E163" s="13">
        <f t="shared" ref="E163:O163" si="34">SUM(E153:E162)</f>
        <v>0</v>
      </c>
      <c r="F163" s="13">
        <f t="shared" si="34"/>
        <v>0</v>
      </c>
      <c r="G163" s="13">
        <f t="shared" si="34"/>
        <v>0</v>
      </c>
      <c r="H163" s="13">
        <f t="shared" si="34"/>
        <v>0</v>
      </c>
      <c r="I163" s="13">
        <f t="shared" si="34"/>
        <v>1</v>
      </c>
      <c r="J163" s="13">
        <f t="shared" si="34"/>
        <v>0</v>
      </c>
      <c r="K163" s="13">
        <f t="shared" si="34"/>
        <v>0</v>
      </c>
      <c r="L163" s="13">
        <f t="shared" si="34"/>
        <v>0</v>
      </c>
      <c r="M163" s="13">
        <f t="shared" si="34"/>
        <v>1</v>
      </c>
      <c r="N163" s="13">
        <f t="shared" si="34"/>
        <v>0</v>
      </c>
      <c r="O163" s="13">
        <f t="shared" si="34"/>
        <v>3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3">
        <f t="shared" ref="O165:O174" si="35">SUM(E165:N165)</f>
        <v>0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3">
        <f t="shared" si="35"/>
        <v>0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1.0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3">
        <f t="shared" si="35"/>
        <v>1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3">
        <f t="shared" si="35"/>
        <v>0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1.0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3">
        <f t="shared" si="35"/>
        <v>1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3">
        <f t="shared" si="35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3">
        <f t="shared" si="35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3">
        <f t="shared" si="35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3">
        <f t="shared" si="35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3">
        <f t="shared" si="35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O175" si="36">SUM(E165:E174)</f>
        <v>0</v>
      </c>
      <c r="F175" s="13">
        <f t="shared" si="36"/>
        <v>0</v>
      </c>
      <c r="G175" s="13">
        <f t="shared" si="36"/>
        <v>1</v>
      </c>
      <c r="H175" s="13">
        <f t="shared" si="36"/>
        <v>1</v>
      </c>
      <c r="I175" s="13">
        <f t="shared" si="36"/>
        <v>0</v>
      </c>
      <c r="J175" s="13">
        <f t="shared" si="36"/>
        <v>0</v>
      </c>
      <c r="K175" s="13">
        <f t="shared" si="36"/>
        <v>0</v>
      </c>
      <c r="L175" s="13">
        <f t="shared" si="36"/>
        <v>0</v>
      </c>
      <c r="M175" s="13">
        <f t="shared" si="36"/>
        <v>0</v>
      </c>
      <c r="N175" s="13">
        <f t="shared" si="36"/>
        <v>0</v>
      </c>
      <c r="O175" s="13">
        <f t="shared" si="36"/>
        <v>2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0.0</v>
      </c>
      <c r="J177" s="19">
        <v>0.0</v>
      </c>
      <c r="K177" s="19">
        <v>0.0</v>
      </c>
      <c r="L177" s="19">
        <v>0.0</v>
      </c>
      <c r="M177" s="19">
        <v>1.0</v>
      </c>
      <c r="N177" s="19">
        <v>0.0</v>
      </c>
      <c r="O177" s="13">
        <f t="shared" ref="O177:O186" si="37">SUM(E177:N177)</f>
        <v>1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0.0</v>
      </c>
      <c r="G178" s="19">
        <v>2.0</v>
      </c>
      <c r="H178" s="19">
        <v>0.0</v>
      </c>
      <c r="I178" s="19">
        <v>0.0</v>
      </c>
      <c r="J178" s="19">
        <v>1.0</v>
      </c>
      <c r="K178" s="19">
        <v>0.0</v>
      </c>
      <c r="L178" s="19">
        <v>0.0</v>
      </c>
      <c r="M178" s="19">
        <v>1.0</v>
      </c>
      <c r="N178" s="19">
        <v>0.0</v>
      </c>
      <c r="O178" s="13">
        <f t="shared" si="37"/>
        <v>4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3.0</v>
      </c>
      <c r="F179" s="19">
        <v>1.0</v>
      </c>
      <c r="G179" s="19">
        <v>1.0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1.0</v>
      </c>
      <c r="N179" s="19">
        <v>0.0</v>
      </c>
      <c r="O179" s="13">
        <f t="shared" si="37"/>
        <v>6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1.0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1.0</v>
      </c>
      <c r="N180" s="19">
        <v>1.0</v>
      </c>
      <c r="O180" s="13">
        <f t="shared" si="37"/>
        <v>3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1.0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3">
        <f t="shared" si="37"/>
        <v>1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2.0</v>
      </c>
      <c r="I182" s="19">
        <v>1.0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3">
        <f t="shared" si="37"/>
        <v>3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1.0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3">
        <f t="shared" si="37"/>
        <v>1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3">
        <f t="shared" si="37"/>
        <v>0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3">
        <f t="shared" si="37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3">
        <f t="shared" si="37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O187" si="38">SUM(E177:E186)</f>
        <v>3</v>
      </c>
      <c r="F187" s="13">
        <f t="shared" si="38"/>
        <v>2</v>
      </c>
      <c r="G187" s="13">
        <f t="shared" si="38"/>
        <v>4</v>
      </c>
      <c r="H187" s="13">
        <f t="shared" si="38"/>
        <v>3</v>
      </c>
      <c r="I187" s="13">
        <f t="shared" si="38"/>
        <v>1</v>
      </c>
      <c r="J187" s="13">
        <f t="shared" si="38"/>
        <v>1</v>
      </c>
      <c r="K187" s="13">
        <f t="shared" si="38"/>
        <v>0</v>
      </c>
      <c r="L187" s="13">
        <f t="shared" si="38"/>
        <v>0</v>
      </c>
      <c r="M187" s="13">
        <f t="shared" si="38"/>
        <v>4</v>
      </c>
      <c r="N187" s="13">
        <f t="shared" si="38"/>
        <v>1</v>
      </c>
      <c r="O187" s="13">
        <f t="shared" si="38"/>
        <v>19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O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3">
        <f t="shared" ref="O189:O198" si="39">SUM(E189:N189)</f>
        <v>0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3">
        <f t="shared" si="39"/>
        <v>0</v>
      </c>
    </row>
    <row r="191" ht="12.75" customHeight="1">
      <c r="A191" s="18"/>
      <c r="B191" s="55">
        <v>2.0</v>
      </c>
      <c r="C191" s="50" t="s">
        <v>140</v>
      </c>
      <c r="D191" s="60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3">
        <f t="shared" si="39"/>
        <v>0</v>
      </c>
    </row>
    <row r="192" ht="12.75" customHeight="1">
      <c r="A192" s="18"/>
      <c r="B192" s="55">
        <v>3.0</v>
      </c>
      <c r="C192" s="50" t="s">
        <v>141</v>
      </c>
      <c r="D192" s="60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3">
        <f t="shared" si="39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3">
        <f t="shared" si="39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3">
        <f t="shared" si="39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3">
        <f t="shared" si="39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3">
        <f t="shared" si="39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3">
        <f t="shared" si="39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3">
        <f t="shared" si="39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O199" si="40">SUM(E189:E198)</f>
        <v>0</v>
      </c>
      <c r="F199" s="13">
        <f t="shared" si="40"/>
        <v>0</v>
      </c>
      <c r="G199" s="13">
        <f t="shared" si="40"/>
        <v>0</v>
      </c>
      <c r="H199" s="13">
        <f t="shared" si="40"/>
        <v>0</v>
      </c>
      <c r="I199" s="13">
        <f t="shared" si="40"/>
        <v>0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0</v>
      </c>
      <c r="N199" s="13">
        <f t="shared" si="40"/>
        <v>0</v>
      </c>
      <c r="O199" s="13">
        <f t="shared" si="40"/>
        <v>0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5.0</v>
      </c>
      <c r="F201" s="19">
        <v>2.0</v>
      </c>
      <c r="G201" s="19">
        <v>2.0</v>
      </c>
      <c r="H201" s="19">
        <v>1.0</v>
      </c>
      <c r="I201" s="19">
        <v>4.0</v>
      </c>
      <c r="J201" s="19">
        <v>3.0</v>
      </c>
      <c r="K201" s="19">
        <v>1.0</v>
      </c>
      <c r="L201" s="19">
        <v>16.0</v>
      </c>
      <c r="M201" s="19">
        <v>1.0</v>
      </c>
      <c r="N201" s="19">
        <v>1.0</v>
      </c>
      <c r="O201" s="13">
        <f t="shared" ref="O201:O210" si="41">SUM(E201:N201)</f>
        <v>36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9.0</v>
      </c>
      <c r="F202" s="19">
        <v>2.0</v>
      </c>
      <c r="G202" s="19">
        <v>8.0</v>
      </c>
      <c r="H202" s="19">
        <v>6.0</v>
      </c>
      <c r="I202" s="19">
        <v>7.0</v>
      </c>
      <c r="J202" s="19">
        <v>5.0</v>
      </c>
      <c r="K202" s="19">
        <v>1.0</v>
      </c>
      <c r="L202" s="19">
        <v>16.0</v>
      </c>
      <c r="M202" s="19">
        <v>1.0</v>
      </c>
      <c r="N202" s="19">
        <v>2.0</v>
      </c>
      <c r="O202" s="13">
        <f t="shared" si="41"/>
        <v>57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2.0</v>
      </c>
      <c r="F203" s="19">
        <v>0.0</v>
      </c>
      <c r="G203" s="19">
        <v>2.0</v>
      </c>
      <c r="H203" s="19">
        <v>0.0</v>
      </c>
      <c r="I203" s="19">
        <v>4.0</v>
      </c>
      <c r="J203" s="19">
        <v>2.0</v>
      </c>
      <c r="K203" s="19">
        <v>0.0</v>
      </c>
      <c r="L203" s="19">
        <v>10.0</v>
      </c>
      <c r="M203" s="19">
        <v>1.0</v>
      </c>
      <c r="N203" s="19">
        <v>0.0</v>
      </c>
      <c r="O203" s="13">
        <f t="shared" si="41"/>
        <v>21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1.0</v>
      </c>
      <c r="F204" s="19">
        <v>1.0</v>
      </c>
      <c r="G204" s="19">
        <v>1.0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3">
        <f t="shared" si="41"/>
        <v>3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0.0</v>
      </c>
      <c r="G205" s="19">
        <v>0.0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9">
        <v>1.0</v>
      </c>
      <c r="N205" s="19">
        <v>0.0</v>
      </c>
      <c r="O205" s="13">
        <f t="shared" si="41"/>
        <v>1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1.0</v>
      </c>
      <c r="G206" s="19">
        <v>0.0</v>
      </c>
      <c r="H206" s="19">
        <v>0.0</v>
      </c>
      <c r="I206" s="19">
        <v>2.0</v>
      </c>
      <c r="J206" s="19">
        <v>1.0</v>
      </c>
      <c r="K206" s="19">
        <v>0.0</v>
      </c>
      <c r="L206" s="19">
        <v>2.0</v>
      </c>
      <c r="M206" s="19">
        <v>0.0</v>
      </c>
      <c r="N206" s="19">
        <v>0.0</v>
      </c>
      <c r="O206" s="13">
        <f t="shared" si="41"/>
        <v>6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1.0</v>
      </c>
      <c r="N207" s="19">
        <v>0.0</v>
      </c>
      <c r="O207" s="13">
        <f t="shared" si="41"/>
        <v>1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2.0</v>
      </c>
      <c r="J208" s="19">
        <v>0.0</v>
      </c>
      <c r="K208" s="19">
        <v>0.0</v>
      </c>
      <c r="L208" s="19">
        <v>1.0</v>
      </c>
      <c r="M208" s="19">
        <v>0.0</v>
      </c>
      <c r="N208" s="19">
        <v>0.0</v>
      </c>
      <c r="O208" s="13">
        <f t="shared" si="41"/>
        <v>3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3">
        <f t="shared" si="41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3">
        <f t="shared" si="41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O211" si="42">SUM(E201:E210)</f>
        <v>17</v>
      </c>
      <c r="F211" s="13">
        <f t="shared" si="42"/>
        <v>6</v>
      </c>
      <c r="G211" s="13">
        <f t="shared" si="42"/>
        <v>13</v>
      </c>
      <c r="H211" s="13">
        <f t="shared" si="42"/>
        <v>7</v>
      </c>
      <c r="I211" s="13">
        <f t="shared" si="42"/>
        <v>19</v>
      </c>
      <c r="J211" s="13">
        <f t="shared" si="42"/>
        <v>11</v>
      </c>
      <c r="K211" s="13">
        <f t="shared" si="42"/>
        <v>2</v>
      </c>
      <c r="L211" s="13">
        <f t="shared" si="42"/>
        <v>45</v>
      </c>
      <c r="M211" s="13">
        <f t="shared" si="42"/>
        <v>5</v>
      </c>
      <c r="N211" s="13">
        <f t="shared" si="42"/>
        <v>3</v>
      </c>
      <c r="O211" s="13">
        <f t="shared" si="42"/>
        <v>128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2.0</v>
      </c>
      <c r="F213" s="19">
        <v>2.0</v>
      </c>
      <c r="G213" s="19">
        <v>2.0</v>
      </c>
      <c r="H213" s="19">
        <v>2.0</v>
      </c>
      <c r="I213" s="19">
        <v>1.0</v>
      </c>
      <c r="J213" s="19">
        <v>4.0</v>
      </c>
      <c r="K213" s="19">
        <v>2.0</v>
      </c>
      <c r="L213" s="19">
        <v>4.0</v>
      </c>
      <c r="M213" s="19">
        <v>1.0</v>
      </c>
      <c r="N213" s="19">
        <v>1.0</v>
      </c>
      <c r="O213" s="13">
        <f t="shared" ref="O213:O222" si="43">SUM(E213:N213)</f>
        <v>21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2.0</v>
      </c>
      <c r="F214" s="19">
        <v>1.0</v>
      </c>
      <c r="G214" s="19">
        <v>0.0</v>
      </c>
      <c r="H214" s="19">
        <v>1.0</v>
      </c>
      <c r="I214" s="19">
        <v>1.0</v>
      </c>
      <c r="J214" s="19">
        <v>2.0</v>
      </c>
      <c r="K214" s="19">
        <v>0.0</v>
      </c>
      <c r="L214" s="19">
        <v>1.0</v>
      </c>
      <c r="M214" s="19">
        <v>1.0</v>
      </c>
      <c r="N214" s="19">
        <v>1.0</v>
      </c>
      <c r="O214" s="13">
        <f t="shared" si="43"/>
        <v>10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24.0</v>
      </c>
      <c r="F215" s="19">
        <v>29.0</v>
      </c>
      <c r="G215" s="19">
        <v>14.0</v>
      </c>
      <c r="H215" s="19">
        <v>29.0</v>
      </c>
      <c r="I215" s="19">
        <v>11.0</v>
      </c>
      <c r="J215" s="19">
        <v>3.0</v>
      </c>
      <c r="K215" s="19">
        <v>6.0</v>
      </c>
      <c r="L215" s="19">
        <v>2.0</v>
      </c>
      <c r="M215" s="19">
        <v>7.0</v>
      </c>
      <c r="N215" s="19">
        <v>22.0</v>
      </c>
      <c r="O215" s="13">
        <f t="shared" si="43"/>
        <v>147</v>
      </c>
    </row>
    <row r="216" ht="12.75" customHeight="1">
      <c r="A216" s="18"/>
      <c r="B216" s="55">
        <v>3.0</v>
      </c>
      <c r="C216" s="69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1.0</v>
      </c>
      <c r="K216" s="19">
        <v>0.0</v>
      </c>
      <c r="L216" s="19">
        <v>0.0</v>
      </c>
      <c r="M216" s="19">
        <v>1.0</v>
      </c>
      <c r="N216" s="19">
        <v>0.0</v>
      </c>
      <c r="O216" s="13">
        <f t="shared" si="43"/>
        <v>2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3">
        <f t="shared" si="43"/>
        <v>0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1.0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1.0</v>
      </c>
      <c r="M218" s="19">
        <v>0.0</v>
      </c>
      <c r="N218" s="19">
        <v>0.0</v>
      </c>
      <c r="O218" s="13">
        <f t="shared" si="43"/>
        <v>2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3">
        <f t="shared" si="43"/>
        <v>0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3">
        <f t="shared" si="43"/>
        <v>0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3">
        <f t="shared" si="43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3">
        <f t="shared" si="43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O223" si="44">SUM(E213:E222)</f>
        <v>29</v>
      </c>
      <c r="F223" s="13">
        <f t="shared" si="44"/>
        <v>32</v>
      </c>
      <c r="G223" s="13">
        <f t="shared" si="44"/>
        <v>16</v>
      </c>
      <c r="H223" s="13">
        <f t="shared" si="44"/>
        <v>32</v>
      </c>
      <c r="I223" s="13">
        <f t="shared" si="44"/>
        <v>13</v>
      </c>
      <c r="J223" s="13">
        <f t="shared" si="44"/>
        <v>10</v>
      </c>
      <c r="K223" s="13">
        <f t="shared" si="44"/>
        <v>8</v>
      </c>
      <c r="L223" s="13">
        <f t="shared" si="44"/>
        <v>8</v>
      </c>
      <c r="M223" s="13">
        <f t="shared" si="44"/>
        <v>10</v>
      </c>
      <c r="N223" s="13">
        <f t="shared" si="44"/>
        <v>24</v>
      </c>
      <c r="O223" s="13">
        <f t="shared" si="44"/>
        <v>182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1.0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3">
        <f t="shared" ref="O225:O234" si="45">SUM(E225:N225)</f>
        <v>1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0.0</v>
      </c>
      <c r="H226" s="19">
        <v>3.0</v>
      </c>
      <c r="I226" s="19">
        <v>1.0</v>
      </c>
      <c r="J226" s="19">
        <v>1.0</v>
      </c>
      <c r="K226" s="19">
        <v>0.0</v>
      </c>
      <c r="L226" s="19">
        <v>0.0</v>
      </c>
      <c r="M226" s="19">
        <v>0.0</v>
      </c>
      <c r="N226" s="19">
        <v>0.0</v>
      </c>
      <c r="O226" s="13">
        <f t="shared" si="45"/>
        <v>5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1.0</v>
      </c>
      <c r="M227" s="19">
        <v>0.0</v>
      </c>
      <c r="N227" s="19">
        <v>0.0</v>
      </c>
      <c r="O227" s="13">
        <f t="shared" si="45"/>
        <v>1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3">
        <f t="shared" si="45"/>
        <v>0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3">
        <f t="shared" si="45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1.0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3">
        <f t="shared" si="45"/>
        <v>1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3">
        <f t="shared" si="45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1.0</v>
      </c>
      <c r="F232" s="19">
        <v>0.0</v>
      </c>
      <c r="G232" s="19">
        <v>0.0</v>
      </c>
      <c r="H232" s="19">
        <v>0.0</v>
      </c>
      <c r="I232" s="19">
        <v>0.0</v>
      </c>
      <c r="J232" s="19">
        <v>1.0</v>
      </c>
      <c r="K232" s="19">
        <v>0.0</v>
      </c>
      <c r="L232" s="19">
        <v>2.0</v>
      </c>
      <c r="M232" s="19">
        <v>0.0</v>
      </c>
      <c r="N232" s="19">
        <v>0.0</v>
      </c>
      <c r="O232" s="13">
        <f t="shared" si="45"/>
        <v>4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3">
        <f t="shared" si="45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3">
        <f t="shared" si="45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O235" si="46">SUM(E225:E234)</f>
        <v>1</v>
      </c>
      <c r="F235" s="13">
        <f t="shared" si="46"/>
        <v>0</v>
      </c>
      <c r="G235" s="13">
        <f t="shared" si="46"/>
        <v>0</v>
      </c>
      <c r="H235" s="13">
        <f t="shared" si="46"/>
        <v>5</v>
      </c>
      <c r="I235" s="13">
        <f t="shared" si="46"/>
        <v>1</v>
      </c>
      <c r="J235" s="13">
        <f t="shared" si="46"/>
        <v>2</v>
      </c>
      <c r="K235" s="13">
        <f t="shared" si="46"/>
        <v>0</v>
      </c>
      <c r="L235" s="13">
        <f t="shared" si="46"/>
        <v>3</v>
      </c>
      <c r="M235" s="13">
        <f t="shared" si="46"/>
        <v>0</v>
      </c>
      <c r="N235" s="13">
        <f t="shared" si="46"/>
        <v>0</v>
      </c>
      <c r="O235" s="13">
        <f t="shared" si="46"/>
        <v>12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1.0</v>
      </c>
      <c r="H237" s="19">
        <v>0.0</v>
      </c>
      <c r="I237" s="19">
        <v>0.0</v>
      </c>
      <c r="J237" s="19">
        <v>2.0</v>
      </c>
      <c r="K237" s="19">
        <v>0.0</v>
      </c>
      <c r="L237" s="19">
        <v>1.0</v>
      </c>
      <c r="M237" s="19">
        <v>1.0</v>
      </c>
      <c r="N237" s="19">
        <v>0.0</v>
      </c>
      <c r="O237" s="13">
        <f t="shared" ref="O237:O246" si="47">SUM(E237:N237)</f>
        <v>5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0.0</v>
      </c>
      <c r="F238" s="19">
        <v>0.0</v>
      </c>
      <c r="G238" s="19">
        <v>0.0</v>
      </c>
      <c r="H238" s="19">
        <v>0.0</v>
      </c>
      <c r="I238" s="19">
        <v>0.0</v>
      </c>
      <c r="J238" s="19">
        <v>0.0</v>
      </c>
      <c r="K238" s="19">
        <v>1.0</v>
      </c>
      <c r="L238" s="19">
        <v>0.0</v>
      </c>
      <c r="M238" s="19">
        <v>0.0</v>
      </c>
      <c r="N238" s="19">
        <v>0.0</v>
      </c>
      <c r="O238" s="13">
        <f t="shared" si="47"/>
        <v>1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0.0</v>
      </c>
      <c r="F239" s="19">
        <v>0.0</v>
      </c>
      <c r="G239" s="19">
        <v>0.0</v>
      </c>
      <c r="H239" s="19">
        <v>0.0</v>
      </c>
      <c r="I239" s="19">
        <v>0.0</v>
      </c>
      <c r="J239" s="19">
        <v>1.0</v>
      </c>
      <c r="K239" s="19">
        <v>0.0</v>
      </c>
      <c r="L239" s="19">
        <v>0.0</v>
      </c>
      <c r="M239" s="19">
        <v>1.0</v>
      </c>
      <c r="N239" s="19">
        <v>0.0</v>
      </c>
      <c r="O239" s="13">
        <f t="shared" si="47"/>
        <v>2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2.0</v>
      </c>
      <c r="I240" s="19">
        <v>1.0</v>
      </c>
      <c r="J240" s="19">
        <v>10.0</v>
      </c>
      <c r="K240" s="19">
        <v>2.0</v>
      </c>
      <c r="L240" s="19">
        <v>2.0</v>
      </c>
      <c r="M240" s="19">
        <v>1.0</v>
      </c>
      <c r="N240" s="19">
        <v>0.0</v>
      </c>
      <c r="O240" s="13">
        <f t="shared" si="47"/>
        <v>18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3">
        <f t="shared" si="47"/>
        <v>0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3">
        <f t="shared" si="47"/>
        <v>0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3">
        <f t="shared" si="47"/>
        <v>0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9">
        <v>0.0</v>
      </c>
      <c r="N244" s="19">
        <v>0.0</v>
      </c>
      <c r="O244" s="13">
        <f t="shared" si="47"/>
        <v>0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3">
        <f t="shared" si="47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3">
        <f t="shared" si="47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O247" si="48">SUM(E237:E246)</f>
        <v>0</v>
      </c>
      <c r="F247" s="13">
        <f t="shared" si="48"/>
        <v>0</v>
      </c>
      <c r="G247" s="13">
        <f t="shared" si="48"/>
        <v>1</v>
      </c>
      <c r="H247" s="13">
        <f t="shared" si="48"/>
        <v>2</v>
      </c>
      <c r="I247" s="13">
        <f t="shared" si="48"/>
        <v>1</v>
      </c>
      <c r="J247" s="13">
        <f t="shared" si="48"/>
        <v>13</v>
      </c>
      <c r="K247" s="13">
        <f t="shared" si="48"/>
        <v>3</v>
      </c>
      <c r="L247" s="13">
        <f t="shared" si="48"/>
        <v>3</v>
      </c>
      <c r="M247" s="13">
        <f t="shared" si="48"/>
        <v>3</v>
      </c>
      <c r="N247" s="13">
        <f t="shared" si="48"/>
        <v>0</v>
      </c>
      <c r="O247" s="13">
        <f t="shared" si="48"/>
        <v>26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1.0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1.0</v>
      </c>
      <c r="N249" s="19">
        <v>0.0</v>
      </c>
      <c r="O249" s="13">
        <f t="shared" ref="O249:O258" si="49">SUM(E249:N249)</f>
        <v>2</v>
      </c>
    </row>
    <row r="250" ht="12.75" customHeight="1">
      <c r="A250" s="30" t="s">
        <v>39</v>
      </c>
      <c r="B250" s="55">
        <v>1.0</v>
      </c>
      <c r="C250" s="66" t="s">
        <v>184</v>
      </c>
      <c r="D250" s="60"/>
      <c r="E250" s="19">
        <v>0.0</v>
      </c>
      <c r="F250" s="19">
        <v>0.0</v>
      </c>
      <c r="G250" s="19">
        <v>1.0</v>
      </c>
      <c r="H250" s="19">
        <v>0.0</v>
      </c>
      <c r="I250" s="19">
        <v>1.0</v>
      </c>
      <c r="J250" s="19">
        <v>0.0</v>
      </c>
      <c r="K250" s="19">
        <v>0.0</v>
      </c>
      <c r="L250" s="19">
        <v>1.0</v>
      </c>
      <c r="M250" s="19">
        <v>0.0</v>
      </c>
      <c r="N250" s="19">
        <v>0.0</v>
      </c>
      <c r="O250" s="13">
        <f t="shared" si="49"/>
        <v>3</v>
      </c>
    </row>
    <row r="251" ht="12.75" customHeight="1">
      <c r="A251" s="18"/>
      <c r="B251" s="55">
        <v>2.0</v>
      </c>
      <c r="C251" s="66" t="s">
        <v>185</v>
      </c>
      <c r="D251" s="60"/>
      <c r="E251" s="19">
        <v>1.0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3">
        <f t="shared" si="49"/>
        <v>1</v>
      </c>
    </row>
    <row r="252" ht="12.75" customHeight="1">
      <c r="A252" s="18"/>
      <c r="B252" s="55">
        <v>3.0</v>
      </c>
      <c r="C252" s="66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3">
        <f t="shared" si="49"/>
        <v>0</v>
      </c>
    </row>
    <row r="253" ht="12.75" customHeight="1">
      <c r="A253" s="18"/>
      <c r="B253" s="55">
        <v>4.0</v>
      </c>
      <c r="C253" s="66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3">
        <f t="shared" si="49"/>
        <v>0</v>
      </c>
    </row>
    <row r="254" ht="12.75" customHeight="1">
      <c r="A254" s="18"/>
      <c r="B254" s="55">
        <v>5.0</v>
      </c>
      <c r="C254" s="66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3">
        <f t="shared" si="49"/>
        <v>0</v>
      </c>
    </row>
    <row r="255" ht="12.75" customHeight="1">
      <c r="A255" s="18"/>
      <c r="B255" s="55">
        <v>6.0</v>
      </c>
      <c r="C255" s="66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3">
        <f t="shared" si="49"/>
        <v>0</v>
      </c>
    </row>
    <row r="256" ht="12.75" customHeight="1">
      <c r="A256" s="18"/>
      <c r="B256" s="56"/>
      <c r="C256" s="67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3">
        <f t="shared" si="49"/>
        <v>0</v>
      </c>
    </row>
    <row r="257" ht="12.75" customHeight="1">
      <c r="A257" s="18"/>
      <c r="B257" s="56"/>
      <c r="C257" s="67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3">
        <f t="shared" si="49"/>
        <v>0</v>
      </c>
    </row>
    <row r="258" ht="12.75" customHeight="1">
      <c r="A258" s="18"/>
      <c r="B258" s="56"/>
      <c r="C258" s="67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3">
        <f t="shared" si="49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O259" si="50">SUM(E249:E258)</f>
        <v>2</v>
      </c>
      <c r="F259" s="13">
        <f t="shared" si="50"/>
        <v>0</v>
      </c>
      <c r="G259" s="13">
        <f t="shared" si="50"/>
        <v>1</v>
      </c>
      <c r="H259" s="13">
        <f t="shared" si="50"/>
        <v>0</v>
      </c>
      <c r="I259" s="13">
        <f t="shared" si="50"/>
        <v>1</v>
      </c>
      <c r="J259" s="13">
        <f t="shared" si="50"/>
        <v>0</v>
      </c>
      <c r="K259" s="13">
        <f t="shared" si="50"/>
        <v>0</v>
      </c>
      <c r="L259" s="13">
        <f t="shared" si="50"/>
        <v>1</v>
      </c>
      <c r="M259" s="13">
        <f t="shared" si="50"/>
        <v>1</v>
      </c>
      <c r="N259" s="13">
        <f t="shared" si="50"/>
        <v>0</v>
      </c>
      <c r="O259" s="13">
        <f t="shared" si="50"/>
        <v>6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13"/>
    </row>
    <row r="262" ht="12.75" customHeight="1">
      <c r="A262" s="42"/>
      <c r="B262" s="70" t="s">
        <v>192</v>
      </c>
      <c r="C262" s="71" t="s">
        <v>193</v>
      </c>
      <c r="D262" s="16"/>
      <c r="E262" s="19">
        <f t="shared" ref="E262:N262" si="51">E55+E67+E79+E91+E103+E115+E127+E139+E151+E163+E175+E187+E199+E211+E223+E235+E247+E259</f>
        <v>189</v>
      </c>
      <c r="F262" s="19">
        <f t="shared" si="51"/>
        <v>171</v>
      </c>
      <c r="G262" s="19">
        <f t="shared" si="51"/>
        <v>129</v>
      </c>
      <c r="H262" s="19">
        <f t="shared" si="51"/>
        <v>202</v>
      </c>
      <c r="I262" s="19">
        <f t="shared" si="51"/>
        <v>148</v>
      </c>
      <c r="J262" s="19">
        <f t="shared" si="51"/>
        <v>195</v>
      </c>
      <c r="K262" s="19">
        <f t="shared" si="51"/>
        <v>187</v>
      </c>
      <c r="L262" s="19">
        <f t="shared" si="51"/>
        <v>184</v>
      </c>
      <c r="M262" s="19">
        <f t="shared" si="51"/>
        <v>171</v>
      </c>
      <c r="N262" s="19">
        <f t="shared" si="51"/>
        <v>111</v>
      </c>
      <c r="O262" s="13">
        <f t="shared" ref="O262:O264" si="52">SUM(E262:N262)</f>
        <v>1687</v>
      </c>
    </row>
    <row r="263" ht="12.75" customHeight="1">
      <c r="A263" s="35"/>
      <c r="B263" s="70" t="s">
        <v>194</v>
      </c>
      <c r="C263" s="71" t="s">
        <v>195</v>
      </c>
      <c r="D263" s="16"/>
      <c r="E263" s="19">
        <v>38.0</v>
      </c>
      <c r="F263" s="19">
        <v>33.0</v>
      </c>
      <c r="G263" s="19">
        <v>39.0</v>
      </c>
      <c r="H263" s="19">
        <v>14.0</v>
      </c>
      <c r="I263" s="19">
        <v>9.0</v>
      </c>
      <c r="J263" s="19">
        <v>23.0</v>
      </c>
      <c r="K263" s="19">
        <v>16.0</v>
      </c>
      <c r="L263" s="19">
        <v>37.0</v>
      </c>
      <c r="M263" s="19">
        <v>19.0</v>
      </c>
      <c r="N263" s="19">
        <v>19.0</v>
      </c>
      <c r="O263" s="13">
        <f t="shared" si="52"/>
        <v>247</v>
      </c>
    </row>
    <row r="264" ht="12.75" customHeight="1">
      <c r="A264" s="41"/>
      <c r="B264" s="70" t="s">
        <v>196</v>
      </c>
      <c r="C264" s="71" t="s">
        <v>197</v>
      </c>
      <c r="D264" s="16"/>
      <c r="E264" s="13">
        <v>227.0</v>
      </c>
      <c r="F264" s="13">
        <v>204.0</v>
      </c>
      <c r="G264" s="13">
        <v>168.0</v>
      </c>
      <c r="H264" s="13">
        <v>216.0</v>
      </c>
      <c r="I264" s="13">
        <v>157.0</v>
      </c>
      <c r="J264" s="13">
        <v>218.0</v>
      </c>
      <c r="K264" s="13">
        <v>203.0</v>
      </c>
      <c r="L264" s="13">
        <v>221.0</v>
      </c>
      <c r="M264" s="13">
        <v>190.0</v>
      </c>
      <c r="N264" s="13">
        <v>130.0</v>
      </c>
      <c r="O264" s="13">
        <f t="shared" si="52"/>
        <v>1934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N12"/>
    <mergeCell ref="O12:O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N15">
    <cfRule type="containsBlanks" dxfId="1" priority="1">
      <formula>LEN(TRIM(E14))=0</formula>
    </cfRule>
  </conditionalFormatting>
  <conditionalFormatting sqref="E19:N20">
    <cfRule type="containsBlanks" dxfId="1" priority="2">
      <formula>LEN(TRIM(E19))=0</formula>
    </cfRule>
  </conditionalFormatting>
  <conditionalFormatting sqref="E22:N23 E25:N26 E33:N33 E35:N35 E39:N40">
    <cfRule type="containsBlanks" dxfId="1" priority="3">
      <formula>LEN(TRIM(E22))=0</formula>
    </cfRule>
  </conditionalFormatting>
  <conditionalFormatting sqref="E30:N30">
    <cfRule type="expression" dxfId="0" priority="4">
      <formula>E30&lt;&gt;E47</formula>
    </cfRule>
  </conditionalFormatting>
  <conditionalFormatting sqref="E30:N30">
    <cfRule type="expression" dxfId="0" priority="5">
      <formula>E30&lt;&gt;E34</formula>
    </cfRule>
  </conditionalFormatting>
  <conditionalFormatting sqref="E34:N34">
    <cfRule type="expression" dxfId="2" priority="6">
      <formula>E30&lt;&gt;E34</formula>
    </cfRule>
  </conditionalFormatting>
  <conditionalFormatting sqref="E34:N34">
    <cfRule type="expression" dxfId="3" priority="7">
      <formula>E30=E34</formula>
    </cfRule>
  </conditionalFormatting>
  <conditionalFormatting sqref="E34:N34">
    <cfRule type="expression" dxfId="0" priority="8">
      <formula>E34&lt;&gt;E30</formula>
    </cfRule>
  </conditionalFormatting>
  <conditionalFormatting sqref="E34:N34">
    <cfRule type="expression" dxfId="0" priority="9">
      <formula>E34&lt;&gt;E64</formula>
    </cfRule>
  </conditionalFormatting>
  <conditionalFormatting sqref="E45:N54">
    <cfRule type="containsBlanks" dxfId="1" priority="10">
      <formula>LEN(TRIM(E45))=0</formula>
    </cfRule>
  </conditionalFormatting>
  <conditionalFormatting sqref="E57:N66">
    <cfRule type="containsBlanks" dxfId="1" priority="11">
      <formula>LEN(TRIM(E57))=0</formula>
    </cfRule>
  </conditionalFormatting>
  <conditionalFormatting sqref="E69:N78">
    <cfRule type="containsBlanks" dxfId="1" priority="12">
      <formula>LEN(TRIM(E69))=0</formula>
    </cfRule>
  </conditionalFormatting>
  <conditionalFormatting sqref="E81:N90">
    <cfRule type="containsBlanks" dxfId="1" priority="13">
      <formula>LEN(TRIM(E81))=0</formula>
    </cfRule>
  </conditionalFormatting>
  <conditionalFormatting sqref="E93:N102">
    <cfRule type="containsBlanks" dxfId="1" priority="14">
      <formula>LEN(TRIM(E93))=0</formula>
    </cfRule>
  </conditionalFormatting>
  <conditionalFormatting sqref="E105:N114">
    <cfRule type="containsBlanks" dxfId="1" priority="15">
      <formula>LEN(TRIM(E105))=0</formula>
    </cfRule>
  </conditionalFormatting>
  <conditionalFormatting sqref="E117:N126">
    <cfRule type="containsBlanks" dxfId="1" priority="16">
      <formula>LEN(TRIM(E117))=0</formula>
    </cfRule>
  </conditionalFormatting>
  <conditionalFormatting sqref="E129:N138">
    <cfRule type="containsBlanks" dxfId="1" priority="17">
      <formula>LEN(TRIM(E129))=0</formula>
    </cfRule>
  </conditionalFormatting>
  <conditionalFormatting sqref="E141:N150">
    <cfRule type="containsBlanks" dxfId="1" priority="18">
      <formula>LEN(TRIM(E141))=0</formula>
    </cfRule>
  </conditionalFormatting>
  <conditionalFormatting sqref="E153:N162">
    <cfRule type="containsBlanks" dxfId="1" priority="19">
      <formula>LEN(TRIM(E153))=0</formula>
    </cfRule>
  </conditionalFormatting>
  <conditionalFormatting sqref="E165:N174">
    <cfRule type="containsBlanks" dxfId="1" priority="20">
      <formula>LEN(TRIM(E165))=0</formula>
    </cfRule>
  </conditionalFormatting>
  <conditionalFormatting sqref="E177:N186">
    <cfRule type="containsBlanks" dxfId="1" priority="21">
      <formula>LEN(TRIM(E177))=0</formula>
    </cfRule>
  </conditionalFormatting>
  <conditionalFormatting sqref="E189:N198">
    <cfRule type="containsBlanks" dxfId="1" priority="22">
      <formula>LEN(TRIM(E189))=0</formula>
    </cfRule>
  </conditionalFormatting>
  <conditionalFormatting sqref="E201:N210">
    <cfRule type="containsBlanks" dxfId="1" priority="23">
      <formula>LEN(TRIM(E201))=0</formula>
    </cfRule>
  </conditionalFormatting>
  <conditionalFormatting sqref="E213:N222">
    <cfRule type="containsBlanks" dxfId="1" priority="24">
      <formula>LEN(TRIM(E213))=0</formula>
    </cfRule>
  </conditionalFormatting>
  <conditionalFormatting sqref="E225:N234">
    <cfRule type="containsBlanks" dxfId="1" priority="25">
      <formula>LEN(TRIM(E225))=0</formula>
    </cfRule>
  </conditionalFormatting>
  <conditionalFormatting sqref="E237:N246">
    <cfRule type="containsBlanks" dxfId="1" priority="26">
      <formula>LEN(TRIM(E237))=0</formula>
    </cfRule>
  </conditionalFormatting>
  <conditionalFormatting sqref="E249:N258">
    <cfRule type="containsBlanks" dxfId="1" priority="27">
      <formula>LEN(TRIM(E249))=0</formula>
    </cfRule>
  </conditionalFormatting>
  <conditionalFormatting sqref="E262:N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2"/>
      <c r="P11" s="2"/>
      <c r="Q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7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36"/>
    </row>
    <row r="14" ht="12.75" customHeight="1">
      <c r="A14" s="18"/>
      <c r="B14" s="22" t="s">
        <v>11</v>
      </c>
      <c r="C14" s="23"/>
      <c r="D14" s="19" t="s">
        <v>12</v>
      </c>
      <c r="E14" s="19">
        <v>146.0</v>
      </c>
      <c r="F14" s="19">
        <v>121.0</v>
      </c>
      <c r="G14" s="19">
        <v>131.0</v>
      </c>
      <c r="H14" s="19">
        <v>119.0</v>
      </c>
      <c r="I14" s="19">
        <v>136.0</v>
      </c>
      <c r="J14" s="19">
        <v>114.0</v>
      </c>
      <c r="K14" s="19">
        <v>105.0</v>
      </c>
      <c r="L14" s="19">
        <v>122.0</v>
      </c>
      <c r="M14" s="19">
        <v>115.0</v>
      </c>
      <c r="N14" s="19">
        <v>128.0</v>
      </c>
      <c r="O14" s="19">
        <v>139.0</v>
      </c>
      <c r="P14" s="19">
        <v>134.0</v>
      </c>
      <c r="Q14" s="19">
        <v>116.0</v>
      </c>
      <c r="R14" s="19">
        <v>120.0</v>
      </c>
      <c r="S14" s="13">
        <f t="shared" ref="S14:S16" si="1">SUM(E14:R14)</f>
        <v>1746</v>
      </c>
    </row>
    <row r="15" ht="12.75" customHeight="1">
      <c r="A15" s="18"/>
      <c r="B15" s="26"/>
      <c r="C15" s="27"/>
      <c r="D15" s="19" t="s">
        <v>13</v>
      </c>
      <c r="E15" s="19">
        <v>137.0</v>
      </c>
      <c r="F15" s="19">
        <v>124.0</v>
      </c>
      <c r="G15" s="19">
        <v>144.0</v>
      </c>
      <c r="H15" s="19">
        <v>121.0</v>
      </c>
      <c r="I15" s="19">
        <v>152.0</v>
      </c>
      <c r="J15" s="19">
        <v>97.0</v>
      </c>
      <c r="K15" s="19">
        <v>93.0</v>
      </c>
      <c r="L15" s="19">
        <v>123.0</v>
      </c>
      <c r="M15" s="19">
        <v>111.0</v>
      </c>
      <c r="N15" s="19">
        <v>114.0</v>
      </c>
      <c r="O15" s="19">
        <v>143.0</v>
      </c>
      <c r="P15" s="19">
        <v>143.0</v>
      </c>
      <c r="Q15" s="19">
        <v>108.0</v>
      </c>
      <c r="R15" s="19">
        <v>130.0</v>
      </c>
      <c r="S15" s="13">
        <f t="shared" si="1"/>
        <v>1740</v>
      </c>
    </row>
    <row r="16" ht="12.75" customHeight="1">
      <c r="A16" s="25"/>
      <c r="B16" s="21"/>
      <c r="C16" s="28"/>
      <c r="D16" s="13" t="s">
        <v>14</v>
      </c>
      <c r="E16" s="13">
        <f t="shared" ref="E16:R16" si="2">SUM(E14:E15)</f>
        <v>283</v>
      </c>
      <c r="F16" s="13">
        <f t="shared" si="2"/>
        <v>245</v>
      </c>
      <c r="G16" s="13">
        <f t="shared" si="2"/>
        <v>275</v>
      </c>
      <c r="H16" s="13">
        <f t="shared" si="2"/>
        <v>240</v>
      </c>
      <c r="I16" s="13">
        <f t="shared" si="2"/>
        <v>288</v>
      </c>
      <c r="J16" s="13">
        <f t="shared" si="2"/>
        <v>211</v>
      </c>
      <c r="K16" s="13">
        <f t="shared" si="2"/>
        <v>198</v>
      </c>
      <c r="L16" s="13">
        <f t="shared" si="2"/>
        <v>245</v>
      </c>
      <c r="M16" s="13">
        <f t="shared" si="2"/>
        <v>226</v>
      </c>
      <c r="N16" s="13">
        <f t="shared" si="2"/>
        <v>242</v>
      </c>
      <c r="O16" s="13">
        <f t="shared" si="2"/>
        <v>282</v>
      </c>
      <c r="P16" s="13">
        <f t="shared" si="2"/>
        <v>277</v>
      </c>
      <c r="Q16" s="13">
        <f t="shared" si="2"/>
        <v>224</v>
      </c>
      <c r="R16" s="13">
        <f t="shared" si="2"/>
        <v>250</v>
      </c>
      <c r="S16" s="13">
        <f t="shared" si="1"/>
        <v>3486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110.0</v>
      </c>
      <c r="F19" s="19">
        <v>100.0</v>
      </c>
      <c r="G19" s="19">
        <v>112.0</v>
      </c>
      <c r="H19" s="19">
        <v>95.0</v>
      </c>
      <c r="I19" s="19">
        <v>98.0</v>
      </c>
      <c r="J19" s="19">
        <v>90.0</v>
      </c>
      <c r="K19" s="19">
        <v>89.0</v>
      </c>
      <c r="L19" s="19">
        <v>96.0</v>
      </c>
      <c r="M19" s="19">
        <v>85.0</v>
      </c>
      <c r="N19" s="19">
        <v>95.0</v>
      </c>
      <c r="O19" s="19">
        <v>117.0</v>
      </c>
      <c r="P19" s="19">
        <v>111.0</v>
      </c>
      <c r="Q19" s="19">
        <v>82.0</v>
      </c>
      <c r="R19" s="19">
        <v>100.0</v>
      </c>
      <c r="S19" s="13">
        <f t="shared" ref="S19:S30" si="3">SUM(E19:R19)</f>
        <v>1380</v>
      </c>
    </row>
    <row r="20" ht="12.75" customHeight="1">
      <c r="A20" s="33"/>
      <c r="B20" s="27"/>
      <c r="C20" s="34"/>
      <c r="D20" s="19" t="s">
        <v>13</v>
      </c>
      <c r="E20" s="19">
        <v>110.0</v>
      </c>
      <c r="F20" s="19">
        <v>106.0</v>
      </c>
      <c r="G20" s="19">
        <v>126.0</v>
      </c>
      <c r="H20" s="19">
        <v>99.0</v>
      </c>
      <c r="I20" s="19">
        <v>116.0</v>
      </c>
      <c r="J20" s="19">
        <v>81.0</v>
      </c>
      <c r="K20" s="19">
        <v>82.0</v>
      </c>
      <c r="L20" s="19">
        <v>103.0</v>
      </c>
      <c r="M20" s="19">
        <v>91.0</v>
      </c>
      <c r="N20" s="19">
        <v>93.0</v>
      </c>
      <c r="O20" s="19">
        <v>124.0</v>
      </c>
      <c r="P20" s="19">
        <v>125.0</v>
      </c>
      <c r="Q20" s="19">
        <v>82.0</v>
      </c>
      <c r="R20" s="19">
        <v>115.0</v>
      </c>
      <c r="S20" s="13">
        <f t="shared" si="3"/>
        <v>1453</v>
      </c>
    </row>
    <row r="21" ht="12.75" customHeight="1">
      <c r="A21" s="35"/>
      <c r="B21" s="28"/>
      <c r="C21" s="36"/>
      <c r="D21" s="13" t="s">
        <v>14</v>
      </c>
      <c r="E21" s="13">
        <f t="shared" ref="E21:R21" si="4">SUM(E19:E20)</f>
        <v>220</v>
      </c>
      <c r="F21" s="13">
        <f t="shared" si="4"/>
        <v>206</v>
      </c>
      <c r="G21" s="13">
        <f t="shared" si="4"/>
        <v>238</v>
      </c>
      <c r="H21" s="13">
        <f t="shared" si="4"/>
        <v>194</v>
      </c>
      <c r="I21" s="13">
        <f t="shared" si="4"/>
        <v>214</v>
      </c>
      <c r="J21" s="13">
        <f t="shared" si="4"/>
        <v>171</v>
      </c>
      <c r="K21" s="13">
        <f t="shared" si="4"/>
        <v>171</v>
      </c>
      <c r="L21" s="13">
        <f t="shared" si="4"/>
        <v>199</v>
      </c>
      <c r="M21" s="13">
        <f t="shared" si="4"/>
        <v>176</v>
      </c>
      <c r="N21" s="13">
        <f t="shared" si="4"/>
        <v>188</v>
      </c>
      <c r="O21" s="13">
        <f t="shared" si="4"/>
        <v>241</v>
      </c>
      <c r="P21" s="13">
        <f t="shared" si="4"/>
        <v>236</v>
      </c>
      <c r="Q21" s="13">
        <f t="shared" si="4"/>
        <v>164</v>
      </c>
      <c r="R21" s="13">
        <f t="shared" si="4"/>
        <v>215</v>
      </c>
      <c r="S21" s="13">
        <f t="shared" si="3"/>
        <v>2833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3.0</v>
      </c>
      <c r="I22" s="19">
        <v>0.0</v>
      </c>
      <c r="J22" s="19">
        <v>1.0</v>
      </c>
      <c r="K22" s="19">
        <v>0.0</v>
      </c>
      <c r="L22" s="19">
        <v>1.0</v>
      </c>
      <c r="M22" s="19">
        <v>0.0</v>
      </c>
      <c r="N22" s="19">
        <v>0.0</v>
      </c>
      <c r="O22" s="19">
        <v>0.0</v>
      </c>
      <c r="P22" s="19">
        <v>1.0</v>
      </c>
      <c r="Q22" s="19">
        <v>0.0</v>
      </c>
      <c r="R22" s="19">
        <v>0.0</v>
      </c>
      <c r="S22" s="13">
        <f t="shared" si="3"/>
        <v>6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2.0</v>
      </c>
      <c r="I23" s="19">
        <v>2.0</v>
      </c>
      <c r="J23" s="19">
        <v>1.0</v>
      </c>
      <c r="K23" s="19">
        <v>1.0</v>
      </c>
      <c r="L23" s="19">
        <v>0.0</v>
      </c>
      <c r="M23" s="19">
        <v>1.0</v>
      </c>
      <c r="N23" s="19">
        <v>0.0</v>
      </c>
      <c r="O23" s="19">
        <v>0.0</v>
      </c>
      <c r="P23" s="19">
        <v>1.0</v>
      </c>
      <c r="Q23" s="19">
        <v>1.0</v>
      </c>
      <c r="R23" s="19">
        <v>0.0</v>
      </c>
      <c r="S23" s="13">
        <f t="shared" si="3"/>
        <v>9</v>
      </c>
    </row>
    <row r="24" ht="12.75" customHeight="1">
      <c r="A24" s="35"/>
      <c r="B24" s="28"/>
      <c r="C24" s="36"/>
      <c r="D24" s="13" t="s">
        <v>14</v>
      </c>
      <c r="E24" s="13">
        <f t="shared" ref="E24:R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5</v>
      </c>
      <c r="I24" s="13">
        <f t="shared" si="5"/>
        <v>2</v>
      </c>
      <c r="J24" s="13">
        <f t="shared" si="5"/>
        <v>2</v>
      </c>
      <c r="K24" s="13">
        <f t="shared" si="5"/>
        <v>1</v>
      </c>
      <c r="L24" s="13">
        <f t="shared" si="5"/>
        <v>1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2</v>
      </c>
      <c r="Q24" s="13">
        <f t="shared" si="5"/>
        <v>1</v>
      </c>
      <c r="R24" s="13">
        <f t="shared" si="5"/>
        <v>0</v>
      </c>
      <c r="S24" s="13">
        <f t="shared" si="3"/>
        <v>15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1.0</v>
      </c>
      <c r="G25" s="19">
        <v>0.0</v>
      </c>
      <c r="H25" s="19">
        <v>1.0</v>
      </c>
      <c r="I25" s="19">
        <v>0.0</v>
      </c>
      <c r="J25" s="19">
        <v>0.0</v>
      </c>
      <c r="K25" s="19">
        <v>0.0</v>
      </c>
      <c r="L25" s="19">
        <v>2.0</v>
      </c>
      <c r="M25" s="19">
        <v>0.0</v>
      </c>
      <c r="N25" s="19">
        <v>3.0</v>
      </c>
      <c r="O25" s="19">
        <v>0.0</v>
      </c>
      <c r="P25" s="19">
        <v>2.0</v>
      </c>
      <c r="Q25" s="19">
        <v>4.0</v>
      </c>
      <c r="R25" s="19">
        <v>0.0</v>
      </c>
      <c r="S25" s="13">
        <f t="shared" si="3"/>
        <v>15</v>
      </c>
    </row>
    <row r="26" ht="12.75" customHeight="1">
      <c r="A26" s="33"/>
      <c r="B26" s="27"/>
      <c r="C26" s="34"/>
      <c r="D26" s="19" t="s">
        <v>13</v>
      </c>
      <c r="E26" s="19">
        <v>4.0</v>
      </c>
      <c r="F26" s="19">
        <v>1.0</v>
      </c>
      <c r="G26" s="19">
        <v>0.0</v>
      </c>
      <c r="H26" s="19">
        <v>0.0</v>
      </c>
      <c r="I26" s="19">
        <v>1.0</v>
      </c>
      <c r="J26" s="19">
        <v>0.0</v>
      </c>
      <c r="K26" s="19">
        <v>2.0</v>
      </c>
      <c r="L26" s="19">
        <v>3.0</v>
      </c>
      <c r="M26" s="19">
        <v>3.0</v>
      </c>
      <c r="N26" s="19">
        <v>3.0</v>
      </c>
      <c r="O26" s="19">
        <v>3.0</v>
      </c>
      <c r="P26" s="19">
        <v>1.0</v>
      </c>
      <c r="Q26" s="19">
        <v>2.0</v>
      </c>
      <c r="R26" s="19">
        <v>0.0</v>
      </c>
      <c r="S26" s="13">
        <f t="shared" si="3"/>
        <v>23</v>
      </c>
    </row>
    <row r="27" ht="12.75" customHeight="1">
      <c r="A27" s="35"/>
      <c r="B27" s="28"/>
      <c r="C27" s="36"/>
      <c r="D27" s="13" t="s">
        <v>14</v>
      </c>
      <c r="E27" s="13">
        <f t="shared" ref="E27:R27" si="6">SUM(E25:E26)</f>
        <v>6</v>
      </c>
      <c r="F27" s="13">
        <f t="shared" si="6"/>
        <v>2</v>
      </c>
      <c r="G27" s="13">
        <f t="shared" si="6"/>
        <v>0</v>
      </c>
      <c r="H27" s="13">
        <f t="shared" si="6"/>
        <v>1</v>
      </c>
      <c r="I27" s="13">
        <f t="shared" si="6"/>
        <v>1</v>
      </c>
      <c r="J27" s="13">
        <f t="shared" si="6"/>
        <v>0</v>
      </c>
      <c r="K27" s="13">
        <f t="shared" si="6"/>
        <v>2</v>
      </c>
      <c r="L27" s="13">
        <f t="shared" si="6"/>
        <v>5</v>
      </c>
      <c r="M27" s="13">
        <f t="shared" si="6"/>
        <v>3</v>
      </c>
      <c r="N27" s="13">
        <f t="shared" si="6"/>
        <v>6</v>
      </c>
      <c r="O27" s="13">
        <f t="shared" si="6"/>
        <v>3</v>
      </c>
      <c r="P27" s="13">
        <f t="shared" si="6"/>
        <v>3</v>
      </c>
      <c r="Q27" s="13">
        <f t="shared" si="6"/>
        <v>6</v>
      </c>
      <c r="R27" s="13">
        <f t="shared" si="6"/>
        <v>0</v>
      </c>
      <c r="S27" s="13">
        <f t="shared" si="3"/>
        <v>38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R28" si="7">SUM(E19,E22,E25)</f>
        <v>112</v>
      </c>
      <c r="F28" s="13">
        <f t="shared" si="7"/>
        <v>101</v>
      </c>
      <c r="G28" s="13">
        <f t="shared" si="7"/>
        <v>112</v>
      </c>
      <c r="H28" s="13">
        <f t="shared" si="7"/>
        <v>99</v>
      </c>
      <c r="I28" s="13">
        <f t="shared" si="7"/>
        <v>98</v>
      </c>
      <c r="J28" s="13">
        <f t="shared" si="7"/>
        <v>91</v>
      </c>
      <c r="K28" s="13">
        <f t="shared" si="7"/>
        <v>89</v>
      </c>
      <c r="L28" s="13">
        <f t="shared" si="7"/>
        <v>99</v>
      </c>
      <c r="M28" s="13">
        <f t="shared" si="7"/>
        <v>85</v>
      </c>
      <c r="N28" s="13">
        <f t="shared" si="7"/>
        <v>98</v>
      </c>
      <c r="O28" s="13">
        <f t="shared" si="7"/>
        <v>117</v>
      </c>
      <c r="P28" s="13">
        <f t="shared" si="7"/>
        <v>114</v>
      </c>
      <c r="Q28" s="13">
        <f t="shared" si="7"/>
        <v>86</v>
      </c>
      <c r="R28" s="13">
        <f t="shared" si="7"/>
        <v>100</v>
      </c>
      <c r="S28" s="13">
        <f t="shared" si="3"/>
        <v>1401</v>
      </c>
    </row>
    <row r="29" ht="12.75" customHeight="1">
      <c r="A29" s="35"/>
      <c r="B29" s="27"/>
      <c r="C29" s="34"/>
      <c r="D29" s="13" t="s">
        <v>13</v>
      </c>
      <c r="E29" s="13">
        <f t="shared" ref="E29:R29" si="8">SUM(E20,E23,E26)</f>
        <v>114</v>
      </c>
      <c r="F29" s="13">
        <f t="shared" si="8"/>
        <v>107</v>
      </c>
      <c r="G29" s="13">
        <f t="shared" si="8"/>
        <v>126</v>
      </c>
      <c r="H29" s="13">
        <f t="shared" si="8"/>
        <v>101</v>
      </c>
      <c r="I29" s="13">
        <f t="shared" si="8"/>
        <v>119</v>
      </c>
      <c r="J29" s="13">
        <f t="shared" si="8"/>
        <v>82</v>
      </c>
      <c r="K29" s="13">
        <f t="shared" si="8"/>
        <v>85</v>
      </c>
      <c r="L29" s="13">
        <f t="shared" si="8"/>
        <v>106</v>
      </c>
      <c r="M29" s="13">
        <f t="shared" si="8"/>
        <v>95</v>
      </c>
      <c r="N29" s="13">
        <f t="shared" si="8"/>
        <v>96</v>
      </c>
      <c r="O29" s="13">
        <f t="shared" si="8"/>
        <v>127</v>
      </c>
      <c r="P29" s="13">
        <f t="shared" si="8"/>
        <v>127</v>
      </c>
      <c r="Q29" s="13">
        <f t="shared" si="8"/>
        <v>85</v>
      </c>
      <c r="R29" s="13">
        <f t="shared" si="8"/>
        <v>115</v>
      </c>
      <c r="S29" s="13">
        <f t="shared" si="3"/>
        <v>1485</v>
      </c>
    </row>
    <row r="30" ht="12.75" customHeight="1">
      <c r="A30" s="35"/>
      <c r="B30" s="28"/>
      <c r="C30" s="36"/>
      <c r="D30" s="13" t="s">
        <v>14</v>
      </c>
      <c r="E30" s="13">
        <f t="shared" ref="E30:R30" si="9">SUM(E28:E29)</f>
        <v>226</v>
      </c>
      <c r="F30" s="13">
        <f t="shared" si="9"/>
        <v>208</v>
      </c>
      <c r="G30" s="13">
        <f t="shared" si="9"/>
        <v>238</v>
      </c>
      <c r="H30" s="13">
        <f t="shared" si="9"/>
        <v>200</v>
      </c>
      <c r="I30" s="13">
        <f t="shared" si="9"/>
        <v>217</v>
      </c>
      <c r="J30" s="13">
        <f t="shared" si="9"/>
        <v>173</v>
      </c>
      <c r="K30" s="13">
        <f t="shared" si="9"/>
        <v>174</v>
      </c>
      <c r="L30" s="13">
        <f t="shared" si="9"/>
        <v>205</v>
      </c>
      <c r="M30" s="13">
        <f t="shared" si="9"/>
        <v>180</v>
      </c>
      <c r="N30" s="13">
        <f t="shared" si="9"/>
        <v>194</v>
      </c>
      <c r="O30" s="13">
        <f t="shared" si="9"/>
        <v>244</v>
      </c>
      <c r="P30" s="13">
        <f t="shared" si="9"/>
        <v>241</v>
      </c>
      <c r="Q30" s="13">
        <f t="shared" si="9"/>
        <v>171</v>
      </c>
      <c r="R30" s="13">
        <f t="shared" si="9"/>
        <v>215</v>
      </c>
      <c r="S30" s="13">
        <f t="shared" si="3"/>
        <v>2886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77"/>
      <c r="S32" s="76"/>
    </row>
    <row r="33" ht="12.75" customHeight="1">
      <c r="A33" s="19">
        <v>1.0</v>
      </c>
      <c r="B33" s="20" t="s">
        <v>27</v>
      </c>
      <c r="C33" s="15"/>
      <c r="D33" s="16"/>
      <c r="E33" s="19">
        <v>289.0</v>
      </c>
      <c r="F33" s="19">
        <v>250.0</v>
      </c>
      <c r="G33" s="19">
        <v>281.0</v>
      </c>
      <c r="H33" s="19">
        <v>245.0</v>
      </c>
      <c r="I33" s="19">
        <v>294.0</v>
      </c>
      <c r="J33" s="19">
        <v>216.0</v>
      </c>
      <c r="K33" s="19">
        <v>201.0</v>
      </c>
      <c r="L33" s="19">
        <v>250.0</v>
      </c>
      <c r="M33" s="19">
        <v>231.0</v>
      </c>
      <c r="N33" s="19">
        <v>247.0</v>
      </c>
      <c r="O33" s="19">
        <v>288.0</v>
      </c>
      <c r="P33" s="19">
        <v>283.0</v>
      </c>
      <c r="Q33" s="19">
        <v>229.0</v>
      </c>
      <c r="R33" s="19">
        <v>255.0</v>
      </c>
      <c r="S33" s="13">
        <f t="shared" ref="S33:S36" si="10">SUM(E33:R33)</f>
        <v>3559</v>
      </c>
    </row>
    <row r="34" ht="12.75" customHeight="1">
      <c r="A34" s="19">
        <v>2.0</v>
      </c>
      <c r="B34" s="20" t="s">
        <v>28</v>
      </c>
      <c r="C34" s="15"/>
      <c r="D34" s="16"/>
      <c r="E34" s="13">
        <v>226.0</v>
      </c>
      <c r="F34" s="13">
        <v>208.0</v>
      </c>
      <c r="G34" s="13">
        <v>238.0</v>
      </c>
      <c r="H34" s="13">
        <v>200.0</v>
      </c>
      <c r="I34" s="13">
        <v>217.0</v>
      </c>
      <c r="J34" s="13">
        <v>173.0</v>
      </c>
      <c r="K34" s="13">
        <v>174.0</v>
      </c>
      <c r="L34" s="13">
        <v>205.0</v>
      </c>
      <c r="M34" s="13">
        <v>180.0</v>
      </c>
      <c r="N34" s="13">
        <v>194.0</v>
      </c>
      <c r="O34" s="13">
        <v>244.0</v>
      </c>
      <c r="P34" s="13">
        <v>241.0</v>
      </c>
      <c r="Q34" s="13">
        <v>171.0</v>
      </c>
      <c r="R34" s="13">
        <v>215.0</v>
      </c>
      <c r="S34" s="13">
        <f t="shared" si="10"/>
        <v>2886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R36" si="11">E33-(E34+E35)</f>
        <v>63</v>
      </c>
      <c r="F36" s="13">
        <f t="shared" si="11"/>
        <v>42</v>
      </c>
      <c r="G36" s="13">
        <f t="shared" si="11"/>
        <v>43</v>
      </c>
      <c r="H36" s="13">
        <f t="shared" si="11"/>
        <v>44</v>
      </c>
      <c r="I36" s="13">
        <f t="shared" si="11"/>
        <v>77</v>
      </c>
      <c r="J36" s="13">
        <f t="shared" si="11"/>
        <v>43</v>
      </c>
      <c r="K36" s="13">
        <f t="shared" si="11"/>
        <v>27</v>
      </c>
      <c r="L36" s="13">
        <f t="shared" si="11"/>
        <v>45</v>
      </c>
      <c r="M36" s="13">
        <f t="shared" si="11"/>
        <v>51</v>
      </c>
      <c r="N36" s="13">
        <f t="shared" si="11"/>
        <v>53</v>
      </c>
      <c r="O36" s="13">
        <f t="shared" si="11"/>
        <v>44</v>
      </c>
      <c r="P36" s="13">
        <f t="shared" si="11"/>
        <v>42</v>
      </c>
      <c r="Q36" s="13">
        <f t="shared" si="11"/>
        <v>58</v>
      </c>
      <c r="R36" s="13">
        <f t="shared" si="11"/>
        <v>40</v>
      </c>
      <c r="S36" s="13">
        <f t="shared" si="10"/>
        <v>672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5"/>
      <c r="P37" s="75"/>
      <c r="Q37" s="75"/>
      <c r="R37" s="81"/>
      <c r="S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77"/>
      <c r="S38" s="76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2.0</v>
      </c>
      <c r="M39" s="19">
        <v>2.0</v>
      </c>
      <c r="N39" s="19">
        <v>0.0</v>
      </c>
      <c r="O39" s="19">
        <v>0.0</v>
      </c>
      <c r="P39" s="19">
        <v>0.0</v>
      </c>
      <c r="Q39" s="19">
        <v>1.0</v>
      </c>
      <c r="R39" s="19">
        <v>0.0</v>
      </c>
      <c r="S39" s="13">
        <f t="shared" ref="S39:S41" si="12">SUM(E39:R39)</f>
        <v>5</v>
      </c>
    </row>
    <row r="40" ht="12.75" customHeight="1">
      <c r="A40" s="33"/>
      <c r="C40" s="27"/>
      <c r="D40" s="19" t="s">
        <v>13</v>
      </c>
      <c r="E40" s="19">
        <v>0.0</v>
      </c>
      <c r="F40" s="19">
        <v>6.0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2.0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3">
        <f t="shared" si="12"/>
        <v>8</v>
      </c>
    </row>
    <row r="41" ht="12.75" customHeight="1">
      <c r="A41" s="41"/>
      <c r="B41" s="44"/>
      <c r="C41" s="28"/>
      <c r="D41" s="13" t="s">
        <v>14</v>
      </c>
      <c r="E41" s="13">
        <f t="shared" ref="E41:R41" si="13">SUM(E39:E40)</f>
        <v>0</v>
      </c>
      <c r="F41" s="13">
        <f t="shared" si="13"/>
        <v>6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2</v>
      </c>
      <c r="M41" s="13">
        <f t="shared" si="13"/>
        <v>4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1</v>
      </c>
      <c r="R41" s="13">
        <f t="shared" si="13"/>
        <v>0</v>
      </c>
      <c r="S41" s="13">
        <f t="shared" si="12"/>
        <v>13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75"/>
      <c r="P42" s="75"/>
      <c r="Q42" s="75"/>
      <c r="R42" s="19"/>
      <c r="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77"/>
      <c r="P43" s="77"/>
      <c r="Q43" s="77"/>
      <c r="R43" s="13"/>
      <c r="S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75"/>
      <c r="P44" s="75"/>
      <c r="Q44" s="75"/>
      <c r="R44" s="19"/>
      <c r="S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6.0</v>
      </c>
      <c r="F45" s="19">
        <v>1.0</v>
      </c>
      <c r="G45" s="19">
        <v>2.0</v>
      </c>
      <c r="H45" s="19">
        <v>4.0</v>
      </c>
      <c r="I45" s="19">
        <v>3.0</v>
      </c>
      <c r="J45" s="19">
        <v>4.0</v>
      </c>
      <c r="K45" s="19">
        <v>3.0</v>
      </c>
      <c r="L45" s="19">
        <v>1.0</v>
      </c>
      <c r="M45" s="19">
        <v>8.0</v>
      </c>
      <c r="N45" s="19">
        <v>1.0</v>
      </c>
      <c r="O45" s="19">
        <v>7.0</v>
      </c>
      <c r="P45" s="19">
        <v>8.0</v>
      </c>
      <c r="Q45" s="19">
        <v>3.0</v>
      </c>
      <c r="R45" s="19">
        <v>3.0</v>
      </c>
      <c r="S45" s="13">
        <f t="shared" ref="S45:S54" si="14">SUM(E45:R45)</f>
        <v>54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7.0</v>
      </c>
      <c r="F46" s="19">
        <v>6.0</v>
      </c>
      <c r="G46" s="19">
        <v>17.0</v>
      </c>
      <c r="H46" s="19">
        <v>10.0</v>
      </c>
      <c r="I46" s="19">
        <v>14.0</v>
      </c>
      <c r="J46" s="19">
        <v>9.0</v>
      </c>
      <c r="K46" s="19">
        <v>2.0</v>
      </c>
      <c r="L46" s="19">
        <v>1.0</v>
      </c>
      <c r="M46" s="19">
        <v>6.0</v>
      </c>
      <c r="N46" s="19">
        <v>2.0</v>
      </c>
      <c r="O46" s="19">
        <v>29.0</v>
      </c>
      <c r="P46" s="19">
        <v>39.0</v>
      </c>
      <c r="Q46" s="19">
        <v>11.0</v>
      </c>
      <c r="R46" s="19">
        <v>11.0</v>
      </c>
      <c r="S46" s="13">
        <f t="shared" si="14"/>
        <v>164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22.0</v>
      </c>
      <c r="G47" s="19">
        <v>1.0</v>
      </c>
      <c r="H47" s="19">
        <v>0.0</v>
      </c>
      <c r="I47" s="19">
        <v>2.0</v>
      </c>
      <c r="J47" s="19">
        <v>1.0</v>
      </c>
      <c r="K47" s="19">
        <v>1.0</v>
      </c>
      <c r="L47" s="19">
        <v>0.0</v>
      </c>
      <c r="M47" s="19">
        <v>3.0</v>
      </c>
      <c r="N47" s="19">
        <v>1.0</v>
      </c>
      <c r="O47" s="19">
        <v>1.0</v>
      </c>
      <c r="P47" s="19">
        <v>1.0</v>
      </c>
      <c r="Q47" s="19">
        <v>0.0</v>
      </c>
      <c r="R47" s="19">
        <v>0.0</v>
      </c>
      <c r="S47" s="13">
        <f t="shared" si="14"/>
        <v>34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1.0</v>
      </c>
      <c r="H48" s="19">
        <v>3.0</v>
      </c>
      <c r="I48" s="19">
        <v>0.0</v>
      </c>
      <c r="J48" s="19">
        <v>0.0</v>
      </c>
      <c r="K48" s="19">
        <v>0.0</v>
      </c>
      <c r="L48" s="19">
        <v>0.0</v>
      </c>
      <c r="M48" s="19">
        <v>0.0</v>
      </c>
      <c r="N48" s="19">
        <v>0.0</v>
      </c>
      <c r="O48" s="19">
        <v>0.0</v>
      </c>
      <c r="P48" s="19">
        <v>1.0</v>
      </c>
      <c r="Q48" s="19">
        <v>0.0</v>
      </c>
      <c r="R48" s="19">
        <v>0.0</v>
      </c>
      <c r="S48" s="13">
        <f t="shared" si="14"/>
        <v>5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1.0</v>
      </c>
      <c r="G49" s="19">
        <v>1.0</v>
      </c>
      <c r="H49" s="19">
        <v>5.0</v>
      </c>
      <c r="I49" s="19">
        <v>0.0</v>
      </c>
      <c r="J49" s="19">
        <v>0.0</v>
      </c>
      <c r="K49" s="19">
        <v>0.0</v>
      </c>
      <c r="L49" s="19">
        <v>0.0</v>
      </c>
      <c r="M49" s="19">
        <v>1.0</v>
      </c>
      <c r="N49" s="19">
        <v>1.0</v>
      </c>
      <c r="O49" s="19">
        <v>0.0</v>
      </c>
      <c r="P49" s="19">
        <v>0.0</v>
      </c>
      <c r="Q49" s="19">
        <v>0.0</v>
      </c>
      <c r="R49" s="19">
        <v>0.0</v>
      </c>
      <c r="S49" s="13">
        <f t="shared" si="14"/>
        <v>9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1.0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1.0</v>
      </c>
      <c r="P50" s="19">
        <v>0.0</v>
      </c>
      <c r="Q50" s="19">
        <v>0.0</v>
      </c>
      <c r="R50" s="19">
        <v>0.0</v>
      </c>
      <c r="S50" s="13">
        <f t="shared" si="14"/>
        <v>2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1.0</v>
      </c>
      <c r="P51" s="19">
        <v>0.0</v>
      </c>
      <c r="Q51" s="19">
        <v>0.0</v>
      </c>
      <c r="R51" s="19">
        <v>0.0</v>
      </c>
      <c r="S51" s="13">
        <f t="shared" si="14"/>
        <v>1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3">
        <f t="shared" si="14"/>
        <v>0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S55" si="15">SUM(E45:E54)</f>
        <v>14</v>
      </c>
      <c r="F55" s="13">
        <f t="shared" si="15"/>
        <v>30</v>
      </c>
      <c r="G55" s="13">
        <f t="shared" si="15"/>
        <v>22</v>
      </c>
      <c r="H55" s="13">
        <f t="shared" si="15"/>
        <v>23</v>
      </c>
      <c r="I55" s="13">
        <f t="shared" si="15"/>
        <v>19</v>
      </c>
      <c r="J55" s="13">
        <f t="shared" si="15"/>
        <v>14</v>
      </c>
      <c r="K55" s="13">
        <f t="shared" si="15"/>
        <v>6</v>
      </c>
      <c r="L55" s="13">
        <f t="shared" si="15"/>
        <v>2</v>
      </c>
      <c r="M55" s="13">
        <f t="shared" si="15"/>
        <v>18</v>
      </c>
      <c r="N55" s="13">
        <f t="shared" si="15"/>
        <v>5</v>
      </c>
      <c r="O55" s="13">
        <f t="shared" si="15"/>
        <v>39</v>
      </c>
      <c r="P55" s="13">
        <f t="shared" si="15"/>
        <v>49</v>
      </c>
      <c r="Q55" s="13">
        <f t="shared" si="15"/>
        <v>14</v>
      </c>
      <c r="R55" s="13">
        <f t="shared" si="15"/>
        <v>14</v>
      </c>
      <c r="S55" s="13">
        <f t="shared" si="15"/>
        <v>269</v>
      </c>
    </row>
    <row r="56" ht="12.75" customHeight="1">
      <c r="A56" s="45"/>
      <c r="B56" s="44"/>
      <c r="C56" s="44"/>
      <c r="D56" s="44"/>
      <c r="E56" s="44"/>
      <c r="S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18.0</v>
      </c>
      <c r="F57" s="19">
        <v>17.0</v>
      </c>
      <c r="G57" s="19">
        <v>10.0</v>
      </c>
      <c r="H57" s="19">
        <v>6.0</v>
      </c>
      <c r="I57" s="19">
        <v>21.0</v>
      </c>
      <c r="J57" s="19">
        <v>17.0</v>
      </c>
      <c r="K57" s="19">
        <v>8.0</v>
      </c>
      <c r="L57" s="19">
        <v>4.0</v>
      </c>
      <c r="M57" s="19">
        <v>8.0</v>
      </c>
      <c r="N57" s="19">
        <v>14.0</v>
      </c>
      <c r="O57" s="19">
        <v>12.0</v>
      </c>
      <c r="P57" s="19">
        <v>12.0</v>
      </c>
      <c r="Q57" s="19">
        <v>5.0</v>
      </c>
      <c r="R57" s="19">
        <v>7.0</v>
      </c>
      <c r="S57" s="13">
        <f t="shared" ref="S57:S66" si="16">SUM(E57:R57)</f>
        <v>159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101.0</v>
      </c>
      <c r="F58" s="19">
        <v>65.0</v>
      </c>
      <c r="G58" s="19">
        <v>100.0</v>
      </c>
      <c r="H58" s="19">
        <v>40.0</v>
      </c>
      <c r="I58" s="19">
        <v>61.0</v>
      </c>
      <c r="J58" s="19">
        <v>41.0</v>
      </c>
      <c r="K58" s="19">
        <v>49.0</v>
      </c>
      <c r="L58" s="19">
        <v>16.0</v>
      </c>
      <c r="M58" s="19">
        <v>36.0</v>
      </c>
      <c r="N58" s="19">
        <v>50.0</v>
      </c>
      <c r="O58" s="19">
        <v>46.0</v>
      </c>
      <c r="P58" s="19">
        <v>54.0</v>
      </c>
      <c r="Q58" s="19">
        <v>9.0</v>
      </c>
      <c r="R58" s="19">
        <v>45.0</v>
      </c>
      <c r="S58" s="13">
        <f t="shared" si="16"/>
        <v>713</v>
      </c>
    </row>
    <row r="59" ht="12.75" customHeight="1">
      <c r="A59" s="18"/>
      <c r="B59" s="55">
        <v>2.0</v>
      </c>
      <c r="C59" s="50" t="s">
        <v>50</v>
      </c>
      <c r="D59" s="59"/>
      <c r="E59" s="19">
        <v>3.0</v>
      </c>
      <c r="F59" s="19">
        <v>5.0</v>
      </c>
      <c r="G59" s="19">
        <v>13.0</v>
      </c>
      <c r="H59" s="19">
        <v>7.0</v>
      </c>
      <c r="I59" s="19">
        <v>7.0</v>
      </c>
      <c r="J59" s="19">
        <v>3.0</v>
      </c>
      <c r="K59" s="19">
        <v>4.0</v>
      </c>
      <c r="L59" s="19">
        <v>2.0</v>
      </c>
      <c r="M59" s="19">
        <v>4.0</v>
      </c>
      <c r="N59" s="19">
        <v>5.0</v>
      </c>
      <c r="O59" s="19">
        <v>9.0</v>
      </c>
      <c r="P59" s="19">
        <v>10.0</v>
      </c>
      <c r="Q59" s="19">
        <v>1.0</v>
      </c>
      <c r="R59" s="19">
        <v>7.0</v>
      </c>
      <c r="S59" s="13">
        <f t="shared" si="16"/>
        <v>80</v>
      </c>
    </row>
    <row r="60" ht="12.75" customHeight="1">
      <c r="A60" s="18"/>
      <c r="B60" s="55">
        <v>3.0</v>
      </c>
      <c r="C60" s="50" t="s">
        <v>51</v>
      </c>
      <c r="D60" s="59"/>
      <c r="E60" s="19">
        <v>0.0</v>
      </c>
      <c r="F60" s="19">
        <v>0.0</v>
      </c>
      <c r="G60" s="19">
        <v>1.0</v>
      </c>
      <c r="H60" s="19">
        <v>1.0</v>
      </c>
      <c r="I60" s="19">
        <v>0.0</v>
      </c>
      <c r="J60" s="19">
        <v>5.0</v>
      </c>
      <c r="K60" s="19">
        <v>2.0</v>
      </c>
      <c r="L60" s="19">
        <v>0.0</v>
      </c>
      <c r="M60" s="19">
        <v>0.0</v>
      </c>
      <c r="N60" s="19">
        <v>0.0</v>
      </c>
      <c r="O60" s="19">
        <v>0.0</v>
      </c>
      <c r="P60" s="19">
        <v>1.0</v>
      </c>
      <c r="Q60" s="19">
        <v>0.0</v>
      </c>
      <c r="R60" s="19">
        <v>0.0</v>
      </c>
      <c r="S60" s="13">
        <f t="shared" si="16"/>
        <v>10</v>
      </c>
    </row>
    <row r="61" ht="12.75" customHeight="1">
      <c r="A61" s="18"/>
      <c r="B61" s="55">
        <v>4.0</v>
      </c>
      <c r="C61" s="50" t="s">
        <v>52</v>
      </c>
      <c r="D61" s="59"/>
      <c r="E61" s="19">
        <v>1.0</v>
      </c>
      <c r="F61" s="19">
        <v>0.0</v>
      </c>
      <c r="G61" s="19">
        <v>1.0</v>
      </c>
      <c r="H61" s="19">
        <v>0.0</v>
      </c>
      <c r="I61" s="19">
        <v>2.0</v>
      </c>
      <c r="J61" s="19">
        <v>0.0</v>
      </c>
      <c r="K61" s="19">
        <v>0.0</v>
      </c>
      <c r="L61" s="19">
        <v>0.0</v>
      </c>
      <c r="M61" s="19">
        <v>3.0</v>
      </c>
      <c r="N61" s="19">
        <v>1.0</v>
      </c>
      <c r="O61" s="19">
        <v>2.0</v>
      </c>
      <c r="P61" s="19">
        <v>0.0</v>
      </c>
      <c r="Q61" s="19">
        <v>0.0</v>
      </c>
      <c r="R61" s="19">
        <v>0.0</v>
      </c>
      <c r="S61" s="13">
        <f t="shared" si="16"/>
        <v>10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0.0</v>
      </c>
      <c r="G62" s="19">
        <v>0.0</v>
      </c>
      <c r="H62" s="19">
        <v>2.0</v>
      </c>
      <c r="I62" s="19">
        <v>0.0</v>
      </c>
      <c r="J62" s="19">
        <v>0.0</v>
      </c>
      <c r="K62" s="19">
        <v>1.0</v>
      </c>
      <c r="L62" s="19">
        <v>0.0</v>
      </c>
      <c r="M62" s="19">
        <v>1.0</v>
      </c>
      <c r="N62" s="19">
        <v>0.0</v>
      </c>
      <c r="O62" s="19">
        <v>0.0</v>
      </c>
      <c r="P62" s="19">
        <v>0.0</v>
      </c>
      <c r="Q62" s="19">
        <v>0.0</v>
      </c>
      <c r="R62" s="19">
        <v>1.0</v>
      </c>
      <c r="S62" s="13">
        <f t="shared" si="16"/>
        <v>5</v>
      </c>
    </row>
    <row r="63" ht="12.75" customHeight="1">
      <c r="A63" s="18"/>
      <c r="B63" s="55">
        <v>6.0</v>
      </c>
      <c r="C63" s="50" t="s">
        <v>54</v>
      </c>
      <c r="D63" s="60"/>
      <c r="E63" s="19">
        <v>1.0</v>
      </c>
      <c r="F63" s="19">
        <v>2.0</v>
      </c>
      <c r="G63" s="19">
        <v>1.0</v>
      </c>
      <c r="H63" s="19">
        <v>0.0</v>
      </c>
      <c r="I63" s="19">
        <v>0.0</v>
      </c>
      <c r="J63" s="19">
        <v>1.0</v>
      </c>
      <c r="K63" s="19">
        <v>0.0</v>
      </c>
      <c r="L63" s="19">
        <v>0.0</v>
      </c>
      <c r="M63" s="19">
        <v>1.0</v>
      </c>
      <c r="N63" s="19">
        <v>2.0</v>
      </c>
      <c r="O63" s="19">
        <v>0.0</v>
      </c>
      <c r="P63" s="19">
        <v>0.0</v>
      </c>
      <c r="Q63" s="19">
        <v>0.0</v>
      </c>
      <c r="R63" s="19">
        <v>0.0</v>
      </c>
      <c r="S63" s="13">
        <f t="shared" si="16"/>
        <v>8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0.0</v>
      </c>
      <c r="G64" s="19">
        <v>0.0</v>
      </c>
      <c r="H64" s="19">
        <v>0.0</v>
      </c>
      <c r="I64" s="19">
        <v>2.0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3">
        <f t="shared" si="16"/>
        <v>2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S67" si="17">SUM(E57:E66)</f>
        <v>124</v>
      </c>
      <c r="F67" s="13">
        <f t="shared" si="17"/>
        <v>89</v>
      </c>
      <c r="G67" s="13">
        <f t="shared" si="17"/>
        <v>126</v>
      </c>
      <c r="H67" s="13">
        <f t="shared" si="17"/>
        <v>56</v>
      </c>
      <c r="I67" s="13">
        <f t="shared" si="17"/>
        <v>93</v>
      </c>
      <c r="J67" s="13">
        <f t="shared" si="17"/>
        <v>67</v>
      </c>
      <c r="K67" s="13">
        <f t="shared" si="17"/>
        <v>64</v>
      </c>
      <c r="L67" s="13">
        <f t="shared" si="17"/>
        <v>22</v>
      </c>
      <c r="M67" s="13">
        <f t="shared" si="17"/>
        <v>53</v>
      </c>
      <c r="N67" s="13">
        <f t="shared" si="17"/>
        <v>72</v>
      </c>
      <c r="O67" s="13">
        <f t="shared" si="17"/>
        <v>69</v>
      </c>
      <c r="P67" s="13">
        <f t="shared" si="17"/>
        <v>77</v>
      </c>
      <c r="Q67" s="13">
        <f t="shared" si="17"/>
        <v>15</v>
      </c>
      <c r="R67" s="13">
        <f t="shared" si="17"/>
        <v>60</v>
      </c>
      <c r="S67" s="13">
        <f t="shared" si="17"/>
        <v>987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4.0</v>
      </c>
      <c r="F69" s="19">
        <v>3.0</v>
      </c>
      <c r="G69" s="19">
        <v>4.0</v>
      </c>
      <c r="H69" s="19">
        <v>4.0</v>
      </c>
      <c r="I69" s="19">
        <v>11.0</v>
      </c>
      <c r="J69" s="19">
        <v>4.0</v>
      </c>
      <c r="K69" s="19">
        <v>12.0</v>
      </c>
      <c r="L69" s="19">
        <v>1.0</v>
      </c>
      <c r="M69" s="19">
        <v>4.0</v>
      </c>
      <c r="N69" s="19">
        <v>16.0</v>
      </c>
      <c r="O69" s="19">
        <v>11.0</v>
      </c>
      <c r="P69" s="19">
        <v>8.0</v>
      </c>
      <c r="Q69" s="19">
        <v>0.0</v>
      </c>
      <c r="R69" s="19">
        <v>2.0</v>
      </c>
      <c r="S69" s="13">
        <f t="shared" ref="S69:S78" si="18">SUM(E69:R69)</f>
        <v>84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1.0</v>
      </c>
      <c r="F70" s="19">
        <v>4.0</v>
      </c>
      <c r="G70" s="19">
        <v>5.0</v>
      </c>
      <c r="H70" s="19">
        <v>3.0</v>
      </c>
      <c r="I70" s="19">
        <v>12.0</v>
      </c>
      <c r="J70" s="19">
        <v>4.0</v>
      </c>
      <c r="K70" s="19">
        <v>2.0</v>
      </c>
      <c r="L70" s="19">
        <v>2.0</v>
      </c>
      <c r="M70" s="19">
        <v>9.0</v>
      </c>
      <c r="N70" s="19">
        <v>8.0</v>
      </c>
      <c r="O70" s="19">
        <v>6.0</v>
      </c>
      <c r="P70" s="19">
        <v>1.0</v>
      </c>
      <c r="Q70" s="19">
        <v>0.0</v>
      </c>
      <c r="R70" s="19">
        <v>0.0</v>
      </c>
      <c r="S70" s="13">
        <f t="shared" si="18"/>
        <v>57</v>
      </c>
    </row>
    <row r="71" ht="12.75" customHeight="1">
      <c r="A71" s="18"/>
      <c r="B71" s="55">
        <v>2.0</v>
      </c>
      <c r="C71" s="50" t="s">
        <v>58</v>
      </c>
      <c r="D71" s="60"/>
      <c r="E71" s="19">
        <v>0.0</v>
      </c>
      <c r="F71" s="19">
        <v>3.0</v>
      </c>
      <c r="G71" s="19">
        <v>3.0</v>
      </c>
      <c r="H71" s="19">
        <v>4.0</v>
      </c>
      <c r="I71" s="19">
        <v>7.0</v>
      </c>
      <c r="J71" s="19">
        <v>3.0</v>
      </c>
      <c r="K71" s="19">
        <v>7.0</v>
      </c>
      <c r="L71" s="19">
        <v>2.0</v>
      </c>
      <c r="M71" s="19">
        <v>14.0</v>
      </c>
      <c r="N71" s="19">
        <v>11.0</v>
      </c>
      <c r="O71" s="19">
        <v>4.0</v>
      </c>
      <c r="P71" s="19">
        <v>2.0</v>
      </c>
      <c r="Q71" s="19">
        <v>1.0</v>
      </c>
      <c r="R71" s="19">
        <v>1.0</v>
      </c>
      <c r="S71" s="13">
        <f t="shared" si="18"/>
        <v>62</v>
      </c>
    </row>
    <row r="72" ht="12.75" customHeight="1">
      <c r="A72" s="18"/>
      <c r="B72" s="55">
        <v>3.0</v>
      </c>
      <c r="C72" s="50" t="s">
        <v>59</v>
      </c>
      <c r="D72" s="60"/>
      <c r="E72" s="19">
        <v>1.0</v>
      </c>
      <c r="F72" s="19">
        <v>1.0</v>
      </c>
      <c r="G72" s="19">
        <v>1.0</v>
      </c>
      <c r="H72" s="19">
        <v>1.0</v>
      </c>
      <c r="I72" s="19">
        <v>1.0</v>
      </c>
      <c r="J72" s="19">
        <v>1.0</v>
      </c>
      <c r="K72" s="19">
        <v>2.0</v>
      </c>
      <c r="L72" s="19">
        <v>0.0</v>
      </c>
      <c r="M72" s="19">
        <v>4.0</v>
      </c>
      <c r="N72" s="19">
        <v>6.0</v>
      </c>
      <c r="O72" s="19">
        <v>14.0</v>
      </c>
      <c r="P72" s="19">
        <v>3.0</v>
      </c>
      <c r="Q72" s="19">
        <v>0.0</v>
      </c>
      <c r="R72" s="19">
        <v>0.0</v>
      </c>
      <c r="S72" s="13">
        <f t="shared" si="18"/>
        <v>35</v>
      </c>
    </row>
    <row r="73" ht="12.75" customHeight="1">
      <c r="A73" s="18"/>
      <c r="B73" s="55">
        <v>4.0</v>
      </c>
      <c r="C73" s="50" t="s">
        <v>60</v>
      </c>
      <c r="D73" s="60"/>
      <c r="E73" s="19">
        <v>1.0</v>
      </c>
      <c r="F73" s="19">
        <v>0.0</v>
      </c>
      <c r="G73" s="19">
        <v>0.0</v>
      </c>
      <c r="H73" s="19">
        <v>0.0</v>
      </c>
      <c r="I73" s="19">
        <v>0.0</v>
      </c>
      <c r="J73" s="19">
        <v>0.0</v>
      </c>
      <c r="K73" s="19">
        <v>2.0</v>
      </c>
      <c r="L73" s="19">
        <v>0.0</v>
      </c>
      <c r="M73" s="19">
        <v>1.0</v>
      </c>
      <c r="N73" s="19">
        <v>1.0</v>
      </c>
      <c r="O73" s="19">
        <v>2.0</v>
      </c>
      <c r="P73" s="19">
        <v>1.0</v>
      </c>
      <c r="Q73" s="19">
        <v>0.0</v>
      </c>
      <c r="R73" s="19">
        <v>0.0</v>
      </c>
      <c r="S73" s="13">
        <f t="shared" si="18"/>
        <v>8</v>
      </c>
    </row>
    <row r="74" ht="12.75" customHeight="1">
      <c r="A74" s="18"/>
      <c r="B74" s="55">
        <v>5.0</v>
      </c>
      <c r="C74" s="50" t="s">
        <v>61</v>
      </c>
      <c r="D74" s="60"/>
      <c r="E74" s="19">
        <v>4.0</v>
      </c>
      <c r="F74" s="19">
        <v>0.0</v>
      </c>
      <c r="G74" s="19">
        <v>5.0</v>
      </c>
      <c r="H74" s="19">
        <v>1.0</v>
      </c>
      <c r="I74" s="19">
        <v>4.0</v>
      </c>
      <c r="J74" s="19">
        <v>2.0</v>
      </c>
      <c r="K74" s="19">
        <v>4.0</v>
      </c>
      <c r="L74" s="19">
        <v>0.0</v>
      </c>
      <c r="M74" s="19">
        <v>4.0</v>
      </c>
      <c r="N74" s="19">
        <v>3.0</v>
      </c>
      <c r="O74" s="19">
        <v>2.0</v>
      </c>
      <c r="P74" s="19">
        <v>1.0</v>
      </c>
      <c r="Q74" s="19">
        <v>2.0</v>
      </c>
      <c r="R74" s="19">
        <v>0.0</v>
      </c>
      <c r="S74" s="13">
        <f t="shared" si="18"/>
        <v>32</v>
      </c>
    </row>
    <row r="75" ht="12.75" customHeight="1">
      <c r="A75" s="18"/>
      <c r="B75" s="55">
        <v>6.0</v>
      </c>
      <c r="C75" s="50" t="s">
        <v>62</v>
      </c>
      <c r="D75" s="60"/>
      <c r="E75" s="19">
        <v>1.0</v>
      </c>
      <c r="F75" s="19">
        <v>1.0</v>
      </c>
      <c r="G75" s="19">
        <v>1.0</v>
      </c>
      <c r="H75" s="19">
        <v>0.0</v>
      </c>
      <c r="I75" s="19">
        <v>0.0</v>
      </c>
      <c r="J75" s="19">
        <v>0.0</v>
      </c>
      <c r="K75" s="19">
        <v>1.0</v>
      </c>
      <c r="L75" s="19">
        <v>0.0</v>
      </c>
      <c r="M75" s="19">
        <v>3.0</v>
      </c>
      <c r="N75" s="19">
        <v>1.0</v>
      </c>
      <c r="O75" s="19">
        <v>2.0</v>
      </c>
      <c r="P75" s="19">
        <v>0.0</v>
      </c>
      <c r="Q75" s="19">
        <v>0.0</v>
      </c>
      <c r="R75" s="19">
        <v>0.0</v>
      </c>
      <c r="S75" s="13">
        <f t="shared" si="18"/>
        <v>10</v>
      </c>
    </row>
    <row r="76" ht="12.75" customHeight="1">
      <c r="A76" s="18"/>
      <c r="B76" s="55">
        <v>7.0</v>
      </c>
      <c r="C76" s="50" t="s">
        <v>63</v>
      </c>
      <c r="D76" s="60"/>
      <c r="E76" s="19">
        <v>1.0</v>
      </c>
      <c r="F76" s="19">
        <v>0.0</v>
      </c>
      <c r="G76" s="19">
        <v>2.0</v>
      </c>
      <c r="H76" s="19">
        <v>0.0</v>
      </c>
      <c r="I76" s="19">
        <v>0.0</v>
      </c>
      <c r="J76" s="19">
        <v>1.0</v>
      </c>
      <c r="K76" s="19">
        <v>0.0</v>
      </c>
      <c r="L76" s="19">
        <v>0.0</v>
      </c>
      <c r="M76" s="19">
        <v>0.0</v>
      </c>
      <c r="N76" s="19">
        <v>0.0</v>
      </c>
      <c r="O76" s="19">
        <v>0.0</v>
      </c>
      <c r="P76" s="19">
        <v>2.0</v>
      </c>
      <c r="Q76" s="19">
        <v>0.0</v>
      </c>
      <c r="R76" s="19">
        <v>0.0</v>
      </c>
      <c r="S76" s="13">
        <f t="shared" si="18"/>
        <v>6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S79" si="19">SUM(E69:E78)</f>
        <v>13</v>
      </c>
      <c r="F79" s="13">
        <f t="shared" si="19"/>
        <v>12</v>
      </c>
      <c r="G79" s="13">
        <f t="shared" si="19"/>
        <v>21</v>
      </c>
      <c r="H79" s="13">
        <f t="shared" si="19"/>
        <v>13</v>
      </c>
      <c r="I79" s="13">
        <f t="shared" si="19"/>
        <v>35</v>
      </c>
      <c r="J79" s="13">
        <f t="shared" si="19"/>
        <v>15</v>
      </c>
      <c r="K79" s="13">
        <f t="shared" si="19"/>
        <v>30</v>
      </c>
      <c r="L79" s="13">
        <f t="shared" si="19"/>
        <v>5</v>
      </c>
      <c r="M79" s="13">
        <f t="shared" si="19"/>
        <v>39</v>
      </c>
      <c r="N79" s="13">
        <f t="shared" si="19"/>
        <v>46</v>
      </c>
      <c r="O79" s="13">
        <f t="shared" si="19"/>
        <v>41</v>
      </c>
      <c r="P79" s="13">
        <f t="shared" si="19"/>
        <v>18</v>
      </c>
      <c r="Q79" s="13">
        <f t="shared" si="19"/>
        <v>3</v>
      </c>
      <c r="R79" s="13">
        <f t="shared" si="19"/>
        <v>3</v>
      </c>
      <c r="S79" s="13">
        <f t="shared" si="19"/>
        <v>294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0.0</v>
      </c>
      <c r="F81" s="19">
        <v>4.0</v>
      </c>
      <c r="G81" s="19">
        <v>0.0</v>
      </c>
      <c r="H81" s="19">
        <v>6.0</v>
      </c>
      <c r="I81" s="19">
        <v>0.0</v>
      </c>
      <c r="J81" s="19">
        <v>0.0</v>
      </c>
      <c r="K81" s="19">
        <v>4.0</v>
      </c>
      <c r="L81" s="19">
        <v>8.0</v>
      </c>
      <c r="M81" s="19">
        <v>0.0</v>
      </c>
      <c r="N81" s="19">
        <v>2.0</v>
      </c>
      <c r="O81" s="19">
        <v>1.0</v>
      </c>
      <c r="P81" s="19">
        <v>2.0</v>
      </c>
      <c r="Q81" s="19">
        <v>1.0</v>
      </c>
      <c r="R81" s="19">
        <v>0.0</v>
      </c>
      <c r="S81" s="13">
        <f t="shared" ref="S81:S90" si="20">SUM(E81:R81)</f>
        <v>28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0.0</v>
      </c>
      <c r="F82" s="19">
        <v>0.0</v>
      </c>
      <c r="G82" s="19">
        <v>1.0</v>
      </c>
      <c r="H82" s="19">
        <v>3.0</v>
      </c>
      <c r="I82" s="19">
        <v>4.0</v>
      </c>
      <c r="J82" s="19">
        <v>6.0</v>
      </c>
      <c r="K82" s="19">
        <v>25.0</v>
      </c>
      <c r="L82" s="19">
        <v>118.0</v>
      </c>
      <c r="M82" s="19">
        <v>5.0</v>
      </c>
      <c r="N82" s="19">
        <v>0.0</v>
      </c>
      <c r="O82" s="19">
        <v>4.0</v>
      </c>
      <c r="P82" s="19">
        <v>1.0</v>
      </c>
      <c r="Q82" s="19">
        <v>0.0</v>
      </c>
      <c r="R82" s="19">
        <v>0.0</v>
      </c>
      <c r="S82" s="13">
        <f t="shared" si="20"/>
        <v>167</v>
      </c>
    </row>
    <row r="83" ht="12.75" customHeight="1">
      <c r="A83" s="18"/>
      <c r="B83" s="55">
        <v>2.0</v>
      </c>
      <c r="C83" s="50" t="s">
        <v>66</v>
      </c>
      <c r="D83" s="60"/>
      <c r="E83" s="19">
        <v>0.0</v>
      </c>
      <c r="F83" s="19">
        <v>3.0</v>
      </c>
      <c r="G83" s="19">
        <v>2.0</v>
      </c>
      <c r="H83" s="19">
        <v>3.0</v>
      </c>
      <c r="I83" s="19">
        <v>4.0</v>
      </c>
      <c r="J83" s="19">
        <v>0.0</v>
      </c>
      <c r="K83" s="19">
        <v>1.0</v>
      </c>
      <c r="L83" s="19">
        <v>1.0</v>
      </c>
      <c r="M83" s="19">
        <v>2.0</v>
      </c>
      <c r="N83" s="19">
        <v>0.0</v>
      </c>
      <c r="O83" s="19">
        <v>1.0</v>
      </c>
      <c r="P83" s="19">
        <v>4.0</v>
      </c>
      <c r="Q83" s="19">
        <v>0.0</v>
      </c>
      <c r="R83" s="19">
        <v>0.0</v>
      </c>
      <c r="S83" s="13">
        <f t="shared" si="20"/>
        <v>21</v>
      </c>
    </row>
    <row r="84" ht="12.75" customHeight="1">
      <c r="A84" s="18"/>
      <c r="B84" s="55">
        <v>3.0</v>
      </c>
      <c r="C84" s="50" t="s">
        <v>67</v>
      </c>
      <c r="D84" s="60"/>
      <c r="E84" s="19">
        <v>2.0</v>
      </c>
      <c r="F84" s="19">
        <v>0.0</v>
      </c>
      <c r="G84" s="19">
        <v>0.0</v>
      </c>
      <c r="H84" s="19">
        <v>0.0</v>
      </c>
      <c r="I84" s="19">
        <v>1.0</v>
      </c>
      <c r="J84" s="19">
        <v>0.0</v>
      </c>
      <c r="K84" s="19">
        <v>2.0</v>
      </c>
      <c r="L84" s="19">
        <v>0.0</v>
      </c>
      <c r="M84" s="19">
        <v>1.0</v>
      </c>
      <c r="N84" s="19">
        <v>0.0</v>
      </c>
      <c r="O84" s="19">
        <v>0.0</v>
      </c>
      <c r="P84" s="19">
        <v>0.0</v>
      </c>
      <c r="Q84" s="19">
        <v>0.0</v>
      </c>
      <c r="R84" s="19">
        <v>0.0</v>
      </c>
      <c r="S84" s="13">
        <f t="shared" si="20"/>
        <v>6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0.0</v>
      </c>
      <c r="G85" s="19">
        <v>0.0</v>
      </c>
      <c r="H85" s="19">
        <v>1.0</v>
      </c>
      <c r="I85" s="19">
        <v>0.0</v>
      </c>
      <c r="J85" s="19">
        <v>0.0</v>
      </c>
      <c r="K85" s="19">
        <v>0.0</v>
      </c>
      <c r="L85" s="19">
        <v>0.0</v>
      </c>
      <c r="M85" s="19">
        <v>0.0</v>
      </c>
      <c r="N85" s="19">
        <v>0.0</v>
      </c>
      <c r="O85" s="19">
        <v>0.0</v>
      </c>
      <c r="P85" s="19">
        <v>0.0</v>
      </c>
      <c r="Q85" s="19">
        <v>0.0</v>
      </c>
      <c r="R85" s="19">
        <v>0.0</v>
      </c>
      <c r="S85" s="13">
        <f t="shared" si="20"/>
        <v>1</v>
      </c>
    </row>
    <row r="86" ht="12.75" customHeight="1">
      <c r="A86" s="18"/>
      <c r="B86" s="55">
        <v>5.0</v>
      </c>
      <c r="C86" s="50" t="s">
        <v>69</v>
      </c>
      <c r="D86" s="60"/>
      <c r="E86" s="19">
        <v>1.0</v>
      </c>
      <c r="F86" s="19">
        <v>2.0</v>
      </c>
      <c r="G86" s="19">
        <v>1.0</v>
      </c>
      <c r="H86" s="19">
        <v>3.0</v>
      </c>
      <c r="I86" s="19">
        <v>0.0</v>
      </c>
      <c r="J86" s="19">
        <v>2.0</v>
      </c>
      <c r="K86" s="19">
        <v>0.0</v>
      </c>
      <c r="L86" s="19">
        <v>6.0</v>
      </c>
      <c r="M86" s="19">
        <v>1.0</v>
      </c>
      <c r="N86" s="19">
        <v>1.0</v>
      </c>
      <c r="O86" s="19">
        <v>3.0</v>
      </c>
      <c r="P86" s="19">
        <v>1.0</v>
      </c>
      <c r="Q86" s="19">
        <v>1.0</v>
      </c>
      <c r="R86" s="19">
        <v>0.0</v>
      </c>
      <c r="S86" s="13">
        <f t="shared" si="20"/>
        <v>22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2.0</v>
      </c>
      <c r="G87" s="19">
        <v>0.0</v>
      </c>
      <c r="H87" s="19">
        <v>1.0</v>
      </c>
      <c r="I87" s="19">
        <v>0.0</v>
      </c>
      <c r="J87" s="19">
        <v>0.0</v>
      </c>
      <c r="K87" s="19">
        <v>0.0</v>
      </c>
      <c r="L87" s="19">
        <v>0.0</v>
      </c>
      <c r="M87" s="19">
        <v>1.0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3">
        <f t="shared" si="20"/>
        <v>4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3">
        <f t="shared" si="20"/>
        <v>0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S91" si="21">SUM(E81:E90)</f>
        <v>3</v>
      </c>
      <c r="F91" s="13">
        <f t="shared" si="21"/>
        <v>11</v>
      </c>
      <c r="G91" s="13">
        <f t="shared" si="21"/>
        <v>4</v>
      </c>
      <c r="H91" s="13">
        <f t="shared" si="21"/>
        <v>17</v>
      </c>
      <c r="I91" s="13">
        <f t="shared" si="21"/>
        <v>9</v>
      </c>
      <c r="J91" s="13">
        <f t="shared" si="21"/>
        <v>8</v>
      </c>
      <c r="K91" s="13">
        <f t="shared" si="21"/>
        <v>32</v>
      </c>
      <c r="L91" s="13">
        <f t="shared" si="21"/>
        <v>133</v>
      </c>
      <c r="M91" s="13">
        <f t="shared" si="21"/>
        <v>10</v>
      </c>
      <c r="N91" s="13">
        <f t="shared" si="21"/>
        <v>3</v>
      </c>
      <c r="O91" s="13">
        <f t="shared" si="21"/>
        <v>9</v>
      </c>
      <c r="P91" s="13">
        <f t="shared" si="21"/>
        <v>8</v>
      </c>
      <c r="Q91" s="13">
        <f t="shared" si="21"/>
        <v>2</v>
      </c>
      <c r="R91" s="13">
        <f t="shared" si="21"/>
        <v>0</v>
      </c>
      <c r="S91" s="13">
        <f t="shared" si="21"/>
        <v>249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0.0</v>
      </c>
      <c r="G93" s="19">
        <v>0.0</v>
      </c>
      <c r="H93" s="19">
        <v>0.0</v>
      </c>
      <c r="I93" s="19">
        <v>1.0</v>
      </c>
      <c r="J93" s="19">
        <v>0.0</v>
      </c>
      <c r="K93" s="19">
        <v>0.0</v>
      </c>
      <c r="L93" s="19">
        <v>0.0</v>
      </c>
      <c r="M93" s="19">
        <v>1.0</v>
      </c>
      <c r="N93" s="19">
        <v>0.0</v>
      </c>
      <c r="O93" s="19">
        <v>3.0</v>
      </c>
      <c r="P93" s="19">
        <v>1.0</v>
      </c>
      <c r="Q93" s="19">
        <v>2.0</v>
      </c>
      <c r="R93" s="19">
        <v>0.0</v>
      </c>
      <c r="S93" s="13">
        <f t="shared" ref="S93:S102" si="22">SUM(E93:R93)</f>
        <v>8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5.0</v>
      </c>
      <c r="F94" s="19">
        <v>3.0</v>
      </c>
      <c r="G94" s="19">
        <v>2.0</v>
      </c>
      <c r="H94" s="19">
        <v>0.0</v>
      </c>
      <c r="I94" s="19">
        <v>3.0</v>
      </c>
      <c r="J94" s="19">
        <v>8.0</v>
      </c>
      <c r="K94" s="19">
        <v>3.0</v>
      </c>
      <c r="L94" s="19">
        <v>3.0</v>
      </c>
      <c r="M94" s="19">
        <v>4.0</v>
      </c>
      <c r="N94" s="19">
        <v>7.0</v>
      </c>
      <c r="O94" s="19">
        <v>6.0</v>
      </c>
      <c r="P94" s="19">
        <v>4.0</v>
      </c>
      <c r="Q94" s="19">
        <v>49.0</v>
      </c>
      <c r="R94" s="19">
        <v>18.0</v>
      </c>
      <c r="S94" s="13">
        <f t="shared" si="22"/>
        <v>115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1.0</v>
      </c>
      <c r="G95" s="19">
        <v>0.0</v>
      </c>
      <c r="H95" s="19">
        <v>0.0</v>
      </c>
      <c r="I95" s="19">
        <v>1.0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1.0</v>
      </c>
      <c r="P95" s="19">
        <v>0.0</v>
      </c>
      <c r="Q95" s="19">
        <v>2.0</v>
      </c>
      <c r="R95" s="19">
        <v>1.0</v>
      </c>
      <c r="S95" s="13">
        <f t="shared" si="22"/>
        <v>6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3">
        <f t="shared" si="22"/>
        <v>0</v>
      </c>
    </row>
    <row r="97" ht="12.75" customHeight="1">
      <c r="A97" s="18"/>
      <c r="B97" s="55">
        <v>4.0</v>
      </c>
      <c r="C97" s="50" t="s">
        <v>77</v>
      </c>
      <c r="D97" s="60"/>
      <c r="E97" s="19">
        <v>1.0</v>
      </c>
      <c r="F97" s="19">
        <v>1.0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1.0</v>
      </c>
      <c r="M97" s="19">
        <v>1.0</v>
      </c>
      <c r="N97" s="19">
        <v>0.0</v>
      </c>
      <c r="O97" s="19">
        <v>1.0</v>
      </c>
      <c r="P97" s="19">
        <v>0.0</v>
      </c>
      <c r="Q97" s="19">
        <v>0.0</v>
      </c>
      <c r="R97" s="19">
        <v>0.0</v>
      </c>
      <c r="S97" s="13">
        <f t="shared" si="22"/>
        <v>5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3">
        <f t="shared" si="22"/>
        <v>0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1.0</v>
      </c>
      <c r="O99" s="19">
        <v>0.0</v>
      </c>
      <c r="P99" s="19">
        <v>0.0</v>
      </c>
      <c r="Q99" s="19">
        <v>0.0</v>
      </c>
      <c r="R99" s="19">
        <v>0.0</v>
      </c>
      <c r="S99" s="13">
        <f t="shared" si="22"/>
        <v>1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3">
        <f t="shared" si="22"/>
        <v>0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S103" si="23">SUM(E93:E102)</f>
        <v>6</v>
      </c>
      <c r="F103" s="13">
        <f t="shared" si="23"/>
        <v>5</v>
      </c>
      <c r="G103" s="13">
        <f t="shared" si="23"/>
        <v>2</v>
      </c>
      <c r="H103" s="13">
        <f t="shared" si="23"/>
        <v>0</v>
      </c>
      <c r="I103" s="13">
        <f t="shared" si="23"/>
        <v>5</v>
      </c>
      <c r="J103" s="13">
        <f t="shared" si="23"/>
        <v>8</v>
      </c>
      <c r="K103" s="13">
        <f t="shared" si="23"/>
        <v>3</v>
      </c>
      <c r="L103" s="13">
        <f t="shared" si="23"/>
        <v>4</v>
      </c>
      <c r="M103" s="13">
        <f t="shared" si="23"/>
        <v>6</v>
      </c>
      <c r="N103" s="13">
        <f t="shared" si="23"/>
        <v>8</v>
      </c>
      <c r="O103" s="13">
        <f t="shared" si="23"/>
        <v>11</v>
      </c>
      <c r="P103" s="13">
        <f t="shared" si="23"/>
        <v>5</v>
      </c>
      <c r="Q103" s="13">
        <f t="shared" si="23"/>
        <v>53</v>
      </c>
      <c r="R103" s="13">
        <f t="shared" si="23"/>
        <v>19</v>
      </c>
      <c r="S103" s="13">
        <f t="shared" si="23"/>
        <v>135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1.0</v>
      </c>
      <c r="F105" s="19">
        <v>0.0</v>
      </c>
      <c r="G105" s="19">
        <v>0.0</v>
      </c>
      <c r="H105" s="19">
        <v>0.0</v>
      </c>
      <c r="I105" s="19">
        <v>1.0</v>
      </c>
      <c r="J105" s="19">
        <v>3.0</v>
      </c>
      <c r="K105" s="19">
        <v>0.0</v>
      </c>
      <c r="L105" s="19">
        <v>0.0</v>
      </c>
      <c r="M105" s="19">
        <v>1.0</v>
      </c>
      <c r="N105" s="19">
        <v>2.0</v>
      </c>
      <c r="O105" s="19">
        <v>0.0</v>
      </c>
      <c r="P105" s="19">
        <v>0.0</v>
      </c>
      <c r="Q105" s="19">
        <v>0.0</v>
      </c>
      <c r="R105" s="19">
        <v>0.0</v>
      </c>
      <c r="S105" s="13">
        <f t="shared" ref="S105:S114" si="24">SUM(E105:R105)</f>
        <v>8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3">
        <f t="shared" si="24"/>
        <v>0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1.0</v>
      </c>
      <c r="O107" s="19">
        <v>0.0</v>
      </c>
      <c r="P107" s="19">
        <v>0.0</v>
      </c>
      <c r="Q107" s="19">
        <v>1.0</v>
      </c>
      <c r="R107" s="19">
        <v>0.0</v>
      </c>
      <c r="S107" s="13">
        <f t="shared" si="24"/>
        <v>2</v>
      </c>
    </row>
    <row r="108" ht="12.75" customHeight="1">
      <c r="A108" s="18"/>
      <c r="B108" s="55">
        <v>3.0</v>
      </c>
      <c r="C108" s="50" t="s">
        <v>85</v>
      </c>
      <c r="D108" s="60"/>
      <c r="E108" s="7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1.0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3">
        <f t="shared" si="24"/>
        <v>1</v>
      </c>
    </row>
    <row r="109" ht="12.75" customHeight="1">
      <c r="A109" s="18"/>
      <c r="B109" s="55">
        <v>4.0</v>
      </c>
      <c r="C109" s="50" t="s">
        <v>86</v>
      </c>
      <c r="D109" s="60"/>
      <c r="E109" s="7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1.0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60"/>
      <c r="E110" s="7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1.0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3">
        <f t="shared" si="24"/>
        <v>1</v>
      </c>
    </row>
    <row r="111" ht="12.75" customHeight="1">
      <c r="A111" s="18"/>
      <c r="B111" s="55">
        <v>6.0</v>
      </c>
      <c r="C111" s="50" t="s">
        <v>88</v>
      </c>
      <c r="D111" s="60"/>
      <c r="E111" s="79">
        <v>0.0</v>
      </c>
      <c r="F111" s="19">
        <v>0.0</v>
      </c>
      <c r="G111" s="19">
        <v>0.0</v>
      </c>
      <c r="H111" s="19">
        <v>0.0</v>
      </c>
      <c r="I111" s="19">
        <v>1.0</v>
      </c>
      <c r="J111" s="19">
        <v>0.0</v>
      </c>
      <c r="K111" s="19">
        <v>1.0</v>
      </c>
      <c r="L111" s="19">
        <v>0.0</v>
      </c>
      <c r="M111" s="19">
        <v>1.0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3">
        <f t="shared" si="24"/>
        <v>3</v>
      </c>
    </row>
    <row r="112" ht="12.75" customHeight="1">
      <c r="A112" s="18"/>
      <c r="B112" s="55">
        <v>7.0</v>
      </c>
      <c r="C112" s="50" t="s">
        <v>89</v>
      </c>
      <c r="D112" s="60"/>
      <c r="E112" s="7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3">
        <f t="shared" si="24"/>
        <v>0</v>
      </c>
    </row>
    <row r="113" ht="12.75" customHeight="1">
      <c r="A113" s="18"/>
      <c r="B113" s="56"/>
      <c r="C113" s="57"/>
      <c r="D113" s="62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3">
        <f t="shared" si="24"/>
        <v>0</v>
      </c>
    </row>
    <row r="114" ht="12.75" customHeight="1">
      <c r="A114" s="18"/>
      <c r="B114" s="56"/>
      <c r="C114" s="57"/>
      <c r="D114" s="62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S115" si="25">SUM(E105:E114)</f>
        <v>1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2</v>
      </c>
      <c r="J115" s="13">
        <f t="shared" si="25"/>
        <v>4</v>
      </c>
      <c r="K115" s="13">
        <f t="shared" si="25"/>
        <v>1</v>
      </c>
      <c r="L115" s="13">
        <f t="shared" si="25"/>
        <v>0</v>
      </c>
      <c r="M115" s="13">
        <f t="shared" si="25"/>
        <v>4</v>
      </c>
      <c r="N115" s="13">
        <f t="shared" si="25"/>
        <v>3</v>
      </c>
      <c r="O115" s="13">
        <f t="shared" si="25"/>
        <v>0</v>
      </c>
      <c r="P115" s="13">
        <f t="shared" si="25"/>
        <v>0</v>
      </c>
      <c r="Q115" s="13">
        <f t="shared" si="25"/>
        <v>1</v>
      </c>
      <c r="R115" s="13">
        <f t="shared" si="25"/>
        <v>0</v>
      </c>
      <c r="S115" s="13">
        <f t="shared" si="25"/>
        <v>16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1.0</v>
      </c>
      <c r="F117" s="19">
        <v>0.0</v>
      </c>
      <c r="G117" s="19">
        <v>0.0</v>
      </c>
      <c r="H117" s="19">
        <v>1.0</v>
      </c>
      <c r="I117" s="19">
        <v>1.0</v>
      </c>
      <c r="J117" s="19">
        <v>2.0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1.0</v>
      </c>
      <c r="R117" s="19">
        <v>0.0</v>
      </c>
      <c r="S117" s="13">
        <f t="shared" ref="S117:S126" si="26">SUM(E117:R117)</f>
        <v>6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1.0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1.0</v>
      </c>
      <c r="O118" s="19">
        <v>0.0</v>
      </c>
      <c r="P118" s="19">
        <v>0.0</v>
      </c>
      <c r="Q118" s="19">
        <v>0.0</v>
      </c>
      <c r="R118" s="19">
        <v>0.0</v>
      </c>
      <c r="S118" s="13">
        <f t="shared" si="26"/>
        <v>2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3">
        <f t="shared" si="26"/>
        <v>0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3">
        <f t="shared" si="26"/>
        <v>0</v>
      </c>
    </row>
    <row r="121" ht="12.75" customHeight="1">
      <c r="A121" s="18"/>
      <c r="B121" s="56"/>
      <c r="C121" s="57"/>
      <c r="D121" s="61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3">
        <f t="shared" si="26"/>
        <v>0</v>
      </c>
    </row>
    <row r="122" ht="12.75" customHeight="1">
      <c r="A122" s="18"/>
      <c r="B122" s="56"/>
      <c r="C122" s="57"/>
      <c r="D122" s="61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3">
        <f t="shared" si="26"/>
        <v>0</v>
      </c>
    </row>
    <row r="123" ht="12.75" customHeight="1">
      <c r="A123" s="18"/>
      <c r="B123" s="56"/>
      <c r="C123" s="57"/>
      <c r="D123" s="61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S127" si="27">SUM(E117:E126)</f>
        <v>1</v>
      </c>
      <c r="F127" s="13">
        <f t="shared" si="27"/>
        <v>0</v>
      </c>
      <c r="G127" s="13">
        <f t="shared" si="27"/>
        <v>0</v>
      </c>
      <c r="H127" s="13">
        <f t="shared" si="27"/>
        <v>2</v>
      </c>
      <c r="I127" s="13">
        <f t="shared" si="27"/>
        <v>1</v>
      </c>
      <c r="J127" s="13">
        <f t="shared" si="27"/>
        <v>2</v>
      </c>
      <c r="K127" s="13">
        <f t="shared" si="27"/>
        <v>0</v>
      </c>
      <c r="L127" s="13">
        <f t="shared" si="27"/>
        <v>0</v>
      </c>
      <c r="M127" s="13">
        <f t="shared" si="27"/>
        <v>0</v>
      </c>
      <c r="N127" s="13">
        <f t="shared" si="27"/>
        <v>1</v>
      </c>
      <c r="O127" s="13">
        <f t="shared" si="27"/>
        <v>0</v>
      </c>
      <c r="P127" s="13">
        <f t="shared" si="27"/>
        <v>0</v>
      </c>
      <c r="Q127" s="13">
        <f t="shared" si="27"/>
        <v>1</v>
      </c>
      <c r="R127" s="13">
        <f t="shared" si="27"/>
        <v>0</v>
      </c>
      <c r="S127" s="13">
        <f t="shared" si="27"/>
        <v>8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0.0</v>
      </c>
      <c r="G129" s="19">
        <v>0.0</v>
      </c>
      <c r="H129" s="19">
        <v>0.0</v>
      </c>
      <c r="I129" s="19">
        <v>0.0</v>
      </c>
      <c r="J129" s="19">
        <v>0.0</v>
      </c>
      <c r="K129" s="19">
        <v>0.0</v>
      </c>
      <c r="L129" s="19">
        <v>0.0</v>
      </c>
      <c r="M129" s="19">
        <v>2.0</v>
      </c>
      <c r="N129" s="19">
        <v>0.0</v>
      </c>
      <c r="O129" s="19">
        <v>0.0</v>
      </c>
      <c r="P129" s="19">
        <v>0.0</v>
      </c>
      <c r="Q129" s="19">
        <v>0.0</v>
      </c>
      <c r="R129" s="19">
        <v>1.0</v>
      </c>
      <c r="S129" s="13">
        <f t="shared" ref="S129:S138" si="28">SUM(E129:R129)</f>
        <v>4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1.0</v>
      </c>
      <c r="F130" s="19">
        <v>0.0</v>
      </c>
      <c r="G130" s="19">
        <v>0.0</v>
      </c>
      <c r="H130" s="19">
        <v>1.0</v>
      </c>
      <c r="I130" s="19">
        <v>0.0</v>
      </c>
      <c r="J130" s="19">
        <v>0.0</v>
      </c>
      <c r="K130" s="19">
        <v>0.0</v>
      </c>
      <c r="L130" s="19">
        <v>0.0</v>
      </c>
      <c r="M130" s="19">
        <v>2.0</v>
      </c>
      <c r="N130" s="19">
        <v>0.0</v>
      </c>
      <c r="O130" s="19">
        <v>0.0</v>
      </c>
      <c r="P130" s="19">
        <v>0.0</v>
      </c>
      <c r="Q130" s="19">
        <v>0.0</v>
      </c>
      <c r="R130" s="19">
        <v>0.0</v>
      </c>
      <c r="S130" s="13">
        <f t="shared" si="28"/>
        <v>4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1.0</v>
      </c>
      <c r="F131" s="19">
        <v>1.0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2.0</v>
      </c>
      <c r="N131" s="19">
        <v>0.0</v>
      </c>
      <c r="O131" s="19">
        <v>1.0</v>
      </c>
      <c r="P131" s="19">
        <v>0.0</v>
      </c>
      <c r="Q131" s="19">
        <v>0.0</v>
      </c>
      <c r="R131" s="19">
        <v>1.0</v>
      </c>
      <c r="S131" s="13">
        <f t="shared" si="28"/>
        <v>6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3">
        <f t="shared" si="28"/>
        <v>0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3">
        <f t="shared" si="28"/>
        <v>0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1.0</v>
      </c>
      <c r="S134" s="13">
        <f t="shared" si="28"/>
        <v>1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3">
        <f t="shared" si="28"/>
        <v>0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S139" si="29">SUM(E129:E138)</f>
        <v>3</v>
      </c>
      <c r="F139" s="13">
        <f t="shared" si="29"/>
        <v>1</v>
      </c>
      <c r="G139" s="13">
        <f t="shared" si="29"/>
        <v>0</v>
      </c>
      <c r="H139" s="13">
        <f t="shared" si="29"/>
        <v>1</v>
      </c>
      <c r="I139" s="13">
        <f t="shared" si="29"/>
        <v>0</v>
      </c>
      <c r="J139" s="13">
        <f t="shared" si="29"/>
        <v>0</v>
      </c>
      <c r="K139" s="13">
        <f t="shared" si="29"/>
        <v>0</v>
      </c>
      <c r="L139" s="13">
        <f t="shared" si="29"/>
        <v>0</v>
      </c>
      <c r="M139" s="13">
        <f t="shared" si="29"/>
        <v>6</v>
      </c>
      <c r="N139" s="13">
        <f t="shared" si="29"/>
        <v>0</v>
      </c>
      <c r="O139" s="13">
        <f t="shared" si="29"/>
        <v>1</v>
      </c>
      <c r="P139" s="13">
        <f t="shared" si="29"/>
        <v>0</v>
      </c>
      <c r="Q139" s="13">
        <f t="shared" si="29"/>
        <v>0</v>
      </c>
      <c r="R139" s="13">
        <f t="shared" si="29"/>
        <v>3</v>
      </c>
      <c r="S139" s="13">
        <f t="shared" si="29"/>
        <v>15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3">
        <f t="shared" ref="S141:S150" si="30">SUM(E141:R141)</f>
        <v>0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3">
        <f t="shared" si="30"/>
        <v>0</v>
      </c>
    </row>
    <row r="143" ht="12.75" customHeight="1">
      <c r="A143" s="18"/>
      <c r="B143" s="55">
        <v>2.0</v>
      </c>
      <c r="C143" s="50" t="s">
        <v>107</v>
      </c>
      <c r="D143" s="60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S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13"/>
    </row>
    <row r="153" ht="12.75" customHeight="1">
      <c r="A153" s="30" t="s">
        <v>37</v>
      </c>
      <c r="B153" s="17" t="s">
        <v>113</v>
      </c>
      <c r="C153" s="64" t="s">
        <v>114</v>
      </c>
      <c r="D153" s="23"/>
      <c r="E153" s="19">
        <v>0.0</v>
      </c>
      <c r="F153" s="19">
        <v>3.0</v>
      </c>
      <c r="G153" s="19">
        <v>0.0</v>
      </c>
      <c r="H153" s="19">
        <v>1.0</v>
      </c>
      <c r="I153" s="19">
        <v>1.0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3">
        <f t="shared" ref="S153:S156" si="32">SUM(E154:R154)</f>
        <v>5</v>
      </c>
    </row>
    <row r="154" ht="12.75" customHeight="1">
      <c r="A154" s="65" t="s">
        <v>39</v>
      </c>
      <c r="B154" s="55">
        <v>1.0</v>
      </c>
      <c r="C154" s="66" t="s">
        <v>115</v>
      </c>
      <c r="D154" s="60"/>
      <c r="E154" s="80">
        <v>0.0</v>
      </c>
      <c r="F154" s="19">
        <v>2.0</v>
      </c>
      <c r="G154" s="19">
        <v>1.0</v>
      </c>
      <c r="H154" s="19">
        <v>0.0</v>
      </c>
      <c r="I154" s="19">
        <v>1.0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1.0</v>
      </c>
      <c r="Q154" s="19">
        <v>0.0</v>
      </c>
      <c r="R154" s="19">
        <v>0.0</v>
      </c>
      <c r="S154" s="13">
        <f t="shared" si="32"/>
        <v>9</v>
      </c>
    </row>
    <row r="155" ht="12.75" customHeight="1">
      <c r="A155" s="18"/>
      <c r="B155" s="55">
        <v>2.0</v>
      </c>
      <c r="C155" s="66" t="s">
        <v>116</v>
      </c>
      <c r="D155" s="60"/>
      <c r="E155" s="80">
        <v>0.0</v>
      </c>
      <c r="F155" s="19">
        <v>6.0</v>
      </c>
      <c r="G155" s="19">
        <v>1.0</v>
      </c>
      <c r="H155" s="19">
        <v>1.0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1.0</v>
      </c>
      <c r="O155" s="19">
        <v>0.0</v>
      </c>
      <c r="P155" s="19">
        <v>0.0</v>
      </c>
      <c r="Q155" s="19">
        <v>0.0</v>
      </c>
      <c r="R155" s="19">
        <v>0.0</v>
      </c>
      <c r="S155" s="13">
        <f t="shared" si="32"/>
        <v>0</v>
      </c>
    </row>
    <row r="156" ht="12.75" customHeight="1">
      <c r="A156" s="18"/>
      <c r="B156" s="55">
        <v>3.0</v>
      </c>
      <c r="C156" s="66" t="s">
        <v>117</v>
      </c>
      <c r="D156" s="60"/>
      <c r="E156" s="80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3">
        <f t="shared" si="32"/>
        <v>0</v>
      </c>
    </row>
    <row r="157" ht="12.75" customHeight="1">
      <c r="A157" s="18"/>
      <c r="B157" s="55">
        <v>4.0</v>
      </c>
      <c r="C157" s="66" t="s">
        <v>118</v>
      </c>
      <c r="D157" s="60"/>
      <c r="E157" s="80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3">
        <f t="shared" ref="S157:S162" si="33">SUM(E163:R163)</f>
        <v>19</v>
      </c>
    </row>
    <row r="158" ht="12.75" customHeight="1">
      <c r="A158" s="18"/>
      <c r="B158" s="56"/>
      <c r="C158" s="57"/>
      <c r="D158" s="61"/>
      <c r="E158" s="80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3">
        <f t="shared" si="33"/>
        <v>0</v>
      </c>
    </row>
    <row r="159" ht="12.75" customHeight="1">
      <c r="A159" s="18"/>
      <c r="B159" s="56"/>
      <c r="C159" s="57"/>
      <c r="D159" s="61"/>
      <c r="E159" s="80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3">
        <f t="shared" si="33"/>
        <v>0</v>
      </c>
    </row>
    <row r="160" ht="12.75" customHeight="1">
      <c r="A160" s="18"/>
      <c r="B160" s="56"/>
      <c r="C160" s="57"/>
      <c r="D160" s="62"/>
      <c r="E160" s="80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3">
        <f t="shared" si="33"/>
        <v>0</v>
      </c>
    </row>
    <row r="161" ht="12.75" customHeight="1">
      <c r="A161" s="18"/>
      <c r="B161" s="56"/>
      <c r="C161" s="67"/>
      <c r="D161" s="62"/>
      <c r="E161" s="80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3">
        <f t="shared" si="33"/>
        <v>0</v>
      </c>
    </row>
    <row r="162" ht="12.75" customHeight="1">
      <c r="A162" s="18"/>
      <c r="B162" s="56"/>
      <c r="C162" s="67"/>
      <c r="D162" s="62"/>
      <c r="E162" s="80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3">
        <f t="shared" si="33"/>
        <v>0</v>
      </c>
    </row>
    <row r="163" ht="12.75" customHeight="1">
      <c r="A163" s="19" t="s">
        <v>15</v>
      </c>
      <c r="B163" s="68" t="s">
        <v>47</v>
      </c>
      <c r="C163" s="44"/>
      <c r="D163" s="28"/>
      <c r="E163" s="13">
        <f t="shared" ref="E163:S163" si="34">SUM(E153:E162)</f>
        <v>0</v>
      </c>
      <c r="F163" s="13">
        <f t="shared" si="34"/>
        <v>11</v>
      </c>
      <c r="G163" s="13">
        <f t="shared" si="34"/>
        <v>2</v>
      </c>
      <c r="H163" s="13">
        <f t="shared" si="34"/>
        <v>2</v>
      </c>
      <c r="I163" s="13">
        <f t="shared" si="34"/>
        <v>2</v>
      </c>
      <c r="J163" s="13">
        <f t="shared" si="34"/>
        <v>0</v>
      </c>
      <c r="K163" s="13">
        <f t="shared" si="34"/>
        <v>0</v>
      </c>
      <c r="L163" s="13">
        <f t="shared" si="34"/>
        <v>0</v>
      </c>
      <c r="M163" s="13">
        <f t="shared" si="34"/>
        <v>0</v>
      </c>
      <c r="N163" s="13">
        <f t="shared" si="34"/>
        <v>1</v>
      </c>
      <c r="O163" s="13">
        <f t="shared" si="34"/>
        <v>0</v>
      </c>
      <c r="P163" s="13">
        <f t="shared" si="34"/>
        <v>1</v>
      </c>
      <c r="Q163" s="13">
        <f t="shared" si="34"/>
        <v>0</v>
      </c>
      <c r="R163" s="13">
        <f t="shared" si="34"/>
        <v>0</v>
      </c>
      <c r="S163" s="13">
        <f t="shared" si="34"/>
        <v>33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3">
        <f t="shared" ref="S165:S174" si="35">SUM(E165:R165)</f>
        <v>0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3">
        <f t="shared" si="35"/>
        <v>0</v>
      </c>
    </row>
    <row r="167" ht="12.75" customHeight="1">
      <c r="A167" s="18"/>
      <c r="B167" s="55">
        <v>2.0</v>
      </c>
      <c r="C167" s="50" t="s">
        <v>122</v>
      </c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3">
        <f t="shared" si="35"/>
        <v>0</v>
      </c>
    </row>
    <row r="168" ht="12.75" customHeight="1">
      <c r="A168" s="18"/>
      <c r="B168" s="55">
        <v>3.0</v>
      </c>
      <c r="C168" s="50" t="s">
        <v>123</v>
      </c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3">
        <f t="shared" si="35"/>
        <v>0</v>
      </c>
    </row>
    <row r="169" ht="12.75" customHeight="1">
      <c r="A169" s="18"/>
      <c r="B169" s="55">
        <v>4.0</v>
      </c>
      <c r="C169" s="50" t="s">
        <v>124</v>
      </c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3">
        <f t="shared" si="35"/>
        <v>0</v>
      </c>
    </row>
    <row r="170" ht="12.75" customHeight="1">
      <c r="A170" s="18"/>
      <c r="B170" s="55">
        <v>5.0</v>
      </c>
      <c r="C170" s="50" t="s">
        <v>125</v>
      </c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3">
        <f t="shared" si="35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3">
        <f t="shared" si="35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3">
        <f t="shared" si="35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3">
        <f t="shared" si="35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3">
        <f t="shared" si="35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S175" si="36">SUM(E165:E174)</f>
        <v>0</v>
      </c>
      <c r="F175" s="13">
        <f t="shared" si="36"/>
        <v>0</v>
      </c>
      <c r="G175" s="13">
        <f t="shared" si="36"/>
        <v>0</v>
      </c>
      <c r="H175" s="13">
        <f t="shared" si="36"/>
        <v>0</v>
      </c>
      <c r="I175" s="13">
        <f t="shared" si="36"/>
        <v>0</v>
      </c>
      <c r="J175" s="13">
        <f t="shared" si="36"/>
        <v>0</v>
      </c>
      <c r="K175" s="13">
        <f t="shared" si="36"/>
        <v>0</v>
      </c>
      <c r="L175" s="13">
        <f t="shared" si="36"/>
        <v>0</v>
      </c>
      <c r="M175" s="13">
        <f t="shared" si="36"/>
        <v>0</v>
      </c>
      <c r="N175" s="13">
        <f t="shared" si="36"/>
        <v>0</v>
      </c>
      <c r="O175" s="13">
        <f t="shared" si="36"/>
        <v>0</v>
      </c>
      <c r="P175" s="13">
        <f t="shared" si="36"/>
        <v>0</v>
      </c>
      <c r="Q175" s="13">
        <f t="shared" si="36"/>
        <v>0</v>
      </c>
      <c r="R175" s="13">
        <f t="shared" si="36"/>
        <v>0</v>
      </c>
      <c r="S175" s="13">
        <f t="shared" si="36"/>
        <v>0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3.0</v>
      </c>
      <c r="H177" s="19">
        <v>0.0</v>
      </c>
      <c r="I177" s="19">
        <v>2.0</v>
      </c>
      <c r="J177" s="19">
        <v>4.0</v>
      </c>
      <c r="K177" s="19">
        <v>0.0</v>
      </c>
      <c r="L177" s="19">
        <v>0.0</v>
      </c>
      <c r="M177" s="19">
        <v>0.0</v>
      </c>
      <c r="N177" s="19">
        <v>0.0</v>
      </c>
      <c r="O177" s="19">
        <v>0.0</v>
      </c>
      <c r="P177" s="19">
        <v>0.0</v>
      </c>
      <c r="Q177" s="19">
        <v>0.0</v>
      </c>
      <c r="R177" s="19">
        <v>0.0</v>
      </c>
      <c r="S177" s="13">
        <f t="shared" ref="S177:S186" si="37">SUM(E177:R177)</f>
        <v>9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1.0</v>
      </c>
      <c r="F178" s="19">
        <v>0.0</v>
      </c>
      <c r="G178" s="19">
        <v>3.0</v>
      </c>
      <c r="H178" s="19">
        <v>1.0</v>
      </c>
      <c r="I178" s="19">
        <v>1.0</v>
      </c>
      <c r="J178" s="19">
        <v>0.0</v>
      </c>
      <c r="K178" s="19">
        <v>0.0</v>
      </c>
      <c r="L178" s="19">
        <v>1.0</v>
      </c>
      <c r="M178" s="19">
        <v>0.0</v>
      </c>
      <c r="N178" s="19">
        <v>1.0</v>
      </c>
      <c r="O178" s="19">
        <v>0.0</v>
      </c>
      <c r="P178" s="19">
        <v>0.0</v>
      </c>
      <c r="Q178" s="19">
        <v>0.0</v>
      </c>
      <c r="R178" s="19">
        <v>1.0</v>
      </c>
      <c r="S178" s="13">
        <f t="shared" si="37"/>
        <v>9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1.0</v>
      </c>
      <c r="F179" s="19">
        <v>0.0</v>
      </c>
      <c r="G179" s="19">
        <v>2.0</v>
      </c>
      <c r="H179" s="19">
        <v>4.0</v>
      </c>
      <c r="I179" s="19">
        <v>0.0</v>
      </c>
      <c r="J179" s="19">
        <v>2.0</v>
      </c>
      <c r="K179" s="19">
        <v>0.0</v>
      </c>
      <c r="L179" s="19">
        <v>0.0</v>
      </c>
      <c r="M179" s="19">
        <v>0.0</v>
      </c>
      <c r="N179" s="19">
        <v>1.0</v>
      </c>
      <c r="O179" s="19">
        <v>0.0</v>
      </c>
      <c r="P179" s="19">
        <v>0.0</v>
      </c>
      <c r="Q179" s="19">
        <v>0.0</v>
      </c>
      <c r="R179" s="19">
        <v>0.0</v>
      </c>
      <c r="S179" s="13">
        <f t="shared" si="37"/>
        <v>10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3">
        <f t="shared" si="37"/>
        <v>0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1.0</v>
      </c>
      <c r="F181" s="19">
        <v>0.0</v>
      </c>
      <c r="G181" s="19">
        <v>0.0</v>
      </c>
      <c r="H181" s="19">
        <v>1.0</v>
      </c>
      <c r="I181" s="19">
        <v>1.0</v>
      </c>
      <c r="J181" s="19">
        <v>0.0</v>
      </c>
      <c r="K181" s="19">
        <v>1.0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3">
        <f t="shared" si="37"/>
        <v>4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1.0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3">
        <f t="shared" si="37"/>
        <v>1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1.0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3">
        <f t="shared" si="37"/>
        <v>1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3">
        <f t="shared" si="37"/>
        <v>0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3">
        <f t="shared" si="37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3">
        <f t="shared" si="37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S187" si="38">SUM(E177:E186)</f>
        <v>3</v>
      </c>
      <c r="F187" s="13">
        <f t="shared" si="38"/>
        <v>0</v>
      </c>
      <c r="G187" s="13">
        <f t="shared" si="38"/>
        <v>10</v>
      </c>
      <c r="H187" s="13">
        <f t="shared" si="38"/>
        <v>6</v>
      </c>
      <c r="I187" s="13">
        <f t="shared" si="38"/>
        <v>4</v>
      </c>
      <c r="J187" s="13">
        <f t="shared" si="38"/>
        <v>6</v>
      </c>
      <c r="K187" s="13">
        <f t="shared" si="38"/>
        <v>1</v>
      </c>
      <c r="L187" s="13">
        <f t="shared" si="38"/>
        <v>1</v>
      </c>
      <c r="M187" s="13">
        <f t="shared" si="38"/>
        <v>0</v>
      </c>
      <c r="N187" s="13">
        <f t="shared" si="38"/>
        <v>2</v>
      </c>
      <c r="O187" s="13">
        <f t="shared" si="38"/>
        <v>0</v>
      </c>
      <c r="P187" s="13">
        <f t="shared" si="38"/>
        <v>0</v>
      </c>
      <c r="Q187" s="13">
        <f t="shared" si="38"/>
        <v>0</v>
      </c>
      <c r="R187" s="13">
        <f t="shared" si="38"/>
        <v>1</v>
      </c>
      <c r="S187" s="13">
        <f t="shared" si="38"/>
        <v>34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S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3">
        <f t="shared" ref="S189:S198" si="39">SUM(E189:R189)</f>
        <v>0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1.0</v>
      </c>
      <c r="Q190" s="19">
        <v>0.0</v>
      </c>
      <c r="R190" s="19">
        <v>0.0</v>
      </c>
      <c r="S190" s="13">
        <f t="shared" si="39"/>
        <v>1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1.0</v>
      </c>
      <c r="N191" s="19">
        <v>0.0</v>
      </c>
      <c r="O191" s="19">
        <v>0.0</v>
      </c>
      <c r="P191" s="19">
        <v>0.0</v>
      </c>
      <c r="Q191" s="19">
        <v>0.0</v>
      </c>
      <c r="R191" s="19">
        <v>2.0</v>
      </c>
      <c r="S191" s="13">
        <f t="shared" si="39"/>
        <v>3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3">
        <f t="shared" si="39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3">
        <f t="shared" si="39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3">
        <f t="shared" si="39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3">
        <f t="shared" si="39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3">
        <f t="shared" si="39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3">
        <f t="shared" si="39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3">
        <f t="shared" si="39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S199" si="40">SUM(E189:E198)</f>
        <v>0</v>
      </c>
      <c r="F199" s="13">
        <f t="shared" si="40"/>
        <v>0</v>
      </c>
      <c r="G199" s="13">
        <f t="shared" si="40"/>
        <v>0</v>
      </c>
      <c r="H199" s="13">
        <f t="shared" si="40"/>
        <v>0</v>
      </c>
      <c r="I199" s="13">
        <f t="shared" si="40"/>
        <v>0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1</v>
      </c>
      <c r="N199" s="13">
        <f t="shared" si="40"/>
        <v>0</v>
      </c>
      <c r="O199" s="13">
        <f t="shared" si="40"/>
        <v>0</v>
      </c>
      <c r="P199" s="13">
        <f t="shared" si="40"/>
        <v>1</v>
      </c>
      <c r="Q199" s="13">
        <f t="shared" si="40"/>
        <v>0</v>
      </c>
      <c r="R199" s="13">
        <f t="shared" si="40"/>
        <v>2</v>
      </c>
      <c r="S199" s="13">
        <f t="shared" si="40"/>
        <v>4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7.0</v>
      </c>
      <c r="F201" s="19">
        <v>0.0</v>
      </c>
      <c r="G201" s="19">
        <v>3.0</v>
      </c>
      <c r="H201" s="19">
        <v>7.0</v>
      </c>
      <c r="I201" s="19">
        <v>3.0</v>
      </c>
      <c r="J201" s="19">
        <v>6.0</v>
      </c>
      <c r="K201" s="19">
        <v>2.0</v>
      </c>
      <c r="L201" s="19">
        <v>0.0</v>
      </c>
      <c r="M201" s="19">
        <v>5.0</v>
      </c>
      <c r="N201" s="19">
        <v>1.0</v>
      </c>
      <c r="O201" s="19">
        <v>8.0</v>
      </c>
      <c r="P201" s="19">
        <v>5.0</v>
      </c>
      <c r="Q201" s="19">
        <v>15.0</v>
      </c>
      <c r="R201" s="19">
        <v>15.0</v>
      </c>
      <c r="S201" s="13">
        <f t="shared" ref="S201:S210" si="41">SUM(E201:R201)</f>
        <v>77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2.0</v>
      </c>
      <c r="F202" s="19">
        <v>6.0</v>
      </c>
      <c r="G202" s="19">
        <v>1.0</v>
      </c>
      <c r="H202" s="19">
        <v>2.0</v>
      </c>
      <c r="I202" s="19">
        <v>7.0</v>
      </c>
      <c r="J202" s="19">
        <v>2.0</v>
      </c>
      <c r="K202" s="19">
        <v>4.0</v>
      </c>
      <c r="L202" s="19">
        <v>12.0</v>
      </c>
      <c r="M202" s="19">
        <v>5.0</v>
      </c>
      <c r="N202" s="19">
        <v>7.0</v>
      </c>
      <c r="O202" s="19">
        <v>5.0</v>
      </c>
      <c r="P202" s="19">
        <v>1.0</v>
      </c>
      <c r="Q202" s="19">
        <v>15.0</v>
      </c>
      <c r="R202" s="19">
        <v>7.0</v>
      </c>
      <c r="S202" s="13">
        <f t="shared" si="41"/>
        <v>76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4.0</v>
      </c>
      <c r="F203" s="19">
        <v>1.0</v>
      </c>
      <c r="G203" s="19">
        <v>1.0</v>
      </c>
      <c r="H203" s="19">
        <v>2.0</v>
      </c>
      <c r="I203" s="19">
        <v>1.0</v>
      </c>
      <c r="J203" s="19">
        <v>3.0</v>
      </c>
      <c r="K203" s="19">
        <v>0.0</v>
      </c>
      <c r="L203" s="19">
        <v>1.0</v>
      </c>
      <c r="M203" s="19">
        <v>6.0</v>
      </c>
      <c r="N203" s="19">
        <v>0.0</v>
      </c>
      <c r="O203" s="19">
        <v>5.0</v>
      </c>
      <c r="P203" s="19">
        <v>2.0</v>
      </c>
      <c r="Q203" s="19">
        <v>14.0</v>
      </c>
      <c r="R203" s="19">
        <v>18.0</v>
      </c>
      <c r="S203" s="13">
        <f t="shared" si="41"/>
        <v>58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1.0</v>
      </c>
      <c r="R204" s="19">
        <v>0.0</v>
      </c>
      <c r="S204" s="13">
        <f t="shared" si="41"/>
        <v>1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1.0</v>
      </c>
      <c r="F205" s="19">
        <v>0.0</v>
      </c>
      <c r="G205" s="19">
        <v>0.0</v>
      </c>
      <c r="H205" s="19">
        <v>1.0</v>
      </c>
      <c r="I205" s="19">
        <v>0.0</v>
      </c>
      <c r="J205" s="19">
        <v>2.0</v>
      </c>
      <c r="K205" s="19">
        <v>0.0</v>
      </c>
      <c r="L205" s="19">
        <v>0.0</v>
      </c>
      <c r="M205" s="19">
        <v>0.0</v>
      </c>
      <c r="N205" s="19">
        <v>3.0</v>
      </c>
      <c r="O205" s="19">
        <v>0.0</v>
      </c>
      <c r="P205" s="19">
        <v>0.0</v>
      </c>
      <c r="Q205" s="19">
        <v>0.0</v>
      </c>
      <c r="R205" s="19">
        <v>0.0</v>
      </c>
      <c r="S205" s="13">
        <f t="shared" si="41"/>
        <v>7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1.0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1.0</v>
      </c>
      <c r="S206" s="13">
        <f t="shared" si="41"/>
        <v>2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3">
        <f t="shared" si="41"/>
        <v>0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1.0</v>
      </c>
      <c r="L208" s="19">
        <v>0.0</v>
      </c>
      <c r="M208" s="19">
        <v>1.0</v>
      </c>
      <c r="N208" s="19">
        <v>1.0</v>
      </c>
      <c r="O208" s="19">
        <v>0.0</v>
      </c>
      <c r="P208" s="19">
        <v>0.0</v>
      </c>
      <c r="Q208" s="19">
        <v>0.0</v>
      </c>
      <c r="R208" s="19">
        <v>0.0</v>
      </c>
      <c r="S208" s="13">
        <f t="shared" si="41"/>
        <v>3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3">
        <f t="shared" si="41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3">
        <f t="shared" si="41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S211" si="42">SUM(E201:E210)</f>
        <v>14</v>
      </c>
      <c r="F211" s="13">
        <f t="shared" si="42"/>
        <v>8</v>
      </c>
      <c r="G211" s="13">
        <f t="shared" si="42"/>
        <v>5</v>
      </c>
      <c r="H211" s="13">
        <f t="shared" si="42"/>
        <v>12</v>
      </c>
      <c r="I211" s="13">
        <f t="shared" si="42"/>
        <v>11</v>
      </c>
      <c r="J211" s="13">
        <f t="shared" si="42"/>
        <v>13</v>
      </c>
      <c r="K211" s="13">
        <f t="shared" si="42"/>
        <v>7</v>
      </c>
      <c r="L211" s="13">
        <f t="shared" si="42"/>
        <v>13</v>
      </c>
      <c r="M211" s="13">
        <f t="shared" si="42"/>
        <v>17</v>
      </c>
      <c r="N211" s="13">
        <f t="shared" si="42"/>
        <v>12</v>
      </c>
      <c r="O211" s="13">
        <f t="shared" si="42"/>
        <v>18</v>
      </c>
      <c r="P211" s="13">
        <f t="shared" si="42"/>
        <v>8</v>
      </c>
      <c r="Q211" s="13">
        <f t="shared" si="42"/>
        <v>45</v>
      </c>
      <c r="R211" s="13">
        <f t="shared" si="42"/>
        <v>41</v>
      </c>
      <c r="S211" s="13">
        <f t="shared" si="42"/>
        <v>224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4.0</v>
      </c>
      <c r="F213" s="19">
        <v>4.0</v>
      </c>
      <c r="G213" s="19">
        <v>3.0</v>
      </c>
      <c r="H213" s="19">
        <v>2.0</v>
      </c>
      <c r="I213" s="19">
        <v>1.0</v>
      </c>
      <c r="J213" s="19">
        <v>1.0</v>
      </c>
      <c r="K213" s="19">
        <v>1.0</v>
      </c>
      <c r="L213" s="19">
        <v>1.0</v>
      </c>
      <c r="M213" s="19">
        <v>0.0</v>
      </c>
      <c r="N213" s="19">
        <v>1.0</v>
      </c>
      <c r="O213" s="19">
        <v>2.0</v>
      </c>
      <c r="P213" s="19">
        <v>2.0</v>
      </c>
      <c r="Q213" s="19">
        <v>1.0</v>
      </c>
      <c r="R213" s="19">
        <v>4.0</v>
      </c>
      <c r="S213" s="13">
        <f t="shared" ref="S213:S222" si="43">SUM(E213:R213)</f>
        <v>27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1.0</v>
      </c>
      <c r="F214" s="19">
        <v>1.0</v>
      </c>
      <c r="G214" s="19">
        <v>0.0</v>
      </c>
      <c r="H214" s="19">
        <v>1.0</v>
      </c>
      <c r="I214" s="19">
        <v>0.0</v>
      </c>
      <c r="J214" s="19">
        <v>0.0</v>
      </c>
      <c r="K214" s="19">
        <v>0.0</v>
      </c>
      <c r="L214" s="19">
        <v>2.0</v>
      </c>
      <c r="M214" s="19">
        <v>0.0</v>
      </c>
      <c r="N214" s="19">
        <v>7.0</v>
      </c>
      <c r="O214" s="19">
        <v>9.0</v>
      </c>
      <c r="P214" s="19">
        <v>28.0</v>
      </c>
      <c r="Q214" s="19">
        <v>6.0</v>
      </c>
      <c r="R214" s="19">
        <v>1.0</v>
      </c>
      <c r="S214" s="13">
        <f t="shared" si="43"/>
        <v>56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17.0</v>
      </c>
      <c r="F215" s="19">
        <v>3.0</v>
      </c>
      <c r="G215" s="19">
        <v>6.0</v>
      </c>
      <c r="H215" s="19">
        <v>10.0</v>
      </c>
      <c r="I215" s="19">
        <v>3.0</v>
      </c>
      <c r="J215" s="19">
        <v>12.0</v>
      </c>
      <c r="K215" s="19">
        <v>10.0</v>
      </c>
      <c r="L215" s="19">
        <v>14.0</v>
      </c>
      <c r="M215" s="19">
        <v>2.0</v>
      </c>
      <c r="N215" s="19">
        <v>1.0</v>
      </c>
      <c r="O215" s="19">
        <v>2.0</v>
      </c>
      <c r="P215" s="19">
        <v>10.0</v>
      </c>
      <c r="Q215" s="19">
        <v>15.0</v>
      </c>
      <c r="R215" s="19">
        <v>49.0</v>
      </c>
      <c r="S215" s="13">
        <f t="shared" si="43"/>
        <v>154</v>
      </c>
    </row>
    <row r="216" ht="12.75" customHeight="1">
      <c r="A216" s="18"/>
      <c r="B216" s="55">
        <v>3.0</v>
      </c>
      <c r="C216" s="69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2.0</v>
      </c>
      <c r="K216" s="19">
        <v>0.0</v>
      </c>
      <c r="L216" s="19">
        <v>0.0</v>
      </c>
      <c r="M216" s="19">
        <v>1.0</v>
      </c>
      <c r="N216" s="19">
        <v>0.0</v>
      </c>
      <c r="O216" s="19">
        <v>0.0</v>
      </c>
      <c r="P216" s="19">
        <v>0.0</v>
      </c>
      <c r="Q216" s="19">
        <v>1.0</v>
      </c>
      <c r="R216" s="19">
        <v>0.0</v>
      </c>
      <c r="S216" s="13">
        <f t="shared" si="43"/>
        <v>4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1.0</v>
      </c>
      <c r="R217" s="19">
        <v>0.0</v>
      </c>
      <c r="S217" s="13">
        <f t="shared" si="43"/>
        <v>1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1.0</v>
      </c>
      <c r="O218" s="19">
        <v>0.0</v>
      </c>
      <c r="P218" s="19">
        <v>0.0</v>
      </c>
      <c r="Q218" s="19">
        <v>0.0</v>
      </c>
      <c r="R218" s="19">
        <v>0.0</v>
      </c>
      <c r="S218" s="13">
        <f t="shared" si="43"/>
        <v>1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3">
        <f t="shared" si="43"/>
        <v>0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1.0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3">
        <f t="shared" si="43"/>
        <v>1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3">
        <f t="shared" si="43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3">
        <f t="shared" si="43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S223" si="44">SUM(E213:E222)</f>
        <v>22</v>
      </c>
      <c r="F223" s="13">
        <f t="shared" si="44"/>
        <v>9</v>
      </c>
      <c r="G223" s="13">
        <f t="shared" si="44"/>
        <v>9</v>
      </c>
      <c r="H223" s="13">
        <f t="shared" si="44"/>
        <v>13</v>
      </c>
      <c r="I223" s="13">
        <f t="shared" si="44"/>
        <v>4</v>
      </c>
      <c r="J223" s="13">
        <f t="shared" si="44"/>
        <v>15</v>
      </c>
      <c r="K223" s="13">
        <f t="shared" si="44"/>
        <v>11</v>
      </c>
      <c r="L223" s="13">
        <f t="shared" si="44"/>
        <v>17</v>
      </c>
      <c r="M223" s="13">
        <f t="shared" si="44"/>
        <v>3</v>
      </c>
      <c r="N223" s="13">
        <f t="shared" si="44"/>
        <v>10</v>
      </c>
      <c r="O223" s="13">
        <f t="shared" si="44"/>
        <v>13</v>
      </c>
      <c r="P223" s="13">
        <f t="shared" si="44"/>
        <v>40</v>
      </c>
      <c r="Q223" s="13">
        <f t="shared" si="44"/>
        <v>24</v>
      </c>
      <c r="R223" s="13">
        <f t="shared" si="44"/>
        <v>54</v>
      </c>
      <c r="S223" s="13">
        <f t="shared" si="44"/>
        <v>244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3">
        <f t="shared" ref="S225:S234" si="45">SUM(E225:R225)</f>
        <v>0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11.0</v>
      </c>
      <c r="H226" s="19">
        <v>2.0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2.0</v>
      </c>
      <c r="O226" s="19">
        <v>5.0</v>
      </c>
      <c r="P226" s="19">
        <v>0.0</v>
      </c>
      <c r="Q226" s="19">
        <v>0.0</v>
      </c>
      <c r="R226" s="19">
        <v>0.0</v>
      </c>
      <c r="S226" s="13">
        <f t="shared" si="45"/>
        <v>20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3">
        <f t="shared" si="45"/>
        <v>0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3">
        <f t="shared" si="45"/>
        <v>0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3">
        <f t="shared" si="45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3">
        <f t="shared" si="45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3">
        <f t="shared" si="45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1.0</v>
      </c>
      <c r="F232" s="19">
        <v>3.0</v>
      </c>
      <c r="G232" s="19">
        <v>0.0</v>
      </c>
      <c r="H232" s="19">
        <v>0.0</v>
      </c>
      <c r="I232" s="19">
        <v>0.0</v>
      </c>
      <c r="J232" s="19">
        <v>1.0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3">
        <f t="shared" si="45"/>
        <v>5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3">
        <f t="shared" si="45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3">
        <f t="shared" si="45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S235" si="46">SUM(E225:E234)</f>
        <v>1</v>
      </c>
      <c r="F235" s="13">
        <f t="shared" si="46"/>
        <v>3</v>
      </c>
      <c r="G235" s="13">
        <f t="shared" si="46"/>
        <v>11</v>
      </c>
      <c r="H235" s="13">
        <f t="shared" si="46"/>
        <v>2</v>
      </c>
      <c r="I235" s="13">
        <f t="shared" si="46"/>
        <v>0</v>
      </c>
      <c r="J235" s="13">
        <f t="shared" si="46"/>
        <v>1</v>
      </c>
      <c r="K235" s="13">
        <f t="shared" si="46"/>
        <v>0</v>
      </c>
      <c r="L235" s="13">
        <f t="shared" si="46"/>
        <v>0</v>
      </c>
      <c r="M235" s="13">
        <f t="shared" si="46"/>
        <v>0</v>
      </c>
      <c r="N235" s="13">
        <f t="shared" si="46"/>
        <v>2</v>
      </c>
      <c r="O235" s="13">
        <f t="shared" si="46"/>
        <v>5</v>
      </c>
      <c r="P235" s="13">
        <f t="shared" si="46"/>
        <v>0</v>
      </c>
      <c r="Q235" s="13">
        <f t="shared" si="46"/>
        <v>0</v>
      </c>
      <c r="R235" s="13">
        <f t="shared" si="46"/>
        <v>0</v>
      </c>
      <c r="S235" s="13">
        <f t="shared" si="46"/>
        <v>25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1.0</v>
      </c>
      <c r="H237" s="19">
        <v>0.0</v>
      </c>
      <c r="I237" s="19">
        <v>0.0</v>
      </c>
      <c r="J237" s="19">
        <v>0.0</v>
      </c>
      <c r="K237" s="19">
        <v>0.0</v>
      </c>
      <c r="L237" s="19">
        <v>0.0</v>
      </c>
      <c r="M237" s="19">
        <v>3.0</v>
      </c>
      <c r="N237" s="19">
        <v>0.0</v>
      </c>
      <c r="O237" s="19">
        <v>0.0</v>
      </c>
      <c r="P237" s="19">
        <v>2.0</v>
      </c>
      <c r="Q237" s="19">
        <v>0.0</v>
      </c>
      <c r="R237" s="19">
        <v>0.0</v>
      </c>
      <c r="S237" s="13">
        <f t="shared" ref="S237:S246" si="47">SUM(E237:R237)</f>
        <v>6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1.0</v>
      </c>
      <c r="F238" s="19">
        <v>0.0</v>
      </c>
      <c r="G238" s="19">
        <v>0.0</v>
      </c>
      <c r="H238" s="19">
        <v>0.0</v>
      </c>
      <c r="I238" s="19">
        <v>1.0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1.0</v>
      </c>
      <c r="P238" s="19">
        <v>1.0</v>
      </c>
      <c r="Q238" s="19">
        <v>0.0</v>
      </c>
      <c r="R238" s="19">
        <v>1.0</v>
      </c>
      <c r="S238" s="13">
        <f t="shared" si="47"/>
        <v>5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0.0</v>
      </c>
      <c r="F239" s="19">
        <v>0.0</v>
      </c>
      <c r="G239" s="19">
        <v>0.0</v>
      </c>
      <c r="H239" s="19">
        <v>0.0</v>
      </c>
      <c r="I239" s="19">
        <v>1.0</v>
      </c>
      <c r="J239" s="19">
        <v>0.0</v>
      </c>
      <c r="K239" s="19">
        <v>0.0</v>
      </c>
      <c r="L239" s="19">
        <v>0.0</v>
      </c>
      <c r="M239" s="19">
        <v>2.0</v>
      </c>
      <c r="N239" s="19">
        <v>1.0</v>
      </c>
      <c r="O239" s="19">
        <v>0.0</v>
      </c>
      <c r="P239" s="19">
        <v>0.0</v>
      </c>
      <c r="Q239" s="19">
        <v>0.0</v>
      </c>
      <c r="R239" s="19">
        <v>0.0</v>
      </c>
      <c r="S239" s="13">
        <f t="shared" si="47"/>
        <v>4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1.0</v>
      </c>
      <c r="G240" s="19">
        <v>0.0</v>
      </c>
      <c r="H240" s="19">
        <v>1.0</v>
      </c>
      <c r="I240" s="19">
        <v>0.0</v>
      </c>
      <c r="J240" s="19">
        <v>1.0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3">
        <f t="shared" si="47"/>
        <v>3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1.0</v>
      </c>
      <c r="N241" s="19">
        <v>0.0</v>
      </c>
      <c r="O241" s="19">
        <v>1.0</v>
      </c>
      <c r="P241" s="19">
        <v>1.0</v>
      </c>
      <c r="Q241" s="19">
        <v>0.0</v>
      </c>
      <c r="R241" s="19">
        <v>0.0</v>
      </c>
      <c r="S241" s="13">
        <f t="shared" si="47"/>
        <v>3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3">
        <f t="shared" si="47"/>
        <v>0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3">
        <f t="shared" si="47"/>
        <v>0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0.0</v>
      </c>
      <c r="G244" s="19">
        <v>2.0</v>
      </c>
      <c r="H244" s="19">
        <v>0.0</v>
      </c>
      <c r="I244" s="19">
        <v>0.0</v>
      </c>
      <c r="J244" s="19">
        <v>0.0</v>
      </c>
      <c r="K244" s="19">
        <v>1.0</v>
      </c>
      <c r="L244" s="19">
        <v>0.0</v>
      </c>
      <c r="M244" s="19">
        <v>5.0</v>
      </c>
      <c r="N244" s="19">
        <v>0.0</v>
      </c>
      <c r="O244" s="19">
        <v>1.0</v>
      </c>
      <c r="P244" s="19">
        <v>1.0</v>
      </c>
      <c r="Q244" s="19">
        <v>1.0</v>
      </c>
      <c r="R244" s="19">
        <v>0.0</v>
      </c>
      <c r="S244" s="13">
        <f t="shared" si="47"/>
        <v>11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3">
        <f t="shared" si="47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3">
        <f t="shared" si="47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S247" si="48">SUM(E237:E246)</f>
        <v>1</v>
      </c>
      <c r="F247" s="13">
        <f t="shared" si="48"/>
        <v>1</v>
      </c>
      <c r="G247" s="13">
        <f t="shared" si="48"/>
        <v>3</v>
      </c>
      <c r="H247" s="13">
        <f t="shared" si="48"/>
        <v>1</v>
      </c>
      <c r="I247" s="13">
        <f t="shared" si="48"/>
        <v>2</v>
      </c>
      <c r="J247" s="13">
        <f t="shared" si="48"/>
        <v>1</v>
      </c>
      <c r="K247" s="13">
        <f t="shared" si="48"/>
        <v>1</v>
      </c>
      <c r="L247" s="13">
        <f t="shared" si="48"/>
        <v>0</v>
      </c>
      <c r="M247" s="13">
        <f t="shared" si="48"/>
        <v>11</v>
      </c>
      <c r="N247" s="13">
        <f t="shared" si="48"/>
        <v>1</v>
      </c>
      <c r="O247" s="13">
        <f t="shared" si="48"/>
        <v>3</v>
      </c>
      <c r="P247" s="13">
        <f t="shared" si="48"/>
        <v>5</v>
      </c>
      <c r="Q247" s="13">
        <f t="shared" si="48"/>
        <v>1</v>
      </c>
      <c r="R247" s="13">
        <f t="shared" si="48"/>
        <v>1</v>
      </c>
      <c r="S247" s="13">
        <f t="shared" si="48"/>
        <v>32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1.0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3">
        <f t="shared" ref="S249:S258" si="49">SUM(E249:R249)</f>
        <v>1</v>
      </c>
    </row>
    <row r="250" ht="12.75" customHeight="1">
      <c r="A250" s="30" t="s">
        <v>39</v>
      </c>
      <c r="B250" s="55">
        <v>1.0</v>
      </c>
      <c r="C250" s="66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3">
        <f t="shared" si="49"/>
        <v>0</v>
      </c>
    </row>
    <row r="251" ht="12.75" customHeight="1">
      <c r="A251" s="18"/>
      <c r="B251" s="55">
        <v>2.0</v>
      </c>
      <c r="C251" s="66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3">
        <f t="shared" si="49"/>
        <v>0</v>
      </c>
    </row>
    <row r="252" ht="12.75" customHeight="1">
      <c r="A252" s="18"/>
      <c r="B252" s="55">
        <v>3.0</v>
      </c>
      <c r="C252" s="66" t="s">
        <v>186</v>
      </c>
      <c r="D252" s="60"/>
      <c r="E252" s="19">
        <v>1.0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3">
        <f t="shared" si="49"/>
        <v>1</v>
      </c>
    </row>
    <row r="253" ht="12.75" customHeight="1">
      <c r="A253" s="18"/>
      <c r="B253" s="55">
        <v>4.0</v>
      </c>
      <c r="C253" s="66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3">
        <f t="shared" si="49"/>
        <v>0</v>
      </c>
    </row>
    <row r="254" ht="12.75" customHeight="1">
      <c r="A254" s="18"/>
      <c r="B254" s="55">
        <v>5.0</v>
      </c>
      <c r="C254" s="66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3">
        <f t="shared" si="49"/>
        <v>0</v>
      </c>
    </row>
    <row r="255" ht="12.75" customHeight="1">
      <c r="A255" s="18"/>
      <c r="B255" s="55">
        <v>6.0</v>
      </c>
      <c r="C255" s="66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3">
        <f t="shared" si="49"/>
        <v>0</v>
      </c>
    </row>
    <row r="256" ht="12.75" customHeight="1">
      <c r="A256" s="18"/>
      <c r="B256" s="56"/>
      <c r="C256" s="67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3">
        <f t="shared" si="49"/>
        <v>0</v>
      </c>
    </row>
    <row r="257" ht="12.75" customHeight="1">
      <c r="A257" s="18"/>
      <c r="B257" s="56"/>
      <c r="C257" s="67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3">
        <f t="shared" si="49"/>
        <v>0</v>
      </c>
    </row>
    <row r="258" ht="12.75" customHeight="1">
      <c r="A258" s="18"/>
      <c r="B258" s="56"/>
      <c r="C258" s="67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3">
        <f t="shared" si="49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S259" si="50">SUM(E249:E258)</f>
        <v>1</v>
      </c>
      <c r="F259" s="13">
        <f t="shared" si="50"/>
        <v>0</v>
      </c>
      <c r="G259" s="13">
        <f t="shared" si="50"/>
        <v>0</v>
      </c>
      <c r="H259" s="13">
        <f t="shared" si="50"/>
        <v>0</v>
      </c>
      <c r="I259" s="13">
        <f t="shared" si="50"/>
        <v>0</v>
      </c>
      <c r="J259" s="13">
        <f t="shared" si="50"/>
        <v>0</v>
      </c>
      <c r="K259" s="13">
        <f t="shared" si="50"/>
        <v>1</v>
      </c>
      <c r="L259" s="13">
        <f t="shared" si="50"/>
        <v>0</v>
      </c>
      <c r="M259" s="13">
        <f t="shared" si="50"/>
        <v>0</v>
      </c>
      <c r="N259" s="13">
        <f t="shared" si="50"/>
        <v>0</v>
      </c>
      <c r="O259" s="13">
        <f t="shared" si="50"/>
        <v>0</v>
      </c>
      <c r="P259" s="13">
        <f t="shared" si="50"/>
        <v>0</v>
      </c>
      <c r="Q259" s="13">
        <f t="shared" si="50"/>
        <v>0</v>
      </c>
      <c r="R259" s="13">
        <f t="shared" si="50"/>
        <v>0</v>
      </c>
      <c r="S259" s="13">
        <f t="shared" si="50"/>
        <v>2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77"/>
      <c r="S261" s="13"/>
    </row>
    <row r="262" ht="12.75" customHeight="1">
      <c r="A262" s="42"/>
      <c r="B262" s="70" t="s">
        <v>192</v>
      </c>
      <c r="C262" s="71" t="s">
        <v>193</v>
      </c>
      <c r="D262" s="16"/>
      <c r="E262" s="19">
        <f t="shared" ref="E262:R262" si="51">E55+E67+E79+E91+E103+E115+E127+E139+E151+E163+E175+E187+E199+E211+E223+E235+E247+E259</f>
        <v>207</v>
      </c>
      <c r="F262" s="19">
        <f t="shared" si="51"/>
        <v>180</v>
      </c>
      <c r="G262" s="19">
        <f t="shared" si="51"/>
        <v>215</v>
      </c>
      <c r="H262" s="19">
        <f t="shared" si="51"/>
        <v>148</v>
      </c>
      <c r="I262" s="19">
        <f t="shared" si="51"/>
        <v>187</v>
      </c>
      <c r="J262" s="19">
        <f t="shared" si="51"/>
        <v>154</v>
      </c>
      <c r="K262" s="19">
        <f t="shared" si="51"/>
        <v>157</v>
      </c>
      <c r="L262" s="19">
        <f t="shared" si="51"/>
        <v>197</v>
      </c>
      <c r="M262" s="19">
        <f t="shared" si="51"/>
        <v>168</v>
      </c>
      <c r="N262" s="19">
        <f t="shared" si="51"/>
        <v>166</v>
      </c>
      <c r="O262" s="19">
        <f t="shared" si="51"/>
        <v>209</v>
      </c>
      <c r="P262" s="19">
        <f t="shared" si="51"/>
        <v>212</v>
      </c>
      <c r="Q262" s="19">
        <f t="shared" si="51"/>
        <v>159</v>
      </c>
      <c r="R262" s="19">
        <f t="shared" si="51"/>
        <v>198</v>
      </c>
      <c r="S262" s="13">
        <f t="shared" ref="S262:S264" si="52">SUM(E262:R262)</f>
        <v>2557</v>
      </c>
    </row>
    <row r="263" ht="12.75" customHeight="1">
      <c r="A263" s="35"/>
      <c r="B263" s="70" t="s">
        <v>194</v>
      </c>
      <c r="C263" s="71" t="s">
        <v>195</v>
      </c>
      <c r="D263" s="16"/>
      <c r="E263" s="19">
        <v>19.0</v>
      </c>
      <c r="F263" s="19">
        <v>28.0</v>
      </c>
      <c r="G263" s="19">
        <v>23.0</v>
      </c>
      <c r="H263" s="19">
        <v>52.0</v>
      </c>
      <c r="I263" s="19">
        <v>30.0</v>
      </c>
      <c r="J263" s="19">
        <v>19.0</v>
      </c>
      <c r="K263" s="19">
        <v>17.0</v>
      </c>
      <c r="L263" s="19">
        <v>8.0</v>
      </c>
      <c r="M263" s="19">
        <v>12.0</v>
      </c>
      <c r="N263" s="19">
        <v>28.0</v>
      </c>
      <c r="O263" s="19">
        <v>35.0</v>
      </c>
      <c r="P263" s="19">
        <v>29.0</v>
      </c>
      <c r="Q263" s="19">
        <v>12.0</v>
      </c>
      <c r="R263" s="19">
        <v>17.0</v>
      </c>
      <c r="S263" s="13">
        <f t="shared" si="52"/>
        <v>329</v>
      </c>
    </row>
    <row r="264" ht="12.75" customHeight="1">
      <c r="A264" s="41"/>
      <c r="B264" s="70" t="s">
        <v>196</v>
      </c>
      <c r="C264" s="71" t="s">
        <v>197</v>
      </c>
      <c r="D264" s="16"/>
      <c r="E264" s="13">
        <f t="shared" ref="E264:R264" si="53">SUM(E262:E263)</f>
        <v>226</v>
      </c>
      <c r="F264" s="13">
        <f t="shared" si="53"/>
        <v>208</v>
      </c>
      <c r="G264" s="13">
        <f t="shared" si="53"/>
        <v>238</v>
      </c>
      <c r="H264" s="13">
        <f t="shared" si="53"/>
        <v>200</v>
      </c>
      <c r="I264" s="13">
        <f t="shared" si="53"/>
        <v>217</v>
      </c>
      <c r="J264" s="13">
        <f t="shared" si="53"/>
        <v>173</v>
      </c>
      <c r="K264" s="13">
        <f t="shared" si="53"/>
        <v>174</v>
      </c>
      <c r="L264" s="13">
        <f t="shared" si="53"/>
        <v>205</v>
      </c>
      <c r="M264" s="13">
        <f t="shared" si="53"/>
        <v>180</v>
      </c>
      <c r="N264" s="13">
        <f t="shared" si="53"/>
        <v>194</v>
      </c>
      <c r="O264" s="13">
        <f t="shared" si="53"/>
        <v>244</v>
      </c>
      <c r="P264" s="13">
        <f t="shared" si="53"/>
        <v>241</v>
      </c>
      <c r="Q264" s="13">
        <f t="shared" si="53"/>
        <v>171</v>
      </c>
      <c r="R264" s="13">
        <f t="shared" si="53"/>
        <v>215</v>
      </c>
      <c r="S264" s="13">
        <f t="shared" si="52"/>
        <v>2886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R15">
    <cfRule type="containsBlanks" dxfId="1" priority="1">
      <formula>LEN(TRIM(E14))=0</formula>
    </cfRule>
  </conditionalFormatting>
  <conditionalFormatting sqref="E19:R20">
    <cfRule type="containsBlanks" dxfId="1" priority="2">
      <formula>LEN(TRIM(E19))=0</formula>
    </cfRule>
  </conditionalFormatting>
  <conditionalFormatting sqref="E22:R23 E25:R26 E33:R33 E35:R35 E39:R40">
    <cfRule type="containsBlanks" dxfId="1" priority="3">
      <formula>LEN(TRIM(E22))=0</formula>
    </cfRule>
  </conditionalFormatting>
  <conditionalFormatting sqref="E30:R30">
    <cfRule type="expression" dxfId="0" priority="4">
      <formula>E30&lt;&gt;E47</formula>
    </cfRule>
  </conditionalFormatting>
  <conditionalFormatting sqref="E30:R30">
    <cfRule type="expression" dxfId="0" priority="5">
      <formula>E30&lt;&gt;E34</formula>
    </cfRule>
  </conditionalFormatting>
  <conditionalFormatting sqref="E34:R34">
    <cfRule type="expression" dxfId="2" priority="6">
      <formula>E30&lt;&gt;E34</formula>
    </cfRule>
  </conditionalFormatting>
  <conditionalFormatting sqref="E34:R34">
    <cfRule type="expression" dxfId="3" priority="7">
      <formula>E30=E34</formula>
    </cfRule>
  </conditionalFormatting>
  <conditionalFormatting sqref="E34:R34">
    <cfRule type="expression" dxfId="0" priority="8">
      <formula>E34&lt;&gt;E30</formula>
    </cfRule>
  </conditionalFormatting>
  <conditionalFormatting sqref="E34:R34">
    <cfRule type="expression" dxfId="0" priority="9">
      <formula>E34&lt;&gt;E64</formula>
    </cfRule>
  </conditionalFormatting>
  <conditionalFormatting sqref="E45:R54">
    <cfRule type="containsBlanks" dxfId="1" priority="10">
      <formula>LEN(TRIM(E45))=0</formula>
    </cfRule>
  </conditionalFormatting>
  <conditionalFormatting sqref="E57:R66">
    <cfRule type="containsBlanks" dxfId="1" priority="11">
      <formula>LEN(TRIM(E57))=0</formula>
    </cfRule>
  </conditionalFormatting>
  <conditionalFormatting sqref="E69:R78">
    <cfRule type="containsBlanks" dxfId="1" priority="12">
      <formula>LEN(TRIM(E69))=0</formula>
    </cfRule>
  </conditionalFormatting>
  <conditionalFormatting sqref="E81:R90">
    <cfRule type="containsBlanks" dxfId="1" priority="13">
      <formula>LEN(TRIM(E81))=0</formula>
    </cfRule>
  </conditionalFormatting>
  <conditionalFormatting sqref="E93:R102">
    <cfRule type="containsBlanks" dxfId="1" priority="14">
      <formula>LEN(TRIM(E93))=0</formula>
    </cfRule>
  </conditionalFormatting>
  <conditionalFormatting sqref="E105:R114">
    <cfRule type="containsBlanks" dxfId="1" priority="15">
      <formula>LEN(TRIM(E105))=0</formula>
    </cfRule>
  </conditionalFormatting>
  <conditionalFormatting sqref="E117:R126">
    <cfRule type="containsBlanks" dxfId="1" priority="16">
      <formula>LEN(TRIM(E117))=0</formula>
    </cfRule>
  </conditionalFormatting>
  <conditionalFormatting sqref="E129:R138">
    <cfRule type="containsBlanks" dxfId="1" priority="17">
      <formula>LEN(TRIM(E129))=0</formula>
    </cfRule>
  </conditionalFormatting>
  <conditionalFormatting sqref="E141:R150">
    <cfRule type="containsBlanks" dxfId="1" priority="18">
      <formula>LEN(TRIM(E141))=0</formula>
    </cfRule>
  </conditionalFormatting>
  <conditionalFormatting sqref="E153:R162">
    <cfRule type="containsBlanks" dxfId="1" priority="19">
      <formula>LEN(TRIM(E153))=0</formula>
    </cfRule>
  </conditionalFormatting>
  <conditionalFormatting sqref="E165:R174">
    <cfRule type="containsBlanks" dxfId="1" priority="20">
      <formula>LEN(TRIM(E165))=0</formula>
    </cfRule>
  </conditionalFormatting>
  <conditionalFormatting sqref="E177:R186">
    <cfRule type="containsBlanks" dxfId="1" priority="21">
      <formula>LEN(TRIM(E177))=0</formula>
    </cfRule>
  </conditionalFormatting>
  <conditionalFormatting sqref="E189:R198">
    <cfRule type="containsBlanks" dxfId="1" priority="22">
      <formula>LEN(TRIM(E189))=0</formula>
    </cfRule>
  </conditionalFormatting>
  <conditionalFormatting sqref="E201:R210">
    <cfRule type="containsBlanks" dxfId="1" priority="23">
      <formula>LEN(TRIM(E201))=0</formula>
    </cfRule>
  </conditionalFormatting>
  <conditionalFormatting sqref="E213:R222">
    <cfRule type="containsBlanks" dxfId="1" priority="24">
      <formula>LEN(TRIM(E213))=0</formula>
    </cfRule>
  </conditionalFormatting>
  <conditionalFormatting sqref="E225:R234">
    <cfRule type="containsBlanks" dxfId="1" priority="25">
      <formula>LEN(TRIM(E225))=0</formula>
    </cfRule>
  </conditionalFormatting>
  <conditionalFormatting sqref="E237:R246">
    <cfRule type="containsBlanks" dxfId="1" priority="26">
      <formula>LEN(TRIM(E237))=0</formula>
    </cfRule>
  </conditionalFormatting>
  <conditionalFormatting sqref="E249:R258">
    <cfRule type="containsBlanks" dxfId="1" priority="27">
      <formula>LEN(TRIM(E249))=0</formula>
    </cfRule>
  </conditionalFormatting>
  <conditionalFormatting sqref="E262:R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4" width="8.71"/>
    <col customWidth="1" min="25" max="25" width="13.29"/>
    <col customWidth="1" min="2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7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220</v>
      </c>
      <c r="W13" s="13" t="s">
        <v>222</v>
      </c>
      <c r="X13" s="13" t="s">
        <v>223</v>
      </c>
      <c r="Y13" s="36"/>
    </row>
    <row r="14" ht="12.75" customHeight="1">
      <c r="A14" s="18"/>
      <c r="B14" s="22" t="s">
        <v>11</v>
      </c>
      <c r="C14" s="23"/>
      <c r="D14" s="19" t="s">
        <v>12</v>
      </c>
      <c r="E14" s="19">
        <v>139.0</v>
      </c>
      <c r="F14" s="19">
        <v>141.0</v>
      </c>
      <c r="G14" s="19">
        <v>132.0</v>
      </c>
      <c r="H14" s="19">
        <v>92.0</v>
      </c>
      <c r="I14" s="19">
        <v>127.0</v>
      </c>
      <c r="J14" s="19">
        <v>149.0</v>
      </c>
      <c r="K14" s="19">
        <v>145.0</v>
      </c>
      <c r="L14" s="19">
        <v>134.0</v>
      </c>
      <c r="M14" s="19">
        <v>146.0</v>
      </c>
      <c r="N14" s="19">
        <v>142.0</v>
      </c>
      <c r="O14" s="19">
        <v>103.0</v>
      </c>
      <c r="P14" s="19">
        <v>113.0</v>
      </c>
      <c r="Q14" s="19">
        <v>126.0</v>
      </c>
      <c r="R14" s="19">
        <v>127.0</v>
      </c>
      <c r="S14" s="19">
        <v>124.0</v>
      </c>
      <c r="T14" s="19">
        <v>135.0</v>
      </c>
      <c r="U14" s="19">
        <v>146.0</v>
      </c>
      <c r="V14" s="19">
        <v>135.0</v>
      </c>
      <c r="W14" s="19">
        <v>133.0</v>
      </c>
      <c r="X14" s="19">
        <v>126.0</v>
      </c>
      <c r="Y14" s="13">
        <f t="shared" ref="Y14:Y16" si="1">SUM(E14:X14)</f>
        <v>2615</v>
      </c>
    </row>
    <row r="15" ht="12.75" customHeight="1">
      <c r="A15" s="18"/>
      <c r="B15" s="26"/>
      <c r="C15" s="27"/>
      <c r="D15" s="19" t="s">
        <v>13</v>
      </c>
      <c r="E15" s="19">
        <v>142.0</v>
      </c>
      <c r="F15" s="19">
        <v>137.0</v>
      </c>
      <c r="G15" s="19">
        <v>141.0</v>
      </c>
      <c r="H15" s="19">
        <v>104.0</v>
      </c>
      <c r="I15" s="19">
        <v>140.0</v>
      </c>
      <c r="J15" s="19">
        <v>135.0</v>
      </c>
      <c r="K15" s="19">
        <v>141.0</v>
      </c>
      <c r="L15" s="19">
        <v>151.0</v>
      </c>
      <c r="M15" s="19">
        <v>131.0</v>
      </c>
      <c r="N15" s="19">
        <v>134.0</v>
      </c>
      <c r="O15" s="19">
        <v>119.0</v>
      </c>
      <c r="P15" s="19">
        <v>129.0</v>
      </c>
      <c r="Q15" s="19">
        <v>148.0</v>
      </c>
      <c r="R15" s="19">
        <v>119.0</v>
      </c>
      <c r="S15" s="19">
        <v>121.0</v>
      </c>
      <c r="T15" s="19">
        <v>152.0</v>
      </c>
      <c r="U15" s="19">
        <v>143.0</v>
      </c>
      <c r="V15" s="19">
        <v>146.0</v>
      </c>
      <c r="W15" s="19">
        <v>144.0</v>
      </c>
      <c r="X15" s="19">
        <v>147.0</v>
      </c>
      <c r="Y15" s="13">
        <f t="shared" si="1"/>
        <v>2724</v>
      </c>
    </row>
    <row r="16" ht="12.75" customHeight="1">
      <c r="A16" s="25"/>
      <c r="B16" s="21"/>
      <c r="C16" s="28"/>
      <c r="D16" s="13" t="s">
        <v>14</v>
      </c>
      <c r="E16" s="13">
        <f t="shared" ref="E16:X16" si="2">SUM(E14:E15)</f>
        <v>281</v>
      </c>
      <c r="F16" s="13">
        <f t="shared" si="2"/>
        <v>278</v>
      </c>
      <c r="G16" s="13">
        <f t="shared" si="2"/>
        <v>273</v>
      </c>
      <c r="H16" s="13">
        <f t="shared" si="2"/>
        <v>196</v>
      </c>
      <c r="I16" s="13">
        <f t="shared" si="2"/>
        <v>267</v>
      </c>
      <c r="J16" s="13">
        <f t="shared" si="2"/>
        <v>284</v>
      </c>
      <c r="K16" s="13">
        <f t="shared" si="2"/>
        <v>286</v>
      </c>
      <c r="L16" s="13">
        <f t="shared" si="2"/>
        <v>285</v>
      </c>
      <c r="M16" s="13">
        <f t="shared" si="2"/>
        <v>277</v>
      </c>
      <c r="N16" s="13">
        <f t="shared" si="2"/>
        <v>276</v>
      </c>
      <c r="O16" s="13">
        <f t="shared" si="2"/>
        <v>222</v>
      </c>
      <c r="P16" s="13">
        <f t="shared" si="2"/>
        <v>242</v>
      </c>
      <c r="Q16" s="13">
        <f t="shared" si="2"/>
        <v>274</v>
      </c>
      <c r="R16" s="13">
        <f t="shared" si="2"/>
        <v>246</v>
      </c>
      <c r="S16" s="13">
        <f t="shared" si="2"/>
        <v>245</v>
      </c>
      <c r="T16" s="13">
        <f t="shared" si="2"/>
        <v>287</v>
      </c>
      <c r="U16" s="13">
        <f t="shared" si="2"/>
        <v>289</v>
      </c>
      <c r="V16" s="13">
        <f t="shared" si="2"/>
        <v>281</v>
      </c>
      <c r="W16" s="13">
        <f t="shared" si="2"/>
        <v>277</v>
      </c>
      <c r="X16" s="13">
        <f t="shared" si="2"/>
        <v>273</v>
      </c>
      <c r="Y16" s="13">
        <f t="shared" si="1"/>
        <v>5339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108.0</v>
      </c>
      <c r="F19" s="19">
        <v>118.0</v>
      </c>
      <c r="G19" s="19">
        <v>107.0</v>
      </c>
      <c r="H19" s="19">
        <v>67.0</v>
      </c>
      <c r="I19" s="19">
        <v>102.0</v>
      </c>
      <c r="J19" s="19">
        <v>119.0</v>
      </c>
      <c r="K19" s="19">
        <v>118.0</v>
      </c>
      <c r="L19" s="19">
        <v>92.0</v>
      </c>
      <c r="M19" s="19">
        <v>118.0</v>
      </c>
      <c r="N19" s="19">
        <v>111.0</v>
      </c>
      <c r="O19" s="19">
        <v>81.0</v>
      </c>
      <c r="P19" s="19">
        <v>82.0</v>
      </c>
      <c r="Q19" s="19">
        <v>97.0</v>
      </c>
      <c r="R19" s="19">
        <v>104.0</v>
      </c>
      <c r="S19" s="19">
        <v>97.0</v>
      </c>
      <c r="T19" s="19">
        <v>82.0</v>
      </c>
      <c r="U19" s="19">
        <v>113.0</v>
      </c>
      <c r="V19" s="19">
        <v>97.0</v>
      </c>
      <c r="W19" s="19">
        <v>96.0</v>
      </c>
      <c r="X19" s="19">
        <v>102.0</v>
      </c>
      <c r="Y19" s="13">
        <f t="shared" ref="Y19:Y30" si="3">SUM(E19:X19)</f>
        <v>2011</v>
      </c>
    </row>
    <row r="20" ht="12.75" customHeight="1">
      <c r="A20" s="33"/>
      <c r="B20" s="27"/>
      <c r="C20" s="34"/>
      <c r="D20" s="19" t="s">
        <v>13</v>
      </c>
      <c r="E20" s="19">
        <v>121.0</v>
      </c>
      <c r="F20" s="19">
        <v>123.0</v>
      </c>
      <c r="G20" s="19">
        <v>116.0</v>
      </c>
      <c r="H20" s="19">
        <v>81.0</v>
      </c>
      <c r="I20" s="19">
        <v>130.0</v>
      </c>
      <c r="J20" s="19">
        <v>116.0</v>
      </c>
      <c r="K20" s="19">
        <v>114.0</v>
      </c>
      <c r="L20" s="19">
        <v>113.0</v>
      </c>
      <c r="M20" s="19">
        <v>113.0</v>
      </c>
      <c r="N20" s="19">
        <v>109.0</v>
      </c>
      <c r="O20" s="19">
        <v>101.0</v>
      </c>
      <c r="P20" s="19">
        <v>105.0</v>
      </c>
      <c r="Q20" s="19">
        <v>122.0</v>
      </c>
      <c r="R20" s="19">
        <v>102.0</v>
      </c>
      <c r="S20" s="19">
        <v>101.0</v>
      </c>
      <c r="T20" s="19">
        <v>118.0</v>
      </c>
      <c r="U20" s="19">
        <v>122.0</v>
      </c>
      <c r="V20" s="19">
        <v>122.0</v>
      </c>
      <c r="W20" s="19">
        <v>120.0</v>
      </c>
      <c r="X20" s="19">
        <v>130.0</v>
      </c>
      <c r="Y20" s="13">
        <f t="shared" si="3"/>
        <v>2279</v>
      </c>
    </row>
    <row r="21" ht="12.75" customHeight="1">
      <c r="A21" s="35"/>
      <c r="B21" s="28"/>
      <c r="C21" s="36"/>
      <c r="D21" s="13" t="s">
        <v>14</v>
      </c>
      <c r="E21" s="13">
        <f t="shared" ref="E21:X21" si="4">SUM(E19:E20)</f>
        <v>229</v>
      </c>
      <c r="F21" s="13">
        <f t="shared" si="4"/>
        <v>241</v>
      </c>
      <c r="G21" s="13">
        <f t="shared" si="4"/>
        <v>223</v>
      </c>
      <c r="H21" s="13">
        <f t="shared" si="4"/>
        <v>148</v>
      </c>
      <c r="I21" s="13">
        <f t="shared" si="4"/>
        <v>232</v>
      </c>
      <c r="J21" s="13">
        <f t="shared" si="4"/>
        <v>235</v>
      </c>
      <c r="K21" s="13">
        <f t="shared" si="4"/>
        <v>232</v>
      </c>
      <c r="L21" s="13">
        <f t="shared" si="4"/>
        <v>205</v>
      </c>
      <c r="M21" s="13">
        <f t="shared" si="4"/>
        <v>231</v>
      </c>
      <c r="N21" s="13">
        <f t="shared" si="4"/>
        <v>220</v>
      </c>
      <c r="O21" s="13">
        <f t="shared" si="4"/>
        <v>182</v>
      </c>
      <c r="P21" s="13">
        <f t="shared" si="4"/>
        <v>187</v>
      </c>
      <c r="Q21" s="13">
        <f t="shared" si="4"/>
        <v>219</v>
      </c>
      <c r="R21" s="13">
        <f t="shared" si="4"/>
        <v>206</v>
      </c>
      <c r="S21" s="13">
        <f t="shared" si="4"/>
        <v>198</v>
      </c>
      <c r="T21" s="13">
        <f t="shared" si="4"/>
        <v>200</v>
      </c>
      <c r="U21" s="13">
        <f t="shared" si="4"/>
        <v>235</v>
      </c>
      <c r="V21" s="13">
        <f t="shared" si="4"/>
        <v>219</v>
      </c>
      <c r="W21" s="13">
        <f t="shared" si="4"/>
        <v>216</v>
      </c>
      <c r="X21" s="13">
        <f t="shared" si="4"/>
        <v>232</v>
      </c>
      <c r="Y21" s="13">
        <f t="shared" si="3"/>
        <v>4290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2.0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1.0</v>
      </c>
      <c r="U22" s="19">
        <v>0.0</v>
      </c>
      <c r="V22" s="19">
        <v>1.0</v>
      </c>
      <c r="W22" s="19">
        <v>1.0</v>
      </c>
      <c r="X22" s="19">
        <v>0.0</v>
      </c>
      <c r="Y22" s="13">
        <f t="shared" si="3"/>
        <v>6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2.0</v>
      </c>
      <c r="I23" s="19">
        <v>0.0</v>
      </c>
      <c r="J23" s="19">
        <v>0.0</v>
      </c>
      <c r="K23" s="19">
        <v>0.0</v>
      </c>
      <c r="L23" s="19">
        <v>0.0</v>
      </c>
      <c r="M23" s="19">
        <v>2.0</v>
      </c>
      <c r="N23" s="19">
        <v>1.0</v>
      </c>
      <c r="O23" s="19">
        <v>0.0</v>
      </c>
      <c r="P23" s="19">
        <v>0.0</v>
      </c>
      <c r="Q23" s="19">
        <v>0.0</v>
      </c>
      <c r="R23" s="19">
        <v>0.0</v>
      </c>
      <c r="S23" s="19">
        <v>1.0</v>
      </c>
      <c r="T23" s="19">
        <v>5.0</v>
      </c>
      <c r="U23" s="19">
        <v>0.0</v>
      </c>
      <c r="V23" s="19">
        <v>0.0</v>
      </c>
      <c r="W23" s="19">
        <v>1.0</v>
      </c>
      <c r="X23" s="19">
        <v>0.0</v>
      </c>
      <c r="Y23" s="13">
        <f t="shared" si="3"/>
        <v>12</v>
      </c>
    </row>
    <row r="24" ht="12.75" customHeight="1">
      <c r="A24" s="35"/>
      <c r="B24" s="28"/>
      <c r="C24" s="36"/>
      <c r="D24" s="13" t="s">
        <v>14</v>
      </c>
      <c r="E24" s="13">
        <f t="shared" ref="E24:X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4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2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1</v>
      </c>
      <c r="T24" s="13">
        <f t="shared" si="5"/>
        <v>6</v>
      </c>
      <c r="U24" s="13">
        <f t="shared" si="5"/>
        <v>0</v>
      </c>
      <c r="V24" s="13">
        <f t="shared" si="5"/>
        <v>1</v>
      </c>
      <c r="W24" s="13">
        <f t="shared" si="5"/>
        <v>2</v>
      </c>
      <c r="X24" s="13">
        <f t="shared" si="5"/>
        <v>0</v>
      </c>
      <c r="Y24" s="13">
        <f t="shared" si="3"/>
        <v>18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1.0</v>
      </c>
      <c r="G25" s="19">
        <v>0.0</v>
      </c>
      <c r="H25" s="19">
        <v>1.0</v>
      </c>
      <c r="I25" s="19">
        <v>0.0</v>
      </c>
      <c r="J25" s="19">
        <v>1.0</v>
      </c>
      <c r="K25" s="19">
        <v>1.0</v>
      </c>
      <c r="L25" s="19">
        <v>0.0</v>
      </c>
      <c r="M25" s="19">
        <v>0.0</v>
      </c>
      <c r="N25" s="19">
        <v>1.0</v>
      </c>
      <c r="O25" s="19">
        <v>1.0</v>
      </c>
      <c r="P25" s="19">
        <v>1.0</v>
      </c>
      <c r="Q25" s="19">
        <v>0.0</v>
      </c>
      <c r="R25" s="19">
        <v>1.0</v>
      </c>
      <c r="S25" s="19">
        <v>5.0</v>
      </c>
      <c r="T25" s="19">
        <v>3.0</v>
      </c>
      <c r="U25" s="19">
        <v>1.0</v>
      </c>
      <c r="V25" s="19">
        <v>1.0</v>
      </c>
      <c r="W25" s="19">
        <v>4.0</v>
      </c>
      <c r="X25" s="19">
        <v>2.0</v>
      </c>
      <c r="Y25" s="13">
        <f t="shared" si="3"/>
        <v>26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1.0</v>
      </c>
      <c r="G26" s="19">
        <v>4.0</v>
      </c>
      <c r="H26" s="19">
        <v>1.0</v>
      </c>
      <c r="I26" s="19">
        <v>0.0</v>
      </c>
      <c r="J26" s="19">
        <v>2.0</v>
      </c>
      <c r="K26" s="19">
        <v>1.0</v>
      </c>
      <c r="L26" s="19">
        <v>0.0</v>
      </c>
      <c r="M26" s="19">
        <v>1.0</v>
      </c>
      <c r="N26" s="19">
        <v>2.0</v>
      </c>
      <c r="O26" s="19">
        <v>1.0</v>
      </c>
      <c r="P26" s="19">
        <v>3.0</v>
      </c>
      <c r="Q26" s="19">
        <v>0.0</v>
      </c>
      <c r="R26" s="19">
        <v>2.0</v>
      </c>
      <c r="S26" s="19">
        <v>3.0</v>
      </c>
      <c r="T26" s="19">
        <v>3.0</v>
      </c>
      <c r="U26" s="19">
        <v>0.0</v>
      </c>
      <c r="V26" s="19">
        <v>0.0</v>
      </c>
      <c r="W26" s="19">
        <v>2.0</v>
      </c>
      <c r="X26" s="19">
        <v>3.0</v>
      </c>
      <c r="Y26" s="13">
        <f t="shared" si="3"/>
        <v>29</v>
      </c>
    </row>
    <row r="27" ht="12.75" customHeight="1">
      <c r="A27" s="35"/>
      <c r="B27" s="28"/>
      <c r="C27" s="36"/>
      <c r="D27" s="13" t="s">
        <v>14</v>
      </c>
      <c r="E27" s="13">
        <f t="shared" ref="E27:X27" si="6">SUM(E25:E26)</f>
        <v>2</v>
      </c>
      <c r="F27" s="13">
        <f t="shared" si="6"/>
        <v>2</v>
      </c>
      <c r="G27" s="13">
        <f t="shared" si="6"/>
        <v>4</v>
      </c>
      <c r="H27" s="13">
        <f t="shared" si="6"/>
        <v>2</v>
      </c>
      <c r="I27" s="13">
        <f t="shared" si="6"/>
        <v>0</v>
      </c>
      <c r="J27" s="13">
        <f t="shared" si="6"/>
        <v>3</v>
      </c>
      <c r="K27" s="13">
        <f t="shared" si="6"/>
        <v>2</v>
      </c>
      <c r="L27" s="13">
        <f t="shared" si="6"/>
        <v>0</v>
      </c>
      <c r="M27" s="13">
        <f t="shared" si="6"/>
        <v>1</v>
      </c>
      <c r="N27" s="13">
        <f t="shared" si="6"/>
        <v>3</v>
      </c>
      <c r="O27" s="13">
        <f t="shared" si="6"/>
        <v>2</v>
      </c>
      <c r="P27" s="13">
        <f t="shared" si="6"/>
        <v>4</v>
      </c>
      <c r="Q27" s="13">
        <f t="shared" si="6"/>
        <v>0</v>
      </c>
      <c r="R27" s="13">
        <f t="shared" si="6"/>
        <v>3</v>
      </c>
      <c r="S27" s="13">
        <f t="shared" si="6"/>
        <v>8</v>
      </c>
      <c r="T27" s="13">
        <f t="shared" si="6"/>
        <v>6</v>
      </c>
      <c r="U27" s="13">
        <f t="shared" si="6"/>
        <v>1</v>
      </c>
      <c r="V27" s="13">
        <f t="shared" si="6"/>
        <v>1</v>
      </c>
      <c r="W27" s="13">
        <f t="shared" si="6"/>
        <v>6</v>
      </c>
      <c r="X27" s="13">
        <f t="shared" si="6"/>
        <v>5</v>
      </c>
      <c r="Y27" s="13">
        <f t="shared" si="3"/>
        <v>55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X28" si="7">SUM(E19,E22,E25)</f>
        <v>110</v>
      </c>
      <c r="F28" s="13">
        <f t="shared" si="7"/>
        <v>119</v>
      </c>
      <c r="G28" s="13">
        <f t="shared" si="7"/>
        <v>108</v>
      </c>
      <c r="H28" s="13">
        <f t="shared" si="7"/>
        <v>70</v>
      </c>
      <c r="I28" s="13">
        <f t="shared" si="7"/>
        <v>102</v>
      </c>
      <c r="J28" s="13">
        <f t="shared" si="7"/>
        <v>120</v>
      </c>
      <c r="K28" s="13">
        <f t="shared" si="7"/>
        <v>119</v>
      </c>
      <c r="L28" s="13">
        <f t="shared" si="7"/>
        <v>92</v>
      </c>
      <c r="M28" s="13">
        <f t="shared" si="7"/>
        <v>118</v>
      </c>
      <c r="N28" s="13">
        <f t="shared" si="7"/>
        <v>112</v>
      </c>
      <c r="O28" s="13">
        <f t="shared" si="7"/>
        <v>82</v>
      </c>
      <c r="P28" s="13">
        <f t="shared" si="7"/>
        <v>83</v>
      </c>
      <c r="Q28" s="13">
        <f t="shared" si="7"/>
        <v>97</v>
      </c>
      <c r="R28" s="13">
        <f t="shared" si="7"/>
        <v>105</v>
      </c>
      <c r="S28" s="13">
        <f t="shared" si="7"/>
        <v>102</v>
      </c>
      <c r="T28" s="13">
        <f t="shared" si="7"/>
        <v>86</v>
      </c>
      <c r="U28" s="13">
        <f t="shared" si="7"/>
        <v>114</v>
      </c>
      <c r="V28" s="13">
        <f t="shared" si="7"/>
        <v>99</v>
      </c>
      <c r="W28" s="13">
        <f t="shared" si="7"/>
        <v>101</v>
      </c>
      <c r="X28" s="13">
        <f t="shared" si="7"/>
        <v>104</v>
      </c>
      <c r="Y28" s="13">
        <f t="shared" si="3"/>
        <v>2043</v>
      </c>
    </row>
    <row r="29" ht="12.75" customHeight="1">
      <c r="A29" s="35"/>
      <c r="B29" s="27"/>
      <c r="C29" s="34"/>
      <c r="D29" s="13" t="s">
        <v>13</v>
      </c>
      <c r="E29" s="13">
        <f t="shared" ref="E29:X29" si="8">SUM(E20,E23,E26)</f>
        <v>121</v>
      </c>
      <c r="F29" s="13">
        <f t="shared" si="8"/>
        <v>124</v>
      </c>
      <c r="G29" s="13">
        <f t="shared" si="8"/>
        <v>120</v>
      </c>
      <c r="H29" s="13">
        <f t="shared" si="8"/>
        <v>84</v>
      </c>
      <c r="I29" s="13">
        <f t="shared" si="8"/>
        <v>130</v>
      </c>
      <c r="J29" s="13">
        <f t="shared" si="8"/>
        <v>118</v>
      </c>
      <c r="K29" s="13">
        <f t="shared" si="8"/>
        <v>115</v>
      </c>
      <c r="L29" s="13">
        <f t="shared" si="8"/>
        <v>113</v>
      </c>
      <c r="M29" s="13">
        <f t="shared" si="8"/>
        <v>116</v>
      </c>
      <c r="N29" s="13">
        <f t="shared" si="8"/>
        <v>112</v>
      </c>
      <c r="O29" s="13">
        <f t="shared" si="8"/>
        <v>102</v>
      </c>
      <c r="P29" s="13">
        <f t="shared" si="8"/>
        <v>108</v>
      </c>
      <c r="Q29" s="13">
        <f t="shared" si="8"/>
        <v>122</v>
      </c>
      <c r="R29" s="13">
        <f t="shared" si="8"/>
        <v>104</v>
      </c>
      <c r="S29" s="13">
        <f t="shared" si="8"/>
        <v>105</v>
      </c>
      <c r="T29" s="13">
        <f t="shared" si="8"/>
        <v>126</v>
      </c>
      <c r="U29" s="13">
        <f t="shared" si="8"/>
        <v>122</v>
      </c>
      <c r="V29" s="13">
        <f t="shared" si="8"/>
        <v>122</v>
      </c>
      <c r="W29" s="13">
        <f t="shared" si="8"/>
        <v>123</v>
      </c>
      <c r="X29" s="13">
        <f t="shared" si="8"/>
        <v>133</v>
      </c>
      <c r="Y29" s="13">
        <f t="shared" si="3"/>
        <v>2320</v>
      </c>
    </row>
    <row r="30" ht="12.75" customHeight="1">
      <c r="A30" s="35"/>
      <c r="B30" s="28"/>
      <c r="C30" s="36"/>
      <c r="D30" s="13" t="s">
        <v>14</v>
      </c>
      <c r="E30" s="13">
        <f t="shared" ref="E30:X30" si="9">SUM(E28:E29)</f>
        <v>231</v>
      </c>
      <c r="F30" s="13">
        <f t="shared" si="9"/>
        <v>243</v>
      </c>
      <c r="G30" s="13">
        <f t="shared" si="9"/>
        <v>228</v>
      </c>
      <c r="H30" s="13">
        <f t="shared" si="9"/>
        <v>154</v>
      </c>
      <c r="I30" s="13">
        <f t="shared" si="9"/>
        <v>232</v>
      </c>
      <c r="J30" s="13">
        <f t="shared" si="9"/>
        <v>238</v>
      </c>
      <c r="K30" s="13">
        <f t="shared" si="9"/>
        <v>234</v>
      </c>
      <c r="L30" s="13">
        <f t="shared" si="9"/>
        <v>205</v>
      </c>
      <c r="M30" s="13">
        <f t="shared" si="9"/>
        <v>234</v>
      </c>
      <c r="N30" s="13">
        <f t="shared" si="9"/>
        <v>224</v>
      </c>
      <c r="O30" s="13">
        <f t="shared" si="9"/>
        <v>184</v>
      </c>
      <c r="P30" s="13">
        <f t="shared" si="9"/>
        <v>191</v>
      </c>
      <c r="Q30" s="13">
        <f t="shared" si="9"/>
        <v>219</v>
      </c>
      <c r="R30" s="13">
        <f t="shared" si="9"/>
        <v>209</v>
      </c>
      <c r="S30" s="13">
        <f t="shared" si="9"/>
        <v>207</v>
      </c>
      <c r="T30" s="13">
        <f t="shared" si="9"/>
        <v>212</v>
      </c>
      <c r="U30" s="13">
        <f t="shared" si="9"/>
        <v>236</v>
      </c>
      <c r="V30" s="13">
        <f t="shared" si="9"/>
        <v>221</v>
      </c>
      <c r="W30" s="13">
        <f t="shared" si="9"/>
        <v>224</v>
      </c>
      <c r="X30" s="13">
        <f t="shared" si="9"/>
        <v>237</v>
      </c>
      <c r="Y30" s="13">
        <f t="shared" si="3"/>
        <v>4363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76"/>
    </row>
    <row r="33" ht="12.75" customHeight="1">
      <c r="A33" s="19">
        <v>1.0</v>
      </c>
      <c r="B33" s="20" t="s">
        <v>27</v>
      </c>
      <c r="C33" s="15"/>
      <c r="D33" s="16"/>
      <c r="E33" s="19">
        <v>282.0</v>
      </c>
      <c r="F33" s="19">
        <v>280.0</v>
      </c>
      <c r="G33" s="19">
        <v>275.0</v>
      </c>
      <c r="H33" s="19">
        <v>198.0</v>
      </c>
      <c r="I33" s="19">
        <v>269.0</v>
      </c>
      <c r="J33" s="19">
        <v>286.0</v>
      </c>
      <c r="K33" s="19">
        <v>288.0</v>
      </c>
      <c r="L33" s="19">
        <v>287.0</v>
      </c>
      <c r="M33" s="19">
        <v>283.0</v>
      </c>
      <c r="N33" s="19">
        <v>283.0</v>
      </c>
      <c r="O33" s="19">
        <v>227.0</v>
      </c>
      <c r="P33" s="19">
        <v>246.0</v>
      </c>
      <c r="Q33" s="19">
        <v>276.0</v>
      </c>
      <c r="R33" s="19">
        <v>248.0</v>
      </c>
      <c r="S33" s="19">
        <v>248.0</v>
      </c>
      <c r="T33" s="19">
        <v>289.0</v>
      </c>
      <c r="U33" s="19">
        <v>291.0</v>
      </c>
      <c r="V33" s="19">
        <v>283.0</v>
      </c>
      <c r="W33" s="19">
        <v>279.0</v>
      </c>
      <c r="X33" s="19">
        <v>275.0</v>
      </c>
      <c r="Y33" s="13">
        <f t="shared" ref="Y33:Y36" si="10">SUM(E33:X33)</f>
        <v>5393</v>
      </c>
    </row>
    <row r="34" ht="12.75" customHeight="1">
      <c r="A34" s="19">
        <v>2.0</v>
      </c>
      <c r="B34" s="20" t="s">
        <v>28</v>
      </c>
      <c r="C34" s="15"/>
      <c r="D34" s="16"/>
      <c r="E34" s="13">
        <v>231.0</v>
      </c>
      <c r="F34" s="13">
        <v>243.0</v>
      </c>
      <c r="G34" s="13">
        <v>228.0</v>
      </c>
      <c r="H34" s="13">
        <v>154.0</v>
      </c>
      <c r="I34" s="13">
        <v>232.0</v>
      </c>
      <c r="J34" s="13">
        <v>238.0</v>
      </c>
      <c r="K34" s="13">
        <v>234.0</v>
      </c>
      <c r="L34" s="13">
        <v>205.0</v>
      </c>
      <c r="M34" s="13">
        <v>234.0</v>
      </c>
      <c r="N34" s="13">
        <v>224.0</v>
      </c>
      <c r="O34" s="13">
        <v>184.0</v>
      </c>
      <c r="P34" s="13">
        <v>191.0</v>
      </c>
      <c r="Q34" s="13">
        <v>219.0</v>
      </c>
      <c r="R34" s="13">
        <v>209.0</v>
      </c>
      <c r="S34" s="13">
        <v>207.0</v>
      </c>
      <c r="T34" s="13">
        <v>212.0</v>
      </c>
      <c r="U34" s="13">
        <v>236.0</v>
      </c>
      <c r="V34" s="13">
        <v>221.0</v>
      </c>
      <c r="W34" s="13">
        <v>224.0</v>
      </c>
      <c r="X34" s="13">
        <v>237.0</v>
      </c>
      <c r="Y34" s="13">
        <f t="shared" si="10"/>
        <v>4363</v>
      </c>
    </row>
    <row r="35" ht="12.75" customHeight="1">
      <c r="A35" s="19">
        <v>3.0</v>
      </c>
      <c r="B35" s="20" t="s">
        <v>29</v>
      </c>
      <c r="C35" s="15"/>
      <c r="D35" s="16"/>
      <c r="E35" s="19">
        <v>2.0</v>
      </c>
      <c r="F35" s="19">
        <v>0.0</v>
      </c>
      <c r="G35" s="19">
        <v>1.0</v>
      </c>
      <c r="H35" s="19">
        <v>0.0</v>
      </c>
      <c r="I35" s="19">
        <v>0.0</v>
      </c>
      <c r="J35" s="19">
        <v>0.0</v>
      </c>
      <c r="K35" s="19">
        <v>1.0</v>
      </c>
      <c r="L35" s="19">
        <v>1.0</v>
      </c>
      <c r="M35" s="19">
        <v>1.0</v>
      </c>
      <c r="N35" s="19">
        <v>0.0</v>
      </c>
      <c r="O35" s="19">
        <v>1.0</v>
      </c>
      <c r="P35" s="19">
        <v>0.0</v>
      </c>
      <c r="Q35" s="19">
        <v>1.0</v>
      </c>
      <c r="R35" s="19">
        <v>0.0</v>
      </c>
      <c r="S35" s="19">
        <v>3.0</v>
      </c>
      <c r="T35" s="19">
        <v>0.0</v>
      </c>
      <c r="U35" s="19">
        <v>1.0</v>
      </c>
      <c r="V35" s="19">
        <v>1.0</v>
      </c>
      <c r="W35" s="19">
        <v>0.0</v>
      </c>
      <c r="X35" s="19">
        <v>0.0</v>
      </c>
      <c r="Y35" s="13">
        <f t="shared" si="10"/>
        <v>13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X36" si="11">E33-(E34+E35)</f>
        <v>49</v>
      </c>
      <c r="F36" s="13">
        <f t="shared" si="11"/>
        <v>37</v>
      </c>
      <c r="G36" s="13">
        <f t="shared" si="11"/>
        <v>46</v>
      </c>
      <c r="H36" s="13">
        <f t="shared" si="11"/>
        <v>44</v>
      </c>
      <c r="I36" s="13">
        <f t="shared" si="11"/>
        <v>37</v>
      </c>
      <c r="J36" s="13">
        <f t="shared" si="11"/>
        <v>48</v>
      </c>
      <c r="K36" s="13">
        <f t="shared" si="11"/>
        <v>53</v>
      </c>
      <c r="L36" s="13">
        <f t="shared" si="11"/>
        <v>81</v>
      </c>
      <c r="M36" s="13">
        <f t="shared" si="11"/>
        <v>48</v>
      </c>
      <c r="N36" s="13">
        <f t="shared" si="11"/>
        <v>59</v>
      </c>
      <c r="O36" s="13">
        <f t="shared" si="11"/>
        <v>42</v>
      </c>
      <c r="P36" s="13">
        <f t="shared" si="11"/>
        <v>55</v>
      </c>
      <c r="Q36" s="13">
        <f t="shared" si="11"/>
        <v>56</v>
      </c>
      <c r="R36" s="13">
        <f t="shared" si="11"/>
        <v>39</v>
      </c>
      <c r="S36" s="13">
        <f t="shared" si="11"/>
        <v>38</v>
      </c>
      <c r="T36" s="13">
        <f t="shared" si="11"/>
        <v>77</v>
      </c>
      <c r="U36" s="13">
        <f t="shared" si="11"/>
        <v>54</v>
      </c>
      <c r="V36" s="13">
        <f t="shared" si="11"/>
        <v>61</v>
      </c>
      <c r="W36" s="13">
        <f t="shared" si="11"/>
        <v>55</v>
      </c>
      <c r="X36" s="13">
        <f t="shared" si="11"/>
        <v>38</v>
      </c>
      <c r="Y36" s="13">
        <f t="shared" si="10"/>
        <v>1017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6"/>
      <c r="X37" s="19"/>
      <c r="Y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76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3.0</v>
      </c>
      <c r="V39" s="19">
        <v>0.0</v>
      </c>
      <c r="W39" s="19">
        <v>1.0</v>
      </c>
      <c r="X39" s="19">
        <v>0.0</v>
      </c>
      <c r="Y39" s="13">
        <f t="shared" ref="Y39:Y41" si="12">SUM(E39:X39)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1.0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2.0</v>
      </c>
      <c r="V40" s="19">
        <v>0.0</v>
      </c>
      <c r="W40" s="19">
        <v>0.0</v>
      </c>
      <c r="X40" s="19">
        <v>0.0</v>
      </c>
      <c r="Y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X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5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6"/>
      <c r="X42" s="19"/>
      <c r="Y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1.0</v>
      </c>
      <c r="F45" s="19">
        <v>5.0</v>
      </c>
      <c r="G45" s="19">
        <v>5.0</v>
      </c>
      <c r="H45" s="19">
        <v>4.0</v>
      </c>
      <c r="I45" s="19">
        <v>23.0</v>
      </c>
      <c r="J45" s="19">
        <v>17.0</v>
      </c>
      <c r="K45" s="19">
        <v>8.0</v>
      </c>
      <c r="L45" s="19">
        <v>2.0</v>
      </c>
      <c r="M45" s="19">
        <v>5.0</v>
      </c>
      <c r="N45" s="19">
        <v>3.0</v>
      </c>
      <c r="O45" s="19">
        <v>3.0</v>
      </c>
      <c r="P45" s="19">
        <v>4.0</v>
      </c>
      <c r="Q45" s="19">
        <v>3.0</v>
      </c>
      <c r="R45" s="19">
        <v>3.0</v>
      </c>
      <c r="S45" s="19">
        <v>2.0</v>
      </c>
      <c r="T45" s="19">
        <v>1.0</v>
      </c>
      <c r="U45" s="19">
        <v>3.0</v>
      </c>
      <c r="V45" s="19">
        <v>8.0</v>
      </c>
      <c r="W45" s="19">
        <v>9.0</v>
      </c>
      <c r="X45" s="19">
        <v>4.0</v>
      </c>
      <c r="Y45" s="13">
        <f t="shared" ref="Y45:Y54" si="14">SUM(E45:X45)</f>
        <v>113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19.0</v>
      </c>
      <c r="F46" s="19">
        <v>15.0</v>
      </c>
      <c r="G46" s="19">
        <v>11.0</v>
      </c>
      <c r="H46" s="19">
        <v>20.0</v>
      </c>
      <c r="I46" s="19">
        <v>50.0</v>
      </c>
      <c r="J46" s="19">
        <v>28.0</v>
      </c>
      <c r="K46" s="19">
        <v>27.0</v>
      </c>
      <c r="L46" s="19">
        <v>22.0</v>
      </c>
      <c r="M46" s="19">
        <v>19.0</v>
      </c>
      <c r="N46" s="19">
        <v>7.0</v>
      </c>
      <c r="O46" s="19">
        <v>6.0</v>
      </c>
      <c r="P46" s="19">
        <v>12.0</v>
      </c>
      <c r="Q46" s="19">
        <v>21.0</v>
      </c>
      <c r="R46" s="19">
        <v>5.0</v>
      </c>
      <c r="S46" s="19">
        <v>4.0</v>
      </c>
      <c r="T46" s="19">
        <v>10.0</v>
      </c>
      <c r="U46" s="19">
        <v>13.0</v>
      </c>
      <c r="V46" s="19">
        <v>20.0</v>
      </c>
      <c r="W46" s="19">
        <v>27.0</v>
      </c>
      <c r="X46" s="19">
        <v>19.0</v>
      </c>
      <c r="Y46" s="13">
        <f t="shared" si="14"/>
        <v>355</v>
      </c>
    </row>
    <row r="47" ht="12.75" customHeight="1">
      <c r="A47" s="18"/>
      <c r="B47" s="55">
        <v>2.0</v>
      </c>
      <c r="C47" s="50" t="s">
        <v>41</v>
      </c>
      <c r="D47" s="16"/>
      <c r="E47" s="19">
        <v>2.0</v>
      </c>
      <c r="F47" s="19">
        <v>2.0</v>
      </c>
      <c r="G47" s="19">
        <v>2.0</v>
      </c>
      <c r="H47" s="19">
        <v>1.0</v>
      </c>
      <c r="I47" s="19">
        <v>4.0</v>
      </c>
      <c r="J47" s="19">
        <v>9.0</v>
      </c>
      <c r="K47" s="19">
        <v>3.0</v>
      </c>
      <c r="L47" s="19">
        <v>2.0</v>
      </c>
      <c r="M47" s="19">
        <v>5.0</v>
      </c>
      <c r="N47" s="19">
        <v>1.0</v>
      </c>
      <c r="O47" s="19">
        <v>0.0</v>
      </c>
      <c r="P47" s="19">
        <v>1.0</v>
      </c>
      <c r="Q47" s="19">
        <v>4.0</v>
      </c>
      <c r="R47" s="19">
        <v>1.0</v>
      </c>
      <c r="S47" s="19">
        <v>3.0</v>
      </c>
      <c r="T47" s="19">
        <v>1.0</v>
      </c>
      <c r="U47" s="19">
        <v>10.0</v>
      </c>
      <c r="V47" s="19">
        <v>3.0</v>
      </c>
      <c r="W47" s="19">
        <v>0.0</v>
      </c>
      <c r="X47" s="19">
        <v>5.0</v>
      </c>
      <c r="Y47" s="13">
        <f t="shared" si="14"/>
        <v>59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1.0</v>
      </c>
      <c r="G48" s="19">
        <v>1.0</v>
      </c>
      <c r="H48" s="19">
        <v>1.0</v>
      </c>
      <c r="I48" s="19">
        <v>2.0</v>
      </c>
      <c r="J48" s="19">
        <v>2.0</v>
      </c>
      <c r="K48" s="19">
        <v>0.0</v>
      </c>
      <c r="L48" s="19">
        <v>3.0</v>
      </c>
      <c r="M48" s="19">
        <v>0.0</v>
      </c>
      <c r="N48" s="19">
        <v>2.0</v>
      </c>
      <c r="O48" s="19">
        <v>0.0</v>
      </c>
      <c r="P48" s="19">
        <v>0.0</v>
      </c>
      <c r="Q48" s="19">
        <v>0.0</v>
      </c>
      <c r="R48" s="19">
        <v>0.0</v>
      </c>
      <c r="S48" s="19">
        <v>0.0</v>
      </c>
      <c r="T48" s="19">
        <v>0.0</v>
      </c>
      <c r="U48" s="19">
        <v>0.0</v>
      </c>
      <c r="V48" s="19">
        <v>0.0</v>
      </c>
      <c r="W48" s="19">
        <v>2.0</v>
      </c>
      <c r="X48" s="19">
        <v>4.0</v>
      </c>
      <c r="Y48" s="13">
        <f t="shared" si="14"/>
        <v>18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1.0</v>
      </c>
      <c r="G49" s="19">
        <v>0.0</v>
      </c>
      <c r="H49" s="19">
        <v>3.0</v>
      </c>
      <c r="I49" s="19">
        <v>1.0</v>
      </c>
      <c r="J49" s="19">
        <v>0.0</v>
      </c>
      <c r="K49" s="19">
        <v>2.0</v>
      </c>
      <c r="L49" s="19">
        <v>2.0</v>
      </c>
      <c r="M49" s="19">
        <v>11.0</v>
      </c>
      <c r="N49" s="19">
        <v>1.0</v>
      </c>
      <c r="O49" s="19">
        <v>0.0</v>
      </c>
      <c r="P49" s="19">
        <v>0.0</v>
      </c>
      <c r="Q49" s="19">
        <v>1.0</v>
      </c>
      <c r="R49" s="19">
        <v>1.0</v>
      </c>
      <c r="S49" s="19">
        <v>0.0</v>
      </c>
      <c r="T49" s="19">
        <v>0.0</v>
      </c>
      <c r="U49" s="19">
        <v>0.0</v>
      </c>
      <c r="V49" s="19">
        <v>0.0</v>
      </c>
      <c r="W49" s="19">
        <v>1.0</v>
      </c>
      <c r="X49" s="19">
        <v>11.0</v>
      </c>
      <c r="Y49" s="13">
        <f t="shared" si="14"/>
        <v>36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2.0</v>
      </c>
      <c r="H50" s="19">
        <v>1.0</v>
      </c>
      <c r="I50" s="19">
        <v>2.0</v>
      </c>
      <c r="J50" s="19">
        <v>1.0</v>
      </c>
      <c r="K50" s="19">
        <v>1.0</v>
      </c>
      <c r="L50" s="19">
        <v>0.0</v>
      </c>
      <c r="M50" s="19">
        <v>1.0</v>
      </c>
      <c r="N50" s="19">
        <v>0.0</v>
      </c>
      <c r="O50" s="19">
        <v>0.0</v>
      </c>
      <c r="P50" s="19">
        <v>1.0</v>
      </c>
      <c r="Q50" s="19">
        <v>1.0</v>
      </c>
      <c r="R50" s="19">
        <v>0.0</v>
      </c>
      <c r="S50" s="19">
        <v>1.0</v>
      </c>
      <c r="T50" s="19">
        <v>0.0</v>
      </c>
      <c r="U50" s="19">
        <v>3.0</v>
      </c>
      <c r="V50" s="19">
        <v>3.0</v>
      </c>
      <c r="W50" s="19">
        <v>2.0</v>
      </c>
      <c r="X50" s="19">
        <v>1.0</v>
      </c>
      <c r="Y50" s="13">
        <f t="shared" si="14"/>
        <v>20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2.0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1.0</v>
      </c>
      <c r="M51" s="19">
        <v>1.0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9">
        <v>1.0</v>
      </c>
      <c r="Y51" s="13">
        <f t="shared" si="14"/>
        <v>5</v>
      </c>
    </row>
    <row r="52" ht="12.75" customHeight="1">
      <c r="A52" s="18"/>
      <c r="B52" s="55">
        <v>7.0</v>
      </c>
      <c r="C52" s="50" t="s">
        <v>46</v>
      </c>
      <c r="D52" s="16"/>
      <c r="E52" s="19">
        <v>1.0</v>
      </c>
      <c r="F52" s="19">
        <v>0.0</v>
      </c>
      <c r="G52" s="19">
        <v>0.0</v>
      </c>
      <c r="H52" s="19">
        <v>0.0</v>
      </c>
      <c r="I52" s="19">
        <v>0.0</v>
      </c>
      <c r="J52" s="19">
        <v>1.0</v>
      </c>
      <c r="K52" s="19">
        <v>0.0</v>
      </c>
      <c r="L52" s="19">
        <v>0.0</v>
      </c>
      <c r="M52" s="19">
        <v>0.0</v>
      </c>
      <c r="N52" s="19">
        <v>1.0</v>
      </c>
      <c r="O52" s="19">
        <v>0.0</v>
      </c>
      <c r="P52" s="19">
        <v>0.0</v>
      </c>
      <c r="Q52" s="19">
        <v>1.0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1.0</v>
      </c>
      <c r="X52" s="19">
        <v>1.0</v>
      </c>
      <c r="Y52" s="13">
        <f t="shared" si="14"/>
        <v>6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Y55" si="15">SUM(E45:E54)</f>
        <v>24</v>
      </c>
      <c r="F55" s="13">
        <f t="shared" si="15"/>
        <v>26</v>
      </c>
      <c r="G55" s="13">
        <f t="shared" si="15"/>
        <v>21</v>
      </c>
      <c r="H55" s="13">
        <f t="shared" si="15"/>
        <v>30</v>
      </c>
      <c r="I55" s="13">
        <f t="shared" si="15"/>
        <v>82</v>
      </c>
      <c r="J55" s="13">
        <f t="shared" si="15"/>
        <v>58</v>
      </c>
      <c r="K55" s="13">
        <f t="shared" si="15"/>
        <v>41</v>
      </c>
      <c r="L55" s="13">
        <f t="shared" si="15"/>
        <v>32</v>
      </c>
      <c r="M55" s="13">
        <f t="shared" si="15"/>
        <v>42</v>
      </c>
      <c r="N55" s="13">
        <f t="shared" si="15"/>
        <v>15</v>
      </c>
      <c r="O55" s="13">
        <f t="shared" si="15"/>
        <v>9</v>
      </c>
      <c r="P55" s="13">
        <f t="shared" si="15"/>
        <v>18</v>
      </c>
      <c r="Q55" s="13">
        <f t="shared" si="15"/>
        <v>31</v>
      </c>
      <c r="R55" s="13">
        <f t="shared" si="15"/>
        <v>10</v>
      </c>
      <c r="S55" s="13">
        <f t="shared" si="15"/>
        <v>10</v>
      </c>
      <c r="T55" s="13">
        <f t="shared" si="15"/>
        <v>12</v>
      </c>
      <c r="U55" s="13">
        <f t="shared" si="15"/>
        <v>29</v>
      </c>
      <c r="V55" s="13">
        <f t="shared" si="15"/>
        <v>34</v>
      </c>
      <c r="W55" s="13">
        <f t="shared" si="15"/>
        <v>42</v>
      </c>
      <c r="X55" s="13">
        <f t="shared" si="15"/>
        <v>46</v>
      </c>
      <c r="Y55" s="13">
        <f t="shared" si="15"/>
        <v>612</v>
      </c>
    </row>
    <row r="56" ht="12.75" customHeight="1">
      <c r="A56" s="45"/>
      <c r="B56" s="44"/>
      <c r="C56" s="44"/>
      <c r="D56" s="44"/>
      <c r="E56" s="44"/>
      <c r="Y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4.0</v>
      </c>
      <c r="F57" s="19">
        <v>10.0</v>
      </c>
      <c r="G57" s="19">
        <v>8.0</v>
      </c>
      <c r="H57" s="19">
        <v>7.0</v>
      </c>
      <c r="I57" s="19">
        <v>2.0</v>
      </c>
      <c r="J57" s="19">
        <v>14.0</v>
      </c>
      <c r="K57" s="19">
        <v>5.0</v>
      </c>
      <c r="L57" s="19">
        <v>11.0</v>
      </c>
      <c r="M57" s="19">
        <v>3.0</v>
      </c>
      <c r="N57" s="19">
        <v>5.0</v>
      </c>
      <c r="O57" s="19">
        <v>8.0</v>
      </c>
      <c r="P57" s="19">
        <v>6.0</v>
      </c>
      <c r="Q57" s="19">
        <v>9.0</v>
      </c>
      <c r="R57" s="19">
        <v>8.0</v>
      </c>
      <c r="S57" s="19">
        <v>9.0</v>
      </c>
      <c r="T57" s="19">
        <v>11.0</v>
      </c>
      <c r="U57" s="19">
        <v>5.0</v>
      </c>
      <c r="V57" s="19">
        <v>15.0</v>
      </c>
      <c r="W57" s="19">
        <v>6.0</v>
      </c>
      <c r="X57" s="19">
        <v>8.0</v>
      </c>
      <c r="Y57" s="13">
        <f t="shared" ref="Y57:Y66" si="16">SUM(E57:X57)</f>
        <v>154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8.0</v>
      </c>
      <c r="F58" s="19">
        <v>6.0</v>
      </c>
      <c r="G58" s="19">
        <v>5.0</v>
      </c>
      <c r="H58" s="19">
        <v>7.0</v>
      </c>
      <c r="I58" s="19">
        <v>6.0</v>
      </c>
      <c r="J58" s="19">
        <v>19.0</v>
      </c>
      <c r="K58" s="19">
        <v>16.0</v>
      </c>
      <c r="L58" s="19">
        <v>17.0</v>
      </c>
      <c r="M58" s="19">
        <v>3.0</v>
      </c>
      <c r="N58" s="19">
        <v>10.0</v>
      </c>
      <c r="O58" s="19">
        <v>3.0</v>
      </c>
      <c r="P58" s="19">
        <v>3.0</v>
      </c>
      <c r="Q58" s="19">
        <v>1.0</v>
      </c>
      <c r="R58" s="19">
        <v>6.0</v>
      </c>
      <c r="S58" s="19">
        <v>4.0</v>
      </c>
      <c r="T58" s="19">
        <v>24.0</v>
      </c>
      <c r="U58" s="19">
        <v>22.0</v>
      </c>
      <c r="V58" s="19">
        <v>8.0</v>
      </c>
      <c r="W58" s="19">
        <v>7.0</v>
      </c>
      <c r="X58" s="19">
        <v>9.0</v>
      </c>
      <c r="Y58" s="13">
        <f t="shared" si="16"/>
        <v>184</v>
      </c>
    </row>
    <row r="59" ht="12.75" customHeight="1">
      <c r="A59" s="18"/>
      <c r="B59" s="55">
        <v>2.0</v>
      </c>
      <c r="C59" s="50" t="s">
        <v>50</v>
      </c>
      <c r="D59" s="59"/>
      <c r="E59" s="19">
        <v>4.0</v>
      </c>
      <c r="F59" s="19">
        <v>0.0</v>
      </c>
      <c r="G59" s="19">
        <v>2.0</v>
      </c>
      <c r="H59" s="19">
        <v>3.0</v>
      </c>
      <c r="I59" s="19">
        <v>4.0</v>
      </c>
      <c r="J59" s="19">
        <v>7.0</v>
      </c>
      <c r="K59" s="19">
        <v>9.0</v>
      </c>
      <c r="L59" s="19">
        <v>2.0</v>
      </c>
      <c r="M59" s="19">
        <v>1.0</v>
      </c>
      <c r="N59" s="19">
        <v>0.0</v>
      </c>
      <c r="O59" s="19">
        <v>1.0</v>
      </c>
      <c r="P59" s="19">
        <v>0.0</v>
      </c>
      <c r="Q59" s="19">
        <v>3.0</v>
      </c>
      <c r="R59" s="19">
        <v>0.0</v>
      </c>
      <c r="S59" s="19">
        <v>6.0</v>
      </c>
      <c r="T59" s="19">
        <v>6.0</v>
      </c>
      <c r="U59" s="19">
        <v>1.0</v>
      </c>
      <c r="V59" s="19">
        <v>2.0</v>
      </c>
      <c r="W59" s="19">
        <v>0.0</v>
      </c>
      <c r="X59" s="19">
        <v>1.0</v>
      </c>
      <c r="Y59" s="13">
        <f t="shared" si="16"/>
        <v>52</v>
      </c>
    </row>
    <row r="60" ht="12.75" customHeight="1">
      <c r="A60" s="18"/>
      <c r="B60" s="55">
        <v>3.0</v>
      </c>
      <c r="C60" s="50" t="s">
        <v>51</v>
      </c>
      <c r="D60" s="59"/>
      <c r="E60" s="19">
        <v>0.0</v>
      </c>
      <c r="F60" s="19">
        <v>1.0</v>
      </c>
      <c r="G60" s="19">
        <v>0.0</v>
      </c>
      <c r="H60" s="19">
        <v>0.0</v>
      </c>
      <c r="I60" s="19">
        <v>0.0</v>
      </c>
      <c r="J60" s="19">
        <v>1.0</v>
      </c>
      <c r="K60" s="19">
        <v>0.0</v>
      </c>
      <c r="L60" s="19">
        <v>1.0</v>
      </c>
      <c r="M60" s="19">
        <v>1.0</v>
      </c>
      <c r="N60" s="19">
        <v>0.0</v>
      </c>
      <c r="O60" s="19">
        <v>0.0</v>
      </c>
      <c r="P60" s="19">
        <v>0.0</v>
      </c>
      <c r="Q60" s="19">
        <v>3.0</v>
      </c>
      <c r="R60" s="19">
        <v>1.0</v>
      </c>
      <c r="S60" s="19">
        <v>0.0</v>
      </c>
      <c r="T60" s="19">
        <v>1.0</v>
      </c>
      <c r="U60" s="19">
        <v>0.0</v>
      </c>
      <c r="V60" s="19">
        <v>3.0</v>
      </c>
      <c r="W60" s="19">
        <v>0.0</v>
      </c>
      <c r="X60" s="19">
        <v>1.0</v>
      </c>
      <c r="Y60" s="13">
        <f t="shared" si="16"/>
        <v>13</v>
      </c>
    </row>
    <row r="61" ht="12.75" customHeight="1">
      <c r="A61" s="18"/>
      <c r="B61" s="55">
        <v>4.0</v>
      </c>
      <c r="C61" s="50" t="s">
        <v>52</v>
      </c>
      <c r="D61" s="59"/>
      <c r="E61" s="19">
        <v>4.0</v>
      </c>
      <c r="F61" s="19">
        <v>1.0</v>
      </c>
      <c r="G61" s="19">
        <v>1.0</v>
      </c>
      <c r="H61" s="19">
        <v>1.0</v>
      </c>
      <c r="I61" s="19">
        <v>0.0</v>
      </c>
      <c r="J61" s="19">
        <v>6.0</v>
      </c>
      <c r="K61" s="19">
        <v>0.0</v>
      </c>
      <c r="L61" s="19">
        <v>3.0</v>
      </c>
      <c r="M61" s="19">
        <v>4.0</v>
      </c>
      <c r="N61" s="19">
        <v>0.0</v>
      </c>
      <c r="O61" s="19">
        <v>1.0</v>
      </c>
      <c r="P61" s="19">
        <v>2.0</v>
      </c>
      <c r="Q61" s="19">
        <v>0.0</v>
      </c>
      <c r="R61" s="19">
        <v>0.0</v>
      </c>
      <c r="S61" s="19">
        <v>2.0</v>
      </c>
      <c r="T61" s="19">
        <v>3.0</v>
      </c>
      <c r="U61" s="19">
        <v>3.0</v>
      </c>
      <c r="V61" s="19">
        <v>4.0</v>
      </c>
      <c r="W61" s="19">
        <v>4.0</v>
      </c>
      <c r="X61" s="19">
        <v>3.0</v>
      </c>
      <c r="Y61" s="13">
        <f t="shared" si="16"/>
        <v>42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1.0</v>
      </c>
      <c r="K62" s="19">
        <v>0.0</v>
      </c>
      <c r="L62" s="19">
        <v>0.0</v>
      </c>
      <c r="M62" s="19">
        <v>0.0</v>
      </c>
      <c r="N62" s="19">
        <v>1.0</v>
      </c>
      <c r="O62" s="19">
        <v>0.0</v>
      </c>
      <c r="P62" s="19">
        <v>0.0</v>
      </c>
      <c r="Q62" s="19">
        <v>0.0</v>
      </c>
      <c r="R62" s="19">
        <v>1.0</v>
      </c>
      <c r="S62" s="19">
        <v>1.0</v>
      </c>
      <c r="T62" s="19">
        <v>4.0</v>
      </c>
      <c r="U62" s="19">
        <v>0.0</v>
      </c>
      <c r="V62" s="19">
        <v>0.0</v>
      </c>
      <c r="W62" s="19">
        <v>0.0</v>
      </c>
      <c r="X62" s="19">
        <v>0.0</v>
      </c>
      <c r="Y62" s="13">
        <f t="shared" si="16"/>
        <v>8</v>
      </c>
    </row>
    <row r="63" ht="12.75" customHeight="1">
      <c r="A63" s="18"/>
      <c r="B63" s="55">
        <v>6.0</v>
      </c>
      <c r="C63" s="50" t="s">
        <v>54</v>
      </c>
      <c r="D63" s="60"/>
      <c r="E63" s="19">
        <v>0.0</v>
      </c>
      <c r="F63" s="19">
        <v>0.0</v>
      </c>
      <c r="G63" s="19">
        <v>0.0</v>
      </c>
      <c r="H63" s="19">
        <v>1.0</v>
      </c>
      <c r="I63" s="19">
        <v>0.0</v>
      </c>
      <c r="J63" s="19">
        <v>1.0</v>
      </c>
      <c r="K63" s="19">
        <v>1.0</v>
      </c>
      <c r="L63" s="19">
        <v>1.0</v>
      </c>
      <c r="M63" s="19">
        <v>2.0</v>
      </c>
      <c r="N63" s="19">
        <v>1.0</v>
      </c>
      <c r="O63" s="19">
        <v>0.0</v>
      </c>
      <c r="P63" s="19">
        <v>1.0</v>
      </c>
      <c r="Q63" s="19">
        <v>2.0</v>
      </c>
      <c r="R63" s="19">
        <v>0.0</v>
      </c>
      <c r="S63" s="19">
        <v>1.0</v>
      </c>
      <c r="T63" s="19">
        <v>1.0</v>
      </c>
      <c r="U63" s="19">
        <v>2.0</v>
      </c>
      <c r="V63" s="19">
        <v>1.0</v>
      </c>
      <c r="W63" s="19">
        <v>1.0</v>
      </c>
      <c r="X63" s="19">
        <v>2.0</v>
      </c>
      <c r="Y63" s="13">
        <f t="shared" si="16"/>
        <v>18</v>
      </c>
    </row>
    <row r="64" ht="12.75" customHeight="1">
      <c r="A64" s="18"/>
      <c r="B64" s="55">
        <v>7.0</v>
      </c>
      <c r="C64" s="50" t="s">
        <v>55</v>
      </c>
      <c r="D64" s="59"/>
      <c r="E64" s="19">
        <v>1.0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1.0</v>
      </c>
      <c r="R64" s="19">
        <v>0.0</v>
      </c>
      <c r="S64" s="19">
        <v>0.0</v>
      </c>
      <c r="T64" s="19">
        <v>1.0</v>
      </c>
      <c r="U64" s="19">
        <v>0.0</v>
      </c>
      <c r="V64" s="19">
        <v>1.0</v>
      </c>
      <c r="W64" s="19">
        <v>2.0</v>
      </c>
      <c r="X64" s="19">
        <v>1.0</v>
      </c>
      <c r="Y64" s="13">
        <f t="shared" si="16"/>
        <v>7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Y67" si="17">SUM(E57:E66)</f>
        <v>21</v>
      </c>
      <c r="F67" s="13">
        <f t="shared" si="17"/>
        <v>18</v>
      </c>
      <c r="G67" s="13">
        <f t="shared" si="17"/>
        <v>16</v>
      </c>
      <c r="H67" s="13">
        <f t="shared" si="17"/>
        <v>19</v>
      </c>
      <c r="I67" s="13">
        <f t="shared" si="17"/>
        <v>12</v>
      </c>
      <c r="J67" s="13">
        <f t="shared" si="17"/>
        <v>49</v>
      </c>
      <c r="K67" s="13">
        <f t="shared" si="17"/>
        <v>31</v>
      </c>
      <c r="L67" s="13">
        <f t="shared" si="17"/>
        <v>35</v>
      </c>
      <c r="M67" s="13">
        <f t="shared" si="17"/>
        <v>14</v>
      </c>
      <c r="N67" s="13">
        <f t="shared" si="17"/>
        <v>17</v>
      </c>
      <c r="O67" s="13">
        <f t="shared" si="17"/>
        <v>13</v>
      </c>
      <c r="P67" s="13">
        <f t="shared" si="17"/>
        <v>12</v>
      </c>
      <c r="Q67" s="13">
        <f t="shared" si="17"/>
        <v>19</v>
      </c>
      <c r="R67" s="13">
        <f t="shared" si="17"/>
        <v>16</v>
      </c>
      <c r="S67" s="13">
        <f t="shared" si="17"/>
        <v>23</v>
      </c>
      <c r="T67" s="13">
        <f t="shared" si="17"/>
        <v>51</v>
      </c>
      <c r="U67" s="13">
        <f t="shared" si="17"/>
        <v>33</v>
      </c>
      <c r="V67" s="13">
        <f t="shared" si="17"/>
        <v>34</v>
      </c>
      <c r="W67" s="13">
        <f t="shared" si="17"/>
        <v>20</v>
      </c>
      <c r="X67" s="13">
        <f t="shared" si="17"/>
        <v>25</v>
      </c>
      <c r="Y67" s="13">
        <f t="shared" si="17"/>
        <v>478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2.0</v>
      </c>
      <c r="F69" s="19">
        <v>5.0</v>
      </c>
      <c r="G69" s="19">
        <v>5.0</v>
      </c>
      <c r="H69" s="19">
        <v>1.0</v>
      </c>
      <c r="I69" s="19">
        <v>3.0</v>
      </c>
      <c r="J69" s="19">
        <v>1.0</v>
      </c>
      <c r="K69" s="19">
        <v>5.0</v>
      </c>
      <c r="L69" s="19">
        <v>3.0</v>
      </c>
      <c r="M69" s="19">
        <v>7.0</v>
      </c>
      <c r="N69" s="19">
        <v>9.0</v>
      </c>
      <c r="O69" s="19">
        <v>3.0</v>
      </c>
      <c r="P69" s="19">
        <v>3.0</v>
      </c>
      <c r="Q69" s="19">
        <v>4.0</v>
      </c>
      <c r="R69" s="19">
        <v>12.0</v>
      </c>
      <c r="S69" s="19">
        <v>7.0</v>
      </c>
      <c r="T69" s="19">
        <v>8.0</v>
      </c>
      <c r="U69" s="19">
        <v>12.0</v>
      </c>
      <c r="V69" s="19">
        <v>5.0</v>
      </c>
      <c r="W69" s="19">
        <v>10.0</v>
      </c>
      <c r="X69" s="19">
        <v>4.0</v>
      </c>
      <c r="Y69" s="13">
        <f t="shared" ref="Y69:Y78" si="18">SUM(E69:X69)</f>
        <v>109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2.0</v>
      </c>
      <c r="F70" s="19">
        <v>4.0</v>
      </c>
      <c r="G70" s="19">
        <v>3.0</v>
      </c>
      <c r="H70" s="19">
        <v>6.0</v>
      </c>
      <c r="I70" s="19">
        <v>15.0</v>
      </c>
      <c r="J70" s="19">
        <v>10.0</v>
      </c>
      <c r="K70" s="19">
        <v>23.0</v>
      </c>
      <c r="L70" s="19">
        <v>5.0</v>
      </c>
      <c r="M70" s="19">
        <v>12.0</v>
      </c>
      <c r="N70" s="19">
        <v>33.0</v>
      </c>
      <c r="O70" s="19">
        <v>6.0</v>
      </c>
      <c r="P70" s="19">
        <v>6.0</v>
      </c>
      <c r="Q70" s="19">
        <v>18.0</v>
      </c>
      <c r="R70" s="19">
        <v>7.0</v>
      </c>
      <c r="S70" s="19">
        <v>11.0</v>
      </c>
      <c r="T70" s="19">
        <v>8.0</v>
      </c>
      <c r="U70" s="19">
        <v>19.0</v>
      </c>
      <c r="V70" s="19">
        <v>15.0</v>
      </c>
      <c r="W70" s="19">
        <v>11.0</v>
      </c>
      <c r="X70" s="19">
        <v>6.0</v>
      </c>
      <c r="Y70" s="13">
        <f t="shared" si="18"/>
        <v>220</v>
      </c>
    </row>
    <row r="71" ht="12.75" customHeight="1">
      <c r="A71" s="18"/>
      <c r="B71" s="55">
        <v>2.0</v>
      </c>
      <c r="C71" s="50" t="s">
        <v>58</v>
      </c>
      <c r="D71" s="60"/>
      <c r="E71" s="19">
        <v>2.0</v>
      </c>
      <c r="F71" s="19">
        <v>5.0</v>
      </c>
      <c r="G71" s="19">
        <v>1.0</v>
      </c>
      <c r="H71" s="19">
        <v>0.0</v>
      </c>
      <c r="I71" s="19">
        <v>0.0</v>
      </c>
      <c r="J71" s="19">
        <v>0.0</v>
      </c>
      <c r="K71" s="19">
        <v>3.0</v>
      </c>
      <c r="L71" s="19">
        <v>1.0</v>
      </c>
      <c r="M71" s="19">
        <v>6.0</v>
      </c>
      <c r="N71" s="19">
        <v>16.0</v>
      </c>
      <c r="O71" s="19">
        <v>2.0</v>
      </c>
      <c r="P71" s="19">
        <v>6.0</v>
      </c>
      <c r="Q71" s="19">
        <v>5.0</v>
      </c>
      <c r="R71" s="19">
        <v>3.0</v>
      </c>
      <c r="S71" s="19">
        <v>1.0</v>
      </c>
      <c r="T71" s="19">
        <v>1.0</v>
      </c>
      <c r="U71" s="19">
        <v>4.0</v>
      </c>
      <c r="V71" s="19">
        <v>1.0</v>
      </c>
      <c r="W71" s="19">
        <v>4.0</v>
      </c>
      <c r="X71" s="19">
        <v>1.0</v>
      </c>
      <c r="Y71" s="13">
        <f t="shared" si="18"/>
        <v>62</v>
      </c>
    </row>
    <row r="72" ht="12.75" customHeight="1">
      <c r="A72" s="18"/>
      <c r="B72" s="55">
        <v>3.0</v>
      </c>
      <c r="C72" s="50" t="s">
        <v>59</v>
      </c>
      <c r="D72" s="60"/>
      <c r="E72" s="19">
        <v>1.0</v>
      </c>
      <c r="F72" s="19">
        <v>3.0</v>
      </c>
      <c r="G72" s="19">
        <v>0.0</v>
      </c>
      <c r="H72" s="19">
        <v>0.0</v>
      </c>
      <c r="I72" s="19">
        <v>1.0</v>
      </c>
      <c r="J72" s="19">
        <v>0.0</v>
      </c>
      <c r="K72" s="19">
        <v>1.0</v>
      </c>
      <c r="L72" s="19">
        <v>3.0</v>
      </c>
      <c r="M72" s="19">
        <v>2.0</v>
      </c>
      <c r="N72" s="19">
        <v>0.0</v>
      </c>
      <c r="O72" s="19">
        <v>1.0</v>
      </c>
      <c r="P72" s="19">
        <v>0.0</v>
      </c>
      <c r="Q72" s="19">
        <v>8.0</v>
      </c>
      <c r="R72" s="19">
        <v>56.0</v>
      </c>
      <c r="S72" s="19">
        <v>8.0</v>
      </c>
      <c r="T72" s="19">
        <v>3.0</v>
      </c>
      <c r="U72" s="19">
        <v>17.0</v>
      </c>
      <c r="V72" s="19">
        <v>1.0</v>
      </c>
      <c r="W72" s="19">
        <v>4.0</v>
      </c>
      <c r="X72" s="19">
        <v>19.0</v>
      </c>
      <c r="Y72" s="13">
        <f t="shared" si="18"/>
        <v>128</v>
      </c>
    </row>
    <row r="73" ht="12.75" customHeight="1">
      <c r="A73" s="18"/>
      <c r="B73" s="55">
        <v>4.0</v>
      </c>
      <c r="C73" s="50" t="s">
        <v>60</v>
      </c>
      <c r="D73" s="60"/>
      <c r="E73" s="19">
        <v>0.0</v>
      </c>
      <c r="F73" s="19">
        <v>1.0</v>
      </c>
      <c r="G73" s="19">
        <v>0.0</v>
      </c>
      <c r="H73" s="19">
        <v>0.0</v>
      </c>
      <c r="I73" s="19">
        <v>0.0</v>
      </c>
      <c r="J73" s="19">
        <v>0.0</v>
      </c>
      <c r="K73" s="19">
        <v>1.0</v>
      </c>
      <c r="L73" s="19">
        <v>1.0</v>
      </c>
      <c r="M73" s="19">
        <v>1.0</v>
      </c>
      <c r="N73" s="19">
        <v>4.0</v>
      </c>
      <c r="O73" s="19">
        <v>0.0</v>
      </c>
      <c r="P73" s="19">
        <v>1.0</v>
      </c>
      <c r="Q73" s="19">
        <v>1.0</v>
      </c>
      <c r="R73" s="19">
        <v>1.0</v>
      </c>
      <c r="S73" s="19">
        <v>0.0</v>
      </c>
      <c r="T73" s="19">
        <v>0.0</v>
      </c>
      <c r="U73" s="19">
        <v>0.0</v>
      </c>
      <c r="V73" s="19">
        <v>0.0</v>
      </c>
      <c r="W73" s="19">
        <v>0.0</v>
      </c>
      <c r="X73" s="19">
        <v>0.0</v>
      </c>
      <c r="Y73" s="13">
        <f t="shared" si="18"/>
        <v>11</v>
      </c>
    </row>
    <row r="74" ht="12.75" customHeight="1">
      <c r="A74" s="18"/>
      <c r="B74" s="55">
        <v>5.0</v>
      </c>
      <c r="C74" s="50" t="s">
        <v>61</v>
      </c>
      <c r="D74" s="60"/>
      <c r="E74" s="19">
        <v>1.0</v>
      </c>
      <c r="F74" s="19">
        <v>14.0</v>
      </c>
      <c r="G74" s="19">
        <v>1.0</v>
      </c>
      <c r="H74" s="19">
        <v>5.0</v>
      </c>
      <c r="I74" s="19">
        <v>4.0</v>
      </c>
      <c r="J74" s="19">
        <v>38.0</v>
      </c>
      <c r="K74" s="19">
        <v>9.0</v>
      </c>
      <c r="L74" s="19">
        <v>5.0</v>
      </c>
      <c r="M74" s="19">
        <v>32.0</v>
      </c>
      <c r="N74" s="19">
        <v>44.0</v>
      </c>
      <c r="O74" s="19">
        <v>4.0</v>
      </c>
      <c r="P74" s="19">
        <v>2.0</v>
      </c>
      <c r="Q74" s="19">
        <v>9.0</v>
      </c>
      <c r="R74" s="19">
        <v>7.0</v>
      </c>
      <c r="S74" s="19">
        <v>11.0</v>
      </c>
      <c r="T74" s="19">
        <v>9.0</v>
      </c>
      <c r="U74" s="19">
        <v>4.0</v>
      </c>
      <c r="V74" s="19">
        <v>16.0</v>
      </c>
      <c r="W74" s="19">
        <v>7.0</v>
      </c>
      <c r="X74" s="19">
        <v>5.0</v>
      </c>
      <c r="Y74" s="13">
        <f t="shared" si="18"/>
        <v>227</v>
      </c>
    </row>
    <row r="75" ht="12.75" customHeight="1">
      <c r="A75" s="18"/>
      <c r="B75" s="55">
        <v>6.0</v>
      </c>
      <c r="C75" s="50" t="s">
        <v>62</v>
      </c>
      <c r="D75" s="60"/>
      <c r="E75" s="19">
        <v>1.0</v>
      </c>
      <c r="F75" s="19">
        <v>0.0</v>
      </c>
      <c r="G75" s="19">
        <v>0.0</v>
      </c>
      <c r="H75" s="19">
        <v>0.0</v>
      </c>
      <c r="I75" s="19">
        <v>1.0</v>
      </c>
      <c r="J75" s="19">
        <v>1.0</v>
      </c>
      <c r="K75" s="19">
        <v>0.0</v>
      </c>
      <c r="L75" s="19">
        <v>0.0</v>
      </c>
      <c r="M75" s="19">
        <v>0.0</v>
      </c>
      <c r="N75" s="19">
        <v>0.0</v>
      </c>
      <c r="O75" s="19">
        <v>0.0</v>
      </c>
      <c r="P75" s="19">
        <v>1.0</v>
      </c>
      <c r="Q75" s="19">
        <v>0.0</v>
      </c>
      <c r="R75" s="19">
        <v>1.0</v>
      </c>
      <c r="S75" s="19">
        <v>0.0</v>
      </c>
      <c r="T75" s="19">
        <v>0.0</v>
      </c>
      <c r="U75" s="19">
        <v>2.0</v>
      </c>
      <c r="V75" s="19">
        <v>0.0</v>
      </c>
      <c r="W75" s="19">
        <v>1.0</v>
      </c>
      <c r="X75" s="19">
        <v>0.0</v>
      </c>
      <c r="Y75" s="13">
        <f t="shared" si="18"/>
        <v>8</v>
      </c>
    </row>
    <row r="76" ht="12.75" customHeight="1">
      <c r="A76" s="18"/>
      <c r="B76" s="55">
        <v>7.0</v>
      </c>
      <c r="C76" s="50" t="s">
        <v>63</v>
      </c>
      <c r="D76" s="60"/>
      <c r="E76" s="19">
        <v>0.0</v>
      </c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19">
        <v>0.0</v>
      </c>
      <c r="L76" s="19">
        <v>3.0</v>
      </c>
      <c r="M76" s="19">
        <v>0.0</v>
      </c>
      <c r="N76" s="19">
        <v>0.0</v>
      </c>
      <c r="O76" s="19">
        <v>0.0</v>
      </c>
      <c r="P76" s="19">
        <v>0.0</v>
      </c>
      <c r="Q76" s="19">
        <v>0.0</v>
      </c>
      <c r="R76" s="19">
        <v>0.0</v>
      </c>
      <c r="S76" s="19">
        <v>0.0</v>
      </c>
      <c r="T76" s="19">
        <v>0.0</v>
      </c>
      <c r="U76" s="19">
        <v>1.0</v>
      </c>
      <c r="V76" s="19">
        <v>2.0</v>
      </c>
      <c r="W76" s="19">
        <v>1.0</v>
      </c>
      <c r="X76" s="19">
        <v>0.0</v>
      </c>
      <c r="Y76" s="13">
        <f t="shared" si="18"/>
        <v>7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Y79" si="19">SUM(E69:E78)</f>
        <v>9</v>
      </c>
      <c r="F79" s="13">
        <f t="shared" si="19"/>
        <v>32</v>
      </c>
      <c r="G79" s="13">
        <f t="shared" si="19"/>
        <v>10</v>
      </c>
      <c r="H79" s="13">
        <f t="shared" si="19"/>
        <v>12</v>
      </c>
      <c r="I79" s="13">
        <f t="shared" si="19"/>
        <v>24</v>
      </c>
      <c r="J79" s="13">
        <f t="shared" si="19"/>
        <v>50</v>
      </c>
      <c r="K79" s="13">
        <f t="shared" si="19"/>
        <v>42</v>
      </c>
      <c r="L79" s="13">
        <f t="shared" si="19"/>
        <v>21</v>
      </c>
      <c r="M79" s="13">
        <f t="shared" si="19"/>
        <v>60</v>
      </c>
      <c r="N79" s="13">
        <f t="shared" si="19"/>
        <v>106</v>
      </c>
      <c r="O79" s="13">
        <f t="shared" si="19"/>
        <v>16</v>
      </c>
      <c r="P79" s="13">
        <f t="shared" si="19"/>
        <v>19</v>
      </c>
      <c r="Q79" s="13">
        <f t="shared" si="19"/>
        <v>45</v>
      </c>
      <c r="R79" s="13">
        <f t="shared" si="19"/>
        <v>87</v>
      </c>
      <c r="S79" s="13">
        <f t="shared" si="19"/>
        <v>38</v>
      </c>
      <c r="T79" s="13">
        <f t="shared" si="19"/>
        <v>29</v>
      </c>
      <c r="U79" s="13">
        <f t="shared" si="19"/>
        <v>59</v>
      </c>
      <c r="V79" s="13">
        <f t="shared" si="19"/>
        <v>40</v>
      </c>
      <c r="W79" s="13">
        <f t="shared" si="19"/>
        <v>38</v>
      </c>
      <c r="X79" s="13">
        <f t="shared" si="19"/>
        <v>35</v>
      </c>
      <c r="Y79" s="13">
        <f t="shared" si="19"/>
        <v>772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6.0</v>
      </c>
      <c r="F81" s="19">
        <v>4.0</v>
      </c>
      <c r="G81" s="19">
        <v>2.0</v>
      </c>
      <c r="H81" s="19">
        <v>4.0</v>
      </c>
      <c r="I81" s="19">
        <v>13.0</v>
      </c>
      <c r="J81" s="19">
        <v>3.0</v>
      </c>
      <c r="K81" s="19">
        <v>6.0</v>
      </c>
      <c r="L81" s="19">
        <v>2.0</v>
      </c>
      <c r="M81" s="19">
        <v>4.0</v>
      </c>
      <c r="N81" s="19">
        <v>4.0</v>
      </c>
      <c r="O81" s="19">
        <v>2.0</v>
      </c>
      <c r="P81" s="19">
        <v>7.0</v>
      </c>
      <c r="Q81" s="19">
        <v>5.0</v>
      </c>
      <c r="R81" s="19">
        <v>3.0</v>
      </c>
      <c r="S81" s="19">
        <v>1.0</v>
      </c>
      <c r="T81" s="19">
        <v>3.0</v>
      </c>
      <c r="U81" s="19">
        <v>5.0</v>
      </c>
      <c r="V81" s="19">
        <v>6.0</v>
      </c>
      <c r="W81" s="19">
        <v>10.0</v>
      </c>
      <c r="X81" s="19">
        <v>2.0</v>
      </c>
      <c r="Y81" s="13">
        <f t="shared" ref="Y81:Y90" si="20">SUM(E81:X81)</f>
        <v>92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6.0</v>
      </c>
      <c r="F82" s="19">
        <v>3.0</v>
      </c>
      <c r="G82" s="19">
        <v>10.0</v>
      </c>
      <c r="H82" s="19">
        <v>14.0</v>
      </c>
      <c r="I82" s="19">
        <v>22.0</v>
      </c>
      <c r="J82" s="19">
        <v>3.0</v>
      </c>
      <c r="K82" s="19">
        <v>13.0</v>
      </c>
      <c r="L82" s="19">
        <v>7.0</v>
      </c>
      <c r="M82" s="19">
        <v>5.0</v>
      </c>
      <c r="N82" s="19">
        <v>13.0</v>
      </c>
      <c r="O82" s="19">
        <v>2.0</v>
      </c>
      <c r="P82" s="19">
        <v>3.0</v>
      </c>
      <c r="Q82" s="19">
        <v>1.0</v>
      </c>
      <c r="R82" s="19">
        <v>5.0</v>
      </c>
      <c r="S82" s="19">
        <v>20.0</v>
      </c>
      <c r="T82" s="19">
        <v>13.0</v>
      </c>
      <c r="U82" s="19">
        <v>15.0</v>
      </c>
      <c r="V82" s="19">
        <v>6.0</v>
      </c>
      <c r="W82" s="19">
        <v>15.0</v>
      </c>
      <c r="X82" s="19">
        <v>3.0</v>
      </c>
      <c r="Y82" s="13">
        <f t="shared" si="20"/>
        <v>179</v>
      </c>
    </row>
    <row r="83" ht="12.75" customHeight="1">
      <c r="A83" s="18"/>
      <c r="B83" s="55">
        <v>2.0</v>
      </c>
      <c r="C83" s="50" t="s">
        <v>66</v>
      </c>
      <c r="D83" s="60"/>
      <c r="E83" s="19">
        <v>9.0</v>
      </c>
      <c r="F83" s="19">
        <v>5.0</v>
      </c>
      <c r="G83" s="19">
        <v>12.0</v>
      </c>
      <c r="H83" s="19">
        <v>8.0</v>
      </c>
      <c r="I83" s="19">
        <v>10.0</v>
      </c>
      <c r="J83" s="19">
        <v>4.0</v>
      </c>
      <c r="K83" s="19">
        <v>7.0</v>
      </c>
      <c r="L83" s="19">
        <v>11.0</v>
      </c>
      <c r="M83" s="19">
        <v>27.0</v>
      </c>
      <c r="N83" s="19">
        <v>9.0</v>
      </c>
      <c r="O83" s="19">
        <v>18.0</v>
      </c>
      <c r="P83" s="19">
        <v>12.0</v>
      </c>
      <c r="Q83" s="19">
        <v>5.0</v>
      </c>
      <c r="R83" s="19">
        <v>2.0</v>
      </c>
      <c r="S83" s="19">
        <v>13.0</v>
      </c>
      <c r="T83" s="19">
        <v>5.0</v>
      </c>
      <c r="U83" s="19">
        <v>3.0</v>
      </c>
      <c r="V83" s="19">
        <v>5.0</v>
      </c>
      <c r="W83" s="19">
        <v>11.0</v>
      </c>
      <c r="X83" s="19">
        <v>4.0</v>
      </c>
      <c r="Y83" s="13">
        <f t="shared" si="20"/>
        <v>180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0.0</v>
      </c>
      <c r="G84" s="19">
        <v>1.0</v>
      </c>
      <c r="H84" s="19">
        <v>1.0</v>
      </c>
      <c r="I84" s="19">
        <v>1.0</v>
      </c>
      <c r="J84" s="19">
        <v>0.0</v>
      </c>
      <c r="K84" s="19">
        <v>0.0</v>
      </c>
      <c r="L84" s="19">
        <v>1.0</v>
      </c>
      <c r="M84" s="19">
        <v>1.0</v>
      </c>
      <c r="N84" s="19">
        <v>0.0</v>
      </c>
      <c r="O84" s="19">
        <v>0.0</v>
      </c>
      <c r="P84" s="19">
        <v>0.0</v>
      </c>
      <c r="Q84" s="19">
        <v>0.0</v>
      </c>
      <c r="R84" s="19">
        <v>2.0</v>
      </c>
      <c r="S84" s="19">
        <v>0.0</v>
      </c>
      <c r="T84" s="19">
        <v>0.0</v>
      </c>
      <c r="U84" s="19">
        <v>0.0</v>
      </c>
      <c r="V84" s="19">
        <v>2.0</v>
      </c>
      <c r="W84" s="19">
        <v>0.0</v>
      </c>
      <c r="X84" s="19">
        <v>2.0</v>
      </c>
      <c r="Y84" s="13">
        <f t="shared" si="20"/>
        <v>11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1.0</v>
      </c>
      <c r="G85" s="19">
        <v>2.0</v>
      </c>
      <c r="H85" s="19">
        <v>1.0</v>
      </c>
      <c r="I85" s="19">
        <v>1.0</v>
      </c>
      <c r="J85" s="19">
        <v>0.0</v>
      </c>
      <c r="K85" s="19">
        <v>0.0</v>
      </c>
      <c r="L85" s="19">
        <v>0.0</v>
      </c>
      <c r="M85" s="19">
        <v>1.0</v>
      </c>
      <c r="N85" s="19">
        <v>0.0</v>
      </c>
      <c r="O85" s="19">
        <v>0.0</v>
      </c>
      <c r="P85" s="19">
        <v>1.0</v>
      </c>
      <c r="Q85" s="19">
        <v>1.0</v>
      </c>
      <c r="R85" s="19">
        <v>1.0</v>
      </c>
      <c r="S85" s="19">
        <v>1.0</v>
      </c>
      <c r="T85" s="19">
        <v>0.0</v>
      </c>
      <c r="U85" s="19">
        <v>0.0</v>
      </c>
      <c r="V85" s="19">
        <v>0.0</v>
      </c>
      <c r="W85" s="19">
        <v>0.0</v>
      </c>
      <c r="X85" s="19">
        <v>2.0</v>
      </c>
      <c r="Y85" s="13">
        <f t="shared" si="20"/>
        <v>12</v>
      </c>
    </row>
    <row r="86" ht="12.75" customHeight="1">
      <c r="A86" s="18"/>
      <c r="B86" s="55">
        <v>5.0</v>
      </c>
      <c r="C86" s="50" t="s">
        <v>69</v>
      </c>
      <c r="D86" s="60"/>
      <c r="E86" s="19">
        <v>0.0</v>
      </c>
      <c r="F86" s="19">
        <v>4.0</v>
      </c>
      <c r="G86" s="19">
        <v>6.0</v>
      </c>
      <c r="H86" s="19">
        <v>2.0</v>
      </c>
      <c r="I86" s="19">
        <v>6.0</v>
      </c>
      <c r="J86" s="19">
        <v>12.0</v>
      </c>
      <c r="K86" s="19">
        <v>17.0</v>
      </c>
      <c r="L86" s="19">
        <v>4.0</v>
      </c>
      <c r="M86" s="19">
        <v>0.0</v>
      </c>
      <c r="N86" s="19">
        <v>0.0</v>
      </c>
      <c r="O86" s="19">
        <v>1.0</v>
      </c>
      <c r="P86" s="19">
        <v>3.0</v>
      </c>
      <c r="Q86" s="19">
        <v>1.0</v>
      </c>
      <c r="R86" s="19">
        <v>4.0</v>
      </c>
      <c r="S86" s="19">
        <v>0.0</v>
      </c>
      <c r="T86" s="19">
        <v>4.0</v>
      </c>
      <c r="U86" s="19">
        <v>0.0</v>
      </c>
      <c r="V86" s="19">
        <v>0.0</v>
      </c>
      <c r="W86" s="19">
        <v>0.0</v>
      </c>
      <c r="X86" s="19">
        <v>0.0</v>
      </c>
      <c r="Y86" s="13">
        <f t="shared" si="20"/>
        <v>64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1.0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2.0</v>
      </c>
      <c r="R87" s="19">
        <v>1.0</v>
      </c>
      <c r="S87" s="19">
        <v>0.0</v>
      </c>
      <c r="T87" s="19">
        <v>1.0</v>
      </c>
      <c r="U87" s="19">
        <v>0.0</v>
      </c>
      <c r="V87" s="19">
        <v>1.0</v>
      </c>
      <c r="W87" s="19">
        <v>0.0</v>
      </c>
      <c r="X87" s="19">
        <v>2.0</v>
      </c>
      <c r="Y87" s="13">
        <f t="shared" si="20"/>
        <v>8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1.0</v>
      </c>
      <c r="H88" s="19">
        <v>0.0</v>
      </c>
      <c r="I88" s="19">
        <v>1.0</v>
      </c>
      <c r="J88" s="19">
        <v>0.0</v>
      </c>
      <c r="K88" s="19">
        <v>0.0</v>
      </c>
      <c r="L88" s="19">
        <v>1.0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3">
        <f t="shared" si="20"/>
        <v>3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Y91" si="21">SUM(E81:E90)</f>
        <v>21</v>
      </c>
      <c r="F91" s="13">
        <f t="shared" si="21"/>
        <v>17</v>
      </c>
      <c r="G91" s="13">
        <f t="shared" si="21"/>
        <v>35</v>
      </c>
      <c r="H91" s="13">
        <f t="shared" si="21"/>
        <v>30</v>
      </c>
      <c r="I91" s="13">
        <f t="shared" si="21"/>
        <v>54</v>
      </c>
      <c r="J91" s="13">
        <f t="shared" si="21"/>
        <v>22</v>
      </c>
      <c r="K91" s="13">
        <f t="shared" si="21"/>
        <v>43</v>
      </c>
      <c r="L91" s="13">
        <f t="shared" si="21"/>
        <v>26</v>
      </c>
      <c r="M91" s="13">
        <f t="shared" si="21"/>
        <v>38</v>
      </c>
      <c r="N91" s="13">
        <f t="shared" si="21"/>
        <v>26</v>
      </c>
      <c r="O91" s="13">
        <f t="shared" si="21"/>
        <v>23</v>
      </c>
      <c r="P91" s="13">
        <f t="shared" si="21"/>
        <v>26</v>
      </c>
      <c r="Q91" s="13">
        <f t="shared" si="21"/>
        <v>15</v>
      </c>
      <c r="R91" s="13">
        <f t="shared" si="21"/>
        <v>18</v>
      </c>
      <c r="S91" s="13">
        <f t="shared" si="21"/>
        <v>35</v>
      </c>
      <c r="T91" s="13">
        <f t="shared" si="21"/>
        <v>26</v>
      </c>
      <c r="U91" s="13">
        <f t="shared" si="21"/>
        <v>23</v>
      </c>
      <c r="V91" s="13">
        <f t="shared" si="21"/>
        <v>20</v>
      </c>
      <c r="W91" s="13">
        <f t="shared" si="21"/>
        <v>36</v>
      </c>
      <c r="X91" s="13">
        <f t="shared" si="21"/>
        <v>15</v>
      </c>
      <c r="Y91" s="13">
        <f t="shared" si="21"/>
        <v>549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4.0</v>
      </c>
      <c r="F93" s="19">
        <v>4.0</v>
      </c>
      <c r="G93" s="19">
        <v>2.0</v>
      </c>
      <c r="H93" s="19">
        <v>4.0</v>
      </c>
      <c r="I93" s="19">
        <v>1.0</v>
      </c>
      <c r="J93" s="19">
        <v>0.0</v>
      </c>
      <c r="K93" s="19">
        <v>2.0</v>
      </c>
      <c r="L93" s="19">
        <v>2.0</v>
      </c>
      <c r="M93" s="19">
        <v>0.0</v>
      </c>
      <c r="N93" s="19">
        <v>3.0</v>
      </c>
      <c r="O93" s="19">
        <v>0.0</v>
      </c>
      <c r="P93" s="19">
        <v>7.0</v>
      </c>
      <c r="Q93" s="19">
        <v>2.0</v>
      </c>
      <c r="R93" s="19">
        <v>0.0</v>
      </c>
      <c r="S93" s="19">
        <v>0.0</v>
      </c>
      <c r="T93" s="19">
        <v>5.0</v>
      </c>
      <c r="U93" s="19">
        <v>0.0</v>
      </c>
      <c r="V93" s="19">
        <v>3.0</v>
      </c>
      <c r="W93" s="19">
        <v>1.0</v>
      </c>
      <c r="X93" s="19">
        <v>0.0</v>
      </c>
      <c r="Y93" s="13">
        <f t="shared" ref="Y93:Y102" si="22">SUM(E93:X93)</f>
        <v>40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1.0</v>
      </c>
      <c r="F94" s="19">
        <v>0.0</v>
      </c>
      <c r="G94" s="19">
        <v>3.0</v>
      </c>
      <c r="H94" s="19">
        <v>0.0</v>
      </c>
      <c r="I94" s="19">
        <v>3.0</v>
      </c>
      <c r="J94" s="19">
        <v>11.0</v>
      </c>
      <c r="K94" s="19">
        <v>7.0</v>
      </c>
      <c r="L94" s="19">
        <v>15.0</v>
      </c>
      <c r="M94" s="19">
        <v>15.0</v>
      </c>
      <c r="N94" s="19">
        <v>9.0</v>
      </c>
      <c r="O94" s="19">
        <v>38.0</v>
      </c>
      <c r="P94" s="19">
        <v>65.0</v>
      </c>
      <c r="Q94" s="19">
        <v>2.0</v>
      </c>
      <c r="R94" s="19">
        <v>0.0</v>
      </c>
      <c r="S94" s="19">
        <v>2.0</v>
      </c>
      <c r="T94" s="19">
        <v>2.0</v>
      </c>
      <c r="U94" s="19">
        <v>2.0</v>
      </c>
      <c r="V94" s="19">
        <v>2.0</v>
      </c>
      <c r="W94" s="19">
        <v>3.0</v>
      </c>
      <c r="X94" s="19">
        <v>2.0</v>
      </c>
      <c r="Y94" s="13">
        <f t="shared" si="22"/>
        <v>182</v>
      </c>
    </row>
    <row r="95" ht="12.75" customHeight="1">
      <c r="A95" s="18"/>
      <c r="B95" s="55">
        <v>2.0</v>
      </c>
      <c r="C95" s="50" t="s">
        <v>75</v>
      </c>
      <c r="D95" s="60"/>
      <c r="E95" s="19">
        <v>3.0</v>
      </c>
      <c r="F95" s="19">
        <v>6.0</v>
      </c>
      <c r="G95" s="19">
        <v>6.0</v>
      </c>
      <c r="H95" s="19">
        <v>0.0</v>
      </c>
      <c r="I95" s="19">
        <v>1.0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0.0</v>
      </c>
      <c r="S95" s="19">
        <v>0.0</v>
      </c>
      <c r="T95" s="19">
        <v>1.0</v>
      </c>
      <c r="U95" s="19">
        <v>0.0</v>
      </c>
      <c r="V95" s="19">
        <v>2.0</v>
      </c>
      <c r="W95" s="19">
        <v>1.0</v>
      </c>
      <c r="X95" s="19">
        <v>0.0</v>
      </c>
      <c r="Y95" s="13">
        <f t="shared" si="22"/>
        <v>20</v>
      </c>
    </row>
    <row r="96" ht="12.75" customHeight="1">
      <c r="A96" s="18"/>
      <c r="B96" s="55">
        <v>3.0</v>
      </c>
      <c r="C96" s="50" t="s">
        <v>76</v>
      </c>
      <c r="D96" s="60"/>
      <c r="E96" s="19">
        <v>1.0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2.0</v>
      </c>
      <c r="U96" s="19">
        <v>0.0</v>
      </c>
      <c r="V96" s="19">
        <v>0.0</v>
      </c>
      <c r="W96" s="19">
        <v>0.0</v>
      </c>
      <c r="X96" s="19">
        <v>0.0</v>
      </c>
      <c r="Y96" s="13">
        <f t="shared" si="22"/>
        <v>3</v>
      </c>
    </row>
    <row r="97" ht="12.75" customHeight="1">
      <c r="A97" s="18"/>
      <c r="B97" s="55">
        <v>4.0</v>
      </c>
      <c r="C97" s="50" t="s">
        <v>77</v>
      </c>
      <c r="D97" s="60"/>
      <c r="E97" s="19">
        <v>1.0</v>
      </c>
      <c r="F97" s="19">
        <v>0.0</v>
      </c>
      <c r="G97" s="19">
        <v>1.0</v>
      </c>
      <c r="H97" s="19">
        <v>1.0</v>
      </c>
      <c r="I97" s="19">
        <v>0.0</v>
      </c>
      <c r="J97" s="19">
        <v>0.0</v>
      </c>
      <c r="K97" s="19">
        <v>0.0</v>
      </c>
      <c r="L97" s="19">
        <v>2.0</v>
      </c>
      <c r="M97" s="19">
        <v>0.0</v>
      </c>
      <c r="N97" s="19">
        <v>2.0</v>
      </c>
      <c r="O97" s="19">
        <v>4.0</v>
      </c>
      <c r="P97" s="19">
        <v>0.0</v>
      </c>
      <c r="Q97" s="19">
        <v>1.0</v>
      </c>
      <c r="R97" s="19">
        <v>1.0</v>
      </c>
      <c r="S97" s="19">
        <v>2.0</v>
      </c>
      <c r="T97" s="19">
        <v>5.0</v>
      </c>
      <c r="U97" s="19">
        <v>1.0</v>
      </c>
      <c r="V97" s="19">
        <v>1.0</v>
      </c>
      <c r="W97" s="19">
        <v>1.0</v>
      </c>
      <c r="X97" s="19">
        <v>4.0</v>
      </c>
      <c r="Y97" s="13">
        <f t="shared" si="22"/>
        <v>27</v>
      </c>
    </row>
    <row r="98" ht="12.75" customHeight="1">
      <c r="A98" s="18"/>
      <c r="B98" s="55">
        <v>5.0</v>
      </c>
      <c r="C98" s="50" t="s">
        <v>78</v>
      </c>
      <c r="D98" s="60"/>
      <c r="E98" s="19">
        <v>1.0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1.0</v>
      </c>
      <c r="U98" s="19">
        <v>0.0</v>
      </c>
      <c r="V98" s="19">
        <v>1.0</v>
      </c>
      <c r="W98" s="19">
        <v>0.0</v>
      </c>
      <c r="X98" s="19">
        <v>0.0</v>
      </c>
      <c r="Y98" s="13">
        <f t="shared" si="22"/>
        <v>3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1.0</v>
      </c>
      <c r="N99" s="19">
        <v>0.0</v>
      </c>
      <c r="O99" s="19">
        <v>1.0</v>
      </c>
      <c r="P99" s="19">
        <v>0.0</v>
      </c>
      <c r="Q99" s="19">
        <v>0.0</v>
      </c>
      <c r="R99" s="19">
        <v>0.0</v>
      </c>
      <c r="S99" s="19">
        <v>0.0</v>
      </c>
      <c r="T99" s="19">
        <v>1.0</v>
      </c>
      <c r="U99" s="19">
        <v>0.0</v>
      </c>
      <c r="V99" s="19">
        <v>0.0</v>
      </c>
      <c r="W99" s="19">
        <v>0.0</v>
      </c>
      <c r="X99" s="19">
        <v>0.0</v>
      </c>
      <c r="Y99" s="13">
        <f t="shared" si="22"/>
        <v>3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3">
        <f t="shared" si="22"/>
        <v>0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Y103" si="23">SUM(E93:E102)</f>
        <v>11</v>
      </c>
      <c r="F103" s="13">
        <f t="shared" si="23"/>
        <v>10</v>
      </c>
      <c r="G103" s="13">
        <f t="shared" si="23"/>
        <v>12</v>
      </c>
      <c r="H103" s="13">
        <f t="shared" si="23"/>
        <v>5</v>
      </c>
      <c r="I103" s="13">
        <f t="shared" si="23"/>
        <v>5</v>
      </c>
      <c r="J103" s="13">
        <f t="shared" si="23"/>
        <v>11</v>
      </c>
      <c r="K103" s="13">
        <f t="shared" si="23"/>
        <v>9</v>
      </c>
      <c r="L103" s="13">
        <f t="shared" si="23"/>
        <v>19</v>
      </c>
      <c r="M103" s="13">
        <f t="shared" si="23"/>
        <v>16</v>
      </c>
      <c r="N103" s="13">
        <f t="shared" si="23"/>
        <v>14</v>
      </c>
      <c r="O103" s="13">
        <f t="shared" si="23"/>
        <v>43</v>
      </c>
      <c r="P103" s="13">
        <f t="shared" si="23"/>
        <v>72</v>
      </c>
      <c r="Q103" s="13">
        <f t="shared" si="23"/>
        <v>5</v>
      </c>
      <c r="R103" s="13">
        <f t="shared" si="23"/>
        <v>1</v>
      </c>
      <c r="S103" s="13">
        <f t="shared" si="23"/>
        <v>4</v>
      </c>
      <c r="T103" s="13">
        <f t="shared" si="23"/>
        <v>17</v>
      </c>
      <c r="U103" s="13">
        <f t="shared" si="23"/>
        <v>3</v>
      </c>
      <c r="V103" s="13">
        <f t="shared" si="23"/>
        <v>9</v>
      </c>
      <c r="W103" s="13">
        <f t="shared" si="23"/>
        <v>6</v>
      </c>
      <c r="X103" s="13">
        <f t="shared" si="23"/>
        <v>6</v>
      </c>
      <c r="Y103" s="13">
        <f t="shared" si="23"/>
        <v>278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1.0</v>
      </c>
      <c r="I105" s="19">
        <v>1.0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1.0</v>
      </c>
      <c r="Q105" s="19">
        <v>0.0</v>
      </c>
      <c r="R105" s="19">
        <v>0.0</v>
      </c>
      <c r="S105" s="19">
        <v>0.0</v>
      </c>
      <c r="T105" s="19">
        <v>1.0</v>
      </c>
      <c r="U105" s="19">
        <v>1.0</v>
      </c>
      <c r="V105" s="19">
        <v>1.0</v>
      </c>
      <c r="W105" s="19">
        <v>1.0</v>
      </c>
      <c r="X105" s="19">
        <v>1.0</v>
      </c>
      <c r="Y105" s="13">
        <f t="shared" ref="Y105:Y114" si="24">SUM(E105:X105)</f>
        <v>8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1.0</v>
      </c>
      <c r="L106" s="19">
        <v>1.0</v>
      </c>
      <c r="M106" s="19">
        <v>0.0</v>
      </c>
      <c r="N106" s="19">
        <v>0.0</v>
      </c>
      <c r="O106" s="19">
        <v>0.0</v>
      </c>
      <c r="P106" s="19">
        <v>0.0</v>
      </c>
      <c r="Q106" s="19">
        <v>3.0</v>
      </c>
      <c r="R106" s="19">
        <v>0.0</v>
      </c>
      <c r="S106" s="19">
        <v>0.0</v>
      </c>
      <c r="T106" s="19">
        <v>1.0</v>
      </c>
      <c r="U106" s="19">
        <v>0.0</v>
      </c>
      <c r="V106" s="19">
        <v>0.0</v>
      </c>
      <c r="W106" s="19">
        <v>1.0</v>
      </c>
      <c r="X106" s="19">
        <v>0.0</v>
      </c>
      <c r="Y106" s="13">
        <f t="shared" si="24"/>
        <v>7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3">
        <f t="shared" si="24"/>
        <v>0</v>
      </c>
    </row>
    <row r="108" ht="12.75" customHeight="1">
      <c r="A108" s="18"/>
      <c r="B108" s="55">
        <v>3.0</v>
      </c>
      <c r="C108" s="50" t="s">
        <v>85</v>
      </c>
      <c r="D108" s="60"/>
      <c r="E108" s="7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1.0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2.0</v>
      </c>
      <c r="V108" s="19">
        <v>0.0</v>
      </c>
      <c r="W108" s="19">
        <v>0.0</v>
      </c>
      <c r="X108" s="19">
        <v>0.0</v>
      </c>
      <c r="Y108" s="13">
        <f t="shared" si="24"/>
        <v>3</v>
      </c>
    </row>
    <row r="109" ht="12.75" customHeight="1">
      <c r="A109" s="18"/>
      <c r="B109" s="55">
        <v>4.0</v>
      </c>
      <c r="C109" s="50" t="s">
        <v>86</v>
      </c>
      <c r="D109" s="60"/>
      <c r="E109" s="7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60"/>
      <c r="E110" s="7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79">
        <v>0.0</v>
      </c>
      <c r="F111" s="19">
        <v>0.0</v>
      </c>
      <c r="G111" s="19">
        <v>1.0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1.0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3">
        <f t="shared" si="24"/>
        <v>2</v>
      </c>
    </row>
    <row r="112" ht="12.75" customHeight="1">
      <c r="A112" s="18"/>
      <c r="B112" s="55">
        <v>7.0</v>
      </c>
      <c r="C112" s="50" t="s">
        <v>89</v>
      </c>
      <c r="D112" s="60"/>
      <c r="E112" s="7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3">
        <f t="shared" si="24"/>
        <v>0</v>
      </c>
    </row>
    <row r="113" ht="12.75" customHeight="1">
      <c r="A113" s="18"/>
      <c r="B113" s="56"/>
      <c r="C113" s="57"/>
      <c r="D113" s="62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3">
        <f t="shared" si="24"/>
        <v>0</v>
      </c>
    </row>
    <row r="114" ht="12.75" customHeight="1">
      <c r="A114" s="18"/>
      <c r="B114" s="56"/>
      <c r="C114" s="57"/>
      <c r="D114" s="62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Y115" si="25">SUM(E105:E114)</f>
        <v>0</v>
      </c>
      <c r="F115" s="13">
        <f t="shared" si="25"/>
        <v>0</v>
      </c>
      <c r="G115" s="13">
        <f t="shared" si="25"/>
        <v>1</v>
      </c>
      <c r="H115" s="13">
        <f t="shared" si="25"/>
        <v>1</v>
      </c>
      <c r="I115" s="13">
        <f t="shared" si="25"/>
        <v>1</v>
      </c>
      <c r="J115" s="13">
        <f t="shared" si="25"/>
        <v>0</v>
      </c>
      <c r="K115" s="13">
        <f t="shared" si="25"/>
        <v>1</v>
      </c>
      <c r="L115" s="13">
        <f t="shared" si="25"/>
        <v>1</v>
      </c>
      <c r="M115" s="13">
        <f t="shared" si="25"/>
        <v>0</v>
      </c>
      <c r="N115" s="13">
        <f t="shared" si="25"/>
        <v>1</v>
      </c>
      <c r="O115" s="13">
        <f t="shared" si="25"/>
        <v>1</v>
      </c>
      <c r="P115" s="13">
        <f t="shared" si="25"/>
        <v>1</v>
      </c>
      <c r="Q115" s="13">
        <f t="shared" si="25"/>
        <v>3</v>
      </c>
      <c r="R115" s="13">
        <f t="shared" si="25"/>
        <v>0</v>
      </c>
      <c r="S115" s="13">
        <f t="shared" si="25"/>
        <v>0</v>
      </c>
      <c r="T115" s="13">
        <f t="shared" si="25"/>
        <v>2</v>
      </c>
      <c r="U115" s="13">
        <f t="shared" si="25"/>
        <v>3</v>
      </c>
      <c r="V115" s="13">
        <f t="shared" si="25"/>
        <v>1</v>
      </c>
      <c r="W115" s="13">
        <f t="shared" si="25"/>
        <v>2</v>
      </c>
      <c r="X115" s="13">
        <f t="shared" si="25"/>
        <v>1</v>
      </c>
      <c r="Y115" s="13">
        <f t="shared" si="25"/>
        <v>20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1.0</v>
      </c>
      <c r="K117" s="19">
        <v>1.0</v>
      </c>
      <c r="L117" s="19">
        <v>1.0</v>
      </c>
      <c r="M117" s="19">
        <v>0.0</v>
      </c>
      <c r="N117" s="19">
        <v>0.0</v>
      </c>
      <c r="O117" s="19">
        <v>1.0</v>
      </c>
      <c r="P117" s="19">
        <v>0.0</v>
      </c>
      <c r="Q117" s="19">
        <v>1.0</v>
      </c>
      <c r="R117" s="19">
        <v>0.0</v>
      </c>
      <c r="S117" s="19">
        <v>0.0</v>
      </c>
      <c r="T117" s="19">
        <v>0.0</v>
      </c>
      <c r="U117" s="19">
        <v>0.0</v>
      </c>
      <c r="V117" s="19">
        <v>0.0</v>
      </c>
      <c r="W117" s="19">
        <v>0.0</v>
      </c>
      <c r="X117" s="19">
        <v>0.0</v>
      </c>
      <c r="Y117" s="13">
        <f t="shared" ref="Y117:Y126" si="26">SUM(E117:X117)</f>
        <v>5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0.0</v>
      </c>
      <c r="I118" s="19">
        <v>1.0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1.0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1.0</v>
      </c>
      <c r="X118" s="19">
        <v>0.0</v>
      </c>
      <c r="Y118" s="13">
        <f t="shared" si="26"/>
        <v>3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3">
        <f t="shared" si="26"/>
        <v>0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3">
        <f t="shared" si="26"/>
        <v>0</v>
      </c>
    </row>
    <row r="121" ht="12.75" customHeight="1">
      <c r="A121" s="18"/>
      <c r="B121" s="56"/>
      <c r="C121" s="57"/>
      <c r="D121" s="61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3">
        <f t="shared" si="26"/>
        <v>0</v>
      </c>
    </row>
    <row r="122" ht="12.75" customHeight="1">
      <c r="A122" s="18"/>
      <c r="B122" s="56"/>
      <c r="C122" s="57"/>
      <c r="D122" s="61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3">
        <f t="shared" si="26"/>
        <v>0</v>
      </c>
    </row>
    <row r="123" ht="12.75" customHeight="1">
      <c r="A123" s="18"/>
      <c r="B123" s="56"/>
      <c r="C123" s="57"/>
      <c r="D123" s="61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Y127" si="27">SUM(E117:E126)</f>
        <v>0</v>
      </c>
      <c r="F127" s="13">
        <f t="shared" si="27"/>
        <v>0</v>
      </c>
      <c r="G127" s="13">
        <f t="shared" si="27"/>
        <v>0</v>
      </c>
      <c r="H127" s="13">
        <f t="shared" si="27"/>
        <v>0</v>
      </c>
      <c r="I127" s="13">
        <f t="shared" si="27"/>
        <v>1</v>
      </c>
      <c r="J127" s="13">
        <f t="shared" si="27"/>
        <v>1</v>
      </c>
      <c r="K127" s="13">
        <f t="shared" si="27"/>
        <v>1</v>
      </c>
      <c r="L127" s="13">
        <f t="shared" si="27"/>
        <v>1</v>
      </c>
      <c r="M127" s="13">
        <f t="shared" si="27"/>
        <v>0</v>
      </c>
      <c r="N127" s="13">
        <f t="shared" si="27"/>
        <v>0</v>
      </c>
      <c r="O127" s="13">
        <f t="shared" si="27"/>
        <v>1</v>
      </c>
      <c r="P127" s="13">
        <f t="shared" si="27"/>
        <v>0</v>
      </c>
      <c r="Q127" s="13">
        <f t="shared" si="27"/>
        <v>2</v>
      </c>
      <c r="R127" s="13">
        <f t="shared" si="27"/>
        <v>0</v>
      </c>
      <c r="S127" s="13">
        <f t="shared" si="27"/>
        <v>0</v>
      </c>
      <c r="T127" s="13">
        <f t="shared" si="27"/>
        <v>0</v>
      </c>
      <c r="U127" s="13">
        <f t="shared" si="27"/>
        <v>0</v>
      </c>
      <c r="V127" s="13">
        <f t="shared" si="27"/>
        <v>0</v>
      </c>
      <c r="W127" s="13">
        <f t="shared" si="27"/>
        <v>1</v>
      </c>
      <c r="X127" s="13">
        <f t="shared" si="27"/>
        <v>0</v>
      </c>
      <c r="Y127" s="13">
        <f t="shared" si="27"/>
        <v>8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4.0</v>
      </c>
      <c r="F129" s="19">
        <v>5.0</v>
      </c>
      <c r="G129" s="19">
        <v>3.0</v>
      </c>
      <c r="H129" s="19">
        <v>2.0</v>
      </c>
      <c r="I129" s="19">
        <v>3.0</v>
      </c>
      <c r="J129" s="19">
        <v>0.0</v>
      </c>
      <c r="K129" s="19">
        <v>2.0</v>
      </c>
      <c r="L129" s="19">
        <v>5.0</v>
      </c>
      <c r="M129" s="19">
        <v>2.0</v>
      </c>
      <c r="N129" s="19">
        <v>2.0</v>
      </c>
      <c r="O129" s="19">
        <v>0.0</v>
      </c>
      <c r="P129" s="19">
        <v>0.0</v>
      </c>
      <c r="Q129" s="19">
        <v>3.0</v>
      </c>
      <c r="R129" s="19">
        <v>0.0</v>
      </c>
      <c r="S129" s="19">
        <v>2.0</v>
      </c>
      <c r="T129" s="19">
        <v>4.0</v>
      </c>
      <c r="U129" s="19">
        <v>1.0</v>
      </c>
      <c r="V129" s="19">
        <v>6.0</v>
      </c>
      <c r="W129" s="19">
        <v>1.0</v>
      </c>
      <c r="X129" s="19">
        <v>0.0</v>
      </c>
      <c r="Y129" s="13">
        <f t="shared" ref="Y129:Y138" si="28">SUM(E129:X129)</f>
        <v>45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3.0</v>
      </c>
      <c r="F130" s="19">
        <v>25.0</v>
      </c>
      <c r="G130" s="19">
        <v>2.0</v>
      </c>
      <c r="H130" s="19">
        <v>1.0</v>
      </c>
      <c r="I130" s="19">
        <v>2.0</v>
      </c>
      <c r="J130" s="19">
        <v>0.0</v>
      </c>
      <c r="K130" s="19">
        <v>1.0</v>
      </c>
      <c r="L130" s="19">
        <v>2.0</v>
      </c>
      <c r="M130" s="19">
        <v>2.0</v>
      </c>
      <c r="N130" s="19">
        <v>2.0</v>
      </c>
      <c r="O130" s="19">
        <v>6.0</v>
      </c>
      <c r="P130" s="19">
        <v>1.0</v>
      </c>
      <c r="Q130" s="19">
        <v>1.0</v>
      </c>
      <c r="R130" s="19">
        <v>0.0</v>
      </c>
      <c r="S130" s="19">
        <v>5.0</v>
      </c>
      <c r="T130" s="19">
        <v>1.0</v>
      </c>
      <c r="U130" s="19">
        <v>1.0</v>
      </c>
      <c r="V130" s="19">
        <v>7.0</v>
      </c>
      <c r="W130" s="19">
        <v>3.0</v>
      </c>
      <c r="X130" s="19">
        <v>2.0</v>
      </c>
      <c r="Y130" s="13">
        <f t="shared" si="28"/>
        <v>67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3.0</v>
      </c>
      <c r="F131" s="19">
        <v>6.0</v>
      </c>
      <c r="G131" s="19">
        <v>12.0</v>
      </c>
      <c r="H131" s="19">
        <v>3.0</v>
      </c>
      <c r="I131" s="19">
        <v>0.0</v>
      </c>
      <c r="J131" s="19">
        <v>0.0</v>
      </c>
      <c r="K131" s="19">
        <v>3.0</v>
      </c>
      <c r="L131" s="19">
        <v>1.0</v>
      </c>
      <c r="M131" s="19">
        <v>2.0</v>
      </c>
      <c r="N131" s="19">
        <v>0.0</v>
      </c>
      <c r="O131" s="19">
        <v>0.0</v>
      </c>
      <c r="P131" s="19">
        <v>0.0</v>
      </c>
      <c r="Q131" s="19">
        <v>2.0</v>
      </c>
      <c r="R131" s="19">
        <v>0.0</v>
      </c>
      <c r="S131" s="19">
        <v>1.0</v>
      </c>
      <c r="T131" s="19">
        <v>6.0</v>
      </c>
      <c r="U131" s="19">
        <v>3.0</v>
      </c>
      <c r="V131" s="19">
        <v>8.0</v>
      </c>
      <c r="W131" s="19">
        <v>5.0</v>
      </c>
      <c r="X131" s="19">
        <v>1.0</v>
      </c>
      <c r="Y131" s="13">
        <f t="shared" si="28"/>
        <v>56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1.0</v>
      </c>
      <c r="G132" s="19">
        <v>0.0</v>
      </c>
      <c r="H132" s="19">
        <v>0.0</v>
      </c>
      <c r="I132" s="19">
        <v>0.0</v>
      </c>
      <c r="J132" s="19">
        <v>0.0</v>
      </c>
      <c r="K132" s="19">
        <v>2.0</v>
      </c>
      <c r="L132" s="19">
        <v>0.0</v>
      </c>
      <c r="M132" s="19">
        <v>0.0</v>
      </c>
      <c r="N132" s="19">
        <v>1.0</v>
      </c>
      <c r="O132" s="19">
        <v>0.0</v>
      </c>
      <c r="P132" s="19">
        <v>0.0</v>
      </c>
      <c r="Q132" s="19">
        <v>0.0</v>
      </c>
      <c r="R132" s="19">
        <v>0.0</v>
      </c>
      <c r="S132" s="19">
        <v>2.0</v>
      </c>
      <c r="T132" s="19">
        <v>0.0</v>
      </c>
      <c r="U132" s="19">
        <v>0.0</v>
      </c>
      <c r="V132" s="19">
        <v>0.0</v>
      </c>
      <c r="W132" s="19">
        <v>2.0</v>
      </c>
      <c r="X132" s="19">
        <v>0.0</v>
      </c>
      <c r="Y132" s="13">
        <f t="shared" si="28"/>
        <v>8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2.0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1.0</v>
      </c>
      <c r="Q133" s="19">
        <v>0.0</v>
      </c>
      <c r="R133" s="19">
        <v>0.0</v>
      </c>
      <c r="S133" s="19">
        <v>0.0</v>
      </c>
      <c r="T133" s="19">
        <v>0.0</v>
      </c>
      <c r="U133" s="19">
        <v>1.0</v>
      </c>
      <c r="V133" s="19">
        <v>0.0</v>
      </c>
      <c r="W133" s="19">
        <v>0.0</v>
      </c>
      <c r="X133" s="19">
        <v>0.0</v>
      </c>
      <c r="Y133" s="13">
        <f t="shared" si="28"/>
        <v>4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1.0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3.0</v>
      </c>
      <c r="V134" s="19">
        <v>0.0</v>
      </c>
      <c r="W134" s="19">
        <v>1.0</v>
      </c>
      <c r="X134" s="19">
        <v>0.0</v>
      </c>
      <c r="Y134" s="13">
        <f t="shared" si="28"/>
        <v>5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1.0</v>
      </c>
      <c r="T135" s="19">
        <v>1.0</v>
      </c>
      <c r="U135" s="19">
        <v>0.0</v>
      </c>
      <c r="V135" s="19">
        <v>0.0</v>
      </c>
      <c r="W135" s="19">
        <v>3.0</v>
      </c>
      <c r="X135" s="19">
        <v>0.0</v>
      </c>
      <c r="Y135" s="13">
        <f t="shared" si="28"/>
        <v>5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1.0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2.0</v>
      </c>
      <c r="Y136" s="13">
        <f t="shared" si="28"/>
        <v>3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Y139" si="29">SUM(E129:E138)</f>
        <v>10</v>
      </c>
      <c r="F139" s="13">
        <f t="shared" si="29"/>
        <v>37</v>
      </c>
      <c r="G139" s="13">
        <f t="shared" si="29"/>
        <v>19</v>
      </c>
      <c r="H139" s="13">
        <f t="shared" si="29"/>
        <v>6</v>
      </c>
      <c r="I139" s="13">
        <f t="shared" si="29"/>
        <v>5</v>
      </c>
      <c r="J139" s="13">
        <f t="shared" si="29"/>
        <v>0</v>
      </c>
      <c r="K139" s="13">
        <f t="shared" si="29"/>
        <v>8</v>
      </c>
      <c r="L139" s="13">
        <f t="shared" si="29"/>
        <v>9</v>
      </c>
      <c r="M139" s="13">
        <f t="shared" si="29"/>
        <v>6</v>
      </c>
      <c r="N139" s="13">
        <f t="shared" si="29"/>
        <v>5</v>
      </c>
      <c r="O139" s="13">
        <f t="shared" si="29"/>
        <v>7</v>
      </c>
      <c r="P139" s="13">
        <f t="shared" si="29"/>
        <v>2</v>
      </c>
      <c r="Q139" s="13">
        <f t="shared" si="29"/>
        <v>6</v>
      </c>
      <c r="R139" s="13">
        <f t="shared" si="29"/>
        <v>0</v>
      </c>
      <c r="S139" s="13">
        <f t="shared" si="29"/>
        <v>11</v>
      </c>
      <c r="T139" s="13">
        <f t="shared" si="29"/>
        <v>12</v>
      </c>
      <c r="U139" s="13">
        <f t="shared" si="29"/>
        <v>9</v>
      </c>
      <c r="V139" s="13">
        <f t="shared" si="29"/>
        <v>21</v>
      </c>
      <c r="W139" s="13">
        <f t="shared" si="29"/>
        <v>15</v>
      </c>
      <c r="X139" s="13">
        <f t="shared" si="29"/>
        <v>5</v>
      </c>
      <c r="Y139" s="13">
        <f t="shared" si="29"/>
        <v>193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3">
        <f t="shared" ref="Y141:Y150" si="30">SUM(E141:X141)</f>
        <v>0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3">
        <f t="shared" si="30"/>
        <v>0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Y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13"/>
    </row>
    <row r="153" ht="12.75" customHeight="1">
      <c r="A153" s="30" t="s">
        <v>37</v>
      </c>
      <c r="B153" s="17" t="s">
        <v>113</v>
      </c>
      <c r="C153" s="64" t="s">
        <v>114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1.0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3">
        <f t="shared" ref="Y153:Y156" si="32">SUM(E154:X154)</f>
        <v>4</v>
      </c>
    </row>
    <row r="154" ht="12.75" customHeight="1">
      <c r="A154" s="65" t="s">
        <v>39</v>
      </c>
      <c r="B154" s="55">
        <v>1.0</v>
      </c>
      <c r="C154" s="66" t="s">
        <v>115</v>
      </c>
      <c r="D154" s="60"/>
      <c r="E154" s="80">
        <v>1.0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1.0</v>
      </c>
      <c r="S154" s="19">
        <v>0.0</v>
      </c>
      <c r="T154" s="19">
        <v>0.0</v>
      </c>
      <c r="U154" s="19">
        <v>1.0</v>
      </c>
      <c r="V154" s="19">
        <v>0.0</v>
      </c>
      <c r="W154" s="19">
        <v>0.0</v>
      </c>
      <c r="X154" s="19">
        <v>1.0</v>
      </c>
      <c r="Y154" s="13">
        <f t="shared" si="32"/>
        <v>1</v>
      </c>
    </row>
    <row r="155" ht="12.75" customHeight="1">
      <c r="A155" s="18"/>
      <c r="B155" s="55">
        <v>2.0</v>
      </c>
      <c r="C155" s="66" t="s">
        <v>116</v>
      </c>
      <c r="D155" s="60"/>
      <c r="E155" s="80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1.0</v>
      </c>
      <c r="W155" s="19">
        <v>0.0</v>
      </c>
      <c r="X155" s="19">
        <v>0.0</v>
      </c>
      <c r="Y155" s="13">
        <f t="shared" si="32"/>
        <v>1</v>
      </c>
    </row>
    <row r="156" ht="12.75" customHeight="1">
      <c r="A156" s="18"/>
      <c r="B156" s="55">
        <v>3.0</v>
      </c>
      <c r="C156" s="66" t="s">
        <v>117</v>
      </c>
      <c r="D156" s="60"/>
      <c r="E156" s="80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1.0</v>
      </c>
      <c r="Y156" s="13">
        <f t="shared" si="32"/>
        <v>0</v>
      </c>
    </row>
    <row r="157" ht="12.75" customHeight="1">
      <c r="A157" s="18"/>
      <c r="B157" s="55">
        <v>4.0</v>
      </c>
      <c r="C157" s="66" t="s">
        <v>118</v>
      </c>
      <c r="D157" s="60"/>
      <c r="E157" s="80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3">
        <f t="shared" ref="Y157:Y162" si="33">SUM(E163:X163)</f>
        <v>7</v>
      </c>
    </row>
    <row r="158" ht="12.75" customHeight="1">
      <c r="A158" s="18"/>
      <c r="B158" s="56"/>
      <c r="C158" s="57"/>
      <c r="D158" s="61"/>
      <c r="E158" s="80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3">
        <f t="shared" si="33"/>
        <v>0</v>
      </c>
    </row>
    <row r="159" ht="12.75" customHeight="1">
      <c r="A159" s="18"/>
      <c r="B159" s="56"/>
      <c r="C159" s="57"/>
      <c r="D159" s="61"/>
      <c r="E159" s="80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3">
        <f t="shared" si="33"/>
        <v>2</v>
      </c>
    </row>
    <row r="160" ht="12.75" customHeight="1">
      <c r="A160" s="18"/>
      <c r="B160" s="56"/>
      <c r="C160" s="57"/>
      <c r="D160" s="62"/>
      <c r="E160" s="80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3">
        <f t="shared" si="33"/>
        <v>1</v>
      </c>
    </row>
    <row r="161" ht="12.75" customHeight="1">
      <c r="A161" s="18"/>
      <c r="B161" s="56"/>
      <c r="C161" s="67"/>
      <c r="D161" s="62"/>
      <c r="E161" s="80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3">
        <f t="shared" si="33"/>
        <v>1</v>
      </c>
    </row>
    <row r="162" ht="12.75" customHeight="1">
      <c r="A162" s="18"/>
      <c r="B162" s="56"/>
      <c r="C162" s="67"/>
      <c r="D162" s="62"/>
      <c r="E162" s="80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3">
        <f t="shared" si="33"/>
        <v>0</v>
      </c>
    </row>
    <row r="163" ht="12.75" customHeight="1">
      <c r="A163" s="19" t="s">
        <v>15</v>
      </c>
      <c r="B163" s="68" t="s">
        <v>47</v>
      </c>
      <c r="C163" s="44"/>
      <c r="D163" s="28"/>
      <c r="E163" s="13">
        <f t="shared" ref="E163:Y163" si="34">SUM(E153:E162)</f>
        <v>1</v>
      </c>
      <c r="F163" s="13">
        <f t="shared" si="34"/>
        <v>0</v>
      </c>
      <c r="G163" s="13">
        <f t="shared" si="34"/>
        <v>0</v>
      </c>
      <c r="H163" s="13">
        <f t="shared" si="34"/>
        <v>0</v>
      </c>
      <c r="I163" s="13">
        <f t="shared" si="34"/>
        <v>0</v>
      </c>
      <c r="J163" s="13">
        <f t="shared" si="34"/>
        <v>0</v>
      </c>
      <c r="K163" s="13">
        <f t="shared" si="34"/>
        <v>0</v>
      </c>
      <c r="L163" s="13">
        <f t="shared" si="34"/>
        <v>0</v>
      </c>
      <c r="M163" s="13">
        <f t="shared" si="34"/>
        <v>0</v>
      </c>
      <c r="N163" s="13">
        <f t="shared" si="34"/>
        <v>0</v>
      </c>
      <c r="O163" s="13">
        <f t="shared" si="34"/>
        <v>0</v>
      </c>
      <c r="P163" s="13">
        <f t="shared" si="34"/>
        <v>0</v>
      </c>
      <c r="Q163" s="13">
        <f t="shared" si="34"/>
        <v>1</v>
      </c>
      <c r="R163" s="13">
        <f t="shared" si="34"/>
        <v>1</v>
      </c>
      <c r="S163" s="13">
        <f t="shared" si="34"/>
        <v>0</v>
      </c>
      <c r="T163" s="13">
        <f t="shared" si="34"/>
        <v>0</v>
      </c>
      <c r="U163" s="13">
        <f t="shared" si="34"/>
        <v>1</v>
      </c>
      <c r="V163" s="13">
        <f t="shared" si="34"/>
        <v>1</v>
      </c>
      <c r="W163" s="13">
        <f t="shared" si="34"/>
        <v>0</v>
      </c>
      <c r="X163" s="13">
        <f t="shared" si="34"/>
        <v>2</v>
      </c>
      <c r="Y163" s="13">
        <f t="shared" si="34"/>
        <v>17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1.0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1.0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3">
        <f t="shared" ref="Y165:Y174" si="35">SUM(E165:X165)</f>
        <v>2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1.0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3">
        <f t="shared" si="35"/>
        <v>1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1.0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3">
        <f t="shared" si="35"/>
        <v>1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3">
        <f t="shared" si="35"/>
        <v>0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3">
        <f t="shared" si="35"/>
        <v>0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1.0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3">
        <f t="shared" si="35"/>
        <v>1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3">
        <f t="shared" si="35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3">
        <f t="shared" si="35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3">
        <f t="shared" si="35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3">
        <f t="shared" si="35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Y175" si="36">SUM(E165:E174)</f>
        <v>0</v>
      </c>
      <c r="F175" s="13">
        <f t="shared" si="36"/>
        <v>0</v>
      </c>
      <c r="G175" s="13">
        <f t="shared" si="36"/>
        <v>0</v>
      </c>
      <c r="H175" s="13">
        <f t="shared" si="36"/>
        <v>0</v>
      </c>
      <c r="I175" s="13">
        <f t="shared" si="36"/>
        <v>0</v>
      </c>
      <c r="J175" s="13">
        <f t="shared" si="36"/>
        <v>0</v>
      </c>
      <c r="K175" s="13">
        <f t="shared" si="36"/>
        <v>1</v>
      </c>
      <c r="L175" s="13">
        <f t="shared" si="36"/>
        <v>1</v>
      </c>
      <c r="M175" s="13">
        <f t="shared" si="36"/>
        <v>0</v>
      </c>
      <c r="N175" s="13">
        <f t="shared" si="36"/>
        <v>0</v>
      </c>
      <c r="O175" s="13">
        <f t="shared" si="36"/>
        <v>0</v>
      </c>
      <c r="P175" s="13">
        <f t="shared" si="36"/>
        <v>0</v>
      </c>
      <c r="Q175" s="13">
        <f t="shared" si="36"/>
        <v>1</v>
      </c>
      <c r="R175" s="13">
        <f t="shared" si="36"/>
        <v>2</v>
      </c>
      <c r="S175" s="13">
        <f t="shared" si="36"/>
        <v>0</v>
      </c>
      <c r="T175" s="13">
        <f t="shared" si="36"/>
        <v>0</v>
      </c>
      <c r="U175" s="13">
        <f t="shared" si="36"/>
        <v>0</v>
      </c>
      <c r="V175" s="13">
        <f t="shared" si="36"/>
        <v>0</v>
      </c>
      <c r="W175" s="13">
        <f t="shared" si="36"/>
        <v>0</v>
      </c>
      <c r="X175" s="13">
        <f t="shared" si="36"/>
        <v>0</v>
      </c>
      <c r="Y175" s="13">
        <f t="shared" si="36"/>
        <v>5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1.0</v>
      </c>
      <c r="F177" s="19">
        <v>1.0</v>
      </c>
      <c r="G177" s="19">
        <v>1.0</v>
      </c>
      <c r="H177" s="19">
        <v>1.0</v>
      </c>
      <c r="I177" s="19">
        <v>1.0</v>
      </c>
      <c r="J177" s="19">
        <v>0.0</v>
      </c>
      <c r="K177" s="19">
        <v>1.0</v>
      </c>
      <c r="L177" s="19">
        <v>1.0</v>
      </c>
      <c r="M177" s="19">
        <v>0.0</v>
      </c>
      <c r="N177" s="19">
        <v>0.0</v>
      </c>
      <c r="O177" s="19">
        <v>1.0</v>
      </c>
      <c r="P177" s="19">
        <v>2.0</v>
      </c>
      <c r="Q177" s="19">
        <v>0.0</v>
      </c>
      <c r="R177" s="19">
        <v>0.0</v>
      </c>
      <c r="S177" s="19">
        <v>1.0</v>
      </c>
      <c r="T177" s="19">
        <v>2.0</v>
      </c>
      <c r="U177" s="19">
        <v>0.0</v>
      </c>
      <c r="V177" s="19">
        <v>1.0</v>
      </c>
      <c r="W177" s="19">
        <v>2.0</v>
      </c>
      <c r="X177" s="19">
        <v>1.0</v>
      </c>
      <c r="Y177" s="13">
        <f t="shared" ref="Y177:Y186" si="37">SUM(E177:X177)</f>
        <v>17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1.0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1.0</v>
      </c>
      <c r="M178" s="19">
        <v>1.0</v>
      </c>
      <c r="N178" s="19">
        <v>1.0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>
        <v>2.0</v>
      </c>
      <c r="U178" s="19">
        <v>0.0</v>
      </c>
      <c r="V178" s="19">
        <v>0.0</v>
      </c>
      <c r="W178" s="19">
        <v>2.0</v>
      </c>
      <c r="X178" s="19">
        <v>0.0</v>
      </c>
      <c r="Y178" s="13">
        <f t="shared" si="37"/>
        <v>8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0.0</v>
      </c>
      <c r="G179" s="19">
        <v>0.0</v>
      </c>
      <c r="H179" s="19">
        <v>0.0</v>
      </c>
      <c r="I179" s="19">
        <v>2.0</v>
      </c>
      <c r="J179" s="19">
        <v>0.0</v>
      </c>
      <c r="K179" s="19">
        <v>0.0</v>
      </c>
      <c r="L179" s="19">
        <v>1.0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1.0</v>
      </c>
      <c r="S179" s="19">
        <v>0.0</v>
      </c>
      <c r="T179" s="19">
        <v>2.0</v>
      </c>
      <c r="U179" s="19">
        <v>0.0</v>
      </c>
      <c r="V179" s="19">
        <v>2.0</v>
      </c>
      <c r="W179" s="19">
        <v>0.0</v>
      </c>
      <c r="X179" s="19">
        <v>2.0</v>
      </c>
      <c r="Y179" s="13">
        <f t="shared" si="37"/>
        <v>10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1.0</v>
      </c>
      <c r="P180" s="19">
        <v>0.0</v>
      </c>
      <c r="Q180" s="19">
        <v>0.0</v>
      </c>
      <c r="R180" s="19">
        <v>0.0</v>
      </c>
      <c r="S180" s="19">
        <v>0.0</v>
      </c>
      <c r="T180" s="19">
        <v>1.0</v>
      </c>
      <c r="U180" s="19">
        <v>0.0</v>
      </c>
      <c r="V180" s="19">
        <v>0.0</v>
      </c>
      <c r="W180" s="19">
        <v>0.0</v>
      </c>
      <c r="X180" s="19">
        <v>0.0</v>
      </c>
      <c r="Y180" s="13">
        <f t="shared" si="37"/>
        <v>2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1.0</v>
      </c>
      <c r="K181" s="19">
        <v>0.0</v>
      </c>
      <c r="L181" s="19">
        <v>0.0</v>
      </c>
      <c r="M181" s="19">
        <v>1.0</v>
      </c>
      <c r="N181" s="19">
        <v>0.0</v>
      </c>
      <c r="O181" s="19">
        <v>0.0</v>
      </c>
      <c r="P181" s="19">
        <v>1.0</v>
      </c>
      <c r="Q181" s="19">
        <v>0.0</v>
      </c>
      <c r="R181" s="19">
        <v>0.0</v>
      </c>
      <c r="S181" s="19">
        <v>2.0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3">
        <f t="shared" si="37"/>
        <v>5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1.0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1.0</v>
      </c>
      <c r="X182" s="19">
        <v>0.0</v>
      </c>
      <c r="Y182" s="13">
        <f t="shared" si="37"/>
        <v>2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1.0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3">
        <f t="shared" si="37"/>
        <v>1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1.0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1.0</v>
      </c>
      <c r="O184" s="19">
        <v>0.0</v>
      </c>
      <c r="P184" s="19">
        <v>1.0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2.0</v>
      </c>
      <c r="W184" s="19">
        <v>0.0</v>
      </c>
      <c r="X184" s="19">
        <v>0.0</v>
      </c>
      <c r="Y184" s="13">
        <f t="shared" si="37"/>
        <v>5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3">
        <f t="shared" si="37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3">
        <f t="shared" si="37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Y187" si="38">SUM(E177:E186)</f>
        <v>3</v>
      </c>
      <c r="F187" s="13">
        <f t="shared" si="38"/>
        <v>1</v>
      </c>
      <c r="G187" s="13">
        <f t="shared" si="38"/>
        <v>2</v>
      </c>
      <c r="H187" s="13">
        <f t="shared" si="38"/>
        <v>1</v>
      </c>
      <c r="I187" s="13">
        <f t="shared" si="38"/>
        <v>3</v>
      </c>
      <c r="J187" s="13">
        <f t="shared" si="38"/>
        <v>1</v>
      </c>
      <c r="K187" s="13">
        <f t="shared" si="38"/>
        <v>1</v>
      </c>
      <c r="L187" s="13">
        <f t="shared" si="38"/>
        <v>3</v>
      </c>
      <c r="M187" s="13">
        <f t="shared" si="38"/>
        <v>2</v>
      </c>
      <c r="N187" s="13">
        <f t="shared" si="38"/>
        <v>2</v>
      </c>
      <c r="O187" s="13">
        <f t="shared" si="38"/>
        <v>2</v>
      </c>
      <c r="P187" s="13">
        <f t="shared" si="38"/>
        <v>5</v>
      </c>
      <c r="Q187" s="13">
        <f t="shared" si="38"/>
        <v>0</v>
      </c>
      <c r="R187" s="13">
        <f t="shared" si="38"/>
        <v>1</v>
      </c>
      <c r="S187" s="13">
        <f t="shared" si="38"/>
        <v>3</v>
      </c>
      <c r="T187" s="13">
        <f t="shared" si="38"/>
        <v>7</v>
      </c>
      <c r="U187" s="13">
        <f t="shared" si="38"/>
        <v>0</v>
      </c>
      <c r="V187" s="13">
        <f t="shared" si="38"/>
        <v>5</v>
      </c>
      <c r="W187" s="13">
        <f t="shared" si="38"/>
        <v>5</v>
      </c>
      <c r="X187" s="13">
        <f t="shared" si="38"/>
        <v>3</v>
      </c>
      <c r="Y187" s="13">
        <f t="shared" si="38"/>
        <v>50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3.0</v>
      </c>
      <c r="W189" s="19">
        <v>0.0</v>
      </c>
      <c r="X189" s="19">
        <v>0.0</v>
      </c>
      <c r="Y189" s="13">
        <f t="shared" ref="Y189:Y198" si="39">SUM(E189:X189)</f>
        <v>3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1.0</v>
      </c>
      <c r="Q190" s="19">
        <v>0.0</v>
      </c>
      <c r="R190" s="19">
        <v>0.0</v>
      </c>
      <c r="S190" s="19">
        <v>1.0</v>
      </c>
      <c r="T190" s="19">
        <v>0.0</v>
      </c>
      <c r="U190" s="19">
        <v>0.0</v>
      </c>
      <c r="V190" s="19">
        <v>1.0</v>
      </c>
      <c r="W190" s="19">
        <v>0.0</v>
      </c>
      <c r="X190" s="19">
        <v>0.0</v>
      </c>
      <c r="Y190" s="13">
        <f t="shared" si="39"/>
        <v>3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1.0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1.0</v>
      </c>
      <c r="T191" s="19">
        <v>0.0</v>
      </c>
      <c r="U191" s="19">
        <v>0.0</v>
      </c>
      <c r="V191" s="19">
        <v>1.0</v>
      </c>
      <c r="W191" s="19">
        <v>0.0</v>
      </c>
      <c r="X191" s="19">
        <v>0.0</v>
      </c>
      <c r="Y191" s="13">
        <f t="shared" si="39"/>
        <v>3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3">
        <f t="shared" si="39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3">
        <f t="shared" si="39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1.0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3">
        <f t="shared" si="39"/>
        <v>1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3">
        <f t="shared" si="39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3">
        <f t="shared" si="39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3">
        <f t="shared" si="39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3">
        <f t="shared" si="39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Y199" si="40">SUM(E189:E198)</f>
        <v>1</v>
      </c>
      <c r="F199" s="13">
        <f t="shared" si="40"/>
        <v>0</v>
      </c>
      <c r="G199" s="13">
        <f t="shared" si="40"/>
        <v>0</v>
      </c>
      <c r="H199" s="13">
        <f t="shared" si="40"/>
        <v>0</v>
      </c>
      <c r="I199" s="13">
        <f t="shared" si="40"/>
        <v>0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1</v>
      </c>
      <c r="N199" s="13">
        <f t="shared" si="40"/>
        <v>0</v>
      </c>
      <c r="O199" s="13">
        <f t="shared" si="40"/>
        <v>0</v>
      </c>
      <c r="P199" s="13">
        <f t="shared" si="40"/>
        <v>1</v>
      </c>
      <c r="Q199" s="13">
        <f t="shared" si="40"/>
        <v>0</v>
      </c>
      <c r="R199" s="13">
        <f t="shared" si="40"/>
        <v>0</v>
      </c>
      <c r="S199" s="13">
        <f t="shared" si="40"/>
        <v>2</v>
      </c>
      <c r="T199" s="13">
        <f t="shared" si="40"/>
        <v>0</v>
      </c>
      <c r="U199" s="13">
        <f t="shared" si="40"/>
        <v>0</v>
      </c>
      <c r="V199" s="13">
        <f t="shared" si="40"/>
        <v>5</v>
      </c>
      <c r="W199" s="13">
        <f t="shared" si="40"/>
        <v>0</v>
      </c>
      <c r="X199" s="13">
        <f t="shared" si="40"/>
        <v>0</v>
      </c>
      <c r="Y199" s="13">
        <f t="shared" si="40"/>
        <v>10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11.0</v>
      </c>
      <c r="F201" s="19">
        <v>4.0</v>
      </c>
      <c r="G201" s="19">
        <v>6.0</v>
      </c>
      <c r="H201" s="19">
        <v>5.0</v>
      </c>
      <c r="I201" s="19">
        <v>3.0</v>
      </c>
      <c r="J201" s="19">
        <v>0.0</v>
      </c>
      <c r="K201" s="19">
        <v>3.0</v>
      </c>
      <c r="L201" s="19">
        <v>5.0</v>
      </c>
      <c r="M201" s="19">
        <v>3.0</v>
      </c>
      <c r="N201" s="19">
        <v>3.0</v>
      </c>
      <c r="O201" s="19">
        <v>5.0</v>
      </c>
      <c r="P201" s="19">
        <v>6.0</v>
      </c>
      <c r="Q201" s="19">
        <v>8.0</v>
      </c>
      <c r="R201" s="19">
        <v>8.0</v>
      </c>
      <c r="S201" s="19">
        <v>4.0</v>
      </c>
      <c r="T201" s="19">
        <v>6.0</v>
      </c>
      <c r="U201" s="19">
        <v>1.0</v>
      </c>
      <c r="V201" s="19">
        <v>5.0</v>
      </c>
      <c r="W201" s="19">
        <v>7.0</v>
      </c>
      <c r="X201" s="19">
        <v>17.0</v>
      </c>
      <c r="Y201" s="13">
        <f t="shared" ref="Y201:Y210" si="41">SUM(E201:X201)</f>
        <v>110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6.0</v>
      </c>
      <c r="F202" s="19">
        <v>5.0</v>
      </c>
      <c r="G202" s="19">
        <v>6.0</v>
      </c>
      <c r="H202" s="19">
        <v>2.0</v>
      </c>
      <c r="I202" s="19">
        <v>1.0</v>
      </c>
      <c r="J202" s="19">
        <v>1.0</v>
      </c>
      <c r="K202" s="19">
        <v>2.0</v>
      </c>
      <c r="L202" s="19">
        <v>11.0</v>
      </c>
      <c r="M202" s="19">
        <v>6.0</v>
      </c>
      <c r="N202" s="19">
        <v>6.0</v>
      </c>
      <c r="O202" s="19">
        <v>12.0</v>
      </c>
      <c r="P202" s="19">
        <v>3.0</v>
      </c>
      <c r="Q202" s="19">
        <v>11.0</v>
      </c>
      <c r="R202" s="19">
        <v>6.0</v>
      </c>
      <c r="S202" s="19">
        <v>8.0</v>
      </c>
      <c r="T202" s="19">
        <v>4.0</v>
      </c>
      <c r="U202" s="19">
        <v>10.0</v>
      </c>
      <c r="V202" s="19">
        <v>7.0</v>
      </c>
      <c r="W202" s="19">
        <v>9.0</v>
      </c>
      <c r="X202" s="19">
        <v>14.0</v>
      </c>
      <c r="Y202" s="13">
        <f t="shared" si="41"/>
        <v>130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4.0</v>
      </c>
      <c r="F203" s="19">
        <v>3.0</v>
      </c>
      <c r="G203" s="19">
        <v>2.0</v>
      </c>
      <c r="H203" s="19">
        <v>5.0</v>
      </c>
      <c r="I203" s="19">
        <v>1.0</v>
      </c>
      <c r="J203" s="19">
        <v>0.0</v>
      </c>
      <c r="K203" s="19">
        <v>5.0</v>
      </c>
      <c r="L203" s="19">
        <v>0.0</v>
      </c>
      <c r="M203" s="19">
        <v>8.0</v>
      </c>
      <c r="N203" s="19">
        <v>0.0</v>
      </c>
      <c r="O203" s="19">
        <v>1.0</v>
      </c>
      <c r="P203" s="19">
        <v>2.0</v>
      </c>
      <c r="Q203" s="19">
        <v>8.0</v>
      </c>
      <c r="R203" s="19">
        <v>0.0</v>
      </c>
      <c r="S203" s="19">
        <v>1.0</v>
      </c>
      <c r="T203" s="19">
        <v>3.0</v>
      </c>
      <c r="U203" s="19">
        <v>7.0</v>
      </c>
      <c r="V203" s="19">
        <v>4.0</v>
      </c>
      <c r="W203" s="19">
        <v>4.0</v>
      </c>
      <c r="X203" s="19">
        <v>3.0</v>
      </c>
      <c r="Y203" s="13">
        <f t="shared" si="41"/>
        <v>61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1.0</v>
      </c>
      <c r="F204" s="19">
        <v>0.0</v>
      </c>
      <c r="G204" s="19">
        <v>0.0</v>
      </c>
      <c r="H204" s="19">
        <v>4.0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1.0</v>
      </c>
      <c r="O204" s="19">
        <v>0.0</v>
      </c>
      <c r="P204" s="19">
        <v>1.0</v>
      </c>
      <c r="Q204" s="19">
        <v>1.0</v>
      </c>
      <c r="R204" s="19">
        <v>1.0</v>
      </c>
      <c r="S204" s="19">
        <v>0.0</v>
      </c>
      <c r="T204" s="19">
        <v>1.0</v>
      </c>
      <c r="U204" s="19">
        <v>1.0</v>
      </c>
      <c r="V204" s="19">
        <v>0.0</v>
      </c>
      <c r="W204" s="19">
        <v>0.0</v>
      </c>
      <c r="X204" s="19">
        <v>0.0</v>
      </c>
      <c r="Y204" s="13">
        <f t="shared" si="41"/>
        <v>11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1.0</v>
      </c>
      <c r="G205" s="19">
        <v>1.0</v>
      </c>
      <c r="H205" s="19">
        <v>0.0</v>
      </c>
      <c r="I205" s="19">
        <v>0.0</v>
      </c>
      <c r="J205" s="19">
        <v>0.0</v>
      </c>
      <c r="K205" s="19">
        <v>0.0</v>
      </c>
      <c r="L205" s="19">
        <v>2.0</v>
      </c>
      <c r="M205" s="19">
        <v>0.0</v>
      </c>
      <c r="N205" s="19">
        <v>0.0</v>
      </c>
      <c r="O205" s="19">
        <v>1.0</v>
      </c>
      <c r="P205" s="19">
        <v>0.0</v>
      </c>
      <c r="Q205" s="19">
        <v>1.0</v>
      </c>
      <c r="R205" s="19">
        <v>0.0</v>
      </c>
      <c r="S205" s="19">
        <v>0.0</v>
      </c>
      <c r="T205" s="19">
        <v>0.0</v>
      </c>
      <c r="U205" s="19">
        <v>1.0</v>
      </c>
      <c r="V205" s="19">
        <v>0.0</v>
      </c>
      <c r="W205" s="19">
        <v>1.0</v>
      </c>
      <c r="X205" s="19">
        <v>3.0</v>
      </c>
      <c r="Y205" s="13">
        <f t="shared" si="41"/>
        <v>11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1.0</v>
      </c>
      <c r="F206" s="19">
        <v>2.0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1.0</v>
      </c>
      <c r="N206" s="19">
        <v>0.0</v>
      </c>
      <c r="O206" s="19">
        <v>1.0</v>
      </c>
      <c r="P206" s="19">
        <v>0.0</v>
      </c>
      <c r="Q206" s="19">
        <v>2.0</v>
      </c>
      <c r="R206" s="19">
        <v>2.0</v>
      </c>
      <c r="S206" s="19">
        <v>0.0</v>
      </c>
      <c r="T206" s="19">
        <v>0.0</v>
      </c>
      <c r="U206" s="19">
        <v>1.0</v>
      </c>
      <c r="V206" s="19">
        <v>1.0</v>
      </c>
      <c r="W206" s="19">
        <v>0.0</v>
      </c>
      <c r="X206" s="19">
        <v>0.0</v>
      </c>
      <c r="Y206" s="13">
        <f t="shared" si="41"/>
        <v>11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2.0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1.0</v>
      </c>
      <c r="Y207" s="13">
        <f t="shared" si="41"/>
        <v>3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1.0</v>
      </c>
      <c r="M208" s="19">
        <v>1.0</v>
      </c>
      <c r="N208" s="19">
        <v>0.0</v>
      </c>
      <c r="O208" s="19">
        <v>2.0</v>
      </c>
      <c r="P208" s="19">
        <v>0.0</v>
      </c>
      <c r="Q208" s="19">
        <v>1.0</v>
      </c>
      <c r="R208" s="19">
        <v>2.0</v>
      </c>
      <c r="S208" s="19">
        <v>0.0</v>
      </c>
      <c r="T208" s="19">
        <v>2.0</v>
      </c>
      <c r="U208" s="19">
        <v>0.0</v>
      </c>
      <c r="V208" s="19">
        <v>0.0</v>
      </c>
      <c r="W208" s="19">
        <v>0.0</v>
      </c>
      <c r="X208" s="19">
        <v>1.0</v>
      </c>
      <c r="Y208" s="13">
        <f t="shared" si="41"/>
        <v>10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3">
        <f t="shared" si="41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3">
        <f t="shared" si="41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Y211" si="42">SUM(E201:E210)</f>
        <v>23</v>
      </c>
      <c r="F211" s="13">
        <f t="shared" si="42"/>
        <v>15</v>
      </c>
      <c r="G211" s="13">
        <f t="shared" si="42"/>
        <v>15</v>
      </c>
      <c r="H211" s="13">
        <f t="shared" si="42"/>
        <v>16</v>
      </c>
      <c r="I211" s="13">
        <f t="shared" si="42"/>
        <v>5</v>
      </c>
      <c r="J211" s="13">
        <f t="shared" si="42"/>
        <v>1</v>
      </c>
      <c r="K211" s="13">
        <f t="shared" si="42"/>
        <v>10</v>
      </c>
      <c r="L211" s="13">
        <f t="shared" si="42"/>
        <v>19</v>
      </c>
      <c r="M211" s="13">
        <f t="shared" si="42"/>
        <v>19</v>
      </c>
      <c r="N211" s="13">
        <f t="shared" si="42"/>
        <v>10</v>
      </c>
      <c r="O211" s="13">
        <f t="shared" si="42"/>
        <v>22</v>
      </c>
      <c r="P211" s="13">
        <f t="shared" si="42"/>
        <v>12</v>
      </c>
      <c r="Q211" s="13">
        <f t="shared" si="42"/>
        <v>34</v>
      </c>
      <c r="R211" s="13">
        <f t="shared" si="42"/>
        <v>19</v>
      </c>
      <c r="S211" s="13">
        <f t="shared" si="42"/>
        <v>13</v>
      </c>
      <c r="T211" s="13">
        <f t="shared" si="42"/>
        <v>16</v>
      </c>
      <c r="U211" s="13">
        <f t="shared" si="42"/>
        <v>21</v>
      </c>
      <c r="V211" s="13">
        <f t="shared" si="42"/>
        <v>17</v>
      </c>
      <c r="W211" s="13">
        <f t="shared" si="42"/>
        <v>21</v>
      </c>
      <c r="X211" s="13">
        <f t="shared" si="42"/>
        <v>39</v>
      </c>
      <c r="Y211" s="13">
        <f t="shared" si="42"/>
        <v>347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8.0</v>
      </c>
      <c r="F213" s="19">
        <v>3.0</v>
      </c>
      <c r="G213" s="19">
        <v>5.0</v>
      </c>
      <c r="H213" s="19">
        <v>1.0</v>
      </c>
      <c r="I213" s="19">
        <v>1.0</v>
      </c>
      <c r="J213" s="19">
        <v>0.0</v>
      </c>
      <c r="K213" s="19">
        <v>1.0</v>
      </c>
      <c r="L213" s="19">
        <v>3.0</v>
      </c>
      <c r="M213" s="19">
        <v>1.0</v>
      </c>
      <c r="N213" s="19">
        <v>0.0</v>
      </c>
      <c r="O213" s="19">
        <v>0.0</v>
      </c>
      <c r="P213" s="19">
        <v>0.0</v>
      </c>
      <c r="Q213" s="19">
        <v>2.0</v>
      </c>
      <c r="R213" s="19">
        <v>2.0</v>
      </c>
      <c r="S213" s="19">
        <v>8.0</v>
      </c>
      <c r="T213" s="19">
        <v>2.0</v>
      </c>
      <c r="U213" s="19">
        <v>5.0</v>
      </c>
      <c r="V213" s="19">
        <v>5.0</v>
      </c>
      <c r="W213" s="19">
        <v>1.0</v>
      </c>
      <c r="X213" s="19">
        <v>1.0</v>
      </c>
      <c r="Y213" s="13">
        <f t="shared" ref="Y213:Y222" si="43">SUM(E213:X213)</f>
        <v>49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32.0</v>
      </c>
      <c r="F214" s="19">
        <v>30.0</v>
      </c>
      <c r="G214" s="19">
        <v>23.0</v>
      </c>
      <c r="H214" s="19">
        <v>2.0</v>
      </c>
      <c r="I214" s="19">
        <v>2.0</v>
      </c>
      <c r="J214" s="19">
        <v>1.0</v>
      </c>
      <c r="K214" s="19">
        <v>2.0</v>
      </c>
      <c r="L214" s="19">
        <v>5.0</v>
      </c>
      <c r="M214" s="19">
        <v>1.0</v>
      </c>
      <c r="N214" s="19">
        <v>1.0</v>
      </c>
      <c r="O214" s="19">
        <v>2.0</v>
      </c>
      <c r="P214" s="19">
        <v>0.0</v>
      </c>
      <c r="Q214" s="19">
        <v>8.0</v>
      </c>
      <c r="R214" s="19">
        <v>4.0</v>
      </c>
      <c r="S214" s="19">
        <v>1.0</v>
      </c>
      <c r="T214" s="19">
        <v>3.0</v>
      </c>
      <c r="U214" s="19">
        <v>1.0</v>
      </c>
      <c r="V214" s="19">
        <v>0.0</v>
      </c>
      <c r="W214" s="19">
        <v>1.0</v>
      </c>
      <c r="X214" s="19">
        <v>2.0</v>
      </c>
      <c r="Y214" s="13">
        <f t="shared" si="43"/>
        <v>121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2.0</v>
      </c>
      <c r="F215" s="19">
        <v>2.0</v>
      </c>
      <c r="G215" s="19">
        <v>2.0</v>
      </c>
      <c r="H215" s="19">
        <v>3.0</v>
      </c>
      <c r="I215" s="19">
        <v>5.0</v>
      </c>
      <c r="J215" s="19">
        <v>5.0</v>
      </c>
      <c r="K215" s="19">
        <v>6.0</v>
      </c>
      <c r="L215" s="19">
        <v>1.0</v>
      </c>
      <c r="M215" s="19">
        <v>4.0</v>
      </c>
      <c r="N215" s="19">
        <v>1.0</v>
      </c>
      <c r="O215" s="19">
        <v>2.0</v>
      </c>
      <c r="P215" s="19">
        <v>2.0</v>
      </c>
      <c r="Q215" s="19">
        <v>1.0</v>
      </c>
      <c r="R215" s="19">
        <v>3.0</v>
      </c>
      <c r="S215" s="19">
        <v>18.0</v>
      </c>
      <c r="T215" s="19">
        <v>0.0</v>
      </c>
      <c r="U215" s="19">
        <v>3.0</v>
      </c>
      <c r="V215" s="19">
        <v>3.0</v>
      </c>
      <c r="W215" s="19">
        <v>0.0</v>
      </c>
      <c r="X215" s="19">
        <v>9.0</v>
      </c>
      <c r="Y215" s="13">
        <f t="shared" si="43"/>
        <v>72</v>
      </c>
    </row>
    <row r="216" ht="12.75" customHeight="1">
      <c r="A216" s="18"/>
      <c r="B216" s="55">
        <v>3.0</v>
      </c>
      <c r="C216" s="69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1.0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2.0</v>
      </c>
      <c r="S216" s="19">
        <v>0.0</v>
      </c>
      <c r="T216" s="19">
        <v>1.0</v>
      </c>
      <c r="U216" s="19">
        <v>0.0</v>
      </c>
      <c r="V216" s="19">
        <v>2.0</v>
      </c>
      <c r="W216" s="19">
        <v>0.0</v>
      </c>
      <c r="X216" s="19">
        <v>0.0</v>
      </c>
      <c r="Y216" s="13">
        <f t="shared" si="43"/>
        <v>6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1.0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1.0</v>
      </c>
      <c r="W217" s="19">
        <v>0.0</v>
      </c>
      <c r="X217" s="19">
        <v>0.0</v>
      </c>
      <c r="Y217" s="13">
        <f t="shared" si="43"/>
        <v>2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1.0</v>
      </c>
      <c r="F218" s="19">
        <v>1.0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1.0</v>
      </c>
      <c r="M218" s="19">
        <v>0.0</v>
      </c>
      <c r="N218" s="19">
        <v>0.0</v>
      </c>
      <c r="O218" s="19">
        <v>0.0</v>
      </c>
      <c r="P218" s="19">
        <v>0.0</v>
      </c>
      <c r="Q218" s="19">
        <v>1.0</v>
      </c>
      <c r="R218" s="19">
        <v>0.0</v>
      </c>
      <c r="S218" s="19">
        <v>1.0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3">
        <f t="shared" si="43"/>
        <v>5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1.0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1.0</v>
      </c>
      <c r="M219" s="19">
        <v>2.0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1.0</v>
      </c>
      <c r="X219" s="19">
        <v>0.0</v>
      </c>
      <c r="Y219" s="13">
        <f t="shared" si="43"/>
        <v>5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1.0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3">
        <f t="shared" si="43"/>
        <v>1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3">
        <f t="shared" si="43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3">
        <f t="shared" si="43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Y223" si="44">SUM(E213:E222)</f>
        <v>44</v>
      </c>
      <c r="F223" s="13">
        <f t="shared" si="44"/>
        <v>36</v>
      </c>
      <c r="G223" s="13">
        <f t="shared" si="44"/>
        <v>30</v>
      </c>
      <c r="H223" s="13">
        <f t="shared" si="44"/>
        <v>6</v>
      </c>
      <c r="I223" s="13">
        <f t="shared" si="44"/>
        <v>8</v>
      </c>
      <c r="J223" s="13">
        <f t="shared" si="44"/>
        <v>6</v>
      </c>
      <c r="K223" s="13">
        <f t="shared" si="44"/>
        <v>10</v>
      </c>
      <c r="L223" s="13">
        <f t="shared" si="44"/>
        <v>11</v>
      </c>
      <c r="M223" s="13">
        <f t="shared" si="44"/>
        <v>8</v>
      </c>
      <c r="N223" s="13">
        <f t="shared" si="44"/>
        <v>2</v>
      </c>
      <c r="O223" s="13">
        <f t="shared" si="44"/>
        <v>5</v>
      </c>
      <c r="P223" s="13">
        <f t="shared" si="44"/>
        <v>2</v>
      </c>
      <c r="Q223" s="13">
        <f t="shared" si="44"/>
        <v>12</v>
      </c>
      <c r="R223" s="13">
        <f t="shared" si="44"/>
        <v>11</v>
      </c>
      <c r="S223" s="13">
        <f t="shared" si="44"/>
        <v>29</v>
      </c>
      <c r="T223" s="13">
        <f t="shared" si="44"/>
        <v>6</v>
      </c>
      <c r="U223" s="13">
        <f t="shared" si="44"/>
        <v>9</v>
      </c>
      <c r="V223" s="13">
        <f t="shared" si="44"/>
        <v>11</v>
      </c>
      <c r="W223" s="13">
        <f t="shared" si="44"/>
        <v>3</v>
      </c>
      <c r="X223" s="13">
        <f t="shared" si="44"/>
        <v>12</v>
      </c>
      <c r="Y223" s="13">
        <f t="shared" si="44"/>
        <v>261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2.0</v>
      </c>
      <c r="R225" s="19">
        <v>0.0</v>
      </c>
      <c r="S225" s="19">
        <v>0.0</v>
      </c>
      <c r="T225" s="19">
        <v>2.0</v>
      </c>
      <c r="U225" s="19">
        <v>2.0</v>
      </c>
      <c r="V225" s="19">
        <v>0.0</v>
      </c>
      <c r="W225" s="19">
        <v>2.0</v>
      </c>
      <c r="X225" s="19">
        <v>0.0</v>
      </c>
      <c r="Y225" s="13">
        <f t="shared" ref="Y225:Y234" si="45">SUM(E225:X225)</f>
        <v>8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12.0</v>
      </c>
      <c r="H226" s="19">
        <v>1.0</v>
      </c>
      <c r="I226" s="19">
        <v>0.0</v>
      </c>
      <c r="J226" s="19">
        <v>2.0</v>
      </c>
      <c r="K226" s="19">
        <v>0.0</v>
      </c>
      <c r="L226" s="19">
        <v>1.0</v>
      </c>
      <c r="M226" s="19">
        <v>1.0</v>
      </c>
      <c r="N226" s="19">
        <v>0.0</v>
      </c>
      <c r="O226" s="19">
        <v>1.0</v>
      </c>
      <c r="P226" s="19">
        <v>0.0</v>
      </c>
      <c r="Q226" s="19">
        <v>4.0</v>
      </c>
      <c r="R226" s="19">
        <v>0.0</v>
      </c>
      <c r="S226" s="19">
        <v>6.0</v>
      </c>
      <c r="T226" s="19">
        <v>2.0</v>
      </c>
      <c r="U226" s="19">
        <v>0.0</v>
      </c>
      <c r="V226" s="19">
        <v>0.0</v>
      </c>
      <c r="W226" s="19">
        <v>0.0</v>
      </c>
      <c r="X226" s="19">
        <v>1.0</v>
      </c>
      <c r="Y226" s="13">
        <f t="shared" si="45"/>
        <v>31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1.0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1.0</v>
      </c>
      <c r="T227" s="19">
        <v>0.0</v>
      </c>
      <c r="U227" s="19">
        <v>0.0</v>
      </c>
      <c r="V227" s="19">
        <v>0.0</v>
      </c>
      <c r="W227" s="19">
        <v>1.0</v>
      </c>
      <c r="X227" s="19">
        <v>0.0</v>
      </c>
      <c r="Y227" s="13">
        <f t="shared" si="45"/>
        <v>3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3">
        <f t="shared" si="45"/>
        <v>0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3">
        <f t="shared" si="45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1.0</v>
      </c>
      <c r="M230" s="19">
        <v>1.0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3">
        <f t="shared" si="45"/>
        <v>2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3">
        <f t="shared" si="45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1.0</v>
      </c>
      <c r="M232" s="19">
        <v>0.0</v>
      </c>
      <c r="N232" s="19">
        <v>1.0</v>
      </c>
      <c r="O232" s="19">
        <v>0.0</v>
      </c>
      <c r="P232" s="19">
        <v>2.0</v>
      </c>
      <c r="Q232" s="19">
        <v>1.0</v>
      </c>
      <c r="R232" s="19">
        <v>1.0</v>
      </c>
      <c r="S232" s="19">
        <v>0.0</v>
      </c>
      <c r="T232" s="19">
        <v>0.0</v>
      </c>
      <c r="U232" s="19">
        <v>0.0</v>
      </c>
      <c r="V232" s="19">
        <v>0.0</v>
      </c>
      <c r="W232" s="19">
        <v>1.0</v>
      </c>
      <c r="X232" s="19">
        <v>1.0</v>
      </c>
      <c r="Y232" s="13">
        <f t="shared" si="45"/>
        <v>8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3">
        <f t="shared" si="45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3">
        <f t="shared" si="45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Y235" si="46">SUM(E225:E234)</f>
        <v>0</v>
      </c>
      <c r="F235" s="13">
        <f t="shared" si="46"/>
        <v>0</v>
      </c>
      <c r="G235" s="13">
        <f t="shared" si="46"/>
        <v>12</v>
      </c>
      <c r="H235" s="13">
        <f t="shared" si="46"/>
        <v>1</v>
      </c>
      <c r="I235" s="13">
        <f t="shared" si="46"/>
        <v>0</v>
      </c>
      <c r="J235" s="13">
        <f t="shared" si="46"/>
        <v>2</v>
      </c>
      <c r="K235" s="13">
        <f t="shared" si="46"/>
        <v>1</v>
      </c>
      <c r="L235" s="13">
        <f t="shared" si="46"/>
        <v>3</v>
      </c>
      <c r="M235" s="13">
        <f t="shared" si="46"/>
        <v>2</v>
      </c>
      <c r="N235" s="13">
        <f t="shared" si="46"/>
        <v>1</v>
      </c>
      <c r="O235" s="13">
        <f t="shared" si="46"/>
        <v>1</v>
      </c>
      <c r="P235" s="13">
        <f t="shared" si="46"/>
        <v>2</v>
      </c>
      <c r="Q235" s="13">
        <f t="shared" si="46"/>
        <v>7</v>
      </c>
      <c r="R235" s="13">
        <f t="shared" si="46"/>
        <v>1</v>
      </c>
      <c r="S235" s="13">
        <f t="shared" si="46"/>
        <v>7</v>
      </c>
      <c r="T235" s="13">
        <f t="shared" si="46"/>
        <v>4</v>
      </c>
      <c r="U235" s="13">
        <f t="shared" si="46"/>
        <v>2</v>
      </c>
      <c r="V235" s="13">
        <f t="shared" si="46"/>
        <v>0</v>
      </c>
      <c r="W235" s="13">
        <f t="shared" si="46"/>
        <v>4</v>
      </c>
      <c r="X235" s="13">
        <f t="shared" si="46"/>
        <v>2</v>
      </c>
      <c r="Y235" s="13">
        <f t="shared" si="46"/>
        <v>52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0.0</v>
      </c>
      <c r="H237" s="19">
        <v>1.0</v>
      </c>
      <c r="I237" s="19">
        <v>1.0</v>
      </c>
      <c r="J237" s="19">
        <v>3.0</v>
      </c>
      <c r="K237" s="19">
        <v>3.0</v>
      </c>
      <c r="L237" s="19">
        <v>1.0</v>
      </c>
      <c r="M237" s="19">
        <v>0.0</v>
      </c>
      <c r="N237" s="19">
        <v>0.0</v>
      </c>
      <c r="O237" s="19">
        <v>0.0</v>
      </c>
      <c r="P237" s="19">
        <v>2.0</v>
      </c>
      <c r="Q237" s="19">
        <v>0.0</v>
      </c>
      <c r="R237" s="19">
        <v>0.0</v>
      </c>
      <c r="S237" s="19">
        <v>1.0</v>
      </c>
      <c r="T237" s="19">
        <v>1.0</v>
      </c>
      <c r="U237" s="19">
        <v>2.0</v>
      </c>
      <c r="V237" s="19">
        <v>2.0</v>
      </c>
      <c r="W237" s="19">
        <v>3.0</v>
      </c>
      <c r="X237" s="19">
        <v>1.0</v>
      </c>
      <c r="Y237" s="13">
        <f t="shared" ref="Y237:Y246" si="47">SUM(E237:X237)</f>
        <v>21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1.0</v>
      </c>
      <c r="F238" s="19">
        <v>0.0</v>
      </c>
      <c r="G238" s="19">
        <v>3.0</v>
      </c>
      <c r="H238" s="19">
        <v>0.0</v>
      </c>
      <c r="I238" s="19">
        <v>2.0</v>
      </c>
      <c r="J238" s="19">
        <v>4.0</v>
      </c>
      <c r="K238" s="19">
        <v>1.0</v>
      </c>
      <c r="L238" s="19">
        <v>0.0</v>
      </c>
      <c r="M238" s="19">
        <v>0.0</v>
      </c>
      <c r="N238" s="19">
        <v>0.0</v>
      </c>
      <c r="O238" s="19">
        <v>1.0</v>
      </c>
      <c r="P238" s="19">
        <v>0.0</v>
      </c>
      <c r="Q238" s="19">
        <v>0.0</v>
      </c>
      <c r="R238" s="19">
        <v>0.0</v>
      </c>
      <c r="S238" s="19">
        <v>0.0</v>
      </c>
      <c r="T238" s="19">
        <v>0.0</v>
      </c>
      <c r="U238" s="19">
        <v>1.0</v>
      </c>
      <c r="V238" s="19">
        <v>2.0</v>
      </c>
      <c r="W238" s="19">
        <v>0.0</v>
      </c>
      <c r="X238" s="19">
        <v>1.0</v>
      </c>
      <c r="Y238" s="13">
        <f t="shared" si="47"/>
        <v>16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28.0</v>
      </c>
      <c r="F239" s="19">
        <v>2.0</v>
      </c>
      <c r="G239" s="19">
        <v>13.0</v>
      </c>
      <c r="H239" s="19">
        <v>5.0</v>
      </c>
      <c r="I239" s="19">
        <v>3.0</v>
      </c>
      <c r="J239" s="19">
        <v>2.0</v>
      </c>
      <c r="K239" s="19">
        <v>6.0</v>
      </c>
      <c r="L239" s="19">
        <v>0.0</v>
      </c>
      <c r="M239" s="19">
        <v>1.0</v>
      </c>
      <c r="N239" s="19">
        <v>3.0</v>
      </c>
      <c r="O239" s="19">
        <v>0.0</v>
      </c>
      <c r="P239" s="19">
        <v>0.0</v>
      </c>
      <c r="Q239" s="19">
        <v>3.0</v>
      </c>
      <c r="R239" s="19">
        <v>7.0</v>
      </c>
      <c r="S239" s="19">
        <v>1.0</v>
      </c>
      <c r="T239" s="19">
        <v>2.0</v>
      </c>
      <c r="U239" s="19">
        <v>2.0</v>
      </c>
      <c r="V239" s="19">
        <v>2.0</v>
      </c>
      <c r="W239" s="19">
        <v>0.0</v>
      </c>
      <c r="X239" s="19">
        <v>1.0</v>
      </c>
      <c r="Y239" s="13">
        <f t="shared" si="47"/>
        <v>81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2.0</v>
      </c>
      <c r="J240" s="19">
        <v>0.0</v>
      </c>
      <c r="K240" s="19">
        <v>2.0</v>
      </c>
      <c r="L240" s="19">
        <v>0.0</v>
      </c>
      <c r="M240" s="19">
        <v>0.0</v>
      </c>
      <c r="N240" s="19">
        <v>0.0</v>
      </c>
      <c r="O240" s="19">
        <v>0.0</v>
      </c>
      <c r="P240" s="19">
        <v>1.0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1.0</v>
      </c>
      <c r="Y240" s="13">
        <f t="shared" si="47"/>
        <v>6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2.0</v>
      </c>
      <c r="F241" s="19">
        <v>0.0</v>
      </c>
      <c r="G241" s="19">
        <v>1.0</v>
      </c>
      <c r="H241" s="19">
        <v>0.0</v>
      </c>
      <c r="I241" s="19">
        <v>1.0</v>
      </c>
      <c r="J241" s="19">
        <v>1.0</v>
      </c>
      <c r="K241" s="19">
        <v>2.0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2.0</v>
      </c>
      <c r="T241" s="19">
        <v>2.0</v>
      </c>
      <c r="U241" s="19">
        <v>0.0</v>
      </c>
      <c r="V241" s="19">
        <v>1.0</v>
      </c>
      <c r="W241" s="19">
        <v>0.0</v>
      </c>
      <c r="X241" s="19">
        <v>2.0</v>
      </c>
      <c r="Y241" s="13">
        <f t="shared" si="47"/>
        <v>14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1.0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1.0</v>
      </c>
      <c r="T242" s="19">
        <v>0.0</v>
      </c>
      <c r="U242" s="19">
        <v>0.0</v>
      </c>
      <c r="V242" s="19">
        <v>0.0</v>
      </c>
      <c r="W242" s="19">
        <v>0.0</v>
      </c>
      <c r="X242" s="19">
        <v>1.0</v>
      </c>
      <c r="Y242" s="13">
        <f t="shared" si="47"/>
        <v>3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1.0</v>
      </c>
      <c r="G243" s="19">
        <v>0.0</v>
      </c>
      <c r="H243" s="19">
        <v>0.0</v>
      </c>
      <c r="I243" s="19">
        <v>0.0</v>
      </c>
      <c r="J243" s="19">
        <v>1.0</v>
      </c>
      <c r="K243" s="19">
        <v>1.0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3">
        <f t="shared" si="47"/>
        <v>3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0.0</v>
      </c>
      <c r="G244" s="19">
        <v>0.0</v>
      </c>
      <c r="H244" s="19">
        <v>4.0</v>
      </c>
      <c r="I244" s="19">
        <v>5.0</v>
      </c>
      <c r="J244" s="19">
        <v>2.0</v>
      </c>
      <c r="K244" s="19">
        <v>3.0</v>
      </c>
      <c r="L244" s="19">
        <v>0.0</v>
      </c>
      <c r="M244" s="19">
        <v>1.0</v>
      </c>
      <c r="N244" s="19">
        <v>0.0</v>
      </c>
      <c r="O244" s="19">
        <v>1.0</v>
      </c>
      <c r="P244" s="19">
        <v>0.0</v>
      </c>
      <c r="Q244" s="19">
        <v>0.0</v>
      </c>
      <c r="R244" s="19">
        <v>0.0</v>
      </c>
      <c r="S244" s="19">
        <v>1.0</v>
      </c>
      <c r="T244" s="19">
        <v>0.0</v>
      </c>
      <c r="U244" s="19">
        <v>0.0</v>
      </c>
      <c r="V244" s="19">
        <v>0.0</v>
      </c>
      <c r="W244" s="19">
        <v>1.0</v>
      </c>
      <c r="X244" s="19">
        <v>2.0</v>
      </c>
      <c r="Y244" s="13">
        <f t="shared" si="47"/>
        <v>20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3">
        <f t="shared" si="47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3">
        <f t="shared" si="47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Y247" si="48">SUM(E237:E246)</f>
        <v>32</v>
      </c>
      <c r="F247" s="13">
        <f t="shared" si="48"/>
        <v>3</v>
      </c>
      <c r="G247" s="13">
        <f t="shared" si="48"/>
        <v>17</v>
      </c>
      <c r="H247" s="13">
        <f t="shared" si="48"/>
        <v>10</v>
      </c>
      <c r="I247" s="13">
        <f t="shared" si="48"/>
        <v>14</v>
      </c>
      <c r="J247" s="13">
        <f t="shared" si="48"/>
        <v>13</v>
      </c>
      <c r="K247" s="13">
        <f t="shared" si="48"/>
        <v>18</v>
      </c>
      <c r="L247" s="13">
        <f t="shared" si="48"/>
        <v>1</v>
      </c>
      <c r="M247" s="13">
        <f t="shared" si="48"/>
        <v>2</v>
      </c>
      <c r="N247" s="13">
        <f t="shared" si="48"/>
        <v>3</v>
      </c>
      <c r="O247" s="13">
        <f t="shared" si="48"/>
        <v>2</v>
      </c>
      <c r="P247" s="13">
        <f t="shared" si="48"/>
        <v>3</v>
      </c>
      <c r="Q247" s="13">
        <f t="shared" si="48"/>
        <v>3</v>
      </c>
      <c r="R247" s="13">
        <f t="shared" si="48"/>
        <v>7</v>
      </c>
      <c r="S247" s="13">
        <f t="shared" si="48"/>
        <v>6</v>
      </c>
      <c r="T247" s="13">
        <f t="shared" si="48"/>
        <v>5</v>
      </c>
      <c r="U247" s="13">
        <f t="shared" si="48"/>
        <v>5</v>
      </c>
      <c r="V247" s="13">
        <f t="shared" si="48"/>
        <v>7</v>
      </c>
      <c r="W247" s="13">
        <f t="shared" si="48"/>
        <v>4</v>
      </c>
      <c r="X247" s="13">
        <f t="shared" si="48"/>
        <v>9</v>
      </c>
      <c r="Y247" s="13">
        <f t="shared" si="48"/>
        <v>164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2.0</v>
      </c>
      <c r="M249" s="19">
        <v>0.0</v>
      </c>
      <c r="N249" s="19">
        <v>0.0</v>
      </c>
      <c r="O249" s="19">
        <v>1.0</v>
      </c>
      <c r="P249" s="19">
        <v>2.0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3">
        <f t="shared" ref="Y249:Y258" si="49">SUM(E249:X249)</f>
        <v>5</v>
      </c>
    </row>
    <row r="250" ht="12.75" customHeight="1">
      <c r="A250" s="30" t="s">
        <v>39</v>
      </c>
      <c r="B250" s="55">
        <v>1.0</v>
      </c>
      <c r="C250" s="66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3">
        <f t="shared" si="49"/>
        <v>0</v>
      </c>
    </row>
    <row r="251" ht="12.75" customHeight="1">
      <c r="A251" s="18"/>
      <c r="B251" s="55">
        <v>2.0</v>
      </c>
      <c r="C251" s="66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1.0</v>
      </c>
      <c r="P251" s="19">
        <v>0.0</v>
      </c>
      <c r="Q251" s="19">
        <v>3.0</v>
      </c>
      <c r="R251" s="19">
        <v>0.0</v>
      </c>
      <c r="S251" s="19">
        <v>1.0</v>
      </c>
      <c r="T251" s="19">
        <v>1.0</v>
      </c>
      <c r="U251" s="19">
        <v>0.0</v>
      </c>
      <c r="V251" s="19">
        <v>0.0</v>
      </c>
      <c r="W251" s="19">
        <v>1.0</v>
      </c>
      <c r="X251" s="19">
        <v>0.0</v>
      </c>
      <c r="Y251" s="13">
        <f t="shared" si="49"/>
        <v>7</v>
      </c>
    </row>
    <row r="252" ht="12.75" customHeight="1">
      <c r="A252" s="18"/>
      <c r="B252" s="55">
        <v>3.0</v>
      </c>
      <c r="C252" s="66" t="s">
        <v>186</v>
      </c>
      <c r="D252" s="60"/>
      <c r="E252" s="19">
        <v>0.0</v>
      </c>
      <c r="F252" s="19">
        <v>0.0</v>
      </c>
      <c r="G252" s="19">
        <v>0.0</v>
      </c>
      <c r="H252" s="19">
        <v>1.0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3">
        <f t="shared" si="49"/>
        <v>1</v>
      </c>
    </row>
    <row r="253" ht="12.75" customHeight="1">
      <c r="A253" s="18"/>
      <c r="B253" s="55">
        <v>4.0</v>
      </c>
      <c r="C253" s="66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3">
        <f t="shared" si="49"/>
        <v>0</v>
      </c>
    </row>
    <row r="254" ht="12.75" customHeight="1">
      <c r="A254" s="18"/>
      <c r="B254" s="55">
        <v>5.0</v>
      </c>
      <c r="C254" s="66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3">
        <f t="shared" si="49"/>
        <v>0</v>
      </c>
    </row>
    <row r="255" ht="12.75" customHeight="1">
      <c r="A255" s="18"/>
      <c r="B255" s="55">
        <v>6.0</v>
      </c>
      <c r="C255" s="66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1.0</v>
      </c>
      <c r="Y255" s="13">
        <f t="shared" si="49"/>
        <v>1</v>
      </c>
    </row>
    <row r="256" ht="12.75" customHeight="1">
      <c r="A256" s="18"/>
      <c r="B256" s="56"/>
      <c r="C256" s="67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3">
        <f t="shared" si="49"/>
        <v>0</v>
      </c>
    </row>
    <row r="257" ht="12.75" customHeight="1">
      <c r="A257" s="18"/>
      <c r="B257" s="56"/>
      <c r="C257" s="67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3">
        <f t="shared" si="49"/>
        <v>0</v>
      </c>
    </row>
    <row r="258" ht="12.75" customHeight="1">
      <c r="A258" s="18"/>
      <c r="B258" s="56"/>
      <c r="C258" s="67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3">
        <f t="shared" si="49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Y259" si="50">SUM(E249:E258)</f>
        <v>0</v>
      </c>
      <c r="F259" s="13">
        <f t="shared" si="50"/>
        <v>0</v>
      </c>
      <c r="G259" s="13">
        <f t="shared" si="50"/>
        <v>0</v>
      </c>
      <c r="H259" s="13">
        <f t="shared" si="50"/>
        <v>1</v>
      </c>
      <c r="I259" s="13">
        <f t="shared" si="50"/>
        <v>0</v>
      </c>
      <c r="J259" s="13">
        <f t="shared" si="50"/>
        <v>0</v>
      </c>
      <c r="K259" s="13">
        <f t="shared" si="50"/>
        <v>0</v>
      </c>
      <c r="L259" s="13">
        <f t="shared" si="50"/>
        <v>2</v>
      </c>
      <c r="M259" s="13">
        <f t="shared" si="50"/>
        <v>0</v>
      </c>
      <c r="N259" s="13">
        <f t="shared" si="50"/>
        <v>0</v>
      </c>
      <c r="O259" s="13">
        <f t="shared" si="50"/>
        <v>2</v>
      </c>
      <c r="P259" s="13">
        <f t="shared" si="50"/>
        <v>2</v>
      </c>
      <c r="Q259" s="13">
        <f t="shared" si="50"/>
        <v>3</v>
      </c>
      <c r="R259" s="13">
        <f t="shared" si="50"/>
        <v>0</v>
      </c>
      <c r="S259" s="13">
        <f t="shared" si="50"/>
        <v>1</v>
      </c>
      <c r="T259" s="13">
        <f t="shared" si="50"/>
        <v>1</v>
      </c>
      <c r="U259" s="13">
        <f t="shared" si="50"/>
        <v>0</v>
      </c>
      <c r="V259" s="13">
        <f t="shared" si="50"/>
        <v>0</v>
      </c>
      <c r="W259" s="13">
        <f t="shared" si="50"/>
        <v>1</v>
      </c>
      <c r="X259" s="13">
        <f t="shared" si="50"/>
        <v>1</v>
      </c>
      <c r="Y259" s="13">
        <f t="shared" si="50"/>
        <v>14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ht="12.75" customHeight="1">
      <c r="A262" s="42"/>
      <c r="B262" s="70" t="s">
        <v>192</v>
      </c>
      <c r="C262" s="71" t="s">
        <v>193</v>
      </c>
      <c r="D262" s="16"/>
      <c r="E262" s="19">
        <f t="shared" ref="E262:X262" si="51">E55+E67+E79+E91+E103+E115+E127+E139+E151+E163+E175+E187+E199+E211+E223+E235+E247+E259</f>
        <v>200</v>
      </c>
      <c r="F262" s="19">
        <f t="shared" si="51"/>
        <v>195</v>
      </c>
      <c r="G262" s="19">
        <f t="shared" si="51"/>
        <v>190</v>
      </c>
      <c r="H262" s="19">
        <f t="shared" si="51"/>
        <v>138</v>
      </c>
      <c r="I262" s="19">
        <f t="shared" si="51"/>
        <v>214</v>
      </c>
      <c r="J262" s="19">
        <f t="shared" si="51"/>
        <v>214</v>
      </c>
      <c r="K262" s="19">
        <f t="shared" si="51"/>
        <v>217</v>
      </c>
      <c r="L262" s="19">
        <f t="shared" si="51"/>
        <v>184</v>
      </c>
      <c r="M262" s="19">
        <f t="shared" si="51"/>
        <v>210</v>
      </c>
      <c r="N262" s="19">
        <f t="shared" si="51"/>
        <v>202</v>
      </c>
      <c r="O262" s="19">
        <f t="shared" si="51"/>
        <v>147</v>
      </c>
      <c r="P262" s="19">
        <f t="shared" si="51"/>
        <v>177</v>
      </c>
      <c r="Q262" s="19">
        <f t="shared" si="51"/>
        <v>187</v>
      </c>
      <c r="R262" s="19">
        <f t="shared" si="51"/>
        <v>174</v>
      </c>
      <c r="S262" s="19">
        <f t="shared" si="51"/>
        <v>182</v>
      </c>
      <c r="T262" s="19">
        <f t="shared" si="51"/>
        <v>188</v>
      </c>
      <c r="U262" s="19">
        <f t="shared" si="51"/>
        <v>197</v>
      </c>
      <c r="V262" s="19">
        <f t="shared" si="51"/>
        <v>205</v>
      </c>
      <c r="W262" s="19">
        <f t="shared" si="51"/>
        <v>198</v>
      </c>
      <c r="X262" s="19">
        <f t="shared" si="51"/>
        <v>201</v>
      </c>
      <c r="Y262" s="13">
        <f t="shared" ref="Y262:Y264" si="52">SUM(E262:X262)</f>
        <v>3820</v>
      </c>
    </row>
    <row r="263" ht="12.75" customHeight="1">
      <c r="A263" s="35"/>
      <c r="B263" s="70" t="s">
        <v>194</v>
      </c>
      <c r="C263" s="71" t="s">
        <v>195</v>
      </c>
      <c r="D263" s="16"/>
      <c r="E263" s="19">
        <v>31.0</v>
      </c>
      <c r="F263" s="19">
        <v>48.0</v>
      </c>
      <c r="G263" s="19">
        <v>38.0</v>
      </c>
      <c r="H263" s="19">
        <v>16.0</v>
      </c>
      <c r="I263" s="19">
        <v>18.0</v>
      </c>
      <c r="J263" s="19">
        <v>24.0</v>
      </c>
      <c r="K263" s="19">
        <v>17.0</v>
      </c>
      <c r="L263" s="19">
        <v>21.0</v>
      </c>
      <c r="M263" s="19">
        <v>24.0</v>
      </c>
      <c r="N263" s="19">
        <v>22.0</v>
      </c>
      <c r="O263" s="19">
        <v>37.0</v>
      </c>
      <c r="P263" s="19">
        <v>14.0</v>
      </c>
      <c r="Q263" s="19">
        <v>32.0</v>
      </c>
      <c r="R263" s="19">
        <v>35.0</v>
      </c>
      <c r="S263" s="19">
        <v>25.0</v>
      </c>
      <c r="T263" s="19">
        <v>24.0</v>
      </c>
      <c r="U263" s="19">
        <v>39.0</v>
      </c>
      <c r="V263" s="19">
        <v>16.0</v>
      </c>
      <c r="W263" s="19">
        <v>26.0</v>
      </c>
      <c r="X263" s="19">
        <v>36.0</v>
      </c>
      <c r="Y263" s="13">
        <f t="shared" si="52"/>
        <v>543</v>
      </c>
    </row>
    <row r="264" ht="12.75" customHeight="1">
      <c r="A264" s="41"/>
      <c r="B264" s="70" t="s">
        <v>196</v>
      </c>
      <c r="C264" s="71" t="s">
        <v>197</v>
      </c>
      <c r="D264" s="16"/>
      <c r="E264" s="13">
        <f t="shared" ref="E264:X264" si="53">SUM(E262:E263)</f>
        <v>231</v>
      </c>
      <c r="F264" s="13">
        <f t="shared" si="53"/>
        <v>243</v>
      </c>
      <c r="G264" s="13">
        <f t="shared" si="53"/>
        <v>228</v>
      </c>
      <c r="H264" s="13">
        <f t="shared" si="53"/>
        <v>154</v>
      </c>
      <c r="I264" s="13">
        <f t="shared" si="53"/>
        <v>232</v>
      </c>
      <c r="J264" s="13">
        <f t="shared" si="53"/>
        <v>238</v>
      </c>
      <c r="K264" s="13">
        <f t="shared" si="53"/>
        <v>234</v>
      </c>
      <c r="L264" s="13">
        <f t="shared" si="53"/>
        <v>205</v>
      </c>
      <c r="M264" s="13">
        <f t="shared" si="53"/>
        <v>234</v>
      </c>
      <c r="N264" s="13">
        <f t="shared" si="53"/>
        <v>224</v>
      </c>
      <c r="O264" s="13">
        <f t="shared" si="53"/>
        <v>184</v>
      </c>
      <c r="P264" s="13">
        <f t="shared" si="53"/>
        <v>191</v>
      </c>
      <c r="Q264" s="13">
        <f t="shared" si="53"/>
        <v>219</v>
      </c>
      <c r="R264" s="13">
        <f t="shared" si="53"/>
        <v>209</v>
      </c>
      <c r="S264" s="13">
        <f t="shared" si="53"/>
        <v>207</v>
      </c>
      <c r="T264" s="13">
        <f t="shared" si="53"/>
        <v>212</v>
      </c>
      <c r="U264" s="13">
        <f t="shared" si="53"/>
        <v>236</v>
      </c>
      <c r="V264" s="13">
        <f t="shared" si="53"/>
        <v>221</v>
      </c>
      <c r="W264" s="13">
        <f t="shared" si="53"/>
        <v>224</v>
      </c>
      <c r="X264" s="13">
        <f t="shared" si="53"/>
        <v>237</v>
      </c>
      <c r="Y264" s="13">
        <f t="shared" si="52"/>
        <v>4363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X12"/>
    <mergeCell ref="Y12:Y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W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W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X15">
    <cfRule type="containsBlanks" dxfId="1" priority="1">
      <formula>LEN(TRIM(E14))=0</formula>
    </cfRule>
  </conditionalFormatting>
  <conditionalFormatting sqref="E19:X20">
    <cfRule type="containsBlanks" dxfId="1" priority="2">
      <formula>LEN(TRIM(E19))=0</formula>
    </cfRule>
  </conditionalFormatting>
  <conditionalFormatting sqref="E22:X23 E25:X26 E33:X33 E35:X35 E39:X40">
    <cfRule type="containsBlanks" dxfId="1" priority="3">
      <formula>LEN(TRIM(E22))=0</formula>
    </cfRule>
  </conditionalFormatting>
  <conditionalFormatting sqref="E30:X30">
    <cfRule type="expression" dxfId="0" priority="4">
      <formula>E30&lt;&gt;E47</formula>
    </cfRule>
  </conditionalFormatting>
  <conditionalFormatting sqref="E30:X30">
    <cfRule type="expression" dxfId="0" priority="5">
      <formula>E30&lt;&gt;E34</formula>
    </cfRule>
  </conditionalFormatting>
  <conditionalFormatting sqref="E34:X34">
    <cfRule type="expression" dxfId="2" priority="6">
      <formula>E30&lt;&gt;E34</formula>
    </cfRule>
  </conditionalFormatting>
  <conditionalFormatting sqref="E34:X34">
    <cfRule type="expression" dxfId="3" priority="7">
      <formula>E30=E34</formula>
    </cfRule>
  </conditionalFormatting>
  <conditionalFormatting sqref="E34:X34">
    <cfRule type="expression" dxfId="0" priority="8">
      <formula>E34&lt;&gt;E30</formula>
    </cfRule>
  </conditionalFormatting>
  <conditionalFormatting sqref="E34:X34">
    <cfRule type="expression" dxfId="0" priority="9">
      <formula>E34&lt;&gt;E64</formula>
    </cfRule>
  </conditionalFormatting>
  <conditionalFormatting sqref="E45:X54">
    <cfRule type="containsBlanks" dxfId="1" priority="10">
      <formula>LEN(TRIM(E45))=0</formula>
    </cfRule>
  </conditionalFormatting>
  <conditionalFormatting sqref="E57:X66">
    <cfRule type="containsBlanks" dxfId="1" priority="11">
      <formula>LEN(TRIM(E57))=0</formula>
    </cfRule>
  </conditionalFormatting>
  <conditionalFormatting sqref="E69:X78">
    <cfRule type="containsBlanks" dxfId="1" priority="12">
      <formula>LEN(TRIM(E69))=0</formula>
    </cfRule>
  </conditionalFormatting>
  <conditionalFormatting sqref="E81:X90">
    <cfRule type="containsBlanks" dxfId="1" priority="13">
      <formula>LEN(TRIM(E81))=0</formula>
    </cfRule>
  </conditionalFormatting>
  <conditionalFormatting sqref="E93:X102">
    <cfRule type="containsBlanks" dxfId="1" priority="14">
      <formula>LEN(TRIM(E93))=0</formula>
    </cfRule>
  </conditionalFormatting>
  <conditionalFormatting sqref="E105:X114">
    <cfRule type="containsBlanks" dxfId="1" priority="15">
      <formula>LEN(TRIM(E105))=0</formula>
    </cfRule>
  </conditionalFormatting>
  <conditionalFormatting sqref="E117:X126">
    <cfRule type="containsBlanks" dxfId="1" priority="16">
      <formula>LEN(TRIM(E117))=0</formula>
    </cfRule>
  </conditionalFormatting>
  <conditionalFormatting sqref="E129:X138">
    <cfRule type="containsBlanks" dxfId="1" priority="17">
      <formula>LEN(TRIM(E129))=0</formula>
    </cfRule>
  </conditionalFormatting>
  <conditionalFormatting sqref="E141:X150">
    <cfRule type="containsBlanks" dxfId="1" priority="18">
      <formula>LEN(TRIM(E141))=0</formula>
    </cfRule>
  </conditionalFormatting>
  <conditionalFormatting sqref="E153:X162">
    <cfRule type="containsBlanks" dxfId="1" priority="19">
      <formula>LEN(TRIM(E153))=0</formula>
    </cfRule>
  </conditionalFormatting>
  <conditionalFormatting sqref="E165:X174">
    <cfRule type="containsBlanks" dxfId="1" priority="20">
      <formula>LEN(TRIM(E165))=0</formula>
    </cfRule>
  </conditionalFormatting>
  <conditionalFormatting sqref="E177:X186">
    <cfRule type="containsBlanks" dxfId="1" priority="21">
      <formula>LEN(TRIM(E177))=0</formula>
    </cfRule>
  </conditionalFormatting>
  <conditionalFormatting sqref="E189:X198">
    <cfRule type="containsBlanks" dxfId="1" priority="22">
      <formula>LEN(TRIM(E189))=0</formula>
    </cfRule>
  </conditionalFormatting>
  <conditionalFormatting sqref="E201:X210">
    <cfRule type="containsBlanks" dxfId="1" priority="23">
      <formula>LEN(TRIM(E201))=0</formula>
    </cfRule>
  </conditionalFormatting>
  <conditionalFormatting sqref="E213:X222">
    <cfRule type="containsBlanks" dxfId="1" priority="24">
      <formula>LEN(TRIM(E213))=0</formula>
    </cfRule>
  </conditionalFormatting>
  <conditionalFormatting sqref="E225:X234">
    <cfRule type="containsBlanks" dxfId="1" priority="25">
      <formula>LEN(TRIM(E225))=0</formula>
    </cfRule>
  </conditionalFormatting>
  <conditionalFormatting sqref="E237:X246">
    <cfRule type="containsBlanks" dxfId="1" priority="26">
      <formula>LEN(TRIM(E237))=0</formula>
    </cfRule>
  </conditionalFormatting>
  <conditionalFormatting sqref="E249:X258">
    <cfRule type="containsBlanks" dxfId="1" priority="27">
      <formula>LEN(TRIM(E249))=0</formula>
    </cfRule>
  </conditionalFormatting>
  <conditionalFormatting sqref="E262:X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8" width="8.71"/>
    <col customWidth="1" min="39" max="39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S11" s="1"/>
      <c r="T11" s="1"/>
      <c r="U11" s="1"/>
      <c r="V11" s="1"/>
      <c r="W11" s="1"/>
      <c r="X11" s="1"/>
      <c r="Y11" s="1"/>
      <c r="Z11" s="1"/>
      <c r="AA11" s="2"/>
      <c r="AF11" s="1"/>
      <c r="AG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7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220</v>
      </c>
      <c r="W13" s="13" t="s">
        <v>222</v>
      </c>
      <c r="X13" s="13" t="s">
        <v>223</v>
      </c>
      <c r="Y13" s="13" t="s">
        <v>224</v>
      </c>
      <c r="Z13" s="13" t="s">
        <v>229</v>
      </c>
      <c r="AA13" s="13" t="s">
        <v>230</v>
      </c>
      <c r="AB13" s="13" t="s">
        <v>231</v>
      </c>
      <c r="AC13" s="13" t="s">
        <v>232</v>
      </c>
      <c r="AD13" s="13" t="s">
        <v>233</v>
      </c>
      <c r="AE13" s="13" t="s">
        <v>234</v>
      </c>
      <c r="AF13" s="13" t="s">
        <v>235</v>
      </c>
      <c r="AG13" s="13" t="s">
        <v>236</v>
      </c>
      <c r="AH13" s="13" t="s">
        <v>237</v>
      </c>
      <c r="AI13" s="13" t="s">
        <v>238</v>
      </c>
      <c r="AJ13" s="13" t="s">
        <v>239</v>
      </c>
      <c r="AK13" s="13" t="s">
        <v>240</v>
      </c>
      <c r="AL13" s="13" t="s">
        <v>241</v>
      </c>
      <c r="AM13" s="36"/>
    </row>
    <row r="14" ht="12.75" customHeight="1">
      <c r="A14" s="18"/>
      <c r="B14" s="22" t="s">
        <v>11</v>
      </c>
      <c r="C14" s="23"/>
      <c r="D14" s="19" t="s">
        <v>12</v>
      </c>
      <c r="E14" s="19">
        <v>135.0</v>
      </c>
      <c r="F14" s="19">
        <v>140.0</v>
      </c>
      <c r="G14" s="19">
        <v>111.0</v>
      </c>
      <c r="H14" s="19">
        <v>115.0</v>
      </c>
      <c r="I14" s="19">
        <v>132.0</v>
      </c>
      <c r="J14" s="19">
        <v>112.0</v>
      </c>
      <c r="K14" s="19">
        <v>130.0</v>
      </c>
      <c r="L14" s="19">
        <v>127.0</v>
      </c>
      <c r="M14" s="19">
        <v>130.0</v>
      </c>
      <c r="N14" s="19">
        <v>141.0</v>
      </c>
      <c r="O14" s="19">
        <v>131.0</v>
      </c>
      <c r="P14" s="19">
        <v>122.0</v>
      </c>
      <c r="Q14" s="19">
        <v>124.0</v>
      </c>
      <c r="R14" s="19">
        <v>124.0</v>
      </c>
      <c r="S14" s="19">
        <v>127.0</v>
      </c>
      <c r="T14" s="19">
        <v>133.0</v>
      </c>
      <c r="U14" s="19">
        <v>127.0</v>
      </c>
      <c r="V14" s="19">
        <v>118.0</v>
      </c>
      <c r="W14" s="19">
        <v>117.0</v>
      </c>
      <c r="X14" s="19">
        <v>119.0</v>
      </c>
      <c r="Y14" s="19">
        <v>140.0</v>
      </c>
      <c r="Z14" s="19">
        <v>78.0</v>
      </c>
      <c r="AA14" s="19">
        <v>133.0</v>
      </c>
      <c r="AB14" s="19">
        <v>125.0</v>
      </c>
      <c r="AC14" s="19">
        <v>137.0</v>
      </c>
      <c r="AD14" s="19">
        <v>146.0</v>
      </c>
      <c r="AE14" s="19">
        <v>141.0</v>
      </c>
      <c r="AF14" s="19">
        <v>138.0</v>
      </c>
      <c r="AG14" s="19">
        <v>119.0</v>
      </c>
      <c r="AH14" s="19">
        <v>101.0</v>
      </c>
      <c r="AI14" s="19">
        <v>119.0</v>
      </c>
      <c r="AJ14" s="19">
        <v>127.0</v>
      </c>
      <c r="AK14" s="19">
        <v>129.0</v>
      </c>
      <c r="AL14" s="19">
        <v>124.0</v>
      </c>
      <c r="AM14" s="13">
        <f t="shared" ref="AM14:AM16" si="1">SUM(E14:AL14)</f>
        <v>4272</v>
      </c>
    </row>
    <row r="15" ht="12.75" customHeight="1">
      <c r="A15" s="18"/>
      <c r="B15" s="26"/>
      <c r="C15" s="27"/>
      <c r="D15" s="19" t="s">
        <v>13</v>
      </c>
      <c r="E15" s="19">
        <v>146.0</v>
      </c>
      <c r="F15" s="19">
        <v>146.0</v>
      </c>
      <c r="G15" s="19">
        <v>121.0</v>
      </c>
      <c r="H15" s="19">
        <v>125.0</v>
      </c>
      <c r="I15" s="19">
        <v>134.0</v>
      </c>
      <c r="J15" s="19">
        <v>125.0</v>
      </c>
      <c r="K15" s="19">
        <v>120.0</v>
      </c>
      <c r="L15" s="19">
        <v>123.0</v>
      </c>
      <c r="M15" s="19">
        <v>149.0</v>
      </c>
      <c r="N15" s="19">
        <v>141.0</v>
      </c>
      <c r="O15" s="19">
        <v>134.0</v>
      </c>
      <c r="P15" s="19">
        <v>121.0</v>
      </c>
      <c r="Q15" s="19">
        <v>126.0</v>
      </c>
      <c r="R15" s="19">
        <v>127.0</v>
      </c>
      <c r="S15" s="19">
        <v>131.0</v>
      </c>
      <c r="T15" s="19">
        <v>136.0</v>
      </c>
      <c r="U15" s="19">
        <v>136.0</v>
      </c>
      <c r="V15" s="19">
        <v>135.0</v>
      </c>
      <c r="W15" s="19">
        <v>135.0</v>
      </c>
      <c r="X15" s="19">
        <v>144.0</v>
      </c>
      <c r="Y15" s="19">
        <v>140.0</v>
      </c>
      <c r="Z15" s="19">
        <v>76.0</v>
      </c>
      <c r="AA15" s="19">
        <v>141.0</v>
      </c>
      <c r="AB15" s="19">
        <v>143.0</v>
      </c>
      <c r="AC15" s="19">
        <v>156.0</v>
      </c>
      <c r="AD15" s="19">
        <v>142.0</v>
      </c>
      <c r="AE15" s="19">
        <v>152.0</v>
      </c>
      <c r="AF15" s="19">
        <v>153.0</v>
      </c>
      <c r="AG15" s="19">
        <v>114.0</v>
      </c>
      <c r="AH15" s="19">
        <v>128.0</v>
      </c>
      <c r="AI15" s="19">
        <v>135.0</v>
      </c>
      <c r="AJ15" s="19">
        <v>142.0</v>
      </c>
      <c r="AK15" s="19">
        <v>131.0</v>
      </c>
      <c r="AL15" s="19">
        <v>142.0</v>
      </c>
      <c r="AM15" s="13">
        <f t="shared" si="1"/>
        <v>4550</v>
      </c>
    </row>
    <row r="16" ht="12.75" customHeight="1">
      <c r="A16" s="25"/>
      <c r="B16" s="21"/>
      <c r="C16" s="28"/>
      <c r="D16" s="13" t="s">
        <v>14</v>
      </c>
      <c r="E16" s="13">
        <f t="shared" ref="E16:AL16" si="2">SUM(E14:E15)</f>
        <v>281</v>
      </c>
      <c r="F16" s="13">
        <f t="shared" si="2"/>
        <v>286</v>
      </c>
      <c r="G16" s="13">
        <f t="shared" si="2"/>
        <v>232</v>
      </c>
      <c r="H16" s="13">
        <f t="shared" si="2"/>
        <v>240</v>
      </c>
      <c r="I16" s="13">
        <f t="shared" si="2"/>
        <v>266</v>
      </c>
      <c r="J16" s="13">
        <f t="shared" si="2"/>
        <v>237</v>
      </c>
      <c r="K16" s="13">
        <f t="shared" si="2"/>
        <v>250</v>
      </c>
      <c r="L16" s="13">
        <f t="shared" si="2"/>
        <v>250</v>
      </c>
      <c r="M16" s="13">
        <f t="shared" si="2"/>
        <v>279</v>
      </c>
      <c r="N16" s="13">
        <f t="shared" si="2"/>
        <v>282</v>
      </c>
      <c r="O16" s="13">
        <f t="shared" si="2"/>
        <v>265</v>
      </c>
      <c r="P16" s="13">
        <f t="shared" si="2"/>
        <v>243</v>
      </c>
      <c r="Q16" s="13">
        <f t="shared" si="2"/>
        <v>250</v>
      </c>
      <c r="R16" s="13">
        <f t="shared" si="2"/>
        <v>251</v>
      </c>
      <c r="S16" s="13">
        <f t="shared" si="2"/>
        <v>258</v>
      </c>
      <c r="T16" s="13">
        <f t="shared" si="2"/>
        <v>269</v>
      </c>
      <c r="U16" s="13">
        <f t="shared" si="2"/>
        <v>263</v>
      </c>
      <c r="V16" s="13">
        <f t="shared" si="2"/>
        <v>253</v>
      </c>
      <c r="W16" s="13">
        <f t="shared" si="2"/>
        <v>252</v>
      </c>
      <c r="X16" s="13">
        <f t="shared" si="2"/>
        <v>263</v>
      </c>
      <c r="Y16" s="13">
        <f t="shared" si="2"/>
        <v>280</v>
      </c>
      <c r="Z16" s="13">
        <f t="shared" si="2"/>
        <v>154</v>
      </c>
      <c r="AA16" s="13">
        <f t="shared" si="2"/>
        <v>274</v>
      </c>
      <c r="AB16" s="13">
        <f t="shared" si="2"/>
        <v>268</v>
      </c>
      <c r="AC16" s="13">
        <f t="shared" si="2"/>
        <v>293</v>
      </c>
      <c r="AD16" s="13">
        <f t="shared" si="2"/>
        <v>288</v>
      </c>
      <c r="AE16" s="13">
        <f t="shared" si="2"/>
        <v>293</v>
      </c>
      <c r="AF16" s="13">
        <f t="shared" si="2"/>
        <v>291</v>
      </c>
      <c r="AG16" s="13">
        <f t="shared" si="2"/>
        <v>233</v>
      </c>
      <c r="AH16" s="13">
        <f t="shared" si="2"/>
        <v>229</v>
      </c>
      <c r="AI16" s="13">
        <f t="shared" si="2"/>
        <v>254</v>
      </c>
      <c r="AJ16" s="13">
        <f t="shared" si="2"/>
        <v>269</v>
      </c>
      <c r="AK16" s="13">
        <f t="shared" si="2"/>
        <v>260</v>
      </c>
      <c r="AL16" s="13">
        <f t="shared" si="2"/>
        <v>266</v>
      </c>
      <c r="AM16" s="13">
        <f t="shared" si="1"/>
        <v>8822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19"/>
      <c r="T17" s="19"/>
      <c r="U17" s="19"/>
      <c r="V17" s="19"/>
      <c r="W17" s="19"/>
      <c r="X17" s="19"/>
      <c r="Y17" s="19"/>
      <c r="Z17" s="19"/>
      <c r="AA17" s="75"/>
      <c r="AB17" s="75"/>
      <c r="AC17" s="75"/>
      <c r="AD17" s="75"/>
      <c r="AE17" s="75"/>
      <c r="AF17" s="19"/>
      <c r="AG17" s="75"/>
      <c r="AH17" s="75"/>
      <c r="AI17" s="75"/>
      <c r="AJ17" s="75"/>
      <c r="AK17" s="75"/>
      <c r="AL17" s="75"/>
      <c r="AM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19"/>
      <c r="T18" s="19"/>
      <c r="U18" s="19"/>
      <c r="V18" s="19"/>
      <c r="W18" s="19"/>
      <c r="X18" s="19"/>
      <c r="Y18" s="19"/>
      <c r="Z18" s="19"/>
      <c r="AA18" s="75"/>
      <c r="AB18" s="75"/>
      <c r="AC18" s="75"/>
      <c r="AD18" s="75"/>
      <c r="AE18" s="75"/>
      <c r="AF18" s="19"/>
      <c r="AG18" s="75"/>
      <c r="AH18" s="75"/>
      <c r="AI18" s="75"/>
      <c r="AJ18" s="75"/>
      <c r="AK18" s="75"/>
      <c r="AL18" s="75"/>
      <c r="AM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88.0</v>
      </c>
      <c r="F19" s="19">
        <v>100.0</v>
      </c>
      <c r="G19" s="19">
        <v>79.0</v>
      </c>
      <c r="H19" s="19">
        <v>92.0</v>
      </c>
      <c r="I19" s="19">
        <v>110.0</v>
      </c>
      <c r="J19" s="19">
        <v>81.0</v>
      </c>
      <c r="K19" s="19">
        <v>96.0</v>
      </c>
      <c r="L19" s="19">
        <v>93.0</v>
      </c>
      <c r="M19" s="19">
        <v>95.0</v>
      </c>
      <c r="N19" s="19">
        <v>103.0</v>
      </c>
      <c r="O19" s="19">
        <v>92.0</v>
      </c>
      <c r="P19" s="19">
        <v>96.0</v>
      </c>
      <c r="Q19" s="19">
        <v>100.0</v>
      </c>
      <c r="R19" s="19">
        <v>93.0</v>
      </c>
      <c r="S19" s="19">
        <v>98.0</v>
      </c>
      <c r="T19" s="19">
        <v>106.0</v>
      </c>
      <c r="U19" s="19">
        <v>100.0</v>
      </c>
      <c r="V19" s="19">
        <v>88.0</v>
      </c>
      <c r="W19" s="19">
        <v>99.0</v>
      </c>
      <c r="X19" s="19">
        <v>95.0</v>
      </c>
      <c r="Y19" s="19">
        <v>101.0</v>
      </c>
      <c r="Z19" s="19">
        <v>54.0</v>
      </c>
      <c r="AA19" s="19">
        <v>98.0</v>
      </c>
      <c r="AB19" s="19">
        <v>100.0</v>
      </c>
      <c r="AC19" s="19">
        <v>102.0</v>
      </c>
      <c r="AD19" s="19">
        <v>104.0</v>
      </c>
      <c r="AE19" s="19">
        <v>104.0</v>
      </c>
      <c r="AF19" s="19">
        <v>120.0</v>
      </c>
      <c r="AG19" s="19">
        <v>91.0</v>
      </c>
      <c r="AH19" s="19">
        <v>77.0</v>
      </c>
      <c r="AI19" s="19">
        <v>84.0</v>
      </c>
      <c r="AJ19" s="19">
        <v>97.0</v>
      </c>
      <c r="AK19" s="19">
        <v>98.0</v>
      </c>
      <c r="AL19" s="19">
        <v>93.0</v>
      </c>
      <c r="AM19" s="13">
        <f t="shared" ref="AM19:AM30" si="3">SUM(E19:AL19)</f>
        <v>3227</v>
      </c>
    </row>
    <row r="20" ht="12.75" customHeight="1">
      <c r="A20" s="33"/>
      <c r="B20" s="27"/>
      <c r="C20" s="34"/>
      <c r="D20" s="19" t="s">
        <v>13</v>
      </c>
      <c r="E20" s="19">
        <v>103.0</v>
      </c>
      <c r="F20" s="19">
        <v>111.0</v>
      </c>
      <c r="G20" s="19">
        <v>98.0</v>
      </c>
      <c r="H20" s="19">
        <v>100.0</v>
      </c>
      <c r="I20" s="19">
        <v>109.0</v>
      </c>
      <c r="J20" s="19">
        <v>99.0</v>
      </c>
      <c r="K20" s="19">
        <v>105.0</v>
      </c>
      <c r="L20" s="19">
        <v>100.0</v>
      </c>
      <c r="M20" s="19">
        <v>112.0</v>
      </c>
      <c r="N20" s="19">
        <v>113.0</v>
      </c>
      <c r="O20" s="19">
        <v>101.0</v>
      </c>
      <c r="P20" s="19">
        <v>99.0</v>
      </c>
      <c r="Q20" s="19">
        <v>111.0</v>
      </c>
      <c r="R20" s="19">
        <v>104.0</v>
      </c>
      <c r="S20" s="19">
        <v>103.0</v>
      </c>
      <c r="T20" s="19">
        <v>109.0</v>
      </c>
      <c r="U20" s="19">
        <v>113.0</v>
      </c>
      <c r="V20" s="19">
        <v>108.0</v>
      </c>
      <c r="W20" s="19">
        <v>86.0</v>
      </c>
      <c r="X20" s="19">
        <v>110.0</v>
      </c>
      <c r="Y20" s="19">
        <v>118.0</v>
      </c>
      <c r="Z20" s="19">
        <v>57.0</v>
      </c>
      <c r="AA20" s="19">
        <v>115.0</v>
      </c>
      <c r="AB20" s="19">
        <v>102.0</v>
      </c>
      <c r="AC20" s="19">
        <v>122.0</v>
      </c>
      <c r="AD20" s="19">
        <v>115.0</v>
      </c>
      <c r="AE20" s="19">
        <v>112.0</v>
      </c>
      <c r="AF20" s="19">
        <v>120.0</v>
      </c>
      <c r="AG20" s="19">
        <v>78.0</v>
      </c>
      <c r="AH20" s="19">
        <v>102.0</v>
      </c>
      <c r="AI20" s="19">
        <v>112.0</v>
      </c>
      <c r="AJ20" s="19">
        <v>123.0</v>
      </c>
      <c r="AK20" s="19">
        <v>111.0</v>
      </c>
      <c r="AL20" s="19">
        <v>106.0</v>
      </c>
      <c r="AM20" s="13">
        <f t="shared" si="3"/>
        <v>3587</v>
      </c>
    </row>
    <row r="21" ht="12.75" customHeight="1">
      <c r="A21" s="35"/>
      <c r="B21" s="28"/>
      <c r="C21" s="36"/>
      <c r="D21" s="13" t="s">
        <v>14</v>
      </c>
      <c r="E21" s="13">
        <f t="shared" ref="E21:AL21" si="4">SUM(E19:E20)</f>
        <v>191</v>
      </c>
      <c r="F21" s="13">
        <f t="shared" si="4"/>
        <v>211</v>
      </c>
      <c r="G21" s="13">
        <f t="shared" si="4"/>
        <v>177</v>
      </c>
      <c r="H21" s="13">
        <f t="shared" si="4"/>
        <v>192</v>
      </c>
      <c r="I21" s="13">
        <f t="shared" si="4"/>
        <v>219</v>
      </c>
      <c r="J21" s="13">
        <f t="shared" si="4"/>
        <v>180</v>
      </c>
      <c r="K21" s="13">
        <f t="shared" si="4"/>
        <v>201</v>
      </c>
      <c r="L21" s="13">
        <f t="shared" si="4"/>
        <v>193</v>
      </c>
      <c r="M21" s="13">
        <f t="shared" si="4"/>
        <v>207</v>
      </c>
      <c r="N21" s="13">
        <f t="shared" si="4"/>
        <v>216</v>
      </c>
      <c r="O21" s="13">
        <f t="shared" si="4"/>
        <v>193</v>
      </c>
      <c r="P21" s="13">
        <f t="shared" si="4"/>
        <v>195</v>
      </c>
      <c r="Q21" s="13">
        <f t="shared" si="4"/>
        <v>211</v>
      </c>
      <c r="R21" s="13">
        <f t="shared" si="4"/>
        <v>197</v>
      </c>
      <c r="S21" s="13">
        <f t="shared" si="4"/>
        <v>201</v>
      </c>
      <c r="T21" s="13">
        <f t="shared" si="4"/>
        <v>215</v>
      </c>
      <c r="U21" s="13">
        <f t="shared" si="4"/>
        <v>213</v>
      </c>
      <c r="V21" s="13">
        <f t="shared" si="4"/>
        <v>196</v>
      </c>
      <c r="W21" s="13">
        <f t="shared" si="4"/>
        <v>185</v>
      </c>
      <c r="X21" s="13">
        <f t="shared" si="4"/>
        <v>205</v>
      </c>
      <c r="Y21" s="13">
        <f t="shared" si="4"/>
        <v>219</v>
      </c>
      <c r="Z21" s="13">
        <f t="shared" si="4"/>
        <v>111</v>
      </c>
      <c r="AA21" s="13">
        <f t="shared" si="4"/>
        <v>213</v>
      </c>
      <c r="AB21" s="13">
        <f t="shared" si="4"/>
        <v>202</v>
      </c>
      <c r="AC21" s="13">
        <f t="shared" si="4"/>
        <v>224</v>
      </c>
      <c r="AD21" s="13">
        <f t="shared" si="4"/>
        <v>219</v>
      </c>
      <c r="AE21" s="13">
        <f t="shared" si="4"/>
        <v>216</v>
      </c>
      <c r="AF21" s="13">
        <f t="shared" si="4"/>
        <v>240</v>
      </c>
      <c r="AG21" s="13">
        <f t="shared" si="4"/>
        <v>169</v>
      </c>
      <c r="AH21" s="13">
        <f t="shared" si="4"/>
        <v>179</v>
      </c>
      <c r="AI21" s="13">
        <f t="shared" si="4"/>
        <v>196</v>
      </c>
      <c r="AJ21" s="13">
        <f t="shared" si="4"/>
        <v>220</v>
      </c>
      <c r="AK21" s="13">
        <f t="shared" si="4"/>
        <v>209</v>
      </c>
      <c r="AL21" s="13">
        <f t="shared" si="4"/>
        <v>199</v>
      </c>
      <c r="AM21" s="13">
        <f t="shared" si="3"/>
        <v>6814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0.0</v>
      </c>
      <c r="M22" s="19">
        <v>0.0</v>
      </c>
      <c r="N22" s="19">
        <v>1.0</v>
      </c>
      <c r="O22" s="19">
        <v>0.0</v>
      </c>
      <c r="P22" s="19">
        <v>0.0</v>
      </c>
      <c r="Q22" s="19">
        <v>0.0</v>
      </c>
      <c r="R22" s="19">
        <v>0.0</v>
      </c>
      <c r="S22" s="19">
        <v>1.0</v>
      </c>
      <c r="T22" s="19">
        <v>1.0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1.0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0.0</v>
      </c>
      <c r="H23" s="19">
        <v>0.0</v>
      </c>
      <c r="I23" s="19">
        <v>0.0</v>
      </c>
      <c r="J23" s="19">
        <v>1.0</v>
      </c>
      <c r="K23" s="19">
        <v>0.0</v>
      </c>
      <c r="L23" s="19">
        <v>0.0</v>
      </c>
      <c r="M23" s="19">
        <v>0.0</v>
      </c>
      <c r="N23" s="19">
        <v>1.0</v>
      </c>
      <c r="O23" s="19">
        <v>1.0</v>
      </c>
      <c r="P23" s="19">
        <v>0.0</v>
      </c>
      <c r="Q23" s="19">
        <v>0.0</v>
      </c>
      <c r="R23" s="19">
        <v>0.0</v>
      </c>
      <c r="S23" s="19">
        <v>0.0</v>
      </c>
      <c r="T23" s="19">
        <v>1.0</v>
      </c>
      <c r="U23" s="19">
        <v>0.0</v>
      </c>
      <c r="V23" s="19">
        <v>0.0</v>
      </c>
      <c r="W23" s="19">
        <v>0.0</v>
      </c>
      <c r="X23" s="19">
        <v>1.0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2.0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3">
        <f t="shared" si="3"/>
        <v>8</v>
      </c>
    </row>
    <row r="24" ht="12.75" customHeight="1">
      <c r="A24" s="35"/>
      <c r="B24" s="28"/>
      <c r="C24" s="36"/>
      <c r="D24" s="13" t="s">
        <v>14</v>
      </c>
      <c r="E24" s="13">
        <f t="shared" ref="E24:AL24" si="5">SUM(E22:E23)</f>
        <v>0</v>
      </c>
      <c r="F24" s="13">
        <f t="shared" si="5"/>
        <v>1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2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2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1</v>
      </c>
      <c r="T24" s="13">
        <f t="shared" si="5"/>
        <v>2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1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3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3"/>
        <v>13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4.0</v>
      </c>
      <c r="F25" s="19">
        <v>1.0</v>
      </c>
      <c r="G25" s="19">
        <v>1.0</v>
      </c>
      <c r="H25" s="19">
        <v>0.0</v>
      </c>
      <c r="I25" s="19">
        <v>0.0</v>
      </c>
      <c r="J25" s="19">
        <v>0.0</v>
      </c>
      <c r="K25" s="19">
        <v>1.0</v>
      </c>
      <c r="L25" s="19">
        <v>0.0</v>
      </c>
      <c r="M25" s="19">
        <v>1.0</v>
      </c>
      <c r="N25" s="19">
        <v>2.0</v>
      </c>
      <c r="O25" s="19">
        <v>1.0</v>
      </c>
      <c r="P25" s="19">
        <v>2.0</v>
      </c>
      <c r="Q25" s="19">
        <v>1.0</v>
      </c>
      <c r="R25" s="19">
        <v>2.0</v>
      </c>
      <c r="S25" s="19">
        <v>0.0</v>
      </c>
      <c r="T25" s="19">
        <v>0.0</v>
      </c>
      <c r="U25" s="19">
        <v>0.0</v>
      </c>
      <c r="V25" s="19">
        <v>0.0</v>
      </c>
      <c r="W25" s="19">
        <v>1.0</v>
      </c>
      <c r="X25" s="19">
        <v>0.0</v>
      </c>
      <c r="Y25" s="19">
        <v>0.0</v>
      </c>
      <c r="Z25" s="19">
        <v>1.0</v>
      </c>
      <c r="AA25" s="19">
        <v>2.0</v>
      </c>
      <c r="AB25" s="19">
        <v>1.0</v>
      </c>
      <c r="AC25" s="19">
        <v>4.0</v>
      </c>
      <c r="AD25" s="19">
        <v>0.0</v>
      </c>
      <c r="AE25" s="19">
        <v>0.0</v>
      </c>
      <c r="AF25" s="19">
        <v>0.0</v>
      </c>
      <c r="AG25" s="19">
        <v>7.0</v>
      </c>
      <c r="AH25" s="19">
        <v>2.0</v>
      </c>
      <c r="AI25" s="19">
        <v>1.0</v>
      </c>
      <c r="AJ25" s="19">
        <v>1.0</v>
      </c>
      <c r="AK25" s="19">
        <v>0.0</v>
      </c>
      <c r="AL25" s="19">
        <v>0.0</v>
      </c>
      <c r="AM25" s="13">
        <f t="shared" si="3"/>
        <v>36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1.0</v>
      </c>
      <c r="I26" s="19">
        <v>0.0</v>
      </c>
      <c r="J26" s="19">
        <v>0.0</v>
      </c>
      <c r="K26" s="19">
        <v>2.0</v>
      </c>
      <c r="L26" s="19">
        <v>0.0</v>
      </c>
      <c r="M26" s="19">
        <v>1.0</v>
      </c>
      <c r="N26" s="19">
        <v>1.0</v>
      </c>
      <c r="O26" s="19">
        <v>3.0</v>
      </c>
      <c r="P26" s="19">
        <v>1.0</v>
      </c>
      <c r="Q26" s="19">
        <v>1.0</v>
      </c>
      <c r="R26" s="19">
        <v>1.0</v>
      </c>
      <c r="S26" s="19">
        <v>0.0</v>
      </c>
      <c r="T26" s="19">
        <v>0.0</v>
      </c>
      <c r="U26" s="19">
        <v>0.0</v>
      </c>
      <c r="V26" s="19">
        <v>4.0</v>
      </c>
      <c r="W26" s="19">
        <v>1.0</v>
      </c>
      <c r="X26" s="19">
        <v>2.0</v>
      </c>
      <c r="Y26" s="19">
        <v>3.0</v>
      </c>
      <c r="Z26" s="19">
        <v>2.0</v>
      </c>
      <c r="AA26" s="19">
        <v>0.0</v>
      </c>
      <c r="AB26" s="19">
        <v>2.0</v>
      </c>
      <c r="AC26" s="19">
        <v>3.0</v>
      </c>
      <c r="AD26" s="19">
        <v>0.0</v>
      </c>
      <c r="AE26" s="19">
        <v>0.0</v>
      </c>
      <c r="AF26" s="19">
        <v>0.0</v>
      </c>
      <c r="AG26" s="19">
        <v>6.0</v>
      </c>
      <c r="AH26" s="19">
        <v>1.0</v>
      </c>
      <c r="AI26" s="19">
        <v>0.0</v>
      </c>
      <c r="AJ26" s="19">
        <v>1.0</v>
      </c>
      <c r="AK26" s="19">
        <v>0.0</v>
      </c>
      <c r="AL26" s="19">
        <v>0.0</v>
      </c>
      <c r="AM26" s="13">
        <f t="shared" si="3"/>
        <v>36</v>
      </c>
    </row>
    <row r="27" ht="12.75" customHeight="1">
      <c r="A27" s="35"/>
      <c r="B27" s="28"/>
      <c r="C27" s="36"/>
      <c r="D27" s="13" t="s">
        <v>14</v>
      </c>
      <c r="E27" s="13">
        <f t="shared" ref="E27:AL27" si="6">SUM(E25:E26)</f>
        <v>4</v>
      </c>
      <c r="F27" s="13">
        <f t="shared" si="6"/>
        <v>1</v>
      </c>
      <c r="G27" s="13">
        <f t="shared" si="6"/>
        <v>1</v>
      </c>
      <c r="H27" s="13">
        <f t="shared" si="6"/>
        <v>1</v>
      </c>
      <c r="I27" s="13">
        <f t="shared" si="6"/>
        <v>0</v>
      </c>
      <c r="J27" s="13">
        <f t="shared" si="6"/>
        <v>0</v>
      </c>
      <c r="K27" s="13">
        <f t="shared" si="6"/>
        <v>3</v>
      </c>
      <c r="L27" s="13">
        <f t="shared" si="6"/>
        <v>0</v>
      </c>
      <c r="M27" s="13">
        <f t="shared" si="6"/>
        <v>2</v>
      </c>
      <c r="N27" s="13">
        <f t="shared" si="6"/>
        <v>3</v>
      </c>
      <c r="O27" s="13">
        <f t="shared" si="6"/>
        <v>4</v>
      </c>
      <c r="P27" s="13">
        <f t="shared" si="6"/>
        <v>3</v>
      </c>
      <c r="Q27" s="13">
        <f t="shared" si="6"/>
        <v>2</v>
      </c>
      <c r="R27" s="13">
        <f t="shared" si="6"/>
        <v>3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4</v>
      </c>
      <c r="W27" s="13">
        <f t="shared" si="6"/>
        <v>2</v>
      </c>
      <c r="X27" s="13">
        <f t="shared" si="6"/>
        <v>2</v>
      </c>
      <c r="Y27" s="13">
        <f t="shared" si="6"/>
        <v>3</v>
      </c>
      <c r="Z27" s="13">
        <f t="shared" si="6"/>
        <v>3</v>
      </c>
      <c r="AA27" s="13">
        <f t="shared" si="6"/>
        <v>2</v>
      </c>
      <c r="AB27" s="13">
        <f t="shared" si="6"/>
        <v>3</v>
      </c>
      <c r="AC27" s="13">
        <f t="shared" si="6"/>
        <v>7</v>
      </c>
      <c r="AD27" s="13">
        <f t="shared" si="6"/>
        <v>0</v>
      </c>
      <c r="AE27" s="13">
        <f t="shared" si="6"/>
        <v>0</v>
      </c>
      <c r="AF27" s="13">
        <f t="shared" si="6"/>
        <v>0</v>
      </c>
      <c r="AG27" s="13">
        <f t="shared" si="6"/>
        <v>13</v>
      </c>
      <c r="AH27" s="13">
        <f t="shared" si="6"/>
        <v>3</v>
      </c>
      <c r="AI27" s="13">
        <f t="shared" si="6"/>
        <v>1</v>
      </c>
      <c r="AJ27" s="13">
        <f t="shared" si="6"/>
        <v>2</v>
      </c>
      <c r="AK27" s="13">
        <f t="shared" si="6"/>
        <v>0</v>
      </c>
      <c r="AL27" s="13">
        <f t="shared" si="6"/>
        <v>0</v>
      </c>
      <c r="AM27" s="13">
        <f t="shared" si="3"/>
        <v>72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L28" si="7">SUM(E19,E22,E25)</f>
        <v>92</v>
      </c>
      <c r="F28" s="13">
        <f t="shared" si="7"/>
        <v>101</v>
      </c>
      <c r="G28" s="13">
        <f t="shared" si="7"/>
        <v>80</v>
      </c>
      <c r="H28" s="13">
        <f t="shared" si="7"/>
        <v>92</v>
      </c>
      <c r="I28" s="13">
        <f t="shared" si="7"/>
        <v>110</v>
      </c>
      <c r="J28" s="13">
        <f t="shared" si="7"/>
        <v>82</v>
      </c>
      <c r="K28" s="13">
        <f t="shared" si="7"/>
        <v>97</v>
      </c>
      <c r="L28" s="13">
        <f t="shared" si="7"/>
        <v>93</v>
      </c>
      <c r="M28" s="13">
        <f t="shared" si="7"/>
        <v>96</v>
      </c>
      <c r="N28" s="13">
        <f t="shared" si="7"/>
        <v>106</v>
      </c>
      <c r="O28" s="13">
        <f t="shared" si="7"/>
        <v>93</v>
      </c>
      <c r="P28" s="13">
        <f t="shared" si="7"/>
        <v>98</v>
      </c>
      <c r="Q28" s="13">
        <f t="shared" si="7"/>
        <v>101</v>
      </c>
      <c r="R28" s="13">
        <f t="shared" si="7"/>
        <v>95</v>
      </c>
      <c r="S28" s="13">
        <f t="shared" si="7"/>
        <v>99</v>
      </c>
      <c r="T28" s="13">
        <f t="shared" si="7"/>
        <v>107</v>
      </c>
      <c r="U28" s="13">
        <f t="shared" si="7"/>
        <v>100</v>
      </c>
      <c r="V28" s="13">
        <f t="shared" si="7"/>
        <v>88</v>
      </c>
      <c r="W28" s="13">
        <f t="shared" si="7"/>
        <v>100</v>
      </c>
      <c r="X28" s="13">
        <f t="shared" si="7"/>
        <v>95</v>
      </c>
      <c r="Y28" s="13">
        <f t="shared" si="7"/>
        <v>101</v>
      </c>
      <c r="Z28" s="13">
        <f t="shared" si="7"/>
        <v>55</v>
      </c>
      <c r="AA28" s="13">
        <f t="shared" si="7"/>
        <v>100</v>
      </c>
      <c r="AB28" s="13">
        <f t="shared" si="7"/>
        <v>101</v>
      </c>
      <c r="AC28" s="13">
        <f t="shared" si="7"/>
        <v>106</v>
      </c>
      <c r="AD28" s="13">
        <f t="shared" si="7"/>
        <v>104</v>
      </c>
      <c r="AE28" s="13">
        <f t="shared" si="7"/>
        <v>104</v>
      </c>
      <c r="AF28" s="13">
        <f t="shared" si="7"/>
        <v>120</v>
      </c>
      <c r="AG28" s="13">
        <f t="shared" si="7"/>
        <v>99</v>
      </c>
      <c r="AH28" s="13">
        <f t="shared" si="7"/>
        <v>79</v>
      </c>
      <c r="AI28" s="13">
        <f t="shared" si="7"/>
        <v>85</v>
      </c>
      <c r="AJ28" s="13">
        <f t="shared" si="7"/>
        <v>98</v>
      </c>
      <c r="AK28" s="13">
        <f t="shared" si="7"/>
        <v>98</v>
      </c>
      <c r="AL28" s="13">
        <f t="shared" si="7"/>
        <v>93</v>
      </c>
      <c r="AM28" s="13">
        <f t="shared" si="3"/>
        <v>3268</v>
      </c>
    </row>
    <row r="29" ht="12.75" customHeight="1">
      <c r="A29" s="35"/>
      <c r="B29" s="27"/>
      <c r="C29" s="34"/>
      <c r="D29" s="13" t="s">
        <v>13</v>
      </c>
      <c r="E29" s="13">
        <f t="shared" ref="E29:AL29" si="8">SUM(E20,E23,E26)</f>
        <v>103</v>
      </c>
      <c r="F29" s="13">
        <f t="shared" si="8"/>
        <v>112</v>
      </c>
      <c r="G29" s="13">
        <f t="shared" si="8"/>
        <v>98</v>
      </c>
      <c r="H29" s="13">
        <f t="shared" si="8"/>
        <v>101</v>
      </c>
      <c r="I29" s="13">
        <f t="shared" si="8"/>
        <v>109</v>
      </c>
      <c r="J29" s="13">
        <f t="shared" si="8"/>
        <v>100</v>
      </c>
      <c r="K29" s="13">
        <f t="shared" si="8"/>
        <v>107</v>
      </c>
      <c r="L29" s="13">
        <f t="shared" si="8"/>
        <v>100</v>
      </c>
      <c r="M29" s="13">
        <f t="shared" si="8"/>
        <v>113</v>
      </c>
      <c r="N29" s="13">
        <f t="shared" si="8"/>
        <v>115</v>
      </c>
      <c r="O29" s="13">
        <f t="shared" si="8"/>
        <v>105</v>
      </c>
      <c r="P29" s="13">
        <f t="shared" si="8"/>
        <v>100</v>
      </c>
      <c r="Q29" s="13">
        <f t="shared" si="8"/>
        <v>112</v>
      </c>
      <c r="R29" s="13">
        <f t="shared" si="8"/>
        <v>105</v>
      </c>
      <c r="S29" s="13">
        <f t="shared" si="8"/>
        <v>103</v>
      </c>
      <c r="T29" s="13">
        <f t="shared" si="8"/>
        <v>110</v>
      </c>
      <c r="U29" s="13">
        <f t="shared" si="8"/>
        <v>113</v>
      </c>
      <c r="V29" s="13">
        <f t="shared" si="8"/>
        <v>112</v>
      </c>
      <c r="W29" s="13">
        <f t="shared" si="8"/>
        <v>87</v>
      </c>
      <c r="X29" s="13">
        <f t="shared" si="8"/>
        <v>113</v>
      </c>
      <c r="Y29" s="13">
        <f t="shared" si="8"/>
        <v>121</v>
      </c>
      <c r="Z29" s="13">
        <f t="shared" si="8"/>
        <v>59</v>
      </c>
      <c r="AA29" s="13">
        <f t="shared" si="8"/>
        <v>115</v>
      </c>
      <c r="AB29" s="13">
        <f t="shared" si="8"/>
        <v>104</v>
      </c>
      <c r="AC29" s="13">
        <f t="shared" si="8"/>
        <v>125</v>
      </c>
      <c r="AD29" s="13">
        <f t="shared" si="8"/>
        <v>115</v>
      </c>
      <c r="AE29" s="13">
        <f t="shared" si="8"/>
        <v>112</v>
      </c>
      <c r="AF29" s="13">
        <f t="shared" si="8"/>
        <v>120</v>
      </c>
      <c r="AG29" s="13">
        <f t="shared" si="8"/>
        <v>86</v>
      </c>
      <c r="AH29" s="13">
        <f t="shared" si="8"/>
        <v>103</v>
      </c>
      <c r="AI29" s="13">
        <f t="shared" si="8"/>
        <v>112</v>
      </c>
      <c r="AJ29" s="13">
        <f t="shared" si="8"/>
        <v>124</v>
      </c>
      <c r="AK29" s="13">
        <f t="shared" si="8"/>
        <v>111</v>
      </c>
      <c r="AL29" s="13">
        <f t="shared" si="8"/>
        <v>106</v>
      </c>
      <c r="AM29" s="13">
        <f t="shared" si="3"/>
        <v>3631</v>
      </c>
    </row>
    <row r="30" ht="12.75" customHeight="1">
      <c r="A30" s="35"/>
      <c r="B30" s="28"/>
      <c r="C30" s="36"/>
      <c r="D30" s="13" t="s">
        <v>14</v>
      </c>
      <c r="E30" s="13">
        <f t="shared" ref="E30:AL30" si="9">SUM(E28:E29)</f>
        <v>195</v>
      </c>
      <c r="F30" s="13">
        <f t="shared" si="9"/>
        <v>213</v>
      </c>
      <c r="G30" s="13">
        <f t="shared" si="9"/>
        <v>178</v>
      </c>
      <c r="H30" s="13">
        <f t="shared" si="9"/>
        <v>193</v>
      </c>
      <c r="I30" s="13">
        <f t="shared" si="9"/>
        <v>219</v>
      </c>
      <c r="J30" s="13">
        <f t="shared" si="9"/>
        <v>182</v>
      </c>
      <c r="K30" s="13">
        <f t="shared" si="9"/>
        <v>204</v>
      </c>
      <c r="L30" s="13">
        <f t="shared" si="9"/>
        <v>193</v>
      </c>
      <c r="M30" s="13">
        <f t="shared" si="9"/>
        <v>209</v>
      </c>
      <c r="N30" s="13">
        <f t="shared" si="9"/>
        <v>221</v>
      </c>
      <c r="O30" s="13">
        <f t="shared" si="9"/>
        <v>198</v>
      </c>
      <c r="P30" s="13">
        <f t="shared" si="9"/>
        <v>198</v>
      </c>
      <c r="Q30" s="13">
        <f t="shared" si="9"/>
        <v>213</v>
      </c>
      <c r="R30" s="13">
        <f t="shared" si="9"/>
        <v>200</v>
      </c>
      <c r="S30" s="13">
        <f t="shared" si="9"/>
        <v>202</v>
      </c>
      <c r="T30" s="13">
        <f t="shared" si="9"/>
        <v>217</v>
      </c>
      <c r="U30" s="13">
        <f t="shared" si="9"/>
        <v>213</v>
      </c>
      <c r="V30" s="13">
        <f t="shared" si="9"/>
        <v>200</v>
      </c>
      <c r="W30" s="13">
        <f t="shared" si="9"/>
        <v>187</v>
      </c>
      <c r="X30" s="13">
        <f t="shared" si="9"/>
        <v>208</v>
      </c>
      <c r="Y30" s="13">
        <f t="shared" si="9"/>
        <v>222</v>
      </c>
      <c r="Z30" s="13">
        <f t="shared" si="9"/>
        <v>114</v>
      </c>
      <c r="AA30" s="13">
        <f t="shared" si="9"/>
        <v>215</v>
      </c>
      <c r="AB30" s="13">
        <f t="shared" si="9"/>
        <v>205</v>
      </c>
      <c r="AC30" s="13">
        <f t="shared" si="9"/>
        <v>231</v>
      </c>
      <c r="AD30" s="13">
        <f t="shared" si="9"/>
        <v>219</v>
      </c>
      <c r="AE30" s="13">
        <f t="shared" si="9"/>
        <v>216</v>
      </c>
      <c r="AF30" s="13">
        <f t="shared" si="9"/>
        <v>240</v>
      </c>
      <c r="AG30" s="13">
        <f t="shared" si="9"/>
        <v>185</v>
      </c>
      <c r="AH30" s="13">
        <f t="shared" si="9"/>
        <v>182</v>
      </c>
      <c r="AI30" s="13">
        <f t="shared" si="9"/>
        <v>197</v>
      </c>
      <c r="AJ30" s="13">
        <f t="shared" si="9"/>
        <v>222</v>
      </c>
      <c r="AK30" s="13">
        <f t="shared" si="9"/>
        <v>209</v>
      </c>
      <c r="AL30" s="13">
        <f t="shared" si="9"/>
        <v>199</v>
      </c>
      <c r="AM30" s="13">
        <f t="shared" si="3"/>
        <v>6899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19"/>
      <c r="T31" s="19"/>
      <c r="U31" s="19"/>
      <c r="V31" s="19"/>
      <c r="W31" s="19"/>
      <c r="X31" s="19"/>
      <c r="Y31" s="19"/>
      <c r="Z31" s="19"/>
      <c r="AA31" s="75"/>
      <c r="AB31" s="75"/>
      <c r="AC31" s="75"/>
      <c r="AD31" s="75"/>
      <c r="AE31" s="75"/>
      <c r="AF31" s="19"/>
      <c r="AG31" s="75"/>
      <c r="AH31" s="75"/>
      <c r="AI31" s="75"/>
      <c r="AJ31" s="75"/>
      <c r="AK31" s="75"/>
      <c r="AL31" s="75"/>
      <c r="AM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77"/>
      <c r="S32" s="13"/>
      <c r="T32" s="13"/>
      <c r="U32" s="13"/>
      <c r="V32" s="13"/>
      <c r="W32" s="13"/>
      <c r="X32" s="13"/>
      <c r="Y32" s="13"/>
      <c r="Z32" s="13"/>
      <c r="AA32" s="77"/>
      <c r="AB32" s="77"/>
      <c r="AC32" s="77"/>
      <c r="AD32" s="77"/>
      <c r="AE32" s="77"/>
      <c r="AF32" s="13"/>
      <c r="AG32" s="77"/>
      <c r="AH32" s="77"/>
      <c r="AI32" s="77"/>
      <c r="AJ32" s="77"/>
      <c r="AK32" s="77"/>
      <c r="AL32" s="77"/>
      <c r="AM32" s="76"/>
    </row>
    <row r="33" ht="12.75" customHeight="1">
      <c r="A33" s="19">
        <v>1.0</v>
      </c>
      <c r="B33" s="20" t="s">
        <v>27</v>
      </c>
      <c r="C33" s="15"/>
      <c r="D33" s="16"/>
      <c r="E33" s="19">
        <v>285.0</v>
      </c>
      <c r="F33" s="19">
        <v>290.0</v>
      </c>
      <c r="G33" s="19">
        <v>235.0</v>
      </c>
      <c r="H33" s="19">
        <v>243.0</v>
      </c>
      <c r="I33" s="19">
        <v>270.0</v>
      </c>
      <c r="J33" s="19">
        <v>240.0</v>
      </c>
      <c r="K33" s="19">
        <v>255.0</v>
      </c>
      <c r="L33" s="19">
        <v>253.0</v>
      </c>
      <c r="M33" s="19">
        <v>285.0</v>
      </c>
      <c r="N33" s="19">
        <v>286.0</v>
      </c>
      <c r="O33" s="19">
        <v>268.0</v>
      </c>
      <c r="P33" s="19">
        <v>246.0</v>
      </c>
      <c r="Q33" s="19">
        <v>254.0</v>
      </c>
      <c r="R33" s="19">
        <v>257.0</v>
      </c>
      <c r="S33" s="19">
        <v>264.0</v>
      </c>
      <c r="T33" s="19">
        <v>273.0</v>
      </c>
      <c r="U33" s="19">
        <v>267.0</v>
      </c>
      <c r="V33" s="19">
        <v>257.0</v>
      </c>
      <c r="W33" s="19">
        <v>256.0</v>
      </c>
      <c r="X33" s="19">
        <v>267.0</v>
      </c>
      <c r="Y33" s="19">
        <v>286.0</v>
      </c>
      <c r="Z33" s="19">
        <v>157.0</v>
      </c>
      <c r="AA33" s="19">
        <v>280.0</v>
      </c>
      <c r="AB33" s="19">
        <v>275.0</v>
      </c>
      <c r="AC33" s="19">
        <v>298.0</v>
      </c>
      <c r="AD33" s="19">
        <v>293.0</v>
      </c>
      <c r="AE33" s="19">
        <v>298.0</v>
      </c>
      <c r="AF33" s="19">
        <v>296.0</v>
      </c>
      <c r="AG33" s="19">
        <v>237.0</v>
      </c>
      <c r="AH33" s="19">
        <v>234.0</v>
      </c>
      <c r="AI33" s="19">
        <v>259.0</v>
      </c>
      <c r="AJ33" s="19">
        <v>275.0</v>
      </c>
      <c r="AK33" s="19">
        <v>264.0</v>
      </c>
      <c r="AL33" s="19">
        <v>270.0</v>
      </c>
      <c r="AM33" s="13">
        <f t="shared" ref="AM33:AM36" si="10">SUM(E33:AL33)</f>
        <v>8973</v>
      </c>
    </row>
    <row r="34" ht="12.75" customHeight="1">
      <c r="A34" s="19">
        <v>2.0</v>
      </c>
      <c r="B34" s="20" t="s">
        <v>28</v>
      </c>
      <c r="C34" s="15"/>
      <c r="D34" s="16"/>
      <c r="E34" s="13">
        <v>195.0</v>
      </c>
      <c r="F34" s="13">
        <v>213.0</v>
      </c>
      <c r="G34" s="13">
        <v>178.0</v>
      </c>
      <c r="H34" s="13">
        <v>193.0</v>
      </c>
      <c r="I34" s="13">
        <v>219.0</v>
      </c>
      <c r="J34" s="13">
        <v>182.0</v>
      </c>
      <c r="K34" s="13">
        <v>204.0</v>
      </c>
      <c r="L34" s="13">
        <v>193.0</v>
      </c>
      <c r="M34" s="13">
        <v>209.0</v>
      </c>
      <c r="N34" s="13">
        <v>221.0</v>
      </c>
      <c r="O34" s="13">
        <v>198.0</v>
      </c>
      <c r="P34" s="13">
        <v>198.0</v>
      </c>
      <c r="Q34" s="13">
        <v>213.0</v>
      </c>
      <c r="R34" s="13">
        <v>200.0</v>
      </c>
      <c r="S34" s="13">
        <v>202.0</v>
      </c>
      <c r="T34" s="13">
        <v>217.0</v>
      </c>
      <c r="U34" s="13">
        <v>213.0</v>
      </c>
      <c r="V34" s="13">
        <v>200.0</v>
      </c>
      <c r="W34" s="13">
        <v>187.0</v>
      </c>
      <c r="X34" s="13">
        <v>208.0</v>
      </c>
      <c r="Y34" s="13">
        <v>222.0</v>
      </c>
      <c r="Z34" s="13">
        <v>114.0</v>
      </c>
      <c r="AA34" s="13">
        <v>215.0</v>
      </c>
      <c r="AB34" s="13">
        <v>205.0</v>
      </c>
      <c r="AC34" s="13">
        <v>231.0</v>
      </c>
      <c r="AD34" s="13">
        <v>219.0</v>
      </c>
      <c r="AE34" s="13">
        <v>216.0</v>
      </c>
      <c r="AF34" s="13">
        <v>240.0</v>
      </c>
      <c r="AG34" s="13">
        <v>185.0</v>
      </c>
      <c r="AH34" s="13">
        <v>182.0</v>
      </c>
      <c r="AI34" s="13">
        <v>197.0</v>
      </c>
      <c r="AJ34" s="13">
        <v>222.0</v>
      </c>
      <c r="AK34" s="13">
        <v>209.0</v>
      </c>
      <c r="AL34" s="13">
        <v>199.0</v>
      </c>
      <c r="AM34" s="13">
        <f t="shared" si="10"/>
        <v>6899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1.0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1.0</v>
      </c>
      <c r="V35" s="19">
        <v>0.0</v>
      </c>
      <c r="W35" s="19">
        <v>0.0</v>
      </c>
      <c r="X35" s="19">
        <v>0.0</v>
      </c>
      <c r="Y35" s="19">
        <v>1.0</v>
      </c>
      <c r="Z35" s="19">
        <v>0.0</v>
      </c>
      <c r="AA35" s="19">
        <v>1.0</v>
      </c>
      <c r="AB35" s="19">
        <v>1.0</v>
      </c>
      <c r="AC35" s="19">
        <v>1.0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0.0</v>
      </c>
      <c r="AJ35" s="19">
        <v>0.0</v>
      </c>
      <c r="AK35" s="19">
        <v>0.0</v>
      </c>
      <c r="AL35" s="19">
        <v>1.0</v>
      </c>
      <c r="AM35" s="13">
        <f t="shared" si="10"/>
        <v>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L36" si="11">E33-(E34+E35)</f>
        <v>90</v>
      </c>
      <c r="F36" s="13">
        <f t="shared" si="11"/>
        <v>77</v>
      </c>
      <c r="G36" s="13">
        <f t="shared" si="11"/>
        <v>57</v>
      </c>
      <c r="H36" s="13">
        <f t="shared" si="11"/>
        <v>50</v>
      </c>
      <c r="I36" s="13">
        <f t="shared" si="11"/>
        <v>51</v>
      </c>
      <c r="J36" s="13">
        <f t="shared" si="11"/>
        <v>58</v>
      </c>
      <c r="K36" s="13">
        <f t="shared" si="11"/>
        <v>51</v>
      </c>
      <c r="L36" s="13">
        <f t="shared" si="11"/>
        <v>59</v>
      </c>
      <c r="M36" s="13">
        <f t="shared" si="11"/>
        <v>76</v>
      </c>
      <c r="N36" s="13">
        <f t="shared" si="11"/>
        <v>65</v>
      </c>
      <c r="O36" s="13">
        <f t="shared" si="11"/>
        <v>70</v>
      </c>
      <c r="P36" s="13">
        <f t="shared" si="11"/>
        <v>48</v>
      </c>
      <c r="Q36" s="13">
        <f t="shared" si="11"/>
        <v>41</v>
      </c>
      <c r="R36" s="13">
        <f t="shared" si="11"/>
        <v>57</v>
      </c>
      <c r="S36" s="13">
        <f t="shared" si="11"/>
        <v>62</v>
      </c>
      <c r="T36" s="13">
        <f t="shared" si="11"/>
        <v>56</v>
      </c>
      <c r="U36" s="13">
        <f t="shared" si="11"/>
        <v>53</v>
      </c>
      <c r="V36" s="13">
        <f t="shared" si="11"/>
        <v>57</v>
      </c>
      <c r="W36" s="13">
        <f t="shared" si="11"/>
        <v>69</v>
      </c>
      <c r="X36" s="13">
        <f t="shared" si="11"/>
        <v>59</v>
      </c>
      <c r="Y36" s="13">
        <f t="shared" si="11"/>
        <v>63</v>
      </c>
      <c r="Z36" s="13">
        <f t="shared" si="11"/>
        <v>43</v>
      </c>
      <c r="AA36" s="13">
        <f t="shared" si="11"/>
        <v>64</v>
      </c>
      <c r="AB36" s="13">
        <f t="shared" si="11"/>
        <v>69</v>
      </c>
      <c r="AC36" s="13">
        <f t="shared" si="11"/>
        <v>66</v>
      </c>
      <c r="AD36" s="13">
        <f t="shared" si="11"/>
        <v>74</v>
      </c>
      <c r="AE36" s="13">
        <f t="shared" si="11"/>
        <v>82</v>
      </c>
      <c r="AF36" s="13">
        <f t="shared" si="11"/>
        <v>56</v>
      </c>
      <c r="AG36" s="13">
        <f t="shared" si="11"/>
        <v>52</v>
      </c>
      <c r="AH36" s="13">
        <f t="shared" si="11"/>
        <v>52</v>
      </c>
      <c r="AI36" s="13">
        <f t="shared" si="11"/>
        <v>62</v>
      </c>
      <c r="AJ36" s="13">
        <f t="shared" si="11"/>
        <v>53</v>
      </c>
      <c r="AK36" s="13">
        <f t="shared" si="11"/>
        <v>55</v>
      </c>
      <c r="AL36" s="13">
        <f t="shared" si="11"/>
        <v>70</v>
      </c>
      <c r="AM36" s="13">
        <f t="shared" si="10"/>
        <v>2067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6"/>
      <c r="W37" s="19"/>
      <c r="X37" s="19"/>
      <c r="Y37" s="19"/>
      <c r="Z37" s="19"/>
      <c r="AA37" s="75"/>
      <c r="AB37" s="81"/>
      <c r="AC37" s="81"/>
      <c r="AD37" s="81"/>
      <c r="AE37" s="81"/>
      <c r="AF37" s="19"/>
      <c r="AG37" s="75"/>
      <c r="AH37" s="81"/>
      <c r="AI37" s="81"/>
      <c r="AJ37" s="81"/>
      <c r="AK37" s="81"/>
      <c r="AL37" s="81"/>
      <c r="AM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77"/>
      <c r="S38" s="13"/>
      <c r="T38" s="13"/>
      <c r="U38" s="13"/>
      <c r="V38" s="13"/>
      <c r="W38" s="13"/>
      <c r="X38" s="13"/>
      <c r="Y38" s="13"/>
      <c r="Z38" s="13"/>
      <c r="AA38" s="77"/>
      <c r="AB38" s="77"/>
      <c r="AC38" s="77"/>
      <c r="AD38" s="77"/>
      <c r="AE38" s="77"/>
      <c r="AF38" s="13"/>
      <c r="AG38" s="77"/>
      <c r="AH38" s="77"/>
      <c r="AI38" s="77"/>
      <c r="AJ38" s="77"/>
      <c r="AK38" s="77"/>
      <c r="AL38" s="77"/>
      <c r="AM38" s="76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1.0</v>
      </c>
      <c r="G39" s="19">
        <v>0.0</v>
      </c>
      <c r="H39" s="19">
        <v>0.0</v>
      </c>
      <c r="I39" s="19">
        <v>0.0</v>
      </c>
      <c r="J39" s="19">
        <v>0.0</v>
      </c>
      <c r="K39" s="19">
        <v>1.0</v>
      </c>
      <c r="L39" s="19">
        <v>0.0</v>
      </c>
      <c r="M39" s="19">
        <v>1.0</v>
      </c>
      <c r="N39" s="19">
        <v>0.0</v>
      </c>
      <c r="O39" s="19">
        <v>0.0</v>
      </c>
      <c r="P39" s="19">
        <v>0.0</v>
      </c>
      <c r="Q39" s="19">
        <v>0.0</v>
      </c>
      <c r="R39" s="19">
        <v>1.0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1.0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9">
        <v>0.0</v>
      </c>
      <c r="AM39" s="13">
        <f t="shared" ref="AM39:AM41" si="12">SUM(E39:AL39)</f>
        <v>6</v>
      </c>
    </row>
    <row r="40" ht="12.75" customHeight="1">
      <c r="A40" s="33"/>
      <c r="C40" s="27"/>
      <c r="D40" s="19" t="s">
        <v>13</v>
      </c>
      <c r="E40" s="19">
        <v>1.0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4.0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3.0</v>
      </c>
      <c r="AM40" s="13">
        <f t="shared" si="12"/>
        <v>8</v>
      </c>
    </row>
    <row r="41" ht="12.75" customHeight="1">
      <c r="A41" s="41"/>
      <c r="B41" s="44"/>
      <c r="C41" s="28"/>
      <c r="D41" s="13" t="s">
        <v>14</v>
      </c>
      <c r="E41" s="13">
        <f t="shared" ref="E41:AL41" si="13">SUM(E39:E40)</f>
        <v>2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0</v>
      </c>
      <c r="M41" s="13">
        <f t="shared" si="13"/>
        <v>5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1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1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3</v>
      </c>
      <c r="AM41" s="13">
        <f t="shared" si="12"/>
        <v>14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6"/>
      <c r="W42" s="19"/>
      <c r="X42" s="19"/>
      <c r="Y42" s="19"/>
      <c r="Z42" s="19"/>
      <c r="AA42" s="75"/>
      <c r="AB42" s="19"/>
      <c r="AC42" s="75"/>
      <c r="AD42" s="19"/>
      <c r="AE42" s="75"/>
      <c r="AF42" s="19"/>
      <c r="AG42" s="75"/>
      <c r="AH42" s="19"/>
      <c r="AI42" s="75"/>
      <c r="AJ42" s="19"/>
      <c r="AK42" s="75"/>
      <c r="AL42" s="19"/>
      <c r="AM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77"/>
      <c r="S43" s="13"/>
      <c r="T43" s="13"/>
      <c r="U43" s="13"/>
      <c r="V43" s="13"/>
      <c r="W43" s="13"/>
      <c r="X43" s="13"/>
      <c r="Y43" s="13"/>
      <c r="Z43" s="13"/>
      <c r="AA43" s="77"/>
      <c r="AB43" s="13"/>
      <c r="AC43" s="77"/>
      <c r="AD43" s="13"/>
      <c r="AE43" s="77"/>
      <c r="AF43" s="13"/>
      <c r="AG43" s="77"/>
      <c r="AH43" s="13"/>
      <c r="AI43" s="77"/>
      <c r="AJ43" s="13"/>
      <c r="AK43" s="77"/>
      <c r="AL43" s="13"/>
      <c r="AM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75"/>
      <c r="S44" s="19"/>
      <c r="T44" s="19"/>
      <c r="U44" s="19"/>
      <c r="V44" s="19"/>
      <c r="W44" s="19"/>
      <c r="X44" s="19"/>
      <c r="Y44" s="19"/>
      <c r="Z44" s="19"/>
      <c r="AA44" s="75"/>
      <c r="AB44" s="19"/>
      <c r="AC44" s="75"/>
      <c r="AD44" s="19"/>
      <c r="AE44" s="75"/>
      <c r="AF44" s="19"/>
      <c r="AG44" s="75"/>
      <c r="AH44" s="19"/>
      <c r="AI44" s="75"/>
      <c r="AJ44" s="19"/>
      <c r="AK44" s="75"/>
      <c r="AL44" s="19"/>
      <c r="AM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8.0</v>
      </c>
      <c r="F45" s="19">
        <v>5.0</v>
      </c>
      <c r="G45" s="19">
        <v>9.0</v>
      </c>
      <c r="H45" s="19">
        <v>3.0</v>
      </c>
      <c r="I45" s="19">
        <v>10.0</v>
      </c>
      <c r="J45" s="19">
        <v>18.0</v>
      </c>
      <c r="K45" s="19">
        <v>4.0</v>
      </c>
      <c r="L45" s="19">
        <v>7.0</v>
      </c>
      <c r="M45" s="19">
        <v>13.0</v>
      </c>
      <c r="N45" s="19">
        <v>5.0</v>
      </c>
      <c r="O45" s="19">
        <v>7.0</v>
      </c>
      <c r="P45" s="19">
        <v>9.0</v>
      </c>
      <c r="Q45" s="19">
        <v>15.0</v>
      </c>
      <c r="R45" s="19">
        <v>9.0</v>
      </c>
      <c r="S45" s="19">
        <v>3.0</v>
      </c>
      <c r="T45" s="19">
        <v>4.0</v>
      </c>
      <c r="U45" s="19">
        <v>6.0</v>
      </c>
      <c r="V45" s="19">
        <v>8.0</v>
      </c>
      <c r="W45" s="19">
        <v>12.0</v>
      </c>
      <c r="X45" s="19">
        <v>9.0</v>
      </c>
      <c r="Y45" s="19">
        <v>3.0</v>
      </c>
      <c r="Z45" s="19">
        <v>5.0</v>
      </c>
      <c r="AA45" s="19">
        <v>3.0</v>
      </c>
      <c r="AB45" s="19">
        <v>10.0</v>
      </c>
      <c r="AC45" s="19">
        <v>7.0</v>
      </c>
      <c r="AD45" s="19">
        <v>6.0</v>
      </c>
      <c r="AE45" s="19">
        <v>4.0</v>
      </c>
      <c r="AF45" s="19">
        <v>0.0</v>
      </c>
      <c r="AG45" s="19">
        <v>2.0</v>
      </c>
      <c r="AH45" s="19">
        <v>7.0</v>
      </c>
      <c r="AI45" s="19">
        <v>2.0</v>
      </c>
      <c r="AJ45" s="19">
        <v>1.0</v>
      </c>
      <c r="AK45" s="19">
        <v>2.0</v>
      </c>
      <c r="AL45" s="19">
        <v>4.0</v>
      </c>
      <c r="AM45" s="13">
        <f t="shared" ref="AM45:AM54" si="14">SUM(E45:AL45)</f>
        <v>220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20.0</v>
      </c>
      <c r="F46" s="19">
        <v>30.0</v>
      </c>
      <c r="G46" s="19">
        <v>15.0</v>
      </c>
      <c r="H46" s="19">
        <v>22.0</v>
      </c>
      <c r="I46" s="19">
        <v>12.0</v>
      </c>
      <c r="J46" s="19">
        <v>17.0</v>
      </c>
      <c r="K46" s="19">
        <v>8.0</v>
      </c>
      <c r="L46" s="19">
        <v>13.0</v>
      </c>
      <c r="M46" s="19">
        <v>17.0</v>
      </c>
      <c r="N46" s="19">
        <v>9.0</v>
      </c>
      <c r="O46" s="19">
        <v>15.0</v>
      </c>
      <c r="P46" s="19">
        <v>10.0</v>
      </c>
      <c r="Q46" s="19">
        <v>33.0</v>
      </c>
      <c r="R46" s="19">
        <v>20.0</v>
      </c>
      <c r="S46" s="19">
        <v>8.0</v>
      </c>
      <c r="T46" s="19">
        <v>14.0</v>
      </c>
      <c r="U46" s="19">
        <v>6.0</v>
      </c>
      <c r="V46" s="19">
        <v>7.0</v>
      </c>
      <c r="W46" s="19">
        <v>7.0</v>
      </c>
      <c r="X46" s="19">
        <v>27.0</v>
      </c>
      <c r="Y46" s="19">
        <v>9.0</v>
      </c>
      <c r="Z46" s="19">
        <v>8.0</v>
      </c>
      <c r="AA46" s="19">
        <v>13.0</v>
      </c>
      <c r="AB46" s="19">
        <v>26.0</v>
      </c>
      <c r="AC46" s="19">
        <v>18.0</v>
      </c>
      <c r="AD46" s="19">
        <v>14.0</v>
      </c>
      <c r="AE46" s="19">
        <v>5.0</v>
      </c>
      <c r="AF46" s="19">
        <v>2.0</v>
      </c>
      <c r="AG46" s="19">
        <v>8.0</v>
      </c>
      <c r="AH46" s="19">
        <v>4.0</v>
      </c>
      <c r="AI46" s="19">
        <v>6.0</v>
      </c>
      <c r="AJ46" s="19">
        <v>2.0</v>
      </c>
      <c r="AK46" s="19">
        <v>7.0</v>
      </c>
      <c r="AL46" s="19">
        <v>7.0</v>
      </c>
      <c r="AM46" s="13">
        <f t="shared" si="14"/>
        <v>439</v>
      </c>
    </row>
    <row r="47" ht="12.75" customHeight="1">
      <c r="A47" s="18"/>
      <c r="B47" s="55">
        <v>2.0</v>
      </c>
      <c r="C47" s="50" t="s">
        <v>41</v>
      </c>
      <c r="D47" s="16"/>
      <c r="E47" s="19">
        <v>6.0</v>
      </c>
      <c r="F47" s="19">
        <v>3.0</v>
      </c>
      <c r="G47" s="19">
        <v>14.0</v>
      </c>
      <c r="H47" s="19">
        <v>9.0</v>
      </c>
      <c r="I47" s="19">
        <v>20.0</v>
      </c>
      <c r="J47" s="19">
        <v>5.0</v>
      </c>
      <c r="K47" s="19">
        <v>9.0</v>
      </c>
      <c r="L47" s="19">
        <v>7.0</v>
      </c>
      <c r="M47" s="19">
        <v>9.0</v>
      </c>
      <c r="N47" s="19">
        <v>2.0</v>
      </c>
      <c r="O47" s="19">
        <v>12.0</v>
      </c>
      <c r="P47" s="19">
        <v>9.0</v>
      </c>
      <c r="Q47" s="19">
        <v>16.0</v>
      </c>
      <c r="R47" s="19">
        <v>5.0</v>
      </c>
      <c r="S47" s="19">
        <v>3.0</v>
      </c>
      <c r="T47" s="19">
        <v>1.0</v>
      </c>
      <c r="U47" s="19">
        <v>3.0</v>
      </c>
      <c r="V47" s="19">
        <v>0.0</v>
      </c>
      <c r="W47" s="19">
        <v>5.0</v>
      </c>
      <c r="X47" s="19">
        <v>14.0</v>
      </c>
      <c r="Y47" s="19">
        <v>2.0</v>
      </c>
      <c r="Z47" s="19">
        <v>4.0</v>
      </c>
      <c r="AA47" s="19">
        <v>32.0</v>
      </c>
      <c r="AB47" s="19">
        <v>61.0</v>
      </c>
      <c r="AC47" s="19">
        <v>22.0</v>
      </c>
      <c r="AD47" s="19">
        <v>15.0</v>
      </c>
      <c r="AE47" s="19">
        <v>2.0</v>
      </c>
      <c r="AF47" s="19">
        <v>0.0</v>
      </c>
      <c r="AG47" s="19">
        <v>8.0</v>
      </c>
      <c r="AH47" s="19">
        <v>0.0</v>
      </c>
      <c r="AI47" s="19">
        <v>3.0</v>
      </c>
      <c r="AJ47" s="19">
        <v>4.0</v>
      </c>
      <c r="AK47" s="19">
        <v>11.0</v>
      </c>
      <c r="AL47" s="19">
        <v>2.0</v>
      </c>
      <c r="AM47" s="13">
        <f t="shared" si="14"/>
        <v>318</v>
      </c>
    </row>
    <row r="48" ht="12.75" customHeight="1">
      <c r="A48" s="18"/>
      <c r="B48" s="55">
        <v>3.0</v>
      </c>
      <c r="C48" s="50" t="s">
        <v>42</v>
      </c>
      <c r="D48" s="16"/>
      <c r="E48" s="19">
        <v>2.0</v>
      </c>
      <c r="F48" s="19">
        <v>2.0</v>
      </c>
      <c r="G48" s="19">
        <v>2.0</v>
      </c>
      <c r="H48" s="19">
        <v>1.0</v>
      </c>
      <c r="I48" s="19">
        <v>3.0</v>
      </c>
      <c r="J48" s="19">
        <v>3.0</v>
      </c>
      <c r="K48" s="19">
        <v>1.0</v>
      </c>
      <c r="L48" s="19">
        <v>1.0</v>
      </c>
      <c r="M48" s="19">
        <v>0.0</v>
      </c>
      <c r="N48" s="19">
        <v>0.0</v>
      </c>
      <c r="O48" s="19">
        <v>0.0</v>
      </c>
      <c r="P48" s="19">
        <v>5.0</v>
      </c>
      <c r="Q48" s="19">
        <v>5.0</v>
      </c>
      <c r="R48" s="19">
        <v>1.0</v>
      </c>
      <c r="S48" s="19">
        <v>0.0</v>
      </c>
      <c r="T48" s="19">
        <v>0.0</v>
      </c>
      <c r="U48" s="19">
        <v>1.0</v>
      </c>
      <c r="V48" s="19">
        <v>0.0</v>
      </c>
      <c r="W48" s="19">
        <v>1.0</v>
      </c>
      <c r="X48" s="19">
        <v>0.0</v>
      </c>
      <c r="Y48" s="19">
        <v>3.0</v>
      </c>
      <c r="Z48" s="19">
        <v>0.0</v>
      </c>
      <c r="AA48" s="19">
        <v>6.0</v>
      </c>
      <c r="AB48" s="19">
        <v>5.0</v>
      </c>
      <c r="AC48" s="19">
        <v>5.0</v>
      </c>
      <c r="AD48" s="19">
        <v>2.0</v>
      </c>
      <c r="AE48" s="19">
        <v>0.0</v>
      </c>
      <c r="AF48" s="19">
        <v>0.0</v>
      </c>
      <c r="AG48" s="19">
        <v>1.0</v>
      </c>
      <c r="AH48" s="19">
        <v>0.0</v>
      </c>
      <c r="AI48" s="19">
        <v>0.0</v>
      </c>
      <c r="AJ48" s="19">
        <v>0.0</v>
      </c>
      <c r="AK48" s="19">
        <v>0.0</v>
      </c>
      <c r="AL48" s="19">
        <v>0.0</v>
      </c>
      <c r="AM48" s="13">
        <f t="shared" si="14"/>
        <v>50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2.0</v>
      </c>
      <c r="G49" s="19">
        <v>4.0</v>
      </c>
      <c r="H49" s="19">
        <v>0.0</v>
      </c>
      <c r="I49" s="19">
        <v>0.0</v>
      </c>
      <c r="J49" s="19">
        <v>1.0</v>
      </c>
      <c r="K49" s="19">
        <v>1.0</v>
      </c>
      <c r="L49" s="19">
        <v>0.0</v>
      </c>
      <c r="M49" s="19">
        <v>2.0</v>
      </c>
      <c r="N49" s="19">
        <v>2.0</v>
      </c>
      <c r="O49" s="19">
        <v>0.0</v>
      </c>
      <c r="P49" s="19">
        <v>2.0</v>
      </c>
      <c r="Q49" s="19">
        <v>2.0</v>
      </c>
      <c r="R49" s="19">
        <v>0.0</v>
      </c>
      <c r="S49" s="19">
        <v>0.0</v>
      </c>
      <c r="T49" s="19">
        <v>1.0</v>
      </c>
      <c r="U49" s="19">
        <v>0.0</v>
      </c>
      <c r="V49" s="19">
        <v>0.0</v>
      </c>
      <c r="W49" s="19">
        <v>0.0</v>
      </c>
      <c r="X49" s="19">
        <v>4.0</v>
      </c>
      <c r="Y49" s="19">
        <v>1.0</v>
      </c>
      <c r="Z49" s="19">
        <v>1.0</v>
      </c>
      <c r="AA49" s="19">
        <v>2.0</v>
      </c>
      <c r="AB49" s="19">
        <v>0.0</v>
      </c>
      <c r="AC49" s="19">
        <v>1.0</v>
      </c>
      <c r="AD49" s="19">
        <v>0.0</v>
      </c>
      <c r="AE49" s="19">
        <v>1.0</v>
      </c>
      <c r="AF49" s="19">
        <v>0.0</v>
      </c>
      <c r="AG49" s="19">
        <v>1.0</v>
      </c>
      <c r="AH49" s="19">
        <v>0.0</v>
      </c>
      <c r="AI49" s="19">
        <v>0.0</v>
      </c>
      <c r="AJ49" s="19">
        <v>1.0</v>
      </c>
      <c r="AK49" s="19">
        <v>1.0</v>
      </c>
      <c r="AL49" s="19">
        <v>0.0</v>
      </c>
      <c r="AM49" s="13">
        <f t="shared" si="14"/>
        <v>30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1.0</v>
      </c>
      <c r="G50" s="19">
        <v>0.0</v>
      </c>
      <c r="H50" s="19">
        <v>2.0</v>
      </c>
      <c r="I50" s="19">
        <v>0.0</v>
      </c>
      <c r="J50" s="19">
        <v>1.0</v>
      </c>
      <c r="K50" s="19">
        <v>0.0</v>
      </c>
      <c r="L50" s="19">
        <v>0.0</v>
      </c>
      <c r="M50" s="19">
        <v>1.0</v>
      </c>
      <c r="N50" s="19">
        <v>1.0</v>
      </c>
      <c r="O50" s="19">
        <v>3.0</v>
      </c>
      <c r="P50" s="19">
        <v>0.0</v>
      </c>
      <c r="Q50" s="19">
        <v>1.0</v>
      </c>
      <c r="R50" s="19">
        <v>1.0</v>
      </c>
      <c r="S50" s="19">
        <v>3.0</v>
      </c>
      <c r="T50" s="19">
        <v>0.0</v>
      </c>
      <c r="U50" s="19">
        <v>1.0</v>
      </c>
      <c r="V50" s="19">
        <v>0.0</v>
      </c>
      <c r="W50" s="19">
        <v>0.0</v>
      </c>
      <c r="X50" s="19">
        <v>0.0</v>
      </c>
      <c r="Y50" s="19">
        <v>1.0</v>
      </c>
      <c r="Z50" s="19">
        <v>0.0</v>
      </c>
      <c r="AA50" s="19">
        <v>0.0</v>
      </c>
      <c r="AB50" s="19">
        <v>0.0</v>
      </c>
      <c r="AC50" s="19">
        <v>0.0</v>
      </c>
      <c r="AD50" s="19">
        <v>2.0</v>
      </c>
      <c r="AE50" s="19">
        <v>0.0</v>
      </c>
      <c r="AF50" s="19">
        <v>1.0</v>
      </c>
      <c r="AG50" s="19">
        <v>0.0</v>
      </c>
      <c r="AH50" s="19">
        <v>0.0</v>
      </c>
      <c r="AI50" s="19">
        <v>0.0</v>
      </c>
      <c r="AJ50" s="19">
        <v>0.0</v>
      </c>
      <c r="AK50" s="19">
        <v>0.0</v>
      </c>
      <c r="AL50" s="19">
        <v>0.0</v>
      </c>
      <c r="AM50" s="13">
        <f t="shared" si="14"/>
        <v>20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1.0</v>
      </c>
      <c r="G51" s="19">
        <v>1.0</v>
      </c>
      <c r="H51" s="19">
        <v>0.0</v>
      </c>
      <c r="I51" s="19">
        <v>1.0</v>
      </c>
      <c r="J51" s="19">
        <v>0.0</v>
      </c>
      <c r="K51" s="19">
        <v>0.0</v>
      </c>
      <c r="L51" s="19">
        <v>1.0</v>
      </c>
      <c r="M51" s="19">
        <v>0.0</v>
      </c>
      <c r="N51" s="19">
        <v>0.0</v>
      </c>
      <c r="O51" s="19">
        <v>0.0</v>
      </c>
      <c r="P51" s="19">
        <v>0.0</v>
      </c>
      <c r="Q51" s="19">
        <v>1.0</v>
      </c>
      <c r="R51" s="19">
        <v>1.0</v>
      </c>
      <c r="S51" s="19">
        <v>0.0</v>
      </c>
      <c r="T51" s="19">
        <v>0.0</v>
      </c>
      <c r="U51" s="19">
        <v>0.0</v>
      </c>
      <c r="V51" s="19">
        <v>1.0</v>
      </c>
      <c r="W51" s="19">
        <v>0.0</v>
      </c>
      <c r="X51" s="19">
        <v>0.0</v>
      </c>
      <c r="Y51" s="19">
        <v>0.0</v>
      </c>
      <c r="Z51" s="19">
        <v>0.0</v>
      </c>
      <c r="AA51" s="19">
        <v>1.0</v>
      </c>
      <c r="AB51" s="19">
        <v>0.0</v>
      </c>
      <c r="AC51" s="19">
        <v>0.0</v>
      </c>
      <c r="AD51" s="19">
        <v>1.0</v>
      </c>
      <c r="AE51" s="19">
        <v>1.0</v>
      </c>
      <c r="AF51" s="19">
        <v>1.0</v>
      </c>
      <c r="AG51" s="19">
        <v>0.0</v>
      </c>
      <c r="AH51" s="19">
        <v>0.0</v>
      </c>
      <c r="AI51" s="19">
        <v>0.0</v>
      </c>
      <c r="AJ51" s="19">
        <v>0.0</v>
      </c>
      <c r="AK51" s="19">
        <v>1.0</v>
      </c>
      <c r="AL51" s="19">
        <v>0.0</v>
      </c>
      <c r="AM51" s="13">
        <f t="shared" si="14"/>
        <v>13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2.0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1.0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2.0</v>
      </c>
      <c r="U52" s="19">
        <v>3.0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1.0</v>
      </c>
      <c r="AD52" s="19">
        <v>0.0</v>
      </c>
      <c r="AE52" s="19">
        <v>0.0</v>
      </c>
      <c r="AF52" s="19">
        <v>0.0</v>
      </c>
      <c r="AG52" s="19">
        <v>0.0</v>
      </c>
      <c r="AH52" s="19">
        <v>0.0</v>
      </c>
      <c r="AI52" s="19">
        <v>0.0</v>
      </c>
      <c r="AJ52" s="19">
        <v>1.0</v>
      </c>
      <c r="AK52" s="19">
        <v>1.0</v>
      </c>
      <c r="AL52" s="19">
        <v>0.0</v>
      </c>
      <c r="AM52" s="13">
        <f t="shared" si="14"/>
        <v>11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M55" si="15">SUM(E45:E54)</f>
        <v>38</v>
      </c>
      <c r="F55" s="13">
        <f t="shared" si="15"/>
        <v>44</v>
      </c>
      <c r="G55" s="13">
        <f t="shared" si="15"/>
        <v>45</v>
      </c>
      <c r="H55" s="13">
        <f t="shared" si="15"/>
        <v>39</v>
      </c>
      <c r="I55" s="13">
        <f t="shared" si="15"/>
        <v>46</v>
      </c>
      <c r="J55" s="13">
        <f t="shared" si="15"/>
        <v>45</v>
      </c>
      <c r="K55" s="13">
        <f t="shared" si="15"/>
        <v>23</v>
      </c>
      <c r="L55" s="13">
        <f t="shared" si="15"/>
        <v>29</v>
      </c>
      <c r="M55" s="13">
        <f t="shared" si="15"/>
        <v>42</v>
      </c>
      <c r="N55" s="13">
        <f t="shared" si="15"/>
        <v>20</v>
      </c>
      <c r="O55" s="13">
        <f t="shared" si="15"/>
        <v>37</v>
      </c>
      <c r="P55" s="13">
        <f t="shared" si="15"/>
        <v>35</v>
      </c>
      <c r="Q55" s="13">
        <f t="shared" si="15"/>
        <v>73</v>
      </c>
      <c r="R55" s="13">
        <f t="shared" si="15"/>
        <v>37</v>
      </c>
      <c r="S55" s="13">
        <f t="shared" si="15"/>
        <v>17</v>
      </c>
      <c r="T55" s="13">
        <f t="shared" si="15"/>
        <v>22</v>
      </c>
      <c r="U55" s="13">
        <f t="shared" si="15"/>
        <v>20</v>
      </c>
      <c r="V55" s="13">
        <f t="shared" si="15"/>
        <v>16</v>
      </c>
      <c r="W55" s="13">
        <f t="shared" si="15"/>
        <v>25</v>
      </c>
      <c r="X55" s="13">
        <f t="shared" si="15"/>
        <v>54</v>
      </c>
      <c r="Y55" s="13">
        <f t="shared" si="15"/>
        <v>19</v>
      </c>
      <c r="Z55" s="13">
        <f t="shared" si="15"/>
        <v>18</v>
      </c>
      <c r="AA55" s="13">
        <f t="shared" si="15"/>
        <v>57</v>
      </c>
      <c r="AB55" s="13">
        <f t="shared" si="15"/>
        <v>102</v>
      </c>
      <c r="AC55" s="13">
        <f t="shared" si="15"/>
        <v>54</v>
      </c>
      <c r="AD55" s="13">
        <f t="shared" si="15"/>
        <v>40</v>
      </c>
      <c r="AE55" s="13">
        <f t="shared" si="15"/>
        <v>13</v>
      </c>
      <c r="AF55" s="13">
        <f t="shared" si="15"/>
        <v>4</v>
      </c>
      <c r="AG55" s="13">
        <f t="shared" si="15"/>
        <v>20</v>
      </c>
      <c r="AH55" s="13">
        <f t="shared" si="15"/>
        <v>11</v>
      </c>
      <c r="AI55" s="13">
        <f t="shared" si="15"/>
        <v>11</v>
      </c>
      <c r="AJ55" s="13">
        <f t="shared" si="15"/>
        <v>9</v>
      </c>
      <c r="AK55" s="13">
        <f t="shared" si="15"/>
        <v>23</v>
      </c>
      <c r="AL55" s="13">
        <f t="shared" si="15"/>
        <v>13</v>
      </c>
      <c r="AM55" s="13">
        <f t="shared" si="15"/>
        <v>1101</v>
      </c>
    </row>
    <row r="56" ht="12.75" customHeight="1">
      <c r="A56" s="45"/>
      <c r="B56" s="44"/>
      <c r="C56" s="44"/>
      <c r="D56" s="44"/>
      <c r="E56" s="44"/>
      <c r="AM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8.0</v>
      </c>
      <c r="F57" s="19">
        <v>7.0</v>
      </c>
      <c r="G57" s="19">
        <v>9.0</v>
      </c>
      <c r="H57" s="19">
        <v>10.0</v>
      </c>
      <c r="I57" s="19">
        <v>4.0</v>
      </c>
      <c r="J57" s="19">
        <v>4.0</v>
      </c>
      <c r="K57" s="19">
        <v>13.0</v>
      </c>
      <c r="L57" s="19">
        <v>7.0</v>
      </c>
      <c r="M57" s="19">
        <v>13.0</v>
      </c>
      <c r="N57" s="19">
        <v>11.0</v>
      </c>
      <c r="O57" s="19">
        <v>14.0</v>
      </c>
      <c r="P57" s="19">
        <v>7.0</v>
      </c>
      <c r="Q57" s="19">
        <v>9.0</v>
      </c>
      <c r="R57" s="19">
        <v>12.0</v>
      </c>
      <c r="S57" s="19">
        <v>6.0</v>
      </c>
      <c r="T57" s="19">
        <v>10.0</v>
      </c>
      <c r="U57" s="19">
        <v>13.0</v>
      </c>
      <c r="V57" s="19">
        <v>11.0</v>
      </c>
      <c r="W57" s="19">
        <v>21.0</v>
      </c>
      <c r="X57" s="19">
        <v>11.0</v>
      </c>
      <c r="Y57" s="19">
        <v>7.0</v>
      </c>
      <c r="Z57" s="19">
        <v>4.0</v>
      </c>
      <c r="AA57" s="19">
        <v>6.0</v>
      </c>
      <c r="AB57" s="19">
        <v>1.0</v>
      </c>
      <c r="AC57" s="19">
        <v>12.0</v>
      </c>
      <c r="AD57" s="19">
        <v>9.0</v>
      </c>
      <c r="AE57" s="19">
        <v>10.0</v>
      </c>
      <c r="AF57" s="19">
        <v>10.0</v>
      </c>
      <c r="AG57" s="19">
        <v>9.0</v>
      </c>
      <c r="AH57" s="19">
        <v>9.0</v>
      </c>
      <c r="AI57" s="19">
        <v>7.0</v>
      </c>
      <c r="AJ57" s="19">
        <v>13.0</v>
      </c>
      <c r="AK57" s="19">
        <v>4.0</v>
      </c>
      <c r="AL57" s="19">
        <v>7.0</v>
      </c>
      <c r="AM57" s="13">
        <f t="shared" ref="AM57:AM66" si="16">SUM(E57:AL57)</f>
        <v>308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13.0</v>
      </c>
      <c r="F58" s="19">
        <v>10.0</v>
      </c>
      <c r="G58" s="19">
        <v>2.0</v>
      </c>
      <c r="H58" s="19">
        <v>9.0</v>
      </c>
      <c r="I58" s="19">
        <v>4.0</v>
      </c>
      <c r="J58" s="19">
        <v>3.0</v>
      </c>
      <c r="K58" s="19">
        <v>11.0</v>
      </c>
      <c r="L58" s="19">
        <v>7.0</v>
      </c>
      <c r="M58" s="19">
        <v>10.0</v>
      </c>
      <c r="N58" s="19">
        <v>15.0</v>
      </c>
      <c r="O58" s="19">
        <v>8.0</v>
      </c>
      <c r="P58" s="19">
        <v>5.0</v>
      </c>
      <c r="Q58" s="19">
        <v>6.0</v>
      </c>
      <c r="R58" s="19">
        <v>6.0</v>
      </c>
      <c r="S58" s="19">
        <v>9.0</v>
      </c>
      <c r="T58" s="19">
        <v>7.0</v>
      </c>
      <c r="U58" s="19">
        <v>15.0</v>
      </c>
      <c r="V58" s="19">
        <v>1.0</v>
      </c>
      <c r="W58" s="19">
        <v>3.0</v>
      </c>
      <c r="X58" s="19">
        <v>5.0</v>
      </c>
      <c r="Y58" s="19">
        <v>10.0</v>
      </c>
      <c r="Z58" s="19">
        <v>5.0</v>
      </c>
      <c r="AA58" s="19">
        <v>8.0</v>
      </c>
      <c r="AB58" s="19">
        <v>12.0</v>
      </c>
      <c r="AC58" s="19">
        <v>13.0</v>
      </c>
      <c r="AD58" s="19">
        <v>8.0</v>
      </c>
      <c r="AE58" s="19">
        <v>7.0</v>
      </c>
      <c r="AF58" s="19">
        <v>8.0</v>
      </c>
      <c r="AG58" s="19">
        <v>5.0</v>
      </c>
      <c r="AH58" s="19">
        <v>14.0</v>
      </c>
      <c r="AI58" s="19">
        <v>6.0</v>
      </c>
      <c r="AJ58" s="19">
        <v>18.0</v>
      </c>
      <c r="AK58" s="19">
        <v>3.0</v>
      </c>
      <c r="AL58" s="19">
        <v>4.0</v>
      </c>
      <c r="AM58" s="13">
        <f t="shared" si="16"/>
        <v>270</v>
      </c>
    </row>
    <row r="59" ht="12.75" customHeight="1">
      <c r="A59" s="18"/>
      <c r="B59" s="55">
        <v>2.0</v>
      </c>
      <c r="C59" s="50" t="s">
        <v>50</v>
      </c>
      <c r="D59" s="59"/>
      <c r="E59" s="19">
        <v>2.0</v>
      </c>
      <c r="F59" s="19">
        <v>3.0</v>
      </c>
      <c r="G59" s="19">
        <v>0.0</v>
      </c>
      <c r="H59" s="19">
        <v>1.0</v>
      </c>
      <c r="I59" s="19">
        <v>2.0</v>
      </c>
      <c r="J59" s="19">
        <v>1.0</v>
      </c>
      <c r="K59" s="19">
        <v>3.0</v>
      </c>
      <c r="L59" s="19">
        <v>0.0</v>
      </c>
      <c r="M59" s="19">
        <v>1.0</v>
      </c>
      <c r="N59" s="19">
        <v>7.0</v>
      </c>
      <c r="O59" s="19">
        <v>1.0</v>
      </c>
      <c r="P59" s="19">
        <v>2.0</v>
      </c>
      <c r="Q59" s="19">
        <v>0.0</v>
      </c>
      <c r="R59" s="19">
        <v>2.0</v>
      </c>
      <c r="S59" s="19">
        <v>5.0</v>
      </c>
      <c r="T59" s="19">
        <v>8.0</v>
      </c>
      <c r="U59" s="19">
        <v>0.0</v>
      </c>
      <c r="V59" s="19">
        <v>3.0</v>
      </c>
      <c r="W59" s="19">
        <v>0.0</v>
      </c>
      <c r="X59" s="19">
        <v>2.0</v>
      </c>
      <c r="Y59" s="19">
        <v>3.0</v>
      </c>
      <c r="Z59" s="19">
        <v>2.0</v>
      </c>
      <c r="AA59" s="19">
        <v>3.0</v>
      </c>
      <c r="AB59" s="19">
        <v>2.0</v>
      </c>
      <c r="AC59" s="19">
        <v>4.0</v>
      </c>
      <c r="AD59" s="19">
        <v>2.0</v>
      </c>
      <c r="AE59" s="19">
        <v>3.0</v>
      </c>
      <c r="AF59" s="19">
        <v>1.0</v>
      </c>
      <c r="AG59" s="19">
        <v>2.0</v>
      </c>
      <c r="AH59" s="19">
        <v>5.0</v>
      </c>
      <c r="AI59" s="19">
        <v>3.0</v>
      </c>
      <c r="AJ59" s="19">
        <v>6.0</v>
      </c>
      <c r="AK59" s="19">
        <v>5.0</v>
      </c>
      <c r="AL59" s="19">
        <v>0.0</v>
      </c>
      <c r="AM59" s="13">
        <f t="shared" si="16"/>
        <v>84</v>
      </c>
    </row>
    <row r="60" ht="12.75" customHeight="1">
      <c r="A60" s="18"/>
      <c r="B60" s="55">
        <v>3.0</v>
      </c>
      <c r="C60" s="50" t="s">
        <v>51</v>
      </c>
      <c r="D60" s="59"/>
      <c r="E60" s="19">
        <v>2.0</v>
      </c>
      <c r="F60" s="19">
        <v>5.0</v>
      </c>
      <c r="G60" s="19">
        <v>0.0</v>
      </c>
      <c r="H60" s="19">
        <v>0.0</v>
      </c>
      <c r="I60" s="19">
        <v>0.0</v>
      </c>
      <c r="J60" s="19">
        <v>1.0</v>
      </c>
      <c r="K60" s="19">
        <v>1.0</v>
      </c>
      <c r="L60" s="19">
        <v>0.0</v>
      </c>
      <c r="M60" s="19">
        <v>1.0</v>
      </c>
      <c r="N60" s="19">
        <v>0.0</v>
      </c>
      <c r="O60" s="19">
        <v>1.0</v>
      </c>
      <c r="P60" s="19">
        <v>3.0</v>
      </c>
      <c r="Q60" s="19">
        <v>1.0</v>
      </c>
      <c r="R60" s="19">
        <v>1.0</v>
      </c>
      <c r="S60" s="19">
        <v>0.0</v>
      </c>
      <c r="T60" s="19">
        <v>0.0</v>
      </c>
      <c r="U60" s="19">
        <v>1.0</v>
      </c>
      <c r="V60" s="19">
        <v>3.0</v>
      </c>
      <c r="W60" s="19">
        <v>2.0</v>
      </c>
      <c r="X60" s="19">
        <v>1.0</v>
      </c>
      <c r="Y60" s="19">
        <v>5.0</v>
      </c>
      <c r="Z60" s="19">
        <v>0.0</v>
      </c>
      <c r="AA60" s="19">
        <v>3.0</v>
      </c>
      <c r="AB60" s="19">
        <v>0.0</v>
      </c>
      <c r="AC60" s="19">
        <v>4.0</v>
      </c>
      <c r="AD60" s="19">
        <v>1.0</v>
      </c>
      <c r="AE60" s="19">
        <v>1.0</v>
      </c>
      <c r="AF60" s="19">
        <v>4.0</v>
      </c>
      <c r="AG60" s="19">
        <v>1.0</v>
      </c>
      <c r="AH60" s="19">
        <v>1.0</v>
      </c>
      <c r="AI60" s="19">
        <v>0.0</v>
      </c>
      <c r="AJ60" s="19">
        <v>0.0</v>
      </c>
      <c r="AK60" s="19">
        <v>0.0</v>
      </c>
      <c r="AL60" s="19">
        <v>0.0</v>
      </c>
      <c r="AM60" s="13">
        <f t="shared" si="16"/>
        <v>43</v>
      </c>
    </row>
    <row r="61" ht="12.75" customHeight="1">
      <c r="A61" s="18"/>
      <c r="B61" s="55">
        <v>4.0</v>
      </c>
      <c r="C61" s="50" t="s">
        <v>52</v>
      </c>
      <c r="D61" s="59"/>
      <c r="E61" s="19">
        <v>0.0</v>
      </c>
      <c r="F61" s="19">
        <v>0.0</v>
      </c>
      <c r="G61" s="19">
        <v>2.0</v>
      </c>
      <c r="H61" s="19">
        <v>1.0</v>
      </c>
      <c r="I61" s="19">
        <v>1.0</v>
      </c>
      <c r="J61" s="19">
        <v>3.0</v>
      </c>
      <c r="K61" s="19">
        <v>4.0</v>
      </c>
      <c r="L61" s="19">
        <v>2.0</v>
      </c>
      <c r="M61" s="19">
        <v>1.0</v>
      </c>
      <c r="N61" s="19">
        <v>2.0</v>
      </c>
      <c r="O61" s="19">
        <v>0.0</v>
      </c>
      <c r="P61" s="19">
        <v>0.0</v>
      </c>
      <c r="Q61" s="19">
        <v>1.0</v>
      </c>
      <c r="R61" s="19">
        <v>0.0</v>
      </c>
      <c r="S61" s="19">
        <v>2.0</v>
      </c>
      <c r="T61" s="19">
        <v>10.0</v>
      </c>
      <c r="U61" s="19">
        <v>3.0</v>
      </c>
      <c r="V61" s="19">
        <v>1.0</v>
      </c>
      <c r="W61" s="19">
        <v>1.0</v>
      </c>
      <c r="X61" s="19">
        <v>2.0</v>
      </c>
      <c r="Y61" s="19">
        <v>1.0</v>
      </c>
      <c r="Z61" s="19">
        <v>1.0</v>
      </c>
      <c r="AA61" s="19">
        <v>2.0</v>
      </c>
      <c r="AB61" s="19">
        <v>1.0</v>
      </c>
      <c r="AC61" s="19">
        <v>10.0</v>
      </c>
      <c r="AD61" s="19">
        <v>1.0</v>
      </c>
      <c r="AE61" s="19">
        <v>4.0</v>
      </c>
      <c r="AF61" s="19">
        <v>2.0</v>
      </c>
      <c r="AG61" s="19">
        <v>0.0</v>
      </c>
      <c r="AH61" s="19">
        <v>3.0</v>
      </c>
      <c r="AI61" s="19">
        <v>0.0</v>
      </c>
      <c r="AJ61" s="19">
        <v>2.0</v>
      </c>
      <c r="AK61" s="19">
        <v>1.0</v>
      </c>
      <c r="AL61" s="19">
        <v>0.0</v>
      </c>
      <c r="AM61" s="13">
        <f t="shared" si="16"/>
        <v>64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0.0</v>
      </c>
      <c r="G62" s="19">
        <v>0.0</v>
      </c>
      <c r="H62" s="19">
        <v>1.0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2.0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0.0</v>
      </c>
      <c r="X62" s="19">
        <v>0.0</v>
      </c>
      <c r="Y62" s="19">
        <v>1.0</v>
      </c>
      <c r="Z62" s="19">
        <v>0.0</v>
      </c>
      <c r="AA62" s="19">
        <v>0.0</v>
      </c>
      <c r="AB62" s="19">
        <v>0.0</v>
      </c>
      <c r="AC62" s="19">
        <v>1.0</v>
      </c>
      <c r="AD62" s="19">
        <v>0.0</v>
      </c>
      <c r="AE62" s="19">
        <v>0.0</v>
      </c>
      <c r="AF62" s="19">
        <v>1.0</v>
      </c>
      <c r="AG62" s="19">
        <v>0.0</v>
      </c>
      <c r="AH62" s="19">
        <v>0.0</v>
      </c>
      <c r="AI62" s="19">
        <v>0.0</v>
      </c>
      <c r="AJ62" s="19">
        <v>0.0</v>
      </c>
      <c r="AK62" s="19">
        <v>0.0</v>
      </c>
      <c r="AL62" s="19">
        <v>0.0</v>
      </c>
      <c r="AM62" s="13">
        <f t="shared" si="16"/>
        <v>6</v>
      </c>
    </row>
    <row r="63" ht="12.75" customHeight="1">
      <c r="A63" s="18"/>
      <c r="B63" s="55">
        <v>6.0</v>
      </c>
      <c r="C63" s="50" t="s">
        <v>54</v>
      </c>
      <c r="D63" s="60"/>
      <c r="E63" s="19">
        <v>2.0</v>
      </c>
      <c r="F63" s="19">
        <v>0.0</v>
      </c>
      <c r="G63" s="19">
        <v>1.0</v>
      </c>
      <c r="H63" s="19">
        <v>0.0</v>
      </c>
      <c r="I63" s="19">
        <v>0.0</v>
      </c>
      <c r="J63" s="19">
        <v>0.0</v>
      </c>
      <c r="K63" s="19">
        <v>2.0</v>
      </c>
      <c r="L63" s="19">
        <v>0.0</v>
      </c>
      <c r="M63" s="19">
        <v>1.0</v>
      </c>
      <c r="N63" s="19">
        <v>1.0</v>
      </c>
      <c r="O63" s="19">
        <v>0.0</v>
      </c>
      <c r="P63" s="19">
        <v>1.0</v>
      </c>
      <c r="Q63" s="19">
        <v>1.0</v>
      </c>
      <c r="R63" s="19">
        <v>2.0</v>
      </c>
      <c r="S63" s="19">
        <v>1.0</v>
      </c>
      <c r="T63" s="19">
        <v>1.0</v>
      </c>
      <c r="U63" s="19">
        <v>0.0</v>
      </c>
      <c r="V63" s="19">
        <v>2.0</v>
      </c>
      <c r="W63" s="19">
        <v>1.0</v>
      </c>
      <c r="X63" s="19">
        <v>3.0</v>
      </c>
      <c r="Y63" s="19">
        <v>2.0</v>
      </c>
      <c r="Z63" s="19">
        <v>0.0</v>
      </c>
      <c r="AA63" s="19">
        <v>2.0</v>
      </c>
      <c r="AB63" s="19">
        <v>0.0</v>
      </c>
      <c r="AC63" s="19">
        <v>4.0</v>
      </c>
      <c r="AD63" s="19">
        <v>2.0</v>
      </c>
      <c r="AE63" s="19">
        <v>0.0</v>
      </c>
      <c r="AF63" s="19">
        <v>0.0</v>
      </c>
      <c r="AG63" s="19">
        <v>0.0</v>
      </c>
      <c r="AH63" s="19">
        <v>0.0</v>
      </c>
      <c r="AI63" s="19">
        <v>0.0</v>
      </c>
      <c r="AJ63" s="19">
        <v>0.0</v>
      </c>
      <c r="AK63" s="19">
        <v>0.0</v>
      </c>
      <c r="AL63" s="19">
        <v>1.0</v>
      </c>
      <c r="AM63" s="13">
        <f t="shared" si="16"/>
        <v>30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0.0</v>
      </c>
      <c r="U64" s="19">
        <v>1.0</v>
      </c>
      <c r="V64" s="19">
        <v>0.0</v>
      </c>
      <c r="W64" s="19">
        <v>0.0</v>
      </c>
      <c r="X64" s="19">
        <v>0.0</v>
      </c>
      <c r="Y64" s="19">
        <v>0.0</v>
      </c>
      <c r="Z64" s="19">
        <v>0.0</v>
      </c>
      <c r="AA64" s="19">
        <v>2.0</v>
      </c>
      <c r="AB64" s="19">
        <v>0.0</v>
      </c>
      <c r="AC64" s="19">
        <v>0.0</v>
      </c>
      <c r="AD64" s="19">
        <v>0.0</v>
      </c>
      <c r="AE64" s="19">
        <v>0.0</v>
      </c>
      <c r="AF64" s="19">
        <v>0.0</v>
      </c>
      <c r="AG64" s="19">
        <v>0.0</v>
      </c>
      <c r="AH64" s="19">
        <v>0.0</v>
      </c>
      <c r="AI64" s="19">
        <v>0.0</v>
      </c>
      <c r="AJ64" s="19">
        <v>1.0</v>
      </c>
      <c r="AK64" s="19">
        <v>0.0</v>
      </c>
      <c r="AL64" s="19">
        <v>1.0</v>
      </c>
      <c r="AM64" s="13">
        <f t="shared" si="16"/>
        <v>5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M67" si="17">SUM(E57:E66)</f>
        <v>27</v>
      </c>
      <c r="F67" s="13">
        <f t="shared" si="17"/>
        <v>25</v>
      </c>
      <c r="G67" s="13">
        <f t="shared" si="17"/>
        <v>14</v>
      </c>
      <c r="H67" s="13">
        <f t="shared" si="17"/>
        <v>22</v>
      </c>
      <c r="I67" s="13">
        <f t="shared" si="17"/>
        <v>11</v>
      </c>
      <c r="J67" s="13">
        <f t="shared" si="17"/>
        <v>12</v>
      </c>
      <c r="K67" s="13">
        <f t="shared" si="17"/>
        <v>34</v>
      </c>
      <c r="L67" s="13">
        <f t="shared" si="17"/>
        <v>16</v>
      </c>
      <c r="M67" s="13">
        <f t="shared" si="17"/>
        <v>27</v>
      </c>
      <c r="N67" s="13">
        <f t="shared" si="17"/>
        <v>36</v>
      </c>
      <c r="O67" s="13">
        <f t="shared" si="17"/>
        <v>26</v>
      </c>
      <c r="P67" s="13">
        <f t="shared" si="17"/>
        <v>18</v>
      </c>
      <c r="Q67" s="13">
        <f t="shared" si="17"/>
        <v>18</v>
      </c>
      <c r="R67" s="13">
        <f t="shared" si="17"/>
        <v>23</v>
      </c>
      <c r="S67" s="13">
        <f t="shared" si="17"/>
        <v>23</v>
      </c>
      <c r="T67" s="13">
        <f t="shared" si="17"/>
        <v>36</v>
      </c>
      <c r="U67" s="13">
        <f t="shared" si="17"/>
        <v>33</v>
      </c>
      <c r="V67" s="13">
        <f t="shared" si="17"/>
        <v>21</v>
      </c>
      <c r="W67" s="13">
        <f t="shared" si="17"/>
        <v>28</v>
      </c>
      <c r="X67" s="13">
        <f t="shared" si="17"/>
        <v>24</v>
      </c>
      <c r="Y67" s="13">
        <f t="shared" si="17"/>
        <v>29</v>
      </c>
      <c r="Z67" s="13">
        <f t="shared" si="17"/>
        <v>12</v>
      </c>
      <c r="AA67" s="13">
        <f t="shared" si="17"/>
        <v>26</v>
      </c>
      <c r="AB67" s="13">
        <f t="shared" si="17"/>
        <v>16</v>
      </c>
      <c r="AC67" s="13">
        <f t="shared" si="17"/>
        <v>48</v>
      </c>
      <c r="AD67" s="13">
        <f t="shared" si="17"/>
        <v>23</v>
      </c>
      <c r="AE67" s="13">
        <f t="shared" si="17"/>
        <v>25</v>
      </c>
      <c r="AF67" s="13">
        <f t="shared" si="17"/>
        <v>26</v>
      </c>
      <c r="AG67" s="13">
        <f t="shared" si="17"/>
        <v>17</v>
      </c>
      <c r="AH67" s="13">
        <f t="shared" si="17"/>
        <v>32</v>
      </c>
      <c r="AI67" s="13">
        <f t="shared" si="17"/>
        <v>16</v>
      </c>
      <c r="AJ67" s="13">
        <f t="shared" si="17"/>
        <v>40</v>
      </c>
      <c r="AK67" s="13">
        <f t="shared" si="17"/>
        <v>13</v>
      </c>
      <c r="AL67" s="13">
        <f t="shared" si="17"/>
        <v>13</v>
      </c>
      <c r="AM67" s="13">
        <f t="shared" si="17"/>
        <v>810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2.0</v>
      </c>
      <c r="F69" s="19">
        <v>4.0</v>
      </c>
      <c r="G69" s="19">
        <v>11.0</v>
      </c>
      <c r="H69" s="19">
        <v>6.0</v>
      </c>
      <c r="I69" s="19">
        <v>14.0</v>
      </c>
      <c r="J69" s="19">
        <v>13.0</v>
      </c>
      <c r="K69" s="19">
        <v>11.0</v>
      </c>
      <c r="L69" s="19">
        <v>8.0</v>
      </c>
      <c r="M69" s="19">
        <v>11.0</v>
      </c>
      <c r="N69" s="19">
        <v>1.0</v>
      </c>
      <c r="O69" s="19">
        <v>6.0</v>
      </c>
      <c r="P69" s="19">
        <v>4.0</v>
      </c>
      <c r="Q69" s="19">
        <v>10.0</v>
      </c>
      <c r="R69" s="19">
        <v>14.0</v>
      </c>
      <c r="S69" s="19">
        <v>7.0</v>
      </c>
      <c r="T69" s="19">
        <v>7.0</v>
      </c>
      <c r="U69" s="19">
        <v>12.0</v>
      </c>
      <c r="V69" s="19">
        <v>12.0</v>
      </c>
      <c r="W69" s="19">
        <v>23.0</v>
      </c>
      <c r="X69" s="19">
        <v>8.0</v>
      </c>
      <c r="Y69" s="19">
        <v>16.0</v>
      </c>
      <c r="Z69" s="19">
        <v>9.0</v>
      </c>
      <c r="AA69" s="19">
        <v>6.0</v>
      </c>
      <c r="AB69" s="19">
        <v>6.0</v>
      </c>
      <c r="AC69" s="19">
        <v>8.0</v>
      </c>
      <c r="AD69" s="19">
        <v>4.0</v>
      </c>
      <c r="AE69" s="19">
        <v>16.0</v>
      </c>
      <c r="AF69" s="19">
        <v>21.0</v>
      </c>
      <c r="AG69" s="19">
        <v>4.0</v>
      </c>
      <c r="AH69" s="19">
        <v>3.0</v>
      </c>
      <c r="AI69" s="19">
        <v>6.0</v>
      </c>
      <c r="AJ69" s="19">
        <v>3.0</v>
      </c>
      <c r="AK69" s="19">
        <v>2.0</v>
      </c>
      <c r="AL69" s="19">
        <v>15.0</v>
      </c>
      <c r="AM69" s="13">
        <f t="shared" ref="AM69:AM78" si="18">SUM(E69:AL69)</f>
        <v>303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16.0</v>
      </c>
      <c r="F70" s="19">
        <v>5.0</v>
      </c>
      <c r="G70" s="19">
        <v>9.0</v>
      </c>
      <c r="H70" s="19">
        <v>28.0</v>
      </c>
      <c r="I70" s="19">
        <v>21.0</v>
      </c>
      <c r="J70" s="19">
        <v>25.0</v>
      </c>
      <c r="K70" s="19">
        <v>28.0</v>
      </c>
      <c r="L70" s="19">
        <v>13.0</v>
      </c>
      <c r="M70" s="19">
        <v>6.0</v>
      </c>
      <c r="N70" s="19">
        <v>10.0</v>
      </c>
      <c r="O70" s="19">
        <v>16.0</v>
      </c>
      <c r="P70" s="19">
        <v>15.0</v>
      </c>
      <c r="Q70" s="19">
        <v>22.0</v>
      </c>
      <c r="R70" s="19">
        <v>13.0</v>
      </c>
      <c r="S70" s="19">
        <v>11.0</v>
      </c>
      <c r="T70" s="19">
        <v>15.0</v>
      </c>
      <c r="U70" s="19">
        <v>18.0</v>
      </c>
      <c r="V70" s="19">
        <v>8.0</v>
      </c>
      <c r="W70" s="19">
        <v>8.0</v>
      </c>
      <c r="X70" s="19">
        <v>4.0</v>
      </c>
      <c r="Y70" s="19">
        <v>7.0</v>
      </c>
      <c r="Z70" s="19">
        <v>6.0</v>
      </c>
      <c r="AA70" s="19">
        <v>4.0</v>
      </c>
      <c r="AB70" s="19">
        <v>3.0</v>
      </c>
      <c r="AC70" s="19">
        <v>11.0</v>
      </c>
      <c r="AD70" s="19">
        <v>38.0</v>
      </c>
      <c r="AE70" s="19">
        <v>29.0</v>
      </c>
      <c r="AF70" s="19">
        <v>15.0</v>
      </c>
      <c r="AG70" s="19">
        <v>9.0</v>
      </c>
      <c r="AH70" s="19">
        <v>6.0</v>
      </c>
      <c r="AI70" s="19">
        <v>4.0</v>
      </c>
      <c r="AJ70" s="19">
        <v>6.0</v>
      </c>
      <c r="AK70" s="19">
        <v>6.0</v>
      </c>
      <c r="AL70" s="19">
        <v>9.0</v>
      </c>
      <c r="AM70" s="13">
        <f t="shared" si="18"/>
        <v>444</v>
      </c>
    </row>
    <row r="71" ht="12.75" customHeight="1">
      <c r="A71" s="18"/>
      <c r="B71" s="55">
        <v>2.0</v>
      </c>
      <c r="C71" s="50" t="s">
        <v>58</v>
      </c>
      <c r="D71" s="60"/>
      <c r="E71" s="19">
        <v>1.0</v>
      </c>
      <c r="F71" s="19">
        <v>4.0</v>
      </c>
      <c r="G71" s="19">
        <v>0.0</v>
      </c>
      <c r="H71" s="19">
        <v>1.0</v>
      </c>
      <c r="I71" s="19">
        <v>10.0</v>
      </c>
      <c r="J71" s="19">
        <v>3.0</v>
      </c>
      <c r="K71" s="19">
        <v>10.0</v>
      </c>
      <c r="L71" s="19">
        <v>7.0</v>
      </c>
      <c r="M71" s="19">
        <v>3.0</v>
      </c>
      <c r="N71" s="19">
        <v>9.0</v>
      </c>
      <c r="O71" s="19">
        <v>3.0</v>
      </c>
      <c r="P71" s="19">
        <v>6.0</v>
      </c>
      <c r="Q71" s="19">
        <v>3.0</v>
      </c>
      <c r="R71" s="19">
        <v>30.0</v>
      </c>
      <c r="S71" s="19">
        <v>20.0</v>
      </c>
      <c r="T71" s="19">
        <v>5.0</v>
      </c>
      <c r="U71" s="19">
        <v>3.0</v>
      </c>
      <c r="V71" s="19">
        <v>3.0</v>
      </c>
      <c r="W71" s="19">
        <v>4.0</v>
      </c>
      <c r="X71" s="19">
        <v>6.0</v>
      </c>
      <c r="Y71" s="19">
        <v>5.0</v>
      </c>
      <c r="Z71" s="19">
        <v>9.0</v>
      </c>
      <c r="AA71" s="19">
        <v>3.0</v>
      </c>
      <c r="AB71" s="19">
        <v>2.0</v>
      </c>
      <c r="AC71" s="19">
        <v>1.0</v>
      </c>
      <c r="AD71" s="19">
        <v>2.0</v>
      </c>
      <c r="AE71" s="19">
        <v>1.0</v>
      </c>
      <c r="AF71" s="19">
        <v>5.0</v>
      </c>
      <c r="AG71" s="19">
        <v>2.0</v>
      </c>
      <c r="AH71" s="19">
        <v>5.0</v>
      </c>
      <c r="AI71" s="19">
        <v>8.0</v>
      </c>
      <c r="AJ71" s="19">
        <v>7.0</v>
      </c>
      <c r="AK71" s="19">
        <v>1.0</v>
      </c>
      <c r="AL71" s="19">
        <v>0.0</v>
      </c>
      <c r="AM71" s="13">
        <f t="shared" si="18"/>
        <v>182</v>
      </c>
    </row>
    <row r="72" ht="12.75" customHeight="1">
      <c r="A72" s="18"/>
      <c r="B72" s="55">
        <v>3.0</v>
      </c>
      <c r="C72" s="50" t="s">
        <v>59</v>
      </c>
      <c r="D72" s="60"/>
      <c r="E72" s="19">
        <v>0.0</v>
      </c>
      <c r="F72" s="19">
        <v>1.0</v>
      </c>
      <c r="G72" s="19">
        <v>5.0</v>
      </c>
      <c r="H72" s="19">
        <v>22.0</v>
      </c>
      <c r="I72" s="19">
        <v>16.0</v>
      </c>
      <c r="J72" s="19">
        <v>2.0</v>
      </c>
      <c r="K72" s="19">
        <v>4.0</v>
      </c>
      <c r="L72" s="19">
        <v>34.0</v>
      </c>
      <c r="M72" s="19">
        <v>1.0</v>
      </c>
      <c r="N72" s="19">
        <v>1.0</v>
      </c>
      <c r="O72" s="19">
        <v>2.0</v>
      </c>
      <c r="P72" s="19">
        <v>1.0</v>
      </c>
      <c r="Q72" s="19">
        <v>2.0</v>
      </c>
      <c r="R72" s="19">
        <v>0.0</v>
      </c>
      <c r="S72" s="19">
        <v>1.0</v>
      </c>
      <c r="T72" s="19">
        <v>7.0</v>
      </c>
      <c r="U72" s="19">
        <v>2.0</v>
      </c>
      <c r="V72" s="19">
        <v>2.0</v>
      </c>
      <c r="W72" s="19">
        <v>2.0</v>
      </c>
      <c r="X72" s="19">
        <v>0.0</v>
      </c>
      <c r="Y72" s="19">
        <v>3.0</v>
      </c>
      <c r="Z72" s="19">
        <v>2.0</v>
      </c>
      <c r="AA72" s="19">
        <v>4.0</v>
      </c>
      <c r="AB72" s="19">
        <v>1.0</v>
      </c>
      <c r="AC72" s="19">
        <v>2.0</v>
      </c>
      <c r="AD72" s="19">
        <v>1.0</v>
      </c>
      <c r="AE72" s="19">
        <v>2.0</v>
      </c>
      <c r="AF72" s="19">
        <v>62.0</v>
      </c>
      <c r="AG72" s="19">
        <v>4.0</v>
      </c>
      <c r="AH72" s="19">
        <v>1.0</v>
      </c>
      <c r="AI72" s="19">
        <v>2.0</v>
      </c>
      <c r="AJ72" s="19">
        <v>1.0</v>
      </c>
      <c r="AK72" s="19">
        <v>2.0</v>
      </c>
      <c r="AL72" s="19">
        <v>1.0</v>
      </c>
      <c r="AM72" s="13">
        <f t="shared" si="18"/>
        <v>193</v>
      </c>
    </row>
    <row r="73" ht="12.75" customHeight="1">
      <c r="A73" s="18"/>
      <c r="B73" s="55">
        <v>4.0</v>
      </c>
      <c r="C73" s="50" t="s">
        <v>60</v>
      </c>
      <c r="D73" s="60"/>
      <c r="E73" s="19">
        <v>0.0</v>
      </c>
      <c r="F73" s="19">
        <v>2.0</v>
      </c>
      <c r="G73" s="19">
        <v>0.0</v>
      </c>
      <c r="H73" s="19">
        <v>0.0</v>
      </c>
      <c r="I73" s="19">
        <v>2.0</v>
      </c>
      <c r="J73" s="19">
        <v>1.0</v>
      </c>
      <c r="K73" s="19">
        <v>1.0</v>
      </c>
      <c r="L73" s="19">
        <v>2.0</v>
      </c>
      <c r="M73" s="19">
        <v>1.0</v>
      </c>
      <c r="N73" s="19">
        <v>2.0</v>
      </c>
      <c r="O73" s="19">
        <v>0.0</v>
      </c>
      <c r="P73" s="19">
        <v>1.0</v>
      </c>
      <c r="Q73" s="19">
        <v>1.0</v>
      </c>
      <c r="R73" s="19">
        <v>1.0</v>
      </c>
      <c r="S73" s="19">
        <v>2.0</v>
      </c>
      <c r="T73" s="19">
        <v>0.0</v>
      </c>
      <c r="U73" s="19">
        <v>1.0</v>
      </c>
      <c r="V73" s="19">
        <v>1.0</v>
      </c>
      <c r="W73" s="19">
        <v>0.0</v>
      </c>
      <c r="X73" s="19">
        <v>0.0</v>
      </c>
      <c r="Y73" s="19">
        <v>1.0</v>
      </c>
      <c r="Z73" s="19">
        <v>3.0</v>
      </c>
      <c r="AA73" s="19">
        <v>3.0</v>
      </c>
      <c r="AB73" s="19">
        <v>0.0</v>
      </c>
      <c r="AC73" s="19">
        <v>0.0</v>
      </c>
      <c r="AD73" s="19">
        <v>0.0</v>
      </c>
      <c r="AE73" s="19">
        <v>0.0</v>
      </c>
      <c r="AF73" s="19">
        <v>2.0</v>
      </c>
      <c r="AG73" s="19">
        <v>2.0</v>
      </c>
      <c r="AH73" s="19">
        <v>0.0</v>
      </c>
      <c r="AI73" s="19">
        <v>1.0</v>
      </c>
      <c r="AJ73" s="19">
        <v>1.0</v>
      </c>
      <c r="AK73" s="19">
        <v>0.0</v>
      </c>
      <c r="AL73" s="19">
        <v>1.0</v>
      </c>
      <c r="AM73" s="13">
        <f t="shared" si="18"/>
        <v>32</v>
      </c>
    </row>
    <row r="74" ht="12.75" customHeight="1">
      <c r="A74" s="18"/>
      <c r="B74" s="55">
        <v>5.0</v>
      </c>
      <c r="C74" s="50" t="s">
        <v>61</v>
      </c>
      <c r="D74" s="60"/>
      <c r="E74" s="19">
        <v>5.0</v>
      </c>
      <c r="F74" s="19">
        <v>6.0</v>
      </c>
      <c r="G74" s="19">
        <v>4.0</v>
      </c>
      <c r="H74" s="19">
        <v>2.0</v>
      </c>
      <c r="I74" s="19">
        <v>8.0</v>
      </c>
      <c r="J74" s="19">
        <v>14.0</v>
      </c>
      <c r="K74" s="19">
        <v>12.0</v>
      </c>
      <c r="L74" s="19">
        <v>7.0</v>
      </c>
      <c r="M74" s="19">
        <v>1.0</v>
      </c>
      <c r="N74" s="19">
        <v>4.0</v>
      </c>
      <c r="O74" s="19">
        <v>6.0</v>
      </c>
      <c r="P74" s="19">
        <v>10.0</v>
      </c>
      <c r="Q74" s="19">
        <v>4.0</v>
      </c>
      <c r="R74" s="19">
        <v>4.0</v>
      </c>
      <c r="S74" s="19">
        <v>6.0</v>
      </c>
      <c r="T74" s="19">
        <v>4.0</v>
      </c>
      <c r="U74" s="19">
        <v>5.0</v>
      </c>
      <c r="V74" s="19">
        <v>7.0</v>
      </c>
      <c r="W74" s="19">
        <v>6.0</v>
      </c>
      <c r="X74" s="19">
        <v>6.0</v>
      </c>
      <c r="Y74" s="19">
        <v>6.0</v>
      </c>
      <c r="Z74" s="19">
        <v>3.0</v>
      </c>
      <c r="AA74" s="19">
        <v>7.0</v>
      </c>
      <c r="AB74" s="19">
        <v>5.0</v>
      </c>
      <c r="AC74" s="19">
        <v>6.0</v>
      </c>
      <c r="AD74" s="19">
        <v>9.0</v>
      </c>
      <c r="AE74" s="19">
        <v>6.0</v>
      </c>
      <c r="AF74" s="19">
        <v>3.0</v>
      </c>
      <c r="AG74" s="19">
        <v>5.0</v>
      </c>
      <c r="AH74" s="19">
        <v>4.0</v>
      </c>
      <c r="AI74" s="19">
        <v>8.0</v>
      </c>
      <c r="AJ74" s="19">
        <v>1.0</v>
      </c>
      <c r="AK74" s="19">
        <v>5.0</v>
      </c>
      <c r="AL74" s="19">
        <v>5.0</v>
      </c>
      <c r="AM74" s="13">
        <f t="shared" si="18"/>
        <v>194</v>
      </c>
    </row>
    <row r="75" ht="12.75" customHeight="1">
      <c r="A75" s="18"/>
      <c r="B75" s="55">
        <v>6.0</v>
      </c>
      <c r="C75" s="50" t="s">
        <v>62</v>
      </c>
      <c r="D75" s="60"/>
      <c r="E75" s="19">
        <v>0.0</v>
      </c>
      <c r="F75" s="19">
        <v>0.0</v>
      </c>
      <c r="G75" s="19">
        <v>1.0</v>
      </c>
      <c r="H75" s="19">
        <v>1.0</v>
      </c>
      <c r="I75" s="19">
        <v>1.0</v>
      </c>
      <c r="J75" s="19">
        <v>1.0</v>
      </c>
      <c r="K75" s="19">
        <v>0.0</v>
      </c>
      <c r="L75" s="19">
        <v>0.0</v>
      </c>
      <c r="M75" s="19">
        <v>0.0</v>
      </c>
      <c r="N75" s="19">
        <v>1.0</v>
      </c>
      <c r="O75" s="19">
        <v>0.0</v>
      </c>
      <c r="P75" s="19">
        <v>1.0</v>
      </c>
      <c r="Q75" s="19">
        <v>1.0</v>
      </c>
      <c r="R75" s="19">
        <v>3.0</v>
      </c>
      <c r="S75" s="19">
        <v>0.0</v>
      </c>
      <c r="T75" s="19">
        <v>0.0</v>
      </c>
      <c r="U75" s="19">
        <v>0.0</v>
      </c>
      <c r="V75" s="19">
        <v>7.0</v>
      </c>
      <c r="W75" s="19">
        <v>2.0</v>
      </c>
      <c r="X75" s="19">
        <v>2.0</v>
      </c>
      <c r="Y75" s="19">
        <v>0.0</v>
      </c>
      <c r="Z75" s="19">
        <v>0.0</v>
      </c>
      <c r="AA75" s="19">
        <v>0.0</v>
      </c>
      <c r="AB75" s="19">
        <v>0.0</v>
      </c>
      <c r="AC75" s="19">
        <v>1.0</v>
      </c>
      <c r="AD75" s="19">
        <v>0.0</v>
      </c>
      <c r="AE75" s="19">
        <v>1.0</v>
      </c>
      <c r="AF75" s="19">
        <v>2.0</v>
      </c>
      <c r="AG75" s="19">
        <v>0.0</v>
      </c>
      <c r="AH75" s="19">
        <v>0.0</v>
      </c>
      <c r="AI75" s="19">
        <v>2.0</v>
      </c>
      <c r="AJ75" s="19">
        <v>0.0</v>
      </c>
      <c r="AK75" s="19">
        <v>0.0</v>
      </c>
      <c r="AL75" s="19">
        <v>0.0</v>
      </c>
      <c r="AM75" s="13">
        <f t="shared" si="18"/>
        <v>27</v>
      </c>
    </row>
    <row r="76" ht="12.75" customHeight="1">
      <c r="A76" s="18"/>
      <c r="B76" s="55">
        <v>7.0</v>
      </c>
      <c r="C76" s="50" t="s">
        <v>63</v>
      </c>
      <c r="D76" s="60"/>
      <c r="E76" s="19">
        <v>3.0</v>
      </c>
      <c r="F76" s="19">
        <v>1.0</v>
      </c>
      <c r="G76" s="19">
        <v>0.0</v>
      </c>
      <c r="H76" s="19">
        <v>3.0</v>
      </c>
      <c r="I76" s="19">
        <v>3.0</v>
      </c>
      <c r="J76" s="19">
        <v>0.0</v>
      </c>
      <c r="K76" s="19">
        <v>0.0</v>
      </c>
      <c r="L76" s="19">
        <v>8.0</v>
      </c>
      <c r="M76" s="19">
        <v>1.0</v>
      </c>
      <c r="N76" s="19">
        <v>0.0</v>
      </c>
      <c r="O76" s="19">
        <v>0.0</v>
      </c>
      <c r="P76" s="19">
        <v>0.0</v>
      </c>
      <c r="Q76" s="19">
        <v>0.0</v>
      </c>
      <c r="R76" s="19">
        <v>1.0</v>
      </c>
      <c r="S76" s="19">
        <v>0.0</v>
      </c>
      <c r="T76" s="19">
        <v>0.0</v>
      </c>
      <c r="U76" s="19">
        <v>4.0</v>
      </c>
      <c r="V76" s="19">
        <v>0.0</v>
      </c>
      <c r="W76" s="19">
        <v>5.0</v>
      </c>
      <c r="X76" s="19">
        <v>5.0</v>
      </c>
      <c r="Y76" s="19">
        <v>1.0</v>
      </c>
      <c r="Z76" s="19">
        <v>0.0</v>
      </c>
      <c r="AA76" s="19">
        <v>0.0</v>
      </c>
      <c r="AB76" s="19">
        <v>3.0</v>
      </c>
      <c r="AC76" s="19">
        <v>1.0</v>
      </c>
      <c r="AD76" s="19">
        <v>0.0</v>
      </c>
      <c r="AE76" s="19">
        <v>3.0</v>
      </c>
      <c r="AF76" s="19">
        <v>1.0</v>
      </c>
      <c r="AG76" s="19">
        <v>7.0</v>
      </c>
      <c r="AH76" s="19">
        <v>3.0</v>
      </c>
      <c r="AI76" s="19">
        <v>4.0</v>
      </c>
      <c r="AJ76" s="19">
        <v>0.0</v>
      </c>
      <c r="AK76" s="19">
        <v>0.0</v>
      </c>
      <c r="AL76" s="19">
        <v>8.0</v>
      </c>
      <c r="AM76" s="13">
        <f t="shared" si="18"/>
        <v>65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M79" si="19">SUM(E69:E78)</f>
        <v>27</v>
      </c>
      <c r="F79" s="13">
        <f t="shared" si="19"/>
        <v>23</v>
      </c>
      <c r="G79" s="13">
        <f t="shared" si="19"/>
        <v>30</v>
      </c>
      <c r="H79" s="13">
        <f t="shared" si="19"/>
        <v>63</v>
      </c>
      <c r="I79" s="13">
        <f t="shared" si="19"/>
        <v>75</v>
      </c>
      <c r="J79" s="13">
        <f t="shared" si="19"/>
        <v>59</v>
      </c>
      <c r="K79" s="13">
        <f t="shared" si="19"/>
        <v>66</v>
      </c>
      <c r="L79" s="13">
        <f t="shared" si="19"/>
        <v>79</v>
      </c>
      <c r="M79" s="13">
        <f t="shared" si="19"/>
        <v>24</v>
      </c>
      <c r="N79" s="13">
        <f t="shared" si="19"/>
        <v>28</v>
      </c>
      <c r="O79" s="13">
        <f t="shared" si="19"/>
        <v>33</v>
      </c>
      <c r="P79" s="13">
        <f t="shared" si="19"/>
        <v>38</v>
      </c>
      <c r="Q79" s="13">
        <f t="shared" si="19"/>
        <v>43</v>
      </c>
      <c r="R79" s="13">
        <f t="shared" si="19"/>
        <v>66</v>
      </c>
      <c r="S79" s="13">
        <f t="shared" si="19"/>
        <v>47</v>
      </c>
      <c r="T79" s="13">
        <f t="shared" si="19"/>
        <v>38</v>
      </c>
      <c r="U79" s="13">
        <f t="shared" si="19"/>
        <v>45</v>
      </c>
      <c r="V79" s="13">
        <f t="shared" si="19"/>
        <v>40</v>
      </c>
      <c r="W79" s="13">
        <f t="shared" si="19"/>
        <v>50</v>
      </c>
      <c r="X79" s="13">
        <f t="shared" si="19"/>
        <v>31</v>
      </c>
      <c r="Y79" s="13">
        <f t="shared" si="19"/>
        <v>39</v>
      </c>
      <c r="Z79" s="13">
        <f t="shared" si="19"/>
        <v>32</v>
      </c>
      <c r="AA79" s="13">
        <f t="shared" si="19"/>
        <v>27</v>
      </c>
      <c r="AB79" s="13">
        <f t="shared" si="19"/>
        <v>20</v>
      </c>
      <c r="AC79" s="13">
        <f t="shared" si="19"/>
        <v>30</v>
      </c>
      <c r="AD79" s="13">
        <f t="shared" si="19"/>
        <v>54</v>
      </c>
      <c r="AE79" s="13">
        <f t="shared" si="19"/>
        <v>58</v>
      </c>
      <c r="AF79" s="13">
        <f t="shared" si="19"/>
        <v>111</v>
      </c>
      <c r="AG79" s="13">
        <f t="shared" si="19"/>
        <v>33</v>
      </c>
      <c r="AH79" s="13">
        <f t="shared" si="19"/>
        <v>22</v>
      </c>
      <c r="AI79" s="13">
        <f t="shared" si="19"/>
        <v>35</v>
      </c>
      <c r="AJ79" s="13">
        <f t="shared" si="19"/>
        <v>19</v>
      </c>
      <c r="AK79" s="13">
        <f t="shared" si="19"/>
        <v>16</v>
      </c>
      <c r="AL79" s="13">
        <f t="shared" si="19"/>
        <v>39</v>
      </c>
      <c r="AM79" s="13">
        <f t="shared" si="19"/>
        <v>1440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2.0</v>
      </c>
      <c r="F81" s="19">
        <v>1.0</v>
      </c>
      <c r="G81" s="19">
        <v>8.0</v>
      </c>
      <c r="H81" s="19">
        <v>0.0</v>
      </c>
      <c r="I81" s="19">
        <v>4.0</v>
      </c>
      <c r="J81" s="19">
        <v>2.0</v>
      </c>
      <c r="K81" s="19">
        <v>3.0</v>
      </c>
      <c r="L81" s="19">
        <v>4.0</v>
      </c>
      <c r="M81" s="19">
        <v>4.0</v>
      </c>
      <c r="N81" s="19">
        <v>4.0</v>
      </c>
      <c r="O81" s="19">
        <v>4.0</v>
      </c>
      <c r="P81" s="19">
        <v>3.0</v>
      </c>
      <c r="Q81" s="19">
        <v>1.0</v>
      </c>
      <c r="R81" s="19">
        <v>1.0</v>
      </c>
      <c r="S81" s="19">
        <v>1.0</v>
      </c>
      <c r="T81" s="19">
        <v>2.0</v>
      </c>
      <c r="U81" s="19">
        <v>1.0</v>
      </c>
      <c r="V81" s="19">
        <v>2.0</v>
      </c>
      <c r="W81" s="19">
        <v>3.0</v>
      </c>
      <c r="X81" s="19">
        <v>0.0</v>
      </c>
      <c r="Y81" s="19">
        <v>1.0</v>
      </c>
      <c r="Z81" s="19">
        <v>1.0</v>
      </c>
      <c r="AA81" s="19">
        <v>4.0</v>
      </c>
      <c r="AB81" s="19">
        <v>1.0</v>
      </c>
      <c r="AC81" s="19">
        <v>2.0</v>
      </c>
      <c r="AD81" s="19">
        <v>5.0</v>
      </c>
      <c r="AE81" s="19">
        <v>2.0</v>
      </c>
      <c r="AF81" s="19">
        <v>5.0</v>
      </c>
      <c r="AG81" s="19">
        <v>3.0</v>
      </c>
      <c r="AH81" s="19">
        <v>3.0</v>
      </c>
      <c r="AI81" s="19">
        <v>2.0</v>
      </c>
      <c r="AJ81" s="19">
        <v>5.0</v>
      </c>
      <c r="AK81" s="19">
        <v>0.0</v>
      </c>
      <c r="AL81" s="19">
        <v>0.0</v>
      </c>
      <c r="AM81" s="13">
        <f t="shared" ref="AM81:AM90" si="20">SUM(E81:AL81)</f>
        <v>84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3.0</v>
      </c>
      <c r="F82" s="19">
        <v>6.0</v>
      </c>
      <c r="G82" s="19">
        <v>5.0</v>
      </c>
      <c r="H82" s="19">
        <v>2.0</v>
      </c>
      <c r="I82" s="19">
        <v>8.0</v>
      </c>
      <c r="J82" s="19">
        <v>3.0</v>
      </c>
      <c r="K82" s="19">
        <v>4.0</v>
      </c>
      <c r="L82" s="19">
        <v>4.0</v>
      </c>
      <c r="M82" s="19">
        <v>1.0</v>
      </c>
      <c r="N82" s="19">
        <v>2.0</v>
      </c>
      <c r="O82" s="19">
        <v>2.0</v>
      </c>
      <c r="P82" s="19">
        <v>2.0</v>
      </c>
      <c r="Q82" s="19">
        <v>2.0</v>
      </c>
      <c r="R82" s="19">
        <v>2.0</v>
      </c>
      <c r="S82" s="19">
        <v>8.0</v>
      </c>
      <c r="T82" s="19">
        <v>2.0</v>
      </c>
      <c r="U82" s="19">
        <v>1.0</v>
      </c>
      <c r="V82" s="19">
        <v>3.0</v>
      </c>
      <c r="W82" s="19">
        <v>3.0</v>
      </c>
      <c r="X82" s="19">
        <v>1.0</v>
      </c>
      <c r="Y82" s="19">
        <v>1.0</v>
      </c>
      <c r="Z82" s="19">
        <v>1.0</v>
      </c>
      <c r="AA82" s="19">
        <v>2.0</v>
      </c>
      <c r="AB82" s="19">
        <v>2.0</v>
      </c>
      <c r="AC82" s="19">
        <v>5.0</v>
      </c>
      <c r="AD82" s="19">
        <v>9.0</v>
      </c>
      <c r="AE82" s="19">
        <v>2.0</v>
      </c>
      <c r="AF82" s="19">
        <v>0.0</v>
      </c>
      <c r="AG82" s="19">
        <v>12.0</v>
      </c>
      <c r="AH82" s="19">
        <v>22.0</v>
      </c>
      <c r="AI82" s="19">
        <v>23.0</v>
      </c>
      <c r="AJ82" s="19">
        <v>32.0</v>
      </c>
      <c r="AK82" s="19">
        <v>6.0</v>
      </c>
      <c r="AL82" s="19">
        <v>5.0</v>
      </c>
      <c r="AM82" s="13">
        <f t="shared" si="20"/>
        <v>186</v>
      </c>
    </row>
    <row r="83" ht="12.75" customHeight="1">
      <c r="A83" s="18"/>
      <c r="B83" s="55">
        <v>2.0</v>
      </c>
      <c r="C83" s="50" t="s">
        <v>66</v>
      </c>
      <c r="D83" s="60"/>
      <c r="E83" s="19">
        <v>2.0</v>
      </c>
      <c r="F83" s="19">
        <v>7.0</v>
      </c>
      <c r="G83" s="19">
        <v>4.0</v>
      </c>
      <c r="H83" s="19">
        <v>3.0</v>
      </c>
      <c r="I83" s="19">
        <v>2.0</v>
      </c>
      <c r="J83" s="19">
        <v>4.0</v>
      </c>
      <c r="K83" s="19">
        <v>2.0</v>
      </c>
      <c r="L83" s="19">
        <v>3.0</v>
      </c>
      <c r="M83" s="19">
        <v>1.0</v>
      </c>
      <c r="N83" s="19">
        <v>3.0</v>
      </c>
      <c r="O83" s="19">
        <v>0.0</v>
      </c>
      <c r="P83" s="19">
        <v>2.0</v>
      </c>
      <c r="Q83" s="19">
        <v>1.0</v>
      </c>
      <c r="R83" s="19">
        <v>3.0</v>
      </c>
      <c r="S83" s="19">
        <v>0.0</v>
      </c>
      <c r="T83" s="19">
        <v>1.0</v>
      </c>
      <c r="U83" s="19">
        <v>5.0</v>
      </c>
      <c r="V83" s="19">
        <v>0.0</v>
      </c>
      <c r="W83" s="19">
        <v>0.0</v>
      </c>
      <c r="X83" s="19">
        <v>3.0</v>
      </c>
      <c r="Y83" s="19">
        <v>7.0</v>
      </c>
      <c r="Z83" s="19">
        <v>2.0</v>
      </c>
      <c r="AA83" s="19">
        <v>5.0</v>
      </c>
      <c r="AB83" s="19">
        <v>9.0</v>
      </c>
      <c r="AC83" s="19">
        <v>5.0</v>
      </c>
      <c r="AD83" s="19">
        <v>2.0</v>
      </c>
      <c r="AE83" s="19">
        <v>5.0</v>
      </c>
      <c r="AF83" s="19">
        <v>2.0</v>
      </c>
      <c r="AG83" s="19">
        <v>3.0</v>
      </c>
      <c r="AH83" s="19">
        <v>2.0</v>
      </c>
      <c r="AI83" s="19">
        <v>2.0</v>
      </c>
      <c r="AJ83" s="19">
        <v>5.0</v>
      </c>
      <c r="AK83" s="19">
        <v>3.0</v>
      </c>
      <c r="AL83" s="19">
        <v>4.0</v>
      </c>
      <c r="AM83" s="13">
        <f t="shared" si="20"/>
        <v>102</v>
      </c>
    </row>
    <row r="84" ht="12.75" customHeight="1">
      <c r="A84" s="18"/>
      <c r="B84" s="55">
        <v>3.0</v>
      </c>
      <c r="C84" s="50" t="s">
        <v>67</v>
      </c>
      <c r="D84" s="60"/>
      <c r="E84" s="19">
        <v>1.0</v>
      </c>
      <c r="F84" s="19">
        <v>1.0</v>
      </c>
      <c r="G84" s="19">
        <v>0.0</v>
      </c>
      <c r="H84" s="19">
        <v>1.0</v>
      </c>
      <c r="I84" s="19">
        <v>0.0</v>
      </c>
      <c r="J84" s="19">
        <v>0.0</v>
      </c>
      <c r="K84" s="19">
        <v>1.0</v>
      </c>
      <c r="L84" s="19">
        <v>0.0</v>
      </c>
      <c r="M84" s="19">
        <v>1.0</v>
      </c>
      <c r="N84" s="19">
        <v>1.0</v>
      </c>
      <c r="O84" s="19">
        <v>0.0</v>
      </c>
      <c r="P84" s="19">
        <v>0.0</v>
      </c>
      <c r="Q84" s="19">
        <v>0.0</v>
      </c>
      <c r="R84" s="19">
        <v>1.0</v>
      </c>
      <c r="S84" s="19">
        <v>1.0</v>
      </c>
      <c r="T84" s="19">
        <v>1.0</v>
      </c>
      <c r="U84" s="19">
        <v>0.0</v>
      </c>
      <c r="V84" s="19">
        <v>0.0</v>
      </c>
      <c r="W84" s="19">
        <v>0.0</v>
      </c>
      <c r="X84" s="19">
        <v>1.0</v>
      </c>
      <c r="Y84" s="19">
        <v>2.0</v>
      </c>
      <c r="Z84" s="19">
        <v>0.0</v>
      </c>
      <c r="AA84" s="19">
        <v>0.0</v>
      </c>
      <c r="AB84" s="19">
        <v>0.0</v>
      </c>
      <c r="AC84" s="19">
        <v>0.0</v>
      </c>
      <c r="AD84" s="19">
        <v>0.0</v>
      </c>
      <c r="AE84" s="19">
        <v>0.0</v>
      </c>
      <c r="AF84" s="19">
        <v>1.0</v>
      </c>
      <c r="AG84" s="19">
        <v>1.0</v>
      </c>
      <c r="AH84" s="19">
        <v>0.0</v>
      </c>
      <c r="AI84" s="19">
        <v>0.0</v>
      </c>
      <c r="AJ84" s="19">
        <v>0.0</v>
      </c>
      <c r="AK84" s="19">
        <v>1.0</v>
      </c>
      <c r="AL84" s="19">
        <v>0.0</v>
      </c>
      <c r="AM84" s="13">
        <f t="shared" si="20"/>
        <v>15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0.0</v>
      </c>
      <c r="G85" s="19">
        <v>1.0</v>
      </c>
      <c r="H85" s="19">
        <v>2.0</v>
      </c>
      <c r="I85" s="19">
        <v>0.0</v>
      </c>
      <c r="J85" s="19">
        <v>3.0</v>
      </c>
      <c r="K85" s="19">
        <v>0.0</v>
      </c>
      <c r="L85" s="19">
        <v>0.0</v>
      </c>
      <c r="M85" s="19">
        <v>0.0</v>
      </c>
      <c r="N85" s="19">
        <v>1.0</v>
      </c>
      <c r="O85" s="19">
        <v>1.0</v>
      </c>
      <c r="P85" s="19">
        <v>0.0</v>
      </c>
      <c r="Q85" s="19">
        <v>0.0</v>
      </c>
      <c r="R85" s="19">
        <v>0.0</v>
      </c>
      <c r="S85" s="19">
        <v>0.0</v>
      </c>
      <c r="T85" s="19">
        <v>0.0</v>
      </c>
      <c r="U85" s="19">
        <v>0.0</v>
      </c>
      <c r="V85" s="19">
        <v>1.0</v>
      </c>
      <c r="W85" s="19">
        <v>0.0</v>
      </c>
      <c r="X85" s="19">
        <v>0.0</v>
      </c>
      <c r="Y85" s="19">
        <v>1.0</v>
      </c>
      <c r="Z85" s="19">
        <v>0.0</v>
      </c>
      <c r="AA85" s="19">
        <v>0.0</v>
      </c>
      <c r="AB85" s="19">
        <v>1.0</v>
      </c>
      <c r="AC85" s="19">
        <v>1.0</v>
      </c>
      <c r="AD85" s="19">
        <v>0.0</v>
      </c>
      <c r="AE85" s="19">
        <v>0.0</v>
      </c>
      <c r="AF85" s="19">
        <v>0.0</v>
      </c>
      <c r="AG85" s="19">
        <v>0.0</v>
      </c>
      <c r="AH85" s="19">
        <v>0.0</v>
      </c>
      <c r="AI85" s="19">
        <v>0.0</v>
      </c>
      <c r="AJ85" s="19">
        <v>3.0</v>
      </c>
      <c r="AK85" s="19">
        <v>0.0</v>
      </c>
      <c r="AL85" s="19">
        <v>0.0</v>
      </c>
      <c r="AM85" s="13">
        <f t="shared" si="20"/>
        <v>15</v>
      </c>
    </row>
    <row r="86" ht="12.75" customHeight="1">
      <c r="A86" s="18"/>
      <c r="B86" s="55">
        <v>5.0</v>
      </c>
      <c r="C86" s="50" t="s">
        <v>69</v>
      </c>
      <c r="D86" s="60"/>
      <c r="E86" s="19">
        <v>1.0</v>
      </c>
      <c r="F86" s="19">
        <v>1.0</v>
      </c>
      <c r="G86" s="19">
        <v>5.0</v>
      </c>
      <c r="H86" s="19">
        <v>2.0</v>
      </c>
      <c r="I86" s="19">
        <v>3.0</v>
      </c>
      <c r="J86" s="19">
        <v>2.0</v>
      </c>
      <c r="K86" s="19">
        <v>4.0</v>
      </c>
      <c r="L86" s="19">
        <v>2.0</v>
      </c>
      <c r="M86" s="19">
        <v>3.0</v>
      </c>
      <c r="N86" s="19">
        <v>4.0</v>
      </c>
      <c r="O86" s="19">
        <v>1.0</v>
      </c>
      <c r="P86" s="19">
        <v>1.0</v>
      </c>
      <c r="Q86" s="19">
        <v>0.0</v>
      </c>
      <c r="R86" s="19">
        <v>0.0</v>
      </c>
      <c r="S86" s="19">
        <v>3.0</v>
      </c>
      <c r="T86" s="19">
        <v>1.0</v>
      </c>
      <c r="U86" s="19">
        <v>2.0</v>
      </c>
      <c r="V86" s="19">
        <v>1.0</v>
      </c>
      <c r="W86" s="19">
        <v>1.0</v>
      </c>
      <c r="X86" s="19">
        <v>0.0</v>
      </c>
      <c r="Y86" s="19">
        <v>8.0</v>
      </c>
      <c r="Z86" s="19">
        <v>0.0</v>
      </c>
      <c r="AA86" s="19">
        <v>0.0</v>
      </c>
      <c r="AB86" s="19">
        <v>0.0</v>
      </c>
      <c r="AC86" s="19">
        <v>2.0</v>
      </c>
      <c r="AD86" s="19">
        <v>5.0</v>
      </c>
      <c r="AE86" s="19">
        <v>4.0</v>
      </c>
      <c r="AF86" s="19">
        <v>2.0</v>
      </c>
      <c r="AG86" s="19">
        <v>0.0</v>
      </c>
      <c r="AH86" s="19">
        <v>1.0</v>
      </c>
      <c r="AI86" s="19">
        <v>0.0</v>
      </c>
      <c r="AJ86" s="19">
        <v>3.0</v>
      </c>
      <c r="AK86" s="19">
        <v>1.0</v>
      </c>
      <c r="AL86" s="19">
        <v>4.0</v>
      </c>
      <c r="AM86" s="13">
        <f t="shared" si="20"/>
        <v>67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0.0</v>
      </c>
      <c r="H87" s="19">
        <v>0.0</v>
      </c>
      <c r="I87" s="19">
        <v>1.0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1.0</v>
      </c>
      <c r="V87" s="19">
        <v>0.0</v>
      </c>
      <c r="W87" s="19">
        <v>0.0</v>
      </c>
      <c r="X87" s="19">
        <v>0.0</v>
      </c>
      <c r="Y87" s="19">
        <v>1.0</v>
      </c>
      <c r="Z87" s="19">
        <v>0.0</v>
      </c>
      <c r="AA87" s="19">
        <v>0.0</v>
      </c>
      <c r="AB87" s="19">
        <v>0.0</v>
      </c>
      <c r="AC87" s="19">
        <v>1.0</v>
      </c>
      <c r="AD87" s="19">
        <v>0.0</v>
      </c>
      <c r="AE87" s="19">
        <v>0.0</v>
      </c>
      <c r="AF87" s="19">
        <v>0.0</v>
      </c>
      <c r="AG87" s="19">
        <v>0.0</v>
      </c>
      <c r="AH87" s="19">
        <v>0.0</v>
      </c>
      <c r="AI87" s="19">
        <v>0.0</v>
      </c>
      <c r="AJ87" s="19">
        <v>0.0</v>
      </c>
      <c r="AK87" s="19">
        <v>0.0</v>
      </c>
      <c r="AL87" s="19">
        <v>0.0</v>
      </c>
      <c r="AM87" s="13">
        <f t="shared" si="20"/>
        <v>4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1.0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9">
        <v>0.0</v>
      </c>
      <c r="AI88" s="19">
        <v>0.0</v>
      </c>
      <c r="AJ88" s="19">
        <v>1.0</v>
      </c>
      <c r="AK88" s="19">
        <v>0.0</v>
      </c>
      <c r="AL88" s="19">
        <v>0.0</v>
      </c>
      <c r="AM88" s="13">
        <f t="shared" si="20"/>
        <v>2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M91" si="21">SUM(E81:E90)</f>
        <v>9</v>
      </c>
      <c r="F91" s="13">
        <f t="shared" si="21"/>
        <v>16</v>
      </c>
      <c r="G91" s="13">
        <f t="shared" si="21"/>
        <v>24</v>
      </c>
      <c r="H91" s="13">
        <f t="shared" si="21"/>
        <v>10</v>
      </c>
      <c r="I91" s="13">
        <f t="shared" si="21"/>
        <v>18</v>
      </c>
      <c r="J91" s="13">
        <f t="shared" si="21"/>
        <v>14</v>
      </c>
      <c r="K91" s="13">
        <f t="shared" si="21"/>
        <v>14</v>
      </c>
      <c r="L91" s="13">
        <f t="shared" si="21"/>
        <v>13</v>
      </c>
      <c r="M91" s="13">
        <f t="shared" si="21"/>
        <v>10</v>
      </c>
      <c r="N91" s="13">
        <f t="shared" si="21"/>
        <v>15</v>
      </c>
      <c r="O91" s="13">
        <f t="shared" si="21"/>
        <v>8</v>
      </c>
      <c r="P91" s="13">
        <f t="shared" si="21"/>
        <v>8</v>
      </c>
      <c r="Q91" s="13">
        <f t="shared" si="21"/>
        <v>4</v>
      </c>
      <c r="R91" s="13">
        <f t="shared" si="21"/>
        <v>7</v>
      </c>
      <c r="S91" s="13">
        <f t="shared" si="21"/>
        <v>13</v>
      </c>
      <c r="T91" s="13">
        <f t="shared" si="21"/>
        <v>7</v>
      </c>
      <c r="U91" s="13">
        <f t="shared" si="21"/>
        <v>10</v>
      </c>
      <c r="V91" s="13">
        <f t="shared" si="21"/>
        <v>7</v>
      </c>
      <c r="W91" s="13">
        <f t="shared" si="21"/>
        <v>7</v>
      </c>
      <c r="X91" s="13">
        <f t="shared" si="21"/>
        <v>5</v>
      </c>
      <c r="Y91" s="13">
        <f t="shared" si="21"/>
        <v>21</v>
      </c>
      <c r="Z91" s="13">
        <f t="shared" si="21"/>
        <v>4</v>
      </c>
      <c r="AA91" s="13">
        <f t="shared" si="21"/>
        <v>11</v>
      </c>
      <c r="AB91" s="13">
        <f t="shared" si="21"/>
        <v>13</v>
      </c>
      <c r="AC91" s="13">
        <f t="shared" si="21"/>
        <v>16</v>
      </c>
      <c r="AD91" s="13">
        <f t="shared" si="21"/>
        <v>21</v>
      </c>
      <c r="AE91" s="13">
        <f t="shared" si="21"/>
        <v>13</v>
      </c>
      <c r="AF91" s="13">
        <f t="shared" si="21"/>
        <v>10</v>
      </c>
      <c r="AG91" s="13">
        <f t="shared" si="21"/>
        <v>19</v>
      </c>
      <c r="AH91" s="13">
        <f t="shared" si="21"/>
        <v>28</v>
      </c>
      <c r="AI91" s="13">
        <f t="shared" si="21"/>
        <v>27</v>
      </c>
      <c r="AJ91" s="13">
        <f t="shared" si="21"/>
        <v>49</v>
      </c>
      <c r="AK91" s="13">
        <f t="shared" si="21"/>
        <v>11</v>
      </c>
      <c r="AL91" s="13">
        <f t="shared" si="21"/>
        <v>13</v>
      </c>
      <c r="AM91" s="13">
        <f t="shared" si="21"/>
        <v>475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2.0</v>
      </c>
      <c r="F93" s="19">
        <v>3.0</v>
      </c>
      <c r="G93" s="19">
        <v>2.0</v>
      </c>
      <c r="H93" s="19">
        <v>0.0</v>
      </c>
      <c r="I93" s="19">
        <v>1.0</v>
      </c>
      <c r="J93" s="19">
        <v>0.0</v>
      </c>
      <c r="K93" s="19">
        <v>0.0</v>
      </c>
      <c r="L93" s="19">
        <v>1.0</v>
      </c>
      <c r="M93" s="19">
        <v>2.0</v>
      </c>
      <c r="N93" s="19">
        <v>2.0</v>
      </c>
      <c r="O93" s="19">
        <v>2.0</v>
      </c>
      <c r="P93" s="19">
        <v>2.0</v>
      </c>
      <c r="Q93" s="19">
        <v>1.0</v>
      </c>
      <c r="R93" s="19">
        <v>0.0</v>
      </c>
      <c r="S93" s="19">
        <v>2.0</v>
      </c>
      <c r="T93" s="19">
        <v>2.0</v>
      </c>
      <c r="U93" s="19">
        <v>4.0</v>
      </c>
      <c r="V93" s="19">
        <v>3.0</v>
      </c>
      <c r="W93" s="19">
        <v>1.0</v>
      </c>
      <c r="X93" s="19">
        <v>4.0</v>
      </c>
      <c r="Y93" s="19">
        <v>3.0</v>
      </c>
      <c r="Z93" s="19">
        <v>0.0</v>
      </c>
      <c r="AA93" s="19">
        <v>1.0</v>
      </c>
      <c r="AB93" s="19">
        <v>1.0</v>
      </c>
      <c r="AC93" s="19">
        <v>1.0</v>
      </c>
      <c r="AD93" s="19">
        <v>1.0</v>
      </c>
      <c r="AE93" s="19">
        <v>0.0</v>
      </c>
      <c r="AF93" s="19">
        <v>1.0</v>
      </c>
      <c r="AG93" s="19">
        <v>2.0</v>
      </c>
      <c r="AH93" s="19">
        <v>0.0</v>
      </c>
      <c r="AI93" s="19">
        <v>0.0</v>
      </c>
      <c r="AJ93" s="19">
        <v>1.0</v>
      </c>
      <c r="AK93" s="19">
        <v>0.0</v>
      </c>
      <c r="AL93" s="19">
        <v>0.0</v>
      </c>
      <c r="AM93" s="13">
        <f t="shared" ref="AM93:AM102" si="22">SUM(E93:AL93)</f>
        <v>45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0.0</v>
      </c>
      <c r="F94" s="19">
        <v>2.0</v>
      </c>
      <c r="G94" s="19">
        <v>2.0</v>
      </c>
      <c r="H94" s="19">
        <v>1.0</v>
      </c>
      <c r="I94" s="19">
        <v>11.0</v>
      </c>
      <c r="J94" s="19">
        <v>0.0</v>
      </c>
      <c r="K94" s="19">
        <v>3.0</v>
      </c>
      <c r="L94" s="19">
        <v>2.0</v>
      </c>
      <c r="M94" s="19">
        <v>5.0</v>
      </c>
      <c r="N94" s="19">
        <v>2.0</v>
      </c>
      <c r="O94" s="19">
        <v>0.0</v>
      </c>
      <c r="P94" s="19">
        <v>1.0</v>
      </c>
      <c r="Q94" s="19">
        <v>0.0</v>
      </c>
      <c r="R94" s="19">
        <v>0.0</v>
      </c>
      <c r="S94" s="19">
        <v>2.0</v>
      </c>
      <c r="T94" s="19">
        <v>2.0</v>
      </c>
      <c r="U94" s="19">
        <v>2.0</v>
      </c>
      <c r="V94" s="19">
        <v>0.0</v>
      </c>
      <c r="W94" s="19">
        <v>1.0</v>
      </c>
      <c r="X94" s="19">
        <v>0.0</v>
      </c>
      <c r="Y94" s="19">
        <v>0.0</v>
      </c>
      <c r="Z94" s="19">
        <v>1.0</v>
      </c>
      <c r="AA94" s="19">
        <v>1.0</v>
      </c>
      <c r="AB94" s="19">
        <v>2.0</v>
      </c>
      <c r="AC94" s="19">
        <v>2.0</v>
      </c>
      <c r="AD94" s="19">
        <v>0.0</v>
      </c>
      <c r="AE94" s="19">
        <v>1.0</v>
      </c>
      <c r="AF94" s="19">
        <v>7.0</v>
      </c>
      <c r="AG94" s="19">
        <v>2.0</v>
      </c>
      <c r="AH94" s="19">
        <v>1.0</v>
      </c>
      <c r="AI94" s="19">
        <v>1.0</v>
      </c>
      <c r="AJ94" s="19">
        <v>3.0</v>
      </c>
      <c r="AK94" s="19">
        <v>2.0</v>
      </c>
      <c r="AL94" s="19">
        <v>0.0</v>
      </c>
      <c r="AM94" s="13">
        <f t="shared" si="22"/>
        <v>59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0.0</v>
      </c>
      <c r="S95" s="19">
        <v>1.0</v>
      </c>
      <c r="T95" s="19">
        <v>0.0</v>
      </c>
      <c r="U95" s="19">
        <v>1.0</v>
      </c>
      <c r="V95" s="19">
        <v>0.0</v>
      </c>
      <c r="W95" s="19">
        <v>1.0</v>
      </c>
      <c r="X95" s="19">
        <v>1.0</v>
      </c>
      <c r="Y95" s="19">
        <v>10.0</v>
      </c>
      <c r="Z95" s="19">
        <v>7.0</v>
      </c>
      <c r="AA95" s="19">
        <v>1.0</v>
      </c>
      <c r="AB95" s="19">
        <v>0.0</v>
      </c>
      <c r="AC95" s="19">
        <v>0.0</v>
      </c>
      <c r="AD95" s="19">
        <v>0.0</v>
      </c>
      <c r="AE95" s="19">
        <v>0.0</v>
      </c>
      <c r="AF95" s="19">
        <v>0.0</v>
      </c>
      <c r="AG95" s="19">
        <v>1.0</v>
      </c>
      <c r="AH95" s="19">
        <v>0.0</v>
      </c>
      <c r="AI95" s="19">
        <v>0.0</v>
      </c>
      <c r="AJ95" s="19">
        <v>0.0</v>
      </c>
      <c r="AK95" s="19">
        <v>0.0</v>
      </c>
      <c r="AL95" s="19">
        <v>0.0</v>
      </c>
      <c r="AM95" s="13">
        <f t="shared" si="22"/>
        <v>23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1.0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9">
        <v>0.0</v>
      </c>
      <c r="AF96" s="19">
        <v>0.0</v>
      </c>
      <c r="AG96" s="19">
        <v>0.0</v>
      </c>
      <c r="AH96" s="19">
        <v>0.0</v>
      </c>
      <c r="AI96" s="19">
        <v>0.0</v>
      </c>
      <c r="AJ96" s="19">
        <v>0.0</v>
      </c>
      <c r="AK96" s="19">
        <v>0.0</v>
      </c>
      <c r="AL96" s="19">
        <v>0.0</v>
      </c>
      <c r="AM96" s="13">
        <f t="shared" si="22"/>
        <v>1</v>
      </c>
    </row>
    <row r="97" ht="12.75" customHeight="1">
      <c r="A97" s="18"/>
      <c r="B97" s="55">
        <v>4.0</v>
      </c>
      <c r="C97" s="50" t="s">
        <v>77</v>
      </c>
      <c r="D97" s="60"/>
      <c r="E97" s="19">
        <v>1.0</v>
      </c>
      <c r="F97" s="19">
        <v>3.0</v>
      </c>
      <c r="G97" s="19">
        <v>2.0</v>
      </c>
      <c r="H97" s="19">
        <v>0.0</v>
      </c>
      <c r="I97" s="19">
        <v>1.0</v>
      </c>
      <c r="J97" s="19">
        <v>0.0</v>
      </c>
      <c r="K97" s="19">
        <v>0.0</v>
      </c>
      <c r="L97" s="19">
        <v>0.0</v>
      </c>
      <c r="M97" s="19">
        <v>7.0</v>
      </c>
      <c r="N97" s="19">
        <v>4.0</v>
      </c>
      <c r="O97" s="19">
        <v>2.0</v>
      </c>
      <c r="P97" s="19">
        <v>3.0</v>
      </c>
      <c r="Q97" s="19">
        <v>1.0</v>
      </c>
      <c r="R97" s="19">
        <v>4.0</v>
      </c>
      <c r="S97" s="19">
        <v>4.0</v>
      </c>
      <c r="T97" s="19">
        <v>2.0</v>
      </c>
      <c r="U97" s="19">
        <v>7.0</v>
      </c>
      <c r="V97" s="19">
        <v>0.0</v>
      </c>
      <c r="W97" s="19">
        <v>1.0</v>
      </c>
      <c r="X97" s="19">
        <v>4.0</v>
      </c>
      <c r="Y97" s="19">
        <v>4.0</v>
      </c>
      <c r="Z97" s="19">
        <v>1.0</v>
      </c>
      <c r="AA97" s="19">
        <v>4.0</v>
      </c>
      <c r="AB97" s="19">
        <v>0.0</v>
      </c>
      <c r="AC97" s="19">
        <v>2.0</v>
      </c>
      <c r="AD97" s="19">
        <v>0.0</v>
      </c>
      <c r="AE97" s="19">
        <v>1.0</v>
      </c>
      <c r="AF97" s="19">
        <v>0.0</v>
      </c>
      <c r="AG97" s="19">
        <v>1.0</v>
      </c>
      <c r="AH97" s="19">
        <v>3.0</v>
      </c>
      <c r="AI97" s="19">
        <v>1.0</v>
      </c>
      <c r="AJ97" s="19">
        <v>12.0</v>
      </c>
      <c r="AK97" s="19">
        <v>1.0</v>
      </c>
      <c r="AL97" s="19">
        <v>1.0</v>
      </c>
      <c r="AM97" s="13">
        <f t="shared" si="22"/>
        <v>77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1.0</v>
      </c>
      <c r="I98" s="19">
        <v>0.0</v>
      </c>
      <c r="J98" s="19">
        <v>0.0</v>
      </c>
      <c r="K98" s="19">
        <v>0.0</v>
      </c>
      <c r="L98" s="19">
        <v>1.0</v>
      </c>
      <c r="M98" s="19">
        <v>0.0</v>
      </c>
      <c r="N98" s="19">
        <v>1.0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1.0</v>
      </c>
      <c r="W98" s="19">
        <v>0.0</v>
      </c>
      <c r="X98" s="19">
        <v>1.0</v>
      </c>
      <c r="Y98" s="19">
        <v>0.0</v>
      </c>
      <c r="Z98" s="19">
        <v>0.0</v>
      </c>
      <c r="AA98" s="19">
        <v>1.0</v>
      </c>
      <c r="AB98" s="19">
        <v>0.0</v>
      </c>
      <c r="AC98" s="19">
        <v>0.0</v>
      </c>
      <c r="AD98" s="19">
        <v>0.0</v>
      </c>
      <c r="AE98" s="19">
        <v>0.0</v>
      </c>
      <c r="AF98" s="19">
        <v>0.0</v>
      </c>
      <c r="AG98" s="19">
        <v>0.0</v>
      </c>
      <c r="AH98" s="19">
        <v>0.0</v>
      </c>
      <c r="AI98" s="19">
        <v>0.0</v>
      </c>
      <c r="AJ98" s="19">
        <v>0.0</v>
      </c>
      <c r="AK98" s="19">
        <v>0.0</v>
      </c>
      <c r="AL98" s="19">
        <v>0.0</v>
      </c>
      <c r="AM98" s="13">
        <f t="shared" si="22"/>
        <v>6</v>
      </c>
    </row>
    <row r="99" ht="12.75" customHeight="1">
      <c r="A99" s="18"/>
      <c r="B99" s="55">
        <v>6.0</v>
      </c>
      <c r="C99" s="50" t="s">
        <v>79</v>
      </c>
      <c r="D99" s="60"/>
      <c r="E99" s="19">
        <v>1.0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1.0</v>
      </c>
      <c r="AG99" s="19">
        <v>0.0</v>
      </c>
      <c r="AH99" s="19">
        <v>0.0</v>
      </c>
      <c r="AI99" s="19">
        <v>0.0</v>
      </c>
      <c r="AJ99" s="19">
        <v>0.0</v>
      </c>
      <c r="AK99" s="19">
        <v>0.0</v>
      </c>
      <c r="AL99" s="19">
        <v>0.0</v>
      </c>
      <c r="AM99" s="13">
        <f t="shared" si="22"/>
        <v>2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1.0</v>
      </c>
      <c r="AH100" s="19">
        <v>0.0</v>
      </c>
      <c r="AI100" s="19">
        <v>0.0</v>
      </c>
      <c r="AJ100" s="19">
        <v>0.0</v>
      </c>
      <c r="AK100" s="19">
        <v>0.0</v>
      </c>
      <c r="AL100" s="19">
        <v>0.0</v>
      </c>
      <c r="AM100" s="13">
        <f t="shared" si="22"/>
        <v>1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M103" si="23">SUM(E93:E102)</f>
        <v>4</v>
      </c>
      <c r="F103" s="13">
        <f t="shared" si="23"/>
        <v>8</v>
      </c>
      <c r="G103" s="13">
        <f t="shared" si="23"/>
        <v>6</v>
      </c>
      <c r="H103" s="13">
        <f t="shared" si="23"/>
        <v>2</v>
      </c>
      <c r="I103" s="13">
        <f t="shared" si="23"/>
        <v>13</v>
      </c>
      <c r="J103" s="13">
        <f t="shared" si="23"/>
        <v>0</v>
      </c>
      <c r="K103" s="13">
        <f t="shared" si="23"/>
        <v>3</v>
      </c>
      <c r="L103" s="13">
        <f t="shared" si="23"/>
        <v>4</v>
      </c>
      <c r="M103" s="13">
        <f t="shared" si="23"/>
        <v>14</v>
      </c>
      <c r="N103" s="13">
        <f t="shared" si="23"/>
        <v>9</v>
      </c>
      <c r="O103" s="13">
        <f t="shared" si="23"/>
        <v>4</v>
      </c>
      <c r="P103" s="13">
        <f t="shared" si="23"/>
        <v>6</v>
      </c>
      <c r="Q103" s="13">
        <f t="shared" si="23"/>
        <v>2</v>
      </c>
      <c r="R103" s="13">
        <f t="shared" si="23"/>
        <v>4</v>
      </c>
      <c r="S103" s="13">
        <f t="shared" si="23"/>
        <v>9</v>
      </c>
      <c r="T103" s="13">
        <f t="shared" si="23"/>
        <v>6</v>
      </c>
      <c r="U103" s="13">
        <f t="shared" si="23"/>
        <v>14</v>
      </c>
      <c r="V103" s="13">
        <f t="shared" si="23"/>
        <v>4</v>
      </c>
      <c r="W103" s="13">
        <f t="shared" si="23"/>
        <v>4</v>
      </c>
      <c r="X103" s="13">
        <f t="shared" si="23"/>
        <v>10</v>
      </c>
      <c r="Y103" s="13">
        <f t="shared" si="23"/>
        <v>18</v>
      </c>
      <c r="Z103" s="13">
        <f t="shared" si="23"/>
        <v>9</v>
      </c>
      <c r="AA103" s="13">
        <f t="shared" si="23"/>
        <v>8</v>
      </c>
      <c r="AB103" s="13">
        <f t="shared" si="23"/>
        <v>3</v>
      </c>
      <c r="AC103" s="13">
        <f t="shared" si="23"/>
        <v>5</v>
      </c>
      <c r="AD103" s="13">
        <f t="shared" si="23"/>
        <v>1</v>
      </c>
      <c r="AE103" s="13">
        <f t="shared" si="23"/>
        <v>2</v>
      </c>
      <c r="AF103" s="13">
        <f t="shared" si="23"/>
        <v>9</v>
      </c>
      <c r="AG103" s="13">
        <f t="shared" si="23"/>
        <v>7</v>
      </c>
      <c r="AH103" s="13">
        <f t="shared" si="23"/>
        <v>4</v>
      </c>
      <c r="AI103" s="13">
        <f t="shared" si="23"/>
        <v>2</v>
      </c>
      <c r="AJ103" s="13">
        <f t="shared" si="23"/>
        <v>16</v>
      </c>
      <c r="AK103" s="13">
        <f t="shared" si="23"/>
        <v>3</v>
      </c>
      <c r="AL103" s="13">
        <f t="shared" si="23"/>
        <v>1</v>
      </c>
      <c r="AM103" s="13">
        <f t="shared" si="23"/>
        <v>214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1.0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1.0</v>
      </c>
      <c r="S105" s="19">
        <v>2.0</v>
      </c>
      <c r="T105" s="19">
        <v>0.0</v>
      </c>
      <c r="U105" s="19">
        <v>0.0</v>
      </c>
      <c r="V105" s="19">
        <v>2.0</v>
      </c>
      <c r="W105" s="19">
        <v>1.0</v>
      </c>
      <c r="X105" s="19">
        <v>4.0</v>
      </c>
      <c r="Y105" s="19">
        <v>1.0</v>
      </c>
      <c r="Z105" s="19">
        <v>0.0</v>
      </c>
      <c r="AA105" s="19">
        <v>0.0</v>
      </c>
      <c r="AB105" s="19">
        <v>0.0</v>
      </c>
      <c r="AC105" s="19">
        <v>0.0</v>
      </c>
      <c r="AD105" s="19">
        <v>1.0</v>
      </c>
      <c r="AE105" s="19">
        <v>1.0</v>
      </c>
      <c r="AF105" s="19">
        <v>0.0</v>
      </c>
      <c r="AG105" s="19">
        <v>0.0</v>
      </c>
      <c r="AH105" s="19">
        <v>0.0</v>
      </c>
      <c r="AI105" s="19">
        <v>0.0</v>
      </c>
      <c r="AJ105" s="19">
        <v>0.0</v>
      </c>
      <c r="AK105" s="19">
        <v>0.0</v>
      </c>
      <c r="AL105" s="19">
        <v>0.0</v>
      </c>
      <c r="AM105" s="13">
        <v>14.0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1.0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1.0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1.0</v>
      </c>
      <c r="W106" s="19">
        <v>0.0</v>
      </c>
      <c r="X106" s="19">
        <v>0.0</v>
      </c>
      <c r="Y106" s="19">
        <v>0.0</v>
      </c>
      <c r="Z106" s="19">
        <v>1.0</v>
      </c>
      <c r="AA106" s="19">
        <v>0.0</v>
      </c>
      <c r="AB106" s="19">
        <v>0.0</v>
      </c>
      <c r="AC106" s="19">
        <v>2.0</v>
      </c>
      <c r="AD106" s="19">
        <v>0.0</v>
      </c>
      <c r="AE106" s="19">
        <v>0.0</v>
      </c>
      <c r="AF106" s="19">
        <v>0.0</v>
      </c>
      <c r="AG106" s="19">
        <v>1.0</v>
      </c>
      <c r="AH106" s="19">
        <v>0.0</v>
      </c>
      <c r="AI106" s="19">
        <v>0.0</v>
      </c>
      <c r="AJ106" s="19">
        <v>2.0</v>
      </c>
      <c r="AK106" s="19">
        <v>0.0</v>
      </c>
      <c r="AL106" s="19">
        <v>0.0</v>
      </c>
      <c r="AM106" s="13">
        <v>9.0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1.0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1.0</v>
      </c>
      <c r="AD107" s="19">
        <v>0.0</v>
      </c>
      <c r="AE107" s="19">
        <v>0.0</v>
      </c>
      <c r="AF107" s="19">
        <v>0.0</v>
      </c>
      <c r="AG107" s="19">
        <v>0.0</v>
      </c>
      <c r="AH107" s="19">
        <v>0.0</v>
      </c>
      <c r="AI107" s="19">
        <v>0.0</v>
      </c>
      <c r="AJ107" s="19">
        <v>1.0</v>
      </c>
      <c r="AK107" s="19">
        <v>0.0</v>
      </c>
      <c r="AL107" s="19">
        <v>0.0</v>
      </c>
      <c r="AM107" s="13">
        <v>3.0</v>
      </c>
    </row>
    <row r="108" ht="12.75" customHeight="1">
      <c r="A108" s="18"/>
      <c r="B108" s="55">
        <v>3.0</v>
      </c>
      <c r="C108" s="50" t="s">
        <v>85</v>
      </c>
      <c r="D108" s="60"/>
      <c r="E108" s="7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1.0</v>
      </c>
      <c r="AI108" s="19">
        <v>0.0</v>
      </c>
      <c r="AJ108" s="19">
        <v>0.0</v>
      </c>
      <c r="AK108" s="19">
        <v>0.0</v>
      </c>
      <c r="AL108" s="19">
        <v>0.0</v>
      </c>
      <c r="AM108" s="13">
        <v>1.0</v>
      </c>
    </row>
    <row r="109" ht="12.75" customHeight="1">
      <c r="A109" s="18"/>
      <c r="B109" s="55">
        <v>4.0</v>
      </c>
      <c r="C109" s="50" t="s">
        <v>86</v>
      </c>
      <c r="D109" s="60"/>
      <c r="E109" s="7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1.0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1.0</v>
      </c>
      <c r="AF109" s="19">
        <v>0.0</v>
      </c>
      <c r="AG109" s="19">
        <v>0.0</v>
      </c>
      <c r="AH109" s="19">
        <v>0.0</v>
      </c>
      <c r="AI109" s="19">
        <v>0.0</v>
      </c>
      <c r="AJ109" s="19">
        <v>0.0</v>
      </c>
      <c r="AK109" s="19">
        <v>1.0</v>
      </c>
      <c r="AL109" s="19">
        <v>0.0</v>
      </c>
      <c r="AM109" s="13">
        <v>3.0</v>
      </c>
    </row>
    <row r="110" ht="12.75" customHeight="1">
      <c r="A110" s="18"/>
      <c r="B110" s="55">
        <v>5.0</v>
      </c>
      <c r="C110" s="50" t="s">
        <v>87</v>
      </c>
      <c r="D110" s="60"/>
      <c r="E110" s="7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1.0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9">
        <v>0.0</v>
      </c>
      <c r="AL110" s="19">
        <v>0.0</v>
      </c>
      <c r="AM110" s="13">
        <v>1.0</v>
      </c>
    </row>
    <row r="111" ht="12.75" customHeight="1">
      <c r="A111" s="18"/>
      <c r="B111" s="55">
        <v>6.0</v>
      </c>
      <c r="C111" s="50" t="s">
        <v>88</v>
      </c>
      <c r="D111" s="60"/>
      <c r="E111" s="7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1.0</v>
      </c>
      <c r="T111" s="19">
        <v>0.0</v>
      </c>
      <c r="U111" s="19">
        <v>1.0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>
        <v>0.0</v>
      </c>
      <c r="AJ111" s="19">
        <v>0.0</v>
      </c>
      <c r="AK111" s="19">
        <v>0.0</v>
      </c>
      <c r="AL111" s="19">
        <v>0.0</v>
      </c>
      <c r="AM111" s="13">
        <v>2.0</v>
      </c>
    </row>
    <row r="112" ht="12.75" customHeight="1">
      <c r="A112" s="18"/>
      <c r="B112" s="55">
        <v>7.0</v>
      </c>
      <c r="C112" s="50" t="s">
        <v>89</v>
      </c>
      <c r="D112" s="60"/>
      <c r="E112" s="7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1.0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0.0</v>
      </c>
      <c r="AK112" s="19">
        <v>0.0</v>
      </c>
      <c r="AL112" s="19">
        <v>0.0</v>
      </c>
      <c r="AM112" s="13">
        <v>1.0</v>
      </c>
    </row>
    <row r="113" ht="12.75" customHeight="1">
      <c r="A113" s="18"/>
      <c r="B113" s="56"/>
      <c r="C113" s="57"/>
      <c r="D113" s="62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3">
        <f t="shared" ref="AM113:AM114" si="24">SUM(E113:AL113)</f>
        <v>0</v>
      </c>
    </row>
    <row r="114" ht="12.75" customHeight="1">
      <c r="A114" s="18"/>
      <c r="B114" s="56"/>
      <c r="C114" s="57"/>
      <c r="D114" s="62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M115" si="25">SUM(E105:E114)</f>
        <v>1</v>
      </c>
      <c r="F115" s="13">
        <f t="shared" si="25"/>
        <v>1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2</v>
      </c>
      <c r="P115" s="13">
        <f t="shared" si="25"/>
        <v>0</v>
      </c>
      <c r="Q115" s="13">
        <f t="shared" si="25"/>
        <v>0</v>
      </c>
      <c r="R115" s="13">
        <f t="shared" si="25"/>
        <v>1</v>
      </c>
      <c r="S115" s="13">
        <f t="shared" si="25"/>
        <v>3</v>
      </c>
      <c r="T115" s="13">
        <f t="shared" si="25"/>
        <v>0</v>
      </c>
      <c r="U115" s="13">
        <f t="shared" si="25"/>
        <v>1</v>
      </c>
      <c r="V115" s="13">
        <f t="shared" si="25"/>
        <v>3</v>
      </c>
      <c r="W115" s="13">
        <f t="shared" si="25"/>
        <v>1</v>
      </c>
      <c r="X115" s="13">
        <f t="shared" si="25"/>
        <v>6</v>
      </c>
      <c r="Y115" s="13">
        <f t="shared" si="25"/>
        <v>1</v>
      </c>
      <c r="Z115" s="13">
        <f t="shared" si="25"/>
        <v>1</v>
      </c>
      <c r="AA115" s="13">
        <f t="shared" si="25"/>
        <v>0</v>
      </c>
      <c r="AB115" s="13">
        <f t="shared" si="25"/>
        <v>0</v>
      </c>
      <c r="AC115" s="13">
        <f t="shared" si="25"/>
        <v>4</v>
      </c>
      <c r="AD115" s="13">
        <f t="shared" si="25"/>
        <v>1</v>
      </c>
      <c r="AE115" s="13">
        <f t="shared" si="25"/>
        <v>2</v>
      </c>
      <c r="AF115" s="13">
        <f t="shared" si="25"/>
        <v>0</v>
      </c>
      <c r="AG115" s="13">
        <f t="shared" si="25"/>
        <v>1</v>
      </c>
      <c r="AH115" s="13">
        <f t="shared" si="25"/>
        <v>1</v>
      </c>
      <c r="AI115" s="13">
        <f t="shared" si="25"/>
        <v>0</v>
      </c>
      <c r="AJ115" s="13">
        <f t="shared" si="25"/>
        <v>3</v>
      </c>
      <c r="AK115" s="13">
        <f t="shared" si="25"/>
        <v>1</v>
      </c>
      <c r="AL115" s="13">
        <f t="shared" si="25"/>
        <v>0</v>
      </c>
      <c r="AM115" s="13">
        <f t="shared" si="25"/>
        <v>34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  <c r="AI116" s="78"/>
      <c r="AJ116" s="78"/>
      <c r="AK116" s="78"/>
      <c r="AL116" s="78"/>
      <c r="AM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1.0</v>
      </c>
      <c r="I117" s="19">
        <v>0.0</v>
      </c>
      <c r="J117" s="19">
        <v>1.0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1.0</v>
      </c>
      <c r="R117" s="19">
        <v>0.0</v>
      </c>
      <c r="S117" s="19">
        <v>2.0</v>
      </c>
      <c r="T117" s="19">
        <v>0.0</v>
      </c>
      <c r="U117" s="19">
        <v>0.0</v>
      </c>
      <c r="V117" s="19">
        <v>2.0</v>
      </c>
      <c r="W117" s="19">
        <v>1.0</v>
      </c>
      <c r="X117" s="19">
        <v>0.0</v>
      </c>
      <c r="Y117" s="19">
        <v>0.0</v>
      </c>
      <c r="Z117" s="19">
        <v>0.0</v>
      </c>
      <c r="AA117" s="19">
        <v>0.0</v>
      </c>
      <c r="AB117" s="19">
        <v>0.0</v>
      </c>
      <c r="AC117" s="19">
        <v>0.0</v>
      </c>
      <c r="AD117" s="19">
        <v>0.0</v>
      </c>
      <c r="AE117" s="19">
        <v>0.0</v>
      </c>
      <c r="AF117" s="19">
        <v>1.0</v>
      </c>
      <c r="AG117" s="19">
        <v>0.0</v>
      </c>
      <c r="AH117" s="19">
        <v>0.0</v>
      </c>
      <c r="AI117" s="19">
        <v>1.0</v>
      </c>
      <c r="AJ117" s="19">
        <v>2.0</v>
      </c>
      <c r="AK117" s="19">
        <v>0.0</v>
      </c>
      <c r="AL117" s="19">
        <v>0.0</v>
      </c>
      <c r="AM117" s="13">
        <f t="shared" ref="AM117:AM126" si="26">SUM(E117:AL117)</f>
        <v>12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1.0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2.0</v>
      </c>
      <c r="Y118" s="19">
        <v>0.0</v>
      </c>
      <c r="Z118" s="19">
        <v>0.0</v>
      </c>
      <c r="AA118" s="19">
        <v>1.0</v>
      </c>
      <c r="AB118" s="19">
        <v>0.0</v>
      </c>
      <c r="AC118" s="19">
        <v>1.0</v>
      </c>
      <c r="AD118" s="19">
        <v>1.0</v>
      </c>
      <c r="AE118" s="19">
        <v>1.0</v>
      </c>
      <c r="AF118" s="19">
        <v>0.0</v>
      </c>
      <c r="AG118" s="19">
        <v>0.0</v>
      </c>
      <c r="AH118" s="19">
        <v>1.0</v>
      </c>
      <c r="AI118" s="19">
        <v>0.0</v>
      </c>
      <c r="AJ118" s="19">
        <v>0.0</v>
      </c>
      <c r="AK118" s="19">
        <v>0.0</v>
      </c>
      <c r="AL118" s="19">
        <v>2.0</v>
      </c>
      <c r="AM118" s="13">
        <f t="shared" si="26"/>
        <v>10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1.0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1.0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1.0</v>
      </c>
      <c r="AE119" s="19">
        <v>0.0</v>
      </c>
      <c r="AF119" s="19">
        <v>0.0</v>
      </c>
      <c r="AG119" s="19">
        <v>0.0</v>
      </c>
      <c r="AH119" s="19">
        <v>0.0</v>
      </c>
      <c r="AI119" s="19">
        <v>0.0</v>
      </c>
      <c r="AJ119" s="19">
        <v>0.0</v>
      </c>
      <c r="AK119" s="19">
        <v>0.0</v>
      </c>
      <c r="AL119" s="19">
        <v>0.0</v>
      </c>
      <c r="AM119" s="13">
        <f t="shared" si="26"/>
        <v>3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1.0</v>
      </c>
      <c r="F120" s="19">
        <v>0.0</v>
      </c>
      <c r="G120" s="19">
        <v>1.0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2.0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1.0</v>
      </c>
      <c r="AG120" s="19">
        <v>0.0</v>
      </c>
      <c r="AH120" s="19">
        <v>0.0</v>
      </c>
      <c r="AI120" s="19">
        <v>0.0</v>
      </c>
      <c r="AJ120" s="19">
        <v>0.0</v>
      </c>
      <c r="AK120" s="19">
        <v>0.0</v>
      </c>
      <c r="AL120" s="19">
        <v>0.0</v>
      </c>
      <c r="AM120" s="13">
        <f t="shared" si="26"/>
        <v>5</v>
      </c>
    </row>
    <row r="121" ht="12.75" customHeight="1">
      <c r="A121" s="18"/>
      <c r="B121" s="56"/>
      <c r="C121" s="57"/>
      <c r="D121" s="61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3">
        <f t="shared" si="26"/>
        <v>0</v>
      </c>
    </row>
    <row r="122" ht="12.75" customHeight="1">
      <c r="A122" s="18"/>
      <c r="B122" s="56"/>
      <c r="C122" s="57"/>
      <c r="D122" s="61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3">
        <f t="shared" si="26"/>
        <v>0</v>
      </c>
    </row>
    <row r="123" ht="12.75" customHeight="1">
      <c r="A123" s="18"/>
      <c r="B123" s="56"/>
      <c r="C123" s="57"/>
      <c r="D123" s="61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M127" si="27">SUM(E117:E126)</f>
        <v>2</v>
      </c>
      <c r="F127" s="13">
        <f t="shared" si="27"/>
        <v>0</v>
      </c>
      <c r="G127" s="13">
        <f t="shared" si="27"/>
        <v>1</v>
      </c>
      <c r="H127" s="13">
        <f t="shared" si="27"/>
        <v>1</v>
      </c>
      <c r="I127" s="13">
        <f t="shared" si="27"/>
        <v>0</v>
      </c>
      <c r="J127" s="13">
        <f t="shared" si="27"/>
        <v>1</v>
      </c>
      <c r="K127" s="13">
        <f t="shared" si="27"/>
        <v>0</v>
      </c>
      <c r="L127" s="13">
        <f t="shared" si="27"/>
        <v>1</v>
      </c>
      <c r="M127" s="13">
        <f t="shared" si="27"/>
        <v>0</v>
      </c>
      <c r="N127" s="13">
        <f t="shared" si="27"/>
        <v>0</v>
      </c>
      <c r="O127" s="13">
        <f t="shared" si="27"/>
        <v>0</v>
      </c>
      <c r="P127" s="13">
        <f t="shared" si="27"/>
        <v>0</v>
      </c>
      <c r="Q127" s="13">
        <f t="shared" si="27"/>
        <v>1</v>
      </c>
      <c r="R127" s="13">
        <f t="shared" si="27"/>
        <v>2</v>
      </c>
      <c r="S127" s="13">
        <f t="shared" si="27"/>
        <v>2</v>
      </c>
      <c r="T127" s="13">
        <f t="shared" si="27"/>
        <v>0</v>
      </c>
      <c r="U127" s="13">
        <f t="shared" si="27"/>
        <v>0</v>
      </c>
      <c r="V127" s="13">
        <f t="shared" si="27"/>
        <v>2</v>
      </c>
      <c r="W127" s="13">
        <f t="shared" si="27"/>
        <v>2</v>
      </c>
      <c r="X127" s="13">
        <f t="shared" si="27"/>
        <v>2</v>
      </c>
      <c r="Y127" s="13">
        <f t="shared" si="27"/>
        <v>0</v>
      </c>
      <c r="Z127" s="13">
        <f t="shared" si="27"/>
        <v>0</v>
      </c>
      <c r="AA127" s="13">
        <f t="shared" si="27"/>
        <v>1</v>
      </c>
      <c r="AB127" s="13">
        <f t="shared" si="27"/>
        <v>0</v>
      </c>
      <c r="AC127" s="13">
        <f t="shared" si="27"/>
        <v>1</v>
      </c>
      <c r="AD127" s="13">
        <f t="shared" si="27"/>
        <v>2</v>
      </c>
      <c r="AE127" s="13">
        <f t="shared" si="27"/>
        <v>1</v>
      </c>
      <c r="AF127" s="13">
        <f t="shared" si="27"/>
        <v>2</v>
      </c>
      <c r="AG127" s="13">
        <f t="shared" si="27"/>
        <v>0</v>
      </c>
      <c r="AH127" s="13">
        <f t="shared" si="27"/>
        <v>1</v>
      </c>
      <c r="AI127" s="13">
        <f t="shared" si="27"/>
        <v>1</v>
      </c>
      <c r="AJ127" s="13">
        <f t="shared" si="27"/>
        <v>2</v>
      </c>
      <c r="AK127" s="13">
        <f t="shared" si="27"/>
        <v>0</v>
      </c>
      <c r="AL127" s="13">
        <f t="shared" si="27"/>
        <v>2</v>
      </c>
      <c r="AM127" s="13">
        <f t="shared" si="27"/>
        <v>30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3.0</v>
      </c>
      <c r="F129" s="19">
        <v>1.0</v>
      </c>
      <c r="G129" s="19">
        <v>0.0</v>
      </c>
      <c r="H129" s="19">
        <v>0.0</v>
      </c>
      <c r="I129" s="19">
        <v>1.0</v>
      </c>
      <c r="J129" s="19">
        <v>0.0</v>
      </c>
      <c r="K129" s="19">
        <v>0.0</v>
      </c>
      <c r="L129" s="19">
        <v>0.0</v>
      </c>
      <c r="M129" s="19">
        <v>5.0</v>
      </c>
      <c r="N129" s="19">
        <v>2.0</v>
      </c>
      <c r="O129" s="19">
        <v>0.0</v>
      </c>
      <c r="P129" s="19">
        <v>2.0</v>
      </c>
      <c r="Q129" s="19">
        <v>0.0</v>
      </c>
      <c r="R129" s="19">
        <v>0.0</v>
      </c>
      <c r="S129" s="19">
        <v>0.0</v>
      </c>
      <c r="T129" s="19">
        <v>1.0</v>
      </c>
      <c r="U129" s="19">
        <v>0.0</v>
      </c>
      <c r="V129" s="19">
        <v>1.0</v>
      </c>
      <c r="W129" s="19">
        <v>1.0</v>
      </c>
      <c r="X129" s="19">
        <v>4.0</v>
      </c>
      <c r="Y129" s="19">
        <v>0.0</v>
      </c>
      <c r="Z129" s="19">
        <v>0.0</v>
      </c>
      <c r="AA129" s="19">
        <v>2.0</v>
      </c>
      <c r="AB129" s="19">
        <v>0.0</v>
      </c>
      <c r="AC129" s="19">
        <v>0.0</v>
      </c>
      <c r="AD129" s="19">
        <v>3.0</v>
      </c>
      <c r="AE129" s="19">
        <v>2.0</v>
      </c>
      <c r="AF129" s="19">
        <v>0.0</v>
      </c>
      <c r="AG129" s="19">
        <v>5.0</v>
      </c>
      <c r="AH129" s="19">
        <v>2.0</v>
      </c>
      <c r="AI129" s="19">
        <v>2.0</v>
      </c>
      <c r="AJ129" s="19">
        <v>0.0</v>
      </c>
      <c r="AK129" s="19">
        <v>0.0</v>
      </c>
      <c r="AL129" s="19">
        <v>1.0</v>
      </c>
      <c r="AM129" s="13">
        <f t="shared" ref="AM129:AM138" si="28">SUM(E129:AL129)</f>
        <v>38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2.0</v>
      </c>
      <c r="F130" s="19">
        <v>2.0</v>
      </c>
      <c r="G130" s="19">
        <v>0.0</v>
      </c>
      <c r="H130" s="19">
        <v>1.0</v>
      </c>
      <c r="I130" s="19">
        <v>0.0</v>
      </c>
      <c r="J130" s="19">
        <v>0.0</v>
      </c>
      <c r="K130" s="19">
        <v>0.0</v>
      </c>
      <c r="L130" s="19">
        <v>0.0</v>
      </c>
      <c r="M130" s="19">
        <v>2.0</v>
      </c>
      <c r="N130" s="19">
        <v>1.0</v>
      </c>
      <c r="O130" s="19">
        <v>2.0</v>
      </c>
      <c r="P130" s="19">
        <v>0.0</v>
      </c>
      <c r="Q130" s="19">
        <v>1.0</v>
      </c>
      <c r="R130" s="19">
        <v>2.0</v>
      </c>
      <c r="S130" s="19">
        <v>0.0</v>
      </c>
      <c r="T130" s="19">
        <v>1.0</v>
      </c>
      <c r="U130" s="19">
        <v>0.0</v>
      </c>
      <c r="V130" s="19">
        <v>1.0</v>
      </c>
      <c r="W130" s="19">
        <v>2.0</v>
      </c>
      <c r="X130" s="19">
        <v>7.0</v>
      </c>
      <c r="Y130" s="19">
        <v>1.0</v>
      </c>
      <c r="Z130" s="19">
        <v>0.0</v>
      </c>
      <c r="AA130" s="19">
        <v>4.0</v>
      </c>
      <c r="AB130" s="19">
        <v>0.0</v>
      </c>
      <c r="AC130" s="19">
        <v>0.0</v>
      </c>
      <c r="AD130" s="19">
        <v>4.0</v>
      </c>
      <c r="AE130" s="19">
        <v>2.0</v>
      </c>
      <c r="AF130" s="19">
        <v>11.0</v>
      </c>
      <c r="AG130" s="19">
        <v>4.0</v>
      </c>
      <c r="AH130" s="19">
        <v>2.0</v>
      </c>
      <c r="AI130" s="19">
        <v>1.0</v>
      </c>
      <c r="AJ130" s="19">
        <v>1.0</v>
      </c>
      <c r="AK130" s="19">
        <v>0.0</v>
      </c>
      <c r="AL130" s="19">
        <v>1.0</v>
      </c>
      <c r="AM130" s="13">
        <f t="shared" si="28"/>
        <v>55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9.0</v>
      </c>
      <c r="F131" s="19">
        <v>11.0</v>
      </c>
      <c r="G131" s="19">
        <v>0.0</v>
      </c>
      <c r="H131" s="19">
        <v>1.0</v>
      </c>
      <c r="I131" s="19">
        <v>1.0</v>
      </c>
      <c r="J131" s="19">
        <v>5.0</v>
      </c>
      <c r="K131" s="19">
        <v>0.0</v>
      </c>
      <c r="L131" s="19">
        <v>0.0</v>
      </c>
      <c r="M131" s="19">
        <v>2.0</v>
      </c>
      <c r="N131" s="19">
        <v>3.0</v>
      </c>
      <c r="O131" s="19">
        <v>4.0</v>
      </c>
      <c r="P131" s="19">
        <v>0.0</v>
      </c>
      <c r="Q131" s="19">
        <v>1.0</v>
      </c>
      <c r="R131" s="19">
        <v>6.0</v>
      </c>
      <c r="S131" s="19">
        <v>0.0</v>
      </c>
      <c r="T131" s="19">
        <v>0.0</v>
      </c>
      <c r="U131" s="19">
        <v>0.0</v>
      </c>
      <c r="V131" s="19">
        <v>2.0</v>
      </c>
      <c r="W131" s="19">
        <v>1.0</v>
      </c>
      <c r="X131" s="19">
        <v>3.0</v>
      </c>
      <c r="Y131" s="19">
        <v>0.0</v>
      </c>
      <c r="Z131" s="19">
        <v>0.0</v>
      </c>
      <c r="AA131" s="19">
        <v>3.0</v>
      </c>
      <c r="AB131" s="19">
        <v>2.0</v>
      </c>
      <c r="AC131" s="19">
        <v>2.0</v>
      </c>
      <c r="AD131" s="19">
        <v>6.0</v>
      </c>
      <c r="AE131" s="19">
        <v>2.0</v>
      </c>
      <c r="AF131" s="19">
        <v>5.0</v>
      </c>
      <c r="AG131" s="19">
        <v>5.0</v>
      </c>
      <c r="AH131" s="19">
        <v>1.0</v>
      </c>
      <c r="AI131" s="19">
        <v>0.0</v>
      </c>
      <c r="AJ131" s="19">
        <v>3.0</v>
      </c>
      <c r="AK131" s="19">
        <v>2.0</v>
      </c>
      <c r="AL131" s="19">
        <v>2.0</v>
      </c>
      <c r="AM131" s="13">
        <f t="shared" si="28"/>
        <v>82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2.0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1.0</v>
      </c>
      <c r="U132" s="19">
        <v>0.0</v>
      </c>
      <c r="V132" s="19">
        <v>1.0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1.0</v>
      </c>
      <c r="AF132" s="19">
        <v>0.0</v>
      </c>
      <c r="AG132" s="19">
        <v>0.0</v>
      </c>
      <c r="AH132" s="19">
        <v>1.0</v>
      </c>
      <c r="AI132" s="19">
        <v>0.0</v>
      </c>
      <c r="AJ132" s="19">
        <v>0.0</v>
      </c>
      <c r="AK132" s="19">
        <v>0.0</v>
      </c>
      <c r="AL132" s="19">
        <v>0.0</v>
      </c>
      <c r="AM132" s="13">
        <f t="shared" si="28"/>
        <v>6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1.0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1.0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1.0</v>
      </c>
      <c r="AI133" s="19">
        <v>0.0</v>
      </c>
      <c r="AJ133" s="19">
        <v>0.0</v>
      </c>
      <c r="AK133" s="19">
        <v>0.0</v>
      </c>
      <c r="AL133" s="19">
        <v>0.0</v>
      </c>
      <c r="AM133" s="13">
        <f t="shared" si="28"/>
        <v>3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1.0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3.0</v>
      </c>
      <c r="O134" s="19">
        <v>0.0</v>
      </c>
      <c r="P134" s="19">
        <v>1.0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1.0</v>
      </c>
      <c r="AE134" s="19">
        <v>0.0</v>
      </c>
      <c r="AF134" s="19">
        <v>0.0</v>
      </c>
      <c r="AG134" s="19">
        <v>0.0</v>
      </c>
      <c r="AH134" s="19">
        <v>1.0</v>
      </c>
      <c r="AI134" s="19">
        <v>0.0</v>
      </c>
      <c r="AJ134" s="19">
        <v>1.0</v>
      </c>
      <c r="AK134" s="19">
        <v>0.0</v>
      </c>
      <c r="AL134" s="19">
        <v>0.0</v>
      </c>
      <c r="AM134" s="13">
        <f t="shared" si="28"/>
        <v>8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1.0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1.0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1.0</v>
      </c>
      <c r="AG135" s="19">
        <v>0.0</v>
      </c>
      <c r="AH135" s="19">
        <v>0.0</v>
      </c>
      <c r="AI135" s="19">
        <v>0.0</v>
      </c>
      <c r="AJ135" s="19">
        <v>0.0</v>
      </c>
      <c r="AK135" s="19">
        <v>0.0</v>
      </c>
      <c r="AL135" s="19">
        <v>0.0</v>
      </c>
      <c r="AM135" s="13">
        <f t="shared" si="28"/>
        <v>3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9">
        <v>0.0</v>
      </c>
      <c r="AJ136" s="19">
        <v>0.0</v>
      </c>
      <c r="AK136" s="19">
        <v>0.0</v>
      </c>
      <c r="AL136" s="19">
        <v>0.0</v>
      </c>
      <c r="AM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M139" si="29">SUM(E129:E138)</f>
        <v>14</v>
      </c>
      <c r="F139" s="13">
        <f t="shared" si="29"/>
        <v>15</v>
      </c>
      <c r="G139" s="13">
        <f t="shared" si="29"/>
        <v>1</v>
      </c>
      <c r="H139" s="13">
        <f t="shared" si="29"/>
        <v>2</v>
      </c>
      <c r="I139" s="13">
        <f t="shared" si="29"/>
        <v>2</v>
      </c>
      <c r="J139" s="13">
        <f t="shared" si="29"/>
        <v>5</v>
      </c>
      <c r="K139" s="13">
        <f t="shared" si="29"/>
        <v>0</v>
      </c>
      <c r="L139" s="13">
        <f t="shared" si="29"/>
        <v>2</v>
      </c>
      <c r="M139" s="13">
        <f t="shared" si="29"/>
        <v>9</v>
      </c>
      <c r="N139" s="13">
        <f t="shared" si="29"/>
        <v>9</v>
      </c>
      <c r="O139" s="13">
        <f t="shared" si="29"/>
        <v>6</v>
      </c>
      <c r="P139" s="13">
        <f t="shared" si="29"/>
        <v>4</v>
      </c>
      <c r="Q139" s="13">
        <f t="shared" si="29"/>
        <v>2</v>
      </c>
      <c r="R139" s="13">
        <f t="shared" si="29"/>
        <v>8</v>
      </c>
      <c r="S139" s="13">
        <f t="shared" si="29"/>
        <v>0</v>
      </c>
      <c r="T139" s="13">
        <f t="shared" si="29"/>
        <v>3</v>
      </c>
      <c r="U139" s="13">
        <f t="shared" si="29"/>
        <v>0</v>
      </c>
      <c r="V139" s="13">
        <f t="shared" si="29"/>
        <v>6</v>
      </c>
      <c r="W139" s="13">
        <f t="shared" si="29"/>
        <v>4</v>
      </c>
      <c r="X139" s="13">
        <f t="shared" si="29"/>
        <v>14</v>
      </c>
      <c r="Y139" s="13">
        <f t="shared" si="29"/>
        <v>1</v>
      </c>
      <c r="Z139" s="13">
        <f t="shared" si="29"/>
        <v>0</v>
      </c>
      <c r="AA139" s="13">
        <f t="shared" si="29"/>
        <v>10</v>
      </c>
      <c r="AB139" s="13">
        <f t="shared" si="29"/>
        <v>2</v>
      </c>
      <c r="AC139" s="13">
        <f t="shared" si="29"/>
        <v>2</v>
      </c>
      <c r="AD139" s="13">
        <f t="shared" si="29"/>
        <v>14</v>
      </c>
      <c r="AE139" s="13">
        <f t="shared" si="29"/>
        <v>7</v>
      </c>
      <c r="AF139" s="13">
        <f t="shared" si="29"/>
        <v>17</v>
      </c>
      <c r="AG139" s="13">
        <f t="shared" si="29"/>
        <v>14</v>
      </c>
      <c r="AH139" s="13">
        <f t="shared" si="29"/>
        <v>8</v>
      </c>
      <c r="AI139" s="13">
        <f t="shared" si="29"/>
        <v>3</v>
      </c>
      <c r="AJ139" s="13">
        <f t="shared" si="29"/>
        <v>5</v>
      </c>
      <c r="AK139" s="13">
        <f t="shared" si="29"/>
        <v>2</v>
      </c>
      <c r="AL139" s="13">
        <f t="shared" si="29"/>
        <v>4</v>
      </c>
      <c r="AM139" s="13">
        <f t="shared" si="29"/>
        <v>195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9">
        <v>0.0</v>
      </c>
      <c r="AI141" s="19">
        <v>1.0</v>
      </c>
      <c r="AJ141" s="19">
        <v>0.0</v>
      </c>
      <c r="AK141" s="19">
        <v>0.0</v>
      </c>
      <c r="AL141" s="19">
        <v>0.0</v>
      </c>
      <c r="AM141" s="13">
        <f t="shared" ref="AM141:AM150" si="30">SUM(E141:AL141)</f>
        <v>1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1.0</v>
      </c>
      <c r="AF142" s="19">
        <v>0.0</v>
      </c>
      <c r="AG142" s="19">
        <v>0.0</v>
      </c>
      <c r="AH142" s="19">
        <v>0.0</v>
      </c>
      <c r="AI142" s="19">
        <v>1.0</v>
      </c>
      <c r="AJ142" s="19">
        <v>0.0</v>
      </c>
      <c r="AK142" s="19">
        <v>0.0</v>
      </c>
      <c r="AL142" s="19">
        <v>0.0</v>
      </c>
      <c r="AM142" s="13">
        <f t="shared" si="30"/>
        <v>2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>
        <v>0.0</v>
      </c>
      <c r="AJ143" s="19">
        <v>0.0</v>
      </c>
      <c r="AK143" s="19">
        <v>0.0</v>
      </c>
      <c r="AL143" s="19">
        <v>0.0</v>
      </c>
      <c r="AM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9">
        <v>0.0</v>
      </c>
      <c r="AK144" s="19">
        <v>0.0</v>
      </c>
      <c r="AL144" s="19">
        <v>0.0</v>
      </c>
      <c r="AM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9">
        <v>0.0</v>
      </c>
      <c r="AK145" s="19">
        <v>0.0</v>
      </c>
      <c r="AL145" s="19">
        <v>0.0</v>
      </c>
      <c r="AM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1.0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1.0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>
        <v>0.0</v>
      </c>
      <c r="AJ146" s="19">
        <v>0.0</v>
      </c>
      <c r="AK146" s="19">
        <v>0.0</v>
      </c>
      <c r="AL146" s="19">
        <v>0.0</v>
      </c>
      <c r="AM146" s="13">
        <f t="shared" si="30"/>
        <v>2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1.0</v>
      </c>
      <c r="AE147" s="19">
        <v>0.0</v>
      </c>
      <c r="AF147" s="19">
        <v>0.0</v>
      </c>
      <c r="AG147" s="19">
        <v>0.0</v>
      </c>
      <c r="AH147" s="19">
        <v>0.0</v>
      </c>
      <c r="AI147" s="19">
        <v>0.0</v>
      </c>
      <c r="AJ147" s="19">
        <v>0.0</v>
      </c>
      <c r="AK147" s="19">
        <v>0.0</v>
      </c>
      <c r="AL147" s="19">
        <v>0.0</v>
      </c>
      <c r="AM147" s="13">
        <f t="shared" si="30"/>
        <v>1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9">
        <v>0.0</v>
      </c>
      <c r="AK148" s="19">
        <v>0.0</v>
      </c>
      <c r="AL148" s="19">
        <v>0.0</v>
      </c>
      <c r="AM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M151" si="31">SUM(E141:E150)</f>
        <v>0</v>
      </c>
      <c r="F151" s="13">
        <f t="shared" si="31"/>
        <v>1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1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1</v>
      </c>
      <c r="AE151" s="13">
        <f t="shared" si="31"/>
        <v>1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2</v>
      </c>
      <c r="AJ151" s="13">
        <f t="shared" si="31"/>
        <v>0</v>
      </c>
      <c r="AK151" s="13">
        <f t="shared" si="31"/>
        <v>0</v>
      </c>
      <c r="AL151" s="13">
        <f t="shared" si="31"/>
        <v>0</v>
      </c>
      <c r="AM151" s="13">
        <f t="shared" si="31"/>
        <v>6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13"/>
    </row>
    <row r="153" ht="12.75" customHeight="1">
      <c r="A153" s="30" t="s">
        <v>37</v>
      </c>
      <c r="B153" s="17" t="s">
        <v>113</v>
      </c>
      <c r="C153" s="64" t="s">
        <v>114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1.0</v>
      </c>
      <c r="O153" s="19">
        <v>1.0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1.0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0.0</v>
      </c>
      <c r="AG153" s="19">
        <v>0.0</v>
      </c>
      <c r="AH153" s="19">
        <v>0.0</v>
      </c>
      <c r="AI153" s="19">
        <v>0.0</v>
      </c>
      <c r="AJ153" s="19">
        <v>0.0</v>
      </c>
      <c r="AK153" s="19">
        <v>0.0</v>
      </c>
      <c r="AL153" s="19">
        <v>0.0</v>
      </c>
      <c r="AM153" s="13">
        <f t="shared" ref="AM153:AM156" si="32">SUM(E154:AL154)</f>
        <v>6</v>
      </c>
    </row>
    <row r="154" ht="12.75" customHeight="1">
      <c r="A154" s="65" t="s">
        <v>39</v>
      </c>
      <c r="B154" s="55">
        <v>1.0</v>
      </c>
      <c r="C154" s="66" t="s">
        <v>115</v>
      </c>
      <c r="D154" s="60"/>
      <c r="E154" s="80">
        <v>0.0</v>
      </c>
      <c r="F154" s="19">
        <v>1.0</v>
      </c>
      <c r="G154" s="19">
        <v>1.0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1.0</v>
      </c>
      <c r="AF154" s="19">
        <v>0.0</v>
      </c>
      <c r="AG154" s="19">
        <v>0.0</v>
      </c>
      <c r="AH154" s="19">
        <v>2.0</v>
      </c>
      <c r="AI154" s="19">
        <v>1.0</v>
      </c>
      <c r="AJ154" s="19">
        <v>0.0</v>
      </c>
      <c r="AK154" s="19">
        <v>0.0</v>
      </c>
      <c r="AL154" s="19">
        <v>0.0</v>
      </c>
      <c r="AM154" s="13">
        <f t="shared" si="32"/>
        <v>5</v>
      </c>
    </row>
    <row r="155" ht="12.75" customHeight="1">
      <c r="A155" s="18"/>
      <c r="B155" s="55">
        <v>2.0</v>
      </c>
      <c r="C155" s="66" t="s">
        <v>116</v>
      </c>
      <c r="D155" s="60"/>
      <c r="E155" s="80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1.0</v>
      </c>
      <c r="P155" s="19">
        <v>0.0</v>
      </c>
      <c r="Q155" s="19">
        <v>1.0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1.0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1.0</v>
      </c>
      <c r="AF155" s="19">
        <v>0.0</v>
      </c>
      <c r="AG155" s="19">
        <v>1.0</v>
      </c>
      <c r="AH155" s="19">
        <v>0.0</v>
      </c>
      <c r="AI155" s="19">
        <v>0.0</v>
      </c>
      <c r="AJ155" s="19">
        <v>0.0</v>
      </c>
      <c r="AK155" s="19">
        <v>0.0</v>
      </c>
      <c r="AL155" s="19">
        <v>0.0</v>
      </c>
      <c r="AM155" s="13">
        <f t="shared" si="32"/>
        <v>1</v>
      </c>
    </row>
    <row r="156" ht="12.75" customHeight="1">
      <c r="A156" s="18"/>
      <c r="B156" s="55">
        <v>3.0</v>
      </c>
      <c r="C156" s="66" t="s">
        <v>117</v>
      </c>
      <c r="D156" s="60"/>
      <c r="E156" s="80">
        <v>0.0</v>
      </c>
      <c r="F156" s="19">
        <v>0.0</v>
      </c>
      <c r="G156" s="19">
        <v>1.0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0.0</v>
      </c>
      <c r="AI156" s="19">
        <v>0.0</v>
      </c>
      <c r="AJ156" s="19">
        <v>0.0</v>
      </c>
      <c r="AK156" s="19">
        <v>0.0</v>
      </c>
      <c r="AL156" s="19">
        <v>0.0</v>
      </c>
      <c r="AM156" s="13">
        <f t="shared" si="32"/>
        <v>0</v>
      </c>
    </row>
    <row r="157" ht="12.75" customHeight="1">
      <c r="A157" s="18"/>
      <c r="B157" s="55">
        <v>4.0</v>
      </c>
      <c r="C157" s="66" t="s">
        <v>118</v>
      </c>
      <c r="D157" s="60"/>
      <c r="E157" s="80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9">
        <v>0.0</v>
      </c>
      <c r="AI157" s="19">
        <v>0.0</v>
      </c>
      <c r="AJ157" s="19">
        <v>0.0</v>
      </c>
      <c r="AK157" s="19">
        <v>0.0</v>
      </c>
      <c r="AL157" s="19">
        <v>0.0</v>
      </c>
      <c r="AM157" s="13">
        <f t="shared" ref="AM157:AM162" si="33">SUM(E163:AL163)</f>
        <v>15</v>
      </c>
    </row>
    <row r="158" ht="12.75" customHeight="1">
      <c r="A158" s="18"/>
      <c r="B158" s="56"/>
      <c r="C158" s="57"/>
      <c r="D158" s="61"/>
      <c r="E158" s="80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3">
        <f t="shared" si="33"/>
        <v>0</v>
      </c>
    </row>
    <row r="159" ht="12.75" customHeight="1">
      <c r="A159" s="18"/>
      <c r="B159" s="56"/>
      <c r="C159" s="57"/>
      <c r="D159" s="61"/>
      <c r="E159" s="80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3">
        <f t="shared" si="33"/>
        <v>2</v>
      </c>
    </row>
    <row r="160" ht="12.75" customHeight="1">
      <c r="A160" s="18"/>
      <c r="B160" s="56"/>
      <c r="C160" s="57"/>
      <c r="D160" s="62"/>
      <c r="E160" s="80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3">
        <f t="shared" si="33"/>
        <v>3</v>
      </c>
    </row>
    <row r="161" ht="12.75" customHeight="1">
      <c r="A161" s="18"/>
      <c r="B161" s="56"/>
      <c r="C161" s="67"/>
      <c r="D161" s="62"/>
      <c r="E161" s="80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3">
        <f t="shared" si="33"/>
        <v>1</v>
      </c>
    </row>
    <row r="162" ht="12.75" customHeight="1">
      <c r="A162" s="18"/>
      <c r="B162" s="56"/>
      <c r="C162" s="67"/>
      <c r="D162" s="62"/>
      <c r="E162" s="80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3">
        <f t="shared" si="33"/>
        <v>3</v>
      </c>
    </row>
    <row r="163" ht="12.75" customHeight="1">
      <c r="A163" s="19" t="s">
        <v>15</v>
      </c>
      <c r="B163" s="68" t="s">
        <v>47</v>
      </c>
      <c r="C163" s="44"/>
      <c r="D163" s="28"/>
      <c r="E163" s="13">
        <f t="shared" ref="E163:AM163" si="34">SUM(E153:E162)</f>
        <v>0</v>
      </c>
      <c r="F163" s="13">
        <f t="shared" si="34"/>
        <v>1</v>
      </c>
      <c r="G163" s="13">
        <f t="shared" si="34"/>
        <v>2</v>
      </c>
      <c r="H163" s="13">
        <f t="shared" si="34"/>
        <v>0</v>
      </c>
      <c r="I163" s="13">
        <f t="shared" si="34"/>
        <v>0</v>
      </c>
      <c r="J163" s="13">
        <f t="shared" si="34"/>
        <v>0</v>
      </c>
      <c r="K163" s="13">
        <f t="shared" si="34"/>
        <v>0</v>
      </c>
      <c r="L163" s="13">
        <f t="shared" si="34"/>
        <v>0</v>
      </c>
      <c r="M163" s="13">
        <f t="shared" si="34"/>
        <v>0</v>
      </c>
      <c r="N163" s="13">
        <f t="shared" si="34"/>
        <v>1</v>
      </c>
      <c r="O163" s="13">
        <f t="shared" si="34"/>
        <v>2</v>
      </c>
      <c r="P163" s="13">
        <f t="shared" si="34"/>
        <v>0</v>
      </c>
      <c r="Q163" s="13">
        <f t="shared" si="34"/>
        <v>1</v>
      </c>
      <c r="R163" s="13">
        <f t="shared" si="34"/>
        <v>0</v>
      </c>
      <c r="S163" s="13">
        <f t="shared" si="34"/>
        <v>0</v>
      </c>
      <c r="T163" s="13">
        <f t="shared" si="34"/>
        <v>0</v>
      </c>
      <c r="U163" s="13">
        <f t="shared" si="34"/>
        <v>0</v>
      </c>
      <c r="V163" s="13">
        <f t="shared" si="34"/>
        <v>0</v>
      </c>
      <c r="W163" s="13">
        <f t="shared" si="34"/>
        <v>2</v>
      </c>
      <c r="X163" s="13">
        <f t="shared" si="34"/>
        <v>0</v>
      </c>
      <c r="Y163" s="13">
        <f t="shared" si="34"/>
        <v>0</v>
      </c>
      <c r="Z163" s="13">
        <f t="shared" si="34"/>
        <v>0</v>
      </c>
      <c r="AA163" s="13">
        <f t="shared" si="34"/>
        <v>0</v>
      </c>
      <c r="AB163" s="13">
        <f t="shared" si="34"/>
        <v>0</v>
      </c>
      <c r="AC163" s="13">
        <f t="shared" si="34"/>
        <v>0</v>
      </c>
      <c r="AD163" s="13">
        <f t="shared" si="34"/>
        <v>0</v>
      </c>
      <c r="AE163" s="13">
        <f t="shared" si="34"/>
        <v>2</v>
      </c>
      <c r="AF163" s="13">
        <f t="shared" si="34"/>
        <v>0</v>
      </c>
      <c r="AG163" s="13">
        <f t="shared" si="34"/>
        <v>1</v>
      </c>
      <c r="AH163" s="13">
        <f t="shared" si="34"/>
        <v>2</v>
      </c>
      <c r="AI163" s="13">
        <f t="shared" si="34"/>
        <v>1</v>
      </c>
      <c r="AJ163" s="13">
        <f t="shared" si="34"/>
        <v>0</v>
      </c>
      <c r="AK163" s="13">
        <f t="shared" si="34"/>
        <v>0</v>
      </c>
      <c r="AL163" s="13">
        <f t="shared" si="34"/>
        <v>0</v>
      </c>
      <c r="AM163" s="13">
        <f t="shared" si="34"/>
        <v>36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1.0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1.0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0.0</v>
      </c>
      <c r="AE165" s="19">
        <v>0.0</v>
      </c>
      <c r="AF165" s="19">
        <v>0.0</v>
      </c>
      <c r="AG165" s="19">
        <v>0.0</v>
      </c>
      <c r="AH165" s="19">
        <v>0.0</v>
      </c>
      <c r="AI165" s="19">
        <v>0.0</v>
      </c>
      <c r="AJ165" s="19">
        <v>0.0</v>
      </c>
      <c r="AK165" s="19">
        <v>0.0</v>
      </c>
      <c r="AL165" s="19">
        <v>0.0</v>
      </c>
      <c r="AM165" s="13">
        <f t="shared" ref="AM165:AM174" si="35">SUM(E165:AL165)</f>
        <v>2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1.0</v>
      </c>
      <c r="M166" s="19">
        <v>0.0</v>
      </c>
      <c r="N166" s="19">
        <v>1.0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9">
        <v>0.0</v>
      </c>
      <c r="AE166" s="19">
        <v>0.0</v>
      </c>
      <c r="AF166" s="19">
        <v>0.0</v>
      </c>
      <c r="AG166" s="19">
        <v>1.0</v>
      </c>
      <c r="AH166" s="19">
        <v>0.0</v>
      </c>
      <c r="AI166" s="19">
        <v>0.0</v>
      </c>
      <c r="AJ166" s="19">
        <v>0.0</v>
      </c>
      <c r="AK166" s="19">
        <v>0.0</v>
      </c>
      <c r="AL166" s="19">
        <v>0.0</v>
      </c>
      <c r="AM166" s="13">
        <f t="shared" si="35"/>
        <v>3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1.0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0.0</v>
      </c>
      <c r="AG167" s="19">
        <v>0.0</v>
      </c>
      <c r="AH167" s="19">
        <v>0.0</v>
      </c>
      <c r="AI167" s="19">
        <v>0.0</v>
      </c>
      <c r="AJ167" s="19">
        <v>0.0</v>
      </c>
      <c r="AK167" s="19">
        <v>0.0</v>
      </c>
      <c r="AL167" s="19">
        <v>0.0</v>
      </c>
      <c r="AM167" s="13">
        <f t="shared" si="35"/>
        <v>1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1.0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1.0</v>
      </c>
      <c r="AD168" s="19">
        <v>0.0</v>
      </c>
      <c r="AE168" s="19">
        <v>0.0</v>
      </c>
      <c r="AF168" s="19">
        <v>0.0</v>
      </c>
      <c r="AG168" s="19">
        <v>1.0</v>
      </c>
      <c r="AH168" s="19">
        <v>0.0</v>
      </c>
      <c r="AI168" s="19">
        <v>0.0</v>
      </c>
      <c r="AJ168" s="19">
        <v>0.0</v>
      </c>
      <c r="AK168" s="19">
        <v>0.0</v>
      </c>
      <c r="AL168" s="19">
        <v>0.0</v>
      </c>
      <c r="AM168" s="13">
        <f t="shared" si="35"/>
        <v>3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9">
        <v>0.0</v>
      </c>
      <c r="AI169" s="19">
        <v>0.0</v>
      </c>
      <c r="AJ169" s="19">
        <v>0.0</v>
      </c>
      <c r="AK169" s="19">
        <v>0.0</v>
      </c>
      <c r="AL169" s="19">
        <v>0.0</v>
      </c>
      <c r="AM169" s="13">
        <f t="shared" si="35"/>
        <v>0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1.0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1.0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0.0</v>
      </c>
      <c r="AJ170" s="19">
        <v>0.0</v>
      </c>
      <c r="AK170" s="19">
        <v>0.0</v>
      </c>
      <c r="AL170" s="19">
        <v>0.0</v>
      </c>
      <c r="AM170" s="13">
        <f t="shared" si="35"/>
        <v>2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0.0</v>
      </c>
      <c r="AI171" s="19">
        <v>0.0</v>
      </c>
      <c r="AJ171" s="19">
        <v>0.0</v>
      </c>
      <c r="AK171" s="19">
        <v>0.0</v>
      </c>
      <c r="AL171" s="19">
        <v>0.0</v>
      </c>
      <c r="AM171" s="13">
        <f t="shared" si="35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0.0</v>
      </c>
      <c r="AI172" s="19">
        <v>0.0</v>
      </c>
      <c r="AJ172" s="19">
        <v>0.0</v>
      </c>
      <c r="AK172" s="19">
        <v>0.0</v>
      </c>
      <c r="AL172" s="19">
        <v>0.0</v>
      </c>
      <c r="AM172" s="13">
        <f t="shared" si="35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3">
        <f t="shared" si="35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3">
        <f t="shared" si="35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M175" si="36">SUM(E165:E174)</f>
        <v>0</v>
      </c>
      <c r="F175" s="13">
        <f t="shared" si="36"/>
        <v>0</v>
      </c>
      <c r="G175" s="13">
        <f t="shared" si="36"/>
        <v>0</v>
      </c>
      <c r="H175" s="13">
        <f t="shared" si="36"/>
        <v>0</v>
      </c>
      <c r="I175" s="13">
        <f t="shared" si="36"/>
        <v>0</v>
      </c>
      <c r="J175" s="13">
        <f t="shared" si="36"/>
        <v>0</v>
      </c>
      <c r="K175" s="13">
        <f t="shared" si="36"/>
        <v>0</v>
      </c>
      <c r="L175" s="13">
        <f t="shared" si="36"/>
        <v>2</v>
      </c>
      <c r="M175" s="13">
        <f t="shared" si="36"/>
        <v>0</v>
      </c>
      <c r="N175" s="13">
        <f t="shared" si="36"/>
        <v>2</v>
      </c>
      <c r="O175" s="13">
        <f t="shared" si="36"/>
        <v>0</v>
      </c>
      <c r="P175" s="13">
        <f t="shared" si="36"/>
        <v>0</v>
      </c>
      <c r="Q175" s="13">
        <f t="shared" si="36"/>
        <v>0</v>
      </c>
      <c r="R175" s="13">
        <f t="shared" si="36"/>
        <v>1</v>
      </c>
      <c r="S175" s="13">
        <f t="shared" si="36"/>
        <v>0</v>
      </c>
      <c r="T175" s="13">
        <f t="shared" si="36"/>
        <v>0</v>
      </c>
      <c r="U175" s="13">
        <f t="shared" si="36"/>
        <v>0</v>
      </c>
      <c r="V175" s="13">
        <f t="shared" si="36"/>
        <v>1</v>
      </c>
      <c r="W175" s="13">
        <f t="shared" si="36"/>
        <v>1</v>
      </c>
      <c r="X175" s="13">
        <f t="shared" si="36"/>
        <v>0</v>
      </c>
      <c r="Y175" s="13">
        <f t="shared" si="36"/>
        <v>0</v>
      </c>
      <c r="Z175" s="13">
        <f t="shared" si="36"/>
        <v>0</v>
      </c>
      <c r="AA175" s="13">
        <f t="shared" si="36"/>
        <v>0</v>
      </c>
      <c r="AB175" s="13">
        <f t="shared" si="36"/>
        <v>1</v>
      </c>
      <c r="AC175" s="13">
        <f t="shared" si="36"/>
        <v>1</v>
      </c>
      <c r="AD175" s="13">
        <f t="shared" si="36"/>
        <v>0</v>
      </c>
      <c r="AE175" s="13">
        <f t="shared" si="36"/>
        <v>0</v>
      </c>
      <c r="AF175" s="13">
        <f t="shared" si="36"/>
        <v>0</v>
      </c>
      <c r="AG175" s="13">
        <f t="shared" si="36"/>
        <v>2</v>
      </c>
      <c r="AH175" s="13">
        <f t="shared" si="36"/>
        <v>0</v>
      </c>
      <c r="AI175" s="13">
        <f t="shared" si="36"/>
        <v>0</v>
      </c>
      <c r="AJ175" s="13">
        <f t="shared" si="36"/>
        <v>0</v>
      </c>
      <c r="AK175" s="13">
        <f t="shared" si="36"/>
        <v>0</v>
      </c>
      <c r="AL175" s="13">
        <f t="shared" si="36"/>
        <v>0</v>
      </c>
      <c r="AM175" s="13">
        <f t="shared" si="36"/>
        <v>11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2.0</v>
      </c>
      <c r="G177" s="19">
        <v>2.0</v>
      </c>
      <c r="H177" s="19">
        <v>0.0</v>
      </c>
      <c r="I177" s="19">
        <v>0.0</v>
      </c>
      <c r="J177" s="19">
        <v>0.0</v>
      </c>
      <c r="K177" s="19">
        <v>1.0</v>
      </c>
      <c r="L177" s="19">
        <v>2.0</v>
      </c>
      <c r="M177" s="19">
        <v>3.0</v>
      </c>
      <c r="N177" s="19">
        <v>0.0</v>
      </c>
      <c r="O177" s="19">
        <v>1.0</v>
      </c>
      <c r="P177" s="19">
        <v>1.0</v>
      </c>
      <c r="Q177" s="19">
        <v>0.0</v>
      </c>
      <c r="R177" s="19">
        <v>1.0</v>
      </c>
      <c r="S177" s="19">
        <v>7.0</v>
      </c>
      <c r="T177" s="19">
        <v>4.0</v>
      </c>
      <c r="U177" s="19">
        <v>1.0</v>
      </c>
      <c r="V177" s="19">
        <v>0.0</v>
      </c>
      <c r="W177" s="19">
        <v>2.0</v>
      </c>
      <c r="X177" s="19">
        <v>2.0</v>
      </c>
      <c r="Y177" s="19">
        <v>1.0</v>
      </c>
      <c r="Z177" s="19">
        <v>1.0</v>
      </c>
      <c r="AA177" s="19">
        <v>0.0</v>
      </c>
      <c r="AB177" s="19">
        <v>0.0</v>
      </c>
      <c r="AC177" s="19">
        <v>0.0</v>
      </c>
      <c r="AD177" s="19">
        <v>1.0</v>
      </c>
      <c r="AE177" s="19">
        <v>0.0</v>
      </c>
      <c r="AF177" s="19">
        <v>1.0</v>
      </c>
      <c r="AG177" s="19">
        <v>0.0</v>
      </c>
      <c r="AH177" s="19">
        <v>1.0</v>
      </c>
      <c r="AI177" s="19">
        <v>1.0</v>
      </c>
      <c r="AJ177" s="19">
        <v>1.0</v>
      </c>
      <c r="AK177" s="19">
        <v>0.0</v>
      </c>
      <c r="AL177" s="19">
        <v>0.0</v>
      </c>
      <c r="AM177" s="13">
        <f t="shared" ref="AM177:AM186" si="37">SUM(E177:AL177)</f>
        <v>36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1.0</v>
      </c>
      <c r="F178" s="19">
        <v>1.0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1.0</v>
      </c>
      <c r="N178" s="19">
        <v>1.0</v>
      </c>
      <c r="O178" s="19">
        <v>0.0</v>
      </c>
      <c r="P178" s="19">
        <v>0.0</v>
      </c>
      <c r="Q178" s="19">
        <v>0.0</v>
      </c>
      <c r="R178" s="19">
        <v>1.0</v>
      </c>
      <c r="S178" s="19">
        <v>0.0</v>
      </c>
      <c r="T178" s="19">
        <v>0.0</v>
      </c>
      <c r="U178" s="19">
        <v>1.0</v>
      </c>
      <c r="V178" s="19">
        <v>0.0</v>
      </c>
      <c r="W178" s="19">
        <v>0.0</v>
      </c>
      <c r="X178" s="19">
        <v>1.0</v>
      </c>
      <c r="Y178" s="19">
        <v>1.0</v>
      </c>
      <c r="Z178" s="19">
        <v>0.0</v>
      </c>
      <c r="AA178" s="19">
        <v>1.0</v>
      </c>
      <c r="AB178" s="19">
        <v>1.0</v>
      </c>
      <c r="AC178" s="19">
        <v>0.0</v>
      </c>
      <c r="AD178" s="19">
        <v>1.0</v>
      </c>
      <c r="AE178" s="19">
        <v>2.0</v>
      </c>
      <c r="AF178" s="19">
        <v>3.0</v>
      </c>
      <c r="AG178" s="19">
        <v>0.0</v>
      </c>
      <c r="AH178" s="19">
        <v>1.0</v>
      </c>
      <c r="AI178" s="19">
        <v>0.0</v>
      </c>
      <c r="AJ178" s="19">
        <v>0.0</v>
      </c>
      <c r="AK178" s="19">
        <v>0.0</v>
      </c>
      <c r="AL178" s="19">
        <v>0.0</v>
      </c>
      <c r="AM178" s="13">
        <f t="shared" si="37"/>
        <v>17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3.0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1.0</v>
      </c>
      <c r="O179" s="19">
        <v>0.0</v>
      </c>
      <c r="P179" s="19">
        <v>1.0</v>
      </c>
      <c r="Q179" s="19">
        <v>0.0</v>
      </c>
      <c r="R179" s="19">
        <v>0.0</v>
      </c>
      <c r="S179" s="19">
        <v>1.0</v>
      </c>
      <c r="T179" s="19">
        <v>0.0</v>
      </c>
      <c r="U179" s="19">
        <v>1.0</v>
      </c>
      <c r="V179" s="19">
        <v>0.0</v>
      </c>
      <c r="W179" s="19">
        <v>2.0</v>
      </c>
      <c r="X179" s="19">
        <v>0.0</v>
      </c>
      <c r="Y179" s="19">
        <v>1.0</v>
      </c>
      <c r="Z179" s="19">
        <v>1.0</v>
      </c>
      <c r="AA179" s="19">
        <v>0.0</v>
      </c>
      <c r="AB179" s="19">
        <v>1.0</v>
      </c>
      <c r="AC179" s="19">
        <v>1.0</v>
      </c>
      <c r="AD179" s="19">
        <v>1.0</v>
      </c>
      <c r="AE179" s="19">
        <v>2.0</v>
      </c>
      <c r="AF179" s="19">
        <v>0.0</v>
      </c>
      <c r="AG179" s="19">
        <v>0.0</v>
      </c>
      <c r="AH179" s="19">
        <v>1.0</v>
      </c>
      <c r="AI179" s="19">
        <v>0.0</v>
      </c>
      <c r="AJ179" s="19">
        <v>0.0</v>
      </c>
      <c r="AK179" s="19">
        <v>1.0</v>
      </c>
      <c r="AL179" s="19">
        <v>1.0</v>
      </c>
      <c r="AM179" s="13">
        <f t="shared" si="37"/>
        <v>19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1.0</v>
      </c>
      <c r="T180" s="19">
        <v>4.0</v>
      </c>
      <c r="U180" s="19">
        <v>1.0</v>
      </c>
      <c r="V180" s="19">
        <v>0.0</v>
      </c>
      <c r="W180" s="19">
        <v>0.0</v>
      </c>
      <c r="X180" s="19">
        <v>1.0</v>
      </c>
      <c r="Y180" s="19">
        <v>0.0</v>
      </c>
      <c r="Z180" s="19">
        <v>0.0</v>
      </c>
      <c r="AA180" s="19">
        <v>1.0</v>
      </c>
      <c r="AB180" s="19">
        <v>0.0</v>
      </c>
      <c r="AC180" s="19">
        <v>1.0</v>
      </c>
      <c r="AD180" s="19">
        <v>0.0</v>
      </c>
      <c r="AE180" s="19">
        <v>0.0</v>
      </c>
      <c r="AF180" s="19">
        <v>0.0</v>
      </c>
      <c r="AG180" s="19">
        <v>0.0</v>
      </c>
      <c r="AH180" s="19">
        <v>1.0</v>
      </c>
      <c r="AI180" s="19">
        <v>0.0</v>
      </c>
      <c r="AJ180" s="19">
        <v>0.0</v>
      </c>
      <c r="AK180" s="19">
        <v>0.0</v>
      </c>
      <c r="AL180" s="19">
        <v>0.0</v>
      </c>
      <c r="AM180" s="13">
        <f t="shared" si="37"/>
        <v>10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1.0</v>
      </c>
      <c r="N181" s="19">
        <v>0.0</v>
      </c>
      <c r="O181" s="19">
        <v>0.0</v>
      </c>
      <c r="P181" s="19">
        <v>1.0</v>
      </c>
      <c r="Q181" s="19">
        <v>0.0</v>
      </c>
      <c r="R181" s="19">
        <v>0.0</v>
      </c>
      <c r="S181" s="19">
        <v>0.0</v>
      </c>
      <c r="T181" s="19">
        <v>1.0</v>
      </c>
      <c r="U181" s="19">
        <v>0.0</v>
      </c>
      <c r="V181" s="19">
        <v>0.0</v>
      </c>
      <c r="W181" s="19">
        <v>0.0</v>
      </c>
      <c r="X181" s="19">
        <v>0.0</v>
      </c>
      <c r="Y181" s="19">
        <v>1.0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0.0</v>
      </c>
      <c r="AG181" s="19">
        <v>0.0</v>
      </c>
      <c r="AH181" s="19">
        <v>1.0</v>
      </c>
      <c r="AI181" s="19">
        <v>0.0</v>
      </c>
      <c r="AJ181" s="19">
        <v>0.0</v>
      </c>
      <c r="AK181" s="19">
        <v>0.0</v>
      </c>
      <c r="AL181" s="19">
        <v>0.0</v>
      </c>
      <c r="AM181" s="13">
        <f t="shared" si="37"/>
        <v>5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1.0</v>
      </c>
      <c r="N182" s="19">
        <v>0.0</v>
      </c>
      <c r="O182" s="19">
        <v>1.0</v>
      </c>
      <c r="P182" s="19">
        <v>0.0</v>
      </c>
      <c r="Q182" s="19">
        <v>0.0</v>
      </c>
      <c r="R182" s="19">
        <v>1.0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1.0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1.0</v>
      </c>
      <c r="AD182" s="19">
        <v>0.0</v>
      </c>
      <c r="AE182" s="19">
        <v>0.0</v>
      </c>
      <c r="AF182" s="19">
        <v>0.0</v>
      </c>
      <c r="AG182" s="19">
        <v>0.0</v>
      </c>
      <c r="AH182" s="19">
        <v>0.0</v>
      </c>
      <c r="AI182" s="19">
        <v>0.0</v>
      </c>
      <c r="AJ182" s="19">
        <v>1.0</v>
      </c>
      <c r="AK182" s="19">
        <v>0.0</v>
      </c>
      <c r="AL182" s="19">
        <v>0.0</v>
      </c>
      <c r="AM182" s="13">
        <f t="shared" si="37"/>
        <v>6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1.0</v>
      </c>
      <c r="R183" s="19">
        <v>0.0</v>
      </c>
      <c r="S183" s="19">
        <v>1.0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1.0</v>
      </c>
      <c r="AF183" s="19">
        <v>0.0</v>
      </c>
      <c r="AG183" s="19">
        <v>0.0</v>
      </c>
      <c r="AH183" s="19">
        <v>0.0</v>
      </c>
      <c r="AI183" s="19">
        <v>0.0</v>
      </c>
      <c r="AJ183" s="19">
        <v>0.0</v>
      </c>
      <c r="AK183" s="19">
        <v>0.0</v>
      </c>
      <c r="AL183" s="19">
        <v>0.0</v>
      </c>
      <c r="AM183" s="13">
        <f t="shared" si="37"/>
        <v>3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3.0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9">
        <v>0.0</v>
      </c>
      <c r="AH184" s="19">
        <v>0.0</v>
      </c>
      <c r="AI184" s="19">
        <v>0.0</v>
      </c>
      <c r="AJ184" s="19">
        <v>0.0</v>
      </c>
      <c r="AK184" s="19">
        <v>0.0</v>
      </c>
      <c r="AL184" s="19">
        <v>0.0</v>
      </c>
      <c r="AM184" s="13">
        <f t="shared" si="37"/>
        <v>3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3">
        <f t="shared" si="37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3">
        <f t="shared" si="37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M187" si="38">SUM(E177:E186)</f>
        <v>1</v>
      </c>
      <c r="F187" s="13">
        <f t="shared" si="38"/>
        <v>6</v>
      </c>
      <c r="G187" s="13">
        <f t="shared" si="38"/>
        <v>2</v>
      </c>
      <c r="H187" s="13">
        <f t="shared" si="38"/>
        <v>0</v>
      </c>
      <c r="I187" s="13">
        <f t="shared" si="38"/>
        <v>0</v>
      </c>
      <c r="J187" s="13">
        <f t="shared" si="38"/>
        <v>0</v>
      </c>
      <c r="K187" s="13">
        <f t="shared" si="38"/>
        <v>1</v>
      </c>
      <c r="L187" s="13">
        <f t="shared" si="38"/>
        <v>2</v>
      </c>
      <c r="M187" s="13">
        <f t="shared" si="38"/>
        <v>6</v>
      </c>
      <c r="N187" s="13">
        <f t="shared" si="38"/>
        <v>2</v>
      </c>
      <c r="O187" s="13">
        <f t="shared" si="38"/>
        <v>2</v>
      </c>
      <c r="P187" s="13">
        <f t="shared" si="38"/>
        <v>3</v>
      </c>
      <c r="Q187" s="13">
        <f t="shared" si="38"/>
        <v>1</v>
      </c>
      <c r="R187" s="13">
        <f t="shared" si="38"/>
        <v>3</v>
      </c>
      <c r="S187" s="13">
        <f t="shared" si="38"/>
        <v>13</v>
      </c>
      <c r="T187" s="13">
        <f t="shared" si="38"/>
        <v>9</v>
      </c>
      <c r="U187" s="13">
        <f t="shared" si="38"/>
        <v>4</v>
      </c>
      <c r="V187" s="13">
        <f t="shared" si="38"/>
        <v>0</v>
      </c>
      <c r="W187" s="13">
        <f t="shared" si="38"/>
        <v>4</v>
      </c>
      <c r="X187" s="13">
        <f t="shared" si="38"/>
        <v>5</v>
      </c>
      <c r="Y187" s="13">
        <f t="shared" si="38"/>
        <v>4</v>
      </c>
      <c r="Z187" s="13">
        <f t="shared" si="38"/>
        <v>2</v>
      </c>
      <c r="AA187" s="13">
        <f t="shared" si="38"/>
        <v>2</v>
      </c>
      <c r="AB187" s="13">
        <f t="shared" si="38"/>
        <v>2</v>
      </c>
      <c r="AC187" s="13">
        <f t="shared" si="38"/>
        <v>3</v>
      </c>
      <c r="AD187" s="13">
        <f t="shared" si="38"/>
        <v>3</v>
      </c>
      <c r="AE187" s="13">
        <f t="shared" si="38"/>
        <v>5</v>
      </c>
      <c r="AF187" s="13">
        <f t="shared" si="38"/>
        <v>4</v>
      </c>
      <c r="AG187" s="13">
        <f t="shared" si="38"/>
        <v>0</v>
      </c>
      <c r="AH187" s="13">
        <f t="shared" si="38"/>
        <v>5</v>
      </c>
      <c r="AI187" s="13">
        <f t="shared" si="38"/>
        <v>1</v>
      </c>
      <c r="AJ187" s="13">
        <f t="shared" si="38"/>
        <v>2</v>
      </c>
      <c r="AK187" s="13">
        <f t="shared" si="38"/>
        <v>1</v>
      </c>
      <c r="AL187" s="13">
        <f t="shared" si="38"/>
        <v>1</v>
      </c>
      <c r="AM187" s="13">
        <f t="shared" si="38"/>
        <v>99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S188" s="78"/>
      <c r="T188" s="78"/>
      <c r="U188" s="78"/>
      <c r="V188" s="78"/>
      <c r="W188" s="78"/>
      <c r="X188" s="78"/>
      <c r="Y188" s="78"/>
      <c r="Z188" s="78"/>
      <c r="AA188" s="78"/>
      <c r="AF188" s="78"/>
      <c r="AG188" s="78"/>
      <c r="AM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1.0</v>
      </c>
      <c r="Z189" s="19">
        <v>0.0</v>
      </c>
      <c r="AA189" s="19">
        <v>0.0</v>
      </c>
      <c r="AB189" s="19">
        <v>0.0</v>
      </c>
      <c r="AC189" s="19">
        <v>1.0</v>
      </c>
      <c r="AD189" s="19">
        <v>0.0</v>
      </c>
      <c r="AE189" s="19">
        <v>0.0</v>
      </c>
      <c r="AF189" s="19">
        <v>0.0</v>
      </c>
      <c r="AG189" s="19">
        <v>1.0</v>
      </c>
      <c r="AH189" s="19">
        <v>0.0</v>
      </c>
      <c r="AI189" s="19">
        <v>0.0</v>
      </c>
      <c r="AJ189" s="19">
        <v>0.0</v>
      </c>
      <c r="AK189" s="19">
        <v>0.0</v>
      </c>
      <c r="AL189" s="19">
        <v>0.0</v>
      </c>
      <c r="AM189" s="13">
        <f t="shared" ref="AM189:AM198" si="39">SUM(E189:AL189)</f>
        <v>3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1.0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1.0</v>
      </c>
      <c r="T190" s="19">
        <v>0.0</v>
      </c>
      <c r="U190" s="19">
        <v>1.0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9">
        <v>0.0</v>
      </c>
      <c r="AI190" s="19">
        <v>0.0</v>
      </c>
      <c r="AJ190" s="19">
        <v>0.0</v>
      </c>
      <c r="AK190" s="19">
        <v>0.0</v>
      </c>
      <c r="AL190" s="19">
        <v>0.0</v>
      </c>
      <c r="AM190" s="13">
        <f t="shared" si="39"/>
        <v>3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1.0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9">
        <v>0.0</v>
      </c>
      <c r="AI191" s="19">
        <v>0.0</v>
      </c>
      <c r="AJ191" s="19">
        <v>0.0</v>
      </c>
      <c r="AK191" s="19">
        <v>0.0</v>
      </c>
      <c r="AL191" s="19">
        <v>2.0</v>
      </c>
      <c r="AM191" s="13">
        <f t="shared" si="39"/>
        <v>3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>
        <v>0.0</v>
      </c>
      <c r="AJ192" s="19">
        <v>0.0</v>
      </c>
      <c r="AK192" s="19">
        <v>0.0</v>
      </c>
      <c r="AL192" s="19">
        <v>0.0</v>
      </c>
      <c r="AM192" s="13">
        <f t="shared" si="39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>
        <v>0.0</v>
      </c>
      <c r="AJ193" s="19">
        <v>0.0</v>
      </c>
      <c r="AK193" s="19">
        <v>0.0</v>
      </c>
      <c r="AL193" s="19">
        <v>0.0</v>
      </c>
      <c r="AM193" s="13">
        <f t="shared" si="39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9">
        <v>0.0</v>
      </c>
      <c r="AK194" s="19">
        <v>0.0</v>
      </c>
      <c r="AL194" s="19">
        <v>0.0</v>
      </c>
      <c r="AM194" s="13">
        <f t="shared" si="39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0.0</v>
      </c>
      <c r="AJ195" s="19">
        <v>0.0</v>
      </c>
      <c r="AK195" s="19">
        <v>0.0</v>
      </c>
      <c r="AL195" s="19">
        <v>0.0</v>
      </c>
      <c r="AM195" s="13">
        <f t="shared" si="39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>
        <v>0.0</v>
      </c>
      <c r="AJ196" s="19">
        <v>0.0</v>
      </c>
      <c r="AK196" s="19">
        <v>0.0</v>
      </c>
      <c r="AL196" s="19">
        <v>0.0</v>
      </c>
      <c r="AM196" s="13">
        <f t="shared" si="39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3">
        <f t="shared" si="39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3">
        <f t="shared" si="39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M199" si="40">SUM(E189:E198)</f>
        <v>0</v>
      </c>
      <c r="F199" s="13">
        <f t="shared" si="40"/>
        <v>1</v>
      </c>
      <c r="G199" s="13">
        <f t="shared" si="40"/>
        <v>0</v>
      </c>
      <c r="H199" s="13">
        <f t="shared" si="40"/>
        <v>0</v>
      </c>
      <c r="I199" s="13">
        <f t="shared" si="40"/>
        <v>0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0</v>
      </c>
      <c r="N199" s="13">
        <f t="shared" si="40"/>
        <v>0</v>
      </c>
      <c r="O199" s="13">
        <f t="shared" si="40"/>
        <v>0</v>
      </c>
      <c r="P199" s="13">
        <f t="shared" si="40"/>
        <v>0</v>
      </c>
      <c r="Q199" s="13">
        <f t="shared" si="40"/>
        <v>1</v>
      </c>
      <c r="R199" s="13">
        <f t="shared" si="40"/>
        <v>0</v>
      </c>
      <c r="S199" s="13">
        <f t="shared" si="40"/>
        <v>1</v>
      </c>
      <c r="T199" s="13">
        <f t="shared" si="40"/>
        <v>0</v>
      </c>
      <c r="U199" s="13">
        <f t="shared" si="40"/>
        <v>1</v>
      </c>
      <c r="V199" s="13">
        <f t="shared" si="40"/>
        <v>0</v>
      </c>
      <c r="W199" s="13">
        <f t="shared" si="40"/>
        <v>0</v>
      </c>
      <c r="X199" s="13">
        <f t="shared" si="40"/>
        <v>0</v>
      </c>
      <c r="Y199" s="13">
        <f t="shared" si="40"/>
        <v>1</v>
      </c>
      <c r="Z199" s="13">
        <f t="shared" si="40"/>
        <v>0</v>
      </c>
      <c r="AA199" s="13">
        <f t="shared" si="40"/>
        <v>0</v>
      </c>
      <c r="AB199" s="13">
        <f t="shared" si="40"/>
        <v>0</v>
      </c>
      <c r="AC199" s="13">
        <f t="shared" si="40"/>
        <v>1</v>
      </c>
      <c r="AD199" s="13">
        <f t="shared" si="40"/>
        <v>0</v>
      </c>
      <c r="AE199" s="13">
        <f t="shared" si="40"/>
        <v>0</v>
      </c>
      <c r="AF199" s="13">
        <f t="shared" si="40"/>
        <v>0</v>
      </c>
      <c r="AG199" s="13">
        <f t="shared" si="40"/>
        <v>1</v>
      </c>
      <c r="AH199" s="13">
        <f t="shared" si="40"/>
        <v>0</v>
      </c>
      <c r="AI199" s="13">
        <f t="shared" si="40"/>
        <v>0</v>
      </c>
      <c r="AJ199" s="13">
        <f t="shared" si="40"/>
        <v>0</v>
      </c>
      <c r="AK199" s="13">
        <f t="shared" si="40"/>
        <v>0</v>
      </c>
      <c r="AL199" s="13">
        <f t="shared" si="40"/>
        <v>2</v>
      </c>
      <c r="AM199" s="13">
        <f t="shared" si="40"/>
        <v>9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7.0</v>
      </c>
      <c r="F201" s="19">
        <v>3.0</v>
      </c>
      <c r="G201" s="19">
        <v>8.0</v>
      </c>
      <c r="H201" s="19">
        <v>4.0</v>
      </c>
      <c r="I201" s="19">
        <v>5.0</v>
      </c>
      <c r="J201" s="19">
        <v>4.0</v>
      </c>
      <c r="K201" s="19">
        <v>13.0</v>
      </c>
      <c r="L201" s="19">
        <v>2.0</v>
      </c>
      <c r="M201" s="19">
        <v>12.0</v>
      </c>
      <c r="N201" s="19">
        <v>13.0</v>
      </c>
      <c r="O201" s="19">
        <v>18.0</v>
      </c>
      <c r="P201" s="19">
        <v>11.0</v>
      </c>
      <c r="Q201" s="19">
        <v>5.0</v>
      </c>
      <c r="R201" s="19">
        <v>5.0</v>
      </c>
      <c r="S201" s="19">
        <v>15.0</v>
      </c>
      <c r="T201" s="19">
        <v>10.0</v>
      </c>
      <c r="U201" s="19">
        <v>16.0</v>
      </c>
      <c r="V201" s="19">
        <v>17.0</v>
      </c>
      <c r="W201" s="19">
        <v>8.0</v>
      </c>
      <c r="X201" s="19">
        <v>6.0</v>
      </c>
      <c r="Y201" s="19">
        <v>3.0</v>
      </c>
      <c r="Z201" s="19">
        <v>5.0</v>
      </c>
      <c r="AA201" s="19">
        <v>2.0</v>
      </c>
      <c r="AB201" s="19">
        <v>5.0</v>
      </c>
      <c r="AC201" s="19">
        <v>3.0</v>
      </c>
      <c r="AD201" s="19">
        <v>6.0</v>
      </c>
      <c r="AE201" s="19">
        <v>8.0</v>
      </c>
      <c r="AF201" s="19">
        <v>5.0</v>
      </c>
      <c r="AG201" s="19">
        <v>15.0</v>
      </c>
      <c r="AH201" s="19">
        <v>8.0</v>
      </c>
      <c r="AI201" s="19">
        <v>20.0</v>
      </c>
      <c r="AJ201" s="19">
        <v>13.0</v>
      </c>
      <c r="AK201" s="19">
        <v>11.0</v>
      </c>
      <c r="AL201" s="19">
        <v>6.0</v>
      </c>
      <c r="AM201" s="13">
        <f t="shared" ref="AM201:AM210" si="41">SUM(E201:AL201)</f>
        <v>292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12.0</v>
      </c>
      <c r="F202" s="19">
        <v>14.0</v>
      </c>
      <c r="G202" s="19">
        <v>9.0</v>
      </c>
      <c r="H202" s="19">
        <v>9.0</v>
      </c>
      <c r="I202" s="19">
        <v>3.0</v>
      </c>
      <c r="J202" s="19">
        <v>12.0</v>
      </c>
      <c r="K202" s="19">
        <v>9.0</v>
      </c>
      <c r="L202" s="19">
        <v>4.0</v>
      </c>
      <c r="M202" s="19">
        <v>9.0</v>
      </c>
      <c r="N202" s="19">
        <v>20.0</v>
      </c>
      <c r="O202" s="19">
        <v>12.0</v>
      </c>
      <c r="P202" s="19">
        <v>17.0</v>
      </c>
      <c r="Q202" s="19">
        <v>9.0</v>
      </c>
      <c r="R202" s="19">
        <v>10.0</v>
      </c>
      <c r="S202" s="19">
        <v>16.0</v>
      </c>
      <c r="T202" s="19">
        <v>28.0</v>
      </c>
      <c r="U202" s="19">
        <v>15.0</v>
      </c>
      <c r="V202" s="19">
        <v>17.0</v>
      </c>
      <c r="W202" s="19">
        <v>5.0</v>
      </c>
      <c r="X202" s="19">
        <v>6.0</v>
      </c>
      <c r="Y202" s="19">
        <v>9.0</v>
      </c>
      <c r="Z202" s="19">
        <v>2.0</v>
      </c>
      <c r="AA202" s="19">
        <v>3.0</v>
      </c>
      <c r="AB202" s="19">
        <v>5.0</v>
      </c>
      <c r="AC202" s="19">
        <v>5.0</v>
      </c>
      <c r="AD202" s="19">
        <v>2.0</v>
      </c>
      <c r="AE202" s="19">
        <v>17.0</v>
      </c>
      <c r="AF202" s="19">
        <v>7.0</v>
      </c>
      <c r="AG202" s="19">
        <v>8.0</v>
      </c>
      <c r="AH202" s="19">
        <v>8.0</v>
      </c>
      <c r="AI202" s="19">
        <v>19.0</v>
      </c>
      <c r="AJ202" s="19">
        <v>13.0</v>
      </c>
      <c r="AK202" s="19">
        <v>14.0</v>
      </c>
      <c r="AL202" s="19">
        <v>7.0</v>
      </c>
      <c r="AM202" s="13">
        <f t="shared" si="41"/>
        <v>355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7.0</v>
      </c>
      <c r="F203" s="19">
        <v>4.0</v>
      </c>
      <c r="G203" s="19">
        <v>1.0</v>
      </c>
      <c r="H203" s="19">
        <v>3.0</v>
      </c>
      <c r="I203" s="19">
        <v>2.0</v>
      </c>
      <c r="J203" s="19">
        <v>3.0</v>
      </c>
      <c r="K203" s="19">
        <v>3.0</v>
      </c>
      <c r="L203" s="19">
        <v>3.0</v>
      </c>
      <c r="M203" s="19">
        <v>3.0</v>
      </c>
      <c r="N203" s="19">
        <v>9.0</v>
      </c>
      <c r="O203" s="19">
        <v>8.0</v>
      </c>
      <c r="P203" s="19">
        <v>5.0</v>
      </c>
      <c r="Q203" s="19">
        <v>0.0</v>
      </c>
      <c r="R203" s="19">
        <v>5.0</v>
      </c>
      <c r="S203" s="19">
        <v>8.0</v>
      </c>
      <c r="T203" s="19">
        <v>12.0</v>
      </c>
      <c r="U203" s="19">
        <v>8.0</v>
      </c>
      <c r="V203" s="19">
        <v>9.0</v>
      </c>
      <c r="W203" s="19">
        <v>3.0</v>
      </c>
      <c r="X203" s="19">
        <v>2.0</v>
      </c>
      <c r="Y203" s="19">
        <v>7.0</v>
      </c>
      <c r="Z203" s="19">
        <v>1.0</v>
      </c>
      <c r="AA203" s="19">
        <v>2.0</v>
      </c>
      <c r="AB203" s="19">
        <v>1.0</v>
      </c>
      <c r="AC203" s="19">
        <v>3.0</v>
      </c>
      <c r="AD203" s="19">
        <v>2.0</v>
      </c>
      <c r="AE203" s="19">
        <v>6.0</v>
      </c>
      <c r="AF203" s="19">
        <v>5.0</v>
      </c>
      <c r="AG203" s="19">
        <v>1.0</v>
      </c>
      <c r="AH203" s="19">
        <v>12.0</v>
      </c>
      <c r="AI203" s="19">
        <v>16.0</v>
      </c>
      <c r="AJ203" s="19">
        <v>14.0</v>
      </c>
      <c r="AK203" s="19">
        <v>17.0</v>
      </c>
      <c r="AL203" s="19">
        <v>12.0</v>
      </c>
      <c r="AM203" s="13">
        <f t="shared" si="41"/>
        <v>197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1.0</v>
      </c>
      <c r="G204" s="19">
        <v>0.0</v>
      </c>
      <c r="H204" s="19">
        <v>0.0</v>
      </c>
      <c r="I204" s="19">
        <v>0.0</v>
      </c>
      <c r="J204" s="19">
        <v>2.0</v>
      </c>
      <c r="K204" s="19">
        <v>0.0</v>
      </c>
      <c r="L204" s="19">
        <v>0.0</v>
      </c>
      <c r="M204" s="19">
        <v>1.0</v>
      </c>
      <c r="N204" s="19">
        <v>1.0</v>
      </c>
      <c r="O204" s="19">
        <v>1.0</v>
      </c>
      <c r="P204" s="19">
        <v>1.0</v>
      </c>
      <c r="Q204" s="19">
        <v>0.0</v>
      </c>
      <c r="R204" s="19">
        <v>0.0</v>
      </c>
      <c r="S204" s="19">
        <v>2.0</v>
      </c>
      <c r="T204" s="19">
        <v>1.0</v>
      </c>
      <c r="U204" s="19">
        <v>0.0</v>
      </c>
      <c r="V204" s="19">
        <v>0.0</v>
      </c>
      <c r="W204" s="19">
        <v>1.0</v>
      </c>
      <c r="X204" s="19">
        <v>1.0</v>
      </c>
      <c r="Y204" s="19">
        <v>2.0</v>
      </c>
      <c r="Z204" s="19">
        <v>0.0</v>
      </c>
      <c r="AA204" s="19">
        <v>0.0</v>
      </c>
      <c r="AB204" s="19">
        <v>0.0</v>
      </c>
      <c r="AC204" s="19">
        <v>0.0</v>
      </c>
      <c r="AD204" s="19">
        <v>1.0</v>
      </c>
      <c r="AE204" s="19">
        <v>0.0</v>
      </c>
      <c r="AF204" s="19">
        <v>2.0</v>
      </c>
      <c r="AG204" s="19">
        <v>1.0</v>
      </c>
      <c r="AH204" s="19">
        <v>1.0</v>
      </c>
      <c r="AI204" s="19">
        <v>1.0</v>
      </c>
      <c r="AJ204" s="19">
        <v>0.0</v>
      </c>
      <c r="AK204" s="19">
        <v>2.0</v>
      </c>
      <c r="AL204" s="19">
        <v>1.0</v>
      </c>
      <c r="AM204" s="13">
        <f t="shared" si="41"/>
        <v>23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0.0</v>
      </c>
      <c r="G205" s="19">
        <v>0.0</v>
      </c>
      <c r="H205" s="19">
        <v>0.0</v>
      </c>
      <c r="I205" s="19">
        <v>1.0</v>
      </c>
      <c r="J205" s="19">
        <v>1.0</v>
      </c>
      <c r="K205" s="19">
        <v>1.0</v>
      </c>
      <c r="L205" s="19">
        <v>1.0</v>
      </c>
      <c r="M205" s="19">
        <v>0.0</v>
      </c>
      <c r="N205" s="19">
        <v>1.0</v>
      </c>
      <c r="O205" s="19">
        <v>1.0</v>
      </c>
      <c r="P205" s="19">
        <v>5.0</v>
      </c>
      <c r="Q205" s="19">
        <v>1.0</v>
      </c>
      <c r="R205" s="19">
        <v>0.0</v>
      </c>
      <c r="S205" s="19">
        <v>1.0</v>
      </c>
      <c r="T205" s="19">
        <v>0.0</v>
      </c>
      <c r="U205" s="19">
        <v>0.0</v>
      </c>
      <c r="V205" s="19">
        <v>2.0</v>
      </c>
      <c r="W205" s="19">
        <v>0.0</v>
      </c>
      <c r="X205" s="19">
        <v>0.0</v>
      </c>
      <c r="Y205" s="19">
        <v>3.0</v>
      </c>
      <c r="Z205" s="19">
        <v>1.0</v>
      </c>
      <c r="AA205" s="19">
        <v>0.0</v>
      </c>
      <c r="AB205" s="19">
        <v>0.0</v>
      </c>
      <c r="AC205" s="19">
        <v>1.0</v>
      </c>
      <c r="AD205" s="19">
        <v>0.0</v>
      </c>
      <c r="AE205" s="19">
        <v>1.0</v>
      </c>
      <c r="AF205" s="19">
        <v>2.0</v>
      </c>
      <c r="AG205" s="19">
        <v>1.0</v>
      </c>
      <c r="AH205" s="19">
        <v>1.0</v>
      </c>
      <c r="AI205" s="19">
        <v>1.0</v>
      </c>
      <c r="AJ205" s="19">
        <v>1.0</v>
      </c>
      <c r="AK205" s="19">
        <v>2.0</v>
      </c>
      <c r="AL205" s="19">
        <v>1.0</v>
      </c>
      <c r="AM205" s="13">
        <f t="shared" si="41"/>
        <v>30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0.0</v>
      </c>
      <c r="G206" s="19">
        <v>1.0</v>
      </c>
      <c r="H206" s="19">
        <v>0.0</v>
      </c>
      <c r="I206" s="19">
        <v>2.0</v>
      </c>
      <c r="J206" s="19">
        <v>0.0</v>
      </c>
      <c r="K206" s="19">
        <v>4.0</v>
      </c>
      <c r="L206" s="19">
        <v>0.0</v>
      </c>
      <c r="M206" s="19">
        <v>0.0</v>
      </c>
      <c r="N206" s="19">
        <v>0.0</v>
      </c>
      <c r="O206" s="19">
        <v>2.0</v>
      </c>
      <c r="P206" s="19">
        <v>0.0</v>
      </c>
      <c r="Q206" s="19">
        <v>1.0</v>
      </c>
      <c r="R206" s="19">
        <v>0.0</v>
      </c>
      <c r="S206" s="19">
        <v>0.0</v>
      </c>
      <c r="T206" s="19">
        <v>3.0</v>
      </c>
      <c r="U206" s="19">
        <v>0.0</v>
      </c>
      <c r="V206" s="19">
        <v>2.0</v>
      </c>
      <c r="W206" s="19">
        <v>1.0</v>
      </c>
      <c r="X206" s="19">
        <v>0.0</v>
      </c>
      <c r="Y206" s="19">
        <v>1.0</v>
      </c>
      <c r="Z206" s="19">
        <v>1.0</v>
      </c>
      <c r="AA206" s="19">
        <v>0.0</v>
      </c>
      <c r="AB206" s="19">
        <v>0.0</v>
      </c>
      <c r="AC206" s="19">
        <v>1.0</v>
      </c>
      <c r="AD206" s="19">
        <v>0.0</v>
      </c>
      <c r="AE206" s="19">
        <v>0.0</v>
      </c>
      <c r="AF206" s="19">
        <v>1.0</v>
      </c>
      <c r="AG206" s="19">
        <v>1.0</v>
      </c>
      <c r="AH206" s="19">
        <v>1.0</v>
      </c>
      <c r="AI206" s="19">
        <v>0.0</v>
      </c>
      <c r="AJ206" s="19">
        <v>2.0</v>
      </c>
      <c r="AK206" s="19">
        <v>0.0</v>
      </c>
      <c r="AL206" s="19">
        <v>1.0</v>
      </c>
      <c r="AM206" s="13">
        <f t="shared" si="41"/>
        <v>25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1.0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1.0</v>
      </c>
      <c r="W207" s="19">
        <v>0.0</v>
      </c>
      <c r="X207" s="19">
        <v>1.0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0.0</v>
      </c>
      <c r="AG207" s="19">
        <v>0.0</v>
      </c>
      <c r="AH207" s="19">
        <v>1.0</v>
      </c>
      <c r="AI207" s="19">
        <v>1.0</v>
      </c>
      <c r="AJ207" s="19">
        <v>0.0</v>
      </c>
      <c r="AK207" s="19">
        <v>1.0</v>
      </c>
      <c r="AL207" s="19">
        <v>1.0</v>
      </c>
      <c r="AM207" s="13">
        <f t="shared" si="41"/>
        <v>7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1.0</v>
      </c>
      <c r="I208" s="19">
        <v>1.0</v>
      </c>
      <c r="J208" s="19">
        <v>0.0</v>
      </c>
      <c r="K208" s="19">
        <v>4.0</v>
      </c>
      <c r="L208" s="19">
        <v>0.0</v>
      </c>
      <c r="M208" s="19">
        <v>2.0</v>
      </c>
      <c r="N208" s="19">
        <v>0.0</v>
      </c>
      <c r="O208" s="19">
        <v>3.0</v>
      </c>
      <c r="P208" s="19">
        <v>0.0</v>
      </c>
      <c r="Q208" s="19">
        <v>0.0</v>
      </c>
      <c r="R208" s="19">
        <v>0.0</v>
      </c>
      <c r="S208" s="19">
        <v>3.0</v>
      </c>
      <c r="T208" s="19">
        <v>0.0</v>
      </c>
      <c r="U208" s="19">
        <v>1.0</v>
      </c>
      <c r="V208" s="19">
        <v>0.0</v>
      </c>
      <c r="W208" s="19">
        <v>0.0</v>
      </c>
      <c r="X208" s="19">
        <v>0.0</v>
      </c>
      <c r="Y208" s="19">
        <v>2.0</v>
      </c>
      <c r="Z208" s="19">
        <v>2.0</v>
      </c>
      <c r="AA208" s="19">
        <v>0.0</v>
      </c>
      <c r="AB208" s="19">
        <v>1.0</v>
      </c>
      <c r="AC208" s="19">
        <v>0.0</v>
      </c>
      <c r="AD208" s="19">
        <v>1.0</v>
      </c>
      <c r="AE208" s="19">
        <v>2.0</v>
      </c>
      <c r="AF208" s="19">
        <v>0.0</v>
      </c>
      <c r="AG208" s="19">
        <v>0.0</v>
      </c>
      <c r="AH208" s="19">
        <v>0.0</v>
      </c>
      <c r="AI208" s="19">
        <v>2.0</v>
      </c>
      <c r="AJ208" s="19">
        <v>0.0</v>
      </c>
      <c r="AK208" s="19">
        <v>0.0</v>
      </c>
      <c r="AL208" s="19">
        <v>1.0</v>
      </c>
      <c r="AM208" s="13">
        <f t="shared" si="41"/>
        <v>26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3">
        <f t="shared" si="41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3">
        <f t="shared" si="41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M211" si="42">SUM(E201:E210)</f>
        <v>26</v>
      </c>
      <c r="F211" s="13">
        <f t="shared" si="42"/>
        <v>23</v>
      </c>
      <c r="G211" s="13">
        <f t="shared" si="42"/>
        <v>19</v>
      </c>
      <c r="H211" s="13">
        <f t="shared" si="42"/>
        <v>17</v>
      </c>
      <c r="I211" s="13">
        <f t="shared" si="42"/>
        <v>14</v>
      </c>
      <c r="J211" s="13">
        <f t="shared" si="42"/>
        <v>22</v>
      </c>
      <c r="K211" s="13">
        <f t="shared" si="42"/>
        <v>34</v>
      </c>
      <c r="L211" s="13">
        <f t="shared" si="42"/>
        <v>10</v>
      </c>
      <c r="M211" s="13">
        <f t="shared" si="42"/>
        <v>27</v>
      </c>
      <c r="N211" s="13">
        <f t="shared" si="42"/>
        <v>44</v>
      </c>
      <c r="O211" s="13">
        <f t="shared" si="42"/>
        <v>45</v>
      </c>
      <c r="P211" s="13">
        <f t="shared" si="42"/>
        <v>39</v>
      </c>
      <c r="Q211" s="13">
        <f t="shared" si="42"/>
        <v>16</v>
      </c>
      <c r="R211" s="13">
        <f t="shared" si="42"/>
        <v>20</v>
      </c>
      <c r="S211" s="13">
        <f t="shared" si="42"/>
        <v>45</v>
      </c>
      <c r="T211" s="13">
        <f t="shared" si="42"/>
        <v>54</v>
      </c>
      <c r="U211" s="13">
        <f t="shared" si="42"/>
        <v>40</v>
      </c>
      <c r="V211" s="13">
        <f t="shared" si="42"/>
        <v>48</v>
      </c>
      <c r="W211" s="13">
        <f t="shared" si="42"/>
        <v>18</v>
      </c>
      <c r="X211" s="13">
        <f t="shared" si="42"/>
        <v>16</v>
      </c>
      <c r="Y211" s="13">
        <f t="shared" si="42"/>
        <v>27</v>
      </c>
      <c r="Z211" s="13">
        <f t="shared" si="42"/>
        <v>12</v>
      </c>
      <c r="AA211" s="13">
        <f t="shared" si="42"/>
        <v>7</v>
      </c>
      <c r="AB211" s="13">
        <f t="shared" si="42"/>
        <v>12</v>
      </c>
      <c r="AC211" s="13">
        <f t="shared" si="42"/>
        <v>13</v>
      </c>
      <c r="AD211" s="13">
        <f t="shared" si="42"/>
        <v>12</v>
      </c>
      <c r="AE211" s="13">
        <f t="shared" si="42"/>
        <v>34</v>
      </c>
      <c r="AF211" s="13">
        <f t="shared" si="42"/>
        <v>22</v>
      </c>
      <c r="AG211" s="13">
        <f t="shared" si="42"/>
        <v>27</v>
      </c>
      <c r="AH211" s="13">
        <f t="shared" si="42"/>
        <v>32</v>
      </c>
      <c r="AI211" s="13">
        <f t="shared" si="42"/>
        <v>60</v>
      </c>
      <c r="AJ211" s="13">
        <f t="shared" si="42"/>
        <v>43</v>
      </c>
      <c r="AK211" s="13">
        <f t="shared" si="42"/>
        <v>47</v>
      </c>
      <c r="AL211" s="13">
        <f t="shared" si="42"/>
        <v>30</v>
      </c>
      <c r="AM211" s="13">
        <f t="shared" si="42"/>
        <v>955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5.0</v>
      </c>
      <c r="F213" s="19">
        <v>3.0</v>
      </c>
      <c r="G213" s="19">
        <v>2.0</v>
      </c>
      <c r="H213" s="19">
        <v>2.0</v>
      </c>
      <c r="I213" s="19">
        <v>3.0</v>
      </c>
      <c r="J213" s="19">
        <v>0.0</v>
      </c>
      <c r="K213" s="19">
        <v>1.0</v>
      </c>
      <c r="L213" s="19">
        <v>0.0</v>
      </c>
      <c r="M213" s="19">
        <v>5.0</v>
      </c>
      <c r="N213" s="19">
        <v>0.0</v>
      </c>
      <c r="O213" s="19">
        <v>2.0</v>
      </c>
      <c r="P213" s="19">
        <v>2.0</v>
      </c>
      <c r="Q213" s="19">
        <v>2.0</v>
      </c>
      <c r="R213" s="19">
        <v>1.0</v>
      </c>
      <c r="S213" s="19">
        <v>4.0</v>
      </c>
      <c r="T213" s="19">
        <v>2.0</v>
      </c>
      <c r="U213" s="19">
        <v>2.0</v>
      </c>
      <c r="V213" s="19">
        <v>4.0</v>
      </c>
      <c r="W213" s="19">
        <v>10.0</v>
      </c>
      <c r="X213" s="19">
        <v>6.0</v>
      </c>
      <c r="Y213" s="19">
        <v>4.0</v>
      </c>
      <c r="Z213" s="19">
        <v>3.0</v>
      </c>
      <c r="AA213" s="19">
        <v>1.0</v>
      </c>
      <c r="AB213" s="19">
        <v>1.0</v>
      </c>
      <c r="AC213" s="19">
        <v>7.0</v>
      </c>
      <c r="AD213" s="19">
        <v>1.0</v>
      </c>
      <c r="AE213" s="19">
        <v>2.0</v>
      </c>
      <c r="AF213" s="19">
        <v>5.0</v>
      </c>
      <c r="AG213" s="19">
        <v>4.0</v>
      </c>
      <c r="AH213" s="19">
        <v>4.0</v>
      </c>
      <c r="AI213" s="19">
        <v>4.0</v>
      </c>
      <c r="AJ213" s="19">
        <v>1.0</v>
      </c>
      <c r="AK213" s="19">
        <v>4.0</v>
      </c>
      <c r="AL213" s="19">
        <v>3.0</v>
      </c>
      <c r="AM213" s="13">
        <f t="shared" ref="AM213:AM222" si="43">SUM(E213:AL213)</f>
        <v>100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4.0</v>
      </c>
      <c r="F214" s="19">
        <v>2.0</v>
      </c>
      <c r="G214" s="19">
        <v>0.0</v>
      </c>
      <c r="H214" s="19">
        <v>2.0</v>
      </c>
      <c r="I214" s="19">
        <v>2.0</v>
      </c>
      <c r="J214" s="19">
        <v>0.0</v>
      </c>
      <c r="K214" s="19">
        <v>2.0</v>
      </c>
      <c r="L214" s="19">
        <v>0.0</v>
      </c>
      <c r="M214" s="19">
        <v>3.0</v>
      </c>
      <c r="N214" s="19">
        <v>2.0</v>
      </c>
      <c r="O214" s="19">
        <v>0.0</v>
      </c>
      <c r="P214" s="19">
        <v>1.0</v>
      </c>
      <c r="Q214" s="19">
        <v>2.0</v>
      </c>
      <c r="R214" s="19">
        <v>0.0</v>
      </c>
      <c r="S214" s="19">
        <v>3.0</v>
      </c>
      <c r="T214" s="19">
        <v>1.0</v>
      </c>
      <c r="U214" s="19">
        <v>2.0</v>
      </c>
      <c r="V214" s="19">
        <v>1.0</v>
      </c>
      <c r="W214" s="19">
        <v>1.0</v>
      </c>
      <c r="X214" s="19">
        <v>3.0</v>
      </c>
      <c r="Y214" s="19">
        <v>6.0</v>
      </c>
      <c r="Z214" s="19">
        <v>0.0</v>
      </c>
      <c r="AA214" s="19">
        <v>5.0</v>
      </c>
      <c r="AB214" s="19">
        <v>0.0</v>
      </c>
      <c r="AC214" s="19">
        <v>2.0</v>
      </c>
      <c r="AD214" s="19">
        <v>0.0</v>
      </c>
      <c r="AE214" s="19">
        <v>3.0</v>
      </c>
      <c r="AF214" s="19">
        <v>1.0</v>
      </c>
      <c r="AG214" s="19">
        <v>3.0</v>
      </c>
      <c r="AH214" s="19">
        <v>1.0</v>
      </c>
      <c r="AI214" s="19">
        <v>0.0</v>
      </c>
      <c r="AJ214" s="19">
        <v>1.0</v>
      </c>
      <c r="AK214" s="19">
        <v>1.0</v>
      </c>
      <c r="AL214" s="19">
        <v>1.0</v>
      </c>
      <c r="AM214" s="13">
        <f t="shared" si="43"/>
        <v>55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1.0</v>
      </c>
      <c r="F215" s="19">
        <v>3.0</v>
      </c>
      <c r="G215" s="19">
        <v>5.0</v>
      </c>
      <c r="H215" s="19">
        <v>0.0</v>
      </c>
      <c r="I215" s="19">
        <v>0.0</v>
      </c>
      <c r="J215" s="19">
        <v>2.0</v>
      </c>
      <c r="K215" s="19">
        <v>2.0</v>
      </c>
      <c r="L215" s="19">
        <v>3.0</v>
      </c>
      <c r="M215" s="19">
        <v>1.0</v>
      </c>
      <c r="N215" s="19">
        <v>2.0</v>
      </c>
      <c r="O215" s="19">
        <v>4.0</v>
      </c>
      <c r="P215" s="19">
        <v>0.0</v>
      </c>
      <c r="Q215" s="19">
        <v>2.0</v>
      </c>
      <c r="R215" s="19">
        <v>0.0</v>
      </c>
      <c r="S215" s="19">
        <v>5.0</v>
      </c>
      <c r="T215" s="19">
        <v>3.0</v>
      </c>
      <c r="U215" s="19">
        <v>1.0</v>
      </c>
      <c r="V215" s="19">
        <v>2.0</v>
      </c>
      <c r="W215" s="19">
        <v>2.0</v>
      </c>
      <c r="X215" s="19">
        <v>2.0</v>
      </c>
      <c r="Y215" s="19">
        <v>4.0</v>
      </c>
      <c r="Z215" s="19">
        <v>0.0</v>
      </c>
      <c r="AA215" s="19">
        <v>4.0</v>
      </c>
      <c r="AB215" s="19">
        <v>7.0</v>
      </c>
      <c r="AC215" s="19">
        <v>7.0</v>
      </c>
      <c r="AD215" s="19">
        <v>1.0</v>
      </c>
      <c r="AE215" s="19">
        <v>0.0</v>
      </c>
      <c r="AF215" s="19">
        <v>0.0</v>
      </c>
      <c r="AG215" s="19">
        <v>2.0</v>
      </c>
      <c r="AH215" s="19">
        <v>1.0</v>
      </c>
      <c r="AI215" s="19">
        <v>3.0</v>
      </c>
      <c r="AJ215" s="19">
        <v>2.0</v>
      </c>
      <c r="AK215" s="19">
        <v>5.0</v>
      </c>
      <c r="AL215" s="19">
        <v>0.0</v>
      </c>
      <c r="AM215" s="13">
        <f t="shared" si="43"/>
        <v>76</v>
      </c>
    </row>
    <row r="216" ht="12.75" customHeight="1">
      <c r="A216" s="18"/>
      <c r="B216" s="55">
        <v>3.0</v>
      </c>
      <c r="C216" s="69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1.0</v>
      </c>
      <c r="N216" s="19">
        <v>1.0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1.0</v>
      </c>
      <c r="U216" s="19">
        <v>1.0</v>
      </c>
      <c r="V216" s="19">
        <v>0.0</v>
      </c>
      <c r="W216" s="19">
        <v>2.0</v>
      </c>
      <c r="X216" s="19">
        <v>1.0</v>
      </c>
      <c r="Y216" s="19">
        <v>0.0</v>
      </c>
      <c r="Z216" s="19">
        <v>0.0</v>
      </c>
      <c r="AA216" s="19">
        <v>1.0</v>
      </c>
      <c r="AB216" s="19">
        <v>2.0</v>
      </c>
      <c r="AC216" s="19">
        <v>1.0</v>
      </c>
      <c r="AD216" s="19">
        <v>0.0</v>
      </c>
      <c r="AE216" s="19">
        <v>0.0</v>
      </c>
      <c r="AF216" s="19">
        <v>0.0</v>
      </c>
      <c r="AG216" s="19">
        <v>0.0</v>
      </c>
      <c r="AH216" s="19">
        <v>0.0</v>
      </c>
      <c r="AI216" s="19">
        <v>0.0</v>
      </c>
      <c r="AJ216" s="19">
        <v>1.0</v>
      </c>
      <c r="AK216" s="19">
        <v>0.0</v>
      </c>
      <c r="AL216" s="19">
        <v>0.0</v>
      </c>
      <c r="AM216" s="13">
        <f t="shared" si="43"/>
        <v>12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2.0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1.0</v>
      </c>
      <c r="W217" s="19">
        <v>0.0</v>
      </c>
      <c r="X217" s="19">
        <v>0.0</v>
      </c>
      <c r="Y217" s="19">
        <v>0.0</v>
      </c>
      <c r="Z217" s="19">
        <v>1.0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0.0</v>
      </c>
      <c r="AG217" s="19">
        <v>0.0</v>
      </c>
      <c r="AH217" s="19">
        <v>0.0</v>
      </c>
      <c r="AI217" s="19">
        <v>1.0</v>
      </c>
      <c r="AJ217" s="19">
        <v>0.0</v>
      </c>
      <c r="AK217" s="19">
        <v>0.0</v>
      </c>
      <c r="AL217" s="19">
        <v>0.0</v>
      </c>
      <c r="AM217" s="13">
        <f t="shared" si="43"/>
        <v>5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1.0</v>
      </c>
      <c r="G218" s="19">
        <v>0.0</v>
      </c>
      <c r="H218" s="19">
        <v>1.0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1.0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1.0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0.0</v>
      </c>
      <c r="AF218" s="19">
        <v>0.0</v>
      </c>
      <c r="AG218" s="19">
        <v>0.0</v>
      </c>
      <c r="AH218" s="19">
        <v>0.0</v>
      </c>
      <c r="AI218" s="19">
        <v>0.0</v>
      </c>
      <c r="AJ218" s="19">
        <v>0.0</v>
      </c>
      <c r="AK218" s="19">
        <v>0.0</v>
      </c>
      <c r="AL218" s="19">
        <v>0.0</v>
      </c>
      <c r="AM218" s="13">
        <f t="shared" si="43"/>
        <v>4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1.0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1.0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1.0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1.0</v>
      </c>
      <c r="AF219" s="19">
        <v>0.0</v>
      </c>
      <c r="AG219" s="19">
        <v>1.0</v>
      </c>
      <c r="AH219" s="19">
        <v>0.0</v>
      </c>
      <c r="AI219" s="19">
        <v>2.0</v>
      </c>
      <c r="AJ219" s="19">
        <v>1.0</v>
      </c>
      <c r="AK219" s="19">
        <v>0.0</v>
      </c>
      <c r="AL219" s="19">
        <v>1.0</v>
      </c>
      <c r="AM219" s="13">
        <f t="shared" si="43"/>
        <v>9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1.0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1.0</v>
      </c>
      <c r="U220" s="19">
        <v>1.0</v>
      </c>
      <c r="V220" s="19">
        <v>1.0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1.0</v>
      </c>
      <c r="AB220" s="19">
        <v>1.0</v>
      </c>
      <c r="AC220" s="19">
        <v>0.0</v>
      </c>
      <c r="AD220" s="19">
        <v>0.0</v>
      </c>
      <c r="AE220" s="19">
        <v>3.0</v>
      </c>
      <c r="AF220" s="19">
        <v>0.0</v>
      </c>
      <c r="AG220" s="19">
        <v>0.0</v>
      </c>
      <c r="AH220" s="19">
        <v>0.0</v>
      </c>
      <c r="AI220" s="19">
        <v>0.0</v>
      </c>
      <c r="AJ220" s="19">
        <v>0.0</v>
      </c>
      <c r="AK220" s="19">
        <v>0.0</v>
      </c>
      <c r="AL220" s="19">
        <v>0.0</v>
      </c>
      <c r="AM220" s="13">
        <f t="shared" si="43"/>
        <v>9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3">
        <f t="shared" si="43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3">
        <f t="shared" si="43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M223" si="44">SUM(E213:E222)</f>
        <v>10</v>
      </c>
      <c r="F223" s="13">
        <f t="shared" si="44"/>
        <v>11</v>
      </c>
      <c r="G223" s="13">
        <f t="shared" si="44"/>
        <v>7</v>
      </c>
      <c r="H223" s="13">
        <f t="shared" si="44"/>
        <v>5</v>
      </c>
      <c r="I223" s="13">
        <f t="shared" si="44"/>
        <v>5</v>
      </c>
      <c r="J223" s="13">
        <f t="shared" si="44"/>
        <v>2</v>
      </c>
      <c r="K223" s="13">
        <f t="shared" si="44"/>
        <v>5</v>
      </c>
      <c r="L223" s="13">
        <f t="shared" si="44"/>
        <v>3</v>
      </c>
      <c r="M223" s="13">
        <f t="shared" si="44"/>
        <v>10</v>
      </c>
      <c r="N223" s="13">
        <f t="shared" si="44"/>
        <v>6</v>
      </c>
      <c r="O223" s="13">
        <f t="shared" si="44"/>
        <v>8</v>
      </c>
      <c r="P223" s="13">
        <f t="shared" si="44"/>
        <v>3</v>
      </c>
      <c r="Q223" s="13">
        <f t="shared" si="44"/>
        <v>6</v>
      </c>
      <c r="R223" s="13">
        <f t="shared" si="44"/>
        <v>1</v>
      </c>
      <c r="S223" s="13">
        <f t="shared" si="44"/>
        <v>13</v>
      </c>
      <c r="T223" s="13">
        <f t="shared" si="44"/>
        <v>8</v>
      </c>
      <c r="U223" s="13">
        <f t="shared" si="44"/>
        <v>7</v>
      </c>
      <c r="V223" s="13">
        <f t="shared" si="44"/>
        <v>9</v>
      </c>
      <c r="W223" s="13">
        <f t="shared" si="44"/>
        <v>16</v>
      </c>
      <c r="X223" s="13">
        <f t="shared" si="44"/>
        <v>12</v>
      </c>
      <c r="Y223" s="13">
        <f t="shared" si="44"/>
        <v>15</v>
      </c>
      <c r="Z223" s="13">
        <f t="shared" si="44"/>
        <v>4</v>
      </c>
      <c r="AA223" s="13">
        <f t="shared" si="44"/>
        <v>12</v>
      </c>
      <c r="AB223" s="13">
        <f t="shared" si="44"/>
        <v>11</v>
      </c>
      <c r="AC223" s="13">
        <f t="shared" si="44"/>
        <v>17</v>
      </c>
      <c r="AD223" s="13">
        <f t="shared" si="44"/>
        <v>2</v>
      </c>
      <c r="AE223" s="13">
        <f t="shared" si="44"/>
        <v>9</v>
      </c>
      <c r="AF223" s="13">
        <f t="shared" si="44"/>
        <v>6</v>
      </c>
      <c r="AG223" s="13">
        <f t="shared" si="44"/>
        <v>10</v>
      </c>
      <c r="AH223" s="13">
        <f t="shared" si="44"/>
        <v>6</v>
      </c>
      <c r="AI223" s="13">
        <f t="shared" si="44"/>
        <v>10</v>
      </c>
      <c r="AJ223" s="13">
        <f t="shared" si="44"/>
        <v>6</v>
      </c>
      <c r="AK223" s="13">
        <f t="shared" si="44"/>
        <v>10</v>
      </c>
      <c r="AL223" s="13">
        <f t="shared" si="44"/>
        <v>5</v>
      </c>
      <c r="AM223" s="13">
        <f t="shared" si="44"/>
        <v>270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1.0</v>
      </c>
      <c r="H225" s="19">
        <v>0.0</v>
      </c>
      <c r="I225" s="19">
        <v>0.0</v>
      </c>
      <c r="J225" s="19">
        <v>0.0</v>
      </c>
      <c r="K225" s="19">
        <v>0.0</v>
      </c>
      <c r="L225" s="19">
        <v>1.0</v>
      </c>
      <c r="M225" s="19">
        <v>0.0</v>
      </c>
      <c r="N225" s="19">
        <v>1.0</v>
      </c>
      <c r="O225" s="19">
        <v>1.0</v>
      </c>
      <c r="P225" s="19">
        <v>0.0</v>
      </c>
      <c r="Q225" s="19">
        <v>0.0</v>
      </c>
      <c r="R225" s="19">
        <v>0.0</v>
      </c>
      <c r="S225" s="19">
        <v>0.0</v>
      </c>
      <c r="T225" s="19">
        <v>1.0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0.0</v>
      </c>
      <c r="AC225" s="19">
        <v>0.0</v>
      </c>
      <c r="AD225" s="19">
        <v>1.0</v>
      </c>
      <c r="AE225" s="19">
        <v>0.0</v>
      </c>
      <c r="AF225" s="19">
        <v>0.0</v>
      </c>
      <c r="AG225" s="19">
        <v>0.0</v>
      </c>
      <c r="AH225" s="19">
        <v>0.0</v>
      </c>
      <c r="AI225" s="19">
        <v>0.0</v>
      </c>
      <c r="AJ225" s="19">
        <v>0.0</v>
      </c>
      <c r="AK225" s="19">
        <v>0.0</v>
      </c>
      <c r="AL225" s="19">
        <v>0.0</v>
      </c>
      <c r="AM225" s="13">
        <f t="shared" ref="AM225:AM234" si="45">SUM(E225:AL225)</f>
        <v>6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1.0</v>
      </c>
      <c r="G226" s="19">
        <v>0.0</v>
      </c>
      <c r="H226" s="19">
        <v>0.0</v>
      </c>
      <c r="I226" s="19">
        <v>1.0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1.0</v>
      </c>
      <c r="Q226" s="19">
        <v>0.0</v>
      </c>
      <c r="R226" s="19">
        <v>0.0</v>
      </c>
      <c r="S226" s="19">
        <v>1.0</v>
      </c>
      <c r="T226" s="19">
        <v>4.0</v>
      </c>
      <c r="U226" s="19">
        <v>2.0</v>
      </c>
      <c r="V226" s="19">
        <v>0.0</v>
      </c>
      <c r="W226" s="19">
        <v>1.0</v>
      </c>
      <c r="X226" s="19">
        <v>0.0</v>
      </c>
      <c r="Y226" s="19">
        <v>0.0</v>
      </c>
      <c r="Z226" s="19">
        <v>0.0</v>
      </c>
      <c r="AA226" s="19">
        <v>3.0</v>
      </c>
      <c r="AB226" s="19">
        <v>0.0</v>
      </c>
      <c r="AC226" s="19">
        <v>0.0</v>
      </c>
      <c r="AD226" s="19">
        <v>3.0</v>
      </c>
      <c r="AE226" s="19">
        <v>0.0</v>
      </c>
      <c r="AF226" s="19">
        <v>0.0</v>
      </c>
      <c r="AG226" s="19">
        <v>0.0</v>
      </c>
      <c r="AH226" s="19">
        <v>0.0</v>
      </c>
      <c r="AI226" s="19">
        <v>1.0</v>
      </c>
      <c r="AJ226" s="19">
        <v>0.0</v>
      </c>
      <c r="AK226" s="19">
        <v>3.0</v>
      </c>
      <c r="AL226" s="19">
        <v>2.0</v>
      </c>
      <c r="AM226" s="13">
        <f t="shared" si="45"/>
        <v>23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9">
        <v>0.0</v>
      </c>
      <c r="AI227" s="19">
        <v>0.0</v>
      </c>
      <c r="AJ227" s="19">
        <v>0.0</v>
      </c>
      <c r="AK227" s="19">
        <v>0.0</v>
      </c>
      <c r="AL227" s="19">
        <v>0.0</v>
      </c>
      <c r="AM227" s="13">
        <f t="shared" si="45"/>
        <v>0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1.0</v>
      </c>
      <c r="K228" s="19">
        <v>0.0</v>
      </c>
      <c r="L228" s="19">
        <v>0.0</v>
      </c>
      <c r="M228" s="19">
        <v>1.0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0.0</v>
      </c>
      <c r="AI228" s="19">
        <v>0.0</v>
      </c>
      <c r="AJ228" s="19">
        <v>0.0</v>
      </c>
      <c r="AK228" s="19">
        <v>0.0</v>
      </c>
      <c r="AL228" s="19">
        <v>0.0</v>
      </c>
      <c r="AM228" s="13">
        <f t="shared" si="45"/>
        <v>2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9">
        <v>0.0</v>
      </c>
      <c r="AK229" s="19">
        <v>0.0</v>
      </c>
      <c r="AL229" s="19">
        <v>0.0</v>
      </c>
      <c r="AM229" s="13">
        <f t="shared" si="45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9">
        <v>0.0</v>
      </c>
      <c r="AI230" s="19">
        <v>0.0</v>
      </c>
      <c r="AJ230" s="19">
        <v>0.0</v>
      </c>
      <c r="AK230" s="19">
        <v>0.0</v>
      </c>
      <c r="AL230" s="19">
        <v>0.0</v>
      </c>
      <c r="AM230" s="13">
        <f t="shared" si="45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>
        <v>0.0</v>
      </c>
      <c r="AJ231" s="19">
        <v>0.0</v>
      </c>
      <c r="AK231" s="19">
        <v>0.0</v>
      </c>
      <c r="AL231" s="19">
        <v>0.0</v>
      </c>
      <c r="AM231" s="13">
        <f t="shared" si="45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1.0</v>
      </c>
      <c r="F232" s="19">
        <v>0.0</v>
      </c>
      <c r="G232" s="19">
        <v>0.0</v>
      </c>
      <c r="H232" s="19">
        <v>1.0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1.0</v>
      </c>
      <c r="R232" s="19">
        <v>2.0</v>
      </c>
      <c r="S232" s="19">
        <v>0.0</v>
      </c>
      <c r="T232" s="19">
        <v>0.0</v>
      </c>
      <c r="U232" s="19">
        <v>1.0</v>
      </c>
      <c r="V232" s="19">
        <v>0.0</v>
      </c>
      <c r="W232" s="19">
        <v>0.0</v>
      </c>
      <c r="X232" s="19">
        <v>0.0</v>
      </c>
      <c r="Y232" s="19">
        <v>1.0</v>
      </c>
      <c r="Z232" s="19">
        <v>0.0</v>
      </c>
      <c r="AA232" s="19">
        <v>0.0</v>
      </c>
      <c r="AB232" s="19">
        <v>1.0</v>
      </c>
      <c r="AC232" s="19">
        <v>1.0</v>
      </c>
      <c r="AD232" s="19">
        <v>0.0</v>
      </c>
      <c r="AE232" s="19">
        <v>0.0</v>
      </c>
      <c r="AF232" s="19">
        <v>0.0</v>
      </c>
      <c r="AG232" s="19">
        <v>0.0</v>
      </c>
      <c r="AH232" s="19">
        <v>0.0</v>
      </c>
      <c r="AI232" s="19">
        <v>0.0</v>
      </c>
      <c r="AJ232" s="19">
        <v>0.0</v>
      </c>
      <c r="AK232" s="19">
        <v>1.0</v>
      </c>
      <c r="AL232" s="19">
        <v>0.0</v>
      </c>
      <c r="AM232" s="13">
        <f t="shared" si="45"/>
        <v>10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3">
        <f t="shared" si="45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3">
        <f t="shared" si="45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M235" si="46">SUM(E225:E234)</f>
        <v>1</v>
      </c>
      <c r="F235" s="13">
        <f t="shared" si="46"/>
        <v>1</v>
      </c>
      <c r="G235" s="13">
        <f t="shared" si="46"/>
        <v>1</v>
      </c>
      <c r="H235" s="13">
        <f t="shared" si="46"/>
        <v>1</v>
      </c>
      <c r="I235" s="13">
        <f t="shared" si="46"/>
        <v>1</v>
      </c>
      <c r="J235" s="13">
        <f t="shared" si="46"/>
        <v>1</v>
      </c>
      <c r="K235" s="13">
        <f t="shared" si="46"/>
        <v>0</v>
      </c>
      <c r="L235" s="13">
        <f t="shared" si="46"/>
        <v>1</v>
      </c>
      <c r="M235" s="13">
        <f t="shared" si="46"/>
        <v>1</v>
      </c>
      <c r="N235" s="13">
        <f t="shared" si="46"/>
        <v>1</v>
      </c>
      <c r="O235" s="13">
        <f t="shared" si="46"/>
        <v>1</v>
      </c>
      <c r="P235" s="13">
        <f t="shared" si="46"/>
        <v>1</v>
      </c>
      <c r="Q235" s="13">
        <f t="shared" si="46"/>
        <v>1</v>
      </c>
      <c r="R235" s="13">
        <f t="shared" si="46"/>
        <v>2</v>
      </c>
      <c r="S235" s="13">
        <f t="shared" si="46"/>
        <v>1</v>
      </c>
      <c r="T235" s="13">
        <f t="shared" si="46"/>
        <v>5</v>
      </c>
      <c r="U235" s="13">
        <f t="shared" si="46"/>
        <v>3</v>
      </c>
      <c r="V235" s="13">
        <f t="shared" si="46"/>
        <v>0</v>
      </c>
      <c r="W235" s="13">
        <f t="shared" si="46"/>
        <v>1</v>
      </c>
      <c r="X235" s="13">
        <f t="shared" si="46"/>
        <v>0</v>
      </c>
      <c r="Y235" s="13">
        <f t="shared" si="46"/>
        <v>1</v>
      </c>
      <c r="Z235" s="13">
        <f t="shared" si="46"/>
        <v>0</v>
      </c>
      <c r="AA235" s="13">
        <f t="shared" si="46"/>
        <v>3</v>
      </c>
      <c r="AB235" s="13">
        <f t="shared" si="46"/>
        <v>1</v>
      </c>
      <c r="AC235" s="13">
        <f t="shared" si="46"/>
        <v>1</v>
      </c>
      <c r="AD235" s="13">
        <f t="shared" si="46"/>
        <v>4</v>
      </c>
      <c r="AE235" s="13">
        <f t="shared" si="46"/>
        <v>0</v>
      </c>
      <c r="AF235" s="13">
        <f t="shared" si="46"/>
        <v>0</v>
      </c>
      <c r="AG235" s="13">
        <f t="shared" si="46"/>
        <v>0</v>
      </c>
      <c r="AH235" s="13">
        <f t="shared" si="46"/>
        <v>0</v>
      </c>
      <c r="AI235" s="13">
        <f t="shared" si="46"/>
        <v>1</v>
      </c>
      <c r="AJ235" s="13">
        <f t="shared" si="46"/>
        <v>0</v>
      </c>
      <c r="AK235" s="13">
        <f t="shared" si="46"/>
        <v>4</v>
      </c>
      <c r="AL235" s="13">
        <f t="shared" si="46"/>
        <v>2</v>
      </c>
      <c r="AM235" s="13">
        <f t="shared" si="46"/>
        <v>41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2.0</v>
      </c>
      <c r="H237" s="19">
        <v>1.0</v>
      </c>
      <c r="I237" s="19">
        <v>0.0</v>
      </c>
      <c r="J237" s="19">
        <v>0.0</v>
      </c>
      <c r="K237" s="19">
        <v>0.0</v>
      </c>
      <c r="L237" s="19">
        <v>0.0</v>
      </c>
      <c r="M237" s="19">
        <v>1.0</v>
      </c>
      <c r="N237" s="19">
        <v>1.0</v>
      </c>
      <c r="O237" s="19">
        <v>0.0</v>
      </c>
      <c r="P237" s="19">
        <v>0.0</v>
      </c>
      <c r="Q237" s="19">
        <v>0.0</v>
      </c>
      <c r="R237" s="19">
        <v>0.0</v>
      </c>
      <c r="S237" s="19">
        <v>0.0</v>
      </c>
      <c r="T237" s="19">
        <v>0.0</v>
      </c>
      <c r="U237" s="19">
        <v>0.0</v>
      </c>
      <c r="V237" s="19">
        <v>1.0</v>
      </c>
      <c r="W237" s="19">
        <v>1.0</v>
      </c>
      <c r="X237" s="19">
        <v>1.0</v>
      </c>
      <c r="Y237" s="19">
        <v>0.0</v>
      </c>
      <c r="Z237" s="19">
        <v>1.0</v>
      </c>
      <c r="AA237" s="19">
        <v>0.0</v>
      </c>
      <c r="AB237" s="19">
        <v>0.0</v>
      </c>
      <c r="AC237" s="19">
        <v>1.0</v>
      </c>
      <c r="AD237" s="19">
        <v>1.0</v>
      </c>
      <c r="AE237" s="19">
        <v>1.0</v>
      </c>
      <c r="AF237" s="19">
        <v>0.0</v>
      </c>
      <c r="AG237" s="19">
        <v>0.0</v>
      </c>
      <c r="AH237" s="19">
        <v>1.0</v>
      </c>
      <c r="AI237" s="19">
        <v>1.0</v>
      </c>
      <c r="AJ237" s="19">
        <v>2.0</v>
      </c>
      <c r="AK237" s="19">
        <v>1.0</v>
      </c>
      <c r="AL237" s="19">
        <v>2.0</v>
      </c>
      <c r="AM237" s="13">
        <f t="shared" ref="AM237:AM246" si="47">SUM(E237:AL237)</f>
        <v>19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0.0</v>
      </c>
      <c r="F238" s="19">
        <v>0.0</v>
      </c>
      <c r="G238" s="19">
        <v>1.0</v>
      </c>
      <c r="H238" s="19">
        <v>1.0</v>
      </c>
      <c r="I238" s="19">
        <v>0.0</v>
      </c>
      <c r="J238" s="19">
        <v>0.0</v>
      </c>
      <c r="K238" s="19">
        <v>0.0</v>
      </c>
      <c r="L238" s="19">
        <v>0.0</v>
      </c>
      <c r="M238" s="19">
        <v>1.0</v>
      </c>
      <c r="N238" s="19">
        <v>0.0</v>
      </c>
      <c r="O238" s="19">
        <v>0.0</v>
      </c>
      <c r="P238" s="19">
        <v>0.0</v>
      </c>
      <c r="Q238" s="19">
        <v>0.0</v>
      </c>
      <c r="R238" s="19">
        <v>0.0</v>
      </c>
      <c r="S238" s="19">
        <v>1.0</v>
      </c>
      <c r="T238" s="19">
        <v>0.0</v>
      </c>
      <c r="U238" s="19">
        <v>1.0</v>
      </c>
      <c r="V238" s="19">
        <v>0.0</v>
      </c>
      <c r="W238" s="19">
        <v>0.0</v>
      </c>
      <c r="X238" s="19">
        <v>3.0</v>
      </c>
      <c r="Y238" s="19">
        <v>0.0</v>
      </c>
      <c r="Z238" s="19">
        <v>2.0</v>
      </c>
      <c r="AA238" s="19">
        <v>0.0</v>
      </c>
      <c r="AB238" s="19">
        <v>5.0</v>
      </c>
      <c r="AC238" s="19">
        <v>3.0</v>
      </c>
      <c r="AD238" s="19">
        <v>0.0</v>
      </c>
      <c r="AE238" s="19">
        <v>0.0</v>
      </c>
      <c r="AF238" s="19">
        <v>0.0</v>
      </c>
      <c r="AG238" s="19">
        <v>0.0</v>
      </c>
      <c r="AH238" s="19">
        <v>0.0</v>
      </c>
      <c r="AI238" s="19">
        <v>0.0</v>
      </c>
      <c r="AJ238" s="19">
        <v>0.0</v>
      </c>
      <c r="AK238" s="19">
        <v>0.0</v>
      </c>
      <c r="AL238" s="19">
        <v>0.0</v>
      </c>
      <c r="AM238" s="13">
        <f t="shared" si="47"/>
        <v>18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0.0</v>
      </c>
      <c r="F239" s="19">
        <v>0.0</v>
      </c>
      <c r="G239" s="19">
        <v>0.0</v>
      </c>
      <c r="H239" s="19">
        <v>5.0</v>
      </c>
      <c r="I239" s="19">
        <v>0.0</v>
      </c>
      <c r="J239" s="19">
        <v>0.0</v>
      </c>
      <c r="K239" s="19">
        <v>0.0</v>
      </c>
      <c r="L239" s="19">
        <v>0.0</v>
      </c>
      <c r="M239" s="19">
        <v>4.0</v>
      </c>
      <c r="N239" s="19">
        <v>1.0</v>
      </c>
      <c r="O239" s="19">
        <v>0.0</v>
      </c>
      <c r="P239" s="19">
        <v>0.0</v>
      </c>
      <c r="Q239" s="19">
        <v>0.0</v>
      </c>
      <c r="R239" s="19">
        <v>4.0</v>
      </c>
      <c r="S239" s="19">
        <v>0.0</v>
      </c>
      <c r="T239" s="19">
        <v>0.0</v>
      </c>
      <c r="U239" s="19">
        <v>0.0</v>
      </c>
      <c r="V239" s="19">
        <v>0.0</v>
      </c>
      <c r="W239" s="19">
        <v>0.0</v>
      </c>
      <c r="X239" s="19">
        <v>0.0</v>
      </c>
      <c r="Y239" s="19">
        <v>3.0</v>
      </c>
      <c r="Z239" s="19">
        <v>4.0</v>
      </c>
      <c r="AA239" s="19">
        <v>4.0</v>
      </c>
      <c r="AB239" s="19">
        <v>0.0</v>
      </c>
      <c r="AC239" s="19">
        <v>4.0</v>
      </c>
      <c r="AD239" s="19">
        <v>5.0</v>
      </c>
      <c r="AE239" s="19">
        <v>2.0</v>
      </c>
      <c r="AF239" s="19">
        <v>0.0</v>
      </c>
      <c r="AG239" s="19">
        <v>3.0</v>
      </c>
      <c r="AH239" s="19">
        <v>0.0</v>
      </c>
      <c r="AI239" s="19">
        <v>0.0</v>
      </c>
      <c r="AJ239" s="19">
        <v>0.0</v>
      </c>
      <c r="AK239" s="19">
        <v>1.0</v>
      </c>
      <c r="AL239" s="19">
        <v>1.0</v>
      </c>
      <c r="AM239" s="13">
        <f t="shared" si="47"/>
        <v>41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4.0</v>
      </c>
      <c r="F240" s="19">
        <v>2.0</v>
      </c>
      <c r="G240" s="19">
        <v>2.0</v>
      </c>
      <c r="H240" s="19">
        <v>1.0</v>
      </c>
      <c r="I240" s="19">
        <v>0.0</v>
      </c>
      <c r="J240" s="19">
        <v>0.0</v>
      </c>
      <c r="K240" s="19">
        <v>1.0</v>
      </c>
      <c r="L240" s="19">
        <v>0.0</v>
      </c>
      <c r="M240" s="19">
        <v>4.0</v>
      </c>
      <c r="N240" s="19">
        <v>0.0</v>
      </c>
      <c r="O240" s="19">
        <v>0.0</v>
      </c>
      <c r="P240" s="19">
        <v>0.0</v>
      </c>
      <c r="Q240" s="19">
        <v>2.0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1.0</v>
      </c>
      <c r="AA240" s="19">
        <v>0.0</v>
      </c>
      <c r="AB240" s="19">
        <v>1.0</v>
      </c>
      <c r="AC240" s="19">
        <v>0.0</v>
      </c>
      <c r="AD240" s="19">
        <v>1.0</v>
      </c>
      <c r="AE240" s="19">
        <v>0.0</v>
      </c>
      <c r="AF240" s="19">
        <v>0.0</v>
      </c>
      <c r="AG240" s="19">
        <v>3.0</v>
      </c>
      <c r="AH240" s="19">
        <v>5.0</v>
      </c>
      <c r="AI240" s="19">
        <v>8.0</v>
      </c>
      <c r="AJ240" s="19">
        <v>8.0</v>
      </c>
      <c r="AK240" s="19">
        <v>38.0</v>
      </c>
      <c r="AL240" s="19">
        <v>53.0</v>
      </c>
      <c r="AM240" s="13">
        <f t="shared" si="47"/>
        <v>134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1.0</v>
      </c>
      <c r="M241" s="19">
        <v>0.0</v>
      </c>
      <c r="N241" s="19">
        <v>0.0</v>
      </c>
      <c r="O241" s="19">
        <v>0.0</v>
      </c>
      <c r="P241" s="19">
        <v>0.0</v>
      </c>
      <c r="Q241" s="19">
        <v>1.0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0.0</v>
      </c>
      <c r="AD241" s="19">
        <v>0.0</v>
      </c>
      <c r="AE241" s="19">
        <v>0.0</v>
      </c>
      <c r="AF241" s="19">
        <v>0.0</v>
      </c>
      <c r="AG241" s="19">
        <v>0.0</v>
      </c>
      <c r="AH241" s="19">
        <v>0.0</v>
      </c>
      <c r="AI241" s="19">
        <v>0.0</v>
      </c>
      <c r="AJ241" s="19">
        <v>0.0</v>
      </c>
      <c r="AK241" s="19">
        <v>0.0</v>
      </c>
      <c r="AL241" s="19">
        <v>0.0</v>
      </c>
      <c r="AM241" s="13">
        <f t="shared" si="47"/>
        <v>2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1.0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1.0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0.0</v>
      </c>
      <c r="AG242" s="19">
        <v>0.0</v>
      </c>
      <c r="AH242" s="19">
        <v>0.0</v>
      </c>
      <c r="AI242" s="19">
        <v>0.0</v>
      </c>
      <c r="AJ242" s="19">
        <v>0.0</v>
      </c>
      <c r="AK242" s="19">
        <v>0.0</v>
      </c>
      <c r="AL242" s="19">
        <v>0.0</v>
      </c>
      <c r="AM242" s="13">
        <f t="shared" si="47"/>
        <v>2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0.0</v>
      </c>
      <c r="AE243" s="19">
        <v>1.0</v>
      </c>
      <c r="AF243" s="19">
        <v>0.0</v>
      </c>
      <c r="AG243" s="19">
        <v>0.0</v>
      </c>
      <c r="AH243" s="19">
        <v>0.0</v>
      </c>
      <c r="AI243" s="19">
        <v>0.0</v>
      </c>
      <c r="AJ243" s="19">
        <v>1.0</v>
      </c>
      <c r="AK243" s="19">
        <v>0.0</v>
      </c>
      <c r="AL243" s="19">
        <v>0.0</v>
      </c>
      <c r="AM243" s="13">
        <f t="shared" si="47"/>
        <v>2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0.0</v>
      </c>
      <c r="G244" s="19">
        <v>2.0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9">
        <v>1.0</v>
      </c>
      <c r="N244" s="19">
        <v>1.0</v>
      </c>
      <c r="O244" s="19">
        <v>0.0</v>
      </c>
      <c r="P244" s="19">
        <v>0.0</v>
      </c>
      <c r="Q244" s="19">
        <v>0.0</v>
      </c>
      <c r="R244" s="19">
        <v>0.0</v>
      </c>
      <c r="S244" s="19">
        <v>0.0</v>
      </c>
      <c r="T244" s="19">
        <v>0.0</v>
      </c>
      <c r="U244" s="19">
        <v>0.0</v>
      </c>
      <c r="V244" s="19">
        <v>0.0</v>
      </c>
      <c r="W244" s="19">
        <v>5.0</v>
      </c>
      <c r="X244" s="19">
        <v>0.0</v>
      </c>
      <c r="Y244" s="19">
        <v>1.0</v>
      </c>
      <c r="Z244" s="19">
        <v>0.0</v>
      </c>
      <c r="AA244" s="19">
        <v>1.0</v>
      </c>
      <c r="AB244" s="19">
        <v>0.0</v>
      </c>
      <c r="AC244" s="19">
        <v>1.0</v>
      </c>
      <c r="AD244" s="19">
        <v>0.0</v>
      </c>
      <c r="AE244" s="19">
        <v>0.0</v>
      </c>
      <c r="AF244" s="19">
        <v>0.0</v>
      </c>
      <c r="AG244" s="19">
        <v>0.0</v>
      </c>
      <c r="AH244" s="19">
        <v>2.0</v>
      </c>
      <c r="AI244" s="19">
        <v>1.0</v>
      </c>
      <c r="AJ244" s="19">
        <v>1.0</v>
      </c>
      <c r="AK244" s="19">
        <v>25.0</v>
      </c>
      <c r="AL244" s="19">
        <v>0.0</v>
      </c>
      <c r="AM244" s="13">
        <f t="shared" si="47"/>
        <v>41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3">
        <f t="shared" si="47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3">
        <f t="shared" si="47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M247" si="48">SUM(E237:E246)</f>
        <v>4</v>
      </c>
      <c r="F247" s="13">
        <f t="shared" si="48"/>
        <v>2</v>
      </c>
      <c r="G247" s="13">
        <f t="shared" si="48"/>
        <v>7</v>
      </c>
      <c r="H247" s="13">
        <f t="shared" si="48"/>
        <v>8</v>
      </c>
      <c r="I247" s="13">
        <f t="shared" si="48"/>
        <v>0</v>
      </c>
      <c r="J247" s="13">
        <f t="shared" si="48"/>
        <v>0</v>
      </c>
      <c r="K247" s="13">
        <f t="shared" si="48"/>
        <v>1</v>
      </c>
      <c r="L247" s="13">
        <f t="shared" si="48"/>
        <v>1</v>
      </c>
      <c r="M247" s="13">
        <f t="shared" si="48"/>
        <v>11</v>
      </c>
      <c r="N247" s="13">
        <f t="shared" si="48"/>
        <v>3</v>
      </c>
      <c r="O247" s="13">
        <f t="shared" si="48"/>
        <v>1</v>
      </c>
      <c r="P247" s="13">
        <f t="shared" si="48"/>
        <v>0</v>
      </c>
      <c r="Q247" s="13">
        <f t="shared" si="48"/>
        <v>3</v>
      </c>
      <c r="R247" s="13">
        <f t="shared" si="48"/>
        <v>4</v>
      </c>
      <c r="S247" s="13">
        <f t="shared" si="48"/>
        <v>1</v>
      </c>
      <c r="T247" s="13">
        <f t="shared" si="48"/>
        <v>0</v>
      </c>
      <c r="U247" s="13">
        <f t="shared" si="48"/>
        <v>2</v>
      </c>
      <c r="V247" s="13">
        <f t="shared" si="48"/>
        <v>1</v>
      </c>
      <c r="W247" s="13">
        <f t="shared" si="48"/>
        <v>6</v>
      </c>
      <c r="X247" s="13">
        <f t="shared" si="48"/>
        <v>4</v>
      </c>
      <c r="Y247" s="13">
        <f t="shared" si="48"/>
        <v>4</v>
      </c>
      <c r="Z247" s="13">
        <f t="shared" si="48"/>
        <v>8</v>
      </c>
      <c r="AA247" s="13">
        <f t="shared" si="48"/>
        <v>5</v>
      </c>
      <c r="AB247" s="13">
        <f t="shared" si="48"/>
        <v>6</v>
      </c>
      <c r="AC247" s="13">
        <f t="shared" si="48"/>
        <v>9</v>
      </c>
      <c r="AD247" s="13">
        <f t="shared" si="48"/>
        <v>7</v>
      </c>
      <c r="AE247" s="13">
        <f t="shared" si="48"/>
        <v>4</v>
      </c>
      <c r="AF247" s="13">
        <f t="shared" si="48"/>
        <v>0</v>
      </c>
      <c r="AG247" s="13">
        <f t="shared" si="48"/>
        <v>6</v>
      </c>
      <c r="AH247" s="13">
        <f t="shared" si="48"/>
        <v>8</v>
      </c>
      <c r="AI247" s="13">
        <f t="shared" si="48"/>
        <v>10</v>
      </c>
      <c r="AJ247" s="13">
        <f t="shared" si="48"/>
        <v>12</v>
      </c>
      <c r="AK247" s="13">
        <f t="shared" si="48"/>
        <v>65</v>
      </c>
      <c r="AL247" s="13">
        <f t="shared" si="48"/>
        <v>56</v>
      </c>
      <c r="AM247" s="13">
        <f t="shared" si="48"/>
        <v>259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4.0</v>
      </c>
      <c r="F249" s="19">
        <v>3.0</v>
      </c>
      <c r="G249" s="19">
        <v>0.0</v>
      </c>
      <c r="H249" s="19">
        <v>0.0</v>
      </c>
      <c r="I249" s="19">
        <v>1.0</v>
      </c>
      <c r="J249" s="19">
        <v>0.0</v>
      </c>
      <c r="K249" s="19">
        <v>0.0</v>
      </c>
      <c r="L249" s="19">
        <v>0.0</v>
      </c>
      <c r="M249" s="19">
        <v>2.0</v>
      </c>
      <c r="N249" s="19">
        <v>0.0</v>
      </c>
      <c r="O249" s="19">
        <v>0.0</v>
      </c>
      <c r="P249" s="19">
        <v>1.0</v>
      </c>
      <c r="Q249" s="19">
        <v>0.0</v>
      </c>
      <c r="R249" s="19">
        <v>2.0</v>
      </c>
      <c r="S249" s="19">
        <v>0.0</v>
      </c>
      <c r="T249" s="19">
        <v>0.0</v>
      </c>
      <c r="U249" s="19">
        <v>0.0</v>
      </c>
      <c r="V249" s="19">
        <v>0.0</v>
      </c>
      <c r="W249" s="19">
        <v>1.0</v>
      </c>
      <c r="X249" s="19">
        <v>1.0</v>
      </c>
      <c r="Y249" s="19">
        <v>0.0</v>
      </c>
      <c r="Z249" s="19">
        <v>1.0</v>
      </c>
      <c r="AA249" s="19">
        <v>0.0</v>
      </c>
      <c r="AB249" s="19">
        <v>0.0</v>
      </c>
      <c r="AC249" s="19">
        <v>3.0</v>
      </c>
      <c r="AD249" s="19">
        <v>0.0</v>
      </c>
      <c r="AE249" s="19">
        <v>0.0</v>
      </c>
      <c r="AF249" s="19">
        <v>1.0</v>
      </c>
      <c r="AG249" s="19">
        <v>2.0</v>
      </c>
      <c r="AH249" s="19">
        <v>2.0</v>
      </c>
      <c r="AI249" s="19">
        <v>0.0</v>
      </c>
      <c r="AJ249" s="19">
        <v>0.0</v>
      </c>
      <c r="AK249" s="19">
        <v>0.0</v>
      </c>
      <c r="AL249" s="19">
        <v>0.0</v>
      </c>
      <c r="AM249" s="13">
        <f t="shared" ref="AM249:AM258" si="49">SUM(E249:AL249)</f>
        <v>24</v>
      </c>
    </row>
    <row r="250" ht="12.75" customHeight="1">
      <c r="A250" s="30" t="s">
        <v>39</v>
      </c>
      <c r="B250" s="55">
        <v>1.0</v>
      </c>
      <c r="C250" s="66" t="s">
        <v>184</v>
      </c>
      <c r="D250" s="60"/>
      <c r="E250" s="19">
        <v>5.0</v>
      </c>
      <c r="F250" s="19">
        <v>0.0</v>
      </c>
      <c r="G250" s="19">
        <v>0.0</v>
      </c>
      <c r="H250" s="19">
        <v>0.0</v>
      </c>
      <c r="I250" s="19">
        <v>1.0</v>
      </c>
      <c r="J250" s="19">
        <v>0.0</v>
      </c>
      <c r="K250" s="19">
        <v>0.0</v>
      </c>
      <c r="L250" s="19">
        <v>1.0</v>
      </c>
      <c r="M250" s="19">
        <v>2.0</v>
      </c>
      <c r="N250" s="19">
        <v>0.0</v>
      </c>
      <c r="O250" s="19">
        <v>0.0</v>
      </c>
      <c r="P250" s="19">
        <v>0.0</v>
      </c>
      <c r="Q250" s="19">
        <v>0.0</v>
      </c>
      <c r="R250" s="19">
        <v>2.0</v>
      </c>
      <c r="S250" s="19">
        <v>0.0</v>
      </c>
      <c r="T250" s="19">
        <v>2.0</v>
      </c>
      <c r="U250" s="19">
        <v>0.0</v>
      </c>
      <c r="V250" s="19">
        <v>1.0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1.0</v>
      </c>
      <c r="AB250" s="19">
        <v>0.0</v>
      </c>
      <c r="AC250" s="19">
        <v>0.0</v>
      </c>
      <c r="AD250" s="19">
        <v>2.0</v>
      </c>
      <c r="AE250" s="19">
        <v>0.0</v>
      </c>
      <c r="AF250" s="19">
        <v>1.0</v>
      </c>
      <c r="AG250" s="19">
        <v>0.0</v>
      </c>
      <c r="AH250" s="19">
        <v>3.0</v>
      </c>
      <c r="AI250" s="19">
        <v>0.0</v>
      </c>
      <c r="AJ250" s="19">
        <v>0.0</v>
      </c>
      <c r="AK250" s="19">
        <v>0.0</v>
      </c>
      <c r="AL250" s="19">
        <v>0.0</v>
      </c>
      <c r="AM250" s="13">
        <f t="shared" si="49"/>
        <v>21</v>
      </c>
    </row>
    <row r="251" ht="12.75" customHeight="1">
      <c r="A251" s="18"/>
      <c r="B251" s="55">
        <v>2.0</v>
      </c>
      <c r="C251" s="66" t="s">
        <v>185</v>
      </c>
      <c r="D251" s="60"/>
      <c r="E251" s="19">
        <v>3.0</v>
      </c>
      <c r="F251" s="19">
        <v>0.0</v>
      </c>
      <c r="G251" s="19">
        <v>0.0</v>
      </c>
      <c r="H251" s="19">
        <v>0.0</v>
      </c>
      <c r="I251" s="19">
        <v>1.0</v>
      </c>
      <c r="J251" s="19">
        <v>0.0</v>
      </c>
      <c r="K251" s="19">
        <v>0.0</v>
      </c>
      <c r="L251" s="19">
        <v>0.0</v>
      </c>
      <c r="M251" s="19">
        <v>7.0</v>
      </c>
      <c r="N251" s="19">
        <v>2.0</v>
      </c>
      <c r="O251" s="19">
        <v>1.0</v>
      </c>
      <c r="P251" s="19">
        <v>0.0</v>
      </c>
      <c r="Q251" s="19">
        <v>0.0</v>
      </c>
      <c r="R251" s="19">
        <v>3.0</v>
      </c>
      <c r="S251" s="19">
        <v>0.0</v>
      </c>
      <c r="T251" s="19">
        <v>0.0</v>
      </c>
      <c r="U251" s="19">
        <v>0.0</v>
      </c>
      <c r="V251" s="19">
        <v>0.0</v>
      </c>
      <c r="W251" s="19">
        <v>1.0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3.0</v>
      </c>
      <c r="AE251" s="19">
        <v>0.0</v>
      </c>
      <c r="AF251" s="19">
        <v>2.0</v>
      </c>
      <c r="AG251" s="19">
        <v>0.0</v>
      </c>
      <c r="AH251" s="19">
        <v>1.0</v>
      </c>
      <c r="AI251" s="19">
        <v>0.0</v>
      </c>
      <c r="AJ251" s="19">
        <v>0.0</v>
      </c>
      <c r="AK251" s="19">
        <v>0.0</v>
      </c>
      <c r="AL251" s="19">
        <v>0.0</v>
      </c>
      <c r="AM251" s="13">
        <f t="shared" si="49"/>
        <v>24</v>
      </c>
    </row>
    <row r="252" ht="12.75" customHeight="1">
      <c r="A252" s="18"/>
      <c r="B252" s="55">
        <v>3.0</v>
      </c>
      <c r="C252" s="66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1.0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1.0</v>
      </c>
      <c r="AH252" s="19">
        <v>1.0</v>
      </c>
      <c r="AI252" s="19">
        <v>0.0</v>
      </c>
      <c r="AJ252" s="19">
        <v>0.0</v>
      </c>
      <c r="AK252" s="19">
        <v>0.0</v>
      </c>
      <c r="AL252" s="19">
        <v>0.0</v>
      </c>
      <c r="AM252" s="13">
        <f t="shared" si="49"/>
        <v>3</v>
      </c>
    </row>
    <row r="253" ht="12.75" customHeight="1">
      <c r="A253" s="18"/>
      <c r="B253" s="55">
        <v>4.0</v>
      </c>
      <c r="C253" s="66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1.0</v>
      </c>
      <c r="P253" s="19">
        <v>1.0</v>
      </c>
      <c r="Q253" s="19">
        <v>0.0</v>
      </c>
      <c r="R253" s="19">
        <v>1.0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9">
        <v>0.0</v>
      </c>
      <c r="AI253" s="19">
        <v>0.0</v>
      </c>
      <c r="AJ253" s="19">
        <v>0.0</v>
      </c>
      <c r="AK253" s="19">
        <v>0.0</v>
      </c>
      <c r="AL253" s="19">
        <v>0.0</v>
      </c>
      <c r="AM253" s="13">
        <f t="shared" si="49"/>
        <v>3</v>
      </c>
    </row>
    <row r="254" ht="12.75" customHeight="1">
      <c r="A254" s="18"/>
      <c r="B254" s="55">
        <v>5.0</v>
      </c>
      <c r="C254" s="66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1.0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1.0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1.0</v>
      </c>
      <c r="AE254" s="19">
        <v>0.0</v>
      </c>
      <c r="AF254" s="19">
        <v>0.0</v>
      </c>
      <c r="AG254" s="19">
        <v>0.0</v>
      </c>
      <c r="AH254" s="19">
        <v>0.0</v>
      </c>
      <c r="AI254" s="19">
        <v>0.0</v>
      </c>
      <c r="AJ254" s="19">
        <v>0.0</v>
      </c>
      <c r="AK254" s="19">
        <v>0.0</v>
      </c>
      <c r="AL254" s="19">
        <v>0.0</v>
      </c>
      <c r="AM254" s="13">
        <f t="shared" si="49"/>
        <v>3</v>
      </c>
    </row>
    <row r="255" ht="12.75" customHeight="1">
      <c r="A255" s="18"/>
      <c r="B255" s="55">
        <v>6.0</v>
      </c>
      <c r="C255" s="66" t="s">
        <v>189</v>
      </c>
      <c r="D255" s="60"/>
      <c r="E255" s="19">
        <v>0.0</v>
      </c>
      <c r="F255" s="19">
        <v>0.0</v>
      </c>
      <c r="G255" s="19">
        <v>1.0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1.0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9">
        <v>0.0</v>
      </c>
      <c r="AH255" s="19">
        <v>0.0</v>
      </c>
      <c r="AI255" s="19">
        <v>0.0</v>
      </c>
      <c r="AJ255" s="19">
        <v>0.0</v>
      </c>
      <c r="AK255" s="19">
        <v>0.0</v>
      </c>
      <c r="AL255" s="19">
        <v>0.0</v>
      </c>
      <c r="AM255" s="13">
        <f t="shared" si="49"/>
        <v>2</v>
      </c>
    </row>
    <row r="256" ht="12.75" customHeight="1">
      <c r="A256" s="18"/>
      <c r="B256" s="56"/>
      <c r="C256" s="67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3">
        <f t="shared" si="49"/>
        <v>0</v>
      </c>
    </row>
    <row r="257" ht="12.75" customHeight="1">
      <c r="A257" s="18"/>
      <c r="B257" s="56"/>
      <c r="C257" s="67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3">
        <f t="shared" si="49"/>
        <v>0</v>
      </c>
    </row>
    <row r="258" ht="12.75" customHeight="1">
      <c r="A258" s="18"/>
      <c r="B258" s="56"/>
      <c r="C258" s="67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3">
        <f t="shared" si="49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M259" si="50">SUM(E249:E258)</f>
        <v>12</v>
      </c>
      <c r="F259" s="13">
        <f t="shared" si="50"/>
        <v>3</v>
      </c>
      <c r="G259" s="13">
        <f t="shared" si="50"/>
        <v>1</v>
      </c>
      <c r="H259" s="13">
        <f t="shared" si="50"/>
        <v>0</v>
      </c>
      <c r="I259" s="13">
        <f t="shared" si="50"/>
        <v>3</v>
      </c>
      <c r="J259" s="13">
        <f t="shared" si="50"/>
        <v>0</v>
      </c>
      <c r="K259" s="13">
        <f t="shared" si="50"/>
        <v>0</v>
      </c>
      <c r="L259" s="13">
        <f t="shared" si="50"/>
        <v>1</v>
      </c>
      <c r="M259" s="13">
        <f t="shared" si="50"/>
        <v>11</v>
      </c>
      <c r="N259" s="13">
        <f t="shared" si="50"/>
        <v>3</v>
      </c>
      <c r="O259" s="13">
        <f t="shared" si="50"/>
        <v>2</v>
      </c>
      <c r="P259" s="13">
        <f t="shared" si="50"/>
        <v>3</v>
      </c>
      <c r="Q259" s="13">
        <f t="shared" si="50"/>
        <v>0</v>
      </c>
      <c r="R259" s="13">
        <f t="shared" si="50"/>
        <v>8</v>
      </c>
      <c r="S259" s="13">
        <f t="shared" si="50"/>
        <v>0</v>
      </c>
      <c r="T259" s="13">
        <f t="shared" si="50"/>
        <v>2</v>
      </c>
      <c r="U259" s="13">
        <f t="shared" si="50"/>
        <v>1</v>
      </c>
      <c r="V259" s="13">
        <f t="shared" si="50"/>
        <v>1</v>
      </c>
      <c r="W259" s="13">
        <f t="shared" si="50"/>
        <v>3</v>
      </c>
      <c r="X259" s="13">
        <f t="shared" si="50"/>
        <v>1</v>
      </c>
      <c r="Y259" s="13">
        <f t="shared" si="50"/>
        <v>0</v>
      </c>
      <c r="Z259" s="13">
        <f t="shared" si="50"/>
        <v>1</v>
      </c>
      <c r="AA259" s="13">
        <f t="shared" si="50"/>
        <v>1</v>
      </c>
      <c r="AB259" s="13">
        <f t="shared" si="50"/>
        <v>0</v>
      </c>
      <c r="AC259" s="13">
        <f t="shared" si="50"/>
        <v>3</v>
      </c>
      <c r="AD259" s="13">
        <f t="shared" si="50"/>
        <v>6</v>
      </c>
      <c r="AE259" s="13">
        <f t="shared" si="50"/>
        <v>0</v>
      </c>
      <c r="AF259" s="13">
        <f t="shared" si="50"/>
        <v>4</v>
      </c>
      <c r="AG259" s="13">
        <f t="shared" si="50"/>
        <v>3</v>
      </c>
      <c r="AH259" s="13">
        <f t="shared" si="50"/>
        <v>7</v>
      </c>
      <c r="AI259" s="13">
        <f t="shared" si="50"/>
        <v>0</v>
      </c>
      <c r="AJ259" s="13">
        <f t="shared" si="50"/>
        <v>0</v>
      </c>
      <c r="AK259" s="13">
        <f t="shared" si="50"/>
        <v>0</v>
      </c>
      <c r="AL259" s="13">
        <f t="shared" si="50"/>
        <v>0</v>
      </c>
      <c r="AM259" s="13">
        <f t="shared" si="50"/>
        <v>80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77"/>
      <c r="S261" s="13"/>
      <c r="T261" s="13"/>
      <c r="U261" s="13"/>
      <c r="V261" s="13"/>
      <c r="W261" s="13"/>
      <c r="X261" s="13"/>
      <c r="Y261" s="13"/>
      <c r="Z261" s="13"/>
      <c r="AA261" s="77"/>
      <c r="AB261" s="77"/>
      <c r="AC261" s="77"/>
      <c r="AD261" s="77"/>
      <c r="AE261" s="77"/>
      <c r="AF261" s="13"/>
      <c r="AG261" s="77"/>
      <c r="AH261" s="77"/>
      <c r="AI261" s="77"/>
      <c r="AJ261" s="77"/>
      <c r="AK261" s="77"/>
      <c r="AL261" s="77"/>
      <c r="AM261" s="13"/>
    </row>
    <row r="262" ht="12.75" customHeight="1">
      <c r="A262" s="42"/>
      <c r="B262" s="70" t="s">
        <v>192</v>
      </c>
      <c r="C262" s="71" t="s">
        <v>193</v>
      </c>
      <c r="D262" s="16"/>
      <c r="E262" s="19">
        <f t="shared" ref="E262:AL262" si="51">E55+E67+E79+E91+E103+E115+E127+E139+E151+E163+E175+E187+E199+E211+E223+E235+E247+E259</f>
        <v>176</v>
      </c>
      <c r="F262" s="19">
        <f t="shared" si="51"/>
        <v>181</v>
      </c>
      <c r="G262" s="19">
        <f t="shared" si="51"/>
        <v>160</v>
      </c>
      <c r="H262" s="19">
        <f t="shared" si="51"/>
        <v>170</v>
      </c>
      <c r="I262" s="19">
        <f t="shared" si="51"/>
        <v>188</v>
      </c>
      <c r="J262" s="19">
        <f t="shared" si="51"/>
        <v>161</v>
      </c>
      <c r="K262" s="19">
        <f t="shared" si="51"/>
        <v>181</v>
      </c>
      <c r="L262" s="19">
        <f t="shared" si="51"/>
        <v>165</v>
      </c>
      <c r="M262" s="19">
        <f t="shared" si="51"/>
        <v>192</v>
      </c>
      <c r="N262" s="19">
        <f t="shared" si="51"/>
        <v>179</v>
      </c>
      <c r="O262" s="19">
        <f t="shared" si="51"/>
        <v>177</v>
      </c>
      <c r="P262" s="19">
        <f t="shared" si="51"/>
        <v>158</v>
      </c>
      <c r="Q262" s="19">
        <f t="shared" si="51"/>
        <v>172</v>
      </c>
      <c r="R262" s="19">
        <f t="shared" si="51"/>
        <v>187</v>
      </c>
      <c r="S262" s="19">
        <f t="shared" si="51"/>
        <v>188</v>
      </c>
      <c r="T262" s="19">
        <f t="shared" si="51"/>
        <v>190</v>
      </c>
      <c r="U262" s="19">
        <f t="shared" si="51"/>
        <v>181</v>
      </c>
      <c r="V262" s="19">
        <f t="shared" si="51"/>
        <v>159</v>
      </c>
      <c r="W262" s="19">
        <f t="shared" si="51"/>
        <v>172</v>
      </c>
      <c r="X262" s="19">
        <f t="shared" si="51"/>
        <v>184</v>
      </c>
      <c r="Y262" s="19">
        <f t="shared" si="51"/>
        <v>180</v>
      </c>
      <c r="Z262" s="19">
        <f t="shared" si="51"/>
        <v>103</v>
      </c>
      <c r="AA262" s="19">
        <f t="shared" si="51"/>
        <v>170</v>
      </c>
      <c r="AB262" s="19">
        <f t="shared" si="51"/>
        <v>189</v>
      </c>
      <c r="AC262" s="19">
        <f t="shared" si="51"/>
        <v>208</v>
      </c>
      <c r="AD262" s="19">
        <f t="shared" si="51"/>
        <v>191</v>
      </c>
      <c r="AE262" s="19">
        <f t="shared" si="51"/>
        <v>176</v>
      </c>
      <c r="AF262" s="19">
        <f t="shared" si="51"/>
        <v>215</v>
      </c>
      <c r="AG262" s="19">
        <f t="shared" si="51"/>
        <v>161</v>
      </c>
      <c r="AH262" s="19">
        <f t="shared" si="51"/>
        <v>167</v>
      </c>
      <c r="AI262" s="19">
        <f t="shared" si="51"/>
        <v>180</v>
      </c>
      <c r="AJ262" s="19">
        <f t="shared" si="51"/>
        <v>206</v>
      </c>
      <c r="AK262" s="19">
        <f t="shared" si="51"/>
        <v>196</v>
      </c>
      <c r="AL262" s="19">
        <f t="shared" si="51"/>
        <v>181</v>
      </c>
      <c r="AM262" s="13">
        <f t="shared" ref="AM262:AM264" si="52">SUM(E262:AL262)</f>
        <v>6044</v>
      </c>
    </row>
    <row r="263" ht="12.75" customHeight="1">
      <c r="A263" s="35"/>
      <c r="B263" s="70" t="s">
        <v>194</v>
      </c>
      <c r="C263" s="71" t="s">
        <v>195</v>
      </c>
      <c r="D263" s="16"/>
      <c r="E263" s="19">
        <v>19.0</v>
      </c>
      <c r="F263" s="19">
        <v>32.0</v>
      </c>
      <c r="G263" s="19">
        <v>18.0</v>
      </c>
      <c r="H263" s="19">
        <v>23.0</v>
      </c>
      <c r="I263" s="19">
        <v>31.0</v>
      </c>
      <c r="J263" s="19">
        <v>21.0</v>
      </c>
      <c r="K263" s="19">
        <v>23.0</v>
      </c>
      <c r="L263" s="19">
        <v>28.0</v>
      </c>
      <c r="M263" s="19">
        <v>17.0</v>
      </c>
      <c r="N263" s="19">
        <v>42.0</v>
      </c>
      <c r="O263" s="19">
        <v>21.0</v>
      </c>
      <c r="P263" s="19">
        <v>40.0</v>
      </c>
      <c r="Q263" s="19">
        <v>41.0</v>
      </c>
      <c r="R263" s="19">
        <v>13.0</v>
      </c>
      <c r="S263" s="19">
        <v>14.0</v>
      </c>
      <c r="T263" s="19">
        <v>27.0</v>
      </c>
      <c r="U263" s="19">
        <v>32.0</v>
      </c>
      <c r="V263" s="19">
        <v>41.0</v>
      </c>
      <c r="W263" s="19">
        <v>15.0</v>
      </c>
      <c r="X263" s="19">
        <v>24.0</v>
      </c>
      <c r="Y263" s="19">
        <v>42.0</v>
      </c>
      <c r="Z263" s="19">
        <v>11.0</v>
      </c>
      <c r="AA263" s="19">
        <v>45.0</v>
      </c>
      <c r="AB263" s="19">
        <v>16.0</v>
      </c>
      <c r="AC263" s="19">
        <v>23.0</v>
      </c>
      <c r="AD263" s="19">
        <v>28.0</v>
      </c>
      <c r="AE263" s="19">
        <v>40.0</v>
      </c>
      <c r="AF263" s="19">
        <v>25.0</v>
      </c>
      <c r="AG263" s="19">
        <v>24.0</v>
      </c>
      <c r="AH263" s="19">
        <v>15.0</v>
      </c>
      <c r="AI263" s="19">
        <v>17.0</v>
      </c>
      <c r="AJ263" s="19">
        <v>16.0</v>
      </c>
      <c r="AK263" s="19">
        <v>13.0</v>
      </c>
      <c r="AL263" s="19">
        <v>18.0</v>
      </c>
      <c r="AM263" s="13">
        <f t="shared" si="52"/>
        <v>855</v>
      </c>
    </row>
    <row r="264" ht="12.75" customHeight="1">
      <c r="A264" s="41"/>
      <c r="B264" s="70" t="s">
        <v>196</v>
      </c>
      <c r="C264" s="71" t="s">
        <v>197</v>
      </c>
      <c r="D264" s="16"/>
      <c r="E264" s="13">
        <f t="shared" ref="E264:AL264" si="53">SUM(E262:E263)</f>
        <v>195</v>
      </c>
      <c r="F264" s="13">
        <f t="shared" si="53"/>
        <v>213</v>
      </c>
      <c r="G264" s="13">
        <f t="shared" si="53"/>
        <v>178</v>
      </c>
      <c r="H264" s="13">
        <f t="shared" si="53"/>
        <v>193</v>
      </c>
      <c r="I264" s="13">
        <f t="shared" si="53"/>
        <v>219</v>
      </c>
      <c r="J264" s="13">
        <f t="shared" si="53"/>
        <v>182</v>
      </c>
      <c r="K264" s="13">
        <f t="shared" si="53"/>
        <v>204</v>
      </c>
      <c r="L264" s="13">
        <f t="shared" si="53"/>
        <v>193</v>
      </c>
      <c r="M264" s="13">
        <f t="shared" si="53"/>
        <v>209</v>
      </c>
      <c r="N264" s="13">
        <f t="shared" si="53"/>
        <v>221</v>
      </c>
      <c r="O264" s="13">
        <f t="shared" si="53"/>
        <v>198</v>
      </c>
      <c r="P264" s="13">
        <f t="shared" si="53"/>
        <v>198</v>
      </c>
      <c r="Q264" s="13">
        <f t="shared" si="53"/>
        <v>213</v>
      </c>
      <c r="R264" s="13">
        <f t="shared" si="53"/>
        <v>200</v>
      </c>
      <c r="S264" s="13">
        <f t="shared" si="53"/>
        <v>202</v>
      </c>
      <c r="T264" s="13">
        <f t="shared" si="53"/>
        <v>217</v>
      </c>
      <c r="U264" s="13">
        <f t="shared" si="53"/>
        <v>213</v>
      </c>
      <c r="V264" s="13">
        <f t="shared" si="53"/>
        <v>200</v>
      </c>
      <c r="W264" s="13">
        <f t="shared" si="53"/>
        <v>187</v>
      </c>
      <c r="X264" s="13">
        <f t="shared" si="53"/>
        <v>208</v>
      </c>
      <c r="Y264" s="13">
        <f t="shared" si="53"/>
        <v>222</v>
      </c>
      <c r="Z264" s="13">
        <f t="shared" si="53"/>
        <v>114</v>
      </c>
      <c r="AA264" s="13">
        <f t="shared" si="53"/>
        <v>215</v>
      </c>
      <c r="AB264" s="13">
        <f t="shared" si="53"/>
        <v>205</v>
      </c>
      <c r="AC264" s="13">
        <f t="shared" si="53"/>
        <v>231</v>
      </c>
      <c r="AD264" s="13">
        <f t="shared" si="53"/>
        <v>219</v>
      </c>
      <c r="AE264" s="13">
        <f t="shared" si="53"/>
        <v>216</v>
      </c>
      <c r="AF264" s="13">
        <f t="shared" si="53"/>
        <v>240</v>
      </c>
      <c r="AG264" s="13">
        <f t="shared" si="53"/>
        <v>185</v>
      </c>
      <c r="AH264" s="13">
        <f t="shared" si="53"/>
        <v>182</v>
      </c>
      <c r="AI264" s="13">
        <f t="shared" si="53"/>
        <v>197</v>
      </c>
      <c r="AJ264" s="13">
        <f t="shared" si="53"/>
        <v>222</v>
      </c>
      <c r="AK264" s="13">
        <f t="shared" si="53"/>
        <v>209</v>
      </c>
      <c r="AL264" s="13">
        <f t="shared" si="53"/>
        <v>199</v>
      </c>
      <c r="AM264" s="13">
        <f t="shared" si="52"/>
        <v>6899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L12"/>
    <mergeCell ref="AM12:A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V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V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AL15">
    <cfRule type="containsBlanks" dxfId="1" priority="1">
      <formula>LEN(TRIM(E14))=0</formula>
    </cfRule>
  </conditionalFormatting>
  <conditionalFormatting sqref="E19:AL20">
    <cfRule type="containsBlanks" dxfId="1" priority="2">
      <formula>LEN(TRIM(E19))=0</formula>
    </cfRule>
  </conditionalFormatting>
  <conditionalFormatting sqref="E22:AL23 E25:AL26 E33:AL33 E35:AL35 E39:AL40">
    <cfRule type="containsBlanks" dxfId="1" priority="3">
      <formula>LEN(TRIM(E22))=0</formula>
    </cfRule>
  </conditionalFormatting>
  <conditionalFormatting sqref="E30:AL30">
    <cfRule type="expression" dxfId="0" priority="4">
      <formula>E30&lt;&gt;E47</formula>
    </cfRule>
  </conditionalFormatting>
  <conditionalFormatting sqref="E30:AL30">
    <cfRule type="expression" dxfId="0" priority="5">
      <formula>E30&lt;&gt;E34</formula>
    </cfRule>
  </conditionalFormatting>
  <conditionalFormatting sqref="E34:AL34">
    <cfRule type="expression" dxfId="2" priority="6">
      <formula>E30&lt;&gt;E34</formula>
    </cfRule>
  </conditionalFormatting>
  <conditionalFormatting sqref="E34:AL34">
    <cfRule type="expression" dxfId="3" priority="7">
      <formula>E30=E34</formula>
    </cfRule>
  </conditionalFormatting>
  <conditionalFormatting sqref="E34:AL34">
    <cfRule type="expression" dxfId="0" priority="8">
      <formula>E34&lt;&gt;E30</formula>
    </cfRule>
  </conditionalFormatting>
  <conditionalFormatting sqref="E34:AL34">
    <cfRule type="expression" dxfId="0" priority="9">
      <formula>E34&lt;&gt;E64</formula>
    </cfRule>
  </conditionalFormatting>
  <conditionalFormatting sqref="E45:AL54">
    <cfRule type="containsBlanks" dxfId="1" priority="10">
      <formula>LEN(TRIM(E45))=0</formula>
    </cfRule>
  </conditionalFormatting>
  <conditionalFormatting sqref="E57:AL66">
    <cfRule type="containsBlanks" dxfId="1" priority="11">
      <formula>LEN(TRIM(E57))=0</formula>
    </cfRule>
  </conditionalFormatting>
  <conditionalFormatting sqref="E69:AL78">
    <cfRule type="containsBlanks" dxfId="1" priority="12">
      <formula>LEN(TRIM(E69))=0</formula>
    </cfRule>
  </conditionalFormatting>
  <conditionalFormatting sqref="E81:AL90">
    <cfRule type="containsBlanks" dxfId="1" priority="13">
      <formula>LEN(TRIM(E81))=0</formula>
    </cfRule>
  </conditionalFormatting>
  <conditionalFormatting sqref="E93:AL102">
    <cfRule type="containsBlanks" dxfId="1" priority="14">
      <formula>LEN(TRIM(E93))=0</formula>
    </cfRule>
  </conditionalFormatting>
  <conditionalFormatting sqref="E105:AL114">
    <cfRule type="containsBlanks" dxfId="1" priority="15">
      <formula>LEN(TRIM(E105))=0</formula>
    </cfRule>
  </conditionalFormatting>
  <conditionalFormatting sqref="E117:AL126">
    <cfRule type="containsBlanks" dxfId="1" priority="16">
      <formula>LEN(TRIM(E117))=0</formula>
    </cfRule>
  </conditionalFormatting>
  <conditionalFormatting sqref="E129:AL138">
    <cfRule type="containsBlanks" dxfId="1" priority="17">
      <formula>LEN(TRIM(E129))=0</formula>
    </cfRule>
  </conditionalFormatting>
  <conditionalFormatting sqref="E141:AL150">
    <cfRule type="containsBlanks" dxfId="1" priority="18">
      <formula>LEN(TRIM(E141))=0</formula>
    </cfRule>
  </conditionalFormatting>
  <conditionalFormatting sqref="E153:AL162">
    <cfRule type="containsBlanks" dxfId="1" priority="19">
      <formula>LEN(TRIM(E153))=0</formula>
    </cfRule>
  </conditionalFormatting>
  <conditionalFormatting sqref="E165:AL174">
    <cfRule type="containsBlanks" dxfId="1" priority="20">
      <formula>LEN(TRIM(E165))=0</formula>
    </cfRule>
  </conditionalFormatting>
  <conditionalFormatting sqref="E177:AL186">
    <cfRule type="containsBlanks" dxfId="1" priority="21">
      <formula>LEN(TRIM(E177))=0</formula>
    </cfRule>
  </conditionalFormatting>
  <conditionalFormatting sqref="E189:AL198">
    <cfRule type="containsBlanks" dxfId="1" priority="22">
      <formula>LEN(TRIM(E189))=0</formula>
    </cfRule>
  </conditionalFormatting>
  <conditionalFormatting sqref="E201:AL210">
    <cfRule type="containsBlanks" dxfId="1" priority="23">
      <formula>LEN(TRIM(E201))=0</formula>
    </cfRule>
  </conditionalFormatting>
  <conditionalFormatting sqref="E213:AL222">
    <cfRule type="containsBlanks" dxfId="1" priority="24">
      <formula>LEN(TRIM(E213))=0</formula>
    </cfRule>
  </conditionalFormatting>
  <conditionalFormatting sqref="E225:AL234">
    <cfRule type="containsBlanks" dxfId="1" priority="25">
      <formula>LEN(TRIM(E225))=0</formula>
    </cfRule>
  </conditionalFormatting>
  <conditionalFormatting sqref="E237:AL246">
    <cfRule type="containsBlanks" dxfId="1" priority="26">
      <formula>LEN(TRIM(E237))=0</formula>
    </cfRule>
  </conditionalFormatting>
  <conditionalFormatting sqref="E249:AL258">
    <cfRule type="containsBlanks" dxfId="1" priority="27">
      <formula>LEN(TRIM(E249))=0</formula>
    </cfRule>
  </conditionalFormatting>
  <conditionalFormatting sqref="E262:AL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