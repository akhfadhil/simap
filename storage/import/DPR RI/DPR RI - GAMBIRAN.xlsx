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R RI" sheetId="1" r:id="rId4"/>
    <sheet state="visible" name="GAMBIRAN" sheetId="2" r:id="rId5"/>
    <sheet state="visible" name="JAJAG" sheetId="3" r:id="rId6"/>
    <sheet state="visible" name="PURWODADI" sheetId="4" r:id="rId7"/>
    <sheet state="visible" name="WRINGINAGUNG" sheetId="5" r:id="rId8"/>
    <sheet state="visible" name="WRINGINREJO" sheetId="6" r:id="rId9"/>
    <sheet state="visible" name="YOSOMULYO" sheetId="7" r:id="rId10"/>
  </sheets>
  <definedNames/>
  <calcPr/>
  <extLst>
    <ext uri="GoogleSheetsCustomDataVersion2">
      <go:sheetsCustomData xmlns:go="http://customooxmlschemas.google.com/" r:id="rId11" roundtripDataChecksum="RCV1NjlHnu9zAzhdeve2pooqOzwEODf1l/xXDEUah8c="/>
    </ext>
  </extLst>
</workbook>
</file>

<file path=xl/sharedStrings.xml><?xml version="1.0" encoding="utf-8"?>
<sst xmlns="http://schemas.openxmlformats.org/spreadsheetml/2006/main" count="2211" uniqueCount="252">
  <si>
    <t>Kecamatan</t>
  </si>
  <si>
    <t>GAMBIRAN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</si>
  <si>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</si>
  <si>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</si>
  <si>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</si>
  <si>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</si>
  <si>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</si>
  <si>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</si>
  <si>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</si>
  <si>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</si>
  <si>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</si>
  <si>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</si>
  <si>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</si>
  <si>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</si>
  <si>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</si>
  <si>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</si>
  <si>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</si>
  <si>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</si>
  <si>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</si>
  <si>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</si>
  <si>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</si>
  <si>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</si>
  <si>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</si>
  <si>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</si>
  <si>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</si>
  <si>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</si>
  <si>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</si>
  <si>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</si>
  <si>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</si>
  <si>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</si>
  <si>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</si>
  <si>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</si>
  <si>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</si>
  <si>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</si>
  <si>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</si>
  <si>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</si>
  <si>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</si>
  <si>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</si>
  <si>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</si>
  <si>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</si>
  <si>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Dr. Hj. NIHAYATUL WAFIROH, M.A.</t>
  </si>
  <si>
    <t>2. H. M. NASIM KHAN</t>
  </si>
  <si>
    <t>3. Dr. H. AKIK ZAMAN, M.Pd.I.</t>
  </si>
  <si>
    <t>4. AHMAD RIFA'I, S.H.</t>
  </si>
  <si>
    <t>5. Drs. H. MAHFUD M.N.</t>
  </si>
  <si>
    <t>6. NURHAYATI, S.Pd.</t>
  </si>
  <si>
    <t>7. MAFTUHA KISWAH</t>
  </si>
  <si>
    <t>JUMLAH SUARA SAH PARTAI POLITIK DAN CALON (A1 + A2)</t>
  </si>
  <si>
    <t>Partai Gerakan Indonesia Raya</t>
  </si>
  <si>
    <t>1. SUMAIL ABDULLAH</t>
  </si>
  <si>
    <t>2. MUHAMMAD ALI ADRIAN SALEH</t>
  </si>
  <si>
    <t>3. DURROTUN NAFISAH</t>
  </si>
  <si>
    <t>4. H. EKO SUSILO NURHIDAYAT</t>
  </si>
  <si>
    <t>5. KARNADI HARIJANTO, S.S.</t>
  </si>
  <si>
    <t>6. NURHAYATI</t>
  </si>
  <si>
    <t>7. MASHUDI</t>
  </si>
  <si>
    <t>Partai Demokrasi Indonesia Perjuangan</t>
  </si>
  <si>
    <t>1. SONNY TRI DANAPARAMITA, S.H., M.H.</t>
  </si>
  <si>
    <t>2. H. MOHAMAD GUNTUR ROMLI</t>
  </si>
  <si>
    <t>3. INA AMMANIA</t>
  </si>
  <si>
    <t>4. IRWAN BACHTIAR RACHMAT, M.Si.</t>
  </si>
  <si>
    <t>5. LUCKY PERDANA</t>
  </si>
  <si>
    <t>6. WIWIK PUJIYATI</t>
  </si>
  <si>
    <t>7. CHANDRA ASTAN, S.T.</t>
  </si>
  <si>
    <t>Partai Golongan Karya</t>
  </si>
  <si>
    <t>1. ZULFIKAR ARSE SADIKIN, S.I.P., M.Si.</t>
  </si>
  <si>
    <t>2. HANDOKO</t>
  </si>
  <si>
    <t>3. Hj. OVI DEWI YANTI</t>
  </si>
  <si>
    <t>4. Ir. AZAM AZMAN NATAWIJANA</t>
  </si>
  <si>
    <t>5. UBAIDILLAH AMIN, S.Kom.</t>
  </si>
  <si>
    <t>6. DENNY YUNIANDARI, S.H., M.Kn.</t>
  </si>
  <si>
    <t>7. ERNADI, S.H.I.</t>
  </si>
  <si>
    <t>5.</t>
  </si>
  <si>
    <t>Partai NasDem</t>
  </si>
  <si>
    <t>1. ACH. FADIL MUZAKKI SYAH</t>
  </si>
  <si>
    <t>2. BENY</t>
  </si>
  <si>
    <t>3. VINA VERONIKA</t>
  </si>
  <si>
    <t>4. TEDDY ANUGRIANTO</t>
  </si>
  <si>
    <t>5. INSAN KAMIL</t>
  </si>
  <si>
    <t>6. LILIK LINDARWATI</t>
  </si>
  <si>
    <t>7. YULI ANITA</t>
  </si>
  <si>
    <t>6.</t>
  </si>
  <si>
    <t>Partai Buruh</t>
  </si>
  <si>
    <t>1. KHOIRUL ANAM</t>
  </si>
  <si>
    <t>2. INA KURNIA</t>
  </si>
  <si>
    <t>3. JIBRAL TAROUK</t>
  </si>
  <si>
    <t>4. ASTUTI DAENG PUJI</t>
  </si>
  <si>
    <t>5. ASDARMAWAN</t>
  </si>
  <si>
    <t>6. RIFQI MUBAROK</t>
  </si>
  <si>
    <t>7. FIRNANDA ALTA MEGA</t>
  </si>
  <si>
    <t>7.</t>
  </si>
  <si>
    <t>Partai Gelombang Rakyat Indonesia</t>
  </si>
  <si>
    <t>1. TITI WIDORETNO WARISMAN</t>
  </si>
  <si>
    <t>2. MAMIEK SETYANINGSIH</t>
  </si>
  <si>
    <t>3. ROMIL AZIZEN</t>
  </si>
  <si>
    <t>8.</t>
  </si>
  <si>
    <t>Partai Keadilan Sejahtera</t>
  </si>
  <si>
    <t>1. H. SAIMI SALEH, S.E., M.M.</t>
  </si>
  <si>
    <t>2. Prof. Dr. H. EGGI SUDJANA, S.H., M.Si.</t>
  </si>
  <si>
    <t>3. NURUL KHOTIMAH</t>
  </si>
  <si>
    <t>4. AKHMAD SUYANTO, S.T., M.T.</t>
  </si>
  <si>
    <t>5. PUJIYATNI</t>
  </si>
  <si>
    <t>6. HENI PURWATININGSIH</t>
  </si>
  <si>
    <t>7. MUHADI</t>
  </si>
  <si>
    <t>9.</t>
  </si>
  <si>
    <t>Partai Kebangkitan Nusantara</t>
  </si>
  <si>
    <t>1. ARIEF PRIHARDONO DARMAWAN</t>
  </si>
  <si>
    <t>2. MUSLIMIN</t>
  </si>
  <si>
    <t>3. ANDARINI RIEKE LESTINA H.</t>
  </si>
  <si>
    <t>4. CHARLES ADIKURNIA NARA HIDA</t>
  </si>
  <si>
    <t>5. FARADILLA ZAEINATH KALAKE</t>
  </si>
  <si>
    <t>6. TONY</t>
  </si>
  <si>
    <t>7. ADOLFRIN YUNIARTO KALA</t>
  </si>
  <si>
    <t>10.</t>
  </si>
  <si>
    <t>Partai Hati Nurani Rakyat</t>
  </si>
  <si>
    <t>1. Ir. H. A. BAMBANG IRIANTO</t>
  </si>
  <si>
    <t>2. EKO SUWARNO</t>
  </si>
  <si>
    <t>3. Dra. MIRTHA LISTIAYU ETTY TEDJA ADIYANTI</t>
  </si>
  <si>
    <t>4. SITI SOLIKHA</t>
  </si>
  <si>
    <t>11.</t>
  </si>
  <si>
    <t>Partai Garda Republik Indonesia</t>
  </si>
  <si>
    <t>1. TAUFIKUR RAHMAN, S.Kom.</t>
  </si>
  <si>
    <t>2. ELIN CHAERNURELINAH</t>
  </si>
  <si>
    <t>3. ARI NUROHMAN</t>
  </si>
  <si>
    <t>4. SAEFUL BAHRI</t>
  </si>
  <si>
    <t>5. NINDA HERAWATI</t>
  </si>
  <si>
    <t>6. UJANG IHWANUDIN</t>
  </si>
  <si>
    <t>7. MUHAMMAD ABDUL ROHMAN</t>
  </si>
  <si>
    <t>12.</t>
  </si>
  <si>
    <t>Partai Amanat Nasional</t>
  </si>
  <si>
    <t>1. Dr. ACH. RUBAIE, S.H., M.H.</t>
  </si>
  <si>
    <t>2. Brigjen. TNI (Purn.) SYUKRAN HAMBALI, S.H.</t>
  </si>
  <si>
    <t>3. Dra. Hj. MUSFIROH S BADRIE, M.Si.</t>
  </si>
  <si>
    <t>4. SITI ZULEHA</t>
  </si>
  <si>
    <t>5. GHOZI ZAINUDDIN, S.Ag.</t>
  </si>
  <si>
    <t>6. MUHAMMAD</t>
  </si>
  <si>
    <t>7. Drs. H. IMAM NGAQOIB, M.H.</t>
  </si>
  <si>
    <t>13.</t>
  </si>
  <si>
    <t>Partai Bulan Bintang</t>
  </si>
  <si>
    <t>1. MOHAMAD AFIFFILAH SAID</t>
  </si>
  <si>
    <t>2. AHMAD LUTFIANTO</t>
  </si>
  <si>
    <t>3. RUFINA LAILY KURNIATI</t>
  </si>
  <si>
    <t>4. WIWIK WAHYUNI, S.T.</t>
  </si>
  <si>
    <t>5. MAHFUD</t>
  </si>
  <si>
    <t>6. MARYAM CHOIRUN NISA</t>
  </si>
  <si>
    <t>7. ABU HASAN</t>
  </si>
  <si>
    <t>14.</t>
  </si>
  <si>
    <t>Partai Demokrat</t>
  </si>
  <si>
    <t>1. Dina Lorenza Audria</t>
  </si>
  <si>
    <t>2. Bobby B. Batubara, S.T., M.B.A.</t>
  </si>
  <si>
    <t>3. YUYON ALI FAHMI</t>
  </si>
  <si>
    <t>4. Mirda Rasyid, S.E., M.M.</t>
  </si>
  <si>
    <t>5. FAKHRI MUHAMMAD NOVENDRA</t>
  </si>
  <si>
    <t>6. Papang Sapari</t>
  </si>
  <si>
    <t>7. RIFKY MIFTAHUL ACHMAD</t>
  </si>
  <si>
    <t>15.</t>
  </si>
  <si>
    <t>Partai Solidaritas Indonesia</t>
  </si>
  <si>
    <t>1. IKHWAN ARIEF, S.H.I.</t>
  </si>
  <si>
    <t>2. ABDUL GHONI</t>
  </si>
  <si>
    <t>3. RAHAYU</t>
  </si>
  <si>
    <t>4. Muchamat Zainal Muzani</t>
  </si>
  <si>
    <t>5. WAHYU RAMADHAN</t>
  </si>
  <si>
    <t>6. ULFIA CAHAYANI</t>
  </si>
  <si>
    <t>7. YULIA SAFITRI</t>
  </si>
  <si>
    <t>16.</t>
  </si>
  <si>
    <t>PARTAI PERINDO</t>
  </si>
  <si>
    <t>1. ALFEN FAFIRLY, S.T.</t>
  </si>
  <si>
    <t>2. MOH. SUKRI</t>
  </si>
  <si>
    <t>3. ERFINA</t>
  </si>
  <si>
    <t>4. BEBY FAUZIANA</t>
  </si>
  <si>
    <t>5. GURITNO HIMANTORO. S.T.P., M.Si.</t>
  </si>
  <si>
    <t>6. HABSARI SUKMAYANTI</t>
  </si>
  <si>
    <t>7. EMILIA CONTESSA</t>
  </si>
  <si>
    <t>17.</t>
  </si>
  <si>
    <t>Partai Persatuan Pembangunan</t>
  </si>
  <si>
    <t>1. NORMAN ZEIN NAHDI, S.E.</t>
  </si>
  <si>
    <t>2. BASIR, S.Ag.</t>
  </si>
  <si>
    <t>3. NUR AZIZAH</t>
  </si>
  <si>
    <t>4. H. MOCH. MAHFUDH</t>
  </si>
  <si>
    <t>5. DWI SETYO EFENDI</t>
  </si>
  <si>
    <t>6. LULUK AVIYA</t>
  </si>
  <si>
    <t>7. SY. ANAS THAHIR</t>
  </si>
  <si>
    <t>18.</t>
  </si>
  <si>
    <t>Partai Ummat</t>
  </si>
  <si>
    <t>1. Ir. H. ABDUL RASYID</t>
  </si>
  <si>
    <t>2. NUR AINI, S.T.P.</t>
  </si>
  <si>
    <t>3. ERFIN SOFIA ASTUTI, S.Pd.</t>
  </si>
  <si>
    <t>4. SARIYANTO</t>
  </si>
  <si>
    <t>5. PURNOMO</t>
  </si>
  <si>
    <t>6. TRI SETYORINI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</si>
  <si>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</si>
  <si>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</si>
  <si>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</si>
  <si>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</si>
  <si>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</si>
  <si>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</si>
  <si>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</si>
  <si>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</si>
  <si>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</si>
  <si>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</si>
  <si>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</si>
  <si>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</si>
  <si>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</si>
  <si>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</si>
  <si>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</si>
  <si>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</si>
  <si>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</si>
  <si>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</si>
  <si>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</si>
  <si>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</si>
  <si>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</si>
  <si>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</si>
  <si>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</si>
  <si>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</si>
  <si>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</si>
  <si>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</si>
  <si>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</si>
  <si>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</si>
  <si>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</si>
  <si>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</si>
  <si>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</si>
  <si>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</si>
  <si>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</si>
  <si>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</si>
  <si>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</si>
  <si>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</si>
  <si>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</si>
  <si>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</si>
  <si>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</si>
  <si>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</si>
  <si>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</si>
  <si>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</si>
  <si>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</si>
  <si>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</si>
  <si>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</si>
  <si>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</si>
  <si>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</si>
  <si>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</si>
  <si>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</si>
  <si>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</si>
  <si>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</si>
  <si>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</si>
  <si>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</si>
  <si>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</si>
  <si>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TPS 046</t>
  </si>
  <si>
    <t>JAJAG</t>
  </si>
  <si>
    <t>TPS 047</t>
  </si>
  <si>
    <t>TPS 048</t>
  </si>
  <si>
    <t>PURWODADI</t>
  </si>
  <si>
    <t>WRINGINAGUNG</t>
  </si>
  <si>
    <t>WRINGINREJO</t>
  </si>
  <si>
    <t>YOSOMULYO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</si>
</sst>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color theme="1"/>
      <name val="Calibri"/>
      <scheme val="minor"/>
    </font>
    <font>
      <b/>
      <sz val="10.0"/>
      <color rgb="FF000000"/>
      <name val="Bookman Old Style"/>
    </font>
    <font>
      <sz val="10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rgb="FF00B050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3" fillId="0" fontId="1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7" numFmtId="0" xfId="0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3" fillId="0" fontId="2" numFmtId="0" xfId="0" applyBorder="1" applyFont="1"/>
    <xf borderId="11" fillId="0" fontId="8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19" fillId="3" fontId="3" numFmtId="0" xfId="0" applyAlignment="1" applyBorder="1" applyFill="1" applyFont="1">
      <alignment horizontal="center" shrinkToFit="0" vertical="center" wrapText="1"/>
    </xf>
    <xf borderId="20" fillId="3" fontId="3" numFmtId="0" xfId="0" applyAlignment="1" applyBorder="1" applyFont="1">
      <alignment shrinkToFit="0" vertical="center" wrapText="1"/>
    </xf>
    <xf borderId="21" fillId="3" fontId="3" numFmtId="0" xfId="0" applyAlignment="1" applyBorder="1" applyFont="1">
      <alignment shrinkToFit="0" vertical="center" wrapText="1"/>
    </xf>
    <xf borderId="21" fillId="3" fontId="2" numFmtId="0" xfId="0" applyBorder="1" applyFont="1"/>
    <xf borderId="20" fillId="2" fontId="3" numFmtId="0" xfId="0" applyAlignment="1" applyBorder="1" applyFont="1">
      <alignment horizontal="center" vertical="center"/>
    </xf>
    <xf borderId="17" fillId="3" fontId="6" numFmtId="0" xfId="0" applyAlignment="1" applyBorder="1" applyFont="1">
      <alignment horizontal="left" shrinkToFit="0" vertical="top" wrapText="1"/>
    </xf>
    <xf borderId="1" fillId="0" fontId="9" numFmtId="0" xfId="0" applyBorder="1" applyFont="1"/>
    <xf borderId="1" fillId="4" fontId="1" numFmtId="0" xfId="0" applyAlignment="1" applyBorder="1" applyFill="1" applyFont="1">
      <alignment horizontal="center" vertical="center"/>
    </xf>
    <xf borderId="1" fillId="3" fontId="1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GAMBIRAN!AY14+JAJAG!BA14+PURWODADI!AC14+WRINGINAGUNG!AB14+WRINGINREJO!X14+YOSOMULYO!AP14</f>
        <v>25710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GAMBIRAN!AY15+JAJAG!BA15+PURWODADI!AC15+WRINGINAGUNG!AB15+WRINGINREJO!X15+YOSOMULYO!AP15</f>
        <v>26323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52033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GAMBIRAN!AY19+JAJAG!BA19+PURWODADI!AC19+WRINGINAGUNG!AB19+WRINGINREJO!X19+YOSOMULYO!AP19</f>
        <v>19014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GAMBIRAN!AY20+JAJAG!BA20+PURWODADI!AC20+WRINGINAGUNG!AB20+WRINGINREJO!X20+YOSOMULYO!AP20</f>
        <v>20748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39762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GAMBIRAN!AY22+JAJAG!BA22+PURWODADI!AC22+WRINGINAGUNG!AB22+WRINGINREJO!X22+YOSOMULYO!AP22</f>
        <v>28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GAMBIRAN!AY23+JAJAG!BA23+PURWODADI!AC23+WRINGINAGUNG!AB23+WRINGINREJO!X23+YOSOMULYO!AP23</f>
        <v>24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52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GAMBIRAN!AY25+JAJAG!BA25+PURWODADI!AC25+WRINGINAGUNG!AB25+WRINGINREJO!X25+YOSOMULYO!AP25</f>
        <v>200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GAMBIRAN!AY26+JAJAG!BA26+PURWODADI!AC26+WRINGINAGUNG!AB26+WRINGINREJO!X26+YOSOMULYO!AP26</f>
        <v>230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430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19242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21002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40244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GAMBIRAN!AY33+JAJAG!BA33+PURWODADI!AC33+WRINGINAGUNG!AB33+WRINGINREJO!X33+YOSOMULYO!AP33</f>
        <v>53221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GAMBIRAN!AY34+JAJAG!BA34+PURWODADI!AC34+WRINGINAGUNG!AB34+WRINGINREJO!X34+YOSOMULYO!AP34</f>
        <v>40244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GAMBIRAN!AY35+JAJAG!BA35+PURWODADI!AC35+WRINGINAGUNG!AB35+WRINGINREJO!X35+YOSOMULYO!AP35</f>
        <v>72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12905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GAMBIRAN!AY39+JAJAG!BA39+PURWODADI!AC39+WRINGINAGUNG!AB39+WRINGINREJO!X39+YOSOMULYO!AP39</f>
        <v>35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GAMBIRAN!AY40+JAJAG!BA40+PURWODADI!AC40+WRINGINAGUNG!AB40+WRINGINREJO!X40+YOSOMULYO!AP40</f>
        <v>43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78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GAMBIRAN!AY45+JAJAG!BA45+PURWODADI!AC45+WRINGINAGUNG!AB45+WRINGINREJO!X45+YOSOMULYO!AP45</f>
        <v>1123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>
        <v>1.0</v>
      </c>
      <c r="C46" s="50" t="s">
        <v>40</v>
      </c>
      <c r="D46" s="16"/>
      <c r="E46" s="24">
        <f>GAMBIRAN!AY46+JAJAG!BA46+PURWODADI!AC46+WRINGINAGUNG!AB46+WRINGINREJO!X46+YOSOMULYO!AP46</f>
        <v>3216</v>
      </c>
      <c r="F46" s="51"/>
      <c r="G46" s="52"/>
      <c r="H46" s="52"/>
      <c r="I46" s="52"/>
      <c r="J46" s="52"/>
      <c r="K46" s="52"/>
      <c r="L46" s="52"/>
      <c r="M46" s="52"/>
      <c r="N46" s="52"/>
      <c r="O46" s="52"/>
      <c r="P46" s="53"/>
      <c r="Q46" s="3"/>
      <c r="R46" s="3"/>
      <c r="S46" s="3"/>
      <c r="T46" s="3"/>
      <c r="U46" s="3"/>
      <c r="V46" s="3"/>
      <c r="W46" s="54"/>
      <c r="X46" s="3"/>
      <c r="Y46" s="3"/>
      <c r="Z46" s="3"/>
    </row>
    <row r="47" ht="15.75" customHeight="1">
      <c r="A47" s="18"/>
      <c r="B47" s="55">
        <v>2.0</v>
      </c>
      <c r="C47" s="50" t="s">
        <v>41</v>
      </c>
      <c r="D47" s="16"/>
      <c r="E47" s="24">
        <f>GAMBIRAN!AY47+JAJAG!BA47+PURWODADI!AC47+WRINGINAGUNG!AB47+WRINGINREJO!X47+YOSOMULYO!AP47</f>
        <v>228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5">
        <v>3.0</v>
      </c>
      <c r="C48" s="50" t="s">
        <v>42</v>
      </c>
      <c r="D48" s="16"/>
      <c r="E48" s="24">
        <f>GAMBIRAN!AY48+JAJAG!BA48+PURWODADI!AC48+WRINGINAGUNG!AB48+WRINGINREJO!X48+YOSOMULYO!AP48</f>
        <v>154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5">
        <v>4.0</v>
      </c>
      <c r="C49" s="50" t="s">
        <v>43</v>
      </c>
      <c r="D49" s="16"/>
      <c r="E49" s="24">
        <f>GAMBIRAN!AY49+JAJAG!BA49+PURWODADI!AC49+WRINGINAGUNG!AB49+WRINGINREJO!X49+YOSOMULYO!AP49</f>
        <v>227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5">
        <v>5.0</v>
      </c>
      <c r="C50" s="50" t="s">
        <v>44</v>
      </c>
      <c r="D50" s="16"/>
      <c r="E50" s="24">
        <f>GAMBIRAN!AY50+JAJAG!BA50+PURWODADI!AC50+WRINGINAGUNG!AB50+WRINGINREJO!X50+YOSOMULYO!AP50</f>
        <v>87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5">
        <v>6.0</v>
      </c>
      <c r="C51" s="50" t="s">
        <v>45</v>
      </c>
      <c r="D51" s="16"/>
      <c r="E51" s="24">
        <f>GAMBIRAN!AY51+JAJAG!BA51+PURWODADI!AC51+WRINGINAGUNG!AB51+WRINGINREJO!X51+YOSOMULYO!AP51</f>
        <v>148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5">
        <v>7.0</v>
      </c>
      <c r="C52" s="50" t="s">
        <v>46</v>
      </c>
      <c r="D52" s="16"/>
      <c r="E52" s="24">
        <f>GAMBIRAN!AY52+JAJAG!BA52+PURWODADI!AC52+WRINGINAGUNG!AB52+WRINGINREJO!X52+YOSOMULYO!AP52</f>
        <v>41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5"/>
      <c r="C53" s="50"/>
      <c r="D53" s="56"/>
      <c r="E53" s="24"/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5"/>
      <c r="C54" s="50"/>
      <c r="D54" s="56"/>
      <c r="E54" s="24"/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47" t="s">
        <v>47</v>
      </c>
      <c r="C55" s="15"/>
      <c r="D55" s="16"/>
      <c r="E55" s="13">
        <f>SUM(E45:E52)</f>
        <v>5224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5"/>
      <c r="B56" s="44"/>
      <c r="C56" s="44"/>
      <c r="D56" s="44"/>
      <c r="E56" s="44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37</v>
      </c>
      <c r="B57" s="47" t="s">
        <v>19</v>
      </c>
      <c r="C57" s="48" t="s">
        <v>48</v>
      </c>
      <c r="D57" s="16"/>
      <c r="E57" s="24">
        <f>GAMBIRAN!AY57+JAJAG!BA57+PURWODADI!AC57+WRINGINAGUNG!AB57+WRINGINREJO!X57+YOSOMULYO!AP57</f>
        <v>1653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39</v>
      </c>
      <c r="B58" s="55">
        <v>1.0</v>
      </c>
      <c r="C58" s="50" t="s">
        <v>49</v>
      </c>
      <c r="D58" s="56"/>
      <c r="E58" s="24">
        <f>GAMBIRAN!AY58+JAJAG!BA58+PURWODADI!AC58+WRINGINAGUNG!AB58+WRINGINREJO!X58+YOSOMULYO!AP58</f>
        <v>1910</v>
      </c>
      <c r="F58" s="51"/>
      <c r="G58" s="52"/>
      <c r="H58" s="52"/>
      <c r="I58" s="52"/>
      <c r="J58" s="52"/>
      <c r="K58" s="52"/>
      <c r="L58" s="52"/>
      <c r="M58" s="52"/>
      <c r="N58" s="52"/>
      <c r="O58" s="52"/>
      <c r="P58" s="53"/>
      <c r="Q58" s="3"/>
      <c r="R58" s="3"/>
      <c r="S58" s="3"/>
      <c r="T58" s="3"/>
      <c r="U58" s="3"/>
      <c r="V58" s="3"/>
      <c r="W58" s="54"/>
      <c r="X58" s="3"/>
      <c r="Y58" s="3"/>
      <c r="Z58" s="3"/>
    </row>
    <row r="59" ht="15.75" customHeight="1">
      <c r="A59" s="18"/>
      <c r="B59" s="55">
        <v>2.0</v>
      </c>
      <c r="C59" s="50" t="s">
        <v>50</v>
      </c>
      <c r="D59" s="56"/>
      <c r="E59" s="24">
        <f>GAMBIRAN!AY59+JAJAG!BA59+PURWODADI!AC59+WRINGINAGUNG!AB59+WRINGINREJO!X59+YOSOMULYO!AP59</f>
        <v>481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5">
        <v>3.0</v>
      </c>
      <c r="C60" s="50" t="s">
        <v>51</v>
      </c>
      <c r="D60" s="56"/>
      <c r="E60" s="24">
        <f>GAMBIRAN!AY60+JAJAG!BA60+PURWODADI!AC60+WRINGINAGUNG!AB60+WRINGINREJO!X60+YOSOMULYO!AP60</f>
        <v>178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5">
        <v>4.0</v>
      </c>
      <c r="C61" s="50" t="s">
        <v>52</v>
      </c>
      <c r="D61" s="56"/>
      <c r="E61" s="24">
        <f>GAMBIRAN!AY61+JAJAG!BA61+PURWODADI!AC61+WRINGINAGUNG!AB61+WRINGINREJO!X61+YOSOMULYO!AP61</f>
        <v>374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5">
        <v>5.0</v>
      </c>
      <c r="C62" s="50" t="s">
        <v>53</v>
      </c>
      <c r="D62" s="56"/>
      <c r="E62" s="24">
        <f>GAMBIRAN!AY62+JAJAG!BA62+PURWODADI!AC62+WRINGINAGUNG!AB62+WRINGINREJO!X62+YOSOMULYO!AP62</f>
        <v>66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55">
        <v>6.0</v>
      </c>
      <c r="C63" s="50" t="s">
        <v>54</v>
      </c>
      <c r="D63" s="57"/>
      <c r="E63" s="24">
        <f>GAMBIRAN!AY63+JAJAG!BA63+PURWODADI!AC63+WRINGINAGUNG!AB63+WRINGINREJO!X63+YOSOMULYO!AP63</f>
        <v>146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5">
        <v>7.0</v>
      </c>
      <c r="C64" s="50" t="s">
        <v>55</v>
      </c>
      <c r="D64" s="56"/>
      <c r="E64" s="24">
        <f>GAMBIRAN!AY64+JAJAG!BA64+PURWODADI!AC64+WRINGINAGUNG!AB64+WRINGINREJO!X64+YOSOMULYO!AP64</f>
        <v>68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5"/>
      <c r="C65" s="50"/>
      <c r="D65" s="56"/>
      <c r="E65" s="24"/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5"/>
      <c r="C66" s="50"/>
      <c r="D66" s="56"/>
      <c r="E66" s="24"/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47" t="s">
        <v>47</v>
      </c>
      <c r="C67" s="15"/>
      <c r="D67" s="16"/>
      <c r="E67" s="13">
        <f>SUM(E57:E64)</f>
        <v>4876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5"/>
      <c r="B68" s="44"/>
      <c r="C68" s="44"/>
      <c r="D68" s="44"/>
      <c r="E68" s="44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37</v>
      </c>
      <c r="B69" s="47" t="s">
        <v>21</v>
      </c>
      <c r="C69" s="48" t="s">
        <v>56</v>
      </c>
      <c r="D69" s="16"/>
      <c r="E69" s="24">
        <f>GAMBIRAN!AY69+JAJAG!BA69+PURWODADI!AC69+WRINGINAGUNG!AB69+WRINGINREJO!X69+YOSOMULYO!AP69</f>
        <v>2437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39</v>
      </c>
      <c r="B70" s="55">
        <v>1.0</v>
      </c>
      <c r="C70" s="50" t="s">
        <v>57</v>
      </c>
      <c r="D70" s="57"/>
      <c r="E70" s="24">
        <f>GAMBIRAN!AY70+JAJAG!BA70+PURWODADI!AC70+WRINGINAGUNG!AB70+WRINGINREJO!X70+YOSOMULYO!AP70</f>
        <v>3457</v>
      </c>
      <c r="F70" s="51"/>
      <c r="G70" s="52"/>
      <c r="H70" s="52"/>
      <c r="I70" s="52"/>
      <c r="J70" s="52"/>
      <c r="K70" s="52"/>
      <c r="L70" s="52"/>
      <c r="M70" s="52"/>
      <c r="N70" s="52"/>
      <c r="O70" s="52"/>
      <c r="P70" s="53"/>
      <c r="Q70" s="3"/>
      <c r="R70" s="3"/>
      <c r="S70" s="3"/>
      <c r="T70" s="3"/>
      <c r="U70" s="3"/>
      <c r="V70" s="3"/>
      <c r="W70" s="54"/>
      <c r="X70" s="3"/>
      <c r="Y70" s="3"/>
      <c r="Z70" s="3"/>
    </row>
    <row r="71" ht="15.75" customHeight="1">
      <c r="A71" s="18"/>
      <c r="B71" s="55">
        <v>2.0</v>
      </c>
      <c r="C71" s="50" t="s">
        <v>58</v>
      </c>
      <c r="D71" s="57"/>
      <c r="E71" s="24">
        <f>GAMBIRAN!AY71+JAJAG!BA71+PURWODADI!AC71+WRINGINAGUNG!AB71+WRINGINREJO!X71+YOSOMULYO!AP71</f>
        <v>664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5">
        <v>3.0</v>
      </c>
      <c r="C72" s="50" t="s">
        <v>59</v>
      </c>
      <c r="D72" s="57"/>
      <c r="E72" s="24">
        <f>GAMBIRAN!AY72+JAJAG!BA72+PURWODADI!AC72+WRINGINAGUNG!AB72+WRINGINREJO!X72+YOSOMULYO!AP72</f>
        <v>1948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55">
        <v>4.0</v>
      </c>
      <c r="C73" s="50" t="s">
        <v>60</v>
      </c>
      <c r="D73" s="57"/>
      <c r="E73" s="24">
        <f>GAMBIRAN!AY73+JAJAG!BA73+PURWODADI!AC73+WRINGINAGUNG!AB73+WRINGINREJO!X73+YOSOMULYO!AP73</f>
        <v>159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55">
        <v>5.0</v>
      </c>
      <c r="C74" s="50" t="s">
        <v>61</v>
      </c>
      <c r="D74" s="57"/>
      <c r="E74" s="24">
        <f>GAMBIRAN!AY74+JAJAG!BA74+PURWODADI!AC74+WRINGINAGUNG!AB74+WRINGINREJO!X74+YOSOMULYO!AP74</f>
        <v>926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55">
        <v>6.0</v>
      </c>
      <c r="C75" s="50" t="s">
        <v>62</v>
      </c>
      <c r="D75" s="57"/>
      <c r="E75" s="24">
        <f>GAMBIRAN!AY75+JAJAG!BA75+PURWODADI!AC75+WRINGINAGUNG!AB75+WRINGINREJO!X75+YOSOMULYO!AP75</f>
        <v>281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5">
        <v>7.0</v>
      </c>
      <c r="C76" s="50" t="s">
        <v>63</v>
      </c>
      <c r="D76" s="57"/>
      <c r="E76" s="24">
        <f>GAMBIRAN!AY76+JAJAG!BA76+PURWODADI!AC76+WRINGINAGUNG!AB76+WRINGINREJO!X76+YOSOMULYO!AP76</f>
        <v>470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5"/>
      <c r="C77" s="50"/>
      <c r="D77" s="57"/>
      <c r="E77" s="24"/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5"/>
      <c r="C78" s="50"/>
      <c r="D78" s="57"/>
      <c r="E78" s="24"/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7" t="s">
        <v>47</v>
      </c>
      <c r="C79" s="15"/>
      <c r="D79" s="16"/>
      <c r="E79" s="13">
        <f>SUM(E69:E76)</f>
        <v>10342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5"/>
      <c r="B80" s="44"/>
      <c r="C80" s="44"/>
      <c r="D80" s="44"/>
      <c r="E80" s="44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37</v>
      </c>
      <c r="B81" s="47" t="s">
        <v>23</v>
      </c>
      <c r="C81" s="48" t="s">
        <v>64</v>
      </c>
      <c r="D81" s="16"/>
      <c r="E81" s="24">
        <f>GAMBIRAN!AY81+JAJAG!BA81+PURWODADI!AC81+WRINGINAGUNG!AB81+WRINGINREJO!X81+YOSOMULYO!AP81</f>
        <v>642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39</v>
      </c>
      <c r="B82" s="55">
        <v>1.0</v>
      </c>
      <c r="C82" s="50" t="s">
        <v>65</v>
      </c>
      <c r="D82" s="57"/>
      <c r="E82" s="24">
        <f>GAMBIRAN!AY82+JAJAG!BA82+PURWODADI!AC82+WRINGINAGUNG!AB82+WRINGINREJO!X82+YOSOMULYO!AP82</f>
        <v>2175</v>
      </c>
      <c r="F82" s="51"/>
      <c r="G82" s="52"/>
      <c r="H82" s="52"/>
      <c r="I82" s="52"/>
      <c r="J82" s="52"/>
      <c r="K82" s="52"/>
      <c r="L82" s="52"/>
      <c r="M82" s="52"/>
      <c r="N82" s="52"/>
      <c r="O82" s="52"/>
      <c r="P82" s="53"/>
      <c r="Q82" s="3"/>
      <c r="R82" s="3"/>
      <c r="S82" s="3"/>
      <c r="T82" s="3"/>
      <c r="U82" s="3"/>
      <c r="V82" s="3"/>
      <c r="W82" s="54"/>
      <c r="X82" s="3"/>
      <c r="Y82" s="3"/>
      <c r="Z82" s="3"/>
    </row>
    <row r="83" ht="15.75" customHeight="1">
      <c r="A83" s="18"/>
      <c r="B83" s="55">
        <v>2.0</v>
      </c>
      <c r="C83" s="50" t="s">
        <v>66</v>
      </c>
      <c r="D83" s="57"/>
      <c r="E83" s="24">
        <f>GAMBIRAN!AY83+JAJAG!BA83+PURWODADI!AC83+WRINGINAGUNG!AB83+WRINGINREJO!X83+YOSOMULYO!AP83</f>
        <v>1457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55">
        <v>3.0</v>
      </c>
      <c r="C84" s="50" t="s">
        <v>67</v>
      </c>
      <c r="D84" s="57"/>
      <c r="E84" s="24">
        <f>GAMBIRAN!AY84+JAJAG!BA84+PURWODADI!AC84+WRINGINAGUNG!AB84+WRINGINREJO!X84+YOSOMULYO!AP84</f>
        <v>77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55">
        <v>4.0</v>
      </c>
      <c r="C85" s="50" t="s">
        <v>68</v>
      </c>
      <c r="D85" s="57"/>
      <c r="E85" s="24">
        <f>GAMBIRAN!AY85+JAJAG!BA85+PURWODADI!AC85+WRINGINAGUNG!AB85+WRINGINREJO!X85+YOSOMULYO!AP85</f>
        <v>81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55">
        <v>5.0</v>
      </c>
      <c r="C86" s="50" t="s">
        <v>69</v>
      </c>
      <c r="D86" s="57"/>
      <c r="E86" s="24">
        <f>GAMBIRAN!AY86+JAJAG!BA86+PURWODADI!AC86+WRINGINAGUNG!AB86+WRINGINREJO!X86+YOSOMULYO!AP86</f>
        <v>137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5">
        <v>6.0</v>
      </c>
      <c r="C87" s="50" t="s">
        <v>70</v>
      </c>
      <c r="D87" s="57"/>
      <c r="E87" s="24">
        <f>GAMBIRAN!AY87+JAJAG!BA87+PURWODADI!AC87+WRINGINAGUNG!AB87+WRINGINREJO!X87+YOSOMULYO!AP87</f>
        <v>43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5">
        <v>7.0</v>
      </c>
      <c r="C88" s="50" t="s">
        <v>71</v>
      </c>
      <c r="D88" s="57"/>
      <c r="E88" s="24">
        <f>GAMBIRAN!AY88+JAJAG!BA88+PURWODADI!AC88+WRINGINAGUNG!AB88+WRINGINREJO!X88+YOSOMULYO!AP88</f>
        <v>12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5"/>
      <c r="C89" s="50"/>
      <c r="D89" s="57"/>
      <c r="E89" s="24"/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5"/>
      <c r="C90" s="50"/>
      <c r="D90" s="57"/>
      <c r="E90" s="24"/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47" t="s">
        <v>47</v>
      </c>
      <c r="C91" s="15"/>
      <c r="D91" s="16"/>
      <c r="E91" s="13">
        <f>SUM(E81:E88)</f>
        <v>4624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5"/>
      <c r="B92" s="44"/>
      <c r="C92" s="44"/>
      <c r="D92" s="44"/>
      <c r="E92" s="44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37</v>
      </c>
      <c r="B93" s="47" t="s">
        <v>72</v>
      </c>
      <c r="C93" s="48" t="s">
        <v>73</v>
      </c>
      <c r="D93" s="16"/>
      <c r="E93" s="24">
        <f>GAMBIRAN!AY93+JAJAG!BA93+PURWODADI!AC93+WRINGINAGUNG!AB93+WRINGINREJO!X93+YOSOMULYO!AP93</f>
        <v>253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39</v>
      </c>
      <c r="B94" s="55">
        <v>1.0</v>
      </c>
      <c r="C94" s="50" t="s">
        <v>74</v>
      </c>
      <c r="D94" s="57"/>
      <c r="E94" s="24">
        <f>GAMBIRAN!AY94+JAJAG!BA94+PURWODADI!AC94+WRINGINAGUNG!AB94+WRINGINREJO!X94+YOSOMULYO!AP94</f>
        <v>226</v>
      </c>
      <c r="F94" s="51"/>
      <c r="G94" s="52"/>
      <c r="H94" s="52"/>
      <c r="I94" s="52"/>
      <c r="J94" s="52"/>
      <c r="K94" s="52"/>
      <c r="L94" s="52"/>
      <c r="M94" s="52"/>
      <c r="N94" s="52"/>
      <c r="O94" s="52"/>
      <c r="P94" s="53"/>
      <c r="Q94" s="3"/>
      <c r="R94" s="3"/>
      <c r="S94" s="3"/>
      <c r="T94" s="3"/>
      <c r="U94" s="3"/>
      <c r="V94" s="3"/>
      <c r="W94" s="54"/>
      <c r="X94" s="3"/>
      <c r="Y94" s="3"/>
      <c r="Z94" s="3"/>
    </row>
    <row r="95" ht="15.75" customHeight="1">
      <c r="A95" s="18"/>
      <c r="B95" s="55">
        <v>2.0</v>
      </c>
      <c r="C95" s="50" t="s">
        <v>75</v>
      </c>
      <c r="D95" s="57"/>
      <c r="E95" s="24">
        <f>GAMBIRAN!AY95+JAJAG!BA95+PURWODADI!AC95+WRINGINAGUNG!AB95+WRINGINREJO!X95+YOSOMULYO!AP95</f>
        <v>538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55">
        <v>3.0</v>
      </c>
      <c r="C96" s="50" t="s">
        <v>76</v>
      </c>
      <c r="D96" s="57"/>
      <c r="E96" s="24">
        <f>GAMBIRAN!AY96+JAJAG!BA96+PURWODADI!AC96+WRINGINAGUNG!AB96+WRINGINREJO!X96+YOSOMULYO!AP96</f>
        <v>29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55">
        <v>4.0</v>
      </c>
      <c r="C97" s="50" t="s">
        <v>77</v>
      </c>
      <c r="D97" s="57"/>
      <c r="E97" s="24">
        <f>GAMBIRAN!AY97+JAJAG!BA97+PURWODADI!AC97+WRINGINAGUNG!AB97+WRINGINREJO!X97+YOSOMULYO!AP97</f>
        <v>95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5">
        <v>5.0</v>
      </c>
      <c r="C98" s="50" t="s">
        <v>78</v>
      </c>
      <c r="D98" s="57"/>
      <c r="E98" s="24">
        <f>GAMBIRAN!AY98+JAJAG!BA98+PURWODADI!AC98+WRINGINAGUNG!AB98+WRINGINREJO!X98+YOSOMULYO!AP98</f>
        <v>27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5">
        <v>6.0</v>
      </c>
      <c r="C99" s="50" t="s">
        <v>79</v>
      </c>
      <c r="D99" s="57"/>
      <c r="E99" s="24">
        <f>GAMBIRAN!AY99+JAJAG!BA99+PURWODADI!AC99+WRINGINAGUNG!AB99+WRINGINREJO!X99+YOSOMULYO!AP99</f>
        <v>18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5">
        <v>7.0</v>
      </c>
      <c r="C100" s="50" t="s">
        <v>80</v>
      </c>
      <c r="D100" s="57"/>
      <c r="E100" s="24">
        <f>GAMBIRAN!AY100+JAJAG!BA100+PURWODADI!AC100+WRINGINAGUNG!AB100+WRINGINREJO!X100+YOSOMULYO!AP100</f>
        <v>10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5"/>
      <c r="C101" s="50"/>
      <c r="D101" s="57"/>
      <c r="E101" s="24"/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5"/>
      <c r="C102" s="50"/>
      <c r="D102" s="57"/>
      <c r="E102" s="24"/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47" t="s">
        <v>47</v>
      </c>
      <c r="C103" s="15"/>
      <c r="D103" s="16"/>
      <c r="E103" s="13">
        <f>SUM(E93:E100)</f>
        <v>1196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5"/>
      <c r="B104" s="44"/>
      <c r="C104" s="44"/>
      <c r="D104" s="44"/>
      <c r="E104" s="44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37</v>
      </c>
      <c r="B105" s="47" t="s">
        <v>81</v>
      </c>
      <c r="C105" s="48" t="s">
        <v>82</v>
      </c>
      <c r="D105" s="16"/>
      <c r="E105" s="24">
        <f>GAMBIRAN!AY105+JAJAG!BA105+PURWODADI!AC105+WRINGINAGUNG!AB105+WRINGINREJO!X105+YOSOMULYO!AP105</f>
        <v>173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39</v>
      </c>
      <c r="B106" s="55">
        <v>1.0</v>
      </c>
      <c r="C106" s="50" t="s">
        <v>83</v>
      </c>
      <c r="D106" s="57"/>
      <c r="E106" s="24">
        <f>GAMBIRAN!AY106+JAJAG!BA106+PURWODADI!AC106+WRINGINAGUNG!AB106+WRINGINREJO!X106+YOSOMULYO!AP106</f>
        <v>61</v>
      </c>
      <c r="F106" s="51"/>
      <c r="G106" s="52"/>
      <c r="H106" s="52"/>
      <c r="I106" s="52"/>
      <c r="J106" s="52"/>
      <c r="K106" s="52"/>
      <c r="L106" s="52"/>
      <c r="M106" s="52"/>
      <c r="N106" s="52"/>
      <c r="O106" s="52"/>
      <c r="P106" s="53"/>
      <c r="Q106" s="3"/>
      <c r="R106" s="3"/>
      <c r="S106" s="3"/>
      <c r="T106" s="3"/>
      <c r="U106" s="3"/>
      <c r="V106" s="3"/>
      <c r="W106" s="54"/>
      <c r="X106" s="3"/>
      <c r="Y106" s="3"/>
      <c r="Z106" s="3"/>
    </row>
    <row r="107" ht="15.75" customHeight="1">
      <c r="A107" s="18"/>
      <c r="B107" s="55">
        <v>2.0</v>
      </c>
      <c r="C107" s="50" t="s">
        <v>84</v>
      </c>
      <c r="D107" s="57"/>
      <c r="E107" s="24">
        <f>GAMBIRAN!AY107+JAJAG!BA107+PURWODADI!AC107+WRINGINAGUNG!AB107+WRINGINREJO!X107+YOSOMULYO!AP107</f>
        <v>27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5">
        <v>3.0</v>
      </c>
      <c r="C108" s="50" t="s">
        <v>85</v>
      </c>
      <c r="D108" s="57"/>
      <c r="E108" s="24">
        <f>GAMBIRAN!AY108+JAJAG!BA108+PURWODADI!AC108+WRINGINAGUNG!AB108+WRINGINREJO!X108+YOSOMULYO!AP108</f>
        <v>7</v>
      </c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5">
        <v>4.0</v>
      </c>
      <c r="C109" s="50" t="s">
        <v>86</v>
      </c>
      <c r="D109" s="57"/>
      <c r="E109" s="24">
        <f>GAMBIRAN!AY109+JAJAG!BA109+PURWODADI!AC109+WRINGINAGUNG!AB109+WRINGINREJO!X109+YOSOMULYO!AP109</f>
        <v>7</v>
      </c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5">
        <v>5.0</v>
      </c>
      <c r="C110" s="50" t="s">
        <v>87</v>
      </c>
      <c r="D110" s="57"/>
      <c r="E110" s="24">
        <f>GAMBIRAN!AY110+JAJAG!BA110+PURWODADI!AC110+WRINGINAGUNG!AB110+WRINGINREJO!X110+YOSOMULYO!AP110</f>
        <v>7</v>
      </c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5">
        <v>6.0</v>
      </c>
      <c r="C111" s="50" t="s">
        <v>88</v>
      </c>
      <c r="D111" s="57"/>
      <c r="E111" s="24">
        <f>GAMBIRAN!AY111+JAJAG!BA111+PURWODADI!AC111+WRINGINAGUNG!AB111+WRINGINREJO!X111+YOSOMULYO!AP111</f>
        <v>13</v>
      </c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5">
        <v>7.0</v>
      </c>
      <c r="C112" s="50" t="s">
        <v>89</v>
      </c>
      <c r="D112" s="57"/>
      <c r="E112" s="24">
        <f>GAMBIRAN!AY112+JAJAG!BA112+PURWODADI!AC112+WRINGINAGUNG!AB112+WRINGINREJO!X112+YOSOMULYO!AP112</f>
        <v>3</v>
      </c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5"/>
      <c r="C113" s="50"/>
      <c r="D113" s="57"/>
      <c r="E113" s="24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5"/>
      <c r="C114" s="50"/>
      <c r="D114" s="57"/>
      <c r="E114" s="24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7" t="s">
        <v>47</v>
      </c>
      <c r="C115" s="15"/>
      <c r="D115" s="16"/>
      <c r="E115" s="13">
        <f>SUM(E105:E112)</f>
        <v>298</v>
      </c>
      <c r="F115" s="51"/>
      <c r="G115" s="52"/>
      <c r="H115" s="52"/>
      <c r="I115" s="52"/>
      <c r="J115" s="52"/>
      <c r="K115" s="52"/>
      <c r="L115" s="52"/>
      <c r="M115" s="52"/>
      <c r="N115" s="52"/>
      <c r="O115" s="52"/>
      <c r="P115" s="53"/>
      <c r="Q115" s="3"/>
      <c r="R115" s="3"/>
      <c r="S115" s="3"/>
      <c r="T115" s="3"/>
      <c r="U115" s="3"/>
      <c r="V115" s="3"/>
      <c r="W115" s="54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90</v>
      </c>
      <c r="C117" s="48" t="s">
        <v>91</v>
      </c>
      <c r="D117" s="16"/>
      <c r="E117" s="24">
        <f>GAMBIRAN!AY117+JAJAG!BA117+PURWODADI!AC117+WRINGINAGUNG!AB117+WRINGINREJO!X117+YOSOMULYO!AP117</f>
        <v>110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55">
        <v>1.0</v>
      </c>
      <c r="C118" s="50" t="s">
        <v>92</v>
      </c>
      <c r="D118" s="57"/>
      <c r="E118" s="24">
        <f>GAMBIRAN!AY118+JAJAG!BA118+PURWODADI!AC118+WRINGINAGUNG!AB118+WRINGINREJO!X118+YOSOMULYO!AP118</f>
        <v>43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55">
        <v>2.0</v>
      </c>
      <c r="C119" s="50" t="s">
        <v>93</v>
      </c>
      <c r="D119" s="57"/>
      <c r="E119" s="24">
        <f>GAMBIRAN!AY119+JAJAG!BA119+PURWODADI!AC119+WRINGINAGUNG!AB119+WRINGINREJO!X119+YOSOMULYO!AP119</f>
        <v>19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55">
        <v>3.0</v>
      </c>
      <c r="C120" s="50" t="s">
        <v>94</v>
      </c>
      <c r="D120" s="57"/>
      <c r="E120" s="24">
        <f>GAMBIRAN!AY120+JAJAG!BA120+PURWODADI!AC120+WRINGINAGUNG!AB120+WRINGINREJO!X120+YOSOMULYO!AP120</f>
        <v>12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5"/>
      <c r="C121" s="50"/>
      <c r="D121" s="57"/>
      <c r="E121" s="40"/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5"/>
      <c r="C122" s="50"/>
      <c r="D122" s="57"/>
      <c r="E122" s="40"/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5"/>
      <c r="C123" s="50"/>
      <c r="D123" s="57"/>
      <c r="E123" s="40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5"/>
      <c r="C124" s="50"/>
      <c r="D124" s="57"/>
      <c r="E124" s="40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5"/>
      <c r="C125" s="50"/>
      <c r="D125" s="57"/>
      <c r="E125" s="40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5"/>
      <c r="C126" s="50"/>
      <c r="D126" s="57"/>
      <c r="E126" s="40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47" t="s">
        <v>47</v>
      </c>
      <c r="C127" s="15"/>
      <c r="D127" s="16"/>
      <c r="E127" s="58">
        <f>SUM(E117:E120)</f>
        <v>184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37</v>
      </c>
      <c r="B129" s="47" t="s">
        <v>95</v>
      </c>
      <c r="C129" s="48" t="s">
        <v>96</v>
      </c>
      <c r="D129" s="16"/>
      <c r="E129" s="24">
        <f>GAMBIRAN!AY129+JAJAG!BA129+PURWODADI!AC129+WRINGINAGUNG!AB129+WRINGINREJO!X129+YOSOMULYO!AP129</f>
        <v>132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39</v>
      </c>
      <c r="B130" s="55">
        <v>1.0</v>
      </c>
      <c r="C130" s="50" t="s">
        <v>97</v>
      </c>
      <c r="D130" s="56"/>
      <c r="E130" s="24">
        <f>GAMBIRAN!AY130+JAJAG!BA130+PURWODADI!AC130+WRINGINAGUNG!AB130+WRINGINREJO!X130+YOSOMULYO!AP130</f>
        <v>152</v>
      </c>
      <c r="F130" s="51"/>
      <c r="G130" s="52"/>
      <c r="H130" s="52"/>
      <c r="I130" s="52"/>
      <c r="J130" s="52"/>
      <c r="K130" s="52"/>
      <c r="L130" s="52"/>
      <c r="M130" s="52"/>
      <c r="N130" s="52"/>
      <c r="O130" s="52"/>
      <c r="P130" s="53"/>
      <c r="Q130" s="3"/>
      <c r="R130" s="3"/>
      <c r="S130" s="3"/>
      <c r="T130" s="3"/>
      <c r="U130" s="3"/>
      <c r="V130" s="3"/>
      <c r="W130" s="54"/>
      <c r="X130" s="3"/>
      <c r="Y130" s="3"/>
      <c r="Z130" s="3"/>
    </row>
    <row r="131" ht="15.75" customHeight="1">
      <c r="A131" s="18"/>
      <c r="B131" s="55">
        <v>2.0</v>
      </c>
      <c r="C131" s="50" t="s">
        <v>98</v>
      </c>
      <c r="D131" s="56"/>
      <c r="E131" s="24">
        <f>GAMBIRAN!AY131+JAJAG!BA131+PURWODADI!AC131+WRINGINAGUNG!AB131+WRINGINREJO!X131+YOSOMULYO!AP131</f>
        <v>121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55">
        <v>3.0</v>
      </c>
      <c r="C132" s="50" t="s">
        <v>99</v>
      </c>
      <c r="D132" s="56"/>
      <c r="E132" s="24">
        <f>GAMBIRAN!AY132+JAJAG!BA132+PURWODADI!AC132+WRINGINAGUNG!AB132+WRINGINREJO!X132+YOSOMULYO!AP132</f>
        <v>22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5">
        <v>4.0</v>
      </c>
      <c r="C133" s="50" t="s">
        <v>100</v>
      </c>
      <c r="D133" s="56"/>
      <c r="E133" s="24">
        <f>GAMBIRAN!AY133+JAJAG!BA133+PURWODADI!AC133+WRINGINAGUNG!AB133+WRINGINREJO!X133+YOSOMULYO!AP133</f>
        <v>10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5">
        <v>5.0</v>
      </c>
      <c r="C134" s="50" t="s">
        <v>101</v>
      </c>
      <c r="D134" s="56"/>
      <c r="E134" s="24">
        <f>GAMBIRAN!AY134+JAJAG!BA134+PURWODADI!AC134+WRINGINAGUNG!AB134+WRINGINREJO!X134+YOSOMULYO!AP134</f>
        <v>10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5">
        <v>6.0</v>
      </c>
      <c r="C135" s="50" t="s">
        <v>102</v>
      </c>
      <c r="D135" s="57"/>
      <c r="E135" s="24">
        <f>GAMBIRAN!AY135+JAJAG!BA135+PURWODADI!AC135+WRINGINAGUNG!AB135+WRINGINREJO!X135+YOSOMULYO!AP135</f>
        <v>6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5">
        <v>7.0</v>
      </c>
      <c r="C136" s="50" t="s">
        <v>103</v>
      </c>
      <c r="D136" s="56"/>
      <c r="E136" s="24">
        <f>GAMBIRAN!AY136+JAJAG!BA136+PURWODADI!AC136+WRINGINAGUNG!AB136+WRINGINREJO!X136+YOSOMULYO!AP136</f>
        <v>3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5"/>
      <c r="C137" s="50"/>
      <c r="D137" s="56"/>
      <c r="E137" s="24"/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5"/>
      <c r="C138" s="50"/>
      <c r="D138" s="56"/>
      <c r="E138" s="24"/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47" t="s">
        <v>47</v>
      </c>
      <c r="C139" s="15"/>
      <c r="D139" s="16"/>
      <c r="E139" s="13">
        <f>SUM(E129:E136)</f>
        <v>456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37</v>
      </c>
      <c r="B141" s="47" t="s">
        <v>104</v>
      </c>
      <c r="C141" s="48" t="s">
        <v>105</v>
      </c>
      <c r="D141" s="16"/>
      <c r="E141" s="24">
        <f>GAMBIRAN!AY141+JAJAG!BA141+PURWODADI!AC141+WRINGINAGUNG!AB141+WRINGINREJO!X141+YOSOMULYO!AP141</f>
        <v>12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39</v>
      </c>
      <c r="B142" s="55">
        <v>1.0</v>
      </c>
      <c r="C142" s="50" t="s">
        <v>106</v>
      </c>
      <c r="D142" s="57"/>
      <c r="E142" s="24">
        <f>GAMBIRAN!AY142+JAJAG!BA142+PURWODADI!AC142+WRINGINAGUNG!AB142+WRINGINREJO!X142+YOSOMULYO!AP142</f>
        <v>5</v>
      </c>
      <c r="F142" s="51"/>
      <c r="G142" s="52"/>
      <c r="H142" s="52"/>
      <c r="I142" s="52"/>
      <c r="J142" s="52"/>
      <c r="K142" s="52"/>
      <c r="L142" s="52"/>
      <c r="M142" s="52"/>
      <c r="N142" s="52"/>
      <c r="O142" s="52"/>
      <c r="P142" s="53"/>
      <c r="Q142" s="3"/>
      <c r="R142" s="3"/>
      <c r="S142" s="3"/>
      <c r="T142" s="3"/>
      <c r="U142" s="3"/>
      <c r="V142" s="3"/>
      <c r="W142" s="54"/>
      <c r="X142" s="3"/>
      <c r="Y142" s="3"/>
      <c r="Z142" s="3"/>
    </row>
    <row r="143" ht="15.75" customHeight="1">
      <c r="A143" s="18"/>
      <c r="B143" s="55">
        <v>2.0</v>
      </c>
      <c r="C143" s="50" t="s">
        <v>107</v>
      </c>
      <c r="D143" s="57"/>
      <c r="E143" s="24">
        <f>GAMBIRAN!AY143+JAJAG!BA143+PURWODADI!AC143+WRINGINAGUNG!AB143+WRINGINREJO!X143+YOSOMULYO!AP143</f>
        <v>5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5">
        <v>3.0</v>
      </c>
      <c r="C144" s="50" t="s">
        <v>108</v>
      </c>
      <c r="D144" s="57"/>
      <c r="E144" s="24">
        <f>GAMBIRAN!AY144+JAJAG!BA144+PURWODADI!AC144+WRINGINAGUNG!AB144+WRINGINREJO!X144+YOSOMULYO!AP144</f>
        <v>1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5">
        <v>4.0</v>
      </c>
      <c r="C145" s="50" t="s">
        <v>109</v>
      </c>
      <c r="D145" s="57"/>
      <c r="E145" s="24">
        <f>GAMBIRAN!AY145+JAJAG!BA145+PURWODADI!AC145+WRINGINAGUNG!AB145+WRINGINREJO!X145+YOSOMULYO!AP145</f>
        <v>0</v>
      </c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5">
        <v>5.0</v>
      </c>
      <c r="C146" s="50" t="s">
        <v>110</v>
      </c>
      <c r="D146" s="57"/>
      <c r="E146" s="24">
        <f>GAMBIRAN!AY146+JAJAG!BA146+PURWODADI!AC146+WRINGINAGUNG!AB146+WRINGINREJO!X146+YOSOMULYO!AP146</f>
        <v>1</v>
      </c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5">
        <v>6.0</v>
      </c>
      <c r="C147" s="50" t="s">
        <v>111</v>
      </c>
      <c r="D147" s="57"/>
      <c r="E147" s="24">
        <f>GAMBIRAN!AY147+JAJAG!BA147+PURWODADI!AC147+WRINGINAGUNG!AB147+WRINGINREJO!X147+YOSOMULYO!AP147</f>
        <v>0</v>
      </c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5">
        <v>7.0</v>
      </c>
      <c r="C148" s="50" t="s">
        <v>112</v>
      </c>
      <c r="D148" s="57"/>
      <c r="E148" s="24">
        <f>GAMBIRAN!AY148+JAJAG!BA148+PURWODADI!AC148+WRINGINAGUNG!AB148+WRINGINREJO!X148+YOSOMULYO!AP148</f>
        <v>0</v>
      </c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5"/>
      <c r="C149" s="50"/>
      <c r="D149" s="57"/>
      <c r="E149" s="24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5"/>
      <c r="C150" s="50"/>
      <c r="D150" s="57"/>
      <c r="E150" s="24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47" t="s">
        <v>47</v>
      </c>
      <c r="C151" s="15"/>
      <c r="D151" s="16"/>
      <c r="E151" s="13">
        <f>SUM(E141:E148)</f>
        <v>24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37</v>
      </c>
      <c r="B153" s="47" t="s">
        <v>113</v>
      </c>
      <c r="C153" s="48" t="s">
        <v>114</v>
      </c>
      <c r="D153" s="16"/>
      <c r="E153" s="24">
        <f>GAMBIRAN!AY153+JAJAG!BA153+PURWODADI!AC153+WRINGINAGUNG!AB153+WRINGINREJO!X153+YOSOMULYO!AP153</f>
        <v>23</v>
      </c>
      <c r="F153" s="51"/>
      <c r="G153" s="52"/>
      <c r="H153" s="52"/>
      <c r="I153" s="52"/>
      <c r="J153" s="52"/>
      <c r="K153" s="52"/>
      <c r="L153" s="52"/>
      <c r="M153" s="52"/>
      <c r="N153" s="52"/>
      <c r="O153" s="52"/>
      <c r="P153" s="53"/>
      <c r="Q153" s="3"/>
      <c r="R153" s="3"/>
      <c r="S153" s="3"/>
      <c r="T153" s="3"/>
      <c r="U153" s="3"/>
      <c r="V153" s="3"/>
      <c r="W153" s="54"/>
      <c r="X153" s="3"/>
      <c r="Y153" s="3"/>
      <c r="Z153" s="3"/>
    </row>
    <row r="154" ht="15.75" customHeight="1">
      <c r="A154" s="30" t="s">
        <v>39</v>
      </c>
      <c r="B154" s="55">
        <v>1.0</v>
      </c>
      <c r="C154" s="59" t="s">
        <v>115</v>
      </c>
      <c r="D154" s="57"/>
      <c r="E154" s="24">
        <f>GAMBIRAN!AY154+JAJAG!BA154+PURWODADI!AC154+WRINGINAGUNG!AB154+WRINGINREJO!X154+YOSOMULYO!AP154</f>
        <v>25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5">
        <v>2.0</v>
      </c>
      <c r="C155" s="59" t="s">
        <v>116</v>
      </c>
      <c r="D155" s="57"/>
      <c r="E155" s="24">
        <f>GAMBIRAN!AY155+JAJAG!BA155+PURWODADI!AC155+WRINGINAGUNG!AB155+WRINGINREJO!X155+YOSOMULYO!AP155</f>
        <v>18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55">
        <v>3.0</v>
      </c>
      <c r="C156" s="59" t="s">
        <v>117</v>
      </c>
      <c r="D156" s="57"/>
      <c r="E156" s="24">
        <f>GAMBIRAN!AY156+JAJAG!BA156+PURWODADI!AC156+WRINGINAGUNG!AB156+WRINGINREJO!X156+YOSOMULYO!AP156</f>
        <v>7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55">
        <v>4.0</v>
      </c>
      <c r="C157" s="59" t="s">
        <v>118</v>
      </c>
      <c r="D157" s="57"/>
      <c r="E157" s="24">
        <f>GAMBIRAN!AY157+JAJAG!BA157+PURWODADI!AC157+WRINGINAGUNG!AB157+WRINGINREJO!X157+YOSOMULYO!AP157</f>
        <v>9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55"/>
      <c r="C158" s="60"/>
      <c r="D158" s="57"/>
      <c r="E158" s="24"/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55"/>
      <c r="C159" s="60"/>
      <c r="D159" s="57"/>
      <c r="E159" s="24"/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5"/>
      <c r="C160" s="60"/>
      <c r="D160" s="57"/>
      <c r="E160" s="24"/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5"/>
      <c r="C161" s="60"/>
      <c r="D161" s="57"/>
      <c r="E161" s="24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5"/>
      <c r="C162" s="60"/>
      <c r="D162" s="57"/>
      <c r="E162" s="24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47" t="s">
        <v>47</v>
      </c>
      <c r="C163" s="15"/>
      <c r="D163" s="16"/>
      <c r="E163" s="13">
        <f>SUM(E153:E157)</f>
        <v>82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37</v>
      </c>
      <c r="B165" s="47" t="s">
        <v>119</v>
      </c>
      <c r="C165" s="48" t="s">
        <v>120</v>
      </c>
      <c r="D165" s="16"/>
      <c r="E165" s="24">
        <f>GAMBIRAN!AY165+JAJAG!BA165+PURWODADI!AC165+WRINGINAGUNG!AB165+WRINGINREJO!X165+YOSOMULYO!AP165</f>
        <v>54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39</v>
      </c>
      <c r="B166" s="55">
        <v>1.0</v>
      </c>
      <c r="C166" s="50" t="s">
        <v>121</v>
      </c>
      <c r="D166" s="57"/>
      <c r="E166" s="24">
        <f>GAMBIRAN!AY166+JAJAG!BA166+PURWODADI!AC166+WRINGINAGUNG!AB166+WRINGINREJO!X166+YOSOMULYO!AP166</f>
        <v>24</v>
      </c>
      <c r="F166" s="51"/>
      <c r="G166" s="52"/>
      <c r="H166" s="52"/>
      <c r="I166" s="52"/>
      <c r="J166" s="52"/>
      <c r="K166" s="52"/>
      <c r="L166" s="52"/>
      <c r="M166" s="52"/>
      <c r="N166" s="52"/>
      <c r="O166" s="52"/>
      <c r="P166" s="53"/>
      <c r="Q166" s="3"/>
      <c r="R166" s="3"/>
      <c r="S166" s="3"/>
      <c r="T166" s="3"/>
      <c r="U166" s="3"/>
      <c r="V166" s="3"/>
      <c r="W166" s="54"/>
      <c r="X166" s="3"/>
      <c r="Y166" s="3"/>
      <c r="Z166" s="3"/>
    </row>
    <row r="167" ht="15.75" customHeight="1">
      <c r="A167" s="18"/>
      <c r="B167" s="55">
        <v>2.0</v>
      </c>
      <c r="C167" s="50" t="s">
        <v>122</v>
      </c>
      <c r="D167" s="57"/>
      <c r="E167" s="24">
        <f>GAMBIRAN!AY167+JAJAG!BA167+PURWODADI!AC167+WRINGINAGUNG!AB167+WRINGINREJO!X167+YOSOMULYO!AP167</f>
        <v>15</v>
      </c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5">
        <v>3.0</v>
      </c>
      <c r="C168" s="50" t="s">
        <v>123</v>
      </c>
      <c r="D168" s="57"/>
      <c r="E168" s="24">
        <f>GAMBIRAN!AY168+JAJAG!BA168+PURWODADI!AC168+WRINGINAGUNG!AB168+WRINGINREJO!X168+YOSOMULYO!AP168</f>
        <v>10</v>
      </c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5">
        <v>4.0</v>
      </c>
      <c r="C169" s="50" t="s">
        <v>124</v>
      </c>
      <c r="D169" s="57"/>
      <c r="E169" s="24">
        <f>GAMBIRAN!AY169+JAJAG!BA169+PURWODADI!AC169+WRINGINAGUNG!AB169+WRINGINREJO!X169+YOSOMULYO!AP169</f>
        <v>11</v>
      </c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5">
        <v>5.0</v>
      </c>
      <c r="C170" s="50" t="s">
        <v>125</v>
      </c>
      <c r="D170" s="57"/>
      <c r="E170" s="24">
        <f>GAMBIRAN!AY170+JAJAG!BA170+PURWODADI!AC170+WRINGINAGUNG!AB170+WRINGINREJO!X170+YOSOMULYO!AP170</f>
        <v>8</v>
      </c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5">
        <v>6.0</v>
      </c>
      <c r="C171" s="50" t="s">
        <v>126</v>
      </c>
      <c r="D171" s="57"/>
      <c r="E171" s="24">
        <f>GAMBIRAN!AY171+JAJAG!BA171+PURWODADI!AC171+WRINGINAGUNG!AB171+WRINGINREJO!X171+YOSOMULYO!AP171</f>
        <v>1</v>
      </c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5">
        <v>7.0</v>
      </c>
      <c r="C172" s="50" t="s">
        <v>127</v>
      </c>
      <c r="D172" s="57"/>
      <c r="E172" s="24">
        <f>GAMBIRAN!AY172+JAJAG!BA172+PURWODADI!AC172+WRINGINAGUNG!AB172+WRINGINREJO!X172+YOSOMULYO!AP172</f>
        <v>6</v>
      </c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5"/>
      <c r="C173" s="50"/>
      <c r="D173" s="57"/>
      <c r="E173" s="24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5"/>
      <c r="C174" s="50"/>
      <c r="D174" s="57"/>
      <c r="E174" s="24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7" t="s">
        <v>47</v>
      </c>
      <c r="C175" s="15"/>
      <c r="D175" s="16"/>
      <c r="E175" s="13">
        <f>SUM(E165:E172)</f>
        <v>129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37</v>
      </c>
      <c r="B177" s="47" t="s">
        <v>128</v>
      </c>
      <c r="C177" s="48" t="s">
        <v>129</v>
      </c>
      <c r="D177" s="16"/>
      <c r="E177" s="24">
        <f>GAMBIRAN!AY177+JAJAG!BA177+PURWODADI!AC177+WRINGINAGUNG!AB177+WRINGINREJO!X177+YOSOMULYO!AP177</f>
        <v>187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39</v>
      </c>
      <c r="B178" s="55">
        <v>1.0</v>
      </c>
      <c r="C178" s="50" t="s">
        <v>130</v>
      </c>
      <c r="D178" s="57"/>
      <c r="E178" s="24">
        <f>GAMBIRAN!AY178+JAJAG!BA178+PURWODADI!AC178+WRINGINAGUNG!AB178+WRINGINREJO!X178+YOSOMULYO!AP178</f>
        <v>105</v>
      </c>
      <c r="F178" s="51"/>
      <c r="G178" s="52"/>
      <c r="H178" s="52"/>
      <c r="I178" s="52"/>
      <c r="J178" s="52"/>
      <c r="K178" s="52"/>
      <c r="L178" s="52"/>
      <c r="M178" s="52"/>
      <c r="N178" s="52"/>
      <c r="O178" s="52"/>
      <c r="P178" s="53"/>
      <c r="Q178" s="3"/>
      <c r="R178" s="3"/>
      <c r="S178" s="3"/>
      <c r="T178" s="3"/>
      <c r="U178" s="3"/>
      <c r="V178" s="3"/>
      <c r="W178" s="54"/>
      <c r="X178" s="3"/>
      <c r="Y178" s="3"/>
      <c r="Z178" s="3"/>
    </row>
    <row r="179" ht="15.75" customHeight="1">
      <c r="A179" s="18"/>
      <c r="B179" s="55">
        <v>2.0</v>
      </c>
      <c r="C179" s="50" t="s">
        <v>131</v>
      </c>
      <c r="D179" s="57"/>
      <c r="E179" s="24">
        <f>GAMBIRAN!AY179+JAJAG!BA179+PURWODADI!AC179+WRINGINAGUNG!AB179+WRINGINREJO!X179+YOSOMULYO!AP179</f>
        <v>77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55">
        <v>3.0</v>
      </c>
      <c r="C180" s="50" t="s">
        <v>132</v>
      </c>
      <c r="D180" s="57"/>
      <c r="E180" s="24">
        <f>GAMBIRAN!AY180+JAJAG!BA180+PURWODADI!AC180+WRINGINAGUNG!AB180+WRINGINREJO!X180+YOSOMULYO!AP180</f>
        <v>38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55">
        <v>4.0</v>
      </c>
      <c r="C181" s="50" t="s">
        <v>133</v>
      </c>
      <c r="D181" s="57"/>
      <c r="E181" s="24">
        <f>GAMBIRAN!AY181+JAJAG!BA181+PURWODADI!AC181+WRINGINAGUNG!AB181+WRINGINREJO!X181+YOSOMULYO!AP181</f>
        <v>37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5">
        <v>5.0</v>
      </c>
      <c r="C182" s="50" t="s">
        <v>134</v>
      </c>
      <c r="D182" s="57"/>
      <c r="E182" s="24">
        <f>GAMBIRAN!AY182+JAJAG!BA182+PURWODADI!AC182+WRINGINAGUNG!AB182+WRINGINREJO!X182+YOSOMULYO!AP182</f>
        <v>18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5">
        <v>6.0</v>
      </c>
      <c r="C183" s="50" t="s">
        <v>135</v>
      </c>
      <c r="D183" s="57"/>
      <c r="E183" s="24">
        <f>GAMBIRAN!AY183+JAJAG!BA183+PURWODADI!AC183+WRINGINAGUNG!AB183+WRINGINREJO!X183+YOSOMULYO!AP183</f>
        <v>14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5">
        <v>7.0</v>
      </c>
      <c r="C184" s="50" t="s">
        <v>136</v>
      </c>
      <c r="D184" s="57"/>
      <c r="E184" s="24">
        <f>GAMBIRAN!AY184+JAJAG!BA184+PURWODADI!AC184+WRINGINAGUNG!AB184+WRINGINREJO!X184+YOSOMULYO!AP184</f>
        <v>8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5"/>
      <c r="C185" s="50"/>
      <c r="D185" s="57"/>
      <c r="E185" s="24"/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5"/>
      <c r="C186" s="50"/>
      <c r="D186" s="57"/>
      <c r="E186" s="24"/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47" t="s">
        <v>47</v>
      </c>
      <c r="C187" s="15"/>
      <c r="D187" s="16"/>
      <c r="E187" s="13">
        <f>SUM(E177:E184)</f>
        <v>484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37</v>
      </c>
      <c r="B189" s="47" t="s">
        <v>137</v>
      </c>
      <c r="C189" s="48" t="s">
        <v>138</v>
      </c>
      <c r="D189" s="16"/>
      <c r="E189" s="24">
        <f>GAMBIRAN!AY189+JAJAG!BA189+PURWODADI!AC189+WRINGINAGUNG!AB189+WRINGINREJO!X189+YOSOMULYO!AP189</f>
        <v>20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39</v>
      </c>
      <c r="B190" s="55">
        <v>1.0</v>
      </c>
      <c r="C190" s="50" t="s">
        <v>139</v>
      </c>
      <c r="D190" s="57"/>
      <c r="E190" s="24">
        <f>GAMBIRAN!AY190+JAJAG!BA190+PURWODADI!AC190+WRINGINAGUNG!AB190+WRINGINREJO!X190+YOSOMULYO!AP190</f>
        <v>17</v>
      </c>
      <c r="F190" s="51"/>
      <c r="G190" s="52"/>
      <c r="H190" s="52"/>
      <c r="I190" s="52"/>
      <c r="J190" s="52"/>
      <c r="K190" s="52"/>
      <c r="L190" s="52"/>
      <c r="M190" s="52"/>
      <c r="N190" s="52"/>
      <c r="O190" s="52"/>
      <c r="P190" s="53"/>
      <c r="Q190" s="3"/>
      <c r="R190" s="3"/>
      <c r="S190" s="3"/>
      <c r="T190" s="3"/>
      <c r="U190" s="3"/>
      <c r="V190" s="3"/>
      <c r="W190" s="54"/>
      <c r="X190" s="3"/>
      <c r="Y190" s="3"/>
      <c r="Z190" s="3"/>
    </row>
    <row r="191" ht="15.75" customHeight="1">
      <c r="A191" s="18"/>
      <c r="B191" s="55">
        <v>2.0</v>
      </c>
      <c r="C191" s="50" t="s">
        <v>140</v>
      </c>
      <c r="D191" s="57"/>
      <c r="E191" s="24">
        <f>GAMBIRAN!AY191+JAJAG!BA191+PURWODADI!AC191+WRINGINAGUNG!AB191+WRINGINREJO!X191+YOSOMULYO!AP191</f>
        <v>10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5">
        <v>3.0</v>
      </c>
      <c r="C192" s="50" t="s">
        <v>141</v>
      </c>
      <c r="D192" s="57"/>
      <c r="E192" s="24">
        <f>GAMBIRAN!AY192+JAJAG!BA192+PURWODADI!AC192+WRINGINAGUNG!AB192+WRINGINREJO!X192+YOSOMULYO!AP192</f>
        <v>3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55">
        <v>4.0</v>
      </c>
      <c r="C193" s="50" t="s">
        <v>142</v>
      </c>
      <c r="D193" s="57"/>
      <c r="E193" s="24">
        <f>GAMBIRAN!AY193+JAJAG!BA193+PURWODADI!AC193+WRINGINAGUNG!AB193+WRINGINREJO!X193+YOSOMULYO!AP193</f>
        <v>1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55">
        <v>5.0</v>
      </c>
      <c r="C194" s="50" t="s">
        <v>143</v>
      </c>
      <c r="D194" s="57"/>
      <c r="E194" s="24">
        <f>GAMBIRAN!AY194+JAJAG!BA194+PURWODADI!AC194+WRINGINAGUNG!AB194+WRINGINREJO!X194+YOSOMULYO!AP194</f>
        <v>6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5">
        <v>6.0</v>
      </c>
      <c r="C195" s="50" t="s">
        <v>144</v>
      </c>
      <c r="D195" s="57"/>
      <c r="E195" s="24">
        <f>GAMBIRAN!AY195+JAJAG!BA195+PURWODADI!AC195+WRINGINAGUNG!AB195+WRINGINREJO!X195+YOSOMULYO!AP195</f>
        <v>1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5">
        <v>7.0</v>
      </c>
      <c r="C196" s="50" t="s">
        <v>145</v>
      </c>
      <c r="D196" s="57"/>
      <c r="E196" s="24">
        <f>GAMBIRAN!AY196+JAJAG!BA196+PURWODADI!AC196+WRINGINAGUNG!AB196+WRINGINREJO!X196+YOSOMULYO!AP196</f>
        <v>5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5"/>
      <c r="C197" s="50"/>
      <c r="D197" s="57"/>
      <c r="E197" s="24"/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5"/>
      <c r="C198" s="50"/>
      <c r="D198" s="57"/>
      <c r="E198" s="24"/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47" t="s">
        <v>47</v>
      </c>
      <c r="C199" s="15"/>
      <c r="D199" s="16"/>
      <c r="E199" s="13">
        <f>SUM(E189:E196)</f>
        <v>63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37</v>
      </c>
      <c r="B201" s="47" t="s">
        <v>146</v>
      </c>
      <c r="C201" s="48" t="s">
        <v>147</v>
      </c>
      <c r="D201" s="16"/>
      <c r="E201" s="24">
        <f>GAMBIRAN!AY201+JAJAG!BA201+PURWODADI!AC201+WRINGINAGUNG!AB201+WRINGINREJO!X201+YOSOMULYO!AP201</f>
        <v>1131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39</v>
      </c>
      <c r="B202" s="55">
        <v>1.0</v>
      </c>
      <c r="C202" s="50" t="s">
        <v>148</v>
      </c>
      <c r="D202" s="57"/>
      <c r="E202" s="24">
        <f>GAMBIRAN!AY202+JAJAG!BA202+PURWODADI!AC202+WRINGINAGUNG!AB202+WRINGINREJO!X202+YOSOMULYO!AP202</f>
        <v>1841</v>
      </c>
      <c r="F202" s="51"/>
      <c r="G202" s="52"/>
      <c r="H202" s="52"/>
      <c r="I202" s="52"/>
      <c r="J202" s="52"/>
      <c r="K202" s="52"/>
      <c r="L202" s="52"/>
      <c r="M202" s="52"/>
      <c r="N202" s="52"/>
      <c r="O202" s="52"/>
      <c r="P202" s="53"/>
      <c r="Q202" s="3"/>
      <c r="R202" s="3"/>
      <c r="S202" s="3"/>
      <c r="T202" s="3"/>
      <c r="U202" s="3"/>
      <c r="V202" s="3"/>
      <c r="W202" s="54"/>
      <c r="X202" s="3"/>
      <c r="Y202" s="3"/>
      <c r="Z202" s="3"/>
    </row>
    <row r="203" ht="15.75" customHeight="1">
      <c r="A203" s="18"/>
      <c r="B203" s="55">
        <v>2.0</v>
      </c>
      <c r="C203" s="50" t="s">
        <v>149</v>
      </c>
      <c r="D203" s="57"/>
      <c r="E203" s="24">
        <f>GAMBIRAN!AY203+JAJAG!BA203+PURWODADI!AC203+WRINGINAGUNG!AB203+WRINGINREJO!X203+YOSOMULYO!AP203</f>
        <v>615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5">
        <v>3.0</v>
      </c>
      <c r="C204" s="50" t="s">
        <v>150</v>
      </c>
      <c r="D204" s="57"/>
      <c r="E204" s="24">
        <f>GAMBIRAN!AY204+JAJAG!BA204+PURWODADI!AC204+WRINGINAGUNG!AB204+WRINGINREJO!X204+YOSOMULYO!AP204</f>
        <v>247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5">
        <v>4.0</v>
      </c>
      <c r="C205" s="50" t="s">
        <v>151</v>
      </c>
      <c r="D205" s="57"/>
      <c r="E205" s="24">
        <f>GAMBIRAN!AY205+JAJAG!BA205+PURWODADI!AC205+WRINGINAGUNG!AB205+WRINGINREJO!X205+YOSOMULYO!AP205</f>
        <v>172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55">
        <v>5.0</v>
      </c>
      <c r="C206" s="50" t="s">
        <v>152</v>
      </c>
      <c r="D206" s="57"/>
      <c r="E206" s="24">
        <f>GAMBIRAN!AY206+JAJAG!BA206+PURWODADI!AC206+WRINGINAGUNG!AB206+WRINGINREJO!X206+YOSOMULYO!AP206</f>
        <v>80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55">
        <v>6.0</v>
      </c>
      <c r="C207" s="50" t="s">
        <v>153</v>
      </c>
      <c r="D207" s="57"/>
      <c r="E207" s="24">
        <f>GAMBIRAN!AY207+JAJAG!BA207+PURWODADI!AC207+WRINGINAGUNG!AB207+WRINGINREJO!X207+YOSOMULYO!AP207</f>
        <v>93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5">
        <v>7.0</v>
      </c>
      <c r="C208" s="50" t="s">
        <v>154</v>
      </c>
      <c r="D208" s="57"/>
      <c r="E208" s="24">
        <f>GAMBIRAN!AY208+JAJAG!BA208+PURWODADI!AC208+WRINGINAGUNG!AB208+WRINGINREJO!X208+YOSOMULYO!AP208</f>
        <v>103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5"/>
      <c r="C209" s="50"/>
      <c r="D209" s="57"/>
      <c r="E209" s="24"/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5"/>
      <c r="C210" s="50"/>
      <c r="D210" s="57"/>
      <c r="E210" s="24"/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47" t="s">
        <v>47</v>
      </c>
      <c r="C211" s="15"/>
      <c r="D211" s="16"/>
      <c r="E211" s="13">
        <f>SUM(E201:E208)</f>
        <v>4282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37</v>
      </c>
      <c r="B213" s="47" t="s">
        <v>155</v>
      </c>
      <c r="C213" s="48" t="s">
        <v>156</v>
      </c>
      <c r="D213" s="16"/>
      <c r="E213" s="24">
        <f>GAMBIRAN!AY213+JAJAG!BA213+PURWODADI!AC213+WRINGINAGUNG!AB213+WRINGINREJO!X213+YOSOMULYO!AP213</f>
        <v>450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39</v>
      </c>
      <c r="B214" s="55">
        <v>1.0</v>
      </c>
      <c r="C214" s="50" t="s">
        <v>157</v>
      </c>
      <c r="D214" s="56"/>
      <c r="E214" s="24">
        <f>GAMBIRAN!AY214+JAJAG!BA214+PURWODADI!AC214+WRINGINAGUNG!AB214+WRINGINREJO!X214+YOSOMULYO!AP214</f>
        <v>526</v>
      </c>
      <c r="F214" s="51"/>
      <c r="G214" s="52"/>
      <c r="H214" s="52"/>
      <c r="I214" s="52"/>
      <c r="J214" s="52"/>
      <c r="K214" s="52"/>
      <c r="L214" s="52"/>
      <c r="M214" s="52"/>
      <c r="N214" s="52"/>
      <c r="O214" s="52"/>
      <c r="P214" s="53"/>
      <c r="Q214" s="3"/>
      <c r="R214" s="3"/>
      <c r="S214" s="3"/>
      <c r="T214" s="3"/>
      <c r="U214" s="3"/>
      <c r="V214" s="3"/>
      <c r="W214" s="54"/>
      <c r="X214" s="3"/>
      <c r="Y214" s="3"/>
      <c r="Z214" s="3"/>
    </row>
    <row r="215" ht="15.75" customHeight="1">
      <c r="A215" s="18"/>
      <c r="B215" s="55">
        <v>2.0</v>
      </c>
      <c r="C215" s="50" t="s">
        <v>158</v>
      </c>
      <c r="D215" s="56"/>
      <c r="E215" s="24">
        <f>GAMBIRAN!AY215+JAJAG!BA215+PURWODADI!AC215+WRINGINAGUNG!AB215+WRINGINREJO!X215+YOSOMULYO!AP215</f>
        <v>370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5">
        <v>3.0</v>
      </c>
      <c r="C216" s="61" t="s">
        <v>159</v>
      </c>
      <c r="E216" s="24">
        <f>GAMBIRAN!AY216+JAJAG!BA216+PURWODADI!AC216+WRINGINAGUNG!AB216+WRINGINREJO!X216+YOSOMULYO!AP216</f>
        <v>80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5">
        <v>4.0</v>
      </c>
      <c r="C217" s="50" t="s">
        <v>160</v>
      </c>
      <c r="D217" s="56"/>
      <c r="E217" s="24">
        <f>GAMBIRAN!AY217+JAJAG!BA217+PURWODADI!AC217+WRINGINAGUNG!AB217+WRINGINREJO!X217+YOSOMULYO!AP217</f>
        <v>22</v>
      </c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5">
        <v>5.0</v>
      </c>
      <c r="C218" s="50" t="s">
        <v>161</v>
      </c>
      <c r="D218" s="56"/>
      <c r="E218" s="24">
        <f>GAMBIRAN!AY218+JAJAG!BA218+PURWODADI!AC218+WRINGINAGUNG!AB218+WRINGINREJO!X218+YOSOMULYO!AP218</f>
        <v>30</v>
      </c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5">
        <v>6.0</v>
      </c>
      <c r="C219" s="50" t="s">
        <v>162</v>
      </c>
      <c r="D219" s="56"/>
      <c r="E219" s="24">
        <f>GAMBIRAN!AY219+JAJAG!BA219+PURWODADI!AC219+WRINGINAGUNG!AB219+WRINGINREJO!X219+YOSOMULYO!AP219</f>
        <v>45</v>
      </c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5">
        <v>7.0</v>
      </c>
      <c r="C220" s="50" t="s">
        <v>163</v>
      </c>
      <c r="D220" s="56"/>
      <c r="E220" s="24">
        <f>GAMBIRAN!AY220+JAJAG!BA220+PURWODADI!AC220+WRINGINAGUNG!AB220+WRINGINREJO!X220+YOSOMULYO!AP220</f>
        <v>30</v>
      </c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5"/>
      <c r="C221" s="50"/>
      <c r="D221" s="56"/>
      <c r="E221" s="24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5"/>
      <c r="C222" s="50"/>
      <c r="D222" s="56"/>
      <c r="E222" s="24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47" t="s">
        <v>47</v>
      </c>
      <c r="C223" s="15"/>
      <c r="D223" s="16"/>
      <c r="E223" s="13">
        <f>SUM(E213:E220)</f>
        <v>1553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37</v>
      </c>
      <c r="B225" s="47" t="s">
        <v>164</v>
      </c>
      <c r="C225" s="48" t="s">
        <v>165</v>
      </c>
      <c r="D225" s="16"/>
      <c r="E225" s="24">
        <f>GAMBIRAN!AY225+JAJAG!BA225+PURWODADI!AC225+WRINGINAGUNG!AB225+WRINGINREJO!X225+YOSOMULYO!AP225</f>
        <v>72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39</v>
      </c>
      <c r="B226" s="55">
        <v>1.0</v>
      </c>
      <c r="C226" s="50" t="s">
        <v>166</v>
      </c>
      <c r="D226" s="57"/>
      <c r="E226" s="24">
        <f>GAMBIRAN!AY226+JAJAG!BA226+PURWODADI!AC226+WRINGINAGUNG!AB226+WRINGINREJO!X226+YOSOMULYO!AP226</f>
        <v>361</v>
      </c>
      <c r="F226" s="51"/>
      <c r="G226" s="52"/>
      <c r="H226" s="52"/>
      <c r="I226" s="52"/>
      <c r="J226" s="52"/>
      <c r="K226" s="52"/>
      <c r="L226" s="52"/>
      <c r="M226" s="52"/>
      <c r="N226" s="52"/>
      <c r="O226" s="52"/>
      <c r="P226" s="53"/>
      <c r="Q226" s="3"/>
      <c r="R226" s="3"/>
      <c r="S226" s="3"/>
      <c r="T226" s="3"/>
      <c r="U226" s="3"/>
      <c r="V226" s="3"/>
      <c r="W226" s="54"/>
      <c r="X226" s="3"/>
      <c r="Y226" s="3"/>
      <c r="Z226" s="3"/>
    </row>
    <row r="227" ht="15.75" customHeight="1">
      <c r="A227" s="18"/>
      <c r="B227" s="55">
        <v>2.0</v>
      </c>
      <c r="C227" s="50" t="s">
        <v>167</v>
      </c>
      <c r="D227" s="57"/>
      <c r="E227" s="24">
        <f>GAMBIRAN!AY227+JAJAG!BA227+PURWODADI!AC227+WRINGINAGUNG!AB227+WRINGINREJO!X227+YOSOMULYO!AP227</f>
        <v>16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55">
        <v>3.0</v>
      </c>
      <c r="C228" s="50" t="s">
        <v>168</v>
      </c>
      <c r="D228" s="57"/>
      <c r="E228" s="24">
        <f>GAMBIRAN!AY228+JAJAG!BA228+PURWODADI!AC228+WRINGINAGUNG!AB228+WRINGINREJO!X228+YOSOMULYO!AP228</f>
        <v>14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55">
        <v>4.0</v>
      </c>
      <c r="C229" s="50" t="s">
        <v>169</v>
      </c>
      <c r="D229" s="57"/>
      <c r="E229" s="24">
        <f>GAMBIRAN!AY229+JAJAG!BA229+PURWODADI!AC229+WRINGINAGUNG!AB229+WRINGINREJO!X229+YOSOMULYO!AP229</f>
        <v>7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5">
        <v>5.0</v>
      </c>
      <c r="C230" s="50" t="s">
        <v>170</v>
      </c>
      <c r="D230" s="57"/>
      <c r="E230" s="24">
        <f>GAMBIRAN!AY230+JAJAG!BA230+PURWODADI!AC230+WRINGINAGUNG!AB230+WRINGINREJO!X230+YOSOMULYO!AP230</f>
        <v>9</v>
      </c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5">
        <v>6.0</v>
      </c>
      <c r="C231" s="50" t="s">
        <v>171</v>
      </c>
      <c r="D231" s="57"/>
      <c r="E231" s="24">
        <f>GAMBIRAN!AY231+JAJAG!BA231+PURWODADI!AC231+WRINGINAGUNG!AB231+WRINGINREJO!X231+YOSOMULYO!AP231</f>
        <v>3</v>
      </c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5">
        <v>7.0</v>
      </c>
      <c r="C232" s="50" t="s">
        <v>172</v>
      </c>
      <c r="D232" s="57"/>
      <c r="E232" s="24">
        <f>GAMBIRAN!AY232+JAJAG!BA232+PURWODADI!AC232+WRINGINAGUNG!AB232+WRINGINREJO!X232+YOSOMULYO!AP232</f>
        <v>47</v>
      </c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5"/>
      <c r="C233" s="50"/>
      <c r="D233" s="57"/>
      <c r="E233" s="24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5"/>
      <c r="C234" s="50"/>
      <c r="D234" s="57"/>
      <c r="E234" s="24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47" t="s">
        <v>47</v>
      </c>
      <c r="C235" s="15"/>
      <c r="D235" s="16"/>
      <c r="E235" s="13">
        <f>SUM(E225:E232)</f>
        <v>529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37</v>
      </c>
      <c r="B237" s="47" t="s">
        <v>173</v>
      </c>
      <c r="C237" s="48" t="s">
        <v>174</v>
      </c>
      <c r="D237" s="16"/>
      <c r="E237" s="24">
        <f>GAMBIRAN!AY237+JAJAG!BA237+PURWODADI!AC237+WRINGINAGUNG!AB237+WRINGINREJO!X237+YOSOMULYO!AP237</f>
        <v>191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39</v>
      </c>
      <c r="B238" s="55">
        <v>1.0</v>
      </c>
      <c r="C238" s="50" t="s">
        <v>175</v>
      </c>
      <c r="D238" s="57"/>
      <c r="E238" s="24">
        <f>GAMBIRAN!AY238+JAJAG!BA238+PURWODADI!AC238+WRINGINAGUNG!AB238+WRINGINREJO!X238+YOSOMULYO!AP238</f>
        <v>142</v>
      </c>
      <c r="F238" s="51"/>
      <c r="G238" s="52"/>
      <c r="H238" s="52"/>
      <c r="I238" s="52"/>
      <c r="J238" s="52"/>
      <c r="K238" s="52"/>
      <c r="L238" s="52"/>
      <c r="M238" s="52"/>
      <c r="N238" s="52"/>
      <c r="O238" s="52"/>
      <c r="P238" s="53"/>
      <c r="Q238" s="3"/>
      <c r="R238" s="3"/>
      <c r="S238" s="3"/>
      <c r="T238" s="3"/>
      <c r="U238" s="3"/>
      <c r="V238" s="3"/>
      <c r="W238" s="54"/>
      <c r="X238" s="3"/>
      <c r="Y238" s="3"/>
      <c r="Z238" s="3"/>
    </row>
    <row r="239" ht="15.75" customHeight="1">
      <c r="A239" s="18"/>
      <c r="B239" s="55">
        <v>2.0</v>
      </c>
      <c r="C239" s="50" t="s">
        <v>176</v>
      </c>
      <c r="D239" s="57"/>
      <c r="E239" s="24">
        <f>GAMBIRAN!AY239+JAJAG!BA239+PURWODADI!AC239+WRINGINAGUNG!AB239+WRINGINREJO!X239+YOSOMULYO!AP239</f>
        <v>113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55">
        <v>3.0</v>
      </c>
      <c r="C240" s="50" t="s">
        <v>177</v>
      </c>
      <c r="D240" s="57"/>
      <c r="E240" s="24">
        <f>GAMBIRAN!AY240+JAJAG!BA240+PURWODADI!AC240+WRINGINAGUNG!AB240+WRINGINREJO!X240+YOSOMULYO!AP240</f>
        <v>46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55">
        <v>4.0</v>
      </c>
      <c r="C241" s="50" t="s">
        <v>178</v>
      </c>
      <c r="D241" s="57"/>
      <c r="E241" s="24">
        <f>GAMBIRAN!AY241+JAJAG!BA241+PURWODADI!AC241+WRINGINAGUNG!AB241+WRINGINREJO!X241+YOSOMULYO!AP241</f>
        <v>37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55">
        <v>5.0</v>
      </c>
      <c r="C242" s="50" t="s">
        <v>179</v>
      </c>
      <c r="D242" s="57"/>
      <c r="E242" s="24">
        <f>GAMBIRAN!AY242+JAJAG!BA242+PURWODADI!AC242+WRINGINAGUNG!AB242+WRINGINREJO!X242+YOSOMULYO!AP242</f>
        <v>11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55">
        <v>6.0</v>
      </c>
      <c r="C243" s="50" t="s">
        <v>180</v>
      </c>
      <c r="D243" s="57"/>
      <c r="E243" s="24">
        <f>GAMBIRAN!AY243+JAJAG!BA243+PURWODADI!AC243+WRINGINAGUNG!AB243+WRINGINREJO!X243+YOSOMULYO!AP243</f>
        <v>42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5">
        <v>7.0</v>
      </c>
      <c r="C244" s="50" t="s">
        <v>181</v>
      </c>
      <c r="D244" s="57"/>
      <c r="E244" s="24">
        <f>GAMBIRAN!AY244+JAJAG!BA244+PURWODADI!AC244+WRINGINAGUNG!AB244+WRINGINREJO!X244+YOSOMULYO!AP244</f>
        <v>1059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5"/>
      <c r="C245" s="50"/>
      <c r="D245" s="57"/>
      <c r="E245" s="24"/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5"/>
      <c r="C246" s="50"/>
      <c r="D246" s="57"/>
      <c r="E246" s="24"/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47" t="s">
        <v>47</v>
      </c>
      <c r="C247" s="15"/>
      <c r="D247" s="16"/>
      <c r="E247" s="13">
        <f>SUM(E237:E244)</f>
        <v>1641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37</v>
      </c>
      <c r="B249" s="47" t="s">
        <v>182</v>
      </c>
      <c r="C249" s="48" t="s">
        <v>183</v>
      </c>
      <c r="D249" s="16"/>
      <c r="E249" s="24">
        <f>GAMBIRAN!AY249+JAJAG!BA249+PURWODADI!AC249+WRINGINAGUNG!AB249+WRINGINREJO!X249+YOSOMULYO!AP249</f>
        <v>48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39</v>
      </c>
      <c r="B250" s="55">
        <v>1.0</v>
      </c>
      <c r="C250" s="59" t="s">
        <v>184</v>
      </c>
      <c r="D250" s="57"/>
      <c r="E250" s="24">
        <f>GAMBIRAN!AY250+JAJAG!BA250+PURWODADI!AC250+WRINGINAGUNG!AB250+WRINGINREJO!X250+YOSOMULYO!AP250</f>
        <v>49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5">
        <v>2.0</v>
      </c>
      <c r="C251" s="59" t="s">
        <v>185</v>
      </c>
      <c r="D251" s="57"/>
      <c r="E251" s="24">
        <f>GAMBIRAN!AY251+JAJAG!BA251+PURWODADI!AC251+WRINGINAGUNG!AB251+WRINGINREJO!X251+YOSOMULYO!AP251</f>
        <v>29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5">
        <v>3.0</v>
      </c>
      <c r="C252" s="59" t="s">
        <v>186</v>
      </c>
      <c r="D252" s="57"/>
      <c r="E252" s="24">
        <f>GAMBIRAN!AY252+JAJAG!BA252+PURWODADI!AC252+WRINGINAGUNG!AB252+WRINGINREJO!X252+YOSOMULYO!AP252</f>
        <v>5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5">
        <v>4.0</v>
      </c>
      <c r="C253" s="59" t="s">
        <v>187</v>
      </c>
      <c r="D253" s="57"/>
      <c r="E253" s="24">
        <f>GAMBIRAN!AY253+JAJAG!BA253+PURWODADI!AC253+WRINGINAGUNG!AB253+WRINGINREJO!X253+YOSOMULYO!AP253</f>
        <v>2</v>
      </c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5">
        <v>5.0</v>
      </c>
      <c r="C254" s="59" t="s">
        <v>188</v>
      </c>
      <c r="D254" s="57"/>
      <c r="E254" s="24">
        <f>GAMBIRAN!AY254+JAJAG!BA254+PURWODADI!AC254+WRINGINAGUNG!AB254+WRINGINREJO!X254+YOSOMULYO!AP254</f>
        <v>8</v>
      </c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5">
        <v>6.0</v>
      </c>
      <c r="C255" s="59" t="s">
        <v>189</v>
      </c>
      <c r="D255" s="57"/>
      <c r="E255" s="24">
        <f>GAMBIRAN!AY255+JAJAG!BA255+PURWODADI!AC255+WRINGINAGUNG!AB255+WRINGINREJO!X255+YOSOMULYO!AP255</f>
        <v>7</v>
      </c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5"/>
      <c r="C256" s="60"/>
      <c r="D256" s="57"/>
      <c r="E256" s="24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5"/>
      <c r="C257" s="60"/>
      <c r="D257" s="57"/>
      <c r="E257" s="24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5"/>
      <c r="C258" s="60"/>
      <c r="D258" s="57"/>
      <c r="E258" s="24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47" t="s">
        <v>47</v>
      </c>
      <c r="C259" s="15"/>
      <c r="D259" s="16"/>
      <c r="E259" s="13">
        <f>SUM(E249:E255)</f>
        <v>148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190</v>
      </c>
      <c r="B261" s="14" t="s">
        <v>191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62" t="s">
        <v>192</v>
      </c>
      <c r="C262" s="63" t="s">
        <v>193</v>
      </c>
      <c r="D262" s="16"/>
      <c r="E262" s="24">
        <f>GAMBIRAN!AY262+JAJAG!BA262+PURWODADI!AC262+WRINGINAGUNG!AB262+WRINGINREJO!X262+YOSOMULYO!AP262</f>
        <v>36135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62" t="s">
        <v>194</v>
      </c>
      <c r="C263" s="63" t="s">
        <v>195</v>
      </c>
      <c r="D263" s="16"/>
      <c r="E263" s="24">
        <f>GAMBIRAN!AY263+JAJAG!BA263+PURWODADI!AC263+WRINGINAGUNG!AB263+WRINGINREJO!X263+YOSOMULYO!AP263</f>
        <v>4109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62" t="s">
        <v>196</v>
      </c>
      <c r="C264" s="63" t="s">
        <v>197</v>
      </c>
      <c r="D264" s="16"/>
      <c r="E264" s="13">
        <f>SUM(E262:E263)</f>
        <v>40244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64"/>
      <c r="C265" s="6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64"/>
      <c r="C266" s="6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64"/>
      <c r="C267" s="6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64"/>
      <c r="C268" s="6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64"/>
      <c r="C269" s="6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64"/>
      <c r="C270" s="6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64"/>
      <c r="C271" s="6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64"/>
      <c r="C272" s="6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64"/>
      <c r="C273" s="6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64"/>
      <c r="C274" s="6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64"/>
      <c r="C275" s="6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64"/>
      <c r="C276" s="6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64"/>
      <c r="C277" s="6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64"/>
      <c r="C278" s="6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64"/>
      <c r="C279" s="6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64"/>
      <c r="C280" s="6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64"/>
      <c r="C281" s="6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64"/>
      <c r="C282" s="6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64"/>
      <c r="C283" s="6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64"/>
      <c r="C284" s="6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64"/>
      <c r="C285" s="6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64"/>
      <c r="C286" s="6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64"/>
      <c r="C287" s="6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64"/>
      <c r="C288" s="6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64"/>
      <c r="C289" s="6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64"/>
      <c r="C290" s="6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64"/>
      <c r="C291" s="6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64"/>
      <c r="C292" s="6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64"/>
      <c r="C293" s="6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64"/>
      <c r="C294" s="6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64"/>
      <c r="C295" s="6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64"/>
      <c r="C296" s="6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64"/>
      <c r="C297" s="6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64"/>
      <c r="C298" s="6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64"/>
      <c r="C299" s="6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64"/>
      <c r="C300" s="6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64"/>
      <c r="C301" s="6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64"/>
      <c r="C302" s="6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64"/>
      <c r="C303" s="6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64"/>
      <c r="C304" s="6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64"/>
      <c r="C305" s="6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64"/>
      <c r="C306" s="6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64"/>
      <c r="C307" s="6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64"/>
      <c r="C308" s="6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64"/>
      <c r="C309" s="6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64"/>
      <c r="C310" s="6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64"/>
      <c r="C311" s="6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64"/>
      <c r="C312" s="6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64"/>
      <c r="C313" s="6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64"/>
      <c r="C314" s="6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64"/>
      <c r="C315" s="6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64"/>
      <c r="C316" s="6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64"/>
      <c r="C317" s="6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64"/>
      <c r="C318" s="6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64"/>
      <c r="C319" s="6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64"/>
      <c r="C320" s="6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64"/>
      <c r="C321" s="6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64"/>
      <c r="C322" s="6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64"/>
      <c r="C323" s="6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64"/>
      <c r="C324" s="6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64"/>
      <c r="C325" s="6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64"/>
      <c r="C326" s="6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64"/>
      <c r="C327" s="6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64"/>
      <c r="C328" s="6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64"/>
      <c r="C329" s="6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64"/>
      <c r="C330" s="6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64"/>
      <c r="C331" s="6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64"/>
      <c r="C332" s="6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64"/>
      <c r="C333" s="6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64"/>
      <c r="C334" s="6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64"/>
      <c r="C335" s="6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64"/>
      <c r="C336" s="6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64"/>
      <c r="C337" s="6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64"/>
      <c r="C338" s="6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64"/>
      <c r="C339" s="6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64"/>
      <c r="C340" s="6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64"/>
      <c r="C341" s="6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64"/>
      <c r="C342" s="6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64"/>
      <c r="C343" s="6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64"/>
      <c r="C344" s="6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64"/>
      <c r="C345" s="6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64"/>
      <c r="C346" s="6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64"/>
      <c r="C347" s="6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64"/>
      <c r="C348" s="6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64"/>
      <c r="C349" s="6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64"/>
      <c r="C350" s="6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64"/>
      <c r="C351" s="6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64"/>
      <c r="C352" s="6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64"/>
      <c r="C353" s="6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64"/>
      <c r="C354" s="6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64"/>
      <c r="C355" s="6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64"/>
      <c r="C356" s="6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64"/>
      <c r="C357" s="6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64"/>
      <c r="C358" s="6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64"/>
      <c r="C359" s="6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64"/>
      <c r="C360" s="6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64"/>
      <c r="C361" s="6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64"/>
      <c r="C362" s="6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64"/>
      <c r="C363" s="6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64"/>
      <c r="C364" s="6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64"/>
      <c r="C365" s="6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64"/>
      <c r="C366" s="6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64"/>
      <c r="C367" s="6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64"/>
      <c r="C368" s="6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64"/>
      <c r="C369" s="6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64"/>
      <c r="C370" s="6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64"/>
      <c r="C371" s="6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64"/>
      <c r="C372" s="6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64"/>
      <c r="C373" s="6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64"/>
      <c r="C374" s="6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64"/>
      <c r="C375" s="6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64"/>
      <c r="C376" s="6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64"/>
      <c r="C377" s="6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64"/>
      <c r="C378" s="6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64"/>
      <c r="C379" s="6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64"/>
      <c r="C380" s="6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64"/>
      <c r="C381" s="6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64"/>
      <c r="C382" s="6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64"/>
      <c r="C383" s="6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64"/>
      <c r="C384" s="6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64"/>
      <c r="C385" s="6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64"/>
      <c r="C386" s="6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64"/>
      <c r="C387" s="6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64"/>
      <c r="C388" s="6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64"/>
      <c r="C389" s="6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64"/>
      <c r="C390" s="6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64"/>
      <c r="C391" s="6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64"/>
      <c r="C392" s="6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64"/>
      <c r="C393" s="6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64"/>
      <c r="C394" s="6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64"/>
      <c r="C395" s="6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64"/>
      <c r="C396" s="6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64"/>
      <c r="C397" s="6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64"/>
      <c r="C398" s="6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64"/>
      <c r="C399" s="6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64"/>
      <c r="C400" s="6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64"/>
      <c r="C401" s="6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64"/>
      <c r="C402" s="6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64"/>
      <c r="C403" s="6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64"/>
      <c r="C404" s="6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64"/>
      <c r="C405" s="6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64"/>
      <c r="C406" s="6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64"/>
      <c r="C407" s="6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64"/>
      <c r="C408" s="6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64"/>
      <c r="C409" s="6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64"/>
      <c r="C410" s="6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64"/>
      <c r="C411" s="6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64"/>
      <c r="C412" s="6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64"/>
      <c r="C413" s="6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64"/>
      <c r="C414" s="6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64"/>
      <c r="C415" s="6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64"/>
      <c r="C416" s="6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64"/>
      <c r="C417" s="6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64"/>
      <c r="C418" s="6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64"/>
      <c r="C419" s="6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64"/>
      <c r="C420" s="6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64"/>
      <c r="C421" s="6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64"/>
      <c r="C422" s="6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64"/>
      <c r="C423" s="6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64"/>
      <c r="C424" s="6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64"/>
      <c r="C425" s="6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64"/>
      <c r="C426" s="6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64"/>
      <c r="C427" s="6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64"/>
      <c r="C428" s="6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64"/>
      <c r="C429" s="6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64"/>
      <c r="C430" s="6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64"/>
      <c r="C431" s="6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64"/>
      <c r="C432" s="6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64"/>
      <c r="C433" s="6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64"/>
      <c r="C434" s="6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64"/>
      <c r="C435" s="6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64"/>
      <c r="C436" s="6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64"/>
      <c r="C437" s="6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64"/>
      <c r="C438" s="6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64"/>
      <c r="C439" s="6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64"/>
      <c r="C440" s="6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64"/>
      <c r="C441" s="6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64"/>
      <c r="C442" s="6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64"/>
      <c r="C443" s="6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64"/>
      <c r="C444" s="6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64"/>
      <c r="C445" s="6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64"/>
      <c r="C446" s="6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64"/>
      <c r="C447" s="6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64"/>
      <c r="C448" s="6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64"/>
      <c r="C449" s="6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64"/>
      <c r="C450" s="6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64"/>
      <c r="C451" s="6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64"/>
      <c r="C452" s="6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64"/>
      <c r="C453" s="6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64"/>
      <c r="C454" s="6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64"/>
      <c r="C455" s="6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64"/>
      <c r="C456" s="6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64"/>
      <c r="C457" s="6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64"/>
      <c r="C458" s="6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64"/>
      <c r="C459" s="6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64"/>
      <c r="C460" s="6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64"/>
      <c r="C461" s="6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64"/>
      <c r="C462" s="65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64"/>
      <c r="C463" s="65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64"/>
      <c r="C464" s="65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0"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A56:E56"/>
    <mergeCell ref="C57:D57"/>
    <mergeCell ref="C47:D47"/>
    <mergeCell ref="C48:D48"/>
    <mergeCell ref="C49:D49"/>
    <mergeCell ref="C50:D50"/>
    <mergeCell ref="C51:D51"/>
    <mergeCell ref="C52:D52"/>
    <mergeCell ref="B55:D55"/>
    <mergeCell ref="C117:D117"/>
    <mergeCell ref="B127:D127"/>
    <mergeCell ref="A128:E128"/>
    <mergeCell ref="C129:D129"/>
    <mergeCell ref="B139:D139"/>
    <mergeCell ref="A140:E140"/>
    <mergeCell ref="C141:D141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E259">
    <cfRule type="containsBlanks" dxfId="1" priority="3">
      <formula>LEN(TRIM(E259))=0</formula>
    </cfRule>
  </conditionalFormatting>
  <conditionalFormatting sqref="F259:O261">
    <cfRule type="cellIs" dxfId="0" priority="4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0" width="8.71"/>
    <col customWidth="1" min="51" max="51" width="13.29"/>
    <col customWidth="1" min="52" max="53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W11" s="1"/>
      <c r="X11" s="1"/>
      <c r="Y11" s="1"/>
      <c r="Z11" s="1"/>
      <c r="AA11" s="1"/>
      <c r="AB11" s="1"/>
      <c r="AC11" s="1"/>
      <c r="AD11" s="1"/>
      <c r="AE11" s="1"/>
      <c r="AF11" s="2"/>
    </row>
    <row r="12" ht="12.75" customHeight="1">
      <c r="A12" s="13" t="s">
        <v>6</v>
      </c>
      <c r="B12" s="14" t="s">
        <v>7</v>
      </c>
      <c r="C12" s="15"/>
      <c r="D12" s="1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29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6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219</v>
      </c>
      <c r="Z13" s="13" t="s">
        <v>220</v>
      </c>
      <c r="AA13" s="13" t="s">
        <v>221</v>
      </c>
      <c r="AB13" s="13" t="s">
        <v>222</v>
      </c>
      <c r="AC13" s="13" t="s">
        <v>223</v>
      </c>
      <c r="AD13" s="13" t="s">
        <v>224</v>
      </c>
      <c r="AE13" s="13" t="s">
        <v>225</v>
      </c>
      <c r="AF13" s="13" t="s">
        <v>226</v>
      </c>
      <c r="AG13" s="13" t="s">
        <v>227</v>
      </c>
      <c r="AH13" s="13" t="s">
        <v>228</v>
      </c>
      <c r="AI13" s="13" t="s">
        <v>229</v>
      </c>
      <c r="AJ13" s="13" t="s">
        <v>230</v>
      </c>
      <c r="AK13" s="13" t="s">
        <v>231</v>
      </c>
      <c r="AL13" s="13" t="s">
        <v>232</v>
      </c>
      <c r="AM13" s="13" t="s">
        <v>233</v>
      </c>
      <c r="AN13" s="13" t="s">
        <v>234</v>
      </c>
      <c r="AO13" s="13" t="s">
        <v>235</v>
      </c>
      <c r="AP13" s="13" t="s">
        <v>236</v>
      </c>
      <c r="AQ13" s="13" t="s">
        <v>237</v>
      </c>
      <c r="AR13" s="13" t="s">
        <v>238</v>
      </c>
      <c r="AS13" s="13" t="s">
        <v>239</v>
      </c>
      <c r="AT13" s="13" t="s">
        <v>240</v>
      </c>
      <c r="AU13" s="13" t="s">
        <v>241</v>
      </c>
      <c r="AV13" s="13" t="s">
        <v>242</v>
      </c>
      <c r="AW13" s="13" t="s">
        <v>243</v>
      </c>
      <c r="AX13" s="13" t="s">
        <v>244</v>
      </c>
      <c r="AY13" s="36"/>
    </row>
    <row r="14" ht="12.75" customHeight="1">
      <c r="A14" s="18"/>
      <c r="B14" s="22" t="s">
        <v>11</v>
      </c>
      <c r="C14" s="23"/>
      <c r="D14" s="19" t="s">
        <v>12</v>
      </c>
      <c r="E14" s="19">
        <v>123.0</v>
      </c>
      <c r="F14" s="19">
        <v>140.0</v>
      </c>
      <c r="G14" s="19">
        <v>122.0</v>
      </c>
      <c r="H14" s="19">
        <v>121.0</v>
      </c>
      <c r="I14" s="19">
        <v>142.0</v>
      </c>
      <c r="J14" s="19">
        <v>124.0</v>
      </c>
      <c r="K14" s="19">
        <v>123.0</v>
      </c>
      <c r="L14" s="19">
        <v>132.0</v>
      </c>
      <c r="M14" s="19">
        <v>104.0</v>
      </c>
      <c r="N14" s="19">
        <v>142.0</v>
      </c>
      <c r="O14" s="19">
        <v>149.0</v>
      </c>
      <c r="P14" s="19">
        <v>134.0</v>
      </c>
      <c r="Q14" s="19">
        <v>113.0</v>
      </c>
      <c r="R14" s="19">
        <v>101.0</v>
      </c>
      <c r="S14" s="19">
        <v>103.0</v>
      </c>
      <c r="T14" s="19">
        <v>128.0</v>
      </c>
      <c r="U14" s="19">
        <v>135.0</v>
      </c>
      <c r="V14" s="19">
        <v>137.0</v>
      </c>
      <c r="W14" s="19">
        <v>145.0</v>
      </c>
      <c r="X14" s="19">
        <v>137.0</v>
      </c>
      <c r="Y14" s="19">
        <v>131.0</v>
      </c>
      <c r="Z14" s="19">
        <v>133.0</v>
      </c>
      <c r="AA14" s="19">
        <v>122.0</v>
      </c>
      <c r="AB14" s="19">
        <v>121.0</v>
      </c>
      <c r="AC14" s="19">
        <v>132.0</v>
      </c>
      <c r="AD14" s="19">
        <v>131.0</v>
      </c>
      <c r="AE14" s="19">
        <v>113.0</v>
      </c>
      <c r="AF14" s="19">
        <v>95.0</v>
      </c>
      <c r="AG14" s="19">
        <v>141.0</v>
      </c>
      <c r="AH14" s="19">
        <v>80.0</v>
      </c>
      <c r="AI14" s="19">
        <v>134.0</v>
      </c>
      <c r="AJ14" s="19">
        <v>134.0</v>
      </c>
      <c r="AK14" s="19">
        <v>148.0</v>
      </c>
      <c r="AL14" s="19">
        <v>149.0</v>
      </c>
      <c r="AM14" s="19">
        <v>137.0</v>
      </c>
      <c r="AN14" s="19">
        <v>139.0</v>
      </c>
      <c r="AO14" s="19">
        <v>144.0</v>
      </c>
      <c r="AP14" s="19">
        <v>130.0</v>
      </c>
      <c r="AQ14" s="19">
        <v>148.0</v>
      </c>
      <c r="AR14" s="19">
        <v>132.0</v>
      </c>
      <c r="AS14" s="19">
        <v>145.0</v>
      </c>
      <c r="AT14" s="19">
        <v>134.0</v>
      </c>
      <c r="AU14" s="19">
        <v>145.0</v>
      </c>
      <c r="AV14" s="19">
        <v>136.0</v>
      </c>
      <c r="AW14" s="19">
        <v>131.0</v>
      </c>
      <c r="AX14" s="19">
        <v>154.0</v>
      </c>
      <c r="AY14" s="13">
        <f t="shared" ref="AY14:AY16" si="1">SUM(E14:AX14)</f>
        <v>5994</v>
      </c>
    </row>
    <row r="15" ht="12.75" customHeight="1">
      <c r="A15" s="18"/>
      <c r="B15" s="26"/>
      <c r="C15" s="27"/>
      <c r="D15" s="19" t="s">
        <v>13</v>
      </c>
      <c r="E15" s="19">
        <v>112.0</v>
      </c>
      <c r="F15" s="19">
        <v>126.0</v>
      </c>
      <c r="G15" s="19">
        <v>132.0</v>
      </c>
      <c r="H15" s="19">
        <v>134.0</v>
      </c>
      <c r="I15" s="19">
        <v>139.0</v>
      </c>
      <c r="J15" s="19">
        <v>142.0</v>
      </c>
      <c r="K15" s="19">
        <v>109.0</v>
      </c>
      <c r="L15" s="19">
        <v>126.0</v>
      </c>
      <c r="M15" s="19">
        <v>130.0</v>
      </c>
      <c r="N15" s="19">
        <v>153.0</v>
      </c>
      <c r="O15" s="19">
        <v>140.0</v>
      </c>
      <c r="P15" s="19">
        <v>127.0</v>
      </c>
      <c r="Q15" s="19">
        <v>109.0</v>
      </c>
      <c r="R15" s="19">
        <v>121.0</v>
      </c>
      <c r="S15" s="19">
        <v>117.0</v>
      </c>
      <c r="T15" s="19">
        <v>151.0</v>
      </c>
      <c r="U15" s="19">
        <v>149.0</v>
      </c>
      <c r="V15" s="19">
        <v>137.0</v>
      </c>
      <c r="W15" s="19">
        <v>143.0</v>
      </c>
      <c r="X15" s="19">
        <v>140.0</v>
      </c>
      <c r="Y15" s="19">
        <v>145.0</v>
      </c>
      <c r="Z15" s="19">
        <v>135.0</v>
      </c>
      <c r="AA15" s="19">
        <v>120.0</v>
      </c>
      <c r="AB15" s="19">
        <v>102.0</v>
      </c>
      <c r="AC15" s="19">
        <v>145.0</v>
      </c>
      <c r="AD15" s="19">
        <v>133.0</v>
      </c>
      <c r="AE15" s="19">
        <v>116.0</v>
      </c>
      <c r="AF15" s="19">
        <v>109.0</v>
      </c>
      <c r="AG15" s="19">
        <v>130.0</v>
      </c>
      <c r="AH15" s="19">
        <v>71.0</v>
      </c>
      <c r="AI15" s="19">
        <v>134.0</v>
      </c>
      <c r="AJ15" s="19">
        <v>143.0</v>
      </c>
      <c r="AK15" s="19">
        <v>142.0</v>
      </c>
      <c r="AL15" s="19">
        <v>144.0</v>
      </c>
      <c r="AM15" s="19">
        <v>148.0</v>
      </c>
      <c r="AN15" s="19">
        <v>136.0</v>
      </c>
      <c r="AO15" s="19">
        <v>146.0</v>
      </c>
      <c r="AP15" s="19">
        <v>143.0</v>
      </c>
      <c r="AQ15" s="19">
        <v>136.0</v>
      </c>
      <c r="AR15" s="19">
        <v>127.0</v>
      </c>
      <c r="AS15" s="19">
        <v>140.0</v>
      </c>
      <c r="AT15" s="19">
        <v>126.0</v>
      </c>
      <c r="AU15" s="19">
        <v>135.0</v>
      </c>
      <c r="AV15" s="19">
        <v>136.0</v>
      </c>
      <c r="AW15" s="19">
        <v>139.0</v>
      </c>
      <c r="AX15" s="19">
        <v>124.0</v>
      </c>
      <c r="AY15" s="13">
        <f t="shared" si="1"/>
        <v>6042</v>
      </c>
    </row>
    <row r="16" ht="12.75" customHeight="1">
      <c r="A16" s="25"/>
      <c r="B16" s="21"/>
      <c r="C16" s="28"/>
      <c r="D16" s="13" t="s">
        <v>14</v>
      </c>
      <c r="E16" s="13">
        <f t="shared" ref="E16:AX16" si="2">SUM(E14:E15)</f>
        <v>235</v>
      </c>
      <c r="F16" s="13">
        <f t="shared" si="2"/>
        <v>266</v>
      </c>
      <c r="G16" s="13">
        <f t="shared" si="2"/>
        <v>254</v>
      </c>
      <c r="H16" s="13">
        <f t="shared" si="2"/>
        <v>255</v>
      </c>
      <c r="I16" s="13">
        <f t="shared" si="2"/>
        <v>281</v>
      </c>
      <c r="J16" s="13">
        <f t="shared" si="2"/>
        <v>266</v>
      </c>
      <c r="K16" s="13">
        <f t="shared" si="2"/>
        <v>232</v>
      </c>
      <c r="L16" s="13">
        <f t="shared" si="2"/>
        <v>258</v>
      </c>
      <c r="M16" s="13">
        <f t="shared" si="2"/>
        <v>234</v>
      </c>
      <c r="N16" s="13">
        <f t="shared" si="2"/>
        <v>295</v>
      </c>
      <c r="O16" s="13">
        <f t="shared" si="2"/>
        <v>289</v>
      </c>
      <c r="P16" s="13">
        <f t="shared" si="2"/>
        <v>261</v>
      </c>
      <c r="Q16" s="13">
        <f t="shared" si="2"/>
        <v>222</v>
      </c>
      <c r="R16" s="13">
        <f t="shared" si="2"/>
        <v>222</v>
      </c>
      <c r="S16" s="13">
        <f t="shared" si="2"/>
        <v>220</v>
      </c>
      <c r="T16" s="13">
        <f t="shared" si="2"/>
        <v>279</v>
      </c>
      <c r="U16" s="13">
        <f t="shared" si="2"/>
        <v>284</v>
      </c>
      <c r="V16" s="13">
        <f t="shared" si="2"/>
        <v>274</v>
      </c>
      <c r="W16" s="13">
        <f t="shared" si="2"/>
        <v>288</v>
      </c>
      <c r="X16" s="13">
        <f t="shared" si="2"/>
        <v>277</v>
      </c>
      <c r="Y16" s="13">
        <f t="shared" si="2"/>
        <v>276</v>
      </c>
      <c r="Z16" s="13">
        <f t="shared" si="2"/>
        <v>268</v>
      </c>
      <c r="AA16" s="13">
        <f t="shared" si="2"/>
        <v>242</v>
      </c>
      <c r="AB16" s="13">
        <f t="shared" si="2"/>
        <v>223</v>
      </c>
      <c r="AC16" s="13">
        <f t="shared" si="2"/>
        <v>277</v>
      </c>
      <c r="AD16" s="13">
        <f t="shared" si="2"/>
        <v>264</v>
      </c>
      <c r="AE16" s="13">
        <f t="shared" si="2"/>
        <v>229</v>
      </c>
      <c r="AF16" s="13">
        <f t="shared" si="2"/>
        <v>204</v>
      </c>
      <c r="AG16" s="13">
        <f t="shared" si="2"/>
        <v>271</v>
      </c>
      <c r="AH16" s="13">
        <f t="shared" si="2"/>
        <v>151</v>
      </c>
      <c r="AI16" s="13">
        <f t="shared" si="2"/>
        <v>268</v>
      </c>
      <c r="AJ16" s="13">
        <f t="shared" si="2"/>
        <v>277</v>
      </c>
      <c r="AK16" s="13">
        <f t="shared" si="2"/>
        <v>290</v>
      </c>
      <c r="AL16" s="13">
        <f t="shared" si="2"/>
        <v>293</v>
      </c>
      <c r="AM16" s="13">
        <f t="shared" si="2"/>
        <v>285</v>
      </c>
      <c r="AN16" s="13">
        <f t="shared" si="2"/>
        <v>275</v>
      </c>
      <c r="AO16" s="13">
        <f t="shared" si="2"/>
        <v>290</v>
      </c>
      <c r="AP16" s="13">
        <f t="shared" si="2"/>
        <v>273</v>
      </c>
      <c r="AQ16" s="13">
        <f t="shared" si="2"/>
        <v>284</v>
      </c>
      <c r="AR16" s="13">
        <f t="shared" si="2"/>
        <v>259</v>
      </c>
      <c r="AS16" s="13">
        <f t="shared" si="2"/>
        <v>285</v>
      </c>
      <c r="AT16" s="13">
        <f t="shared" si="2"/>
        <v>260</v>
      </c>
      <c r="AU16" s="13">
        <f t="shared" si="2"/>
        <v>280</v>
      </c>
      <c r="AV16" s="13">
        <f t="shared" si="2"/>
        <v>272</v>
      </c>
      <c r="AW16" s="13">
        <f t="shared" si="2"/>
        <v>270</v>
      </c>
      <c r="AX16" s="13">
        <f t="shared" si="2"/>
        <v>278</v>
      </c>
      <c r="AY16" s="13">
        <f t="shared" si="1"/>
        <v>12036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8"/>
      <c r="O17" s="68"/>
      <c r="P17" s="68"/>
      <c r="Q17" s="68"/>
      <c r="R17" s="68"/>
      <c r="S17" s="68"/>
      <c r="T17" s="68"/>
      <c r="U17" s="68"/>
      <c r="V17" s="68"/>
      <c r="W17" s="19"/>
      <c r="X17" s="19"/>
      <c r="Y17" s="19"/>
      <c r="Z17" s="19"/>
      <c r="AA17" s="19"/>
      <c r="AB17" s="19"/>
      <c r="AC17" s="19"/>
      <c r="AD17" s="19"/>
      <c r="AE17" s="19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8"/>
      <c r="O18" s="68"/>
      <c r="P18" s="68"/>
      <c r="Q18" s="68"/>
      <c r="R18" s="68"/>
      <c r="S18" s="68"/>
      <c r="T18" s="68"/>
      <c r="U18" s="68"/>
      <c r="V18" s="68"/>
      <c r="W18" s="19"/>
      <c r="X18" s="19"/>
      <c r="Y18" s="19"/>
      <c r="Z18" s="19"/>
      <c r="AA18" s="19"/>
      <c r="AB18" s="19"/>
      <c r="AC18" s="19"/>
      <c r="AD18" s="19"/>
      <c r="AE18" s="19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85.0</v>
      </c>
      <c r="F19" s="19">
        <v>106.0</v>
      </c>
      <c r="G19" s="19">
        <v>76.0</v>
      </c>
      <c r="H19" s="19">
        <v>77.0</v>
      </c>
      <c r="I19" s="19">
        <v>96.0</v>
      </c>
      <c r="J19" s="19">
        <v>88.0</v>
      </c>
      <c r="K19" s="19">
        <v>88.0</v>
      </c>
      <c r="L19" s="19">
        <v>94.0</v>
      </c>
      <c r="M19" s="19">
        <v>65.0</v>
      </c>
      <c r="N19" s="19">
        <v>103.0</v>
      </c>
      <c r="O19" s="19">
        <v>94.0</v>
      </c>
      <c r="P19" s="19">
        <v>99.0</v>
      </c>
      <c r="Q19" s="19">
        <v>82.0</v>
      </c>
      <c r="R19" s="19">
        <v>71.0</v>
      </c>
      <c r="S19" s="19">
        <v>83.0</v>
      </c>
      <c r="T19" s="19">
        <v>91.0</v>
      </c>
      <c r="U19" s="19">
        <v>102.0</v>
      </c>
      <c r="V19" s="19">
        <v>102.0</v>
      </c>
      <c r="W19" s="19">
        <v>96.0</v>
      </c>
      <c r="X19" s="19">
        <v>116.0</v>
      </c>
      <c r="Y19" s="19">
        <v>95.0</v>
      </c>
      <c r="Z19" s="19">
        <v>100.0</v>
      </c>
      <c r="AA19" s="19">
        <v>90.0</v>
      </c>
      <c r="AB19" s="19">
        <v>90.0</v>
      </c>
      <c r="AC19" s="19">
        <v>85.0</v>
      </c>
      <c r="AD19" s="19">
        <v>94.0</v>
      </c>
      <c r="AE19" s="19">
        <v>89.0</v>
      </c>
      <c r="AF19" s="19">
        <v>68.0</v>
      </c>
      <c r="AG19" s="19">
        <v>114.0</v>
      </c>
      <c r="AH19" s="19">
        <v>63.0</v>
      </c>
      <c r="AI19" s="19">
        <v>98.0</v>
      </c>
      <c r="AJ19" s="19">
        <v>101.0</v>
      </c>
      <c r="AK19" s="19">
        <v>106.0</v>
      </c>
      <c r="AL19" s="19">
        <v>111.0</v>
      </c>
      <c r="AM19" s="19">
        <v>117.0</v>
      </c>
      <c r="AN19" s="19">
        <v>99.0</v>
      </c>
      <c r="AO19" s="19">
        <v>107.0</v>
      </c>
      <c r="AP19" s="19">
        <v>94.0</v>
      </c>
      <c r="AQ19" s="19">
        <v>103.0</v>
      </c>
      <c r="AR19" s="19">
        <v>91.0</v>
      </c>
      <c r="AS19" s="19">
        <v>103.0</v>
      </c>
      <c r="AT19" s="19">
        <v>106.0</v>
      </c>
      <c r="AU19" s="19">
        <v>118.0</v>
      </c>
      <c r="AV19" s="19">
        <v>97.0</v>
      </c>
      <c r="AW19" s="19">
        <v>85.0</v>
      </c>
      <c r="AX19" s="19">
        <v>98.0</v>
      </c>
      <c r="AY19" s="13">
        <f t="shared" ref="AY19:AY30" si="3">SUM(E19:AX19)</f>
        <v>4336</v>
      </c>
    </row>
    <row r="20" ht="12.75" customHeight="1">
      <c r="A20" s="33"/>
      <c r="B20" s="27"/>
      <c r="C20" s="34"/>
      <c r="D20" s="19" t="s">
        <v>13</v>
      </c>
      <c r="E20" s="19">
        <v>95.0</v>
      </c>
      <c r="F20" s="19">
        <v>98.0</v>
      </c>
      <c r="G20" s="19">
        <v>95.0</v>
      </c>
      <c r="H20" s="19">
        <v>91.0</v>
      </c>
      <c r="I20" s="19">
        <v>110.0</v>
      </c>
      <c r="J20" s="19">
        <v>108.0</v>
      </c>
      <c r="K20" s="19">
        <v>79.0</v>
      </c>
      <c r="L20" s="19">
        <v>100.0</v>
      </c>
      <c r="M20" s="19">
        <v>101.0</v>
      </c>
      <c r="N20" s="19">
        <v>112.0</v>
      </c>
      <c r="O20" s="19">
        <v>90.0</v>
      </c>
      <c r="P20" s="19">
        <v>108.0</v>
      </c>
      <c r="Q20" s="19">
        <v>93.0</v>
      </c>
      <c r="R20" s="19">
        <v>82.0</v>
      </c>
      <c r="S20" s="19">
        <v>96.0</v>
      </c>
      <c r="T20" s="19">
        <v>107.0</v>
      </c>
      <c r="U20" s="19">
        <v>122.0</v>
      </c>
      <c r="V20" s="19">
        <v>118.0</v>
      </c>
      <c r="W20" s="19">
        <v>104.0</v>
      </c>
      <c r="X20" s="19">
        <v>115.0</v>
      </c>
      <c r="Y20" s="19">
        <v>120.0</v>
      </c>
      <c r="Z20" s="19">
        <v>104.0</v>
      </c>
      <c r="AA20" s="19">
        <v>103.0</v>
      </c>
      <c r="AB20" s="19">
        <v>89.0</v>
      </c>
      <c r="AC20" s="19">
        <v>110.0</v>
      </c>
      <c r="AD20" s="19">
        <v>109.0</v>
      </c>
      <c r="AE20" s="19">
        <v>99.0</v>
      </c>
      <c r="AF20" s="19">
        <v>92.0</v>
      </c>
      <c r="AG20" s="19">
        <v>109.0</v>
      </c>
      <c r="AH20" s="19">
        <v>59.0</v>
      </c>
      <c r="AI20" s="19">
        <v>104.0</v>
      </c>
      <c r="AJ20" s="19">
        <v>105.0</v>
      </c>
      <c r="AK20" s="19">
        <v>118.0</v>
      </c>
      <c r="AL20" s="19">
        <v>126.0</v>
      </c>
      <c r="AM20" s="19">
        <v>129.0</v>
      </c>
      <c r="AN20" s="19">
        <v>103.0</v>
      </c>
      <c r="AO20" s="19">
        <v>122.0</v>
      </c>
      <c r="AP20" s="19">
        <v>110.0</v>
      </c>
      <c r="AQ20" s="19">
        <v>93.0</v>
      </c>
      <c r="AR20" s="19">
        <v>103.0</v>
      </c>
      <c r="AS20" s="19">
        <v>107.0</v>
      </c>
      <c r="AT20" s="19">
        <v>103.0</v>
      </c>
      <c r="AU20" s="19">
        <v>112.0</v>
      </c>
      <c r="AV20" s="19">
        <v>105.0</v>
      </c>
      <c r="AW20" s="19">
        <v>98.0</v>
      </c>
      <c r="AX20" s="19">
        <v>102.0</v>
      </c>
      <c r="AY20" s="13">
        <f t="shared" si="3"/>
        <v>4758</v>
      </c>
    </row>
    <row r="21" ht="12.75" customHeight="1">
      <c r="A21" s="35"/>
      <c r="B21" s="28"/>
      <c r="C21" s="36"/>
      <c r="D21" s="13" t="s">
        <v>14</v>
      </c>
      <c r="E21" s="13">
        <f t="shared" ref="E21:AX21" si="4">SUM(E19:E20)</f>
        <v>180</v>
      </c>
      <c r="F21" s="13">
        <f t="shared" si="4"/>
        <v>204</v>
      </c>
      <c r="G21" s="13">
        <f t="shared" si="4"/>
        <v>171</v>
      </c>
      <c r="H21" s="13">
        <f t="shared" si="4"/>
        <v>168</v>
      </c>
      <c r="I21" s="13">
        <f t="shared" si="4"/>
        <v>206</v>
      </c>
      <c r="J21" s="13">
        <f t="shared" si="4"/>
        <v>196</v>
      </c>
      <c r="K21" s="13">
        <f t="shared" si="4"/>
        <v>167</v>
      </c>
      <c r="L21" s="13">
        <f t="shared" si="4"/>
        <v>194</v>
      </c>
      <c r="M21" s="13">
        <f t="shared" si="4"/>
        <v>166</v>
      </c>
      <c r="N21" s="13">
        <f t="shared" si="4"/>
        <v>215</v>
      </c>
      <c r="O21" s="13">
        <f t="shared" si="4"/>
        <v>184</v>
      </c>
      <c r="P21" s="13">
        <f t="shared" si="4"/>
        <v>207</v>
      </c>
      <c r="Q21" s="13">
        <f t="shared" si="4"/>
        <v>175</v>
      </c>
      <c r="R21" s="13">
        <f t="shared" si="4"/>
        <v>153</v>
      </c>
      <c r="S21" s="13">
        <f t="shared" si="4"/>
        <v>179</v>
      </c>
      <c r="T21" s="13">
        <f t="shared" si="4"/>
        <v>198</v>
      </c>
      <c r="U21" s="13">
        <f t="shared" si="4"/>
        <v>224</v>
      </c>
      <c r="V21" s="13">
        <f t="shared" si="4"/>
        <v>220</v>
      </c>
      <c r="W21" s="13">
        <f t="shared" si="4"/>
        <v>200</v>
      </c>
      <c r="X21" s="13">
        <f t="shared" si="4"/>
        <v>231</v>
      </c>
      <c r="Y21" s="13">
        <f t="shared" si="4"/>
        <v>215</v>
      </c>
      <c r="Z21" s="13">
        <f t="shared" si="4"/>
        <v>204</v>
      </c>
      <c r="AA21" s="13">
        <f t="shared" si="4"/>
        <v>193</v>
      </c>
      <c r="AB21" s="13">
        <f t="shared" si="4"/>
        <v>179</v>
      </c>
      <c r="AC21" s="13">
        <f t="shared" si="4"/>
        <v>195</v>
      </c>
      <c r="AD21" s="13">
        <f t="shared" si="4"/>
        <v>203</v>
      </c>
      <c r="AE21" s="13">
        <f t="shared" si="4"/>
        <v>188</v>
      </c>
      <c r="AF21" s="13">
        <f t="shared" si="4"/>
        <v>160</v>
      </c>
      <c r="AG21" s="13">
        <f t="shared" si="4"/>
        <v>223</v>
      </c>
      <c r="AH21" s="13">
        <f t="shared" si="4"/>
        <v>122</v>
      </c>
      <c r="AI21" s="13">
        <f t="shared" si="4"/>
        <v>202</v>
      </c>
      <c r="AJ21" s="13">
        <f t="shared" si="4"/>
        <v>206</v>
      </c>
      <c r="AK21" s="13">
        <f t="shared" si="4"/>
        <v>224</v>
      </c>
      <c r="AL21" s="13">
        <f t="shared" si="4"/>
        <v>237</v>
      </c>
      <c r="AM21" s="13">
        <f t="shared" si="4"/>
        <v>246</v>
      </c>
      <c r="AN21" s="13">
        <f t="shared" si="4"/>
        <v>202</v>
      </c>
      <c r="AO21" s="13">
        <f t="shared" si="4"/>
        <v>229</v>
      </c>
      <c r="AP21" s="13">
        <f t="shared" si="4"/>
        <v>204</v>
      </c>
      <c r="AQ21" s="13">
        <f t="shared" si="4"/>
        <v>196</v>
      </c>
      <c r="AR21" s="13">
        <f t="shared" si="4"/>
        <v>194</v>
      </c>
      <c r="AS21" s="13">
        <f t="shared" si="4"/>
        <v>210</v>
      </c>
      <c r="AT21" s="13">
        <f t="shared" si="4"/>
        <v>209</v>
      </c>
      <c r="AU21" s="13">
        <f t="shared" si="4"/>
        <v>230</v>
      </c>
      <c r="AV21" s="13">
        <f t="shared" si="4"/>
        <v>202</v>
      </c>
      <c r="AW21" s="13">
        <f t="shared" si="4"/>
        <v>183</v>
      </c>
      <c r="AX21" s="13">
        <f t="shared" si="4"/>
        <v>200</v>
      </c>
      <c r="AY21" s="13">
        <f t="shared" si="3"/>
        <v>9094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3.0</v>
      </c>
      <c r="P22" s="19">
        <v>1.0</v>
      </c>
      <c r="Q22" s="19">
        <v>1.0</v>
      </c>
      <c r="R22" s="19">
        <v>0.0</v>
      </c>
      <c r="S22" s="19">
        <v>0.0</v>
      </c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>
        <v>0.0</v>
      </c>
      <c r="AJ22" s="19">
        <v>2.0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1.0</v>
      </c>
      <c r="AS22" s="19">
        <v>0.0</v>
      </c>
      <c r="AT22" s="19">
        <v>0.0</v>
      </c>
      <c r="AU22" s="19">
        <v>0.0</v>
      </c>
      <c r="AV22" s="19">
        <v>0.0</v>
      </c>
      <c r="AW22" s="19">
        <v>0.0</v>
      </c>
      <c r="AX22" s="19"/>
      <c r="AY22" s="13">
        <f t="shared" si="3"/>
        <v>9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5.0</v>
      </c>
      <c r="P23" s="19">
        <v>2.0</v>
      </c>
      <c r="Q23" s="19">
        <v>1.0</v>
      </c>
      <c r="R23" s="19">
        <v>0.0</v>
      </c>
      <c r="S23" s="19">
        <v>0.0</v>
      </c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>
        <v>0.0</v>
      </c>
      <c r="AJ23" s="19">
        <v>1.0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9">
        <v>0.0</v>
      </c>
      <c r="AT23" s="19">
        <v>0.0</v>
      </c>
      <c r="AU23" s="19">
        <v>0.0</v>
      </c>
      <c r="AV23" s="19">
        <v>0.0</v>
      </c>
      <c r="AW23" s="19">
        <v>0.0</v>
      </c>
      <c r="AX23" s="19"/>
      <c r="AY23" s="13">
        <f t="shared" si="3"/>
        <v>9</v>
      </c>
    </row>
    <row r="24" ht="12.75" customHeight="1">
      <c r="A24" s="35"/>
      <c r="B24" s="28"/>
      <c r="C24" s="36"/>
      <c r="D24" s="13" t="s">
        <v>14</v>
      </c>
      <c r="E24" s="13">
        <f t="shared" ref="E24:AX24" si="5">SUM(E22:E23)</f>
        <v>0</v>
      </c>
      <c r="F24" s="13">
        <f t="shared" si="5"/>
        <v>1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8</v>
      </c>
      <c r="P24" s="13">
        <f t="shared" si="5"/>
        <v>3</v>
      </c>
      <c r="Q24" s="13">
        <f t="shared" si="5"/>
        <v>2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3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1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f t="shared" si="5"/>
        <v>0</v>
      </c>
      <c r="AY24" s="13">
        <f t="shared" si="3"/>
        <v>18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0.0</v>
      </c>
      <c r="H25" s="19">
        <v>1.0</v>
      </c>
      <c r="I25" s="19">
        <v>1.0</v>
      </c>
      <c r="J25" s="19">
        <v>1.0</v>
      </c>
      <c r="K25" s="19">
        <v>0.0</v>
      </c>
      <c r="L25" s="19">
        <v>0.0</v>
      </c>
      <c r="M25" s="19">
        <v>0.0</v>
      </c>
      <c r="N25" s="19">
        <v>2.0</v>
      </c>
      <c r="O25" s="19">
        <v>0.0</v>
      </c>
      <c r="P25" s="19">
        <v>0.0</v>
      </c>
      <c r="Q25" s="19">
        <v>2.0</v>
      </c>
      <c r="R25" s="19">
        <v>0.0</v>
      </c>
      <c r="S25" s="19">
        <v>0.0</v>
      </c>
      <c r="T25" s="19">
        <v>1.0</v>
      </c>
      <c r="U25" s="19">
        <v>0.0</v>
      </c>
      <c r="V25" s="19">
        <v>0.0</v>
      </c>
      <c r="W25" s="19">
        <v>2.0</v>
      </c>
      <c r="X25" s="19">
        <v>0.0</v>
      </c>
      <c r="Y25" s="19">
        <v>0.0</v>
      </c>
      <c r="Z25" s="19">
        <v>0.0</v>
      </c>
      <c r="AA25" s="19">
        <v>0.0</v>
      </c>
      <c r="AB25" s="19">
        <v>1.0</v>
      </c>
      <c r="AC25" s="19">
        <v>1.0</v>
      </c>
      <c r="AD25" s="19">
        <v>0.0</v>
      </c>
      <c r="AE25" s="19">
        <v>1.0</v>
      </c>
      <c r="AF25" s="19">
        <v>0.0</v>
      </c>
      <c r="AG25" s="19">
        <v>0.0</v>
      </c>
      <c r="AH25" s="19">
        <v>0.0</v>
      </c>
      <c r="AI25" s="19">
        <v>0.0</v>
      </c>
      <c r="AJ25" s="19">
        <v>0.0</v>
      </c>
      <c r="AK25" s="19">
        <v>0.0</v>
      </c>
      <c r="AL25" s="19">
        <v>0.0</v>
      </c>
      <c r="AM25" s="19">
        <v>4.0</v>
      </c>
      <c r="AN25" s="19">
        <v>4.0</v>
      </c>
      <c r="AO25" s="19">
        <v>0.0</v>
      </c>
      <c r="AP25" s="19">
        <v>0.0</v>
      </c>
      <c r="AQ25" s="19">
        <v>0.0</v>
      </c>
      <c r="AR25" s="19">
        <v>1.0</v>
      </c>
      <c r="AS25" s="19">
        <v>0.0</v>
      </c>
      <c r="AT25" s="19">
        <v>1.0</v>
      </c>
      <c r="AU25" s="19">
        <v>0.0</v>
      </c>
      <c r="AV25" s="19">
        <v>1.0</v>
      </c>
      <c r="AW25" s="19">
        <v>4.0</v>
      </c>
      <c r="AX25" s="19"/>
      <c r="AY25" s="13">
        <f t="shared" si="3"/>
        <v>29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0.0</v>
      </c>
      <c r="H26" s="19">
        <v>0.0</v>
      </c>
      <c r="I26" s="19">
        <v>1.0</v>
      </c>
      <c r="J26" s="19">
        <v>2.0</v>
      </c>
      <c r="K26" s="19">
        <v>0.0</v>
      </c>
      <c r="L26" s="19">
        <v>0.0</v>
      </c>
      <c r="M26" s="19">
        <v>0.0</v>
      </c>
      <c r="N26" s="19">
        <v>1.0</v>
      </c>
      <c r="O26" s="19">
        <v>0.0</v>
      </c>
      <c r="P26" s="19">
        <v>0.0</v>
      </c>
      <c r="Q26" s="19">
        <v>1.0</v>
      </c>
      <c r="R26" s="19">
        <v>0.0</v>
      </c>
      <c r="S26" s="19">
        <v>0.0</v>
      </c>
      <c r="T26" s="19">
        <v>2.0</v>
      </c>
      <c r="U26" s="19">
        <v>0.0</v>
      </c>
      <c r="V26" s="19">
        <v>0.0</v>
      </c>
      <c r="W26" s="19">
        <v>5.0</v>
      </c>
      <c r="X26" s="19">
        <v>0.0</v>
      </c>
      <c r="Y26" s="19">
        <v>0.0</v>
      </c>
      <c r="Z26" s="19">
        <v>0.0</v>
      </c>
      <c r="AA26" s="19">
        <v>0.0</v>
      </c>
      <c r="AB26" s="19">
        <v>2.0</v>
      </c>
      <c r="AC26" s="19">
        <v>3.0</v>
      </c>
      <c r="AD26" s="19">
        <v>0.0</v>
      </c>
      <c r="AE26" s="19">
        <v>2.0</v>
      </c>
      <c r="AF26" s="19">
        <v>1.0</v>
      </c>
      <c r="AG26" s="19">
        <v>0.0</v>
      </c>
      <c r="AH26" s="19">
        <v>0.0</v>
      </c>
      <c r="AI26" s="19">
        <v>0.0</v>
      </c>
      <c r="AJ26" s="19">
        <v>0.0</v>
      </c>
      <c r="AK26" s="19">
        <v>0.0</v>
      </c>
      <c r="AL26" s="19">
        <v>0.0</v>
      </c>
      <c r="AM26" s="19">
        <v>5.0</v>
      </c>
      <c r="AN26" s="19">
        <v>4.0</v>
      </c>
      <c r="AO26" s="19">
        <v>0.0</v>
      </c>
      <c r="AP26" s="19">
        <v>0.0</v>
      </c>
      <c r="AQ26" s="19">
        <v>0.0</v>
      </c>
      <c r="AR26" s="19">
        <v>2.0</v>
      </c>
      <c r="AS26" s="19">
        <v>0.0</v>
      </c>
      <c r="AT26" s="19">
        <v>0.0</v>
      </c>
      <c r="AU26" s="19">
        <v>0.0</v>
      </c>
      <c r="AV26" s="19">
        <v>2.0</v>
      </c>
      <c r="AW26" s="19">
        <v>4.0</v>
      </c>
      <c r="AX26" s="19"/>
      <c r="AY26" s="13">
        <f t="shared" si="3"/>
        <v>38</v>
      </c>
    </row>
    <row r="27" ht="12.75" customHeight="1">
      <c r="A27" s="35"/>
      <c r="B27" s="28"/>
      <c r="C27" s="36"/>
      <c r="D27" s="13" t="s">
        <v>14</v>
      </c>
      <c r="E27" s="13">
        <f t="shared" ref="E27:AX27" si="6">SUM(E25:E26)</f>
        <v>2</v>
      </c>
      <c r="F27" s="13">
        <f t="shared" si="6"/>
        <v>0</v>
      </c>
      <c r="G27" s="13">
        <f t="shared" si="6"/>
        <v>0</v>
      </c>
      <c r="H27" s="13">
        <f t="shared" si="6"/>
        <v>1</v>
      </c>
      <c r="I27" s="13">
        <f t="shared" si="6"/>
        <v>2</v>
      </c>
      <c r="J27" s="13">
        <f t="shared" si="6"/>
        <v>3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3</v>
      </c>
      <c r="O27" s="13">
        <f t="shared" si="6"/>
        <v>0</v>
      </c>
      <c r="P27" s="13">
        <f t="shared" si="6"/>
        <v>0</v>
      </c>
      <c r="Q27" s="13">
        <f t="shared" si="6"/>
        <v>3</v>
      </c>
      <c r="R27" s="13">
        <f t="shared" si="6"/>
        <v>0</v>
      </c>
      <c r="S27" s="13">
        <f t="shared" si="6"/>
        <v>0</v>
      </c>
      <c r="T27" s="13">
        <f t="shared" si="6"/>
        <v>3</v>
      </c>
      <c r="U27" s="13">
        <f t="shared" si="6"/>
        <v>0</v>
      </c>
      <c r="V27" s="13">
        <f t="shared" si="6"/>
        <v>0</v>
      </c>
      <c r="W27" s="13">
        <f t="shared" si="6"/>
        <v>7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3</v>
      </c>
      <c r="AC27" s="13">
        <f t="shared" si="6"/>
        <v>4</v>
      </c>
      <c r="AD27" s="13">
        <f t="shared" si="6"/>
        <v>0</v>
      </c>
      <c r="AE27" s="13">
        <f t="shared" si="6"/>
        <v>3</v>
      </c>
      <c r="AF27" s="13">
        <f t="shared" si="6"/>
        <v>1</v>
      </c>
      <c r="AG27" s="13">
        <f t="shared" si="6"/>
        <v>0</v>
      </c>
      <c r="AH27" s="13">
        <f t="shared" si="6"/>
        <v>0</v>
      </c>
      <c r="AI27" s="13">
        <f t="shared" si="6"/>
        <v>0</v>
      </c>
      <c r="AJ27" s="13">
        <f t="shared" si="6"/>
        <v>0</v>
      </c>
      <c r="AK27" s="13">
        <f t="shared" si="6"/>
        <v>0</v>
      </c>
      <c r="AL27" s="13">
        <f t="shared" si="6"/>
        <v>0</v>
      </c>
      <c r="AM27" s="13">
        <f t="shared" si="6"/>
        <v>9</v>
      </c>
      <c r="AN27" s="13">
        <f t="shared" si="6"/>
        <v>8</v>
      </c>
      <c r="AO27" s="13">
        <f t="shared" si="6"/>
        <v>0</v>
      </c>
      <c r="AP27" s="13">
        <f t="shared" si="6"/>
        <v>0</v>
      </c>
      <c r="AQ27" s="13">
        <f t="shared" si="6"/>
        <v>0</v>
      </c>
      <c r="AR27" s="13">
        <f t="shared" si="6"/>
        <v>3</v>
      </c>
      <c r="AS27" s="13">
        <f t="shared" si="6"/>
        <v>0</v>
      </c>
      <c r="AT27" s="13">
        <f t="shared" si="6"/>
        <v>1</v>
      </c>
      <c r="AU27" s="13">
        <f t="shared" si="6"/>
        <v>0</v>
      </c>
      <c r="AV27" s="13">
        <f t="shared" si="6"/>
        <v>3</v>
      </c>
      <c r="AW27" s="13">
        <f t="shared" si="6"/>
        <v>8</v>
      </c>
      <c r="AX27" s="13">
        <f t="shared" si="6"/>
        <v>0</v>
      </c>
      <c r="AY27" s="13">
        <f t="shared" si="3"/>
        <v>67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X28" si="7">SUM(E19,E22,E25)</f>
        <v>86</v>
      </c>
      <c r="F28" s="13">
        <f t="shared" si="7"/>
        <v>107</v>
      </c>
      <c r="G28" s="13">
        <f t="shared" si="7"/>
        <v>76</v>
      </c>
      <c r="H28" s="13">
        <f t="shared" si="7"/>
        <v>78</v>
      </c>
      <c r="I28" s="13">
        <f t="shared" si="7"/>
        <v>97</v>
      </c>
      <c r="J28" s="13">
        <f t="shared" si="7"/>
        <v>89</v>
      </c>
      <c r="K28" s="13">
        <f t="shared" si="7"/>
        <v>88</v>
      </c>
      <c r="L28" s="13">
        <f t="shared" si="7"/>
        <v>94</v>
      </c>
      <c r="M28" s="13">
        <f t="shared" si="7"/>
        <v>65</v>
      </c>
      <c r="N28" s="13">
        <f t="shared" si="7"/>
        <v>105</v>
      </c>
      <c r="O28" s="13">
        <f t="shared" si="7"/>
        <v>97</v>
      </c>
      <c r="P28" s="13">
        <f t="shared" si="7"/>
        <v>100</v>
      </c>
      <c r="Q28" s="13">
        <f t="shared" si="7"/>
        <v>85</v>
      </c>
      <c r="R28" s="13">
        <f t="shared" si="7"/>
        <v>71</v>
      </c>
      <c r="S28" s="13">
        <f t="shared" si="7"/>
        <v>83</v>
      </c>
      <c r="T28" s="13">
        <f t="shared" si="7"/>
        <v>92</v>
      </c>
      <c r="U28" s="13">
        <f t="shared" si="7"/>
        <v>102</v>
      </c>
      <c r="V28" s="13">
        <f t="shared" si="7"/>
        <v>102</v>
      </c>
      <c r="W28" s="13">
        <f t="shared" si="7"/>
        <v>98</v>
      </c>
      <c r="X28" s="13">
        <f t="shared" si="7"/>
        <v>116</v>
      </c>
      <c r="Y28" s="13">
        <f t="shared" si="7"/>
        <v>95</v>
      </c>
      <c r="Z28" s="13">
        <f t="shared" si="7"/>
        <v>100</v>
      </c>
      <c r="AA28" s="13">
        <f t="shared" si="7"/>
        <v>90</v>
      </c>
      <c r="AB28" s="13">
        <f t="shared" si="7"/>
        <v>91</v>
      </c>
      <c r="AC28" s="13">
        <f t="shared" si="7"/>
        <v>86</v>
      </c>
      <c r="AD28" s="13">
        <f t="shared" si="7"/>
        <v>94</v>
      </c>
      <c r="AE28" s="13">
        <f t="shared" si="7"/>
        <v>90</v>
      </c>
      <c r="AF28" s="13">
        <f t="shared" si="7"/>
        <v>68</v>
      </c>
      <c r="AG28" s="13">
        <f t="shared" si="7"/>
        <v>114</v>
      </c>
      <c r="AH28" s="13">
        <f t="shared" si="7"/>
        <v>63</v>
      </c>
      <c r="AI28" s="13">
        <f t="shared" si="7"/>
        <v>98</v>
      </c>
      <c r="AJ28" s="13">
        <f t="shared" si="7"/>
        <v>103</v>
      </c>
      <c r="AK28" s="13">
        <f t="shared" si="7"/>
        <v>106</v>
      </c>
      <c r="AL28" s="13">
        <f t="shared" si="7"/>
        <v>111</v>
      </c>
      <c r="AM28" s="13">
        <f t="shared" si="7"/>
        <v>121</v>
      </c>
      <c r="AN28" s="13">
        <f t="shared" si="7"/>
        <v>103</v>
      </c>
      <c r="AO28" s="13">
        <f t="shared" si="7"/>
        <v>107</v>
      </c>
      <c r="AP28" s="13">
        <f t="shared" si="7"/>
        <v>94</v>
      </c>
      <c r="AQ28" s="13">
        <f t="shared" si="7"/>
        <v>103</v>
      </c>
      <c r="AR28" s="13">
        <f t="shared" si="7"/>
        <v>93</v>
      </c>
      <c r="AS28" s="13">
        <f t="shared" si="7"/>
        <v>103</v>
      </c>
      <c r="AT28" s="13">
        <f t="shared" si="7"/>
        <v>107</v>
      </c>
      <c r="AU28" s="13">
        <f t="shared" si="7"/>
        <v>118</v>
      </c>
      <c r="AV28" s="13">
        <f t="shared" si="7"/>
        <v>98</v>
      </c>
      <c r="AW28" s="13">
        <f t="shared" si="7"/>
        <v>89</v>
      </c>
      <c r="AX28" s="13">
        <f t="shared" si="7"/>
        <v>98</v>
      </c>
      <c r="AY28" s="13">
        <f t="shared" si="3"/>
        <v>4374</v>
      </c>
    </row>
    <row r="29" ht="12.75" customHeight="1">
      <c r="A29" s="35"/>
      <c r="B29" s="27"/>
      <c r="C29" s="34"/>
      <c r="D29" s="13" t="s">
        <v>13</v>
      </c>
      <c r="E29" s="13">
        <f t="shared" ref="E29:AX29" si="8">SUM(E20,E23,E26)</f>
        <v>96</v>
      </c>
      <c r="F29" s="13">
        <f t="shared" si="8"/>
        <v>98</v>
      </c>
      <c r="G29" s="13">
        <f t="shared" si="8"/>
        <v>95</v>
      </c>
      <c r="H29" s="13">
        <f t="shared" si="8"/>
        <v>91</v>
      </c>
      <c r="I29" s="13">
        <f t="shared" si="8"/>
        <v>111</v>
      </c>
      <c r="J29" s="13">
        <f t="shared" si="8"/>
        <v>110</v>
      </c>
      <c r="K29" s="13">
        <f t="shared" si="8"/>
        <v>79</v>
      </c>
      <c r="L29" s="13">
        <f t="shared" si="8"/>
        <v>100</v>
      </c>
      <c r="M29" s="13">
        <f t="shared" si="8"/>
        <v>101</v>
      </c>
      <c r="N29" s="13">
        <f t="shared" si="8"/>
        <v>113</v>
      </c>
      <c r="O29" s="13">
        <f t="shared" si="8"/>
        <v>95</v>
      </c>
      <c r="P29" s="13">
        <f t="shared" si="8"/>
        <v>110</v>
      </c>
      <c r="Q29" s="13">
        <f t="shared" si="8"/>
        <v>95</v>
      </c>
      <c r="R29" s="13">
        <f t="shared" si="8"/>
        <v>82</v>
      </c>
      <c r="S29" s="13">
        <f t="shared" si="8"/>
        <v>96</v>
      </c>
      <c r="T29" s="13">
        <f t="shared" si="8"/>
        <v>109</v>
      </c>
      <c r="U29" s="13">
        <f t="shared" si="8"/>
        <v>122</v>
      </c>
      <c r="V29" s="13">
        <f t="shared" si="8"/>
        <v>118</v>
      </c>
      <c r="W29" s="13">
        <f t="shared" si="8"/>
        <v>109</v>
      </c>
      <c r="X29" s="13">
        <f t="shared" si="8"/>
        <v>115</v>
      </c>
      <c r="Y29" s="13">
        <f t="shared" si="8"/>
        <v>120</v>
      </c>
      <c r="Z29" s="13">
        <f t="shared" si="8"/>
        <v>104</v>
      </c>
      <c r="AA29" s="13">
        <f t="shared" si="8"/>
        <v>103</v>
      </c>
      <c r="AB29" s="13">
        <f t="shared" si="8"/>
        <v>91</v>
      </c>
      <c r="AC29" s="13">
        <f t="shared" si="8"/>
        <v>113</v>
      </c>
      <c r="AD29" s="13">
        <f t="shared" si="8"/>
        <v>109</v>
      </c>
      <c r="AE29" s="13">
        <f t="shared" si="8"/>
        <v>101</v>
      </c>
      <c r="AF29" s="13">
        <f t="shared" si="8"/>
        <v>93</v>
      </c>
      <c r="AG29" s="13">
        <f t="shared" si="8"/>
        <v>109</v>
      </c>
      <c r="AH29" s="13">
        <f t="shared" si="8"/>
        <v>59</v>
      </c>
      <c r="AI29" s="13">
        <f t="shared" si="8"/>
        <v>104</v>
      </c>
      <c r="AJ29" s="13">
        <f t="shared" si="8"/>
        <v>106</v>
      </c>
      <c r="AK29" s="13">
        <f t="shared" si="8"/>
        <v>118</v>
      </c>
      <c r="AL29" s="13">
        <f t="shared" si="8"/>
        <v>126</v>
      </c>
      <c r="AM29" s="13">
        <f t="shared" si="8"/>
        <v>134</v>
      </c>
      <c r="AN29" s="13">
        <f t="shared" si="8"/>
        <v>107</v>
      </c>
      <c r="AO29" s="13">
        <f t="shared" si="8"/>
        <v>122</v>
      </c>
      <c r="AP29" s="13">
        <f t="shared" si="8"/>
        <v>110</v>
      </c>
      <c r="AQ29" s="13">
        <f t="shared" si="8"/>
        <v>93</v>
      </c>
      <c r="AR29" s="13">
        <f t="shared" si="8"/>
        <v>105</v>
      </c>
      <c r="AS29" s="13">
        <f t="shared" si="8"/>
        <v>107</v>
      </c>
      <c r="AT29" s="13">
        <f t="shared" si="8"/>
        <v>103</v>
      </c>
      <c r="AU29" s="13">
        <f t="shared" si="8"/>
        <v>112</v>
      </c>
      <c r="AV29" s="13">
        <f t="shared" si="8"/>
        <v>107</v>
      </c>
      <c r="AW29" s="13">
        <f t="shared" si="8"/>
        <v>102</v>
      </c>
      <c r="AX29" s="13">
        <f t="shared" si="8"/>
        <v>102</v>
      </c>
      <c r="AY29" s="13">
        <f t="shared" si="3"/>
        <v>4805</v>
      </c>
    </row>
    <row r="30" ht="12.75" customHeight="1">
      <c r="A30" s="35"/>
      <c r="B30" s="28"/>
      <c r="C30" s="36"/>
      <c r="D30" s="13" t="s">
        <v>14</v>
      </c>
      <c r="E30" s="13">
        <f t="shared" ref="E30:AX30" si="9">SUM(E28:E29)</f>
        <v>182</v>
      </c>
      <c r="F30" s="13">
        <f t="shared" si="9"/>
        <v>205</v>
      </c>
      <c r="G30" s="13">
        <f t="shared" si="9"/>
        <v>171</v>
      </c>
      <c r="H30" s="13">
        <f t="shared" si="9"/>
        <v>169</v>
      </c>
      <c r="I30" s="13">
        <f t="shared" si="9"/>
        <v>208</v>
      </c>
      <c r="J30" s="13">
        <f t="shared" si="9"/>
        <v>199</v>
      </c>
      <c r="K30" s="13">
        <f t="shared" si="9"/>
        <v>167</v>
      </c>
      <c r="L30" s="13">
        <f t="shared" si="9"/>
        <v>194</v>
      </c>
      <c r="M30" s="13">
        <f t="shared" si="9"/>
        <v>166</v>
      </c>
      <c r="N30" s="13">
        <f t="shared" si="9"/>
        <v>218</v>
      </c>
      <c r="O30" s="13">
        <f t="shared" si="9"/>
        <v>192</v>
      </c>
      <c r="P30" s="13">
        <f t="shared" si="9"/>
        <v>210</v>
      </c>
      <c r="Q30" s="13">
        <f t="shared" si="9"/>
        <v>180</v>
      </c>
      <c r="R30" s="13">
        <f t="shared" si="9"/>
        <v>153</v>
      </c>
      <c r="S30" s="13">
        <f t="shared" si="9"/>
        <v>179</v>
      </c>
      <c r="T30" s="13">
        <f t="shared" si="9"/>
        <v>201</v>
      </c>
      <c r="U30" s="13">
        <f t="shared" si="9"/>
        <v>224</v>
      </c>
      <c r="V30" s="13">
        <f t="shared" si="9"/>
        <v>220</v>
      </c>
      <c r="W30" s="13">
        <f t="shared" si="9"/>
        <v>207</v>
      </c>
      <c r="X30" s="13">
        <f t="shared" si="9"/>
        <v>231</v>
      </c>
      <c r="Y30" s="13">
        <f t="shared" si="9"/>
        <v>215</v>
      </c>
      <c r="Z30" s="13">
        <f t="shared" si="9"/>
        <v>204</v>
      </c>
      <c r="AA30" s="13">
        <f t="shared" si="9"/>
        <v>193</v>
      </c>
      <c r="AB30" s="13">
        <f t="shared" si="9"/>
        <v>182</v>
      </c>
      <c r="AC30" s="13">
        <f t="shared" si="9"/>
        <v>199</v>
      </c>
      <c r="AD30" s="13">
        <f t="shared" si="9"/>
        <v>203</v>
      </c>
      <c r="AE30" s="13">
        <f t="shared" si="9"/>
        <v>191</v>
      </c>
      <c r="AF30" s="13">
        <f t="shared" si="9"/>
        <v>161</v>
      </c>
      <c r="AG30" s="13">
        <f t="shared" si="9"/>
        <v>223</v>
      </c>
      <c r="AH30" s="13">
        <f t="shared" si="9"/>
        <v>122</v>
      </c>
      <c r="AI30" s="13">
        <f t="shared" si="9"/>
        <v>202</v>
      </c>
      <c r="AJ30" s="13">
        <f t="shared" si="9"/>
        <v>209</v>
      </c>
      <c r="AK30" s="13">
        <f t="shared" si="9"/>
        <v>224</v>
      </c>
      <c r="AL30" s="13">
        <f t="shared" si="9"/>
        <v>237</v>
      </c>
      <c r="AM30" s="13">
        <f t="shared" si="9"/>
        <v>255</v>
      </c>
      <c r="AN30" s="13">
        <f t="shared" si="9"/>
        <v>210</v>
      </c>
      <c r="AO30" s="13">
        <f t="shared" si="9"/>
        <v>229</v>
      </c>
      <c r="AP30" s="13">
        <f t="shared" si="9"/>
        <v>204</v>
      </c>
      <c r="AQ30" s="13">
        <f t="shared" si="9"/>
        <v>196</v>
      </c>
      <c r="AR30" s="13">
        <f t="shared" si="9"/>
        <v>198</v>
      </c>
      <c r="AS30" s="13">
        <f t="shared" si="9"/>
        <v>210</v>
      </c>
      <c r="AT30" s="13">
        <f t="shared" si="9"/>
        <v>210</v>
      </c>
      <c r="AU30" s="13">
        <f t="shared" si="9"/>
        <v>230</v>
      </c>
      <c r="AV30" s="13">
        <f t="shared" si="9"/>
        <v>205</v>
      </c>
      <c r="AW30" s="13">
        <f t="shared" si="9"/>
        <v>191</v>
      </c>
      <c r="AX30" s="13">
        <f t="shared" si="9"/>
        <v>200</v>
      </c>
      <c r="AY30" s="13">
        <f t="shared" si="3"/>
        <v>9179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8"/>
      <c r="O31" s="68"/>
      <c r="P31" s="68"/>
      <c r="Q31" s="68"/>
      <c r="R31" s="68"/>
      <c r="S31" s="68"/>
      <c r="T31" s="68"/>
      <c r="U31" s="68"/>
      <c r="V31" s="68"/>
      <c r="W31" s="19"/>
      <c r="X31" s="19"/>
      <c r="Y31" s="19"/>
      <c r="Z31" s="19"/>
      <c r="AA31" s="19"/>
      <c r="AB31" s="19"/>
      <c r="AC31" s="19"/>
      <c r="AD31" s="19"/>
      <c r="AE31" s="19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69"/>
      <c r="P32" s="69"/>
      <c r="Q32" s="69"/>
      <c r="R32" s="69"/>
      <c r="S32" s="69"/>
      <c r="T32" s="69"/>
      <c r="U32" s="69"/>
      <c r="V32" s="69"/>
      <c r="W32" s="13"/>
      <c r="X32" s="13"/>
      <c r="Y32" s="13"/>
      <c r="Z32" s="13"/>
      <c r="AA32" s="13"/>
      <c r="AB32" s="13"/>
      <c r="AC32" s="13"/>
      <c r="AD32" s="13"/>
      <c r="AE32" s="13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</row>
    <row r="33" ht="12.75" customHeight="1">
      <c r="A33" s="19">
        <v>1.0</v>
      </c>
      <c r="B33" s="20" t="s">
        <v>27</v>
      </c>
      <c r="C33" s="15"/>
      <c r="D33" s="16"/>
      <c r="E33" s="19">
        <v>240.0</v>
      </c>
      <c r="F33" s="19">
        <v>272.0</v>
      </c>
      <c r="G33" s="19">
        <v>260.0</v>
      </c>
      <c r="H33" s="19">
        <v>260.0</v>
      </c>
      <c r="I33" s="19">
        <v>277.0</v>
      </c>
      <c r="J33" s="19">
        <v>271.0</v>
      </c>
      <c r="K33" s="19">
        <v>227.0</v>
      </c>
      <c r="L33" s="19">
        <v>254.0</v>
      </c>
      <c r="M33" s="19">
        <v>240.0</v>
      </c>
      <c r="N33" s="19">
        <v>301.0</v>
      </c>
      <c r="O33" s="19">
        <v>293.0</v>
      </c>
      <c r="P33" s="19">
        <v>266.0</v>
      </c>
      <c r="Q33" s="19">
        <v>247.0</v>
      </c>
      <c r="R33" s="19">
        <v>226.0</v>
      </c>
      <c r="S33" s="19">
        <v>224.0</v>
      </c>
      <c r="T33" s="19">
        <v>294.0</v>
      </c>
      <c r="U33" s="19">
        <v>290.0</v>
      </c>
      <c r="V33" s="19">
        <v>274.0</v>
      </c>
      <c r="W33" s="19">
        <v>295.0</v>
      </c>
      <c r="X33" s="19">
        <v>283.0</v>
      </c>
      <c r="Y33" s="19">
        <v>282.0</v>
      </c>
      <c r="Z33" s="19">
        <v>274.0</v>
      </c>
      <c r="AA33" s="19">
        <v>247.0</v>
      </c>
      <c r="AB33" s="19">
        <v>209.0</v>
      </c>
      <c r="AC33" s="19">
        <v>283.0</v>
      </c>
      <c r="AD33" s="19">
        <v>270.0</v>
      </c>
      <c r="AE33" s="19">
        <v>225.0</v>
      </c>
      <c r="AF33" s="19">
        <v>209.0</v>
      </c>
      <c r="AG33" s="19">
        <v>267.0</v>
      </c>
      <c r="AH33" s="19">
        <v>154.0</v>
      </c>
      <c r="AI33" s="19">
        <v>274.0</v>
      </c>
      <c r="AJ33" s="19">
        <v>285.0</v>
      </c>
      <c r="AK33" s="19">
        <v>276.0</v>
      </c>
      <c r="AL33" s="19">
        <v>299.0</v>
      </c>
      <c r="AM33" s="19">
        <v>282.0</v>
      </c>
      <c r="AN33" s="19">
        <v>281.0</v>
      </c>
      <c r="AO33" s="19">
        <v>296.0</v>
      </c>
      <c r="AP33" s="19">
        <v>279.0</v>
      </c>
      <c r="AQ33" s="19">
        <v>290.0</v>
      </c>
      <c r="AR33" s="19">
        <v>265.0</v>
      </c>
      <c r="AS33" s="19">
        <v>281.0</v>
      </c>
      <c r="AT33" s="19">
        <v>266.0</v>
      </c>
      <c r="AU33" s="19">
        <v>285.0</v>
      </c>
      <c r="AV33" s="19">
        <v>288.0</v>
      </c>
      <c r="AW33" s="19">
        <v>275.0</v>
      </c>
      <c r="AX33" s="19">
        <v>274.0</v>
      </c>
      <c r="AY33" s="13">
        <f t="shared" ref="AY33:AY54" si="10">SUM(E33:AX33)</f>
        <v>12210</v>
      </c>
    </row>
    <row r="34" ht="12.75" customHeight="1">
      <c r="A34" s="19">
        <v>2.0</v>
      </c>
      <c r="B34" s="20" t="s">
        <v>28</v>
      </c>
      <c r="C34" s="15"/>
      <c r="D34" s="16"/>
      <c r="E34" s="13">
        <v>182.0</v>
      </c>
      <c r="F34" s="13">
        <v>205.0</v>
      </c>
      <c r="G34" s="13">
        <v>171.0</v>
      </c>
      <c r="H34" s="13">
        <v>169.0</v>
      </c>
      <c r="I34" s="13">
        <v>208.0</v>
      </c>
      <c r="J34" s="13">
        <v>199.0</v>
      </c>
      <c r="K34" s="13">
        <v>167.0</v>
      </c>
      <c r="L34" s="13">
        <v>194.0</v>
      </c>
      <c r="M34" s="13">
        <v>166.0</v>
      </c>
      <c r="N34" s="13">
        <v>218.0</v>
      </c>
      <c r="O34" s="13">
        <v>192.0</v>
      </c>
      <c r="P34" s="13">
        <v>210.0</v>
      </c>
      <c r="Q34" s="13">
        <v>180.0</v>
      </c>
      <c r="R34" s="13">
        <v>153.0</v>
      </c>
      <c r="S34" s="13">
        <v>179.0</v>
      </c>
      <c r="T34" s="13">
        <v>201.0</v>
      </c>
      <c r="U34" s="13">
        <v>224.0</v>
      </c>
      <c r="V34" s="13">
        <v>220.0</v>
      </c>
      <c r="W34" s="13">
        <v>207.0</v>
      </c>
      <c r="X34" s="13">
        <v>231.0</v>
      </c>
      <c r="Y34" s="13">
        <v>215.0</v>
      </c>
      <c r="Z34" s="13">
        <v>204.0</v>
      </c>
      <c r="AA34" s="13">
        <v>193.0</v>
      </c>
      <c r="AB34" s="13">
        <v>182.0</v>
      </c>
      <c r="AC34" s="13">
        <v>199.0</v>
      </c>
      <c r="AD34" s="13">
        <v>203.0</v>
      </c>
      <c r="AE34" s="13">
        <v>191.0</v>
      </c>
      <c r="AF34" s="13">
        <v>161.0</v>
      </c>
      <c r="AG34" s="13">
        <v>223.0</v>
      </c>
      <c r="AH34" s="13">
        <v>122.0</v>
      </c>
      <c r="AI34" s="13">
        <v>202.0</v>
      </c>
      <c r="AJ34" s="13">
        <v>209.0</v>
      </c>
      <c r="AK34" s="13">
        <v>224.0</v>
      </c>
      <c r="AL34" s="13">
        <v>237.0</v>
      </c>
      <c r="AM34" s="13">
        <v>255.0</v>
      </c>
      <c r="AN34" s="13">
        <v>210.0</v>
      </c>
      <c r="AO34" s="13">
        <v>229.0</v>
      </c>
      <c r="AP34" s="13">
        <v>204.0</v>
      </c>
      <c r="AQ34" s="13">
        <v>196.0</v>
      </c>
      <c r="AR34" s="13">
        <v>198.0</v>
      </c>
      <c r="AS34" s="13">
        <v>210.0</v>
      </c>
      <c r="AT34" s="13">
        <v>210.0</v>
      </c>
      <c r="AU34" s="13">
        <v>230.0</v>
      </c>
      <c r="AV34" s="13">
        <v>205.0</v>
      </c>
      <c r="AW34" s="13">
        <v>191.0</v>
      </c>
      <c r="AX34" s="13">
        <v>200.0</v>
      </c>
      <c r="AY34" s="13">
        <f t="shared" si="10"/>
        <v>9179</v>
      </c>
    </row>
    <row r="35" ht="12.75" customHeight="1">
      <c r="A35" s="19">
        <v>3.0</v>
      </c>
      <c r="B35" s="20" t="s">
        <v>29</v>
      </c>
      <c r="C35" s="15"/>
      <c r="D35" s="16"/>
      <c r="E35" s="19">
        <v>4.0</v>
      </c>
      <c r="F35" s="19">
        <v>0.0</v>
      </c>
      <c r="G35" s="19">
        <v>2.0</v>
      </c>
      <c r="H35" s="19">
        <v>0.0</v>
      </c>
      <c r="I35" s="19">
        <v>0.0</v>
      </c>
      <c r="J35" s="19">
        <v>0.0</v>
      </c>
      <c r="K35" s="19">
        <v>3.0</v>
      </c>
      <c r="L35" s="19">
        <v>1.0</v>
      </c>
      <c r="M35" s="19">
        <v>1.0</v>
      </c>
      <c r="N35" s="19">
        <v>1.0</v>
      </c>
      <c r="O35" s="19">
        <v>0.0</v>
      </c>
      <c r="P35" s="19">
        <v>1.0</v>
      </c>
      <c r="Q35" s="19">
        <v>0.0</v>
      </c>
      <c r="R35" s="19">
        <v>0.0</v>
      </c>
      <c r="S35" s="19">
        <v>0.0</v>
      </c>
      <c r="T35" s="19">
        <v>1.0</v>
      </c>
      <c r="U35" s="19">
        <v>0.0</v>
      </c>
      <c r="V35" s="19">
        <v>1.0</v>
      </c>
      <c r="W35" s="19">
        <v>3.0</v>
      </c>
      <c r="X35" s="19">
        <v>0.0</v>
      </c>
      <c r="Y35" s="19">
        <v>0.0</v>
      </c>
      <c r="Z35" s="19">
        <v>0.0</v>
      </c>
      <c r="AA35" s="19">
        <v>1.0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2.0</v>
      </c>
      <c r="AH35" s="19">
        <v>0.0</v>
      </c>
      <c r="AI35" s="19">
        <v>0.0</v>
      </c>
      <c r="AJ35" s="19">
        <v>1.0</v>
      </c>
      <c r="AK35" s="19">
        <v>0.0</v>
      </c>
      <c r="AL35" s="19">
        <v>0.0</v>
      </c>
      <c r="AM35" s="19">
        <v>0.0</v>
      </c>
      <c r="AN35" s="19">
        <v>1.0</v>
      </c>
      <c r="AO35" s="19">
        <v>0.0</v>
      </c>
      <c r="AP35" s="19">
        <v>0.0</v>
      </c>
      <c r="AQ35" s="19">
        <v>2.0</v>
      </c>
      <c r="AR35" s="19">
        <v>0.0</v>
      </c>
      <c r="AS35" s="19">
        <v>0.0</v>
      </c>
      <c r="AT35" s="19">
        <v>0.0</v>
      </c>
      <c r="AU35" s="19">
        <v>4.0</v>
      </c>
      <c r="AV35" s="19">
        <v>0.0</v>
      </c>
      <c r="AW35" s="19">
        <v>1.0</v>
      </c>
      <c r="AX35" s="19"/>
      <c r="AY35" s="13">
        <f t="shared" si="10"/>
        <v>30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X36" si="11">E33-(E34+E35)</f>
        <v>54</v>
      </c>
      <c r="F36" s="13">
        <f t="shared" si="11"/>
        <v>67</v>
      </c>
      <c r="G36" s="13">
        <f t="shared" si="11"/>
        <v>87</v>
      </c>
      <c r="H36" s="13">
        <f t="shared" si="11"/>
        <v>91</v>
      </c>
      <c r="I36" s="13">
        <f t="shared" si="11"/>
        <v>69</v>
      </c>
      <c r="J36" s="13">
        <f t="shared" si="11"/>
        <v>72</v>
      </c>
      <c r="K36" s="13">
        <f t="shared" si="11"/>
        <v>57</v>
      </c>
      <c r="L36" s="13">
        <f t="shared" si="11"/>
        <v>59</v>
      </c>
      <c r="M36" s="13">
        <f t="shared" si="11"/>
        <v>73</v>
      </c>
      <c r="N36" s="13">
        <f t="shared" si="11"/>
        <v>82</v>
      </c>
      <c r="O36" s="13">
        <f t="shared" si="11"/>
        <v>101</v>
      </c>
      <c r="P36" s="13">
        <f t="shared" si="11"/>
        <v>55</v>
      </c>
      <c r="Q36" s="13">
        <f t="shared" si="11"/>
        <v>67</v>
      </c>
      <c r="R36" s="13">
        <f t="shared" si="11"/>
        <v>73</v>
      </c>
      <c r="S36" s="13">
        <f t="shared" si="11"/>
        <v>45</v>
      </c>
      <c r="T36" s="13">
        <f t="shared" si="11"/>
        <v>92</v>
      </c>
      <c r="U36" s="13">
        <f t="shared" si="11"/>
        <v>66</v>
      </c>
      <c r="V36" s="13">
        <f t="shared" si="11"/>
        <v>53</v>
      </c>
      <c r="W36" s="13">
        <f t="shared" si="11"/>
        <v>85</v>
      </c>
      <c r="X36" s="13">
        <f t="shared" si="11"/>
        <v>52</v>
      </c>
      <c r="Y36" s="13">
        <f t="shared" si="11"/>
        <v>67</v>
      </c>
      <c r="Z36" s="13">
        <f t="shared" si="11"/>
        <v>70</v>
      </c>
      <c r="AA36" s="13">
        <f t="shared" si="11"/>
        <v>53</v>
      </c>
      <c r="AB36" s="13">
        <f t="shared" si="11"/>
        <v>27</v>
      </c>
      <c r="AC36" s="13">
        <f t="shared" si="11"/>
        <v>84</v>
      </c>
      <c r="AD36" s="13">
        <f t="shared" si="11"/>
        <v>67</v>
      </c>
      <c r="AE36" s="13">
        <f t="shared" si="11"/>
        <v>34</v>
      </c>
      <c r="AF36" s="13">
        <f t="shared" si="11"/>
        <v>48</v>
      </c>
      <c r="AG36" s="13">
        <f t="shared" si="11"/>
        <v>42</v>
      </c>
      <c r="AH36" s="13">
        <f t="shared" si="11"/>
        <v>32</v>
      </c>
      <c r="AI36" s="13">
        <f t="shared" si="11"/>
        <v>72</v>
      </c>
      <c r="AJ36" s="13">
        <f t="shared" si="11"/>
        <v>75</v>
      </c>
      <c r="AK36" s="13">
        <f t="shared" si="11"/>
        <v>52</v>
      </c>
      <c r="AL36" s="13">
        <f t="shared" si="11"/>
        <v>62</v>
      </c>
      <c r="AM36" s="13">
        <f t="shared" si="11"/>
        <v>27</v>
      </c>
      <c r="AN36" s="13">
        <f t="shared" si="11"/>
        <v>70</v>
      </c>
      <c r="AO36" s="13">
        <f t="shared" si="11"/>
        <v>67</v>
      </c>
      <c r="AP36" s="13">
        <f t="shared" si="11"/>
        <v>75</v>
      </c>
      <c r="AQ36" s="13">
        <f t="shared" si="11"/>
        <v>92</v>
      </c>
      <c r="AR36" s="13">
        <f t="shared" si="11"/>
        <v>67</v>
      </c>
      <c r="AS36" s="13">
        <f t="shared" si="11"/>
        <v>71</v>
      </c>
      <c r="AT36" s="13">
        <f t="shared" si="11"/>
        <v>56</v>
      </c>
      <c r="AU36" s="13">
        <f t="shared" si="11"/>
        <v>51</v>
      </c>
      <c r="AV36" s="13">
        <f t="shared" si="11"/>
        <v>83</v>
      </c>
      <c r="AW36" s="13">
        <f t="shared" si="11"/>
        <v>83</v>
      </c>
      <c r="AX36" s="13">
        <f t="shared" si="11"/>
        <v>74</v>
      </c>
      <c r="AY36" s="13">
        <f t="shared" si="10"/>
        <v>3001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8"/>
      <c r="O37" s="70"/>
      <c r="P37" s="70"/>
      <c r="Q37" s="70"/>
      <c r="R37" s="70"/>
      <c r="S37" s="70"/>
      <c r="T37" s="70"/>
      <c r="U37" s="70"/>
      <c r="V37" s="70"/>
      <c r="W37" s="24"/>
      <c r="X37" s="15"/>
      <c r="Y37" s="15"/>
      <c r="Z37" s="15"/>
      <c r="AA37" s="16"/>
      <c r="AB37" s="19"/>
      <c r="AC37" s="19"/>
      <c r="AD37" s="19"/>
      <c r="AE37" s="19"/>
      <c r="AF37" s="68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13">
        <f t="shared" si="10"/>
        <v>0</v>
      </c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69"/>
      <c r="P38" s="69"/>
      <c r="Q38" s="69"/>
      <c r="R38" s="69"/>
      <c r="S38" s="69"/>
      <c r="T38" s="69"/>
      <c r="U38" s="69"/>
      <c r="V38" s="69"/>
      <c r="W38" s="13"/>
      <c r="X38" s="13"/>
      <c r="Y38" s="13"/>
      <c r="Z38" s="13"/>
      <c r="AA38" s="13"/>
      <c r="AB38" s="13"/>
      <c r="AC38" s="13"/>
      <c r="AD38" s="13"/>
      <c r="AE38" s="13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13">
        <f t="shared" si="10"/>
        <v>0</v>
      </c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1.0</v>
      </c>
      <c r="H39" s="19">
        <v>0.0</v>
      </c>
      <c r="I39" s="19">
        <v>0.0</v>
      </c>
      <c r="J39" s="19">
        <v>0.0</v>
      </c>
      <c r="K39" s="19">
        <v>1.0</v>
      </c>
      <c r="L39" s="19">
        <v>0.0</v>
      </c>
      <c r="M39" s="19">
        <v>0.0</v>
      </c>
      <c r="N39" s="19">
        <v>0.0</v>
      </c>
      <c r="O39" s="19">
        <v>0.0</v>
      </c>
      <c r="P39" s="19">
        <v>1.0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1.0</v>
      </c>
      <c r="AB39" s="19">
        <v>0.0</v>
      </c>
      <c r="AC39" s="19">
        <v>1.0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0.0</v>
      </c>
      <c r="AS39" s="19">
        <v>0.0</v>
      </c>
      <c r="AT39" s="19">
        <v>0.0</v>
      </c>
      <c r="AU39" s="19">
        <v>0.0</v>
      </c>
      <c r="AV39" s="19">
        <v>0.0</v>
      </c>
      <c r="AW39" s="19">
        <v>0.0</v>
      </c>
      <c r="AX39" s="19"/>
      <c r="AY39" s="13">
        <f t="shared" si="10"/>
        <v>5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1.0</v>
      </c>
      <c r="I40" s="19">
        <v>0.0</v>
      </c>
      <c r="J40" s="19">
        <v>1.0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1.0</v>
      </c>
      <c r="AD40" s="19">
        <v>0.0</v>
      </c>
      <c r="AE40" s="19">
        <v>0.0</v>
      </c>
      <c r="AF40" s="19">
        <v>1.0</v>
      </c>
      <c r="AG40" s="19">
        <v>0.0</v>
      </c>
      <c r="AH40" s="19">
        <v>0.0</v>
      </c>
      <c r="AI40" s="19">
        <v>0.0</v>
      </c>
      <c r="AJ40" s="19">
        <v>0.0</v>
      </c>
      <c r="AK40" s="19">
        <v>1.0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0.0</v>
      </c>
      <c r="AU40" s="19">
        <v>0.0</v>
      </c>
      <c r="AV40" s="19">
        <v>0.0</v>
      </c>
      <c r="AW40" s="19">
        <v>0.0</v>
      </c>
      <c r="AX40" s="19"/>
      <c r="AY40" s="13">
        <f t="shared" si="10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AX41" si="12">SUM(E39:E40)</f>
        <v>0</v>
      </c>
      <c r="F41" s="13">
        <f t="shared" si="12"/>
        <v>0</v>
      </c>
      <c r="G41" s="13">
        <f t="shared" si="12"/>
        <v>1</v>
      </c>
      <c r="H41" s="13">
        <f t="shared" si="12"/>
        <v>1</v>
      </c>
      <c r="I41" s="13">
        <f t="shared" si="12"/>
        <v>0</v>
      </c>
      <c r="J41" s="13">
        <f t="shared" si="12"/>
        <v>1</v>
      </c>
      <c r="K41" s="13">
        <f t="shared" si="12"/>
        <v>1</v>
      </c>
      <c r="L41" s="13">
        <f t="shared" si="12"/>
        <v>0</v>
      </c>
      <c r="M41" s="13">
        <f t="shared" si="12"/>
        <v>0</v>
      </c>
      <c r="N41" s="13">
        <f t="shared" si="12"/>
        <v>0</v>
      </c>
      <c r="O41" s="13">
        <f t="shared" si="12"/>
        <v>0</v>
      </c>
      <c r="P41" s="13">
        <f t="shared" si="12"/>
        <v>1</v>
      </c>
      <c r="Q41" s="13">
        <f t="shared" si="12"/>
        <v>0</v>
      </c>
      <c r="R41" s="13">
        <f t="shared" si="12"/>
        <v>0</v>
      </c>
      <c r="S41" s="13">
        <f t="shared" si="12"/>
        <v>0</v>
      </c>
      <c r="T41" s="13">
        <f t="shared" si="12"/>
        <v>0</v>
      </c>
      <c r="U41" s="13">
        <f t="shared" si="12"/>
        <v>0</v>
      </c>
      <c r="V41" s="13">
        <f t="shared" si="12"/>
        <v>0</v>
      </c>
      <c r="W41" s="13">
        <f t="shared" si="12"/>
        <v>0</v>
      </c>
      <c r="X41" s="13">
        <f t="shared" si="12"/>
        <v>0</v>
      </c>
      <c r="Y41" s="13">
        <f t="shared" si="12"/>
        <v>0</v>
      </c>
      <c r="Z41" s="13">
        <f t="shared" si="12"/>
        <v>0</v>
      </c>
      <c r="AA41" s="13">
        <f t="shared" si="12"/>
        <v>1</v>
      </c>
      <c r="AB41" s="13">
        <f t="shared" si="12"/>
        <v>0</v>
      </c>
      <c r="AC41" s="13">
        <f t="shared" si="12"/>
        <v>2</v>
      </c>
      <c r="AD41" s="13">
        <f t="shared" si="12"/>
        <v>0</v>
      </c>
      <c r="AE41" s="13">
        <f t="shared" si="12"/>
        <v>0</v>
      </c>
      <c r="AF41" s="13">
        <f t="shared" si="12"/>
        <v>1</v>
      </c>
      <c r="AG41" s="13">
        <f t="shared" si="12"/>
        <v>0</v>
      </c>
      <c r="AH41" s="13">
        <f t="shared" si="12"/>
        <v>0</v>
      </c>
      <c r="AI41" s="13">
        <f t="shared" si="12"/>
        <v>0</v>
      </c>
      <c r="AJ41" s="13">
        <f t="shared" si="12"/>
        <v>0</v>
      </c>
      <c r="AK41" s="13">
        <f t="shared" si="12"/>
        <v>1</v>
      </c>
      <c r="AL41" s="13">
        <f t="shared" si="12"/>
        <v>0</v>
      </c>
      <c r="AM41" s="13">
        <f t="shared" si="12"/>
        <v>0</v>
      </c>
      <c r="AN41" s="13">
        <f t="shared" si="12"/>
        <v>0</v>
      </c>
      <c r="AO41" s="13">
        <f t="shared" si="12"/>
        <v>0</v>
      </c>
      <c r="AP41" s="13">
        <f t="shared" si="12"/>
        <v>0</v>
      </c>
      <c r="AQ41" s="13">
        <f t="shared" si="12"/>
        <v>0</v>
      </c>
      <c r="AR41" s="13">
        <f t="shared" si="12"/>
        <v>0</v>
      </c>
      <c r="AS41" s="13">
        <f t="shared" si="12"/>
        <v>0</v>
      </c>
      <c r="AT41" s="13">
        <f t="shared" si="12"/>
        <v>0</v>
      </c>
      <c r="AU41" s="13">
        <f t="shared" si="12"/>
        <v>0</v>
      </c>
      <c r="AV41" s="13">
        <f t="shared" si="12"/>
        <v>0</v>
      </c>
      <c r="AW41" s="13">
        <f t="shared" si="12"/>
        <v>0</v>
      </c>
      <c r="AX41" s="13">
        <f t="shared" si="12"/>
        <v>0</v>
      </c>
      <c r="AY41" s="13">
        <f t="shared" si="10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8"/>
      <c r="O42" s="19"/>
      <c r="P42" s="68"/>
      <c r="Q42" s="19"/>
      <c r="R42" s="68"/>
      <c r="S42" s="19"/>
      <c r="T42" s="68"/>
      <c r="U42" s="19"/>
      <c r="V42" s="68"/>
      <c r="W42" s="24"/>
      <c r="X42" s="15"/>
      <c r="Y42" s="15"/>
      <c r="Z42" s="15"/>
      <c r="AA42" s="16"/>
      <c r="AB42" s="19"/>
      <c r="AC42" s="19"/>
      <c r="AD42" s="19"/>
      <c r="AE42" s="19"/>
      <c r="AF42" s="68"/>
      <c r="AG42" s="19"/>
      <c r="AH42" s="68"/>
      <c r="AI42" s="19"/>
      <c r="AJ42" s="68"/>
      <c r="AK42" s="19"/>
      <c r="AL42" s="68"/>
      <c r="AM42" s="19"/>
      <c r="AN42" s="68"/>
      <c r="AO42" s="19"/>
      <c r="AP42" s="68"/>
      <c r="AQ42" s="19"/>
      <c r="AR42" s="68"/>
      <c r="AS42" s="19"/>
      <c r="AT42" s="68"/>
      <c r="AU42" s="19"/>
      <c r="AV42" s="68"/>
      <c r="AW42" s="19"/>
      <c r="AX42" s="68"/>
      <c r="AY42" s="13">
        <f t="shared" si="10"/>
        <v>0</v>
      </c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69"/>
      <c r="Q43" s="13"/>
      <c r="R43" s="69"/>
      <c r="S43" s="13"/>
      <c r="T43" s="69"/>
      <c r="U43" s="13"/>
      <c r="V43" s="69"/>
      <c r="W43" s="29"/>
      <c r="X43" s="13"/>
      <c r="Y43" s="13"/>
      <c r="Z43" s="13"/>
      <c r="AA43" s="13"/>
      <c r="AB43" s="13"/>
      <c r="AC43" s="13"/>
      <c r="AD43" s="13"/>
      <c r="AE43" s="13"/>
      <c r="AF43" s="69"/>
      <c r="AG43" s="13"/>
      <c r="AH43" s="69"/>
      <c r="AI43" s="13"/>
      <c r="AJ43" s="69"/>
      <c r="AK43" s="13"/>
      <c r="AL43" s="69"/>
      <c r="AM43" s="13"/>
      <c r="AN43" s="69"/>
      <c r="AO43" s="13"/>
      <c r="AP43" s="69"/>
      <c r="AQ43" s="13"/>
      <c r="AR43" s="69"/>
      <c r="AS43" s="13"/>
      <c r="AT43" s="69"/>
      <c r="AU43" s="13"/>
      <c r="AV43" s="69"/>
      <c r="AW43" s="13"/>
      <c r="AX43" s="69"/>
      <c r="AY43" s="13">
        <f t="shared" si="10"/>
        <v>0</v>
      </c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8"/>
      <c r="O44" s="19"/>
      <c r="P44" s="68"/>
      <c r="Q44" s="19"/>
      <c r="R44" s="68"/>
      <c r="S44" s="19"/>
      <c r="T44" s="68"/>
      <c r="U44" s="19"/>
      <c r="V44" s="68"/>
      <c r="W44" s="24"/>
      <c r="X44" s="19"/>
      <c r="Y44" s="19"/>
      <c r="Z44" s="19"/>
      <c r="AA44" s="19"/>
      <c r="AB44" s="19"/>
      <c r="AC44" s="19"/>
      <c r="AD44" s="19"/>
      <c r="AE44" s="19"/>
      <c r="AF44" s="68"/>
      <c r="AG44" s="19"/>
      <c r="AH44" s="68"/>
      <c r="AI44" s="19"/>
      <c r="AJ44" s="68"/>
      <c r="AK44" s="19"/>
      <c r="AL44" s="68"/>
      <c r="AM44" s="19"/>
      <c r="AN44" s="68"/>
      <c r="AO44" s="19"/>
      <c r="AP44" s="68"/>
      <c r="AQ44" s="19"/>
      <c r="AR44" s="68"/>
      <c r="AS44" s="19"/>
      <c r="AT44" s="68"/>
      <c r="AU44" s="19"/>
      <c r="AV44" s="68"/>
      <c r="AW44" s="19"/>
      <c r="AX44" s="68"/>
      <c r="AY44" s="13">
        <f t="shared" si="10"/>
        <v>0</v>
      </c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6.0</v>
      </c>
      <c r="F45" s="19">
        <v>1.0</v>
      </c>
      <c r="G45" s="19">
        <v>2.0</v>
      </c>
      <c r="H45" s="19">
        <v>1.0</v>
      </c>
      <c r="I45" s="19">
        <v>10.0</v>
      </c>
      <c r="J45" s="19">
        <v>1.0</v>
      </c>
      <c r="K45" s="19">
        <v>2.0</v>
      </c>
      <c r="L45" s="19">
        <v>6.0</v>
      </c>
      <c r="M45" s="19">
        <v>9.0</v>
      </c>
      <c r="N45" s="19">
        <v>11.0</v>
      </c>
      <c r="O45" s="19">
        <v>5.0</v>
      </c>
      <c r="P45" s="19">
        <v>1.0</v>
      </c>
      <c r="Q45" s="19">
        <v>5.0</v>
      </c>
      <c r="R45" s="19">
        <v>1.0</v>
      </c>
      <c r="S45" s="19">
        <v>1.0</v>
      </c>
      <c r="T45" s="19">
        <v>4.0</v>
      </c>
      <c r="U45" s="19">
        <v>4.0</v>
      </c>
      <c r="V45" s="19">
        <v>4.0</v>
      </c>
      <c r="W45" s="19">
        <v>5.0</v>
      </c>
      <c r="X45" s="19">
        <v>4.0</v>
      </c>
      <c r="Y45" s="19">
        <v>5.0</v>
      </c>
      <c r="Z45" s="19">
        <v>6.0</v>
      </c>
      <c r="AA45" s="19">
        <v>3.0</v>
      </c>
      <c r="AB45" s="19">
        <v>4.0</v>
      </c>
      <c r="AC45" s="19">
        <v>7.0</v>
      </c>
      <c r="AD45" s="19">
        <v>1.0</v>
      </c>
      <c r="AE45" s="19">
        <v>10.0</v>
      </c>
      <c r="AF45" s="19">
        <v>4.0</v>
      </c>
      <c r="AG45" s="19">
        <v>14.0</v>
      </c>
      <c r="AH45" s="19">
        <v>1.0</v>
      </c>
      <c r="AI45" s="19">
        <v>0.0</v>
      </c>
      <c r="AJ45" s="19">
        <v>7.0</v>
      </c>
      <c r="AK45" s="19">
        <v>15.0</v>
      </c>
      <c r="AL45" s="19">
        <v>10.0</v>
      </c>
      <c r="AM45" s="19">
        <v>14.0</v>
      </c>
      <c r="AN45" s="19">
        <v>12.0</v>
      </c>
      <c r="AO45" s="19">
        <v>17.0</v>
      </c>
      <c r="AP45" s="19">
        <v>7.0</v>
      </c>
      <c r="AQ45" s="19">
        <v>17.0</v>
      </c>
      <c r="AR45" s="19">
        <v>8.0</v>
      </c>
      <c r="AS45" s="19">
        <v>14.0</v>
      </c>
      <c r="AT45" s="19">
        <v>13.0</v>
      </c>
      <c r="AU45" s="19">
        <v>14.0</v>
      </c>
      <c r="AV45" s="19">
        <v>5.0</v>
      </c>
      <c r="AW45" s="19">
        <v>6.0</v>
      </c>
      <c r="AX45" s="19">
        <v>2.0</v>
      </c>
      <c r="AY45" s="13">
        <f t="shared" si="10"/>
        <v>299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7.0</v>
      </c>
      <c r="F46" s="19">
        <v>13.0</v>
      </c>
      <c r="G46" s="19">
        <v>5.0</v>
      </c>
      <c r="H46" s="19">
        <v>4.0</v>
      </c>
      <c r="I46" s="19">
        <v>10.0</v>
      </c>
      <c r="J46" s="19">
        <v>9.0</v>
      </c>
      <c r="K46" s="19">
        <v>0.0</v>
      </c>
      <c r="L46" s="19">
        <v>10.0</v>
      </c>
      <c r="M46" s="19">
        <v>4.0</v>
      </c>
      <c r="N46" s="19">
        <v>13.0</v>
      </c>
      <c r="O46" s="19">
        <v>20.0</v>
      </c>
      <c r="P46" s="19">
        <v>14.0</v>
      </c>
      <c r="Q46" s="19">
        <v>7.0</v>
      </c>
      <c r="R46" s="19">
        <v>2.0</v>
      </c>
      <c r="S46" s="19">
        <v>3.0</v>
      </c>
      <c r="T46" s="19">
        <v>5.0</v>
      </c>
      <c r="U46" s="19">
        <v>4.0</v>
      </c>
      <c r="V46" s="19">
        <v>10.0</v>
      </c>
      <c r="W46" s="19">
        <v>5.0</v>
      </c>
      <c r="X46" s="19">
        <v>12.0</v>
      </c>
      <c r="Y46" s="19">
        <v>5.0</v>
      </c>
      <c r="Z46" s="19">
        <v>20.0</v>
      </c>
      <c r="AA46" s="19">
        <v>8.0</v>
      </c>
      <c r="AB46" s="19">
        <v>10.0</v>
      </c>
      <c r="AC46" s="19">
        <v>17.0</v>
      </c>
      <c r="AD46" s="19">
        <v>10.0</v>
      </c>
      <c r="AE46" s="19">
        <v>15.0</v>
      </c>
      <c r="AF46" s="19">
        <v>34.0</v>
      </c>
      <c r="AG46" s="19">
        <v>34.0</v>
      </c>
      <c r="AH46" s="19">
        <v>1.0</v>
      </c>
      <c r="AI46" s="19">
        <v>1.0</v>
      </c>
      <c r="AJ46" s="19">
        <v>24.0</v>
      </c>
      <c r="AK46" s="19">
        <v>37.0</v>
      </c>
      <c r="AL46" s="19">
        <v>30.0</v>
      </c>
      <c r="AM46" s="19">
        <v>16.0</v>
      </c>
      <c r="AN46" s="19">
        <v>4.0</v>
      </c>
      <c r="AO46" s="19">
        <v>43.0</v>
      </c>
      <c r="AP46" s="19">
        <v>16.0</v>
      </c>
      <c r="AQ46" s="19">
        <v>28.0</v>
      </c>
      <c r="AR46" s="19">
        <v>35.0</v>
      </c>
      <c r="AS46" s="19">
        <v>25.0</v>
      </c>
      <c r="AT46" s="19">
        <v>33.0</v>
      </c>
      <c r="AU46" s="19">
        <v>49.0</v>
      </c>
      <c r="AV46" s="19">
        <v>8.0</v>
      </c>
      <c r="AW46" s="19">
        <v>15.0</v>
      </c>
      <c r="AX46" s="19">
        <v>11.0</v>
      </c>
      <c r="AY46" s="13">
        <f t="shared" si="10"/>
        <v>686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1.0</v>
      </c>
      <c r="G47" s="19">
        <v>0.0</v>
      </c>
      <c r="H47" s="19">
        <v>1.0</v>
      </c>
      <c r="I47" s="19">
        <v>0.0</v>
      </c>
      <c r="J47" s="19">
        <v>2.0</v>
      </c>
      <c r="K47" s="19">
        <v>0.0</v>
      </c>
      <c r="L47" s="19">
        <v>3.0</v>
      </c>
      <c r="M47" s="19">
        <v>0.0</v>
      </c>
      <c r="N47" s="19">
        <v>2.0</v>
      </c>
      <c r="O47" s="19">
        <v>1.0</v>
      </c>
      <c r="P47" s="19">
        <v>0.0</v>
      </c>
      <c r="Q47" s="19">
        <v>1.0</v>
      </c>
      <c r="R47" s="19">
        <v>2.0</v>
      </c>
      <c r="S47" s="19">
        <v>0.0</v>
      </c>
      <c r="T47" s="19">
        <v>2.0</v>
      </c>
      <c r="U47" s="19">
        <v>0.0</v>
      </c>
      <c r="V47" s="19">
        <v>1.0</v>
      </c>
      <c r="W47" s="19">
        <v>4.0</v>
      </c>
      <c r="X47" s="19">
        <v>5.0</v>
      </c>
      <c r="Y47" s="19">
        <v>1.0</v>
      </c>
      <c r="Z47" s="19">
        <v>2.0</v>
      </c>
      <c r="AA47" s="19">
        <v>0.0</v>
      </c>
      <c r="AB47" s="19">
        <v>0.0</v>
      </c>
      <c r="AC47" s="19">
        <v>1.0</v>
      </c>
      <c r="AD47" s="19">
        <v>0.0</v>
      </c>
      <c r="AE47" s="19">
        <v>1.0</v>
      </c>
      <c r="AF47" s="19">
        <v>0.0</v>
      </c>
      <c r="AG47" s="19">
        <v>1.0</v>
      </c>
      <c r="AH47" s="19">
        <v>0.0</v>
      </c>
      <c r="AI47" s="19">
        <v>0.0</v>
      </c>
      <c r="AJ47" s="19">
        <v>1.0</v>
      </c>
      <c r="AK47" s="19">
        <v>1.0</v>
      </c>
      <c r="AL47" s="19">
        <v>0.0</v>
      </c>
      <c r="AM47" s="19">
        <v>3.0</v>
      </c>
      <c r="AN47" s="19">
        <v>2.0</v>
      </c>
      <c r="AO47" s="19">
        <v>0.0</v>
      </c>
      <c r="AP47" s="19">
        <v>0.0</v>
      </c>
      <c r="AQ47" s="19">
        <v>2.0</v>
      </c>
      <c r="AR47" s="19">
        <v>1.0</v>
      </c>
      <c r="AS47" s="19">
        <v>3.0</v>
      </c>
      <c r="AT47" s="19">
        <v>0.0</v>
      </c>
      <c r="AU47" s="19">
        <v>0.0</v>
      </c>
      <c r="AV47" s="19">
        <v>1.0</v>
      </c>
      <c r="AW47" s="19">
        <v>0.0</v>
      </c>
      <c r="AX47" s="19">
        <v>1.0</v>
      </c>
      <c r="AY47" s="13">
        <f t="shared" si="10"/>
        <v>47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1.0</v>
      </c>
      <c r="G48" s="19">
        <v>1.0</v>
      </c>
      <c r="H48" s="19">
        <v>0.0</v>
      </c>
      <c r="I48" s="19">
        <v>0.0</v>
      </c>
      <c r="J48" s="19">
        <v>0.0</v>
      </c>
      <c r="K48" s="19">
        <v>0.0</v>
      </c>
      <c r="L48" s="19">
        <v>0.0</v>
      </c>
      <c r="M48" s="19">
        <v>0.0</v>
      </c>
      <c r="N48" s="19">
        <v>0.0</v>
      </c>
      <c r="O48" s="19">
        <v>0.0</v>
      </c>
      <c r="P48" s="19">
        <v>1.0</v>
      </c>
      <c r="Q48" s="19">
        <v>1.0</v>
      </c>
      <c r="R48" s="19">
        <v>1.0</v>
      </c>
      <c r="S48" s="19">
        <v>0.0</v>
      </c>
      <c r="T48" s="19">
        <v>0.0</v>
      </c>
      <c r="U48" s="19">
        <v>0.0</v>
      </c>
      <c r="V48" s="19">
        <v>0.0</v>
      </c>
      <c r="W48" s="19">
        <v>0.0</v>
      </c>
      <c r="X48" s="19">
        <v>1.0</v>
      </c>
      <c r="Y48" s="19">
        <v>1.0</v>
      </c>
      <c r="Z48" s="19">
        <v>0.0</v>
      </c>
      <c r="AA48" s="19">
        <v>0.0</v>
      </c>
      <c r="AB48" s="19">
        <v>0.0</v>
      </c>
      <c r="AC48" s="19">
        <v>1.0</v>
      </c>
      <c r="AD48" s="19">
        <v>0.0</v>
      </c>
      <c r="AE48" s="19">
        <v>0.0</v>
      </c>
      <c r="AF48" s="19">
        <v>0.0</v>
      </c>
      <c r="AG48" s="19">
        <v>5.0</v>
      </c>
      <c r="AH48" s="19">
        <v>0.0</v>
      </c>
      <c r="AI48" s="19">
        <v>0.0</v>
      </c>
      <c r="AJ48" s="19">
        <v>1.0</v>
      </c>
      <c r="AK48" s="19">
        <v>1.0</v>
      </c>
      <c r="AL48" s="19">
        <v>3.0</v>
      </c>
      <c r="AM48" s="19">
        <v>0.0</v>
      </c>
      <c r="AN48" s="19">
        <v>0.0</v>
      </c>
      <c r="AO48" s="19">
        <v>5.0</v>
      </c>
      <c r="AP48" s="19">
        <v>2.0</v>
      </c>
      <c r="AQ48" s="19">
        <v>0.0</v>
      </c>
      <c r="AR48" s="19">
        <v>3.0</v>
      </c>
      <c r="AS48" s="19">
        <v>6.0</v>
      </c>
      <c r="AT48" s="19">
        <v>2.0</v>
      </c>
      <c r="AU48" s="19">
        <v>4.0</v>
      </c>
      <c r="AV48" s="19">
        <v>4.0</v>
      </c>
      <c r="AW48" s="19">
        <v>2.0</v>
      </c>
      <c r="AX48" s="19">
        <v>1.0</v>
      </c>
      <c r="AY48" s="13">
        <f t="shared" si="10"/>
        <v>47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1.0</v>
      </c>
      <c r="G49" s="19">
        <v>0.0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9">
        <v>0.0</v>
      </c>
      <c r="N49" s="19">
        <v>1.0</v>
      </c>
      <c r="O49" s="19">
        <v>2.0</v>
      </c>
      <c r="P49" s="19">
        <v>2.0</v>
      </c>
      <c r="Q49" s="19">
        <v>0.0</v>
      </c>
      <c r="R49" s="19">
        <v>0.0</v>
      </c>
      <c r="S49" s="19">
        <v>2.0</v>
      </c>
      <c r="T49" s="19">
        <v>0.0</v>
      </c>
      <c r="U49" s="19">
        <v>0.0</v>
      </c>
      <c r="V49" s="19">
        <v>0.0</v>
      </c>
      <c r="W49" s="19">
        <v>5.0</v>
      </c>
      <c r="X49" s="19">
        <v>0.0</v>
      </c>
      <c r="Y49" s="19">
        <v>0.0</v>
      </c>
      <c r="Z49" s="19">
        <v>3.0</v>
      </c>
      <c r="AA49" s="19">
        <v>2.0</v>
      </c>
      <c r="AB49" s="19">
        <v>0.0</v>
      </c>
      <c r="AC49" s="19">
        <v>1.0</v>
      </c>
      <c r="AD49" s="19">
        <v>0.0</v>
      </c>
      <c r="AE49" s="19">
        <v>1.0</v>
      </c>
      <c r="AF49" s="19">
        <v>1.0</v>
      </c>
      <c r="AG49" s="19">
        <v>1.0</v>
      </c>
      <c r="AH49" s="19">
        <v>0.0</v>
      </c>
      <c r="AI49" s="19">
        <v>0.0</v>
      </c>
      <c r="AJ49" s="19">
        <v>0.0</v>
      </c>
      <c r="AK49" s="19">
        <v>2.0</v>
      </c>
      <c r="AL49" s="19">
        <v>1.0</v>
      </c>
      <c r="AM49" s="19">
        <v>0.0</v>
      </c>
      <c r="AN49" s="19">
        <v>0.0</v>
      </c>
      <c r="AO49" s="19">
        <v>2.0</v>
      </c>
      <c r="AP49" s="19">
        <v>1.0</v>
      </c>
      <c r="AQ49" s="19">
        <v>2.0</v>
      </c>
      <c r="AR49" s="19">
        <v>4.0</v>
      </c>
      <c r="AS49" s="19">
        <v>6.0</v>
      </c>
      <c r="AT49" s="19">
        <v>13.0</v>
      </c>
      <c r="AU49" s="19">
        <v>0.0</v>
      </c>
      <c r="AV49" s="19">
        <v>0.0</v>
      </c>
      <c r="AW49" s="19">
        <v>1.0</v>
      </c>
      <c r="AX49" s="19">
        <v>1.0</v>
      </c>
      <c r="AY49" s="13">
        <f t="shared" si="10"/>
        <v>56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1.0</v>
      </c>
      <c r="R50" s="19">
        <v>0.0</v>
      </c>
      <c r="S50" s="19">
        <v>0.0</v>
      </c>
      <c r="T50" s="19">
        <v>0.0</v>
      </c>
      <c r="U50" s="19">
        <v>0.0</v>
      </c>
      <c r="V50" s="19">
        <v>0.0</v>
      </c>
      <c r="W50" s="19">
        <v>0.0</v>
      </c>
      <c r="X50" s="19">
        <v>0.0</v>
      </c>
      <c r="Y50" s="19">
        <v>0.0</v>
      </c>
      <c r="Z50" s="19">
        <v>0.0</v>
      </c>
      <c r="AA50" s="19">
        <v>0.0</v>
      </c>
      <c r="AB50" s="19">
        <v>0.0</v>
      </c>
      <c r="AC50" s="19">
        <v>1.0</v>
      </c>
      <c r="AD50" s="19">
        <v>1.0</v>
      </c>
      <c r="AE50" s="19">
        <v>0.0</v>
      </c>
      <c r="AF50" s="19">
        <v>1.0</v>
      </c>
      <c r="AG50" s="19">
        <v>1.0</v>
      </c>
      <c r="AH50" s="19">
        <v>1.0</v>
      </c>
      <c r="AI50" s="19">
        <v>0.0</v>
      </c>
      <c r="AJ50" s="19">
        <v>0.0</v>
      </c>
      <c r="AK50" s="19">
        <v>0.0</v>
      </c>
      <c r="AL50" s="19">
        <v>0.0</v>
      </c>
      <c r="AM50" s="19">
        <v>0.0</v>
      </c>
      <c r="AN50" s="19">
        <v>1.0</v>
      </c>
      <c r="AO50" s="19">
        <v>2.0</v>
      </c>
      <c r="AP50" s="19">
        <v>1.0</v>
      </c>
      <c r="AQ50" s="19">
        <v>0.0</v>
      </c>
      <c r="AR50" s="19">
        <v>1.0</v>
      </c>
      <c r="AS50" s="19">
        <v>2.0</v>
      </c>
      <c r="AT50" s="19">
        <v>0.0</v>
      </c>
      <c r="AU50" s="19">
        <v>1.0</v>
      </c>
      <c r="AV50" s="19">
        <v>0.0</v>
      </c>
      <c r="AW50" s="19">
        <v>1.0</v>
      </c>
      <c r="AX50" s="19">
        <v>2.0</v>
      </c>
      <c r="AY50" s="13">
        <f t="shared" si="10"/>
        <v>17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0.0</v>
      </c>
      <c r="G51" s="19">
        <v>1.0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1.0</v>
      </c>
      <c r="N51" s="19">
        <v>0.0</v>
      </c>
      <c r="O51" s="19">
        <v>1.0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9">
        <v>1.0</v>
      </c>
      <c r="Y51" s="19">
        <v>0.0</v>
      </c>
      <c r="Z51" s="19">
        <v>0.0</v>
      </c>
      <c r="AA51" s="19">
        <v>0.0</v>
      </c>
      <c r="AB51" s="19">
        <v>1.0</v>
      </c>
      <c r="AC51" s="19">
        <v>0.0</v>
      </c>
      <c r="AD51" s="19">
        <v>0.0</v>
      </c>
      <c r="AE51" s="19">
        <v>0.0</v>
      </c>
      <c r="AF51" s="19">
        <v>0.0</v>
      </c>
      <c r="AG51" s="19">
        <v>7.0</v>
      </c>
      <c r="AH51" s="19">
        <v>0.0</v>
      </c>
      <c r="AI51" s="19">
        <v>0.0</v>
      </c>
      <c r="AJ51" s="19">
        <v>0.0</v>
      </c>
      <c r="AK51" s="19">
        <v>3.0</v>
      </c>
      <c r="AL51" s="19">
        <v>1.0</v>
      </c>
      <c r="AM51" s="19">
        <v>1.0</v>
      </c>
      <c r="AN51" s="19">
        <v>1.0</v>
      </c>
      <c r="AO51" s="19">
        <v>3.0</v>
      </c>
      <c r="AP51" s="19">
        <v>1.0</v>
      </c>
      <c r="AQ51" s="19">
        <v>1.0</v>
      </c>
      <c r="AR51" s="19">
        <v>0.0</v>
      </c>
      <c r="AS51" s="19">
        <v>3.0</v>
      </c>
      <c r="AT51" s="19">
        <v>5.0</v>
      </c>
      <c r="AU51" s="19">
        <v>2.0</v>
      </c>
      <c r="AV51" s="19">
        <v>0.0</v>
      </c>
      <c r="AW51" s="19">
        <v>1.0</v>
      </c>
      <c r="AX51" s="19">
        <v>1.0</v>
      </c>
      <c r="AY51" s="13">
        <f t="shared" si="10"/>
        <v>36</v>
      </c>
    </row>
    <row r="52" ht="12.75" customHeight="1">
      <c r="A52" s="18"/>
      <c r="B52" s="55">
        <v>7.0</v>
      </c>
      <c r="C52" s="50" t="s">
        <v>46</v>
      </c>
      <c r="D52" s="16"/>
      <c r="E52" s="19">
        <v>1.0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2.0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0.0</v>
      </c>
      <c r="AE52" s="19">
        <v>1.0</v>
      </c>
      <c r="AF52" s="19">
        <v>0.0</v>
      </c>
      <c r="AG52" s="19">
        <v>0.0</v>
      </c>
      <c r="AH52" s="19">
        <v>0.0</v>
      </c>
      <c r="AI52" s="19">
        <v>0.0</v>
      </c>
      <c r="AJ52" s="19">
        <v>0.0</v>
      </c>
      <c r="AK52" s="19">
        <v>0.0</v>
      </c>
      <c r="AL52" s="19">
        <v>1.0</v>
      </c>
      <c r="AM52" s="19">
        <v>0.0</v>
      </c>
      <c r="AN52" s="19">
        <v>1.0</v>
      </c>
      <c r="AO52" s="19">
        <v>0.0</v>
      </c>
      <c r="AP52" s="19">
        <v>0.0</v>
      </c>
      <c r="AQ52" s="19">
        <v>0.0</v>
      </c>
      <c r="AR52" s="19">
        <v>2.0</v>
      </c>
      <c r="AS52" s="19">
        <v>0.0</v>
      </c>
      <c r="AT52" s="19">
        <v>0.0</v>
      </c>
      <c r="AU52" s="19">
        <v>0.0</v>
      </c>
      <c r="AV52" s="19">
        <v>0.0</v>
      </c>
      <c r="AW52" s="19">
        <v>0.0</v>
      </c>
      <c r="AX52" s="19">
        <v>0.0</v>
      </c>
      <c r="AY52" s="13">
        <f t="shared" si="10"/>
        <v>8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3">
        <f t="shared" si="10"/>
        <v>0</v>
      </c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3">
        <f t="shared" si="10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Y55" si="13">SUM(E45:E54)</f>
        <v>17</v>
      </c>
      <c r="F55" s="13">
        <f t="shared" si="13"/>
        <v>17</v>
      </c>
      <c r="G55" s="13">
        <f t="shared" si="13"/>
        <v>9</v>
      </c>
      <c r="H55" s="13">
        <f t="shared" si="13"/>
        <v>6</v>
      </c>
      <c r="I55" s="13">
        <f t="shared" si="13"/>
        <v>20</v>
      </c>
      <c r="J55" s="13">
        <f t="shared" si="13"/>
        <v>12</v>
      </c>
      <c r="K55" s="13">
        <f t="shared" si="13"/>
        <v>2</v>
      </c>
      <c r="L55" s="13">
        <f t="shared" si="13"/>
        <v>19</v>
      </c>
      <c r="M55" s="13">
        <f t="shared" si="13"/>
        <v>14</v>
      </c>
      <c r="N55" s="13">
        <f t="shared" si="13"/>
        <v>27</v>
      </c>
      <c r="O55" s="13">
        <f t="shared" si="13"/>
        <v>29</v>
      </c>
      <c r="P55" s="13">
        <f t="shared" si="13"/>
        <v>18</v>
      </c>
      <c r="Q55" s="13">
        <f t="shared" si="13"/>
        <v>15</v>
      </c>
      <c r="R55" s="13">
        <f t="shared" si="13"/>
        <v>6</v>
      </c>
      <c r="S55" s="13">
        <f t="shared" si="13"/>
        <v>6</v>
      </c>
      <c r="T55" s="13">
        <f t="shared" si="13"/>
        <v>11</v>
      </c>
      <c r="U55" s="13">
        <f t="shared" si="13"/>
        <v>8</v>
      </c>
      <c r="V55" s="13">
        <f t="shared" si="13"/>
        <v>15</v>
      </c>
      <c r="W55" s="13">
        <f t="shared" si="13"/>
        <v>19</v>
      </c>
      <c r="X55" s="13">
        <f t="shared" si="13"/>
        <v>25</v>
      </c>
      <c r="Y55" s="13">
        <f t="shared" si="13"/>
        <v>12</v>
      </c>
      <c r="Z55" s="13">
        <f t="shared" si="13"/>
        <v>31</v>
      </c>
      <c r="AA55" s="13">
        <f t="shared" si="13"/>
        <v>13</v>
      </c>
      <c r="AB55" s="13">
        <f t="shared" si="13"/>
        <v>15</v>
      </c>
      <c r="AC55" s="13">
        <f t="shared" si="13"/>
        <v>28</v>
      </c>
      <c r="AD55" s="13">
        <f t="shared" si="13"/>
        <v>12</v>
      </c>
      <c r="AE55" s="13">
        <f t="shared" si="13"/>
        <v>28</v>
      </c>
      <c r="AF55" s="13">
        <f t="shared" si="13"/>
        <v>40</v>
      </c>
      <c r="AG55" s="13">
        <f t="shared" si="13"/>
        <v>63</v>
      </c>
      <c r="AH55" s="13">
        <f t="shared" si="13"/>
        <v>3</v>
      </c>
      <c r="AI55" s="13">
        <f t="shared" si="13"/>
        <v>1</v>
      </c>
      <c r="AJ55" s="13">
        <f t="shared" si="13"/>
        <v>33</v>
      </c>
      <c r="AK55" s="13">
        <f t="shared" si="13"/>
        <v>59</v>
      </c>
      <c r="AL55" s="13">
        <f t="shared" si="13"/>
        <v>46</v>
      </c>
      <c r="AM55" s="13">
        <f t="shared" si="13"/>
        <v>34</v>
      </c>
      <c r="AN55" s="13">
        <f t="shared" si="13"/>
        <v>21</v>
      </c>
      <c r="AO55" s="13">
        <f t="shared" si="13"/>
        <v>72</v>
      </c>
      <c r="AP55" s="13">
        <f t="shared" si="13"/>
        <v>28</v>
      </c>
      <c r="AQ55" s="13">
        <f t="shared" si="13"/>
        <v>50</v>
      </c>
      <c r="AR55" s="13">
        <f t="shared" si="13"/>
        <v>54</v>
      </c>
      <c r="AS55" s="13">
        <f t="shared" si="13"/>
        <v>59</v>
      </c>
      <c r="AT55" s="13">
        <f t="shared" si="13"/>
        <v>66</v>
      </c>
      <c r="AU55" s="13">
        <f t="shared" si="13"/>
        <v>70</v>
      </c>
      <c r="AV55" s="13">
        <f t="shared" si="13"/>
        <v>18</v>
      </c>
      <c r="AW55" s="13">
        <f t="shared" si="13"/>
        <v>26</v>
      </c>
      <c r="AX55" s="13">
        <f t="shared" si="13"/>
        <v>19</v>
      </c>
      <c r="AY55" s="13">
        <f t="shared" si="13"/>
        <v>1196</v>
      </c>
    </row>
    <row r="56" ht="12.75" customHeight="1">
      <c r="A56" s="45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AY56" s="13">
        <f t="shared" ref="AY56:AY66" si="14">SUM(E56:AX56)</f>
        <v>0</v>
      </c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12.0</v>
      </c>
      <c r="F57" s="19">
        <v>6.0</v>
      </c>
      <c r="G57" s="19">
        <v>5.0</v>
      </c>
      <c r="H57" s="19">
        <v>14.0</v>
      </c>
      <c r="I57" s="19">
        <v>9.0</v>
      </c>
      <c r="J57" s="19">
        <v>5.0</v>
      </c>
      <c r="K57" s="19">
        <v>7.0</v>
      </c>
      <c r="L57" s="19">
        <v>11.0</v>
      </c>
      <c r="M57" s="19">
        <v>7.0</v>
      </c>
      <c r="N57" s="19">
        <v>13.0</v>
      </c>
      <c r="O57" s="19">
        <v>19.0</v>
      </c>
      <c r="P57" s="19">
        <v>4.0</v>
      </c>
      <c r="Q57" s="19">
        <v>7.0</v>
      </c>
      <c r="R57" s="19">
        <v>9.0</v>
      </c>
      <c r="S57" s="19">
        <v>3.0</v>
      </c>
      <c r="T57" s="19">
        <v>8.0</v>
      </c>
      <c r="U57" s="19">
        <v>15.0</v>
      </c>
      <c r="V57" s="19">
        <v>20.0</v>
      </c>
      <c r="W57" s="19">
        <v>5.0</v>
      </c>
      <c r="X57" s="19">
        <v>8.0</v>
      </c>
      <c r="Y57" s="19">
        <v>4.0</v>
      </c>
      <c r="Z57" s="19">
        <v>9.0</v>
      </c>
      <c r="AA57" s="19">
        <v>6.0</v>
      </c>
      <c r="AB57" s="19">
        <v>4.0</v>
      </c>
      <c r="AC57" s="19">
        <v>3.0</v>
      </c>
      <c r="AD57" s="19">
        <v>4.0</v>
      </c>
      <c r="AE57" s="19">
        <v>6.0</v>
      </c>
      <c r="AF57" s="19">
        <v>4.0</v>
      </c>
      <c r="AG57" s="19">
        <v>7.0</v>
      </c>
      <c r="AH57" s="19">
        <v>13.0</v>
      </c>
      <c r="AI57" s="19">
        <v>3.0</v>
      </c>
      <c r="AJ57" s="19">
        <v>5.0</v>
      </c>
      <c r="AK57" s="19">
        <v>16.0</v>
      </c>
      <c r="AL57" s="19">
        <v>11.0</v>
      </c>
      <c r="AM57" s="19">
        <v>6.0</v>
      </c>
      <c r="AN57" s="19">
        <v>9.0</v>
      </c>
      <c r="AO57" s="19">
        <v>7.0</v>
      </c>
      <c r="AP57" s="19">
        <v>6.0</v>
      </c>
      <c r="AQ57" s="19">
        <v>7.0</v>
      </c>
      <c r="AR57" s="19">
        <v>9.0</v>
      </c>
      <c r="AS57" s="19">
        <v>10.0</v>
      </c>
      <c r="AT57" s="19">
        <v>8.0</v>
      </c>
      <c r="AU57" s="19">
        <v>17.0</v>
      </c>
      <c r="AV57" s="19">
        <v>13.0</v>
      </c>
      <c r="AW57" s="19">
        <v>9.0</v>
      </c>
      <c r="AX57" s="19">
        <v>5.0</v>
      </c>
      <c r="AY57" s="13">
        <f t="shared" si="14"/>
        <v>388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4.0</v>
      </c>
      <c r="F58" s="19">
        <v>3.0</v>
      </c>
      <c r="G58" s="19">
        <v>4.0</v>
      </c>
      <c r="H58" s="19">
        <v>8.0</v>
      </c>
      <c r="I58" s="19">
        <v>7.0</v>
      </c>
      <c r="J58" s="19">
        <v>8.0</v>
      </c>
      <c r="K58" s="19">
        <v>10.0</v>
      </c>
      <c r="L58" s="19">
        <v>2.0</v>
      </c>
      <c r="M58" s="19">
        <v>8.0</v>
      </c>
      <c r="N58" s="19">
        <v>8.0</v>
      </c>
      <c r="O58" s="19">
        <v>19.0</v>
      </c>
      <c r="P58" s="19">
        <v>20.0</v>
      </c>
      <c r="Q58" s="19">
        <v>12.0</v>
      </c>
      <c r="R58" s="19">
        <v>4.0</v>
      </c>
      <c r="S58" s="19">
        <v>0.0</v>
      </c>
      <c r="T58" s="19">
        <v>2.0</v>
      </c>
      <c r="U58" s="19">
        <v>2.0</v>
      </c>
      <c r="V58" s="19">
        <v>5.0</v>
      </c>
      <c r="W58" s="19">
        <v>3.0</v>
      </c>
      <c r="X58" s="19">
        <v>3.0</v>
      </c>
      <c r="Y58" s="19">
        <v>4.0</v>
      </c>
      <c r="Z58" s="19">
        <v>4.0</v>
      </c>
      <c r="AA58" s="19">
        <v>4.0</v>
      </c>
      <c r="AB58" s="19">
        <v>4.0</v>
      </c>
      <c r="AC58" s="19">
        <v>2.0</v>
      </c>
      <c r="AD58" s="19">
        <v>3.0</v>
      </c>
      <c r="AE58" s="19">
        <v>6.0</v>
      </c>
      <c r="AF58" s="19">
        <v>2.0</v>
      </c>
      <c r="AG58" s="19">
        <v>8.0</v>
      </c>
      <c r="AH58" s="19">
        <v>7.0</v>
      </c>
      <c r="AI58" s="19">
        <v>4.0</v>
      </c>
      <c r="AJ58" s="19">
        <v>16.0</v>
      </c>
      <c r="AK58" s="19">
        <v>4.0</v>
      </c>
      <c r="AL58" s="19">
        <v>10.0</v>
      </c>
      <c r="AM58" s="19">
        <v>6.0</v>
      </c>
      <c r="AN58" s="19">
        <v>5.0</v>
      </c>
      <c r="AO58" s="19">
        <v>9.0</v>
      </c>
      <c r="AP58" s="19">
        <v>10.0</v>
      </c>
      <c r="AQ58" s="19">
        <v>3.0</v>
      </c>
      <c r="AR58" s="19">
        <v>9.0</v>
      </c>
      <c r="AS58" s="19">
        <v>16.0</v>
      </c>
      <c r="AT58" s="19">
        <v>11.0</v>
      </c>
      <c r="AU58" s="19">
        <v>3.0</v>
      </c>
      <c r="AV58" s="19">
        <v>9.0</v>
      </c>
      <c r="AW58" s="19">
        <v>6.0</v>
      </c>
      <c r="AX58" s="19">
        <v>0.0</v>
      </c>
      <c r="AY58" s="13">
        <f t="shared" si="14"/>
        <v>297</v>
      </c>
    </row>
    <row r="59" ht="12.75" customHeight="1">
      <c r="A59" s="18"/>
      <c r="B59" s="55">
        <v>2.0</v>
      </c>
      <c r="C59" s="50" t="s">
        <v>50</v>
      </c>
      <c r="D59" s="56"/>
      <c r="E59" s="19">
        <v>1.0</v>
      </c>
      <c r="F59" s="19">
        <v>2.0</v>
      </c>
      <c r="G59" s="19">
        <v>2.0</v>
      </c>
      <c r="H59" s="19">
        <v>1.0</v>
      </c>
      <c r="I59" s="19">
        <v>1.0</v>
      </c>
      <c r="J59" s="19">
        <v>2.0</v>
      </c>
      <c r="K59" s="19">
        <v>2.0</v>
      </c>
      <c r="L59" s="19">
        <v>2.0</v>
      </c>
      <c r="M59" s="19">
        <v>1.0</v>
      </c>
      <c r="N59" s="19">
        <v>3.0</v>
      </c>
      <c r="O59" s="19">
        <v>3.0</v>
      </c>
      <c r="P59" s="19">
        <v>0.0</v>
      </c>
      <c r="Q59" s="19">
        <v>2.0</v>
      </c>
      <c r="R59" s="19">
        <v>1.0</v>
      </c>
      <c r="S59" s="19">
        <v>2.0</v>
      </c>
      <c r="T59" s="19">
        <v>1.0</v>
      </c>
      <c r="U59" s="19">
        <v>3.0</v>
      </c>
      <c r="V59" s="19">
        <v>3.0</v>
      </c>
      <c r="W59" s="19">
        <v>1.0</v>
      </c>
      <c r="X59" s="19">
        <v>1.0</v>
      </c>
      <c r="Y59" s="19">
        <v>2.0</v>
      </c>
      <c r="Z59" s="19">
        <v>4.0</v>
      </c>
      <c r="AA59" s="19">
        <v>2.0</v>
      </c>
      <c r="AB59" s="19">
        <v>4.0</v>
      </c>
      <c r="AC59" s="19">
        <v>3.0</v>
      </c>
      <c r="AD59" s="19">
        <v>2.0</v>
      </c>
      <c r="AE59" s="19">
        <v>2.0</v>
      </c>
      <c r="AF59" s="19">
        <v>3.0</v>
      </c>
      <c r="AG59" s="19">
        <v>2.0</v>
      </c>
      <c r="AH59" s="19">
        <v>2.0</v>
      </c>
      <c r="AI59" s="19">
        <v>3.0</v>
      </c>
      <c r="AJ59" s="19">
        <v>1.0</v>
      </c>
      <c r="AK59" s="19">
        <v>2.0</v>
      </c>
      <c r="AL59" s="19">
        <v>3.0</v>
      </c>
      <c r="AM59" s="19">
        <v>4.0</v>
      </c>
      <c r="AN59" s="19">
        <v>1.0</v>
      </c>
      <c r="AO59" s="19">
        <v>1.0</v>
      </c>
      <c r="AP59" s="19">
        <v>1.0</v>
      </c>
      <c r="AQ59" s="19">
        <v>1.0</v>
      </c>
      <c r="AR59" s="19">
        <v>0.0</v>
      </c>
      <c r="AS59" s="19">
        <v>2.0</v>
      </c>
      <c r="AT59" s="19">
        <v>3.0</v>
      </c>
      <c r="AU59" s="19">
        <v>2.0</v>
      </c>
      <c r="AV59" s="19">
        <v>7.0</v>
      </c>
      <c r="AW59" s="19">
        <v>1.0</v>
      </c>
      <c r="AX59" s="19">
        <v>4.0</v>
      </c>
      <c r="AY59" s="13">
        <f t="shared" si="14"/>
        <v>96</v>
      </c>
    </row>
    <row r="60" ht="12.75" customHeight="1">
      <c r="A60" s="18"/>
      <c r="B60" s="55">
        <v>3.0</v>
      </c>
      <c r="C60" s="50" t="s">
        <v>51</v>
      </c>
      <c r="D60" s="56"/>
      <c r="E60" s="19">
        <v>2.0</v>
      </c>
      <c r="F60" s="19">
        <v>1.0</v>
      </c>
      <c r="G60" s="19">
        <v>2.0</v>
      </c>
      <c r="H60" s="19">
        <v>2.0</v>
      </c>
      <c r="I60" s="19">
        <v>0.0</v>
      </c>
      <c r="J60" s="19">
        <v>0.0</v>
      </c>
      <c r="K60" s="19">
        <v>0.0</v>
      </c>
      <c r="L60" s="19">
        <v>0.0</v>
      </c>
      <c r="M60" s="19">
        <v>0.0</v>
      </c>
      <c r="N60" s="19">
        <v>1.0</v>
      </c>
      <c r="O60" s="19">
        <v>0.0</v>
      </c>
      <c r="P60" s="19">
        <v>0.0</v>
      </c>
      <c r="Q60" s="19">
        <v>1.0</v>
      </c>
      <c r="R60" s="19">
        <v>1.0</v>
      </c>
      <c r="S60" s="19">
        <v>0.0</v>
      </c>
      <c r="T60" s="19">
        <v>0.0</v>
      </c>
      <c r="U60" s="19">
        <v>0.0</v>
      </c>
      <c r="V60" s="19">
        <v>0.0</v>
      </c>
      <c r="W60" s="19">
        <v>1.0</v>
      </c>
      <c r="X60" s="19">
        <v>0.0</v>
      </c>
      <c r="Y60" s="19">
        <v>0.0</v>
      </c>
      <c r="Z60" s="19">
        <v>0.0</v>
      </c>
      <c r="AA60" s="19">
        <v>1.0</v>
      </c>
      <c r="AB60" s="19">
        <v>1.0</v>
      </c>
      <c r="AC60" s="19">
        <v>0.0</v>
      </c>
      <c r="AD60" s="19">
        <v>0.0</v>
      </c>
      <c r="AE60" s="19">
        <v>0.0</v>
      </c>
      <c r="AF60" s="19">
        <v>1.0</v>
      </c>
      <c r="AG60" s="19">
        <v>0.0</v>
      </c>
      <c r="AH60" s="19">
        <v>0.0</v>
      </c>
      <c r="AI60" s="19">
        <v>0.0</v>
      </c>
      <c r="AJ60" s="19">
        <v>0.0</v>
      </c>
      <c r="AK60" s="19">
        <v>1.0</v>
      </c>
      <c r="AL60" s="19">
        <v>3.0</v>
      </c>
      <c r="AM60" s="19">
        <v>7.0</v>
      </c>
      <c r="AN60" s="19">
        <v>1.0</v>
      </c>
      <c r="AO60" s="19">
        <v>0.0</v>
      </c>
      <c r="AP60" s="19">
        <v>1.0</v>
      </c>
      <c r="AQ60" s="19">
        <v>1.0</v>
      </c>
      <c r="AR60" s="19">
        <v>3.0</v>
      </c>
      <c r="AS60" s="19">
        <v>2.0</v>
      </c>
      <c r="AT60" s="19">
        <v>1.0</v>
      </c>
      <c r="AU60" s="19">
        <v>0.0</v>
      </c>
      <c r="AV60" s="19">
        <v>3.0</v>
      </c>
      <c r="AW60" s="19">
        <v>0.0</v>
      </c>
      <c r="AX60" s="19">
        <v>0.0</v>
      </c>
      <c r="AY60" s="13">
        <f t="shared" si="14"/>
        <v>37</v>
      </c>
    </row>
    <row r="61" ht="12.75" customHeight="1">
      <c r="A61" s="18"/>
      <c r="B61" s="55">
        <v>4.0</v>
      </c>
      <c r="C61" s="50" t="s">
        <v>52</v>
      </c>
      <c r="D61" s="56"/>
      <c r="E61" s="19">
        <v>0.0</v>
      </c>
      <c r="F61" s="19">
        <v>1.0</v>
      </c>
      <c r="G61" s="19">
        <v>2.0</v>
      </c>
      <c r="H61" s="19">
        <v>1.0</v>
      </c>
      <c r="I61" s="19">
        <v>3.0</v>
      </c>
      <c r="J61" s="19">
        <v>1.0</v>
      </c>
      <c r="K61" s="19">
        <v>2.0</v>
      </c>
      <c r="L61" s="19">
        <v>4.0</v>
      </c>
      <c r="M61" s="19">
        <v>1.0</v>
      </c>
      <c r="N61" s="19">
        <v>2.0</v>
      </c>
      <c r="O61" s="19">
        <v>1.0</v>
      </c>
      <c r="P61" s="19">
        <v>1.0</v>
      </c>
      <c r="Q61" s="19">
        <v>1.0</v>
      </c>
      <c r="R61" s="19">
        <v>3.0</v>
      </c>
      <c r="S61" s="19">
        <v>4.0</v>
      </c>
      <c r="T61" s="19">
        <v>1.0</v>
      </c>
      <c r="U61" s="19">
        <v>3.0</v>
      </c>
      <c r="V61" s="19">
        <v>2.0</v>
      </c>
      <c r="W61" s="19">
        <v>2.0</v>
      </c>
      <c r="X61" s="19">
        <v>2.0</v>
      </c>
      <c r="Y61" s="19">
        <v>1.0</v>
      </c>
      <c r="Z61" s="19">
        <v>0.0</v>
      </c>
      <c r="AA61" s="19">
        <v>0.0</v>
      </c>
      <c r="AB61" s="19">
        <v>0.0</v>
      </c>
      <c r="AC61" s="19">
        <v>2.0</v>
      </c>
      <c r="AD61" s="19">
        <v>1.0</v>
      </c>
      <c r="AE61" s="19">
        <v>0.0</v>
      </c>
      <c r="AF61" s="19">
        <v>2.0</v>
      </c>
      <c r="AG61" s="19">
        <v>7.0</v>
      </c>
      <c r="AH61" s="19">
        <v>0.0</v>
      </c>
      <c r="AI61" s="19">
        <v>1.0</v>
      </c>
      <c r="AJ61" s="19">
        <v>1.0</v>
      </c>
      <c r="AK61" s="19">
        <v>3.0</v>
      </c>
      <c r="AL61" s="19">
        <v>1.0</v>
      </c>
      <c r="AM61" s="19">
        <v>4.0</v>
      </c>
      <c r="AN61" s="19">
        <v>2.0</v>
      </c>
      <c r="AO61" s="19">
        <v>2.0</v>
      </c>
      <c r="AP61" s="19">
        <v>1.0</v>
      </c>
      <c r="AQ61" s="19">
        <v>0.0</v>
      </c>
      <c r="AR61" s="19">
        <v>0.0</v>
      </c>
      <c r="AS61" s="19">
        <v>2.0</v>
      </c>
      <c r="AT61" s="19">
        <v>3.0</v>
      </c>
      <c r="AU61" s="19">
        <v>5.0</v>
      </c>
      <c r="AV61" s="19">
        <v>3.0</v>
      </c>
      <c r="AW61" s="19">
        <v>1.0</v>
      </c>
      <c r="AX61" s="19">
        <v>5.0</v>
      </c>
      <c r="AY61" s="13">
        <f t="shared" si="14"/>
        <v>84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1.0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0.0</v>
      </c>
      <c r="X62" s="19">
        <v>0.0</v>
      </c>
      <c r="Y62" s="19">
        <v>0.0</v>
      </c>
      <c r="Z62" s="19">
        <v>0.0</v>
      </c>
      <c r="AA62" s="19">
        <v>0.0</v>
      </c>
      <c r="AB62" s="19">
        <v>0.0</v>
      </c>
      <c r="AC62" s="19">
        <v>0.0</v>
      </c>
      <c r="AD62" s="19">
        <v>0.0</v>
      </c>
      <c r="AE62" s="19">
        <v>0.0</v>
      </c>
      <c r="AF62" s="19">
        <v>0.0</v>
      </c>
      <c r="AG62" s="19">
        <v>0.0</v>
      </c>
      <c r="AH62" s="19">
        <v>0.0</v>
      </c>
      <c r="AI62" s="19">
        <v>1.0</v>
      </c>
      <c r="AJ62" s="19">
        <v>0.0</v>
      </c>
      <c r="AK62" s="19">
        <v>1.0</v>
      </c>
      <c r="AL62" s="19">
        <v>0.0</v>
      </c>
      <c r="AM62" s="19">
        <v>1.0</v>
      </c>
      <c r="AN62" s="19">
        <v>1.0</v>
      </c>
      <c r="AO62" s="19">
        <v>0.0</v>
      </c>
      <c r="AP62" s="19">
        <v>0.0</v>
      </c>
      <c r="AQ62" s="19">
        <v>0.0</v>
      </c>
      <c r="AR62" s="19">
        <v>0.0</v>
      </c>
      <c r="AS62" s="19">
        <v>0.0</v>
      </c>
      <c r="AT62" s="19">
        <v>0.0</v>
      </c>
      <c r="AU62" s="19">
        <v>0.0</v>
      </c>
      <c r="AV62" s="19">
        <v>0.0</v>
      </c>
      <c r="AW62" s="19">
        <v>0.0</v>
      </c>
      <c r="AX62" s="19">
        <v>0.0</v>
      </c>
      <c r="AY62" s="13">
        <f t="shared" si="14"/>
        <v>5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1.0</v>
      </c>
      <c r="G63" s="19">
        <v>2.0</v>
      </c>
      <c r="H63" s="19">
        <v>0.0</v>
      </c>
      <c r="I63" s="19">
        <v>0.0</v>
      </c>
      <c r="J63" s="19">
        <v>1.0</v>
      </c>
      <c r="K63" s="19">
        <v>1.0</v>
      </c>
      <c r="L63" s="19">
        <v>0.0</v>
      </c>
      <c r="M63" s="19">
        <v>1.0</v>
      </c>
      <c r="N63" s="19">
        <v>0.0</v>
      </c>
      <c r="O63" s="19">
        <v>1.0</v>
      </c>
      <c r="P63" s="19">
        <v>0.0</v>
      </c>
      <c r="Q63" s="19">
        <v>0.0</v>
      </c>
      <c r="R63" s="19">
        <v>1.0</v>
      </c>
      <c r="S63" s="19">
        <v>0.0</v>
      </c>
      <c r="T63" s="19">
        <v>1.0</v>
      </c>
      <c r="U63" s="19">
        <v>0.0</v>
      </c>
      <c r="V63" s="19">
        <v>0.0</v>
      </c>
      <c r="W63" s="19">
        <v>1.0</v>
      </c>
      <c r="X63" s="19">
        <v>0.0</v>
      </c>
      <c r="Y63" s="19">
        <v>0.0</v>
      </c>
      <c r="Z63" s="19">
        <v>0.0</v>
      </c>
      <c r="AA63" s="19">
        <v>0.0</v>
      </c>
      <c r="AB63" s="19">
        <v>1.0</v>
      </c>
      <c r="AC63" s="19">
        <v>1.0</v>
      </c>
      <c r="AD63" s="19">
        <v>2.0</v>
      </c>
      <c r="AE63" s="19">
        <v>0.0</v>
      </c>
      <c r="AF63" s="19">
        <v>0.0</v>
      </c>
      <c r="AG63" s="19">
        <v>0.0</v>
      </c>
      <c r="AH63" s="19">
        <v>1.0</v>
      </c>
      <c r="AI63" s="19">
        <v>0.0</v>
      </c>
      <c r="AJ63" s="19">
        <v>1.0</v>
      </c>
      <c r="AK63" s="19">
        <v>0.0</v>
      </c>
      <c r="AL63" s="19">
        <v>0.0</v>
      </c>
      <c r="AM63" s="19">
        <v>1.0</v>
      </c>
      <c r="AN63" s="19">
        <v>1.0</v>
      </c>
      <c r="AO63" s="19">
        <v>0.0</v>
      </c>
      <c r="AP63" s="19">
        <v>2.0</v>
      </c>
      <c r="AQ63" s="19">
        <v>1.0</v>
      </c>
      <c r="AR63" s="19">
        <v>1.0</v>
      </c>
      <c r="AS63" s="19">
        <v>2.0</v>
      </c>
      <c r="AT63" s="19">
        <v>0.0</v>
      </c>
      <c r="AU63" s="19">
        <v>3.0</v>
      </c>
      <c r="AV63" s="19">
        <v>1.0</v>
      </c>
      <c r="AW63" s="19">
        <v>0.0</v>
      </c>
      <c r="AX63" s="19">
        <v>0.0</v>
      </c>
      <c r="AY63" s="13">
        <f t="shared" si="14"/>
        <v>28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3.0</v>
      </c>
      <c r="M64" s="19">
        <v>1.0</v>
      </c>
      <c r="N64" s="19">
        <v>0.0</v>
      </c>
      <c r="O64" s="19">
        <v>0.0</v>
      </c>
      <c r="P64" s="19">
        <v>0.0</v>
      </c>
      <c r="Q64" s="19">
        <v>1.0</v>
      </c>
      <c r="R64" s="19">
        <v>2.0</v>
      </c>
      <c r="S64" s="19">
        <v>0.0</v>
      </c>
      <c r="T64" s="19">
        <v>3.0</v>
      </c>
      <c r="U64" s="19">
        <v>0.0</v>
      </c>
      <c r="V64" s="19">
        <v>0.0</v>
      </c>
      <c r="W64" s="19">
        <v>0.0</v>
      </c>
      <c r="X64" s="19">
        <v>0.0</v>
      </c>
      <c r="Y64" s="19">
        <v>0.0</v>
      </c>
      <c r="Z64" s="19">
        <v>1.0</v>
      </c>
      <c r="AA64" s="19">
        <v>0.0</v>
      </c>
      <c r="AB64" s="19">
        <v>0.0</v>
      </c>
      <c r="AC64" s="19">
        <v>0.0</v>
      </c>
      <c r="AD64" s="19">
        <v>0.0</v>
      </c>
      <c r="AE64" s="19">
        <v>1.0</v>
      </c>
      <c r="AF64" s="19">
        <v>1.0</v>
      </c>
      <c r="AG64" s="19">
        <v>0.0</v>
      </c>
      <c r="AH64" s="19">
        <v>0.0</v>
      </c>
      <c r="AI64" s="19">
        <v>0.0</v>
      </c>
      <c r="AJ64" s="19">
        <v>1.0</v>
      </c>
      <c r="AK64" s="19">
        <v>0.0</v>
      </c>
      <c r="AL64" s="19">
        <v>0.0</v>
      </c>
      <c r="AM64" s="19">
        <v>0.0</v>
      </c>
      <c r="AN64" s="19">
        <v>0.0</v>
      </c>
      <c r="AO64" s="19">
        <v>1.0</v>
      </c>
      <c r="AP64" s="19">
        <v>1.0</v>
      </c>
      <c r="AQ64" s="19">
        <v>0.0</v>
      </c>
      <c r="AR64" s="19">
        <v>0.0</v>
      </c>
      <c r="AS64" s="19">
        <v>0.0</v>
      </c>
      <c r="AT64" s="19">
        <v>0.0</v>
      </c>
      <c r="AU64" s="19">
        <v>0.0</v>
      </c>
      <c r="AV64" s="19">
        <v>0.0</v>
      </c>
      <c r="AW64" s="19">
        <v>0.0</v>
      </c>
      <c r="AX64" s="19">
        <v>0.0</v>
      </c>
      <c r="AY64" s="13">
        <f t="shared" si="14"/>
        <v>16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3">
        <f t="shared" si="14"/>
        <v>0</v>
      </c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3">
        <f t="shared" si="14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Y67" si="15">SUM(E57:E66)</f>
        <v>19</v>
      </c>
      <c r="F67" s="13">
        <f t="shared" si="15"/>
        <v>14</v>
      </c>
      <c r="G67" s="13">
        <f t="shared" si="15"/>
        <v>17</v>
      </c>
      <c r="H67" s="13">
        <f t="shared" si="15"/>
        <v>26</v>
      </c>
      <c r="I67" s="13">
        <f t="shared" si="15"/>
        <v>20</v>
      </c>
      <c r="J67" s="13">
        <f t="shared" si="15"/>
        <v>17</v>
      </c>
      <c r="K67" s="13">
        <f t="shared" si="15"/>
        <v>22</v>
      </c>
      <c r="L67" s="13">
        <f t="shared" si="15"/>
        <v>22</v>
      </c>
      <c r="M67" s="13">
        <f t="shared" si="15"/>
        <v>19</v>
      </c>
      <c r="N67" s="13">
        <f t="shared" si="15"/>
        <v>27</v>
      </c>
      <c r="O67" s="13">
        <f t="shared" si="15"/>
        <v>44</v>
      </c>
      <c r="P67" s="13">
        <f t="shared" si="15"/>
        <v>25</v>
      </c>
      <c r="Q67" s="13">
        <f t="shared" si="15"/>
        <v>24</v>
      </c>
      <c r="R67" s="13">
        <f t="shared" si="15"/>
        <v>21</v>
      </c>
      <c r="S67" s="13">
        <f t="shared" si="15"/>
        <v>9</v>
      </c>
      <c r="T67" s="13">
        <f t="shared" si="15"/>
        <v>16</v>
      </c>
      <c r="U67" s="13">
        <f t="shared" si="15"/>
        <v>23</v>
      </c>
      <c r="V67" s="13">
        <f t="shared" si="15"/>
        <v>30</v>
      </c>
      <c r="W67" s="13">
        <f t="shared" si="15"/>
        <v>13</v>
      </c>
      <c r="X67" s="13">
        <f t="shared" si="15"/>
        <v>14</v>
      </c>
      <c r="Y67" s="13">
        <f t="shared" si="15"/>
        <v>11</v>
      </c>
      <c r="Z67" s="13">
        <f t="shared" si="15"/>
        <v>18</v>
      </c>
      <c r="AA67" s="13">
        <f t="shared" si="15"/>
        <v>13</v>
      </c>
      <c r="AB67" s="13">
        <f t="shared" si="15"/>
        <v>14</v>
      </c>
      <c r="AC67" s="13">
        <f t="shared" si="15"/>
        <v>11</v>
      </c>
      <c r="AD67" s="13">
        <f t="shared" si="15"/>
        <v>12</v>
      </c>
      <c r="AE67" s="13">
        <f t="shared" si="15"/>
        <v>15</v>
      </c>
      <c r="AF67" s="13">
        <f t="shared" si="15"/>
        <v>13</v>
      </c>
      <c r="AG67" s="13">
        <f t="shared" si="15"/>
        <v>24</v>
      </c>
      <c r="AH67" s="13">
        <f t="shared" si="15"/>
        <v>23</v>
      </c>
      <c r="AI67" s="13">
        <f t="shared" si="15"/>
        <v>12</v>
      </c>
      <c r="AJ67" s="13">
        <f t="shared" si="15"/>
        <v>25</v>
      </c>
      <c r="AK67" s="13">
        <f t="shared" si="15"/>
        <v>27</v>
      </c>
      <c r="AL67" s="13">
        <f t="shared" si="15"/>
        <v>28</v>
      </c>
      <c r="AM67" s="13">
        <f t="shared" si="15"/>
        <v>29</v>
      </c>
      <c r="AN67" s="13">
        <f t="shared" si="15"/>
        <v>20</v>
      </c>
      <c r="AO67" s="13">
        <f t="shared" si="15"/>
        <v>20</v>
      </c>
      <c r="AP67" s="13">
        <f t="shared" si="15"/>
        <v>22</v>
      </c>
      <c r="AQ67" s="13">
        <f t="shared" si="15"/>
        <v>13</v>
      </c>
      <c r="AR67" s="13">
        <f t="shared" si="15"/>
        <v>22</v>
      </c>
      <c r="AS67" s="13">
        <f t="shared" si="15"/>
        <v>34</v>
      </c>
      <c r="AT67" s="13">
        <f t="shared" si="15"/>
        <v>26</v>
      </c>
      <c r="AU67" s="13">
        <f t="shared" si="15"/>
        <v>30</v>
      </c>
      <c r="AV67" s="13">
        <f t="shared" si="15"/>
        <v>36</v>
      </c>
      <c r="AW67" s="13">
        <f t="shared" si="15"/>
        <v>17</v>
      </c>
      <c r="AX67" s="13">
        <f t="shared" si="15"/>
        <v>14</v>
      </c>
      <c r="AY67" s="13">
        <f t="shared" si="15"/>
        <v>951</v>
      </c>
    </row>
    <row r="68" ht="12.75" customHeight="1">
      <c r="A68" s="45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AY68" s="13">
        <f t="shared" ref="AY68:AY78" si="16">SUM(E68:AX68)</f>
        <v>0</v>
      </c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9.0</v>
      </c>
      <c r="F69" s="19">
        <v>7.0</v>
      </c>
      <c r="G69" s="19">
        <v>11.0</v>
      </c>
      <c r="H69" s="19">
        <v>10.0</v>
      </c>
      <c r="I69" s="19">
        <v>15.0</v>
      </c>
      <c r="J69" s="19">
        <v>14.0</v>
      </c>
      <c r="K69" s="19">
        <v>4.0</v>
      </c>
      <c r="L69" s="19">
        <v>13.0</v>
      </c>
      <c r="M69" s="19">
        <v>11.0</v>
      </c>
      <c r="N69" s="19">
        <v>11.0</v>
      </c>
      <c r="O69" s="19">
        <v>8.0</v>
      </c>
      <c r="P69" s="19">
        <v>14.0</v>
      </c>
      <c r="Q69" s="19">
        <v>3.0</v>
      </c>
      <c r="R69" s="19">
        <v>4.0</v>
      </c>
      <c r="S69" s="19">
        <v>6.0</v>
      </c>
      <c r="T69" s="19">
        <v>10.0</v>
      </c>
      <c r="U69" s="19">
        <v>11.0</v>
      </c>
      <c r="V69" s="19">
        <v>13.0</v>
      </c>
      <c r="W69" s="19">
        <v>10.0</v>
      </c>
      <c r="X69" s="19">
        <v>9.0</v>
      </c>
      <c r="Y69" s="19">
        <v>18.0</v>
      </c>
      <c r="Z69" s="19">
        <v>9.0</v>
      </c>
      <c r="AA69" s="19">
        <v>7.0</v>
      </c>
      <c r="AB69" s="19">
        <v>5.0</v>
      </c>
      <c r="AC69" s="19">
        <v>23.0</v>
      </c>
      <c r="AD69" s="19">
        <v>10.0</v>
      </c>
      <c r="AE69" s="19">
        <v>7.0</v>
      </c>
      <c r="AF69" s="19">
        <v>1.0</v>
      </c>
      <c r="AG69" s="19">
        <v>3.0</v>
      </c>
      <c r="AH69" s="19">
        <v>5.0</v>
      </c>
      <c r="AI69" s="19">
        <v>15.0</v>
      </c>
      <c r="AJ69" s="19">
        <v>15.0</v>
      </c>
      <c r="AK69" s="19">
        <v>14.0</v>
      </c>
      <c r="AL69" s="19">
        <v>10.0</v>
      </c>
      <c r="AM69" s="19">
        <v>5.0</v>
      </c>
      <c r="AN69" s="19">
        <v>18.0</v>
      </c>
      <c r="AO69" s="19">
        <v>9.0</v>
      </c>
      <c r="AP69" s="19">
        <v>17.0</v>
      </c>
      <c r="AQ69" s="19">
        <v>4.0</v>
      </c>
      <c r="AR69" s="19">
        <v>2.0</v>
      </c>
      <c r="AS69" s="19">
        <v>5.0</v>
      </c>
      <c r="AT69" s="19">
        <v>5.0</v>
      </c>
      <c r="AU69" s="19">
        <v>9.0</v>
      </c>
      <c r="AV69" s="19">
        <v>10.0</v>
      </c>
      <c r="AW69" s="19">
        <v>17.0</v>
      </c>
      <c r="AX69" s="19">
        <v>5.0</v>
      </c>
      <c r="AY69" s="13">
        <f t="shared" si="16"/>
        <v>441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10.0</v>
      </c>
      <c r="F70" s="19">
        <v>13.0</v>
      </c>
      <c r="G70" s="19">
        <v>7.0</v>
      </c>
      <c r="H70" s="19">
        <v>10.0</v>
      </c>
      <c r="I70" s="19">
        <v>39.0</v>
      </c>
      <c r="J70" s="19">
        <v>23.0</v>
      </c>
      <c r="K70" s="19">
        <v>15.0</v>
      </c>
      <c r="L70" s="19">
        <v>16.0</v>
      </c>
      <c r="M70" s="19">
        <v>17.0</v>
      </c>
      <c r="N70" s="19">
        <v>52.0</v>
      </c>
      <c r="O70" s="19">
        <v>19.0</v>
      </c>
      <c r="P70" s="19">
        <v>41.0</v>
      </c>
      <c r="Q70" s="19">
        <v>15.0</v>
      </c>
      <c r="R70" s="19">
        <v>10.0</v>
      </c>
      <c r="S70" s="19">
        <v>72.0</v>
      </c>
      <c r="T70" s="19">
        <v>15.0</v>
      </c>
      <c r="U70" s="19">
        <v>12.0</v>
      </c>
      <c r="V70" s="19">
        <v>16.0</v>
      </c>
      <c r="W70" s="19">
        <v>20.0</v>
      </c>
      <c r="X70" s="19">
        <v>27.0</v>
      </c>
      <c r="Y70" s="19">
        <v>25.0</v>
      </c>
      <c r="Z70" s="19">
        <v>21.0</v>
      </c>
      <c r="AA70" s="19">
        <v>20.0</v>
      </c>
      <c r="AB70" s="19">
        <v>30.0</v>
      </c>
      <c r="AC70" s="19">
        <v>25.0</v>
      </c>
      <c r="AD70" s="19">
        <v>19.0</v>
      </c>
      <c r="AE70" s="19">
        <v>3.0</v>
      </c>
      <c r="AF70" s="19">
        <v>5.0</v>
      </c>
      <c r="AG70" s="19">
        <v>12.0</v>
      </c>
      <c r="AH70" s="19">
        <v>7.0</v>
      </c>
      <c r="AI70" s="19">
        <v>23.0</v>
      </c>
      <c r="AJ70" s="19">
        <v>19.0</v>
      </c>
      <c r="AK70" s="19">
        <v>13.0</v>
      </c>
      <c r="AL70" s="19">
        <v>22.0</v>
      </c>
      <c r="AM70" s="19">
        <v>22.0</v>
      </c>
      <c r="AN70" s="19">
        <v>22.0</v>
      </c>
      <c r="AO70" s="19">
        <v>13.0</v>
      </c>
      <c r="AP70" s="19">
        <v>28.0</v>
      </c>
      <c r="AQ70" s="19">
        <v>24.0</v>
      </c>
      <c r="AR70" s="19">
        <v>20.0</v>
      </c>
      <c r="AS70" s="19">
        <v>13.0</v>
      </c>
      <c r="AT70" s="19">
        <v>13.0</v>
      </c>
      <c r="AU70" s="19">
        <v>28.0</v>
      </c>
      <c r="AV70" s="19">
        <v>23.0</v>
      </c>
      <c r="AW70" s="19">
        <v>43.0</v>
      </c>
      <c r="AX70" s="19">
        <v>67.0</v>
      </c>
      <c r="AY70" s="13">
        <f t="shared" si="16"/>
        <v>1009</v>
      </c>
    </row>
    <row r="71" ht="12.75" customHeight="1">
      <c r="A71" s="18"/>
      <c r="B71" s="55">
        <v>2.0</v>
      </c>
      <c r="C71" s="50" t="s">
        <v>58</v>
      </c>
      <c r="D71" s="57"/>
      <c r="E71" s="19">
        <v>5.0</v>
      </c>
      <c r="F71" s="19">
        <v>1.0</v>
      </c>
      <c r="G71" s="19">
        <v>0.0</v>
      </c>
      <c r="H71" s="19">
        <v>0.0</v>
      </c>
      <c r="I71" s="19">
        <v>10.0</v>
      </c>
      <c r="J71" s="19">
        <v>1.0</v>
      </c>
      <c r="K71" s="19">
        <v>0.0</v>
      </c>
      <c r="L71" s="19">
        <v>2.0</v>
      </c>
      <c r="M71" s="19">
        <v>1.0</v>
      </c>
      <c r="N71" s="19">
        <v>0.0</v>
      </c>
      <c r="O71" s="19">
        <v>2.0</v>
      </c>
      <c r="P71" s="19">
        <v>2.0</v>
      </c>
      <c r="Q71" s="19">
        <v>2.0</v>
      </c>
      <c r="R71" s="19">
        <v>1.0</v>
      </c>
      <c r="S71" s="19">
        <v>2.0</v>
      </c>
      <c r="T71" s="19">
        <v>5.0</v>
      </c>
      <c r="U71" s="19">
        <v>3.0</v>
      </c>
      <c r="V71" s="19">
        <v>3.0</v>
      </c>
      <c r="W71" s="19">
        <v>1.0</v>
      </c>
      <c r="X71" s="19">
        <v>4.0</v>
      </c>
      <c r="Y71" s="19">
        <v>2.0</v>
      </c>
      <c r="Z71" s="19">
        <v>0.0</v>
      </c>
      <c r="AA71" s="19">
        <v>1.0</v>
      </c>
      <c r="AB71" s="19">
        <v>0.0</v>
      </c>
      <c r="AC71" s="19">
        <v>1.0</v>
      </c>
      <c r="AD71" s="19">
        <v>1.0</v>
      </c>
      <c r="AE71" s="19">
        <v>3.0</v>
      </c>
      <c r="AF71" s="19">
        <v>0.0</v>
      </c>
      <c r="AG71" s="19">
        <v>0.0</v>
      </c>
      <c r="AH71" s="19">
        <v>2.0</v>
      </c>
      <c r="AI71" s="19">
        <v>1.0</v>
      </c>
      <c r="AJ71" s="19">
        <v>3.0</v>
      </c>
      <c r="AK71" s="19">
        <v>5.0</v>
      </c>
      <c r="AL71" s="19">
        <v>2.0</v>
      </c>
      <c r="AM71" s="19">
        <v>1.0</v>
      </c>
      <c r="AN71" s="19">
        <v>0.0</v>
      </c>
      <c r="AO71" s="19">
        <v>1.0</v>
      </c>
      <c r="AP71" s="19">
        <v>1.0</v>
      </c>
      <c r="AQ71" s="19">
        <v>0.0</v>
      </c>
      <c r="AR71" s="19">
        <v>1.0</v>
      </c>
      <c r="AS71" s="19">
        <v>1.0</v>
      </c>
      <c r="AT71" s="19">
        <v>0.0</v>
      </c>
      <c r="AU71" s="19">
        <v>0.0</v>
      </c>
      <c r="AV71" s="19">
        <v>2.0</v>
      </c>
      <c r="AW71" s="19">
        <v>4.0</v>
      </c>
      <c r="AX71" s="19">
        <v>2.0</v>
      </c>
      <c r="AY71" s="13">
        <f t="shared" si="16"/>
        <v>79</v>
      </c>
    </row>
    <row r="72" ht="12.75" customHeight="1">
      <c r="A72" s="18"/>
      <c r="B72" s="55">
        <v>3.0</v>
      </c>
      <c r="C72" s="50" t="s">
        <v>59</v>
      </c>
      <c r="D72" s="57"/>
      <c r="E72" s="19">
        <v>5.0</v>
      </c>
      <c r="F72" s="19">
        <v>5.0</v>
      </c>
      <c r="G72" s="19">
        <v>2.0</v>
      </c>
      <c r="H72" s="19">
        <v>2.0</v>
      </c>
      <c r="I72" s="19">
        <v>1.0</v>
      </c>
      <c r="J72" s="19">
        <v>2.0</v>
      </c>
      <c r="K72" s="19">
        <v>0.0</v>
      </c>
      <c r="L72" s="19">
        <v>2.0</v>
      </c>
      <c r="M72" s="19">
        <v>0.0</v>
      </c>
      <c r="N72" s="19">
        <v>2.0</v>
      </c>
      <c r="O72" s="19">
        <v>1.0</v>
      </c>
      <c r="P72" s="19">
        <v>3.0</v>
      </c>
      <c r="Q72" s="19">
        <v>2.0</v>
      </c>
      <c r="R72" s="19">
        <v>1.0</v>
      </c>
      <c r="S72" s="19">
        <v>14.0</v>
      </c>
      <c r="T72" s="19">
        <v>6.0</v>
      </c>
      <c r="U72" s="19">
        <v>4.0</v>
      </c>
      <c r="V72" s="19">
        <v>13.0</v>
      </c>
      <c r="W72" s="19">
        <v>0.0</v>
      </c>
      <c r="X72" s="19">
        <v>6.0</v>
      </c>
      <c r="Y72" s="19">
        <v>7.0</v>
      </c>
      <c r="Z72" s="19">
        <v>19.0</v>
      </c>
      <c r="AA72" s="19">
        <v>13.0</v>
      </c>
      <c r="AB72" s="19">
        <v>35.0</v>
      </c>
      <c r="AC72" s="19">
        <v>9.0</v>
      </c>
      <c r="AD72" s="19">
        <v>5.0</v>
      </c>
      <c r="AE72" s="19">
        <v>2.0</v>
      </c>
      <c r="AF72" s="19">
        <v>5.0</v>
      </c>
      <c r="AG72" s="19">
        <v>2.0</v>
      </c>
      <c r="AH72" s="19">
        <v>0.0</v>
      </c>
      <c r="AI72" s="19">
        <v>2.0</v>
      </c>
      <c r="AJ72" s="19">
        <v>3.0</v>
      </c>
      <c r="AK72" s="19">
        <v>3.0</v>
      </c>
      <c r="AL72" s="19">
        <v>6.0</v>
      </c>
      <c r="AM72" s="19">
        <v>43.0</v>
      </c>
      <c r="AN72" s="19">
        <v>43.0</v>
      </c>
      <c r="AO72" s="19">
        <v>6.0</v>
      </c>
      <c r="AP72" s="19">
        <v>2.0</v>
      </c>
      <c r="AQ72" s="19">
        <v>3.0</v>
      </c>
      <c r="AR72" s="19">
        <v>4.0</v>
      </c>
      <c r="AS72" s="19">
        <v>2.0</v>
      </c>
      <c r="AT72" s="19">
        <v>0.0</v>
      </c>
      <c r="AU72" s="19">
        <v>9.0</v>
      </c>
      <c r="AV72" s="19">
        <v>15.0</v>
      </c>
      <c r="AW72" s="19">
        <v>8.0</v>
      </c>
      <c r="AX72" s="19">
        <v>1.0</v>
      </c>
      <c r="AY72" s="13">
        <f t="shared" si="16"/>
        <v>318</v>
      </c>
    </row>
    <row r="73" ht="12.75" customHeight="1">
      <c r="A73" s="18"/>
      <c r="B73" s="55">
        <v>4.0</v>
      </c>
      <c r="C73" s="50" t="s">
        <v>60</v>
      </c>
      <c r="D73" s="57"/>
      <c r="E73" s="19">
        <v>1.0</v>
      </c>
      <c r="F73" s="19">
        <v>0.0</v>
      </c>
      <c r="G73" s="19">
        <v>1.0</v>
      </c>
      <c r="H73" s="19">
        <v>0.0</v>
      </c>
      <c r="I73" s="19">
        <v>0.0</v>
      </c>
      <c r="J73" s="19">
        <v>0.0</v>
      </c>
      <c r="K73" s="19">
        <v>0.0</v>
      </c>
      <c r="L73" s="19">
        <v>0.0</v>
      </c>
      <c r="M73" s="19">
        <v>0.0</v>
      </c>
      <c r="N73" s="19">
        <v>0.0</v>
      </c>
      <c r="O73" s="19">
        <v>0.0</v>
      </c>
      <c r="P73" s="19">
        <v>2.0</v>
      </c>
      <c r="Q73" s="19">
        <v>0.0</v>
      </c>
      <c r="R73" s="19">
        <v>0.0</v>
      </c>
      <c r="S73" s="19">
        <v>0.0</v>
      </c>
      <c r="T73" s="19">
        <v>1.0</v>
      </c>
      <c r="U73" s="19">
        <v>1.0</v>
      </c>
      <c r="V73" s="19">
        <v>0.0</v>
      </c>
      <c r="W73" s="19">
        <v>0.0</v>
      </c>
      <c r="X73" s="19">
        <v>2.0</v>
      </c>
      <c r="Y73" s="19">
        <v>0.0</v>
      </c>
      <c r="Z73" s="19">
        <v>2.0</v>
      </c>
      <c r="AA73" s="19">
        <v>0.0</v>
      </c>
      <c r="AB73" s="19">
        <v>3.0</v>
      </c>
      <c r="AC73" s="19">
        <v>1.0</v>
      </c>
      <c r="AD73" s="19">
        <v>0.0</v>
      </c>
      <c r="AE73" s="19">
        <v>0.0</v>
      </c>
      <c r="AF73" s="19">
        <v>0.0</v>
      </c>
      <c r="AG73" s="19">
        <v>1.0</v>
      </c>
      <c r="AH73" s="19">
        <v>0.0</v>
      </c>
      <c r="AI73" s="19">
        <v>0.0</v>
      </c>
      <c r="AJ73" s="19">
        <v>4.0</v>
      </c>
      <c r="AK73" s="19">
        <v>5.0</v>
      </c>
      <c r="AL73" s="19">
        <v>4.0</v>
      </c>
      <c r="AM73" s="19">
        <v>1.0</v>
      </c>
      <c r="AN73" s="19">
        <v>0.0</v>
      </c>
      <c r="AO73" s="19">
        <v>0.0</v>
      </c>
      <c r="AP73" s="19">
        <v>2.0</v>
      </c>
      <c r="AQ73" s="19">
        <v>1.0</v>
      </c>
      <c r="AR73" s="19">
        <v>0.0</v>
      </c>
      <c r="AS73" s="19">
        <v>0.0</v>
      </c>
      <c r="AT73" s="19">
        <v>0.0</v>
      </c>
      <c r="AU73" s="19">
        <v>0.0</v>
      </c>
      <c r="AV73" s="19">
        <v>2.0</v>
      </c>
      <c r="AW73" s="19">
        <v>1.0</v>
      </c>
      <c r="AX73" s="19">
        <v>0.0</v>
      </c>
      <c r="AY73" s="13">
        <f t="shared" si="16"/>
        <v>35</v>
      </c>
    </row>
    <row r="74" ht="12.75" customHeight="1">
      <c r="A74" s="18"/>
      <c r="B74" s="55">
        <v>5.0</v>
      </c>
      <c r="C74" s="50" t="s">
        <v>61</v>
      </c>
      <c r="D74" s="57"/>
      <c r="E74" s="19">
        <v>16.0</v>
      </c>
      <c r="F74" s="19">
        <v>42.0</v>
      </c>
      <c r="G74" s="19">
        <v>3.0</v>
      </c>
      <c r="H74" s="19">
        <v>8.0</v>
      </c>
      <c r="I74" s="19">
        <v>10.0</v>
      </c>
      <c r="J74" s="19">
        <v>16.0</v>
      </c>
      <c r="K74" s="19">
        <v>5.0</v>
      </c>
      <c r="L74" s="19">
        <v>4.0</v>
      </c>
      <c r="M74" s="19">
        <v>2.0</v>
      </c>
      <c r="N74" s="19">
        <v>3.0</v>
      </c>
      <c r="O74" s="19">
        <v>9.0</v>
      </c>
      <c r="P74" s="19">
        <v>13.0</v>
      </c>
      <c r="Q74" s="19">
        <v>4.0</v>
      </c>
      <c r="R74" s="19">
        <v>9.0</v>
      </c>
      <c r="S74" s="19">
        <v>1.0</v>
      </c>
      <c r="T74" s="19">
        <v>3.0</v>
      </c>
      <c r="U74" s="19">
        <v>34.0</v>
      </c>
      <c r="V74" s="19">
        <v>43.0</v>
      </c>
      <c r="W74" s="19">
        <v>2.0</v>
      </c>
      <c r="X74" s="19">
        <v>5.0</v>
      </c>
      <c r="Y74" s="19">
        <v>0.0</v>
      </c>
      <c r="Z74" s="19">
        <v>1.0</v>
      </c>
      <c r="AA74" s="19">
        <v>7.0</v>
      </c>
      <c r="AB74" s="19">
        <v>9.0</v>
      </c>
      <c r="AC74" s="19">
        <v>2.0</v>
      </c>
      <c r="AD74" s="19">
        <v>1.0</v>
      </c>
      <c r="AE74" s="19">
        <v>6.0</v>
      </c>
      <c r="AF74" s="19">
        <v>1.0</v>
      </c>
      <c r="AG74" s="19">
        <v>12.0</v>
      </c>
      <c r="AH74" s="19">
        <v>11.0</v>
      </c>
      <c r="AI74" s="19">
        <v>6.0</v>
      </c>
      <c r="AJ74" s="19">
        <v>0.0</v>
      </c>
      <c r="AK74" s="19">
        <v>13.0</v>
      </c>
      <c r="AL74" s="19">
        <v>3.0</v>
      </c>
      <c r="AM74" s="19">
        <v>2.0</v>
      </c>
      <c r="AN74" s="19">
        <v>5.0</v>
      </c>
      <c r="AO74" s="19">
        <v>13.0</v>
      </c>
      <c r="AP74" s="19">
        <v>14.0</v>
      </c>
      <c r="AQ74" s="19">
        <v>16.0</v>
      </c>
      <c r="AR74" s="19">
        <v>3.0</v>
      </c>
      <c r="AS74" s="19">
        <v>0.0</v>
      </c>
      <c r="AT74" s="19">
        <v>8.0</v>
      </c>
      <c r="AU74" s="19">
        <v>13.0</v>
      </c>
      <c r="AV74" s="19">
        <v>26.0</v>
      </c>
      <c r="AW74" s="19">
        <v>2.0</v>
      </c>
      <c r="AX74" s="19">
        <v>1.0</v>
      </c>
      <c r="AY74" s="13">
        <f t="shared" si="16"/>
        <v>407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0.0</v>
      </c>
      <c r="G75" s="19">
        <v>0.0</v>
      </c>
      <c r="H75" s="19">
        <v>0.0</v>
      </c>
      <c r="I75" s="19">
        <v>1.0</v>
      </c>
      <c r="J75" s="19">
        <v>1.0</v>
      </c>
      <c r="K75" s="19">
        <v>0.0</v>
      </c>
      <c r="L75" s="19">
        <v>1.0</v>
      </c>
      <c r="M75" s="19">
        <v>1.0</v>
      </c>
      <c r="N75" s="19">
        <v>0.0</v>
      </c>
      <c r="O75" s="19">
        <v>0.0</v>
      </c>
      <c r="P75" s="19">
        <v>0.0</v>
      </c>
      <c r="Q75" s="19">
        <v>1.0</v>
      </c>
      <c r="R75" s="19">
        <v>0.0</v>
      </c>
      <c r="S75" s="19">
        <v>1.0</v>
      </c>
      <c r="T75" s="19">
        <v>1.0</v>
      </c>
      <c r="U75" s="19">
        <v>0.0</v>
      </c>
      <c r="V75" s="19">
        <v>2.0</v>
      </c>
      <c r="W75" s="19">
        <v>0.0</v>
      </c>
      <c r="X75" s="19">
        <v>2.0</v>
      </c>
      <c r="Y75" s="19">
        <v>0.0</v>
      </c>
      <c r="Z75" s="19">
        <v>2.0</v>
      </c>
      <c r="AA75" s="19">
        <v>1.0</v>
      </c>
      <c r="AB75" s="19">
        <v>1.0</v>
      </c>
      <c r="AC75" s="19">
        <v>0.0</v>
      </c>
      <c r="AD75" s="19">
        <v>0.0</v>
      </c>
      <c r="AE75" s="19">
        <v>0.0</v>
      </c>
      <c r="AF75" s="19">
        <v>1.0</v>
      </c>
      <c r="AG75" s="19">
        <v>1.0</v>
      </c>
      <c r="AH75" s="19">
        <v>1.0</v>
      </c>
      <c r="AI75" s="19">
        <v>0.0</v>
      </c>
      <c r="AJ75" s="19">
        <v>0.0</v>
      </c>
      <c r="AK75" s="19">
        <v>2.0</v>
      </c>
      <c r="AL75" s="19">
        <v>0.0</v>
      </c>
      <c r="AM75" s="19">
        <v>0.0</v>
      </c>
      <c r="AN75" s="19">
        <v>0.0</v>
      </c>
      <c r="AO75" s="19">
        <v>2.0</v>
      </c>
      <c r="AP75" s="19">
        <v>0.0</v>
      </c>
      <c r="AQ75" s="19">
        <v>0.0</v>
      </c>
      <c r="AR75" s="19">
        <v>0.0</v>
      </c>
      <c r="AS75" s="19">
        <v>0.0</v>
      </c>
      <c r="AT75" s="19">
        <v>0.0</v>
      </c>
      <c r="AU75" s="19">
        <v>1.0</v>
      </c>
      <c r="AV75" s="19">
        <v>0.0</v>
      </c>
      <c r="AW75" s="19">
        <v>1.0</v>
      </c>
      <c r="AX75" s="19">
        <v>0.0</v>
      </c>
      <c r="AY75" s="13">
        <f t="shared" si="16"/>
        <v>24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0.0</v>
      </c>
      <c r="G76" s="19">
        <v>0.0</v>
      </c>
      <c r="H76" s="19">
        <v>0.0</v>
      </c>
      <c r="I76" s="19">
        <v>1.0</v>
      </c>
      <c r="J76" s="19">
        <v>2.0</v>
      </c>
      <c r="K76" s="19">
        <v>1.0</v>
      </c>
      <c r="L76" s="19">
        <v>4.0</v>
      </c>
      <c r="M76" s="19">
        <v>1.0</v>
      </c>
      <c r="N76" s="19">
        <v>10.0</v>
      </c>
      <c r="O76" s="19">
        <v>0.0</v>
      </c>
      <c r="P76" s="19">
        <v>1.0</v>
      </c>
      <c r="Q76" s="19">
        <v>1.0</v>
      </c>
      <c r="R76" s="19">
        <v>4.0</v>
      </c>
      <c r="S76" s="19">
        <v>0.0</v>
      </c>
      <c r="T76" s="19">
        <v>4.0</v>
      </c>
      <c r="U76" s="19">
        <v>0.0</v>
      </c>
      <c r="V76" s="19">
        <v>3.0</v>
      </c>
      <c r="W76" s="19">
        <v>9.0</v>
      </c>
      <c r="X76" s="19">
        <v>17.0</v>
      </c>
      <c r="Y76" s="19">
        <v>19.0</v>
      </c>
      <c r="Z76" s="19">
        <v>6.0</v>
      </c>
      <c r="AA76" s="19">
        <v>35.0</v>
      </c>
      <c r="AB76" s="19">
        <v>13.0</v>
      </c>
      <c r="AC76" s="19">
        <v>33.0</v>
      </c>
      <c r="AD76" s="19">
        <v>46.0</v>
      </c>
      <c r="AE76" s="19">
        <v>13.0</v>
      </c>
      <c r="AF76" s="19">
        <v>12.0</v>
      </c>
      <c r="AG76" s="19">
        <v>2.0</v>
      </c>
      <c r="AH76" s="19">
        <v>3.0</v>
      </c>
      <c r="AI76" s="19">
        <v>80.0</v>
      </c>
      <c r="AJ76" s="19">
        <v>2.0</v>
      </c>
      <c r="AK76" s="19">
        <v>4.0</v>
      </c>
      <c r="AL76" s="19">
        <v>2.0</v>
      </c>
      <c r="AM76" s="19">
        <v>1.0</v>
      </c>
      <c r="AN76" s="19">
        <v>0.0</v>
      </c>
      <c r="AO76" s="19">
        <v>0.0</v>
      </c>
      <c r="AP76" s="19">
        <v>3.0</v>
      </c>
      <c r="AQ76" s="19">
        <v>2.0</v>
      </c>
      <c r="AR76" s="19">
        <v>0.0</v>
      </c>
      <c r="AS76" s="19">
        <v>0.0</v>
      </c>
      <c r="AT76" s="19">
        <v>1.0</v>
      </c>
      <c r="AU76" s="19">
        <v>0.0</v>
      </c>
      <c r="AV76" s="19">
        <v>0.0</v>
      </c>
      <c r="AW76" s="19">
        <v>1.0</v>
      </c>
      <c r="AX76" s="19">
        <v>0.0</v>
      </c>
      <c r="AY76" s="13">
        <f t="shared" si="16"/>
        <v>336</v>
      </c>
    </row>
    <row r="77" ht="12.75" customHeight="1">
      <c r="A77" s="18"/>
      <c r="B77" s="71"/>
      <c r="C77" s="72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3">
        <f t="shared" si="16"/>
        <v>0</v>
      </c>
    </row>
    <row r="78" ht="12.75" customHeight="1">
      <c r="A78" s="18"/>
      <c r="B78" s="71"/>
      <c r="C78" s="72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3">
        <f t="shared" si="16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Y79" si="17">SUM(E69:E78)</f>
        <v>46</v>
      </c>
      <c r="F79" s="13">
        <f t="shared" si="17"/>
        <v>68</v>
      </c>
      <c r="G79" s="13">
        <f t="shared" si="17"/>
        <v>24</v>
      </c>
      <c r="H79" s="13">
        <f t="shared" si="17"/>
        <v>30</v>
      </c>
      <c r="I79" s="13">
        <f t="shared" si="17"/>
        <v>77</v>
      </c>
      <c r="J79" s="13">
        <f t="shared" si="17"/>
        <v>59</v>
      </c>
      <c r="K79" s="13">
        <f t="shared" si="17"/>
        <v>25</v>
      </c>
      <c r="L79" s="13">
        <f t="shared" si="17"/>
        <v>42</v>
      </c>
      <c r="M79" s="13">
        <f t="shared" si="17"/>
        <v>33</v>
      </c>
      <c r="N79" s="13">
        <f t="shared" si="17"/>
        <v>78</v>
      </c>
      <c r="O79" s="13">
        <f t="shared" si="17"/>
        <v>39</v>
      </c>
      <c r="P79" s="13">
        <f t="shared" si="17"/>
        <v>76</v>
      </c>
      <c r="Q79" s="13">
        <f t="shared" si="17"/>
        <v>28</v>
      </c>
      <c r="R79" s="13">
        <f t="shared" si="17"/>
        <v>29</v>
      </c>
      <c r="S79" s="13">
        <f t="shared" si="17"/>
        <v>96</v>
      </c>
      <c r="T79" s="13">
        <f t="shared" si="17"/>
        <v>45</v>
      </c>
      <c r="U79" s="13">
        <f t="shared" si="17"/>
        <v>65</v>
      </c>
      <c r="V79" s="13">
        <f t="shared" si="17"/>
        <v>93</v>
      </c>
      <c r="W79" s="13">
        <f t="shared" si="17"/>
        <v>42</v>
      </c>
      <c r="X79" s="13">
        <f t="shared" si="17"/>
        <v>72</v>
      </c>
      <c r="Y79" s="13">
        <f t="shared" si="17"/>
        <v>71</v>
      </c>
      <c r="Z79" s="13">
        <f t="shared" si="17"/>
        <v>60</v>
      </c>
      <c r="AA79" s="13">
        <f t="shared" si="17"/>
        <v>84</v>
      </c>
      <c r="AB79" s="13">
        <f t="shared" si="17"/>
        <v>96</v>
      </c>
      <c r="AC79" s="13">
        <f t="shared" si="17"/>
        <v>94</v>
      </c>
      <c r="AD79" s="13">
        <f t="shared" si="17"/>
        <v>82</v>
      </c>
      <c r="AE79" s="13">
        <f t="shared" si="17"/>
        <v>34</v>
      </c>
      <c r="AF79" s="13">
        <f t="shared" si="17"/>
        <v>25</v>
      </c>
      <c r="AG79" s="13">
        <f t="shared" si="17"/>
        <v>33</v>
      </c>
      <c r="AH79" s="13">
        <f t="shared" si="17"/>
        <v>29</v>
      </c>
      <c r="AI79" s="13">
        <f t="shared" si="17"/>
        <v>127</v>
      </c>
      <c r="AJ79" s="13">
        <f t="shared" si="17"/>
        <v>46</v>
      </c>
      <c r="AK79" s="13">
        <f t="shared" si="17"/>
        <v>59</v>
      </c>
      <c r="AL79" s="13">
        <f t="shared" si="17"/>
        <v>49</v>
      </c>
      <c r="AM79" s="13">
        <f t="shared" si="17"/>
        <v>75</v>
      </c>
      <c r="AN79" s="13">
        <f t="shared" si="17"/>
        <v>88</v>
      </c>
      <c r="AO79" s="13">
        <f t="shared" si="17"/>
        <v>44</v>
      </c>
      <c r="AP79" s="13">
        <f t="shared" si="17"/>
        <v>67</v>
      </c>
      <c r="AQ79" s="13">
        <f t="shared" si="17"/>
        <v>50</v>
      </c>
      <c r="AR79" s="13">
        <f t="shared" si="17"/>
        <v>30</v>
      </c>
      <c r="AS79" s="13">
        <f t="shared" si="17"/>
        <v>21</v>
      </c>
      <c r="AT79" s="13">
        <f t="shared" si="17"/>
        <v>27</v>
      </c>
      <c r="AU79" s="13">
        <f t="shared" si="17"/>
        <v>60</v>
      </c>
      <c r="AV79" s="13">
        <f t="shared" si="17"/>
        <v>78</v>
      </c>
      <c r="AW79" s="13">
        <f t="shared" si="17"/>
        <v>77</v>
      </c>
      <c r="AX79" s="13">
        <f t="shared" si="17"/>
        <v>76</v>
      </c>
      <c r="AY79" s="13">
        <f t="shared" si="17"/>
        <v>2649</v>
      </c>
    </row>
    <row r="80" ht="12.75" customHeight="1">
      <c r="A80" s="45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AY80" s="13">
        <f t="shared" ref="AY80:AY90" si="18">SUM(E80:AX80)</f>
        <v>0</v>
      </c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3.0</v>
      </c>
      <c r="F81" s="19">
        <v>2.0</v>
      </c>
      <c r="G81" s="19">
        <v>2.0</v>
      </c>
      <c r="H81" s="19">
        <v>7.0</v>
      </c>
      <c r="I81" s="19">
        <v>5.0</v>
      </c>
      <c r="J81" s="19">
        <v>2.0</v>
      </c>
      <c r="K81" s="19">
        <v>1.0</v>
      </c>
      <c r="L81" s="19">
        <v>4.0</v>
      </c>
      <c r="M81" s="19">
        <v>2.0</v>
      </c>
      <c r="N81" s="19">
        <v>0.0</v>
      </c>
      <c r="O81" s="19">
        <v>0.0</v>
      </c>
      <c r="P81" s="19">
        <v>2.0</v>
      </c>
      <c r="Q81" s="19">
        <v>1.0</v>
      </c>
      <c r="R81" s="19">
        <v>1.0</v>
      </c>
      <c r="S81" s="19">
        <v>0.0</v>
      </c>
      <c r="T81" s="19">
        <v>2.0</v>
      </c>
      <c r="U81" s="19">
        <v>0.0</v>
      </c>
      <c r="V81" s="19">
        <v>2.0</v>
      </c>
      <c r="W81" s="19">
        <v>5.0</v>
      </c>
      <c r="X81" s="19">
        <v>1.0</v>
      </c>
      <c r="Y81" s="19">
        <v>1.0</v>
      </c>
      <c r="Z81" s="19">
        <v>1.0</v>
      </c>
      <c r="AA81" s="19">
        <v>0.0</v>
      </c>
      <c r="AB81" s="19">
        <v>1.0</v>
      </c>
      <c r="AC81" s="19">
        <v>4.0</v>
      </c>
      <c r="AD81" s="19">
        <v>2.0</v>
      </c>
      <c r="AE81" s="19">
        <v>3.0</v>
      </c>
      <c r="AF81" s="19">
        <v>1.0</v>
      </c>
      <c r="AG81" s="19">
        <v>0.0</v>
      </c>
      <c r="AH81" s="19">
        <v>3.0</v>
      </c>
      <c r="AI81" s="19">
        <v>2.0</v>
      </c>
      <c r="AJ81" s="19">
        <v>9.0</v>
      </c>
      <c r="AK81" s="19">
        <v>3.0</v>
      </c>
      <c r="AL81" s="19">
        <v>8.0</v>
      </c>
      <c r="AM81" s="19">
        <v>6.0</v>
      </c>
      <c r="AN81" s="19">
        <v>3.0</v>
      </c>
      <c r="AO81" s="19">
        <v>0.0</v>
      </c>
      <c r="AP81" s="19">
        <v>0.0</v>
      </c>
      <c r="AQ81" s="19">
        <v>2.0</v>
      </c>
      <c r="AR81" s="19">
        <v>2.0</v>
      </c>
      <c r="AS81" s="19">
        <v>3.0</v>
      </c>
      <c r="AT81" s="19">
        <v>2.0</v>
      </c>
      <c r="AU81" s="19">
        <v>5.0</v>
      </c>
      <c r="AV81" s="19">
        <v>2.0</v>
      </c>
      <c r="AW81" s="19">
        <v>4.0</v>
      </c>
      <c r="AX81" s="19">
        <v>1.0</v>
      </c>
      <c r="AY81" s="13">
        <f t="shared" si="18"/>
        <v>110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1.0</v>
      </c>
      <c r="F82" s="19">
        <v>7.0</v>
      </c>
      <c r="G82" s="19">
        <v>6.0</v>
      </c>
      <c r="H82" s="19">
        <v>1.0</v>
      </c>
      <c r="I82" s="19">
        <v>2.0</v>
      </c>
      <c r="J82" s="19">
        <v>2.0</v>
      </c>
      <c r="K82" s="19">
        <v>0.0</v>
      </c>
      <c r="L82" s="19">
        <v>3.0</v>
      </c>
      <c r="M82" s="19">
        <v>4.0</v>
      </c>
      <c r="N82" s="19">
        <v>1.0</v>
      </c>
      <c r="O82" s="19">
        <v>2.0</v>
      </c>
      <c r="P82" s="19">
        <v>1.0</v>
      </c>
      <c r="Q82" s="19">
        <v>1.0</v>
      </c>
      <c r="R82" s="19">
        <v>1.0</v>
      </c>
      <c r="S82" s="19">
        <v>4.0</v>
      </c>
      <c r="T82" s="19">
        <v>1.0</v>
      </c>
      <c r="U82" s="19">
        <v>2.0</v>
      </c>
      <c r="V82" s="19">
        <v>2.0</v>
      </c>
      <c r="W82" s="19">
        <v>29.0</v>
      </c>
      <c r="X82" s="19">
        <v>7.0</v>
      </c>
      <c r="Y82" s="19">
        <v>31.0</v>
      </c>
      <c r="Z82" s="19">
        <v>17.0</v>
      </c>
      <c r="AA82" s="19">
        <v>0.0</v>
      </c>
      <c r="AB82" s="19">
        <v>3.0</v>
      </c>
      <c r="AC82" s="19">
        <v>6.0</v>
      </c>
      <c r="AD82" s="19">
        <v>2.0</v>
      </c>
      <c r="AE82" s="19">
        <v>0.0</v>
      </c>
      <c r="AF82" s="19">
        <v>3.0</v>
      </c>
      <c r="AG82" s="19">
        <v>3.0</v>
      </c>
      <c r="AH82" s="19">
        <v>16.0</v>
      </c>
      <c r="AI82" s="19">
        <v>4.0</v>
      </c>
      <c r="AJ82" s="19">
        <v>32.0</v>
      </c>
      <c r="AK82" s="19">
        <v>13.0</v>
      </c>
      <c r="AL82" s="19">
        <v>4.0</v>
      </c>
      <c r="AM82" s="19">
        <v>8.0</v>
      </c>
      <c r="AN82" s="19">
        <v>5.0</v>
      </c>
      <c r="AO82" s="19">
        <v>1.0</v>
      </c>
      <c r="AP82" s="19">
        <v>1.0</v>
      </c>
      <c r="AQ82" s="19">
        <v>0.0</v>
      </c>
      <c r="AR82" s="19">
        <v>3.0</v>
      </c>
      <c r="AS82" s="19">
        <v>4.0</v>
      </c>
      <c r="AT82" s="19">
        <v>4.0</v>
      </c>
      <c r="AU82" s="19">
        <v>2.0</v>
      </c>
      <c r="AV82" s="19">
        <v>13.0</v>
      </c>
      <c r="AW82" s="19">
        <v>5.0</v>
      </c>
      <c r="AX82" s="19">
        <v>35.0</v>
      </c>
      <c r="AY82" s="13">
        <f t="shared" si="18"/>
        <v>292</v>
      </c>
    </row>
    <row r="83" ht="12.75" customHeight="1">
      <c r="A83" s="18"/>
      <c r="B83" s="55">
        <v>2.0</v>
      </c>
      <c r="C83" s="50" t="s">
        <v>66</v>
      </c>
      <c r="D83" s="57"/>
      <c r="E83" s="19">
        <v>3.0</v>
      </c>
      <c r="F83" s="19">
        <v>5.0</v>
      </c>
      <c r="G83" s="19">
        <v>10.0</v>
      </c>
      <c r="H83" s="19">
        <v>6.0</v>
      </c>
      <c r="I83" s="19">
        <v>1.0</v>
      </c>
      <c r="J83" s="19">
        <v>3.0</v>
      </c>
      <c r="K83" s="19">
        <v>0.0</v>
      </c>
      <c r="L83" s="19">
        <v>1.0</v>
      </c>
      <c r="M83" s="19">
        <v>1.0</v>
      </c>
      <c r="N83" s="19">
        <v>5.0</v>
      </c>
      <c r="O83" s="19">
        <v>2.0</v>
      </c>
      <c r="P83" s="19">
        <v>4.0</v>
      </c>
      <c r="Q83" s="19">
        <v>5.0</v>
      </c>
      <c r="R83" s="19">
        <v>6.0</v>
      </c>
      <c r="S83" s="19">
        <v>9.0</v>
      </c>
      <c r="T83" s="19">
        <v>6.0</v>
      </c>
      <c r="U83" s="19">
        <v>3.0</v>
      </c>
      <c r="V83" s="19">
        <v>4.0</v>
      </c>
      <c r="W83" s="19">
        <v>32.0</v>
      </c>
      <c r="X83" s="19">
        <v>37.0</v>
      </c>
      <c r="Y83" s="19">
        <v>27.0</v>
      </c>
      <c r="Z83" s="19">
        <v>15.0</v>
      </c>
      <c r="AA83" s="19">
        <v>2.0</v>
      </c>
      <c r="AB83" s="19">
        <v>4.0</v>
      </c>
      <c r="AC83" s="19">
        <v>4.0</v>
      </c>
      <c r="AD83" s="19">
        <v>4.0</v>
      </c>
      <c r="AE83" s="19">
        <v>7.0</v>
      </c>
      <c r="AF83" s="19">
        <v>5.0</v>
      </c>
      <c r="AG83" s="19">
        <v>15.0</v>
      </c>
      <c r="AH83" s="19">
        <v>2.0</v>
      </c>
      <c r="AI83" s="19">
        <v>2.0</v>
      </c>
      <c r="AJ83" s="19">
        <v>7.0</v>
      </c>
      <c r="AK83" s="19">
        <v>7.0</v>
      </c>
      <c r="AL83" s="19">
        <v>6.0</v>
      </c>
      <c r="AM83" s="19">
        <v>5.0</v>
      </c>
      <c r="AN83" s="19">
        <v>2.0</v>
      </c>
      <c r="AO83" s="19">
        <v>0.0</v>
      </c>
      <c r="AP83" s="19">
        <v>3.0</v>
      </c>
      <c r="AQ83" s="19">
        <v>2.0</v>
      </c>
      <c r="AR83" s="19">
        <v>3.0</v>
      </c>
      <c r="AS83" s="19">
        <v>5.0</v>
      </c>
      <c r="AT83" s="19">
        <v>5.0</v>
      </c>
      <c r="AU83" s="19">
        <v>3.0</v>
      </c>
      <c r="AV83" s="19">
        <v>15.0</v>
      </c>
      <c r="AW83" s="19">
        <v>5.0</v>
      </c>
      <c r="AX83" s="19">
        <v>4.0</v>
      </c>
      <c r="AY83" s="13">
        <f t="shared" si="18"/>
        <v>302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19">
        <v>0.0</v>
      </c>
      <c r="L84" s="19">
        <v>0.0</v>
      </c>
      <c r="M84" s="19">
        <v>2.0</v>
      </c>
      <c r="N84" s="19">
        <v>1.0</v>
      </c>
      <c r="O84" s="19">
        <v>0.0</v>
      </c>
      <c r="P84" s="19">
        <v>0.0</v>
      </c>
      <c r="Q84" s="19">
        <v>0.0</v>
      </c>
      <c r="R84" s="19">
        <v>0.0</v>
      </c>
      <c r="S84" s="19">
        <v>0.0</v>
      </c>
      <c r="T84" s="19">
        <v>0.0</v>
      </c>
      <c r="U84" s="19">
        <v>0.0</v>
      </c>
      <c r="V84" s="19">
        <v>0.0</v>
      </c>
      <c r="W84" s="19">
        <v>1.0</v>
      </c>
      <c r="X84" s="19">
        <v>1.0</v>
      </c>
      <c r="Y84" s="19">
        <v>0.0</v>
      </c>
      <c r="Z84" s="19">
        <v>1.0</v>
      </c>
      <c r="AA84" s="19">
        <v>0.0</v>
      </c>
      <c r="AB84" s="19">
        <v>0.0</v>
      </c>
      <c r="AC84" s="19">
        <v>1.0</v>
      </c>
      <c r="AD84" s="19">
        <v>0.0</v>
      </c>
      <c r="AE84" s="19">
        <v>0.0</v>
      </c>
      <c r="AF84" s="19">
        <v>1.0</v>
      </c>
      <c r="AG84" s="19">
        <v>0.0</v>
      </c>
      <c r="AH84" s="19">
        <v>0.0</v>
      </c>
      <c r="AI84" s="19">
        <v>0.0</v>
      </c>
      <c r="AJ84" s="19">
        <v>1.0</v>
      </c>
      <c r="AK84" s="19">
        <v>0.0</v>
      </c>
      <c r="AL84" s="19">
        <v>0.0</v>
      </c>
      <c r="AM84" s="19">
        <v>0.0</v>
      </c>
      <c r="AN84" s="19">
        <v>0.0</v>
      </c>
      <c r="AO84" s="19">
        <v>0.0</v>
      </c>
      <c r="AP84" s="19">
        <v>1.0</v>
      </c>
      <c r="AQ84" s="19">
        <v>1.0</v>
      </c>
      <c r="AR84" s="19">
        <v>0.0</v>
      </c>
      <c r="AS84" s="19">
        <v>0.0</v>
      </c>
      <c r="AT84" s="19">
        <v>0.0</v>
      </c>
      <c r="AU84" s="19">
        <v>0.0</v>
      </c>
      <c r="AV84" s="19">
        <v>1.0</v>
      </c>
      <c r="AW84" s="19">
        <v>1.0</v>
      </c>
      <c r="AX84" s="19">
        <v>0.0</v>
      </c>
      <c r="AY84" s="13">
        <f t="shared" si="18"/>
        <v>13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1.0</v>
      </c>
      <c r="G85" s="19">
        <v>0.0</v>
      </c>
      <c r="H85" s="19">
        <v>0.0</v>
      </c>
      <c r="I85" s="19">
        <v>1.0</v>
      </c>
      <c r="J85" s="19">
        <v>0.0</v>
      </c>
      <c r="K85" s="19">
        <v>0.0</v>
      </c>
      <c r="L85" s="19">
        <v>0.0</v>
      </c>
      <c r="M85" s="19">
        <v>0.0</v>
      </c>
      <c r="N85" s="19">
        <v>2.0</v>
      </c>
      <c r="O85" s="19">
        <v>1.0</v>
      </c>
      <c r="P85" s="19">
        <v>0.0</v>
      </c>
      <c r="Q85" s="19">
        <v>0.0</v>
      </c>
      <c r="R85" s="19">
        <v>0.0</v>
      </c>
      <c r="S85" s="19">
        <v>0.0</v>
      </c>
      <c r="T85" s="19">
        <v>0.0</v>
      </c>
      <c r="U85" s="19">
        <v>1.0</v>
      </c>
      <c r="V85" s="19">
        <v>1.0</v>
      </c>
      <c r="W85" s="19">
        <v>0.0</v>
      </c>
      <c r="X85" s="19">
        <v>0.0</v>
      </c>
      <c r="Y85" s="19">
        <v>1.0</v>
      </c>
      <c r="Z85" s="19">
        <v>1.0</v>
      </c>
      <c r="AA85" s="19">
        <v>1.0</v>
      </c>
      <c r="AB85" s="19">
        <v>1.0</v>
      </c>
      <c r="AC85" s="19">
        <v>0.0</v>
      </c>
      <c r="AD85" s="19">
        <v>0.0</v>
      </c>
      <c r="AE85" s="19">
        <v>0.0</v>
      </c>
      <c r="AF85" s="19">
        <v>0.0</v>
      </c>
      <c r="AG85" s="19">
        <v>1.0</v>
      </c>
      <c r="AH85" s="19">
        <v>0.0</v>
      </c>
      <c r="AI85" s="19">
        <v>0.0</v>
      </c>
      <c r="AJ85" s="19">
        <v>0.0</v>
      </c>
      <c r="AK85" s="19">
        <v>0.0</v>
      </c>
      <c r="AL85" s="19">
        <v>2.0</v>
      </c>
      <c r="AM85" s="19">
        <v>0.0</v>
      </c>
      <c r="AN85" s="19">
        <v>1.0</v>
      </c>
      <c r="AO85" s="19">
        <v>0.0</v>
      </c>
      <c r="AP85" s="19">
        <v>0.0</v>
      </c>
      <c r="AQ85" s="19">
        <v>0.0</v>
      </c>
      <c r="AR85" s="19">
        <v>0.0</v>
      </c>
      <c r="AS85" s="19">
        <v>0.0</v>
      </c>
      <c r="AT85" s="19">
        <v>0.0</v>
      </c>
      <c r="AU85" s="19">
        <v>0.0</v>
      </c>
      <c r="AV85" s="19">
        <v>1.0</v>
      </c>
      <c r="AW85" s="19">
        <v>1.0</v>
      </c>
      <c r="AX85" s="19">
        <v>1.0</v>
      </c>
      <c r="AY85" s="13">
        <f t="shared" si="18"/>
        <v>18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0.0</v>
      </c>
      <c r="N86" s="19">
        <v>0.0</v>
      </c>
      <c r="O86" s="19">
        <v>0.0</v>
      </c>
      <c r="P86" s="19">
        <v>0.0</v>
      </c>
      <c r="Q86" s="19">
        <v>3.0</v>
      </c>
      <c r="R86" s="19">
        <v>0.0</v>
      </c>
      <c r="S86" s="19">
        <v>0.0</v>
      </c>
      <c r="T86" s="19">
        <v>0.0</v>
      </c>
      <c r="U86" s="19">
        <v>0.0</v>
      </c>
      <c r="V86" s="19">
        <v>1.0</v>
      </c>
      <c r="W86" s="19">
        <v>0.0</v>
      </c>
      <c r="X86" s="19">
        <v>1.0</v>
      </c>
      <c r="Y86" s="19">
        <v>5.0</v>
      </c>
      <c r="Z86" s="19">
        <v>0.0</v>
      </c>
      <c r="AA86" s="19">
        <v>2.0</v>
      </c>
      <c r="AB86" s="19">
        <v>0.0</v>
      </c>
      <c r="AC86" s="19">
        <v>0.0</v>
      </c>
      <c r="AD86" s="19">
        <v>21.0</v>
      </c>
      <c r="AE86" s="19">
        <v>19.0</v>
      </c>
      <c r="AF86" s="19">
        <v>1.0</v>
      </c>
      <c r="AG86" s="19">
        <v>3.0</v>
      </c>
      <c r="AH86" s="19">
        <v>0.0</v>
      </c>
      <c r="AI86" s="19">
        <v>0.0</v>
      </c>
      <c r="AJ86" s="19">
        <v>1.0</v>
      </c>
      <c r="AK86" s="19">
        <v>0.0</v>
      </c>
      <c r="AL86" s="19">
        <v>0.0</v>
      </c>
      <c r="AM86" s="19">
        <v>0.0</v>
      </c>
      <c r="AN86" s="19">
        <v>0.0</v>
      </c>
      <c r="AO86" s="19">
        <v>0.0</v>
      </c>
      <c r="AP86" s="19">
        <v>0.0</v>
      </c>
      <c r="AQ86" s="19">
        <v>0.0</v>
      </c>
      <c r="AR86" s="19">
        <v>1.0</v>
      </c>
      <c r="AS86" s="19">
        <v>0.0</v>
      </c>
      <c r="AT86" s="19">
        <v>0.0</v>
      </c>
      <c r="AU86" s="19">
        <v>0.0</v>
      </c>
      <c r="AV86" s="19">
        <v>0.0</v>
      </c>
      <c r="AW86" s="19">
        <v>0.0</v>
      </c>
      <c r="AX86" s="19">
        <v>0.0</v>
      </c>
      <c r="AY86" s="13">
        <f t="shared" si="18"/>
        <v>58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1.0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1.0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0.0</v>
      </c>
      <c r="AF87" s="19">
        <v>0.0</v>
      </c>
      <c r="AG87" s="19">
        <v>0.0</v>
      </c>
      <c r="AH87" s="19">
        <v>0.0</v>
      </c>
      <c r="AI87" s="19">
        <v>0.0</v>
      </c>
      <c r="AJ87" s="19">
        <v>0.0</v>
      </c>
      <c r="AK87" s="19">
        <v>0.0</v>
      </c>
      <c r="AL87" s="19">
        <v>0.0</v>
      </c>
      <c r="AM87" s="19">
        <v>0.0</v>
      </c>
      <c r="AN87" s="19">
        <v>0.0</v>
      </c>
      <c r="AO87" s="19">
        <v>0.0</v>
      </c>
      <c r="AP87" s="19">
        <v>0.0</v>
      </c>
      <c r="AQ87" s="19">
        <v>0.0</v>
      </c>
      <c r="AR87" s="19">
        <v>0.0</v>
      </c>
      <c r="AS87" s="19">
        <v>0.0</v>
      </c>
      <c r="AT87" s="19">
        <v>0.0</v>
      </c>
      <c r="AU87" s="19">
        <v>0.0</v>
      </c>
      <c r="AV87" s="19">
        <v>0.0</v>
      </c>
      <c r="AW87" s="19">
        <v>0.0</v>
      </c>
      <c r="AX87" s="19">
        <v>1.0</v>
      </c>
      <c r="AY87" s="13">
        <f t="shared" si="18"/>
        <v>3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1.0</v>
      </c>
      <c r="M88" s="19">
        <v>0.0</v>
      </c>
      <c r="N88" s="19">
        <v>0.0</v>
      </c>
      <c r="O88" s="19">
        <v>1.0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1.0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9">
        <v>0.0</v>
      </c>
      <c r="AI88" s="19">
        <v>0.0</v>
      </c>
      <c r="AJ88" s="19">
        <v>1.0</v>
      </c>
      <c r="AK88" s="19">
        <v>0.0</v>
      </c>
      <c r="AL88" s="19">
        <v>0.0</v>
      </c>
      <c r="AM88" s="19">
        <v>0.0</v>
      </c>
      <c r="AN88" s="19">
        <v>0.0</v>
      </c>
      <c r="AO88" s="19">
        <v>0.0</v>
      </c>
      <c r="AP88" s="19">
        <v>0.0</v>
      </c>
      <c r="AQ88" s="19">
        <v>0.0</v>
      </c>
      <c r="AR88" s="19">
        <v>0.0</v>
      </c>
      <c r="AS88" s="19">
        <v>0.0</v>
      </c>
      <c r="AT88" s="19">
        <v>0.0</v>
      </c>
      <c r="AU88" s="19">
        <v>0.0</v>
      </c>
      <c r="AV88" s="19">
        <v>0.0</v>
      </c>
      <c r="AW88" s="19">
        <v>0.0</v>
      </c>
      <c r="AX88" s="19">
        <v>0.0</v>
      </c>
      <c r="AY88" s="13">
        <f t="shared" si="18"/>
        <v>4</v>
      </c>
    </row>
    <row r="89" ht="12.75" customHeight="1">
      <c r="A89" s="18"/>
      <c r="B89" s="71"/>
      <c r="C89" s="72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3">
        <f t="shared" si="18"/>
        <v>0</v>
      </c>
    </row>
    <row r="90" ht="12.75" customHeight="1">
      <c r="A90" s="18"/>
      <c r="B90" s="71"/>
      <c r="C90" s="72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3">
        <f t="shared" si="18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Y91" si="19">SUM(E81:E90)</f>
        <v>7</v>
      </c>
      <c r="F91" s="13">
        <f t="shared" si="19"/>
        <v>15</v>
      </c>
      <c r="G91" s="13">
        <f t="shared" si="19"/>
        <v>18</v>
      </c>
      <c r="H91" s="13">
        <f t="shared" si="19"/>
        <v>14</v>
      </c>
      <c r="I91" s="13">
        <f t="shared" si="19"/>
        <v>9</v>
      </c>
      <c r="J91" s="13">
        <f t="shared" si="19"/>
        <v>7</v>
      </c>
      <c r="K91" s="13">
        <f t="shared" si="19"/>
        <v>1</v>
      </c>
      <c r="L91" s="13">
        <f t="shared" si="19"/>
        <v>9</v>
      </c>
      <c r="M91" s="13">
        <f t="shared" si="19"/>
        <v>10</v>
      </c>
      <c r="N91" s="13">
        <f t="shared" si="19"/>
        <v>9</v>
      </c>
      <c r="O91" s="13">
        <f t="shared" si="19"/>
        <v>6</v>
      </c>
      <c r="P91" s="13">
        <f t="shared" si="19"/>
        <v>7</v>
      </c>
      <c r="Q91" s="13">
        <f t="shared" si="19"/>
        <v>10</v>
      </c>
      <c r="R91" s="13">
        <f t="shared" si="19"/>
        <v>8</v>
      </c>
      <c r="S91" s="13">
        <f t="shared" si="19"/>
        <v>13</v>
      </c>
      <c r="T91" s="13">
        <f t="shared" si="19"/>
        <v>9</v>
      </c>
      <c r="U91" s="13">
        <f t="shared" si="19"/>
        <v>6</v>
      </c>
      <c r="V91" s="13">
        <f t="shared" si="19"/>
        <v>10</v>
      </c>
      <c r="W91" s="13">
        <f t="shared" si="19"/>
        <v>67</v>
      </c>
      <c r="X91" s="13">
        <f t="shared" si="19"/>
        <v>48</v>
      </c>
      <c r="Y91" s="13">
        <f t="shared" si="19"/>
        <v>65</v>
      </c>
      <c r="Z91" s="13">
        <f t="shared" si="19"/>
        <v>36</v>
      </c>
      <c r="AA91" s="13">
        <f t="shared" si="19"/>
        <v>5</v>
      </c>
      <c r="AB91" s="13">
        <f t="shared" si="19"/>
        <v>9</v>
      </c>
      <c r="AC91" s="13">
        <f t="shared" si="19"/>
        <v>15</v>
      </c>
      <c r="AD91" s="13">
        <f t="shared" si="19"/>
        <v>29</v>
      </c>
      <c r="AE91" s="13">
        <f t="shared" si="19"/>
        <v>29</v>
      </c>
      <c r="AF91" s="13">
        <f t="shared" si="19"/>
        <v>11</v>
      </c>
      <c r="AG91" s="13">
        <f t="shared" si="19"/>
        <v>22</v>
      </c>
      <c r="AH91" s="13">
        <f t="shared" si="19"/>
        <v>21</v>
      </c>
      <c r="AI91" s="13">
        <f t="shared" si="19"/>
        <v>8</v>
      </c>
      <c r="AJ91" s="13">
        <f t="shared" si="19"/>
        <v>51</v>
      </c>
      <c r="AK91" s="13">
        <f t="shared" si="19"/>
        <v>23</v>
      </c>
      <c r="AL91" s="13">
        <f t="shared" si="19"/>
        <v>20</v>
      </c>
      <c r="AM91" s="13">
        <f t="shared" si="19"/>
        <v>19</v>
      </c>
      <c r="AN91" s="13">
        <f t="shared" si="19"/>
        <v>11</v>
      </c>
      <c r="AO91" s="13">
        <f t="shared" si="19"/>
        <v>1</v>
      </c>
      <c r="AP91" s="13">
        <f t="shared" si="19"/>
        <v>5</v>
      </c>
      <c r="AQ91" s="13">
        <f t="shared" si="19"/>
        <v>5</v>
      </c>
      <c r="AR91" s="13">
        <f t="shared" si="19"/>
        <v>9</v>
      </c>
      <c r="AS91" s="13">
        <f t="shared" si="19"/>
        <v>12</v>
      </c>
      <c r="AT91" s="13">
        <f t="shared" si="19"/>
        <v>11</v>
      </c>
      <c r="AU91" s="13">
        <f t="shared" si="19"/>
        <v>10</v>
      </c>
      <c r="AV91" s="13">
        <f t="shared" si="19"/>
        <v>32</v>
      </c>
      <c r="AW91" s="13">
        <f t="shared" si="19"/>
        <v>16</v>
      </c>
      <c r="AX91" s="13">
        <f t="shared" si="19"/>
        <v>42</v>
      </c>
      <c r="AY91" s="13">
        <f t="shared" si="19"/>
        <v>800</v>
      </c>
    </row>
    <row r="92" ht="12.75" customHeight="1">
      <c r="A92" s="45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AY92" s="13">
        <f t="shared" ref="AY92:AY102" si="20">SUM(E92:AX92)</f>
        <v>0</v>
      </c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1.0</v>
      </c>
      <c r="F93" s="19">
        <v>0.0</v>
      </c>
      <c r="G93" s="19">
        <v>0.0</v>
      </c>
      <c r="H93" s="19">
        <v>1.0</v>
      </c>
      <c r="I93" s="19">
        <v>1.0</v>
      </c>
      <c r="J93" s="19">
        <v>0.0</v>
      </c>
      <c r="K93" s="19">
        <v>0.0</v>
      </c>
      <c r="L93" s="19">
        <v>0.0</v>
      </c>
      <c r="M93" s="19">
        <v>0.0</v>
      </c>
      <c r="N93" s="19">
        <v>1.0</v>
      </c>
      <c r="O93" s="19">
        <v>2.0</v>
      </c>
      <c r="P93" s="19">
        <v>0.0</v>
      </c>
      <c r="Q93" s="19">
        <v>2.0</v>
      </c>
      <c r="R93" s="19">
        <v>0.0</v>
      </c>
      <c r="S93" s="19">
        <v>0.0</v>
      </c>
      <c r="T93" s="19">
        <v>2.0</v>
      </c>
      <c r="U93" s="19">
        <v>1.0</v>
      </c>
      <c r="V93" s="19">
        <v>0.0</v>
      </c>
      <c r="W93" s="19">
        <v>2.0</v>
      </c>
      <c r="X93" s="19">
        <v>0.0</v>
      </c>
      <c r="Y93" s="19">
        <v>0.0</v>
      </c>
      <c r="Z93" s="19">
        <v>2.0</v>
      </c>
      <c r="AA93" s="19">
        <v>0.0</v>
      </c>
      <c r="AB93" s="19">
        <v>1.0</v>
      </c>
      <c r="AC93" s="19">
        <v>1.0</v>
      </c>
      <c r="AD93" s="19">
        <v>0.0</v>
      </c>
      <c r="AE93" s="19">
        <v>2.0</v>
      </c>
      <c r="AF93" s="19">
        <v>0.0</v>
      </c>
      <c r="AG93" s="19">
        <v>0.0</v>
      </c>
      <c r="AH93" s="19">
        <v>0.0</v>
      </c>
      <c r="AI93" s="19">
        <v>0.0</v>
      </c>
      <c r="AJ93" s="19">
        <v>1.0</v>
      </c>
      <c r="AK93" s="19">
        <v>0.0</v>
      </c>
      <c r="AL93" s="19">
        <v>0.0</v>
      </c>
      <c r="AM93" s="19">
        <v>0.0</v>
      </c>
      <c r="AN93" s="19">
        <v>0.0</v>
      </c>
      <c r="AO93" s="19">
        <v>8.0</v>
      </c>
      <c r="AP93" s="19">
        <v>14.0</v>
      </c>
      <c r="AQ93" s="19">
        <v>10.0</v>
      </c>
      <c r="AR93" s="19">
        <v>7.0</v>
      </c>
      <c r="AS93" s="19">
        <v>15.0</v>
      </c>
      <c r="AT93" s="19">
        <v>9.0</v>
      </c>
      <c r="AU93" s="19">
        <v>4.0</v>
      </c>
      <c r="AV93" s="19">
        <v>1.0</v>
      </c>
      <c r="AW93" s="19">
        <v>0.0</v>
      </c>
      <c r="AX93" s="19">
        <v>1.0</v>
      </c>
      <c r="AY93" s="13">
        <f t="shared" si="20"/>
        <v>89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4.0</v>
      </c>
      <c r="F94" s="19">
        <v>0.0</v>
      </c>
      <c r="G94" s="19">
        <v>0.0</v>
      </c>
      <c r="H94" s="19">
        <v>0.0</v>
      </c>
      <c r="I94" s="19">
        <v>1.0</v>
      </c>
      <c r="J94" s="19">
        <v>0.0</v>
      </c>
      <c r="K94" s="19">
        <v>3.0</v>
      </c>
      <c r="L94" s="19">
        <v>0.0</v>
      </c>
      <c r="M94" s="19">
        <v>0.0</v>
      </c>
      <c r="N94" s="19">
        <v>0.0</v>
      </c>
      <c r="O94" s="19">
        <v>1.0</v>
      </c>
      <c r="P94" s="19">
        <v>1.0</v>
      </c>
      <c r="Q94" s="19">
        <v>3.0</v>
      </c>
      <c r="R94" s="19">
        <v>1.0</v>
      </c>
      <c r="S94" s="19">
        <v>0.0</v>
      </c>
      <c r="T94" s="19">
        <v>2.0</v>
      </c>
      <c r="U94" s="19">
        <v>0.0</v>
      </c>
      <c r="V94" s="19">
        <v>0.0</v>
      </c>
      <c r="W94" s="19">
        <v>2.0</v>
      </c>
      <c r="X94" s="19">
        <v>0.0</v>
      </c>
      <c r="Y94" s="19">
        <v>2.0</v>
      </c>
      <c r="Z94" s="19">
        <v>0.0</v>
      </c>
      <c r="AA94" s="19">
        <v>0.0</v>
      </c>
      <c r="AB94" s="19">
        <v>0.0</v>
      </c>
      <c r="AC94" s="19">
        <v>1.0</v>
      </c>
      <c r="AD94" s="19">
        <v>0.0</v>
      </c>
      <c r="AE94" s="19">
        <v>0.0</v>
      </c>
      <c r="AF94" s="19">
        <v>4.0</v>
      </c>
      <c r="AG94" s="19">
        <v>1.0</v>
      </c>
      <c r="AH94" s="19">
        <v>0.0</v>
      </c>
      <c r="AI94" s="19">
        <v>0.0</v>
      </c>
      <c r="AJ94" s="19">
        <v>1.0</v>
      </c>
      <c r="AK94" s="19">
        <v>0.0</v>
      </c>
      <c r="AL94" s="19">
        <v>1.0</v>
      </c>
      <c r="AM94" s="19">
        <v>0.0</v>
      </c>
      <c r="AN94" s="19">
        <v>0.0</v>
      </c>
      <c r="AO94" s="19">
        <v>7.0</v>
      </c>
      <c r="AP94" s="19">
        <v>15.0</v>
      </c>
      <c r="AQ94" s="19">
        <v>2.0</v>
      </c>
      <c r="AR94" s="19">
        <v>3.0</v>
      </c>
      <c r="AS94" s="19">
        <v>6.0</v>
      </c>
      <c r="AT94" s="19">
        <v>8.0</v>
      </c>
      <c r="AU94" s="19">
        <v>8.0</v>
      </c>
      <c r="AV94" s="19">
        <v>0.0</v>
      </c>
      <c r="AW94" s="19">
        <v>0.0</v>
      </c>
      <c r="AX94" s="19">
        <v>1.0</v>
      </c>
      <c r="AY94" s="13">
        <f t="shared" si="20"/>
        <v>78</v>
      </c>
    </row>
    <row r="95" ht="12.75" customHeight="1">
      <c r="A95" s="18"/>
      <c r="B95" s="55">
        <v>2.0</v>
      </c>
      <c r="C95" s="50" t="s">
        <v>75</v>
      </c>
      <c r="D95" s="57"/>
      <c r="E95" s="19">
        <v>1.0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1.0</v>
      </c>
      <c r="N95" s="19">
        <v>0.0</v>
      </c>
      <c r="O95" s="19">
        <v>0.0</v>
      </c>
      <c r="P95" s="19">
        <v>0.0</v>
      </c>
      <c r="Q95" s="19">
        <v>2.0</v>
      </c>
      <c r="R95" s="19">
        <v>0.0</v>
      </c>
      <c r="S95" s="19">
        <v>0.0</v>
      </c>
      <c r="T95" s="19">
        <v>2.0</v>
      </c>
      <c r="U95" s="19">
        <v>3.0</v>
      </c>
      <c r="V95" s="19">
        <v>2.0</v>
      </c>
      <c r="W95" s="19">
        <v>0.0</v>
      </c>
      <c r="X95" s="19">
        <v>0.0</v>
      </c>
      <c r="Y95" s="19">
        <v>0.0</v>
      </c>
      <c r="Z95" s="19">
        <v>0.0</v>
      </c>
      <c r="AA95" s="19">
        <v>0.0</v>
      </c>
      <c r="AB95" s="19">
        <v>0.0</v>
      </c>
      <c r="AC95" s="19">
        <v>0.0</v>
      </c>
      <c r="AD95" s="19">
        <v>0.0</v>
      </c>
      <c r="AE95" s="19">
        <v>0.0</v>
      </c>
      <c r="AF95" s="19">
        <v>0.0</v>
      </c>
      <c r="AG95" s="19">
        <v>0.0</v>
      </c>
      <c r="AH95" s="19">
        <v>0.0</v>
      </c>
      <c r="AI95" s="19">
        <v>0.0</v>
      </c>
      <c r="AJ95" s="19">
        <v>0.0</v>
      </c>
      <c r="AK95" s="19">
        <v>0.0</v>
      </c>
      <c r="AL95" s="19">
        <v>1.0</v>
      </c>
      <c r="AM95" s="19">
        <v>0.0</v>
      </c>
      <c r="AN95" s="19">
        <v>0.0</v>
      </c>
      <c r="AO95" s="19">
        <v>0.0</v>
      </c>
      <c r="AP95" s="19">
        <v>0.0</v>
      </c>
      <c r="AQ95" s="19">
        <v>0.0</v>
      </c>
      <c r="AR95" s="19">
        <v>0.0</v>
      </c>
      <c r="AS95" s="19">
        <v>0.0</v>
      </c>
      <c r="AT95" s="19">
        <v>2.0</v>
      </c>
      <c r="AU95" s="19">
        <v>2.0</v>
      </c>
      <c r="AV95" s="19">
        <v>2.0</v>
      </c>
      <c r="AW95" s="19">
        <v>0.0</v>
      </c>
      <c r="AX95" s="19"/>
      <c r="AY95" s="13">
        <f t="shared" si="20"/>
        <v>18</v>
      </c>
    </row>
    <row r="96" ht="12.75" customHeight="1">
      <c r="A96" s="18"/>
      <c r="B96" s="55">
        <v>3.0</v>
      </c>
      <c r="C96" s="50" t="s">
        <v>76</v>
      </c>
      <c r="D96" s="57"/>
      <c r="E96" s="19">
        <v>1.0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1.0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1.0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9">
        <v>0.0</v>
      </c>
      <c r="AF96" s="19">
        <v>0.0</v>
      </c>
      <c r="AG96" s="19">
        <v>0.0</v>
      </c>
      <c r="AH96" s="19">
        <v>0.0</v>
      </c>
      <c r="AI96" s="19">
        <v>0.0</v>
      </c>
      <c r="AJ96" s="19">
        <v>0.0</v>
      </c>
      <c r="AK96" s="19">
        <v>0.0</v>
      </c>
      <c r="AL96" s="19">
        <v>0.0</v>
      </c>
      <c r="AM96" s="19">
        <v>0.0</v>
      </c>
      <c r="AN96" s="19">
        <v>0.0</v>
      </c>
      <c r="AO96" s="19">
        <v>0.0</v>
      </c>
      <c r="AP96" s="19">
        <v>0.0</v>
      </c>
      <c r="AQ96" s="19">
        <v>0.0</v>
      </c>
      <c r="AR96" s="19">
        <v>1.0</v>
      </c>
      <c r="AS96" s="19">
        <v>3.0</v>
      </c>
      <c r="AT96" s="19">
        <v>0.0</v>
      </c>
      <c r="AU96" s="19">
        <v>1.0</v>
      </c>
      <c r="AV96" s="19">
        <v>0.0</v>
      </c>
      <c r="AW96" s="19">
        <v>0.0</v>
      </c>
      <c r="AX96" s="19"/>
      <c r="AY96" s="13">
        <f t="shared" si="20"/>
        <v>8</v>
      </c>
    </row>
    <row r="97" ht="12.75" customHeight="1">
      <c r="A97" s="18"/>
      <c r="B97" s="55">
        <v>4.0</v>
      </c>
      <c r="C97" s="50" t="s">
        <v>77</v>
      </c>
      <c r="D97" s="57"/>
      <c r="E97" s="19">
        <v>1.0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1.0</v>
      </c>
      <c r="T97" s="19">
        <v>0.0</v>
      </c>
      <c r="U97" s="19">
        <v>0.0</v>
      </c>
      <c r="V97" s="19">
        <v>0.0</v>
      </c>
      <c r="W97" s="19">
        <v>0.0</v>
      </c>
      <c r="X97" s="19">
        <v>0.0</v>
      </c>
      <c r="Y97" s="19">
        <v>1.0</v>
      </c>
      <c r="Z97" s="19">
        <v>0.0</v>
      </c>
      <c r="AA97" s="19">
        <v>0.0</v>
      </c>
      <c r="AB97" s="19">
        <v>0.0</v>
      </c>
      <c r="AC97" s="19">
        <v>0.0</v>
      </c>
      <c r="AD97" s="19">
        <v>0.0</v>
      </c>
      <c r="AE97" s="19">
        <v>0.0</v>
      </c>
      <c r="AF97" s="19">
        <v>0.0</v>
      </c>
      <c r="AG97" s="19">
        <v>0.0</v>
      </c>
      <c r="AH97" s="19">
        <v>0.0</v>
      </c>
      <c r="AI97" s="19">
        <v>0.0</v>
      </c>
      <c r="AJ97" s="19">
        <v>2.0</v>
      </c>
      <c r="AK97" s="19">
        <v>0.0</v>
      </c>
      <c r="AL97" s="19">
        <v>0.0</v>
      </c>
      <c r="AM97" s="19">
        <v>0.0</v>
      </c>
      <c r="AN97" s="19">
        <v>2.0</v>
      </c>
      <c r="AO97" s="19">
        <v>3.0</v>
      </c>
      <c r="AP97" s="19">
        <v>2.0</v>
      </c>
      <c r="AQ97" s="19">
        <v>3.0</v>
      </c>
      <c r="AR97" s="19">
        <v>1.0</v>
      </c>
      <c r="AS97" s="19">
        <v>2.0</v>
      </c>
      <c r="AT97" s="19">
        <v>1.0</v>
      </c>
      <c r="AU97" s="19">
        <v>1.0</v>
      </c>
      <c r="AV97" s="19">
        <v>0.0</v>
      </c>
      <c r="AW97" s="19">
        <v>0.0</v>
      </c>
      <c r="AX97" s="19"/>
      <c r="AY97" s="13">
        <f t="shared" si="20"/>
        <v>20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9">
        <v>0.0</v>
      </c>
      <c r="AF98" s="19">
        <v>0.0</v>
      </c>
      <c r="AG98" s="19">
        <v>0.0</v>
      </c>
      <c r="AH98" s="19">
        <v>0.0</v>
      </c>
      <c r="AI98" s="19">
        <v>0.0</v>
      </c>
      <c r="AJ98" s="19">
        <v>0.0</v>
      </c>
      <c r="AK98" s="19">
        <v>0.0</v>
      </c>
      <c r="AL98" s="19">
        <v>0.0</v>
      </c>
      <c r="AM98" s="19">
        <v>0.0</v>
      </c>
      <c r="AN98" s="19">
        <v>0.0</v>
      </c>
      <c r="AO98" s="19">
        <v>0.0</v>
      </c>
      <c r="AP98" s="19">
        <v>0.0</v>
      </c>
      <c r="AQ98" s="19">
        <v>0.0</v>
      </c>
      <c r="AR98" s="19">
        <v>0.0</v>
      </c>
      <c r="AS98" s="19">
        <v>0.0</v>
      </c>
      <c r="AT98" s="19">
        <v>0.0</v>
      </c>
      <c r="AU98" s="19">
        <v>1.0</v>
      </c>
      <c r="AV98" s="19">
        <v>0.0</v>
      </c>
      <c r="AW98" s="19">
        <v>0.0</v>
      </c>
      <c r="AX98" s="19"/>
      <c r="AY98" s="13">
        <f t="shared" si="20"/>
        <v>1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1.0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1.0</v>
      </c>
      <c r="W99" s="19">
        <v>0.0</v>
      </c>
      <c r="X99" s="19">
        <v>0.0</v>
      </c>
      <c r="Y99" s="19">
        <v>1.0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0.0</v>
      </c>
      <c r="AG99" s="19">
        <v>0.0</v>
      </c>
      <c r="AH99" s="19">
        <v>0.0</v>
      </c>
      <c r="AI99" s="19">
        <v>0.0</v>
      </c>
      <c r="AJ99" s="19">
        <v>0.0</v>
      </c>
      <c r="AK99" s="19">
        <v>0.0</v>
      </c>
      <c r="AL99" s="19">
        <v>0.0</v>
      </c>
      <c r="AM99" s="19">
        <v>0.0</v>
      </c>
      <c r="AN99" s="19">
        <v>0.0</v>
      </c>
      <c r="AO99" s="19">
        <v>0.0</v>
      </c>
      <c r="AP99" s="19">
        <v>0.0</v>
      </c>
      <c r="AQ99" s="19">
        <v>0.0</v>
      </c>
      <c r="AR99" s="19">
        <v>0.0</v>
      </c>
      <c r="AS99" s="19">
        <v>0.0</v>
      </c>
      <c r="AT99" s="19">
        <v>0.0</v>
      </c>
      <c r="AU99" s="19">
        <v>0.0</v>
      </c>
      <c r="AV99" s="19">
        <v>0.0</v>
      </c>
      <c r="AW99" s="19">
        <v>0.0</v>
      </c>
      <c r="AX99" s="19"/>
      <c r="AY99" s="13">
        <f t="shared" si="20"/>
        <v>3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1.0</v>
      </c>
      <c r="AH100" s="19">
        <v>0.0</v>
      </c>
      <c r="AI100" s="19">
        <v>0.0</v>
      </c>
      <c r="AJ100" s="19">
        <v>0.0</v>
      </c>
      <c r="AK100" s="19">
        <v>0.0</v>
      </c>
      <c r="AL100" s="19">
        <v>0.0</v>
      </c>
      <c r="AM100" s="19">
        <v>0.0</v>
      </c>
      <c r="AN100" s="19">
        <v>0.0</v>
      </c>
      <c r="AO100" s="19">
        <v>1.0</v>
      </c>
      <c r="AP100" s="19">
        <v>0.0</v>
      </c>
      <c r="AQ100" s="19">
        <v>0.0</v>
      </c>
      <c r="AR100" s="19">
        <v>0.0</v>
      </c>
      <c r="AS100" s="19">
        <v>0.0</v>
      </c>
      <c r="AT100" s="19">
        <v>0.0</v>
      </c>
      <c r="AU100" s="19">
        <v>1.0</v>
      </c>
      <c r="AV100" s="19">
        <v>0.0</v>
      </c>
      <c r="AW100" s="19">
        <v>0.0</v>
      </c>
      <c r="AX100" s="19"/>
      <c r="AY100" s="13">
        <f t="shared" si="20"/>
        <v>3</v>
      </c>
    </row>
    <row r="101" ht="12.75" customHeight="1">
      <c r="A101" s="18"/>
      <c r="B101" s="71"/>
      <c r="C101" s="72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3">
        <f t="shared" si="20"/>
        <v>0</v>
      </c>
    </row>
    <row r="102" ht="12.75" customHeight="1">
      <c r="A102" s="18"/>
      <c r="B102" s="71"/>
      <c r="C102" s="72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3">
        <f t="shared" si="20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Y103" si="21">SUM(E93:E102)</f>
        <v>8</v>
      </c>
      <c r="F103" s="13">
        <f t="shared" si="21"/>
        <v>1</v>
      </c>
      <c r="G103" s="13">
        <f t="shared" si="21"/>
        <v>0</v>
      </c>
      <c r="H103" s="13">
        <f t="shared" si="21"/>
        <v>1</v>
      </c>
      <c r="I103" s="13">
        <f t="shared" si="21"/>
        <v>2</v>
      </c>
      <c r="J103" s="13">
        <f t="shared" si="21"/>
        <v>0</v>
      </c>
      <c r="K103" s="13">
        <f t="shared" si="21"/>
        <v>3</v>
      </c>
      <c r="L103" s="13">
        <f t="shared" si="21"/>
        <v>1</v>
      </c>
      <c r="M103" s="13">
        <f t="shared" si="21"/>
        <v>1</v>
      </c>
      <c r="N103" s="13">
        <f t="shared" si="21"/>
        <v>1</v>
      </c>
      <c r="O103" s="13">
        <f t="shared" si="21"/>
        <v>3</v>
      </c>
      <c r="P103" s="13">
        <f t="shared" si="21"/>
        <v>1</v>
      </c>
      <c r="Q103" s="13">
        <f t="shared" si="21"/>
        <v>7</v>
      </c>
      <c r="R103" s="13">
        <f t="shared" si="21"/>
        <v>1</v>
      </c>
      <c r="S103" s="13">
        <f t="shared" si="21"/>
        <v>1</v>
      </c>
      <c r="T103" s="13">
        <f t="shared" si="21"/>
        <v>6</v>
      </c>
      <c r="U103" s="13">
        <f t="shared" si="21"/>
        <v>4</v>
      </c>
      <c r="V103" s="13">
        <f t="shared" si="21"/>
        <v>3</v>
      </c>
      <c r="W103" s="13">
        <f t="shared" si="21"/>
        <v>4</v>
      </c>
      <c r="X103" s="13">
        <f t="shared" si="21"/>
        <v>1</v>
      </c>
      <c r="Y103" s="13">
        <f t="shared" si="21"/>
        <v>4</v>
      </c>
      <c r="Z103" s="13">
        <f t="shared" si="21"/>
        <v>2</v>
      </c>
      <c r="AA103" s="13">
        <f t="shared" si="21"/>
        <v>0</v>
      </c>
      <c r="AB103" s="13">
        <f t="shared" si="21"/>
        <v>1</v>
      </c>
      <c r="AC103" s="13">
        <f t="shared" si="21"/>
        <v>2</v>
      </c>
      <c r="AD103" s="13">
        <f t="shared" si="21"/>
        <v>0</v>
      </c>
      <c r="AE103" s="13">
        <f t="shared" si="21"/>
        <v>2</v>
      </c>
      <c r="AF103" s="13">
        <f t="shared" si="21"/>
        <v>4</v>
      </c>
      <c r="AG103" s="13">
        <f t="shared" si="21"/>
        <v>2</v>
      </c>
      <c r="AH103" s="13">
        <f t="shared" si="21"/>
        <v>0</v>
      </c>
      <c r="AI103" s="13">
        <f t="shared" si="21"/>
        <v>0</v>
      </c>
      <c r="AJ103" s="13">
        <f t="shared" si="21"/>
        <v>4</v>
      </c>
      <c r="AK103" s="13">
        <f t="shared" si="21"/>
        <v>0</v>
      </c>
      <c r="AL103" s="13">
        <f t="shared" si="21"/>
        <v>2</v>
      </c>
      <c r="AM103" s="13">
        <f t="shared" si="21"/>
        <v>0</v>
      </c>
      <c r="AN103" s="13">
        <f t="shared" si="21"/>
        <v>2</v>
      </c>
      <c r="AO103" s="13">
        <f t="shared" si="21"/>
        <v>19</v>
      </c>
      <c r="AP103" s="13">
        <f t="shared" si="21"/>
        <v>31</v>
      </c>
      <c r="AQ103" s="13">
        <f t="shared" si="21"/>
        <v>15</v>
      </c>
      <c r="AR103" s="13">
        <f t="shared" si="21"/>
        <v>12</v>
      </c>
      <c r="AS103" s="13">
        <f t="shared" si="21"/>
        <v>26</v>
      </c>
      <c r="AT103" s="13">
        <f t="shared" si="21"/>
        <v>20</v>
      </c>
      <c r="AU103" s="13">
        <f t="shared" si="21"/>
        <v>18</v>
      </c>
      <c r="AV103" s="13">
        <f t="shared" si="21"/>
        <v>3</v>
      </c>
      <c r="AW103" s="13">
        <f t="shared" si="21"/>
        <v>0</v>
      </c>
      <c r="AX103" s="13">
        <f t="shared" si="21"/>
        <v>2</v>
      </c>
      <c r="AY103" s="13">
        <f t="shared" si="21"/>
        <v>220</v>
      </c>
    </row>
    <row r="104" ht="12.75" customHeight="1">
      <c r="A104" s="45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  <c r="AS104" s="75"/>
      <c r="AT104" s="75"/>
      <c r="AU104" s="75"/>
      <c r="AV104" s="75"/>
      <c r="AW104" s="75"/>
      <c r="AX104" s="75"/>
      <c r="AY104" s="13">
        <f t="shared" ref="AY104:AY114" si="22">SUM(E104:AX104)</f>
        <v>0</v>
      </c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1.0</v>
      </c>
      <c r="H105" s="19">
        <v>0.0</v>
      </c>
      <c r="I105" s="19">
        <v>0.0</v>
      </c>
      <c r="J105" s="19">
        <v>0.0</v>
      </c>
      <c r="K105" s="19">
        <v>3.0</v>
      </c>
      <c r="L105" s="19">
        <v>1.0</v>
      </c>
      <c r="M105" s="19">
        <v>1.0</v>
      </c>
      <c r="N105" s="19">
        <v>1.0</v>
      </c>
      <c r="O105" s="19">
        <v>2.0</v>
      </c>
      <c r="P105" s="19">
        <v>1.0</v>
      </c>
      <c r="Q105" s="19">
        <v>0.0</v>
      </c>
      <c r="R105" s="19">
        <v>0.0</v>
      </c>
      <c r="S105" s="19">
        <v>1.0</v>
      </c>
      <c r="T105" s="19">
        <v>1.0</v>
      </c>
      <c r="U105" s="19">
        <v>0.0</v>
      </c>
      <c r="V105" s="19">
        <v>0.0</v>
      </c>
      <c r="W105" s="19">
        <v>0.0</v>
      </c>
      <c r="X105" s="19">
        <v>0.0</v>
      </c>
      <c r="Y105" s="19">
        <v>0.0</v>
      </c>
      <c r="Z105" s="19">
        <v>1.0</v>
      </c>
      <c r="AA105" s="19">
        <v>0.0</v>
      </c>
      <c r="AB105" s="19">
        <v>0.0</v>
      </c>
      <c r="AC105" s="19">
        <v>0.0</v>
      </c>
      <c r="AD105" s="19">
        <v>1.0</v>
      </c>
      <c r="AE105" s="19">
        <v>0.0</v>
      </c>
      <c r="AF105" s="19">
        <v>0.0</v>
      </c>
      <c r="AG105" s="19">
        <v>2.0</v>
      </c>
      <c r="AH105" s="19">
        <v>0.0</v>
      </c>
      <c r="AI105" s="19">
        <v>3.0</v>
      </c>
      <c r="AJ105" s="19">
        <v>2.0</v>
      </c>
      <c r="AK105" s="19">
        <v>0.0</v>
      </c>
      <c r="AL105" s="19">
        <v>3.0</v>
      </c>
      <c r="AM105" s="19">
        <v>3.0</v>
      </c>
      <c r="AN105" s="19">
        <v>2.0</v>
      </c>
      <c r="AO105" s="19">
        <v>1.0</v>
      </c>
      <c r="AP105" s="19">
        <v>0.0</v>
      </c>
      <c r="AQ105" s="19">
        <v>2.0</v>
      </c>
      <c r="AR105" s="19">
        <v>1.0</v>
      </c>
      <c r="AS105" s="19">
        <v>2.0</v>
      </c>
      <c r="AT105" s="19">
        <v>2.0</v>
      </c>
      <c r="AU105" s="19">
        <v>0.0</v>
      </c>
      <c r="AV105" s="19">
        <v>1.0</v>
      </c>
      <c r="AW105" s="19">
        <v>0.0</v>
      </c>
      <c r="AX105" s="19"/>
      <c r="AY105" s="13">
        <f t="shared" si="22"/>
        <v>38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2.0</v>
      </c>
      <c r="L106" s="19">
        <v>0.0</v>
      </c>
      <c r="M106" s="19">
        <v>0.0</v>
      </c>
      <c r="N106" s="19">
        <v>0.0</v>
      </c>
      <c r="O106" s="19">
        <v>1.0</v>
      </c>
      <c r="P106" s="19">
        <v>0.0</v>
      </c>
      <c r="Q106" s="19">
        <v>0.0</v>
      </c>
      <c r="R106" s="19">
        <v>1.0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1.0</v>
      </c>
      <c r="AB106" s="19">
        <v>0.0</v>
      </c>
      <c r="AC106" s="19">
        <v>0.0</v>
      </c>
      <c r="AD106" s="19">
        <v>0.0</v>
      </c>
      <c r="AE106" s="19">
        <v>1.0</v>
      </c>
      <c r="AF106" s="19">
        <v>0.0</v>
      </c>
      <c r="AG106" s="19">
        <v>0.0</v>
      </c>
      <c r="AH106" s="19">
        <v>0.0</v>
      </c>
      <c r="AI106" s="19">
        <v>0.0</v>
      </c>
      <c r="AJ106" s="19">
        <v>0.0</v>
      </c>
      <c r="AK106" s="19">
        <v>0.0</v>
      </c>
      <c r="AL106" s="19">
        <v>0.0</v>
      </c>
      <c r="AM106" s="19">
        <v>0.0</v>
      </c>
      <c r="AN106" s="19">
        <v>2.0</v>
      </c>
      <c r="AO106" s="19">
        <v>0.0</v>
      </c>
      <c r="AP106" s="19">
        <v>0.0</v>
      </c>
      <c r="AQ106" s="19">
        <v>0.0</v>
      </c>
      <c r="AR106" s="19">
        <v>1.0</v>
      </c>
      <c r="AS106" s="19">
        <v>0.0</v>
      </c>
      <c r="AT106" s="19">
        <v>1.0</v>
      </c>
      <c r="AU106" s="19">
        <v>1.0</v>
      </c>
      <c r="AV106" s="19">
        <v>0.0</v>
      </c>
      <c r="AW106" s="19">
        <v>0.0</v>
      </c>
      <c r="AX106" s="19"/>
      <c r="AY106" s="13">
        <f t="shared" si="22"/>
        <v>11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1.0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0.0</v>
      </c>
      <c r="AH107" s="19">
        <v>0.0</v>
      </c>
      <c r="AI107" s="19">
        <v>2.0</v>
      </c>
      <c r="AJ107" s="19">
        <v>0.0</v>
      </c>
      <c r="AK107" s="19">
        <v>1.0</v>
      </c>
      <c r="AL107" s="19">
        <v>0.0</v>
      </c>
      <c r="AM107" s="19">
        <v>0.0</v>
      </c>
      <c r="AN107" s="19">
        <v>0.0</v>
      </c>
      <c r="AO107" s="19">
        <v>0.0</v>
      </c>
      <c r="AP107" s="19">
        <v>0.0</v>
      </c>
      <c r="AQ107" s="19">
        <v>0.0</v>
      </c>
      <c r="AR107" s="19">
        <v>0.0</v>
      </c>
      <c r="AS107" s="19">
        <v>1.0</v>
      </c>
      <c r="AT107" s="19">
        <v>0.0</v>
      </c>
      <c r="AU107" s="19">
        <v>0.0</v>
      </c>
      <c r="AV107" s="19">
        <v>0.0</v>
      </c>
      <c r="AW107" s="19">
        <v>0.0</v>
      </c>
      <c r="AX107" s="19"/>
      <c r="AY107" s="13">
        <f t="shared" si="22"/>
        <v>5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1.0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0.0</v>
      </c>
      <c r="AJ108" s="19">
        <v>0.0</v>
      </c>
      <c r="AK108" s="19">
        <v>0.0</v>
      </c>
      <c r="AL108" s="19">
        <v>0.0</v>
      </c>
      <c r="AM108" s="19">
        <v>0.0</v>
      </c>
      <c r="AN108" s="19">
        <v>0.0</v>
      </c>
      <c r="AO108" s="19">
        <v>0.0</v>
      </c>
      <c r="AP108" s="19">
        <v>0.0</v>
      </c>
      <c r="AQ108" s="19">
        <v>0.0</v>
      </c>
      <c r="AR108" s="19">
        <v>0.0</v>
      </c>
      <c r="AS108" s="19">
        <v>0.0</v>
      </c>
      <c r="AT108" s="19">
        <v>0.0</v>
      </c>
      <c r="AU108" s="19">
        <v>0.0</v>
      </c>
      <c r="AV108" s="19">
        <v>0.0</v>
      </c>
      <c r="AW108" s="19">
        <v>0.0</v>
      </c>
      <c r="AX108" s="19"/>
      <c r="AY108" s="13">
        <f t="shared" si="22"/>
        <v>1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1.0</v>
      </c>
      <c r="AF109" s="19">
        <v>0.0</v>
      </c>
      <c r="AG109" s="19">
        <v>0.0</v>
      </c>
      <c r="AH109" s="19">
        <v>0.0</v>
      </c>
      <c r="AI109" s="19">
        <v>0.0</v>
      </c>
      <c r="AJ109" s="19">
        <v>0.0</v>
      </c>
      <c r="AK109" s="19">
        <v>0.0</v>
      </c>
      <c r="AL109" s="19">
        <v>0.0</v>
      </c>
      <c r="AM109" s="19">
        <v>0.0</v>
      </c>
      <c r="AN109" s="19">
        <v>0.0</v>
      </c>
      <c r="AO109" s="19">
        <v>0.0</v>
      </c>
      <c r="AP109" s="19">
        <v>0.0</v>
      </c>
      <c r="AQ109" s="19">
        <v>1.0</v>
      </c>
      <c r="AR109" s="19">
        <v>0.0</v>
      </c>
      <c r="AS109" s="19">
        <v>0.0</v>
      </c>
      <c r="AT109" s="19">
        <v>0.0</v>
      </c>
      <c r="AU109" s="19">
        <v>0.0</v>
      </c>
      <c r="AV109" s="19">
        <v>0.0</v>
      </c>
      <c r="AW109" s="19">
        <v>0.0</v>
      </c>
      <c r="AX109" s="19"/>
      <c r="AY109" s="13">
        <f t="shared" si="22"/>
        <v>2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9">
        <v>0.0</v>
      </c>
      <c r="AL110" s="19">
        <v>0.0</v>
      </c>
      <c r="AM110" s="19">
        <v>0.0</v>
      </c>
      <c r="AN110" s="19">
        <v>0.0</v>
      </c>
      <c r="AO110" s="19">
        <v>0.0</v>
      </c>
      <c r="AP110" s="19">
        <v>0.0</v>
      </c>
      <c r="AQ110" s="19">
        <v>0.0</v>
      </c>
      <c r="AR110" s="19">
        <v>0.0</v>
      </c>
      <c r="AS110" s="19">
        <v>0.0</v>
      </c>
      <c r="AT110" s="19">
        <v>0.0</v>
      </c>
      <c r="AU110" s="19">
        <v>0.0</v>
      </c>
      <c r="AV110" s="19">
        <v>0.0</v>
      </c>
      <c r="AW110" s="19">
        <v>0.0</v>
      </c>
      <c r="AX110" s="19"/>
      <c r="AY110" s="13">
        <f t="shared" si="22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1.0</v>
      </c>
      <c r="AI111" s="19">
        <v>0.0</v>
      </c>
      <c r="AJ111" s="19">
        <v>0.0</v>
      </c>
      <c r="AK111" s="19">
        <v>0.0</v>
      </c>
      <c r="AL111" s="19">
        <v>0.0</v>
      </c>
      <c r="AM111" s="19">
        <v>0.0</v>
      </c>
      <c r="AN111" s="19">
        <v>0.0</v>
      </c>
      <c r="AO111" s="19">
        <v>0.0</v>
      </c>
      <c r="AP111" s="19">
        <v>0.0</v>
      </c>
      <c r="AQ111" s="19">
        <v>0.0</v>
      </c>
      <c r="AR111" s="19">
        <v>0.0</v>
      </c>
      <c r="AS111" s="19">
        <v>0.0</v>
      </c>
      <c r="AT111" s="19">
        <v>1.0</v>
      </c>
      <c r="AU111" s="19">
        <v>0.0</v>
      </c>
      <c r="AV111" s="19">
        <v>0.0</v>
      </c>
      <c r="AW111" s="19">
        <v>1.0</v>
      </c>
      <c r="AX111" s="19"/>
      <c r="AY111" s="13">
        <f t="shared" si="22"/>
        <v>3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9">
        <v>0.0</v>
      </c>
      <c r="AL112" s="19">
        <v>0.0</v>
      </c>
      <c r="AM112" s="19">
        <v>0.0</v>
      </c>
      <c r="AN112" s="19">
        <v>0.0</v>
      </c>
      <c r="AO112" s="19">
        <v>0.0</v>
      </c>
      <c r="AP112" s="19">
        <v>0.0</v>
      </c>
      <c r="AQ112" s="19">
        <v>0.0</v>
      </c>
      <c r="AR112" s="19">
        <v>0.0</v>
      </c>
      <c r="AS112" s="19">
        <v>0.0</v>
      </c>
      <c r="AT112" s="19">
        <v>0.0</v>
      </c>
      <c r="AU112" s="19">
        <v>0.0</v>
      </c>
      <c r="AV112" s="19">
        <v>0.0</v>
      </c>
      <c r="AW112" s="19">
        <v>0.0</v>
      </c>
      <c r="AX112" s="19"/>
      <c r="AY112" s="13">
        <f t="shared" si="22"/>
        <v>0</v>
      </c>
    </row>
    <row r="113" ht="12.75" customHeight="1">
      <c r="A113" s="18"/>
      <c r="B113" s="71"/>
      <c r="C113" s="72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3">
        <f t="shared" si="22"/>
        <v>0</v>
      </c>
    </row>
    <row r="114" ht="12.75" customHeight="1">
      <c r="A114" s="18"/>
      <c r="B114" s="71"/>
      <c r="C114" s="72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3">
        <f t="shared" si="22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Y115" si="23">SUM(E105:E114)</f>
        <v>0</v>
      </c>
      <c r="F115" s="13">
        <f t="shared" si="23"/>
        <v>0</v>
      </c>
      <c r="G115" s="13">
        <f t="shared" si="23"/>
        <v>1</v>
      </c>
      <c r="H115" s="13">
        <f t="shared" si="23"/>
        <v>0</v>
      </c>
      <c r="I115" s="13">
        <f t="shared" si="23"/>
        <v>0</v>
      </c>
      <c r="J115" s="13">
        <f t="shared" si="23"/>
        <v>0</v>
      </c>
      <c r="K115" s="13">
        <f t="shared" si="23"/>
        <v>5</v>
      </c>
      <c r="L115" s="13">
        <f t="shared" si="23"/>
        <v>1</v>
      </c>
      <c r="M115" s="13">
        <f t="shared" si="23"/>
        <v>1</v>
      </c>
      <c r="N115" s="13">
        <f t="shared" si="23"/>
        <v>2</v>
      </c>
      <c r="O115" s="13">
        <f t="shared" si="23"/>
        <v>3</v>
      </c>
      <c r="P115" s="13">
        <f t="shared" si="23"/>
        <v>1</v>
      </c>
      <c r="Q115" s="13">
        <f t="shared" si="23"/>
        <v>0</v>
      </c>
      <c r="R115" s="13">
        <f t="shared" si="23"/>
        <v>1</v>
      </c>
      <c r="S115" s="13">
        <f t="shared" si="23"/>
        <v>1</v>
      </c>
      <c r="T115" s="13">
        <f t="shared" si="23"/>
        <v>1</v>
      </c>
      <c r="U115" s="13">
        <f t="shared" si="23"/>
        <v>0</v>
      </c>
      <c r="V115" s="13">
        <f t="shared" si="23"/>
        <v>0</v>
      </c>
      <c r="W115" s="13">
        <f t="shared" si="23"/>
        <v>0</v>
      </c>
      <c r="X115" s="13">
        <f t="shared" si="23"/>
        <v>0</v>
      </c>
      <c r="Y115" s="13">
        <f t="shared" si="23"/>
        <v>0</v>
      </c>
      <c r="Z115" s="13">
        <f t="shared" si="23"/>
        <v>1</v>
      </c>
      <c r="AA115" s="13">
        <f t="shared" si="23"/>
        <v>1</v>
      </c>
      <c r="AB115" s="13">
        <f t="shared" si="23"/>
        <v>1</v>
      </c>
      <c r="AC115" s="13">
        <f t="shared" si="23"/>
        <v>0</v>
      </c>
      <c r="AD115" s="13">
        <f t="shared" si="23"/>
        <v>1</v>
      </c>
      <c r="AE115" s="13">
        <f t="shared" si="23"/>
        <v>2</v>
      </c>
      <c r="AF115" s="13">
        <f t="shared" si="23"/>
        <v>0</v>
      </c>
      <c r="AG115" s="13">
        <f t="shared" si="23"/>
        <v>2</v>
      </c>
      <c r="AH115" s="13">
        <f t="shared" si="23"/>
        <v>1</v>
      </c>
      <c r="AI115" s="13">
        <f t="shared" si="23"/>
        <v>5</v>
      </c>
      <c r="AJ115" s="13">
        <f t="shared" si="23"/>
        <v>2</v>
      </c>
      <c r="AK115" s="13">
        <f t="shared" si="23"/>
        <v>1</v>
      </c>
      <c r="AL115" s="13">
        <f t="shared" si="23"/>
        <v>3</v>
      </c>
      <c r="AM115" s="13">
        <f t="shared" si="23"/>
        <v>3</v>
      </c>
      <c r="AN115" s="13">
        <f t="shared" si="23"/>
        <v>4</v>
      </c>
      <c r="AO115" s="13">
        <f t="shared" si="23"/>
        <v>1</v>
      </c>
      <c r="AP115" s="13">
        <f t="shared" si="23"/>
        <v>0</v>
      </c>
      <c r="AQ115" s="13">
        <f t="shared" si="23"/>
        <v>3</v>
      </c>
      <c r="AR115" s="13">
        <f t="shared" si="23"/>
        <v>2</v>
      </c>
      <c r="AS115" s="13">
        <f t="shared" si="23"/>
        <v>3</v>
      </c>
      <c r="AT115" s="13">
        <f t="shared" si="23"/>
        <v>4</v>
      </c>
      <c r="AU115" s="13">
        <f t="shared" si="23"/>
        <v>1</v>
      </c>
      <c r="AV115" s="13">
        <f t="shared" si="23"/>
        <v>1</v>
      </c>
      <c r="AW115" s="13">
        <f t="shared" si="23"/>
        <v>1</v>
      </c>
      <c r="AX115" s="13">
        <f t="shared" si="23"/>
        <v>0</v>
      </c>
      <c r="AY115" s="13">
        <f t="shared" si="23"/>
        <v>60</v>
      </c>
    </row>
    <row r="116" ht="12.75" customHeight="1">
      <c r="A116" s="24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6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Y116" s="13">
        <f t="shared" ref="AY116:AY126" si="24">SUM(E116:AX116)</f>
        <v>0</v>
      </c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2.0</v>
      </c>
      <c r="G117" s="19">
        <v>1.0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1.0</v>
      </c>
      <c r="P117" s="19">
        <v>0.0</v>
      </c>
      <c r="Q117" s="19">
        <v>1.0</v>
      </c>
      <c r="R117" s="19">
        <v>0.0</v>
      </c>
      <c r="S117" s="19">
        <v>0.0</v>
      </c>
      <c r="T117" s="19">
        <v>3.0</v>
      </c>
      <c r="U117" s="19">
        <v>3.0</v>
      </c>
      <c r="V117" s="19">
        <v>0.0</v>
      </c>
      <c r="W117" s="19">
        <v>0.0</v>
      </c>
      <c r="X117" s="19">
        <v>1.0</v>
      </c>
      <c r="Y117" s="19">
        <v>0.0</v>
      </c>
      <c r="Z117" s="19">
        <v>0.0</v>
      </c>
      <c r="AA117" s="19">
        <v>0.0</v>
      </c>
      <c r="AB117" s="19">
        <v>0.0</v>
      </c>
      <c r="AC117" s="19">
        <v>1.0</v>
      </c>
      <c r="AD117" s="19">
        <v>1.0</v>
      </c>
      <c r="AE117" s="19">
        <v>1.0</v>
      </c>
      <c r="AF117" s="19">
        <v>0.0</v>
      </c>
      <c r="AG117" s="19">
        <v>1.0</v>
      </c>
      <c r="AH117" s="19">
        <v>1.0</v>
      </c>
      <c r="AI117" s="19">
        <v>0.0</v>
      </c>
      <c r="AJ117" s="19">
        <v>0.0</v>
      </c>
      <c r="AK117" s="19">
        <v>2.0</v>
      </c>
      <c r="AL117" s="19">
        <v>0.0</v>
      </c>
      <c r="AM117" s="19">
        <v>0.0</v>
      </c>
      <c r="AN117" s="19">
        <v>2.0</v>
      </c>
      <c r="AO117" s="19">
        <v>0.0</v>
      </c>
      <c r="AP117" s="19">
        <v>0.0</v>
      </c>
      <c r="AQ117" s="19">
        <v>0.0</v>
      </c>
      <c r="AR117" s="19">
        <v>2.0</v>
      </c>
      <c r="AS117" s="19">
        <v>0.0</v>
      </c>
      <c r="AT117" s="19">
        <v>0.0</v>
      </c>
      <c r="AU117" s="19">
        <v>0.0</v>
      </c>
      <c r="AV117" s="19">
        <v>0.0</v>
      </c>
      <c r="AW117" s="19">
        <v>1.0</v>
      </c>
      <c r="AX117" s="19"/>
      <c r="AY117" s="13">
        <f t="shared" si="24"/>
        <v>24</v>
      </c>
      <c r="AZ117" s="5"/>
      <c r="BA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2.0</v>
      </c>
      <c r="G118" s="19">
        <v>0.0</v>
      </c>
      <c r="H118" s="19">
        <v>0.0</v>
      </c>
      <c r="I118" s="19">
        <v>0.0</v>
      </c>
      <c r="J118" s="19">
        <v>0.0</v>
      </c>
      <c r="K118" s="19">
        <v>1.0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1.0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1.0</v>
      </c>
      <c r="AF118" s="19">
        <v>0.0</v>
      </c>
      <c r="AG118" s="19">
        <v>1.0</v>
      </c>
      <c r="AH118" s="19">
        <v>0.0</v>
      </c>
      <c r="AI118" s="19">
        <v>0.0</v>
      </c>
      <c r="AJ118" s="19">
        <v>0.0</v>
      </c>
      <c r="AK118" s="19">
        <v>1.0</v>
      </c>
      <c r="AL118" s="19">
        <v>0.0</v>
      </c>
      <c r="AM118" s="19">
        <v>1.0</v>
      </c>
      <c r="AN118" s="19">
        <v>0.0</v>
      </c>
      <c r="AO118" s="19">
        <v>0.0</v>
      </c>
      <c r="AP118" s="19">
        <v>0.0</v>
      </c>
      <c r="AQ118" s="19">
        <v>0.0</v>
      </c>
      <c r="AR118" s="19">
        <v>0.0</v>
      </c>
      <c r="AS118" s="19">
        <v>0.0</v>
      </c>
      <c r="AT118" s="19">
        <v>0.0</v>
      </c>
      <c r="AU118" s="19">
        <v>0.0</v>
      </c>
      <c r="AV118" s="19">
        <v>0.0</v>
      </c>
      <c r="AW118" s="19">
        <v>0.0</v>
      </c>
      <c r="AX118" s="19">
        <v>1.0</v>
      </c>
      <c r="AY118" s="13">
        <f t="shared" si="24"/>
        <v>9</v>
      </c>
      <c r="AZ118" s="5"/>
      <c r="BA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1.0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1.0</v>
      </c>
      <c r="AG119" s="19">
        <v>0.0</v>
      </c>
      <c r="AH119" s="19">
        <v>1.0</v>
      </c>
      <c r="AI119" s="19">
        <v>0.0</v>
      </c>
      <c r="AJ119" s="19">
        <v>0.0</v>
      </c>
      <c r="AK119" s="19">
        <v>0.0</v>
      </c>
      <c r="AL119" s="19">
        <v>0.0</v>
      </c>
      <c r="AM119" s="19">
        <v>0.0</v>
      </c>
      <c r="AN119" s="19">
        <v>0.0</v>
      </c>
      <c r="AO119" s="19">
        <v>0.0</v>
      </c>
      <c r="AP119" s="19">
        <v>0.0</v>
      </c>
      <c r="AQ119" s="19">
        <v>0.0</v>
      </c>
      <c r="AR119" s="19">
        <v>0.0</v>
      </c>
      <c r="AS119" s="19">
        <v>0.0</v>
      </c>
      <c r="AT119" s="19">
        <v>0.0</v>
      </c>
      <c r="AU119" s="19">
        <v>0.0</v>
      </c>
      <c r="AV119" s="19">
        <v>0.0</v>
      </c>
      <c r="AW119" s="19">
        <v>0.0</v>
      </c>
      <c r="AX119" s="19"/>
      <c r="AY119" s="13">
        <f t="shared" si="24"/>
        <v>3</v>
      </c>
      <c r="AZ119" s="5"/>
      <c r="BA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1.0</v>
      </c>
      <c r="AF120" s="19">
        <v>0.0</v>
      </c>
      <c r="AG120" s="19">
        <v>0.0</v>
      </c>
      <c r="AH120" s="19">
        <v>0.0</v>
      </c>
      <c r="AI120" s="19">
        <v>1.0</v>
      </c>
      <c r="AJ120" s="19">
        <v>0.0</v>
      </c>
      <c r="AK120" s="19">
        <v>0.0</v>
      </c>
      <c r="AL120" s="19">
        <v>0.0</v>
      </c>
      <c r="AM120" s="19">
        <v>0.0</v>
      </c>
      <c r="AN120" s="19">
        <v>0.0</v>
      </c>
      <c r="AO120" s="19">
        <v>0.0</v>
      </c>
      <c r="AP120" s="19">
        <v>1.0</v>
      </c>
      <c r="AQ120" s="19">
        <v>1.0</v>
      </c>
      <c r="AR120" s="19">
        <v>0.0</v>
      </c>
      <c r="AS120" s="19">
        <v>0.0</v>
      </c>
      <c r="AT120" s="19">
        <v>0.0</v>
      </c>
      <c r="AU120" s="19">
        <v>0.0</v>
      </c>
      <c r="AV120" s="19">
        <v>0.0</v>
      </c>
      <c r="AW120" s="19">
        <v>0.0</v>
      </c>
      <c r="AX120" s="19"/>
      <c r="AY120" s="13">
        <f t="shared" si="24"/>
        <v>4</v>
      </c>
      <c r="AZ120" s="5"/>
      <c r="BA120" s="5"/>
    </row>
    <row r="121" ht="12.75" customHeight="1">
      <c r="A121" s="18"/>
      <c r="B121" s="71"/>
      <c r="C121" s="72"/>
      <c r="D121" s="7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13">
        <f t="shared" si="24"/>
        <v>0</v>
      </c>
      <c r="AZ121" s="5"/>
      <c r="BA121" s="5"/>
    </row>
    <row r="122" ht="12.75" customHeight="1">
      <c r="A122" s="18"/>
      <c r="B122" s="71"/>
      <c r="C122" s="72"/>
      <c r="D122" s="7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13">
        <f t="shared" si="24"/>
        <v>0</v>
      </c>
      <c r="AZ122" s="5"/>
      <c r="BA122" s="5"/>
    </row>
    <row r="123" ht="12.75" customHeight="1">
      <c r="A123" s="18"/>
      <c r="B123" s="71"/>
      <c r="C123" s="72"/>
      <c r="D123" s="7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13">
        <f t="shared" si="24"/>
        <v>0</v>
      </c>
      <c r="AZ123" s="5"/>
      <c r="BA123" s="5"/>
    </row>
    <row r="124" ht="12.75" customHeight="1">
      <c r="A124" s="18"/>
      <c r="B124" s="71"/>
      <c r="C124" s="72"/>
      <c r="D124" s="7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13">
        <f t="shared" si="24"/>
        <v>0</v>
      </c>
      <c r="AZ124" s="5"/>
      <c r="BA124" s="5"/>
    </row>
    <row r="125" ht="12.75" customHeight="1">
      <c r="A125" s="18"/>
      <c r="B125" s="71"/>
      <c r="C125" s="72"/>
      <c r="D125" s="7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13">
        <f t="shared" si="24"/>
        <v>0</v>
      </c>
      <c r="AZ125" s="5"/>
      <c r="BA125" s="5"/>
    </row>
    <row r="126" ht="12.75" customHeight="1">
      <c r="A126" s="18"/>
      <c r="B126" s="71"/>
      <c r="C126" s="72"/>
      <c r="D126" s="7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13">
        <f t="shared" si="24"/>
        <v>0</v>
      </c>
      <c r="AZ126" s="5"/>
      <c r="BA126" s="5"/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Y127" si="25">SUM(E117:E126)</f>
        <v>0</v>
      </c>
      <c r="F127" s="13">
        <f t="shared" si="25"/>
        <v>4</v>
      </c>
      <c r="G127" s="13">
        <f t="shared" si="25"/>
        <v>1</v>
      </c>
      <c r="H127" s="13">
        <f t="shared" si="25"/>
        <v>0</v>
      </c>
      <c r="I127" s="13">
        <f t="shared" si="25"/>
        <v>0</v>
      </c>
      <c r="J127" s="13">
        <f t="shared" si="25"/>
        <v>0</v>
      </c>
      <c r="K127" s="13">
        <f t="shared" si="25"/>
        <v>1</v>
      </c>
      <c r="L127" s="13">
        <f t="shared" si="25"/>
        <v>0</v>
      </c>
      <c r="M127" s="13">
        <f t="shared" si="25"/>
        <v>0</v>
      </c>
      <c r="N127" s="13">
        <f t="shared" si="25"/>
        <v>0</v>
      </c>
      <c r="O127" s="13">
        <f t="shared" si="25"/>
        <v>1</v>
      </c>
      <c r="P127" s="13">
        <f t="shared" si="25"/>
        <v>0</v>
      </c>
      <c r="Q127" s="13">
        <f t="shared" si="25"/>
        <v>1</v>
      </c>
      <c r="R127" s="13">
        <f t="shared" si="25"/>
        <v>0</v>
      </c>
      <c r="S127" s="13">
        <f t="shared" si="25"/>
        <v>0</v>
      </c>
      <c r="T127" s="13">
        <f t="shared" si="25"/>
        <v>3</v>
      </c>
      <c r="U127" s="13">
        <f t="shared" si="25"/>
        <v>3</v>
      </c>
      <c r="V127" s="13">
        <f t="shared" si="25"/>
        <v>1</v>
      </c>
      <c r="W127" s="13">
        <f t="shared" si="25"/>
        <v>0</v>
      </c>
      <c r="X127" s="13">
        <f t="shared" si="25"/>
        <v>1</v>
      </c>
      <c r="Y127" s="13">
        <f t="shared" si="25"/>
        <v>0</v>
      </c>
      <c r="Z127" s="13">
        <f t="shared" si="25"/>
        <v>1</v>
      </c>
      <c r="AA127" s="13">
        <f t="shared" si="25"/>
        <v>0</v>
      </c>
      <c r="AB127" s="13">
        <f t="shared" si="25"/>
        <v>0</v>
      </c>
      <c r="AC127" s="13">
        <f t="shared" si="25"/>
        <v>1</v>
      </c>
      <c r="AD127" s="13">
        <f t="shared" si="25"/>
        <v>1</v>
      </c>
      <c r="AE127" s="13">
        <f t="shared" si="25"/>
        <v>3</v>
      </c>
      <c r="AF127" s="13">
        <f t="shared" si="25"/>
        <v>1</v>
      </c>
      <c r="AG127" s="13">
        <f t="shared" si="25"/>
        <v>2</v>
      </c>
      <c r="AH127" s="13">
        <f t="shared" si="25"/>
        <v>2</v>
      </c>
      <c r="AI127" s="13">
        <f t="shared" si="25"/>
        <v>1</v>
      </c>
      <c r="AJ127" s="13">
        <f t="shared" si="25"/>
        <v>0</v>
      </c>
      <c r="AK127" s="13">
        <f t="shared" si="25"/>
        <v>3</v>
      </c>
      <c r="AL127" s="13">
        <f t="shared" si="25"/>
        <v>0</v>
      </c>
      <c r="AM127" s="13">
        <f t="shared" si="25"/>
        <v>1</v>
      </c>
      <c r="AN127" s="13">
        <f t="shared" si="25"/>
        <v>2</v>
      </c>
      <c r="AO127" s="13">
        <f t="shared" si="25"/>
        <v>0</v>
      </c>
      <c r="AP127" s="13">
        <f t="shared" si="25"/>
        <v>1</v>
      </c>
      <c r="AQ127" s="13">
        <f t="shared" si="25"/>
        <v>1</v>
      </c>
      <c r="AR127" s="13">
        <f t="shared" si="25"/>
        <v>2</v>
      </c>
      <c r="AS127" s="13">
        <f t="shared" si="25"/>
        <v>0</v>
      </c>
      <c r="AT127" s="13">
        <f t="shared" si="25"/>
        <v>0</v>
      </c>
      <c r="AU127" s="13">
        <f t="shared" si="25"/>
        <v>0</v>
      </c>
      <c r="AV127" s="13">
        <f t="shared" si="25"/>
        <v>0</v>
      </c>
      <c r="AW127" s="13">
        <f t="shared" si="25"/>
        <v>1</v>
      </c>
      <c r="AX127" s="13">
        <f t="shared" si="25"/>
        <v>1</v>
      </c>
      <c r="AY127" s="13">
        <f t="shared" si="25"/>
        <v>40</v>
      </c>
      <c r="AZ127" s="5"/>
      <c r="BA127" s="5"/>
    </row>
    <row r="128" ht="12.75" customHeight="1">
      <c r="A128" s="24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6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75"/>
      <c r="AK128" s="75"/>
      <c r="AL128" s="75"/>
      <c r="AM128" s="75"/>
      <c r="AN128" s="75"/>
      <c r="AO128" s="75"/>
      <c r="AP128" s="75"/>
      <c r="AQ128" s="75"/>
      <c r="AR128" s="75"/>
      <c r="AS128" s="75"/>
      <c r="AT128" s="75"/>
      <c r="AU128" s="75"/>
      <c r="AV128" s="75"/>
      <c r="AW128" s="75"/>
      <c r="AX128" s="75"/>
      <c r="AY128" s="13">
        <f t="shared" ref="AY128:AY138" si="26">SUM(E128:AX128)</f>
        <v>0</v>
      </c>
      <c r="AZ128" s="5"/>
      <c r="BA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1.0</v>
      </c>
      <c r="G129" s="19">
        <v>0.0</v>
      </c>
      <c r="H129" s="19">
        <v>0.0</v>
      </c>
      <c r="I129" s="19">
        <v>0.0</v>
      </c>
      <c r="J129" s="19">
        <v>0.0</v>
      </c>
      <c r="K129" s="19">
        <v>0.0</v>
      </c>
      <c r="L129" s="19">
        <v>1.0</v>
      </c>
      <c r="M129" s="19">
        <v>1.0</v>
      </c>
      <c r="N129" s="19">
        <v>1.0</v>
      </c>
      <c r="O129" s="19">
        <v>0.0</v>
      </c>
      <c r="P129" s="19">
        <v>0.0</v>
      </c>
      <c r="Q129" s="19">
        <v>1.0</v>
      </c>
      <c r="R129" s="19">
        <v>1.0</v>
      </c>
      <c r="S129" s="19">
        <v>1.0</v>
      </c>
      <c r="T129" s="19">
        <v>0.0</v>
      </c>
      <c r="U129" s="19">
        <v>0.0</v>
      </c>
      <c r="V129" s="19">
        <v>1.0</v>
      </c>
      <c r="W129" s="19">
        <v>0.0</v>
      </c>
      <c r="X129" s="19">
        <v>1.0</v>
      </c>
      <c r="Y129" s="19">
        <v>3.0</v>
      </c>
      <c r="Z129" s="19">
        <v>1.0</v>
      </c>
      <c r="AA129" s="19">
        <v>1.0</v>
      </c>
      <c r="AB129" s="19">
        <v>0.0</v>
      </c>
      <c r="AC129" s="19">
        <v>1.0</v>
      </c>
      <c r="AD129" s="19">
        <v>0.0</v>
      </c>
      <c r="AE129" s="19">
        <v>2.0</v>
      </c>
      <c r="AF129" s="19">
        <v>0.0</v>
      </c>
      <c r="AG129" s="19">
        <v>1.0</v>
      </c>
      <c r="AH129" s="19">
        <v>1.0</v>
      </c>
      <c r="AI129" s="19">
        <v>0.0</v>
      </c>
      <c r="AJ129" s="19">
        <v>0.0</v>
      </c>
      <c r="AK129" s="19">
        <v>2.0</v>
      </c>
      <c r="AL129" s="19">
        <v>0.0</v>
      </c>
      <c r="AM129" s="19">
        <v>0.0</v>
      </c>
      <c r="AN129" s="19">
        <v>0.0</v>
      </c>
      <c r="AO129" s="19">
        <v>1.0</v>
      </c>
      <c r="AP129" s="19">
        <v>0.0</v>
      </c>
      <c r="AQ129" s="19">
        <v>0.0</v>
      </c>
      <c r="AR129" s="19">
        <v>0.0</v>
      </c>
      <c r="AS129" s="19">
        <v>4.0</v>
      </c>
      <c r="AT129" s="19">
        <v>0.0</v>
      </c>
      <c r="AU129" s="19">
        <v>0.0</v>
      </c>
      <c r="AV129" s="19">
        <v>0.0</v>
      </c>
      <c r="AW129" s="19">
        <v>0.0</v>
      </c>
      <c r="AX129" s="19"/>
      <c r="AY129" s="13">
        <f t="shared" si="26"/>
        <v>27</v>
      </c>
      <c r="AZ129" s="5"/>
      <c r="BA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0.0</v>
      </c>
      <c r="F130" s="19">
        <v>0.0</v>
      </c>
      <c r="G130" s="19">
        <v>0.0</v>
      </c>
      <c r="H130" s="19">
        <v>0.0</v>
      </c>
      <c r="I130" s="19">
        <v>0.0</v>
      </c>
      <c r="J130" s="19">
        <v>2.0</v>
      </c>
      <c r="K130" s="19">
        <v>1.0</v>
      </c>
      <c r="L130" s="19">
        <v>0.0</v>
      </c>
      <c r="M130" s="19">
        <v>0.0</v>
      </c>
      <c r="N130" s="19">
        <v>1.0</v>
      </c>
      <c r="O130" s="19">
        <v>0.0</v>
      </c>
      <c r="P130" s="19">
        <v>0.0</v>
      </c>
      <c r="Q130" s="19">
        <v>1.0</v>
      </c>
      <c r="R130" s="19">
        <v>1.0</v>
      </c>
      <c r="S130" s="19">
        <v>3.0</v>
      </c>
      <c r="T130" s="19">
        <v>0.0</v>
      </c>
      <c r="U130" s="19">
        <v>0.0</v>
      </c>
      <c r="V130" s="19">
        <v>1.0</v>
      </c>
      <c r="W130" s="19">
        <v>4.0</v>
      </c>
      <c r="X130" s="19">
        <v>1.0</v>
      </c>
      <c r="Y130" s="19">
        <v>3.0</v>
      </c>
      <c r="Z130" s="19">
        <v>2.0</v>
      </c>
      <c r="AA130" s="19">
        <v>0.0</v>
      </c>
      <c r="AB130" s="19">
        <v>0.0</v>
      </c>
      <c r="AC130" s="19">
        <v>2.0</v>
      </c>
      <c r="AD130" s="19">
        <v>0.0</v>
      </c>
      <c r="AE130" s="19">
        <v>0.0</v>
      </c>
      <c r="AF130" s="19">
        <v>0.0</v>
      </c>
      <c r="AG130" s="19">
        <v>0.0</v>
      </c>
      <c r="AH130" s="19">
        <v>0.0</v>
      </c>
      <c r="AI130" s="19">
        <v>0.0</v>
      </c>
      <c r="AJ130" s="19">
        <v>3.0</v>
      </c>
      <c r="AK130" s="19">
        <v>0.0</v>
      </c>
      <c r="AL130" s="19">
        <v>0.0</v>
      </c>
      <c r="AM130" s="19">
        <v>0.0</v>
      </c>
      <c r="AN130" s="19">
        <v>0.0</v>
      </c>
      <c r="AO130" s="19">
        <v>0.0</v>
      </c>
      <c r="AP130" s="19">
        <v>0.0</v>
      </c>
      <c r="AQ130" s="19">
        <v>0.0</v>
      </c>
      <c r="AR130" s="19">
        <v>2.0</v>
      </c>
      <c r="AS130" s="19">
        <v>1.0</v>
      </c>
      <c r="AT130" s="19">
        <v>0.0</v>
      </c>
      <c r="AU130" s="19">
        <v>1.0</v>
      </c>
      <c r="AV130" s="19">
        <v>0.0</v>
      </c>
      <c r="AW130" s="19">
        <v>0.0</v>
      </c>
      <c r="AX130" s="19"/>
      <c r="AY130" s="13">
        <f t="shared" si="26"/>
        <v>29</v>
      </c>
      <c r="AZ130" s="1"/>
      <c r="BA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5.0</v>
      </c>
      <c r="N131" s="19">
        <v>2.0</v>
      </c>
      <c r="O131" s="19">
        <v>0.0</v>
      </c>
      <c r="P131" s="19">
        <v>1.0</v>
      </c>
      <c r="Q131" s="19">
        <v>1.0</v>
      </c>
      <c r="R131" s="19">
        <v>3.0</v>
      </c>
      <c r="S131" s="19">
        <v>4.0</v>
      </c>
      <c r="T131" s="19">
        <v>0.0</v>
      </c>
      <c r="U131" s="19">
        <v>2.0</v>
      </c>
      <c r="V131" s="19">
        <v>0.0</v>
      </c>
      <c r="W131" s="19">
        <v>3.0</v>
      </c>
      <c r="X131" s="19">
        <v>0.0</v>
      </c>
      <c r="Y131" s="19">
        <v>3.0</v>
      </c>
      <c r="Z131" s="19">
        <v>3.0</v>
      </c>
      <c r="AA131" s="19">
        <v>0.0</v>
      </c>
      <c r="AB131" s="19">
        <v>0.0</v>
      </c>
      <c r="AC131" s="19">
        <v>0.0</v>
      </c>
      <c r="AD131" s="19">
        <v>0.0</v>
      </c>
      <c r="AE131" s="19">
        <v>1.0</v>
      </c>
      <c r="AF131" s="19">
        <v>1.0</v>
      </c>
      <c r="AG131" s="19">
        <v>0.0</v>
      </c>
      <c r="AH131" s="19">
        <v>0.0</v>
      </c>
      <c r="AI131" s="19">
        <v>0.0</v>
      </c>
      <c r="AJ131" s="19">
        <v>3.0</v>
      </c>
      <c r="AK131" s="19">
        <v>0.0</v>
      </c>
      <c r="AL131" s="19">
        <v>0.0</v>
      </c>
      <c r="AM131" s="19">
        <v>0.0</v>
      </c>
      <c r="AN131" s="19">
        <v>0.0</v>
      </c>
      <c r="AO131" s="19">
        <v>1.0</v>
      </c>
      <c r="AP131" s="19">
        <v>1.0</v>
      </c>
      <c r="AQ131" s="19">
        <v>0.0</v>
      </c>
      <c r="AR131" s="19">
        <v>0.0</v>
      </c>
      <c r="AS131" s="19">
        <v>1.0</v>
      </c>
      <c r="AT131" s="19">
        <v>0.0</v>
      </c>
      <c r="AU131" s="19">
        <v>0.0</v>
      </c>
      <c r="AV131" s="19">
        <v>0.0</v>
      </c>
      <c r="AW131" s="19">
        <v>0.0</v>
      </c>
      <c r="AX131" s="19"/>
      <c r="AY131" s="13">
        <f t="shared" si="26"/>
        <v>35</v>
      </c>
      <c r="AZ131" s="52"/>
      <c r="BA131" s="52"/>
    </row>
    <row r="132" ht="12.75" customHeight="1">
      <c r="A132" s="18"/>
      <c r="B132" s="55">
        <v>3.0</v>
      </c>
      <c r="C132" s="50" t="s">
        <v>99</v>
      </c>
      <c r="D132" s="56"/>
      <c r="E132" s="19">
        <v>1.0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1.0</v>
      </c>
      <c r="R132" s="19">
        <v>1.0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1.0</v>
      </c>
      <c r="Z132" s="19">
        <v>1.0</v>
      </c>
      <c r="AA132" s="19">
        <v>0.0</v>
      </c>
      <c r="AB132" s="19">
        <v>0.0</v>
      </c>
      <c r="AC132" s="19">
        <v>1.0</v>
      </c>
      <c r="AD132" s="19">
        <v>0.0</v>
      </c>
      <c r="AE132" s="19">
        <v>0.0</v>
      </c>
      <c r="AF132" s="19">
        <v>0.0</v>
      </c>
      <c r="AG132" s="19">
        <v>0.0</v>
      </c>
      <c r="AH132" s="19">
        <v>0.0</v>
      </c>
      <c r="AI132" s="19">
        <v>0.0</v>
      </c>
      <c r="AJ132" s="19">
        <v>0.0</v>
      </c>
      <c r="AK132" s="19">
        <v>0.0</v>
      </c>
      <c r="AL132" s="19">
        <v>0.0</v>
      </c>
      <c r="AM132" s="19">
        <v>0.0</v>
      </c>
      <c r="AN132" s="19">
        <v>0.0</v>
      </c>
      <c r="AO132" s="19">
        <v>0.0</v>
      </c>
      <c r="AP132" s="19">
        <v>0.0</v>
      </c>
      <c r="AQ132" s="19">
        <v>0.0</v>
      </c>
      <c r="AR132" s="19">
        <v>0.0</v>
      </c>
      <c r="AS132" s="19">
        <v>0.0</v>
      </c>
      <c r="AT132" s="19">
        <v>0.0</v>
      </c>
      <c r="AU132" s="19">
        <v>0.0</v>
      </c>
      <c r="AV132" s="19">
        <v>0.0</v>
      </c>
      <c r="AW132" s="19">
        <v>0.0</v>
      </c>
      <c r="AX132" s="19"/>
      <c r="AY132" s="13">
        <f t="shared" si="26"/>
        <v>6</v>
      </c>
      <c r="AZ132" s="5"/>
      <c r="BA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1.0</v>
      </c>
      <c r="T133" s="19">
        <v>0.0</v>
      </c>
      <c r="U133" s="19">
        <v>0.0</v>
      </c>
      <c r="V133" s="19">
        <v>0.0</v>
      </c>
      <c r="W133" s="19">
        <v>1.0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1.0</v>
      </c>
      <c r="AH133" s="19">
        <v>0.0</v>
      </c>
      <c r="AI133" s="19">
        <v>0.0</v>
      </c>
      <c r="AJ133" s="19">
        <v>0.0</v>
      </c>
      <c r="AK133" s="19">
        <v>0.0</v>
      </c>
      <c r="AL133" s="19">
        <v>0.0</v>
      </c>
      <c r="AM133" s="19">
        <v>0.0</v>
      </c>
      <c r="AN133" s="19">
        <v>0.0</v>
      </c>
      <c r="AO133" s="19">
        <v>0.0</v>
      </c>
      <c r="AP133" s="19">
        <v>0.0</v>
      </c>
      <c r="AQ133" s="19">
        <v>0.0</v>
      </c>
      <c r="AR133" s="19">
        <v>0.0</v>
      </c>
      <c r="AS133" s="19">
        <v>0.0</v>
      </c>
      <c r="AT133" s="19">
        <v>0.0</v>
      </c>
      <c r="AU133" s="19">
        <v>0.0</v>
      </c>
      <c r="AV133" s="19">
        <v>0.0</v>
      </c>
      <c r="AW133" s="19">
        <v>0.0</v>
      </c>
      <c r="AX133" s="19"/>
      <c r="AY133" s="13">
        <f t="shared" si="26"/>
        <v>3</v>
      </c>
      <c r="AZ133" s="5"/>
      <c r="BA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1.0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1.0</v>
      </c>
      <c r="AG134" s="19">
        <v>0.0</v>
      </c>
      <c r="AH134" s="19">
        <v>0.0</v>
      </c>
      <c r="AI134" s="19">
        <v>0.0</v>
      </c>
      <c r="AJ134" s="19">
        <v>0.0</v>
      </c>
      <c r="AK134" s="19">
        <v>0.0</v>
      </c>
      <c r="AL134" s="19">
        <v>0.0</v>
      </c>
      <c r="AM134" s="19">
        <v>0.0</v>
      </c>
      <c r="AN134" s="19">
        <v>0.0</v>
      </c>
      <c r="AO134" s="19">
        <v>0.0</v>
      </c>
      <c r="AP134" s="19">
        <v>0.0</v>
      </c>
      <c r="AQ134" s="19">
        <v>0.0</v>
      </c>
      <c r="AR134" s="19">
        <v>0.0</v>
      </c>
      <c r="AS134" s="19">
        <v>0.0</v>
      </c>
      <c r="AT134" s="19">
        <v>0.0</v>
      </c>
      <c r="AU134" s="19">
        <v>0.0</v>
      </c>
      <c r="AV134" s="19">
        <v>0.0</v>
      </c>
      <c r="AW134" s="19">
        <v>0.0</v>
      </c>
      <c r="AX134" s="19"/>
      <c r="AY134" s="13">
        <f t="shared" si="26"/>
        <v>2</v>
      </c>
      <c r="AZ134" s="5"/>
      <c r="BA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2.0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9">
        <v>0.0</v>
      </c>
      <c r="AL135" s="19">
        <v>0.0</v>
      </c>
      <c r="AM135" s="19">
        <v>0.0</v>
      </c>
      <c r="AN135" s="19">
        <v>0.0</v>
      </c>
      <c r="AO135" s="19">
        <v>0.0</v>
      </c>
      <c r="AP135" s="19">
        <v>0.0</v>
      </c>
      <c r="AQ135" s="19">
        <v>0.0</v>
      </c>
      <c r="AR135" s="19">
        <v>0.0</v>
      </c>
      <c r="AS135" s="19">
        <v>0.0</v>
      </c>
      <c r="AT135" s="19">
        <v>0.0</v>
      </c>
      <c r="AU135" s="19">
        <v>0.0</v>
      </c>
      <c r="AV135" s="19">
        <v>0.0</v>
      </c>
      <c r="AW135" s="19">
        <v>0.0</v>
      </c>
      <c r="AX135" s="19"/>
      <c r="AY135" s="13">
        <f t="shared" si="26"/>
        <v>2</v>
      </c>
      <c r="AZ135" s="5"/>
      <c r="BA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1.0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9">
        <v>0.0</v>
      </c>
      <c r="AK136" s="19">
        <v>0.0</v>
      </c>
      <c r="AL136" s="19">
        <v>0.0</v>
      </c>
      <c r="AM136" s="19">
        <v>0.0</v>
      </c>
      <c r="AN136" s="19">
        <v>0.0</v>
      </c>
      <c r="AO136" s="19">
        <v>0.0</v>
      </c>
      <c r="AP136" s="19">
        <v>0.0</v>
      </c>
      <c r="AQ136" s="19">
        <v>0.0</v>
      </c>
      <c r="AR136" s="19">
        <v>0.0</v>
      </c>
      <c r="AS136" s="19">
        <v>0.0</v>
      </c>
      <c r="AT136" s="19">
        <v>0.0</v>
      </c>
      <c r="AU136" s="19">
        <v>0.0</v>
      </c>
      <c r="AV136" s="19">
        <v>0.0</v>
      </c>
      <c r="AW136" s="19">
        <v>0.0</v>
      </c>
      <c r="AX136" s="19"/>
      <c r="AY136" s="13">
        <f t="shared" si="26"/>
        <v>1</v>
      </c>
      <c r="AZ136" s="5"/>
      <c r="BA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3">
        <f t="shared" si="26"/>
        <v>0</v>
      </c>
      <c r="AZ137" s="5"/>
      <c r="BA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3">
        <f t="shared" si="26"/>
        <v>0</v>
      </c>
      <c r="AZ138" s="5"/>
      <c r="BA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Y139" si="27">SUM(E129:E138)</f>
        <v>2</v>
      </c>
      <c r="F139" s="13">
        <f t="shared" si="27"/>
        <v>1</v>
      </c>
      <c r="G139" s="13">
        <f t="shared" si="27"/>
        <v>0</v>
      </c>
      <c r="H139" s="13">
        <f t="shared" si="27"/>
        <v>0</v>
      </c>
      <c r="I139" s="13">
        <f t="shared" si="27"/>
        <v>0</v>
      </c>
      <c r="J139" s="13">
        <f t="shared" si="27"/>
        <v>2</v>
      </c>
      <c r="K139" s="13">
        <f t="shared" si="27"/>
        <v>1</v>
      </c>
      <c r="L139" s="13">
        <f t="shared" si="27"/>
        <v>1</v>
      </c>
      <c r="M139" s="13">
        <f t="shared" si="27"/>
        <v>6</v>
      </c>
      <c r="N139" s="13">
        <f t="shared" si="27"/>
        <v>4</v>
      </c>
      <c r="O139" s="13">
        <f t="shared" si="27"/>
        <v>0</v>
      </c>
      <c r="P139" s="13">
        <f t="shared" si="27"/>
        <v>1</v>
      </c>
      <c r="Q139" s="13">
        <f t="shared" si="27"/>
        <v>4</v>
      </c>
      <c r="R139" s="13">
        <f t="shared" si="27"/>
        <v>6</v>
      </c>
      <c r="S139" s="13">
        <f t="shared" si="27"/>
        <v>9</v>
      </c>
      <c r="T139" s="13">
        <f t="shared" si="27"/>
        <v>0</v>
      </c>
      <c r="U139" s="13">
        <f t="shared" si="27"/>
        <v>2</v>
      </c>
      <c r="V139" s="13">
        <f t="shared" si="27"/>
        <v>2</v>
      </c>
      <c r="W139" s="13">
        <f t="shared" si="27"/>
        <v>9</v>
      </c>
      <c r="X139" s="13">
        <f t="shared" si="27"/>
        <v>3</v>
      </c>
      <c r="Y139" s="13">
        <f t="shared" si="27"/>
        <v>12</v>
      </c>
      <c r="Z139" s="13">
        <f t="shared" si="27"/>
        <v>7</v>
      </c>
      <c r="AA139" s="13">
        <f t="shared" si="27"/>
        <v>1</v>
      </c>
      <c r="AB139" s="13">
        <f t="shared" si="27"/>
        <v>0</v>
      </c>
      <c r="AC139" s="13">
        <f t="shared" si="27"/>
        <v>4</v>
      </c>
      <c r="AD139" s="13">
        <f t="shared" si="27"/>
        <v>0</v>
      </c>
      <c r="AE139" s="13">
        <f t="shared" si="27"/>
        <v>3</v>
      </c>
      <c r="AF139" s="13">
        <f t="shared" si="27"/>
        <v>2</v>
      </c>
      <c r="AG139" s="13">
        <f t="shared" si="27"/>
        <v>2</v>
      </c>
      <c r="AH139" s="13">
        <f t="shared" si="27"/>
        <v>1</v>
      </c>
      <c r="AI139" s="13">
        <f t="shared" si="27"/>
        <v>0</v>
      </c>
      <c r="AJ139" s="13">
        <f t="shared" si="27"/>
        <v>6</v>
      </c>
      <c r="AK139" s="13">
        <f t="shared" si="27"/>
        <v>2</v>
      </c>
      <c r="AL139" s="13">
        <f t="shared" si="27"/>
        <v>0</v>
      </c>
      <c r="AM139" s="13">
        <f t="shared" si="27"/>
        <v>0</v>
      </c>
      <c r="AN139" s="13">
        <f t="shared" si="27"/>
        <v>0</v>
      </c>
      <c r="AO139" s="13">
        <f t="shared" si="27"/>
        <v>2</v>
      </c>
      <c r="AP139" s="13">
        <f t="shared" si="27"/>
        <v>1</v>
      </c>
      <c r="AQ139" s="13">
        <f t="shared" si="27"/>
        <v>0</v>
      </c>
      <c r="AR139" s="13">
        <f t="shared" si="27"/>
        <v>2</v>
      </c>
      <c r="AS139" s="13">
        <f t="shared" si="27"/>
        <v>6</v>
      </c>
      <c r="AT139" s="13">
        <f t="shared" si="27"/>
        <v>0</v>
      </c>
      <c r="AU139" s="13">
        <f t="shared" si="27"/>
        <v>1</v>
      </c>
      <c r="AV139" s="13">
        <f t="shared" si="27"/>
        <v>0</v>
      </c>
      <c r="AW139" s="13">
        <f t="shared" si="27"/>
        <v>0</v>
      </c>
      <c r="AX139" s="13">
        <f t="shared" si="27"/>
        <v>0</v>
      </c>
      <c r="AY139" s="13">
        <f t="shared" si="27"/>
        <v>105</v>
      </c>
      <c r="AZ139" s="5"/>
      <c r="BA139" s="5"/>
    </row>
    <row r="140" ht="12.75" customHeight="1">
      <c r="A140" s="24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6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75"/>
      <c r="AK140" s="75"/>
      <c r="AL140" s="75"/>
      <c r="AM140" s="75"/>
      <c r="AN140" s="75"/>
      <c r="AO140" s="75"/>
      <c r="AP140" s="75"/>
      <c r="AQ140" s="75"/>
      <c r="AR140" s="75"/>
      <c r="AS140" s="75"/>
      <c r="AT140" s="75"/>
      <c r="AU140" s="75"/>
      <c r="AV140" s="75"/>
      <c r="AW140" s="75"/>
      <c r="AX140" s="75"/>
      <c r="AY140" s="13">
        <f t="shared" ref="AY140:AY150" si="28">SUM(E140:AX140)</f>
        <v>0</v>
      </c>
      <c r="AZ140" s="5"/>
      <c r="BA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1.0</v>
      </c>
      <c r="H141" s="19">
        <v>0.0</v>
      </c>
      <c r="I141" s="19">
        <v>0.0</v>
      </c>
      <c r="J141" s="19">
        <v>0.0</v>
      </c>
      <c r="K141" s="19">
        <v>0.0</v>
      </c>
      <c r="L141" s="19">
        <v>1.0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1.0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1.0</v>
      </c>
      <c r="AH141" s="19">
        <v>0.0</v>
      </c>
      <c r="AI141" s="19">
        <v>0.0</v>
      </c>
      <c r="AJ141" s="19">
        <v>0.0</v>
      </c>
      <c r="AK141" s="19">
        <v>0.0</v>
      </c>
      <c r="AL141" s="19">
        <v>0.0</v>
      </c>
      <c r="AM141" s="19">
        <v>1.0</v>
      </c>
      <c r="AN141" s="19">
        <v>0.0</v>
      </c>
      <c r="AO141" s="19">
        <v>0.0</v>
      </c>
      <c r="AP141" s="19">
        <v>0.0</v>
      </c>
      <c r="AQ141" s="19">
        <v>0.0</v>
      </c>
      <c r="AR141" s="19">
        <v>0.0</v>
      </c>
      <c r="AS141" s="19">
        <v>0.0</v>
      </c>
      <c r="AT141" s="19">
        <v>0.0</v>
      </c>
      <c r="AU141" s="19">
        <v>0.0</v>
      </c>
      <c r="AV141" s="19">
        <v>0.0</v>
      </c>
      <c r="AW141" s="19">
        <v>0.0</v>
      </c>
      <c r="AX141" s="19"/>
      <c r="AY141" s="13">
        <f t="shared" si="28"/>
        <v>5</v>
      </c>
      <c r="AZ141" s="1"/>
      <c r="BA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0.0</v>
      </c>
      <c r="AJ142" s="19">
        <v>0.0</v>
      </c>
      <c r="AK142" s="19">
        <v>0.0</v>
      </c>
      <c r="AL142" s="19">
        <v>0.0</v>
      </c>
      <c r="AM142" s="19">
        <v>0.0</v>
      </c>
      <c r="AN142" s="19">
        <v>0.0</v>
      </c>
      <c r="AO142" s="19">
        <v>0.0</v>
      </c>
      <c r="AP142" s="19">
        <v>0.0</v>
      </c>
      <c r="AQ142" s="19">
        <v>0.0</v>
      </c>
      <c r="AR142" s="19">
        <v>0.0</v>
      </c>
      <c r="AS142" s="19">
        <v>0.0</v>
      </c>
      <c r="AT142" s="19">
        <v>1.0</v>
      </c>
      <c r="AU142" s="19">
        <v>0.0</v>
      </c>
      <c r="AV142" s="19">
        <v>0.0</v>
      </c>
      <c r="AW142" s="19">
        <v>0.0</v>
      </c>
      <c r="AX142" s="19"/>
      <c r="AY142" s="13">
        <f t="shared" si="28"/>
        <v>1</v>
      </c>
      <c r="AZ142" s="52"/>
      <c r="BA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1.0</v>
      </c>
      <c r="AH143" s="19">
        <v>0.0</v>
      </c>
      <c r="AI143" s="19">
        <v>0.0</v>
      </c>
      <c r="AJ143" s="19">
        <v>0.0</v>
      </c>
      <c r="AK143" s="19">
        <v>0.0</v>
      </c>
      <c r="AL143" s="19">
        <v>0.0</v>
      </c>
      <c r="AM143" s="19">
        <v>0.0</v>
      </c>
      <c r="AN143" s="19">
        <v>0.0</v>
      </c>
      <c r="AO143" s="19">
        <v>0.0</v>
      </c>
      <c r="AP143" s="19">
        <v>1.0</v>
      </c>
      <c r="AQ143" s="19">
        <v>0.0</v>
      </c>
      <c r="AR143" s="19">
        <v>0.0</v>
      </c>
      <c r="AS143" s="19">
        <v>0.0</v>
      </c>
      <c r="AT143" s="19">
        <v>0.0</v>
      </c>
      <c r="AU143" s="19">
        <v>0.0</v>
      </c>
      <c r="AV143" s="19">
        <v>0.0</v>
      </c>
      <c r="AW143" s="19">
        <v>0.0</v>
      </c>
      <c r="AX143" s="19"/>
      <c r="AY143" s="13">
        <f t="shared" si="28"/>
        <v>2</v>
      </c>
      <c r="AZ143" s="5"/>
      <c r="BA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1.0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9">
        <v>0.0</v>
      </c>
      <c r="AL144" s="19">
        <v>0.0</v>
      </c>
      <c r="AM144" s="19">
        <v>0.0</v>
      </c>
      <c r="AN144" s="19">
        <v>0.0</v>
      </c>
      <c r="AO144" s="19">
        <v>0.0</v>
      </c>
      <c r="AP144" s="19">
        <v>0.0</v>
      </c>
      <c r="AQ144" s="19">
        <v>0.0</v>
      </c>
      <c r="AR144" s="19">
        <v>0.0</v>
      </c>
      <c r="AS144" s="19">
        <v>0.0</v>
      </c>
      <c r="AT144" s="19">
        <v>0.0</v>
      </c>
      <c r="AU144" s="19">
        <v>0.0</v>
      </c>
      <c r="AV144" s="19">
        <v>0.0</v>
      </c>
      <c r="AW144" s="19">
        <v>0.0</v>
      </c>
      <c r="AX144" s="19"/>
      <c r="AY144" s="13">
        <f t="shared" si="28"/>
        <v>1</v>
      </c>
      <c r="AZ144" s="5"/>
      <c r="BA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9">
        <v>0.0</v>
      </c>
      <c r="AL145" s="19">
        <v>0.0</v>
      </c>
      <c r="AM145" s="19">
        <v>0.0</v>
      </c>
      <c r="AN145" s="19">
        <v>0.0</v>
      </c>
      <c r="AO145" s="19">
        <v>0.0</v>
      </c>
      <c r="AP145" s="19">
        <v>0.0</v>
      </c>
      <c r="AQ145" s="19">
        <v>0.0</v>
      </c>
      <c r="AR145" s="19">
        <v>0.0</v>
      </c>
      <c r="AS145" s="19">
        <v>0.0</v>
      </c>
      <c r="AT145" s="19">
        <v>0.0</v>
      </c>
      <c r="AU145" s="19">
        <v>0.0</v>
      </c>
      <c r="AV145" s="19">
        <v>0.0</v>
      </c>
      <c r="AW145" s="19">
        <v>0.0</v>
      </c>
      <c r="AX145" s="19"/>
      <c r="AY145" s="13">
        <f t="shared" si="28"/>
        <v>0</v>
      </c>
      <c r="AZ145" s="5"/>
      <c r="BA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1.0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>
        <v>0.0</v>
      </c>
      <c r="AJ146" s="19">
        <v>0.0</v>
      </c>
      <c r="AK146" s="19">
        <v>0.0</v>
      </c>
      <c r="AL146" s="19">
        <v>0.0</v>
      </c>
      <c r="AM146" s="19">
        <v>0.0</v>
      </c>
      <c r="AN146" s="19">
        <v>0.0</v>
      </c>
      <c r="AO146" s="19">
        <v>0.0</v>
      </c>
      <c r="AP146" s="19">
        <v>0.0</v>
      </c>
      <c r="AQ146" s="19">
        <v>0.0</v>
      </c>
      <c r="AR146" s="19">
        <v>0.0</v>
      </c>
      <c r="AS146" s="19">
        <v>0.0</v>
      </c>
      <c r="AT146" s="19">
        <v>0.0</v>
      </c>
      <c r="AU146" s="19">
        <v>0.0</v>
      </c>
      <c r="AV146" s="19">
        <v>0.0</v>
      </c>
      <c r="AW146" s="19">
        <v>0.0</v>
      </c>
      <c r="AX146" s="19"/>
      <c r="AY146" s="13">
        <f t="shared" si="28"/>
        <v>1</v>
      </c>
      <c r="AZ146" s="5"/>
      <c r="BA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>
        <v>0.0</v>
      </c>
      <c r="AJ147" s="19">
        <v>0.0</v>
      </c>
      <c r="AK147" s="19">
        <v>0.0</v>
      </c>
      <c r="AL147" s="19">
        <v>0.0</v>
      </c>
      <c r="AM147" s="19">
        <v>0.0</v>
      </c>
      <c r="AN147" s="19">
        <v>0.0</v>
      </c>
      <c r="AO147" s="19">
        <v>0.0</v>
      </c>
      <c r="AP147" s="19">
        <v>0.0</v>
      </c>
      <c r="AQ147" s="19">
        <v>0.0</v>
      </c>
      <c r="AR147" s="19">
        <v>0.0</v>
      </c>
      <c r="AS147" s="19">
        <v>0.0</v>
      </c>
      <c r="AT147" s="19">
        <v>0.0</v>
      </c>
      <c r="AU147" s="19">
        <v>0.0</v>
      </c>
      <c r="AV147" s="19">
        <v>0.0</v>
      </c>
      <c r="AW147" s="19">
        <v>0.0</v>
      </c>
      <c r="AX147" s="19"/>
      <c r="AY147" s="13">
        <f t="shared" si="28"/>
        <v>0</v>
      </c>
      <c r="AZ147" s="5"/>
      <c r="BA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0.0</v>
      </c>
      <c r="AK148" s="19">
        <v>0.0</v>
      </c>
      <c r="AL148" s="19">
        <v>0.0</v>
      </c>
      <c r="AM148" s="19">
        <v>0.0</v>
      </c>
      <c r="AN148" s="19">
        <v>0.0</v>
      </c>
      <c r="AO148" s="19">
        <v>0.0</v>
      </c>
      <c r="AP148" s="19">
        <v>0.0</v>
      </c>
      <c r="AQ148" s="19">
        <v>0.0</v>
      </c>
      <c r="AR148" s="19">
        <v>0.0</v>
      </c>
      <c r="AS148" s="19">
        <v>0.0</v>
      </c>
      <c r="AT148" s="19">
        <v>0.0</v>
      </c>
      <c r="AU148" s="19">
        <v>0.0</v>
      </c>
      <c r="AV148" s="19">
        <v>0.0</v>
      </c>
      <c r="AW148" s="19">
        <v>0.0</v>
      </c>
      <c r="AX148" s="19"/>
      <c r="AY148" s="13">
        <f t="shared" si="28"/>
        <v>0</v>
      </c>
      <c r="AZ148" s="5"/>
      <c r="BA148" s="5"/>
    </row>
    <row r="149" ht="12.75" customHeight="1">
      <c r="A149" s="18"/>
      <c r="B149" s="71"/>
      <c r="C149" s="72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3">
        <f t="shared" si="28"/>
        <v>0</v>
      </c>
      <c r="AZ149" s="5"/>
      <c r="BA149" s="5"/>
    </row>
    <row r="150" ht="12.75" customHeight="1">
      <c r="A150" s="18"/>
      <c r="B150" s="71"/>
      <c r="C150" s="72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3">
        <f t="shared" si="28"/>
        <v>0</v>
      </c>
      <c r="AZ150" s="5"/>
      <c r="BA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Y151" si="29">SUM(E141:E150)</f>
        <v>0</v>
      </c>
      <c r="F151" s="13">
        <f t="shared" si="29"/>
        <v>0</v>
      </c>
      <c r="G151" s="13">
        <f t="shared" si="29"/>
        <v>1</v>
      </c>
      <c r="H151" s="13">
        <f t="shared" si="29"/>
        <v>0</v>
      </c>
      <c r="I151" s="13">
        <f t="shared" si="29"/>
        <v>0</v>
      </c>
      <c r="J151" s="13">
        <f t="shared" si="29"/>
        <v>0</v>
      </c>
      <c r="K151" s="13">
        <f t="shared" si="29"/>
        <v>0</v>
      </c>
      <c r="L151" s="13">
        <f t="shared" si="29"/>
        <v>1</v>
      </c>
      <c r="M151" s="13">
        <f t="shared" si="29"/>
        <v>1</v>
      </c>
      <c r="N151" s="13">
        <f t="shared" si="29"/>
        <v>0</v>
      </c>
      <c r="O151" s="13">
        <f t="shared" si="29"/>
        <v>0</v>
      </c>
      <c r="P151" s="13">
        <f t="shared" si="29"/>
        <v>0</v>
      </c>
      <c r="Q151" s="13">
        <f t="shared" si="29"/>
        <v>0</v>
      </c>
      <c r="R151" s="13">
        <f t="shared" si="29"/>
        <v>0</v>
      </c>
      <c r="S151" s="13">
        <f t="shared" si="29"/>
        <v>0</v>
      </c>
      <c r="T151" s="13">
        <f t="shared" si="29"/>
        <v>0</v>
      </c>
      <c r="U151" s="13">
        <f t="shared" si="29"/>
        <v>0</v>
      </c>
      <c r="V151" s="13">
        <f t="shared" si="29"/>
        <v>0</v>
      </c>
      <c r="W151" s="13">
        <f t="shared" si="29"/>
        <v>0</v>
      </c>
      <c r="X151" s="13">
        <f t="shared" si="29"/>
        <v>1</v>
      </c>
      <c r="Y151" s="13">
        <f t="shared" si="29"/>
        <v>0</v>
      </c>
      <c r="Z151" s="13">
        <f t="shared" si="29"/>
        <v>0</v>
      </c>
      <c r="AA151" s="13">
        <f t="shared" si="29"/>
        <v>1</v>
      </c>
      <c r="AB151" s="13">
        <f t="shared" si="29"/>
        <v>0</v>
      </c>
      <c r="AC151" s="13">
        <f t="shared" si="29"/>
        <v>0</v>
      </c>
      <c r="AD151" s="13">
        <f t="shared" si="29"/>
        <v>0</v>
      </c>
      <c r="AE151" s="13">
        <f t="shared" si="29"/>
        <v>0</v>
      </c>
      <c r="AF151" s="13">
        <f t="shared" si="29"/>
        <v>0</v>
      </c>
      <c r="AG151" s="13">
        <f t="shared" si="29"/>
        <v>2</v>
      </c>
      <c r="AH151" s="13">
        <f t="shared" si="29"/>
        <v>0</v>
      </c>
      <c r="AI151" s="13">
        <f t="shared" si="29"/>
        <v>0</v>
      </c>
      <c r="AJ151" s="13">
        <f t="shared" si="29"/>
        <v>0</v>
      </c>
      <c r="AK151" s="13">
        <f t="shared" si="29"/>
        <v>0</v>
      </c>
      <c r="AL151" s="13">
        <f t="shared" si="29"/>
        <v>0</v>
      </c>
      <c r="AM151" s="13">
        <f t="shared" si="29"/>
        <v>1</v>
      </c>
      <c r="AN151" s="13">
        <f t="shared" si="29"/>
        <v>0</v>
      </c>
      <c r="AO151" s="13">
        <f t="shared" si="29"/>
        <v>0</v>
      </c>
      <c r="AP151" s="13">
        <f t="shared" si="29"/>
        <v>1</v>
      </c>
      <c r="AQ151" s="13">
        <f t="shared" si="29"/>
        <v>0</v>
      </c>
      <c r="AR151" s="13">
        <f t="shared" si="29"/>
        <v>0</v>
      </c>
      <c r="AS151" s="13">
        <f t="shared" si="29"/>
        <v>0</v>
      </c>
      <c r="AT151" s="13">
        <f t="shared" si="29"/>
        <v>1</v>
      </c>
      <c r="AU151" s="13">
        <f t="shared" si="29"/>
        <v>0</v>
      </c>
      <c r="AV151" s="13">
        <f t="shared" si="29"/>
        <v>0</v>
      </c>
      <c r="AW151" s="13">
        <f t="shared" si="29"/>
        <v>0</v>
      </c>
      <c r="AX151" s="13">
        <f t="shared" si="29"/>
        <v>0</v>
      </c>
      <c r="AY151" s="13">
        <f t="shared" si="29"/>
        <v>10</v>
      </c>
      <c r="AZ151" s="1"/>
      <c r="BA151" s="1"/>
    </row>
    <row r="152" ht="12.75" customHeight="1">
      <c r="A152" s="24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6"/>
      <c r="X152" s="75"/>
      <c r="Y152" s="75"/>
      <c r="Z152" s="75"/>
      <c r="AA152" s="75"/>
      <c r="AB152" s="75"/>
      <c r="AC152" s="75"/>
      <c r="AD152" s="75"/>
      <c r="AE152" s="75"/>
      <c r="AF152" s="75"/>
      <c r="AG152" s="75"/>
      <c r="AH152" s="75"/>
      <c r="AI152" s="75"/>
      <c r="AJ152" s="75"/>
      <c r="AK152" s="75"/>
      <c r="AL152" s="75"/>
      <c r="AM152" s="75"/>
      <c r="AN152" s="75"/>
      <c r="AO152" s="75"/>
      <c r="AP152" s="75"/>
      <c r="AQ152" s="75"/>
      <c r="AR152" s="75"/>
      <c r="AS152" s="75"/>
      <c r="AT152" s="75"/>
      <c r="AU152" s="75"/>
      <c r="AV152" s="75"/>
      <c r="AW152" s="75"/>
      <c r="AX152" s="75"/>
      <c r="AY152" s="13">
        <f t="shared" ref="AY152:AY162" si="30">SUM(E152:AX152)</f>
        <v>0</v>
      </c>
      <c r="AZ152" s="52"/>
      <c r="BA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1.0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1.0</v>
      </c>
      <c r="V153" s="19">
        <v>1.0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1.0</v>
      </c>
      <c r="AG153" s="19">
        <v>0.0</v>
      </c>
      <c r="AH153" s="19">
        <v>0.0</v>
      </c>
      <c r="AI153" s="19">
        <v>0.0</v>
      </c>
      <c r="AJ153" s="19">
        <v>0.0</v>
      </c>
      <c r="AK153" s="19">
        <v>1.0</v>
      </c>
      <c r="AL153" s="19">
        <v>0.0</v>
      </c>
      <c r="AM153" s="19">
        <v>0.0</v>
      </c>
      <c r="AN153" s="19">
        <v>0.0</v>
      </c>
      <c r="AO153" s="19">
        <v>0.0</v>
      </c>
      <c r="AP153" s="19">
        <v>0.0</v>
      </c>
      <c r="AQ153" s="19">
        <v>0.0</v>
      </c>
      <c r="AR153" s="19">
        <v>1.0</v>
      </c>
      <c r="AS153" s="19">
        <v>0.0</v>
      </c>
      <c r="AT153" s="19">
        <v>0.0</v>
      </c>
      <c r="AU153" s="19">
        <v>0.0</v>
      </c>
      <c r="AV153" s="19">
        <v>0.0</v>
      </c>
      <c r="AW153" s="19">
        <v>0.0</v>
      </c>
      <c r="AX153" s="19"/>
      <c r="AY153" s="13">
        <f t="shared" si="30"/>
        <v>6</v>
      </c>
      <c r="AZ153" s="5"/>
      <c r="BA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1.0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1.0</v>
      </c>
      <c r="O154" s="19">
        <v>0.0</v>
      </c>
      <c r="P154" s="19">
        <v>0.0</v>
      </c>
      <c r="Q154" s="19">
        <v>1.0</v>
      </c>
      <c r="R154" s="19">
        <v>1.0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1.0</v>
      </c>
      <c r="AE154" s="19">
        <v>0.0</v>
      </c>
      <c r="AF154" s="19">
        <v>0.0</v>
      </c>
      <c r="AG154" s="19">
        <v>0.0</v>
      </c>
      <c r="AH154" s="19">
        <v>2.0</v>
      </c>
      <c r="AI154" s="19">
        <v>0.0</v>
      </c>
      <c r="AJ154" s="19">
        <v>0.0</v>
      </c>
      <c r="AK154" s="19">
        <v>0.0</v>
      </c>
      <c r="AL154" s="19">
        <v>0.0</v>
      </c>
      <c r="AM154" s="19">
        <v>0.0</v>
      </c>
      <c r="AN154" s="19">
        <v>0.0</v>
      </c>
      <c r="AO154" s="19">
        <v>0.0</v>
      </c>
      <c r="AP154" s="19">
        <v>0.0</v>
      </c>
      <c r="AQ154" s="19">
        <v>0.0</v>
      </c>
      <c r="AR154" s="19">
        <v>1.0</v>
      </c>
      <c r="AS154" s="19">
        <v>1.0</v>
      </c>
      <c r="AT154" s="19">
        <v>0.0</v>
      </c>
      <c r="AU154" s="19">
        <v>0.0</v>
      </c>
      <c r="AV154" s="19">
        <v>0.0</v>
      </c>
      <c r="AW154" s="19">
        <v>0.0</v>
      </c>
      <c r="AX154" s="19"/>
      <c r="AY154" s="13">
        <f t="shared" si="30"/>
        <v>9</v>
      </c>
      <c r="AZ154" s="5"/>
      <c r="BA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1.0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4.0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1.0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0.0</v>
      </c>
      <c r="AG155" s="19">
        <v>0.0</v>
      </c>
      <c r="AH155" s="19">
        <v>0.0</v>
      </c>
      <c r="AI155" s="19">
        <v>1.0</v>
      </c>
      <c r="AJ155" s="19">
        <v>0.0</v>
      </c>
      <c r="AK155" s="19">
        <v>0.0</v>
      </c>
      <c r="AL155" s="19">
        <v>0.0</v>
      </c>
      <c r="AM155" s="19">
        <v>0.0</v>
      </c>
      <c r="AN155" s="19">
        <v>0.0</v>
      </c>
      <c r="AO155" s="19">
        <v>0.0</v>
      </c>
      <c r="AP155" s="19">
        <v>1.0</v>
      </c>
      <c r="AQ155" s="19">
        <v>0.0</v>
      </c>
      <c r="AR155" s="19">
        <v>0.0</v>
      </c>
      <c r="AS155" s="19">
        <v>0.0</v>
      </c>
      <c r="AT155" s="19">
        <v>0.0</v>
      </c>
      <c r="AU155" s="19">
        <v>0.0</v>
      </c>
      <c r="AV155" s="19">
        <v>0.0</v>
      </c>
      <c r="AW155" s="19">
        <v>1.0</v>
      </c>
      <c r="AX155" s="19"/>
      <c r="AY155" s="13">
        <f t="shared" si="30"/>
        <v>9</v>
      </c>
      <c r="AZ155" s="5"/>
      <c r="BA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1.0</v>
      </c>
      <c r="AB156" s="19">
        <v>0.0</v>
      </c>
      <c r="AC156" s="19">
        <v>0.0</v>
      </c>
      <c r="AD156" s="19">
        <v>1.0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9">
        <v>0.0</v>
      </c>
      <c r="AL156" s="19">
        <v>0.0</v>
      </c>
      <c r="AM156" s="19">
        <v>0.0</v>
      </c>
      <c r="AN156" s="19">
        <v>0.0</v>
      </c>
      <c r="AO156" s="19">
        <v>0.0</v>
      </c>
      <c r="AP156" s="19">
        <v>0.0</v>
      </c>
      <c r="AQ156" s="19">
        <v>0.0</v>
      </c>
      <c r="AR156" s="19">
        <v>0.0</v>
      </c>
      <c r="AS156" s="19">
        <v>1.0</v>
      </c>
      <c r="AT156" s="19">
        <v>0.0</v>
      </c>
      <c r="AU156" s="19">
        <v>0.0</v>
      </c>
      <c r="AV156" s="19">
        <v>0.0</v>
      </c>
      <c r="AW156" s="19">
        <v>1.0</v>
      </c>
      <c r="AX156" s="19"/>
      <c r="AY156" s="13">
        <f t="shared" si="30"/>
        <v>4</v>
      </c>
      <c r="AZ156" s="5"/>
      <c r="BA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0.0</v>
      </c>
      <c r="AI157" s="19">
        <v>1.0</v>
      </c>
      <c r="AJ157" s="19">
        <v>0.0</v>
      </c>
      <c r="AK157" s="19">
        <v>0.0</v>
      </c>
      <c r="AL157" s="19">
        <v>0.0</v>
      </c>
      <c r="AM157" s="19">
        <v>0.0</v>
      </c>
      <c r="AN157" s="19">
        <v>0.0</v>
      </c>
      <c r="AO157" s="19">
        <v>0.0</v>
      </c>
      <c r="AP157" s="19">
        <v>0.0</v>
      </c>
      <c r="AQ157" s="19">
        <v>0.0</v>
      </c>
      <c r="AR157" s="19">
        <v>0.0</v>
      </c>
      <c r="AS157" s="19">
        <v>0.0</v>
      </c>
      <c r="AT157" s="19">
        <v>0.0</v>
      </c>
      <c r="AU157" s="19">
        <v>0.0</v>
      </c>
      <c r="AV157" s="19">
        <v>0.0</v>
      </c>
      <c r="AW157" s="19">
        <v>0.0</v>
      </c>
      <c r="AX157" s="19"/>
      <c r="AY157" s="13">
        <f t="shared" si="30"/>
        <v>1</v>
      </c>
      <c r="AZ157" s="5"/>
      <c r="BA157" s="5"/>
    </row>
    <row r="158" ht="12.75" customHeight="1">
      <c r="A158" s="18"/>
      <c r="B158" s="71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3">
        <f t="shared" si="30"/>
        <v>0</v>
      </c>
      <c r="AZ158" s="5"/>
      <c r="BA158" s="5"/>
    </row>
    <row r="159" ht="12.75" customHeight="1">
      <c r="A159" s="18"/>
      <c r="B159" s="71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3">
        <f t="shared" si="30"/>
        <v>0</v>
      </c>
      <c r="AZ159" s="5"/>
      <c r="BA159" s="5"/>
    </row>
    <row r="160" ht="12.75" customHeight="1">
      <c r="A160" s="18"/>
      <c r="B160" s="71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3">
        <f t="shared" si="30"/>
        <v>0</v>
      </c>
      <c r="AZ160" s="5"/>
      <c r="BA160" s="5"/>
    </row>
    <row r="161" ht="12.75" customHeight="1">
      <c r="A161" s="18"/>
      <c r="B161" s="71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3">
        <f t="shared" si="30"/>
        <v>0</v>
      </c>
      <c r="AZ161" s="5"/>
      <c r="BA161" s="5"/>
    </row>
    <row r="162" ht="12.75" customHeight="1">
      <c r="A162" s="18"/>
      <c r="B162" s="71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3">
        <f t="shared" si="30"/>
        <v>0</v>
      </c>
      <c r="AZ162" s="5"/>
      <c r="BA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AY163" si="31">SUM(E153:E162)</f>
        <v>0</v>
      </c>
      <c r="F163" s="13">
        <f t="shared" si="31"/>
        <v>1</v>
      </c>
      <c r="G163" s="13">
        <f t="shared" si="31"/>
        <v>2</v>
      </c>
      <c r="H163" s="13">
        <f t="shared" si="31"/>
        <v>0</v>
      </c>
      <c r="I163" s="13">
        <f t="shared" si="31"/>
        <v>0</v>
      </c>
      <c r="J163" s="13">
        <f t="shared" si="31"/>
        <v>0</v>
      </c>
      <c r="K163" s="13">
        <f t="shared" si="31"/>
        <v>0</v>
      </c>
      <c r="L163" s="13">
        <f t="shared" si="31"/>
        <v>0</v>
      </c>
      <c r="M163" s="13">
        <f t="shared" si="31"/>
        <v>4</v>
      </c>
      <c r="N163" s="13">
        <f t="shared" si="31"/>
        <v>1</v>
      </c>
      <c r="O163" s="13">
        <f t="shared" si="31"/>
        <v>0</v>
      </c>
      <c r="P163" s="13">
        <f t="shared" si="31"/>
        <v>0</v>
      </c>
      <c r="Q163" s="13">
        <f t="shared" si="31"/>
        <v>1</v>
      </c>
      <c r="R163" s="13">
        <f t="shared" si="31"/>
        <v>1</v>
      </c>
      <c r="S163" s="13">
        <f t="shared" si="31"/>
        <v>0</v>
      </c>
      <c r="T163" s="13">
        <f t="shared" si="31"/>
        <v>1</v>
      </c>
      <c r="U163" s="13">
        <f t="shared" si="31"/>
        <v>1</v>
      </c>
      <c r="V163" s="13">
        <f t="shared" si="31"/>
        <v>1</v>
      </c>
      <c r="W163" s="13">
        <f t="shared" si="31"/>
        <v>0</v>
      </c>
      <c r="X163" s="13">
        <f t="shared" si="31"/>
        <v>0</v>
      </c>
      <c r="Y163" s="13">
        <f t="shared" si="31"/>
        <v>0</v>
      </c>
      <c r="Z163" s="13">
        <f t="shared" si="31"/>
        <v>0</v>
      </c>
      <c r="AA163" s="13">
        <f t="shared" si="31"/>
        <v>1</v>
      </c>
      <c r="AB163" s="13">
        <f t="shared" si="31"/>
        <v>0</v>
      </c>
      <c r="AC163" s="13">
        <f t="shared" si="31"/>
        <v>0</v>
      </c>
      <c r="AD163" s="13">
        <f t="shared" si="31"/>
        <v>2</v>
      </c>
      <c r="AE163" s="13">
        <f t="shared" si="31"/>
        <v>0</v>
      </c>
      <c r="AF163" s="13">
        <f t="shared" si="31"/>
        <v>1</v>
      </c>
      <c r="AG163" s="13">
        <f t="shared" si="31"/>
        <v>0</v>
      </c>
      <c r="AH163" s="13">
        <f t="shared" si="31"/>
        <v>2</v>
      </c>
      <c r="AI163" s="13">
        <f t="shared" si="31"/>
        <v>2</v>
      </c>
      <c r="AJ163" s="13">
        <f t="shared" si="31"/>
        <v>0</v>
      </c>
      <c r="AK163" s="13">
        <f t="shared" si="31"/>
        <v>1</v>
      </c>
      <c r="AL163" s="13">
        <f t="shared" si="31"/>
        <v>0</v>
      </c>
      <c r="AM163" s="13">
        <f t="shared" si="31"/>
        <v>0</v>
      </c>
      <c r="AN163" s="13">
        <f t="shared" si="31"/>
        <v>0</v>
      </c>
      <c r="AO163" s="13">
        <f t="shared" si="31"/>
        <v>0</v>
      </c>
      <c r="AP163" s="13">
        <f t="shared" si="31"/>
        <v>1</v>
      </c>
      <c r="AQ163" s="13">
        <f t="shared" si="31"/>
        <v>0</v>
      </c>
      <c r="AR163" s="13">
        <f t="shared" si="31"/>
        <v>2</v>
      </c>
      <c r="AS163" s="13">
        <f t="shared" si="31"/>
        <v>2</v>
      </c>
      <c r="AT163" s="13">
        <f t="shared" si="31"/>
        <v>0</v>
      </c>
      <c r="AU163" s="13">
        <f t="shared" si="31"/>
        <v>0</v>
      </c>
      <c r="AV163" s="13">
        <f t="shared" si="31"/>
        <v>0</v>
      </c>
      <c r="AW163" s="13">
        <f t="shared" si="31"/>
        <v>2</v>
      </c>
      <c r="AX163" s="13">
        <f t="shared" si="31"/>
        <v>0</v>
      </c>
      <c r="AY163" s="13">
        <f t="shared" si="31"/>
        <v>29</v>
      </c>
      <c r="AZ163" s="5"/>
      <c r="BA163" s="5"/>
    </row>
    <row r="164" ht="12.75" customHeight="1">
      <c r="A164" s="24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6"/>
      <c r="X164" s="75"/>
      <c r="Y164" s="75"/>
      <c r="Z164" s="75"/>
      <c r="AA164" s="75"/>
      <c r="AB164" s="75"/>
      <c r="AC164" s="75"/>
      <c r="AD164" s="75"/>
      <c r="AE164" s="75"/>
      <c r="AF164" s="75"/>
      <c r="AG164" s="75"/>
      <c r="AH164" s="75"/>
      <c r="AI164" s="75"/>
      <c r="AJ164" s="75"/>
      <c r="AK164" s="75"/>
      <c r="AL164" s="75"/>
      <c r="AM164" s="75"/>
      <c r="AN164" s="75"/>
      <c r="AO164" s="75"/>
      <c r="AP164" s="75"/>
      <c r="AQ164" s="75"/>
      <c r="AR164" s="75"/>
      <c r="AS164" s="75"/>
      <c r="AT164" s="75"/>
      <c r="AU164" s="75"/>
      <c r="AV164" s="75"/>
      <c r="AW164" s="75"/>
      <c r="AX164" s="75"/>
      <c r="AY164" s="13">
        <f t="shared" ref="AY164:AY174" si="32">SUM(E164:AX164)</f>
        <v>0</v>
      </c>
      <c r="AZ164" s="5"/>
      <c r="BA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2.0</v>
      </c>
      <c r="I165" s="19">
        <v>1.0</v>
      </c>
      <c r="J165" s="19">
        <v>2.0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1.0</v>
      </c>
      <c r="T165" s="19">
        <v>1.0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19">
        <v>1.0</v>
      </c>
      <c r="AG165" s="19">
        <v>1.0</v>
      </c>
      <c r="AH165" s="19">
        <v>1.0</v>
      </c>
      <c r="AI165" s="19">
        <v>0.0</v>
      </c>
      <c r="AJ165" s="19">
        <v>1.0</v>
      </c>
      <c r="AK165" s="19">
        <v>0.0</v>
      </c>
      <c r="AL165" s="19">
        <v>0.0</v>
      </c>
      <c r="AM165" s="19">
        <v>0.0</v>
      </c>
      <c r="AN165" s="19">
        <v>0.0</v>
      </c>
      <c r="AO165" s="19">
        <v>0.0</v>
      </c>
      <c r="AP165" s="19">
        <v>0.0</v>
      </c>
      <c r="AQ165" s="19">
        <v>0.0</v>
      </c>
      <c r="AR165" s="19">
        <v>2.0</v>
      </c>
      <c r="AS165" s="19">
        <v>1.0</v>
      </c>
      <c r="AT165" s="19">
        <v>0.0</v>
      </c>
      <c r="AU165" s="19">
        <v>0.0</v>
      </c>
      <c r="AV165" s="19">
        <v>0.0</v>
      </c>
      <c r="AW165" s="19">
        <v>1.0</v>
      </c>
      <c r="AX165" s="19"/>
      <c r="AY165" s="13">
        <f t="shared" si="32"/>
        <v>15</v>
      </c>
      <c r="AZ165" s="1"/>
      <c r="BA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1.0</v>
      </c>
      <c r="H166" s="19">
        <v>0.0</v>
      </c>
      <c r="I166" s="19">
        <v>1.0</v>
      </c>
      <c r="J166" s="19">
        <v>0.0</v>
      </c>
      <c r="K166" s="19">
        <v>0.0</v>
      </c>
      <c r="L166" s="19">
        <v>1.0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1.0</v>
      </c>
      <c r="AC166" s="19">
        <v>0.0</v>
      </c>
      <c r="AD166" s="19">
        <v>0.0</v>
      </c>
      <c r="AE166" s="19">
        <v>0.0</v>
      </c>
      <c r="AF166" s="19">
        <v>0.0</v>
      </c>
      <c r="AG166" s="19">
        <v>0.0</v>
      </c>
      <c r="AH166" s="19">
        <v>0.0</v>
      </c>
      <c r="AI166" s="19">
        <v>0.0</v>
      </c>
      <c r="AJ166" s="19">
        <v>0.0</v>
      </c>
      <c r="AK166" s="19">
        <v>0.0</v>
      </c>
      <c r="AL166" s="19">
        <v>0.0</v>
      </c>
      <c r="AM166" s="19">
        <v>0.0</v>
      </c>
      <c r="AN166" s="19">
        <v>0.0</v>
      </c>
      <c r="AO166" s="19">
        <v>0.0</v>
      </c>
      <c r="AP166" s="19">
        <v>0.0</v>
      </c>
      <c r="AQ166" s="19">
        <v>0.0</v>
      </c>
      <c r="AR166" s="19">
        <v>2.0</v>
      </c>
      <c r="AS166" s="19">
        <v>0.0</v>
      </c>
      <c r="AT166" s="19">
        <v>0.0</v>
      </c>
      <c r="AU166" s="19">
        <v>0.0</v>
      </c>
      <c r="AV166" s="19">
        <v>0.0</v>
      </c>
      <c r="AW166" s="19">
        <v>0.0</v>
      </c>
      <c r="AX166" s="19">
        <v>1.0</v>
      </c>
      <c r="AY166" s="13">
        <f t="shared" si="32"/>
        <v>7</v>
      </c>
      <c r="AZ166" s="52"/>
      <c r="BA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1.0</v>
      </c>
      <c r="AH167" s="19">
        <v>0.0</v>
      </c>
      <c r="AI167" s="19">
        <v>0.0</v>
      </c>
      <c r="AJ167" s="19">
        <v>0.0</v>
      </c>
      <c r="AK167" s="19">
        <v>0.0</v>
      </c>
      <c r="AL167" s="19">
        <v>0.0</v>
      </c>
      <c r="AM167" s="19">
        <v>2.0</v>
      </c>
      <c r="AN167" s="19">
        <v>0.0</v>
      </c>
      <c r="AO167" s="19">
        <v>0.0</v>
      </c>
      <c r="AP167" s="19">
        <v>0.0</v>
      </c>
      <c r="AQ167" s="19">
        <v>0.0</v>
      </c>
      <c r="AR167" s="19">
        <v>0.0</v>
      </c>
      <c r="AS167" s="19">
        <v>0.0</v>
      </c>
      <c r="AT167" s="19">
        <v>0.0</v>
      </c>
      <c r="AU167" s="19">
        <v>0.0</v>
      </c>
      <c r="AV167" s="19">
        <v>0.0</v>
      </c>
      <c r="AW167" s="19">
        <v>0.0</v>
      </c>
      <c r="AX167" s="19"/>
      <c r="AY167" s="13">
        <f t="shared" si="32"/>
        <v>3</v>
      </c>
      <c r="AZ167" s="5"/>
      <c r="BA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1.0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0.0</v>
      </c>
      <c r="AH168" s="19">
        <v>0.0</v>
      </c>
      <c r="AI168" s="19">
        <v>0.0</v>
      </c>
      <c r="AJ168" s="19">
        <v>0.0</v>
      </c>
      <c r="AK168" s="19">
        <v>0.0</v>
      </c>
      <c r="AL168" s="19">
        <v>0.0</v>
      </c>
      <c r="AM168" s="19">
        <v>1.0</v>
      </c>
      <c r="AN168" s="19">
        <v>0.0</v>
      </c>
      <c r="AO168" s="19">
        <v>0.0</v>
      </c>
      <c r="AP168" s="19">
        <v>0.0</v>
      </c>
      <c r="AQ168" s="19">
        <v>1.0</v>
      </c>
      <c r="AR168" s="19">
        <v>1.0</v>
      </c>
      <c r="AS168" s="19">
        <v>0.0</v>
      </c>
      <c r="AT168" s="19">
        <v>0.0</v>
      </c>
      <c r="AU168" s="19">
        <v>0.0</v>
      </c>
      <c r="AV168" s="19">
        <v>0.0</v>
      </c>
      <c r="AW168" s="19">
        <v>0.0</v>
      </c>
      <c r="AX168" s="19"/>
      <c r="AY168" s="13">
        <f t="shared" si="32"/>
        <v>4</v>
      </c>
      <c r="AZ168" s="5"/>
      <c r="BA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1.0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0.0</v>
      </c>
      <c r="AI169" s="19">
        <v>0.0</v>
      </c>
      <c r="AJ169" s="19">
        <v>0.0</v>
      </c>
      <c r="AK169" s="19">
        <v>0.0</v>
      </c>
      <c r="AL169" s="19">
        <v>0.0</v>
      </c>
      <c r="AM169" s="19">
        <v>0.0</v>
      </c>
      <c r="AN169" s="19">
        <v>0.0</v>
      </c>
      <c r="AO169" s="19">
        <v>0.0</v>
      </c>
      <c r="AP169" s="19">
        <v>0.0</v>
      </c>
      <c r="AQ169" s="19">
        <v>0.0</v>
      </c>
      <c r="AR169" s="19">
        <v>1.0</v>
      </c>
      <c r="AS169" s="19">
        <v>0.0</v>
      </c>
      <c r="AT169" s="19">
        <v>0.0</v>
      </c>
      <c r="AU169" s="19">
        <v>0.0</v>
      </c>
      <c r="AV169" s="19">
        <v>0.0</v>
      </c>
      <c r="AW169" s="19">
        <v>0.0</v>
      </c>
      <c r="AX169" s="19"/>
      <c r="AY169" s="13">
        <f t="shared" si="32"/>
        <v>2</v>
      </c>
      <c r="AZ169" s="5"/>
      <c r="BA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0.0</v>
      </c>
      <c r="AJ170" s="19">
        <v>0.0</v>
      </c>
      <c r="AK170" s="19">
        <v>0.0</v>
      </c>
      <c r="AL170" s="19">
        <v>0.0</v>
      </c>
      <c r="AM170" s="19">
        <v>1.0</v>
      </c>
      <c r="AN170" s="19">
        <v>0.0</v>
      </c>
      <c r="AO170" s="19">
        <v>0.0</v>
      </c>
      <c r="AP170" s="19">
        <v>1.0</v>
      </c>
      <c r="AQ170" s="19">
        <v>0.0</v>
      </c>
      <c r="AR170" s="19">
        <v>0.0</v>
      </c>
      <c r="AS170" s="19">
        <v>0.0</v>
      </c>
      <c r="AT170" s="19">
        <v>0.0</v>
      </c>
      <c r="AU170" s="19">
        <v>0.0</v>
      </c>
      <c r="AV170" s="19">
        <v>0.0</v>
      </c>
      <c r="AW170" s="19">
        <v>0.0</v>
      </c>
      <c r="AX170" s="19"/>
      <c r="AY170" s="13">
        <f t="shared" si="32"/>
        <v>2</v>
      </c>
      <c r="AZ170" s="5"/>
      <c r="BA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9">
        <v>0.0</v>
      </c>
      <c r="AL171" s="19">
        <v>0.0</v>
      </c>
      <c r="AM171" s="19">
        <v>0.0</v>
      </c>
      <c r="AN171" s="19">
        <v>0.0</v>
      </c>
      <c r="AO171" s="19">
        <v>0.0</v>
      </c>
      <c r="AP171" s="19">
        <v>0.0</v>
      </c>
      <c r="AQ171" s="19">
        <v>0.0</v>
      </c>
      <c r="AR171" s="19">
        <v>0.0</v>
      </c>
      <c r="AS171" s="19">
        <v>0.0</v>
      </c>
      <c r="AT171" s="19">
        <v>0.0</v>
      </c>
      <c r="AU171" s="19">
        <v>0.0</v>
      </c>
      <c r="AV171" s="19">
        <v>0.0</v>
      </c>
      <c r="AW171" s="19">
        <v>0.0</v>
      </c>
      <c r="AX171" s="19"/>
      <c r="AY171" s="13">
        <f t="shared" si="32"/>
        <v>0</v>
      </c>
      <c r="AZ171" s="5"/>
      <c r="BA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1.0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1.0</v>
      </c>
      <c r="AJ172" s="19">
        <v>0.0</v>
      </c>
      <c r="AK172" s="19">
        <v>0.0</v>
      </c>
      <c r="AL172" s="19">
        <v>0.0</v>
      </c>
      <c r="AM172" s="19">
        <v>0.0</v>
      </c>
      <c r="AN172" s="19">
        <v>0.0</v>
      </c>
      <c r="AO172" s="19">
        <v>0.0</v>
      </c>
      <c r="AP172" s="19">
        <v>0.0</v>
      </c>
      <c r="AQ172" s="19">
        <v>1.0</v>
      </c>
      <c r="AR172" s="19">
        <v>0.0</v>
      </c>
      <c r="AS172" s="19">
        <v>0.0</v>
      </c>
      <c r="AT172" s="19">
        <v>0.0</v>
      </c>
      <c r="AU172" s="19">
        <v>0.0</v>
      </c>
      <c r="AV172" s="19">
        <v>0.0</v>
      </c>
      <c r="AW172" s="19">
        <v>0.0</v>
      </c>
      <c r="AX172" s="19"/>
      <c r="AY172" s="13">
        <f t="shared" si="32"/>
        <v>3</v>
      </c>
      <c r="AZ172" s="5"/>
      <c r="BA172" s="5"/>
    </row>
    <row r="173" ht="12.75" customHeight="1">
      <c r="A173" s="18"/>
      <c r="B173" s="71"/>
      <c r="C173" s="72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3">
        <f t="shared" si="32"/>
        <v>0</v>
      </c>
      <c r="AZ173" s="5"/>
      <c r="BA173" s="5"/>
    </row>
    <row r="174" ht="12.75" customHeight="1">
      <c r="A174" s="18"/>
      <c r="B174" s="71"/>
      <c r="C174" s="72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3">
        <f t="shared" si="32"/>
        <v>0</v>
      </c>
      <c r="AZ174" s="5"/>
      <c r="BA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Y175" si="33">SUM(E165:E174)</f>
        <v>0</v>
      </c>
      <c r="F175" s="13">
        <f t="shared" si="33"/>
        <v>0</v>
      </c>
      <c r="G175" s="13">
        <f t="shared" si="33"/>
        <v>1</v>
      </c>
      <c r="H175" s="13">
        <f t="shared" si="33"/>
        <v>2</v>
      </c>
      <c r="I175" s="13">
        <f t="shared" si="33"/>
        <v>2</v>
      </c>
      <c r="J175" s="13">
        <f t="shared" si="33"/>
        <v>2</v>
      </c>
      <c r="K175" s="13">
        <f t="shared" si="33"/>
        <v>0</v>
      </c>
      <c r="L175" s="13">
        <f t="shared" si="33"/>
        <v>1</v>
      </c>
      <c r="M175" s="13">
        <f t="shared" si="33"/>
        <v>0</v>
      </c>
      <c r="N175" s="13">
        <f t="shared" si="33"/>
        <v>0</v>
      </c>
      <c r="O175" s="13">
        <f t="shared" si="33"/>
        <v>0</v>
      </c>
      <c r="P175" s="13">
        <f t="shared" si="33"/>
        <v>1</v>
      </c>
      <c r="Q175" s="13">
        <f t="shared" si="33"/>
        <v>0</v>
      </c>
      <c r="R175" s="13">
        <f t="shared" si="33"/>
        <v>0</v>
      </c>
      <c r="S175" s="13">
        <f t="shared" si="33"/>
        <v>2</v>
      </c>
      <c r="T175" s="13">
        <f t="shared" si="33"/>
        <v>1</v>
      </c>
      <c r="U175" s="13">
        <f t="shared" si="33"/>
        <v>0</v>
      </c>
      <c r="V175" s="13">
        <f t="shared" si="33"/>
        <v>0</v>
      </c>
      <c r="W175" s="13">
        <f t="shared" si="33"/>
        <v>0</v>
      </c>
      <c r="X175" s="13">
        <f t="shared" si="33"/>
        <v>0</v>
      </c>
      <c r="Y175" s="13">
        <f t="shared" si="33"/>
        <v>0</v>
      </c>
      <c r="Z175" s="13">
        <f t="shared" si="33"/>
        <v>1</v>
      </c>
      <c r="AA175" s="13">
        <f t="shared" si="33"/>
        <v>0</v>
      </c>
      <c r="AB175" s="13">
        <f t="shared" si="33"/>
        <v>1</v>
      </c>
      <c r="AC175" s="13">
        <f t="shared" si="33"/>
        <v>0</v>
      </c>
      <c r="AD175" s="13">
        <f t="shared" si="33"/>
        <v>0</v>
      </c>
      <c r="AE175" s="13">
        <f t="shared" si="33"/>
        <v>0</v>
      </c>
      <c r="AF175" s="13">
        <f t="shared" si="33"/>
        <v>1</v>
      </c>
      <c r="AG175" s="13">
        <f t="shared" si="33"/>
        <v>2</v>
      </c>
      <c r="AH175" s="13">
        <f t="shared" si="33"/>
        <v>1</v>
      </c>
      <c r="AI175" s="13">
        <f t="shared" si="33"/>
        <v>1</v>
      </c>
      <c r="AJ175" s="13">
        <f t="shared" si="33"/>
        <v>1</v>
      </c>
      <c r="AK175" s="13">
        <f t="shared" si="33"/>
        <v>0</v>
      </c>
      <c r="AL175" s="13">
        <f t="shared" si="33"/>
        <v>0</v>
      </c>
      <c r="AM175" s="13">
        <f t="shared" si="33"/>
        <v>4</v>
      </c>
      <c r="AN175" s="13">
        <f t="shared" si="33"/>
        <v>0</v>
      </c>
      <c r="AO175" s="13">
        <f t="shared" si="33"/>
        <v>0</v>
      </c>
      <c r="AP175" s="13">
        <f t="shared" si="33"/>
        <v>1</v>
      </c>
      <c r="AQ175" s="13">
        <f t="shared" si="33"/>
        <v>2</v>
      </c>
      <c r="AR175" s="13">
        <f t="shared" si="33"/>
        <v>6</v>
      </c>
      <c r="AS175" s="13">
        <f t="shared" si="33"/>
        <v>1</v>
      </c>
      <c r="AT175" s="13">
        <f t="shared" si="33"/>
        <v>0</v>
      </c>
      <c r="AU175" s="13">
        <f t="shared" si="33"/>
        <v>0</v>
      </c>
      <c r="AV175" s="13">
        <f t="shared" si="33"/>
        <v>0</v>
      </c>
      <c r="AW175" s="13">
        <f t="shared" si="33"/>
        <v>1</v>
      </c>
      <c r="AX175" s="13">
        <f t="shared" si="33"/>
        <v>1</v>
      </c>
      <c r="AY175" s="13">
        <f t="shared" si="33"/>
        <v>36</v>
      </c>
      <c r="AZ175" s="5"/>
      <c r="BA175" s="5"/>
    </row>
    <row r="176" ht="12.75" customHeight="1">
      <c r="A176" s="24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6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75"/>
      <c r="AV176" s="75"/>
      <c r="AW176" s="75"/>
      <c r="AX176" s="75"/>
      <c r="AY176" s="13">
        <f t="shared" ref="AY176:AY186" si="34">SUM(E176:AX176)</f>
        <v>0</v>
      </c>
      <c r="AZ176" s="1"/>
      <c r="BA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12.0</v>
      </c>
      <c r="H177" s="19">
        <v>11.0</v>
      </c>
      <c r="I177" s="19">
        <v>1.0</v>
      </c>
      <c r="J177" s="19">
        <v>3.0</v>
      </c>
      <c r="K177" s="19">
        <v>1.0</v>
      </c>
      <c r="L177" s="19">
        <v>1.0</v>
      </c>
      <c r="M177" s="19">
        <v>4.0</v>
      </c>
      <c r="N177" s="19">
        <v>7.0</v>
      </c>
      <c r="O177" s="19">
        <v>1.0</v>
      </c>
      <c r="P177" s="19">
        <v>3.0</v>
      </c>
      <c r="Q177" s="19">
        <v>9.0</v>
      </c>
      <c r="R177" s="19">
        <v>5.0</v>
      </c>
      <c r="S177" s="19">
        <v>0.0</v>
      </c>
      <c r="T177" s="19">
        <v>2.0</v>
      </c>
      <c r="U177" s="19">
        <v>7.0</v>
      </c>
      <c r="V177" s="19">
        <v>1.0</v>
      </c>
      <c r="W177" s="19">
        <v>1.0</v>
      </c>
      <c r="X177" s="19">
        <v>1.0</v>
      </c>
      <c r="Y177" s="19">
        <v>0.0</v>
      </c>
      <c r="Z177" s="19">
        <v>2.0</v>
      </c>
      <c r="AA177" s="19">
        <v>1.0</v>
      </c>
      <c r="AB177" s="19">
        <v>0.0</v>
      </c>
      <c r="AC177" s="19">
        <v>0.0</v>
      </c>
      <c r="AD177" s="19">
        <v>0.0</v>
      </c>
      <c r="AE177" s="19">
        <v>0.0</v>
      </c>
      <c r="AF177" s="19">
        <v>0.0</v>
      </c>
      <c r="AG177" s="19">
        <v>1.0</v>
      </c>
      <c r="AH177" s="19">
        <v>0.0</v>
      </c>
      <c r="AI177" s="19">
        <v>0.0</v>
      </c>
      <c r="AJ177" s="19">
        <v>1.0</v>
      </c>
      <c r="AK177" s="19">
        <v>0.0</v>
      </c>
      <c r="AL177" s="19">
        <v>1.0</v>
      </c>
      <c r="AM177" s="19">
        <v>0.0</v>
      </c>
      <c r="AN177" s="19">
        <v>1.0</v>
      </c>
      <c r="AO177" s="19">
        <v>1.0</v>
      </c>
      <c r="AP177" s="19">
        <v>1.0</v>
      </c>
      <c r="AQ177" s="19">
        <v>1.0</v>
      </c>
      <c r="AR177" s="19">
        <v>1.0</v>
      </c>
      <c r="AS177" s="19">
        <v>0.0</v>
      </c>
      <c r="AT177" s="19">
        <v>2.0</v>
      </c>
      <c r="AU177" s="19">
        <v>0.0</v>
      </c>
      <c r="AV177" s="19">
        <v>1.0</v>
      </c>
      <c r="AW177" s="19">
        <v>0.0</v>
      </c>
      <c r="AX177" s="19">
        <v>0.0</v>
      </c>
      <c r="AY177" s="13">
        <f t="shared" si="34"/>
        <v>84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1.0</v>
      </c>
      <c r="G178" s="19">
        <v>12.0</v>
      </c>
      <c r="H178" s="19">
        <v>3.0</v>
      </c>
      <c r="I178" s="19">
        <v>1.0</v>
      </c>
      <c r="J178" s="19">
        <v>2.0</v>
      </c>
      <c r="K178" s="19">
        <v>1.0</v>
      </c>
      <c r="L178" s="19">
        <v>1.0</v>
      </c>
      <c r="M178" s="19">
        <v>0.0</v>
      </c>
      <c r="N178" s="19">
        <v>1.0</v>
      </c>
      <c r="O178" s="19">
        <v>1.0</v>
      </c>
      <c r="P178" s="19">
        <v>4.0</v>
      </c>
      <c r="Q178" s="19">
        <v>1.0</v>
      </c>
      <c r="R178" s="19">
        <v>2.0</v>
      </c>
      <c r="S178" s="19">
        <v>0.0</v>
      </c>
      <c r="T178" s="19">
        <v>1.0</v>
      </c>
      <c r="U178" s="19">
        <v>4.0</v>
      </c>
      <c r="V178" s="19">
        <v>2.0</v>
      </c>
      <c r="W178" s="19">
        <v>1.0</v>
      </c>
      <c r="X178" s="19">
        <v>2.0</v>
      </c>
      <c r="Y178" s="19">
        <v>0.0</v>
      </c>
      <c r="Z178" s="19">
        <v>0.0</v>
      </c>
      <c r="AA178" s="19">
        <v>0.0</v>
      </c>
      <c r="AB178" s="19">
        <v>1.0</v>
      </c>
      <c r="AC178" s="19">
        <v>0.0</v>
      </c>
      <c r="AD178" s="19">
        <v>0.0</v>
      </c>
      <c r="AE178" s="19">
        <v>1.0</v>
      </c>
      <c r="AF178" s="19">
        <v>1.0</v>
      </c>
      <c r="AG178" s="19">
        <v>0.0</v>
      </c>
      <c r="AH178" s="19">
        <v>0.0</v>
      </c>
      <c r="AI178" s="19">
        <v>0.0</v>
      </c>
      <c r="AJ178" s="19">
        <v>1.0</v>
      </c>
      <c r="AK178" s="19">
        <v>0.0</v>
      </c>
      <c r="AL178" s="19">
        <v>1.0</v>
      </c>
      <c r="AM178" s="19">
        <v>0.0</v>
      </c>
      <c r="AN178" s="19">
        <v>1.0</v>
      </c>
      <c r="AO178" s="19">
        <v>0.0</v>
      </c>
      <c r="AP178" s="19">
        <v>1.0</v>
      </c>
      <c r="AQ178" s="19">
        <v>0.0</v>
      </c>
      <c r="AR178" s="19">
        <v>0.0</v>
      </c>
      <c r="AS178" s="19">
        <v>0.0</v>
      </c>
      <c r="AT178" s="19">
        <v>0.0</v>
      </c>
      <c r="AU178" s="19">
        <v>0.0</v>
      </c>
      <c r="AV178" s="19">
        <v>0.0</v>
      </c>
      <c r="AW178" s="19">
        <v>1.0</v>
      </c>
      <c r="AX178" s="19">
        <v>0.0</v>
      </c>
      <c r="AY178" s="13">
        <f t="shared" si="34"/>
        <v>48</v>
      </c>
      <c r="AZ178" s="5"/>
      <c r="BA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6.0</v>
      </c>
      <c r="H179" s="19">
        <v>0.0</v>
      </c>
      <c r="I179" s="19">
        <v>1.0</v>
      </c>
      <c r="J179" s="19">
        <v>0.0</v>
      </c>
      <c r="K179" s="19">
        <v>0.0</v>
      </c>
      <c r="L179" s="19">
        <v>0.0</v>
      </c>
      <c r="M179" s="19">
        <v>1.0</v>
      </c>
      <c r="N179" s="19">
        <v>0.0</v>
      </c>
      <c r="O179" s="19">
        <v>0.0</v>
      </c>
      <c r="P179" s="19">
        <v>0.0</v>
      </c>
      <c r="Q179" s="19">
        <v>0.0</v>
      </c>
      <c r="R179" s="19">
        <v>1.0</v>
      </c>
      <c r="S179" s="19">
        <v>1.0</v>
      </c>
      <c r="T179" s="19">
        <v>0.0</v>
      </c>
      <c r="U179" s="19">
        <v>2.0</v>
      </c>
      <c r="V179" s="19">
        <v>2.0</v>
      </c>
      <c r="W179" s="19">
        <v>0.0</v>
      </c>
      <c r="X179" s="19">
        <v>0.0</v>
      </c>
      <c r="Y179" s="19">
        <v>0.0</v>
      </c>
      <c r="Z179" s="19">
        <v>0.0</v>
      </c>
      <c r="AA179" s="19">
        <v>1.0</v>
      </c>
      <c r="AB179" s="19">
        <v>0.0</v>
      </c>
      <c r="AC179" s="19">
        <v>0.0</v>
      </c>
      <c r="AD179" s="19">
        <v>0.0</v>
      </c>
      <c r="AE179" s="19">
        <v>1.0</v>
      </c>
      <c r="AF179" s="19">
        <v>0.0</v>
      </c>
      <c r="AG179" s="19">
        <v>2.0</v>
      </c>
      <c r="AH179" s="19">
        <v>0.0</v>
      </c>
      <c r="AI179" s="19">
        <v>0.0</v>
      </c>
      <c r="AJ179" s="19">
        <v>0.0</v>
      </c>
      <c r="AK179" s="19">
        <v>0.0</v>
      </c>
      <c r="AL179" s="19">
        <v>0.0</v>
      </c>
      <c r="AM179" s="19">
        <v>2.0</v>
      </c>
      <c r="AN179" s="19">
        <v>0.0</v>
      </c>
      <c r="AO179" s="19">
        <v>1.0</v>
      </c>
      <c r="AP179" s="19">
        <v>0.0</v>
      </c>
      <c r="AQ179" s="19">
        <v>0.0</v>
      </c>
      <c r="AR179" s="19">
        <v>0.0</v>
      </c>
      <c r="AS179" s="19">
        <v>0.0</v>
      </c>
      <c r="AT179" s="19">
        <v>0.0</v>
      </c>
      <c r="AU179" s="19">
        <v>0.0</v>
      </c>
      <c r="AV179" s="19">
        <v>0.0</v>
      </c>
      <c r="AW179" s="19">
        <v>1.0</v>
      </c>
      <c r="AX179" s="19">
        <v>0.0</v>
      </c>
      <c r="AY179" s="13">
        <f t="shared" si="34"/>
        <v>22</v>
      </c>
      <c r="AZ179" s="5"/>
      <c r="BA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1.0</v>
      </c>
      <c r="H180" s="19">
        <v>3.0</v>
      </c>
      <c r="I180" s="19">
        <v>0.0</v>
      </c>
      <c r="J180" s="19">
        <v>0.0</v>
      </c>
      <c r="K180" s="19">
        <v>1.0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1.0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0.0</v>
      </c>
      <c r="Z180" s="19">
        <v>1.0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0.0</v>
      </c>
      <c r="AF180" s="19">
        <v>0.0</v>
      </c>
      <c r="AG180" s="19">
        <v>1.0</v>
      </c>
      <c r="AH180" s="19">
        <v>0.0</v>
      </c>
      <c r="AI180" s="19">
        <v>0.0</v>
      </c>
      <c r="AJ180" s="19">
        <v>0.0</v>
      </c>
      <c r="AK180" s="19">
        <v>0.0</v>
      </c>
      <c r="AL180" s="19">
        <v>0.0</v>
      </c>
      <c r="AM180" s="19">
        <v>1.0</v>
      </c>
      <c r="AN180" s="19">
        <v>0.0</v>
      </c>
      <c r="AO180" s="19">
        <v>0.0</v>
      </c>
      <c r="AP180" s="19">
        <v>0.0</v>
      </c>
      <c r="AQ180" s="19">
        <v>0.0</v>
      </c>
      <c r="AR180" s="19">
        <v>0.0</v>
      </c>
      <c r="AS180" s="19">
        <v>0.0</v>
      </c>
      <c r="AT180" s="19">
        <v>0.0</v>
      </c>
      <c r="AU180" s="19">
        <v>0.0</v>
      </c>
      <c r="AV180" s="19">
        <v>1.0</v>
      </c>
      <c r="AW180" s="19">
        <v>1.0</v>
      </c>
      <c r="AX180" s="19">
        <v>0.0</v>
      </c>
      <c r="AY180" s="13">
        <f t="shared" si="34"/>
        <v>11</v>
      </c>
      <c r="AZ180" s="5"/>
      <c r="BA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1.0</v>
      </c>
      <c r="H181" s="19">
        <v>1.0</v>
      </c>
      <c r="I181" s="19">
        <v>0.0</v>
      </c>
      <c r="J181" s="19">
        <v>1.0</v>
      </c>
      <c r="K181" s="19">
        <v>0.0</v>
      </c>
      <c r="L181" s="19">
        <v>2.0</v>
      </c>
      <c r="M181" s="19">
        <v>0.0</v>
      </c>
      <c r="N181" s="19">
        <v>1.0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1.0</v>
      </c>
      <c r="Z181" s="19">
        <v>0.0</v>
      </c>
      <c r="AA181" s="19">
        <v>0.0</v>
      </c>
      <c r="AB181" s="19">
        <v>0.0</v>
      </c>
      <c r="AC181" s="19">
        <v>1.0</v>
      </c>
      <c r="AD181" s="19">
        <v>0.0</v>
      </c>
      <c r="AE181" s="19">
        <v>2.0</v>
      </c>
      <c r="AF181" s="19">
        <v>0.0</v>
      </c>
      <c r="AG181" s="19">
        <v>0.0</v>
      </c>
      <c r="AH181" s="19">
        <v>1.0</v>
      </c>
      <c r="AI181" s="19">
        <v>0.0</v>
      </c>
      <c r="AJ181" s="19">
        <v>0.0</v>
      </c>
      <c r="AK181" s="19">
        <v>0.0</v>
      </c>
      <c r="AL181" s="19">
        <v>0.0</v>
      </c>
      <c r="AM181" s="19">
        <v>0.0</v>
      </c>
      <c r="AN181" s="19">
        <v>2.0</v>
      </c>
      <c r="AO181" s="19">
        <v>1.0</v>
      </c>
      <c r="AP181" s="19">
        <v>0.0</v>
      </c>
      <c r="AQ181" s="19">
        <v>0.0</v>
      </c>
      <c r="AR181" s="19">
        <v>0.0</v>
      </c>
      <c r="AS181" s="19">
        <v>0.0</v>
      </c>
      <c r="AT181" s="19">
        <v>0.0</v>
      </c>
      <c r="AU181" s="19">
        <v>0.0</v>
      </c>
      <c r="AV181" s="19">
        <v>0.0</v>
      </c>
      <c r="AW181" s="19">
        <v>1.0</v>
      </c>
      <c r="AX181" s="19">
        <v>1.0</v>
      </c>
      <c r="AY181" s="13">
        <f t="shared" si="34"/>
        <v>16</v>
      </c>
      <c r="AZ181" s="5"/>
      <c r="BA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1.0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1.0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9">
        <v>0.0</v>
      </c>
      <c r="AH182" s="19">
        <v>0.0</v>
      </c>
      <c r="AI182" s="19">
        <v>0.0</v>
      </c>
      <c r="AJ182" s="19">
        <v>0.0</v>
      </c>
      <c r="AK182" s="19">
        <v>0.0</v>
      </c>
      <c r="AL182" s="19">
        <v>0.0</v>
      </c>
      <c r="AM182" s="19">
        <v>1.0</v>
      </c>
      <c r="AN182" s="19">
        <v>1.0</v>
      </c>
      <c r="AO182" s="19">
        <v>0.0</v>
      </c>
      <c r="AP182" s="19">
        <v>0.0</v>
      </c>
      <c r="AQ182" s="19">
        <v>0.0</v>
      </c>
      <c r="AR182" s="19">
        <v>0.0</v>
      </c>
      <c r="AS182" s="19">
        <v>1.0</v>
      </c>
      <c r="AT182" s="19">
        <v>0.0</v>
      </c>
      <c r="AU182" s="19">
        <v>0.0</v>
      </c>
      <c r="AV182" s="19">
        <v>0.0</v>
      </c>
      <c r="AW182" s="19">
        <v>1.0</v>
      </c>
      <c r="AX182" s="19">
        <v>0.0</v>
      </c>
      <c r="AY182" s="13">
        <f t="shared" si="34"/>
        <v>6</v>
      </c>
      <c r="AZ182" s="5"/>
      <c r="BA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2.0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1.0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>
        <v>0.0</v>
      </c>
      <c r="AJ183" s="19">
        <v>0.0</v>
      </c>
      <c r="AK183" s="19">
        <v>0.0</v>
      </c>
      <c r="AL183" s="19">
        <v>0.0</v>
      </c>
      <c r="AM183" s="19">
        <v>0.0</v>
      </c>
      <c r="AN183" s="19">
        <v>1.0</v>
      </c>
      <c r="AO183" s="19">
        <v>0.0</v>
      </c>
      <c r="AP183" s="19">
        <v>0.0</v>
      </c>
      <c r="AQ183" s="19">
        <v>0.0</v>
      </c>
      <c r="AR183" s="19">
        <v>0.0</v>
      </c>
      <c r="AS183" s="19">
        <v>0.0</v>
      </c>
      <c r="AT183" s="19">
        <v>0.0</v>
      </c>
      <c r="AU183" s="19">
        <v>0.0</v>
      </c>
      <c r="AV183" s="19">
        <v>0.0</v>
      </c>
      <c r="AW183" s="19">
        <v>0.0</v>
      </c>
      <c r="AX183" s="19">
        <v>0.0</v>
      </c>
      <c r="AY183" s="13">
        <f t="shared" si="34"/>
        <v>4</v>
      </c>
      <c r="AZ183" s="5"/>
      <c r="BA183" s="5"/>
    </row>
    <row r="184" ht="12.75" customHeight="1">
      <c r="A184" s="18"/>
      <c r="B184" s="55">
        <v>7.0</v>
      </c>
      <c r="C184" s="50" t="s">
        <v>136</v>
      </c>
      <c r="D184" s="57"/>
      <c r="E184" s="19">
        <v>1.0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1.0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0.0</v>
      </c>
      <c r="AH184" s="19">
        <v>0.0</v>
      </c>
      <c r="AI184" s="19">
        <v>0.0</v>
      </c>
      <c r="AJ184" s="19">
        <v>1.0</v>
      </c>
      <c r="AK184" s="19">
        <v>0.0</v>
      </c>
      <c r="AL184" s="19">
        <v>0.0</v>
      </c>
      <c r="AM184" s="19">
        <v>0.0</v>
      </c>
      <c r="AN184" s="19">
        <v>1.0</v>
      </c>
      <c r="AO184" s="19">
        <v>0.0</v>
      </c>
      <c r="AP184" s="19">
        <v>1.0</v>
      </c>
      <c r="AQ184" s="19">
        <v>0.0</v>
      </c>
      <c r="AR184" s="19">
        <v>0.0</v>
      </c>
      <c r="AS184" s="19">
        <v>0.0</v>
      </c>
      <c r="AT184" s="19">
        <v>0.0</v>
      </c>
      <c r="AU184" s="19">
        <v>0.0</v>
      </c>
      <c r="AV184" s="19">
        <v>0.0</v>
      </c>
      <c r="AW184" s="19">
        <v>0.0</v>
      </c>
      <c r="AX184" s="19">
        <v>0.0</v>
      </c>
      <c r="AY184" s="13">
        <f t="shared" si="34"/>
        <v>5</v>
      </c>
      <c r="AZ184" s="5"/>
      <c r="BA184" s="5"/>
    </row>
    <row r="185" ht="12.75" customHeight="1">
      <c r="A185" s="18"/>
      <c r="B185" s="71"/>
      <c r="C185" s="72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3">
        <f t="shared" si="34"/>
        <v>0</v>
      </c>
      <c r="AZ185" s="5"/>
      <c r="BA185" s="5"/>
    </row>
    <row r="186" ht="12.75" customHeight="1">
      <c r="A186" s="18"/>
      <c r="B186" s="71"/>
      <c r="C186" s="72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3">
        <f t="shared" si="34"/>
        <v>0</v>
      </c>
      <c r="AZ186" s="5"/>
      <c r="BA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Y187" si="35">SUM(E177:E186)</f>
        <v>1</v>
      </c>
      <c r="F187" s="13">
        <f t="shared" si="35"/>
        <v>1</v>
      </c>
      <c r="G187" s="13">
        <f t="shared" si="35"/>
        <v>34</v>
      </c>
      <c r="H187" s="13">
        <f t="shared" si="35"/>
        <v>18</v>
      </c>
      <c r="I187" s="13">
        <f t="shared" si="35"/>
        <v>3</v>
      </c>
      <c r="J187" s="13">
        <f t="shared" si="35"/>
        <v>6</v>
      </c>
      <c r="K187" s="13">
        <f t="shared" si="35"/>
        <v>3</v>
      </c>
      <c r="L187" s="13">
        <f t="shared" si="35"/>
        <v>5</v>
      </c>
      <c r="M187" s="13">
        <f t="shared" si="35"/>
        <v>5</v>
      </c>
      <c r="N187" s="13">
        <f t="shared" si="35"/>
        <v>9</v>
      </c>
      <c r="O187" s="13">
        <f t="shared" si="35"/>
        <v>2</v>
      </c>
      <c r="P187" s="13">
        <f t="shared" si="35"/>
        <v>7</v>
      </c>
      <c r="Q187" s="13">
        <f t="shared" si="35"/>
        <v>11</v>
      </c>
      <c r="R187" s="13">
        <f t="shared" si="35"/>
        <v>8</v>
      </c>
      <c r="S187" s="13">
        <f t="shared" si="35"/>
        <v>2</v>
      </c>
      <c r="T187" s="13">
        <f t="shared" si="35"/>
        <v>3</v>
      </c>
      <c r="U187" s="13">
        <f t="shared" si="35"/>
        <v>13</v>
      </c>
      <c r="V187" s="13">
        <f t="shared" si="35"/>
        <v>6</v>
      </c>
      <c r="W187" s="13">
        <f t="shared" si="35"/>
        <v>2</v>
      </c>
      <c r="X187" s="13">
        <f t="shared" si="35"/>
        <v>3</v>
      </c>
      <c r="Y187" s="13">
        <f t="shared" si="35"/>
        <v>1</v>
      </c>
      <c r="Z187" s="13">
        <f t="shared" si="35"/>
        <v>3</v>
      </c>
      <c r="AA187" s="13">
        <f t="shared" si="35"/>
        <v>3</v>
      </c>
      <c r="AB187" s="13">
        <f t="shared" si="35"/>
        <v>1</v>
      </c>
      <c r="AC187" s="13">
        <f t="shared" si="35"/>
        <v>1</v>
      </c>
      <c r="AD187" s="13">
        <f t="shared" si="35"/>
        <v>0</v>
      </c>
      <c r="AE187" s="13">
        <f t="shared" si="35"/>
        <v>4</v>
      </c>
      <c r="AF187" s="13">
        <f t="shared" si="35"/>
        <v>1</v>
      </c>
      <c r="AG187" s="13">
        <f t="shared" si="35"/>
        <v>4</v>
      </c>
      <c r="AH187" s="13">
        <f t="shared" si="35"/>
        <v>1</v>
      </c>
      <c r="AI187" s="13">
        <f t="shared" si="35"/>
        <v>0</v>
      </c>
      <c r="AJ187" s="13">
        <f t="shared" si="35"/>
        <v>3</v>
      </c>
      <c r="AK187" s="13">
        <f t="shared" si="35"/>
        <v>0</v>
      </c>
      <c r="AL187" s="13">
        <f t="shared" si="35"/>
        <v>2</v>
      </c>
      <c r="AM187" s="13">
        <f t="shared" si="35"/>
        <v>4</v>
      </c>
      <c r="AN187" s="13">
        <f t="shared" si="35"/>
        <v>7</v>
      </c>
      <c r="AO187" s="13">
        <f t="shared" si="35"/>
        <v>3</v>
      </c>
      <c r="AP187" s="13">
        <f t="shared" si="35"/>
        <v>3</v>
      </c>
      <c r="AQ187" s="13">
        <f t="shared" si="35"/>
        <v>1</v>
      </c>
      <c r="AR187" s="13">
        <f t="shared" si="35"/>
        <v>1</v>
      </c>
      <c r="AS187" s="13">
        <f t="shared" si="35"/>
        <v>1</v>
      </c>
      <c r="AT187" s="13">
        <f t="shared" si="35"/>
        <v>2</v>
      </c>
      <c r="AU187" s="13">
        <f t="shared" si="35"/>
        <v>0</v>
      </c>
      <c r="AV187" s="13">
        <f t="shared" si="35"/>
        <v>2</v>
      </c>
      <c r="AW187" s="13">
        <f t="shared" si="35"/>
        <v>5</v>
      </c>
      <c r="AX187" s="13">
        <f t="shared" si="35"/>
        <v>1</v>
      </c>
      <c r="AY187" s="13">
        <f t="shared" si="35"/>
        <v>196</v>
      </c>
      <c r="AZ187" s="1"/>
      <c r="BA187" s="1"/>
    </row>
    <row r="188" ht="12.75" customHeight="1">
      <c r="A188" s="24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6"/>
      <c r="X188" s="75"/>
      <c r="Y188" s="75"/>
      <c r="Z188" s="75"/>
      <c r="AA188" s="75"/>
      <c r="AB188" s="75"/>
      <c r="AC188" s="75"/>
      <c r="AD188" s="75"/>
      <c r="AE188" s="75"/>
      <c r="AF188" s="75"/>
      <c r="AY188" s="13">
        <f t="shared" ref="AY188:AY198" si="36">SUM(E188:AX188)</f>
        <v>0</v>
      </c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1.0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1.0</v>
      </c>
      <c r="AF189" s="19">
        <v>0.0</v>
      </c>
      <c r="AG189" s="19">
        <v>1.0</v>
      </c>
      <c r="AH189" s="19">
        <v>0.0</v>
      </c>
      <c r="AI189" s="19">
        <v>1.0</v>
      </c>
      <c r="AJ189" s="19">
        <v>0.0</v>
      </c>
      <c r="AK189" s="19">
        <v>0.0</v>
      </c>
      <c r="AL189" s="19">
        <v>0.0</v>
      </c>
      <c r="AM189" s="19">
        <v>0.0</v>
      </c>
      <c r="AN189" s="19">
        <v>0.0</v>
      </c>
      <c r="AO189" s="19">
        <v>0.0</v>
      </c>
      <c r="AP189" s="19">
        <v>0.0</v>
      </c>
      <c r="AQ189" s="19">
        <v>0.0</v>
      </c>
      <c r="AR189" s="19">
        <v>1.0</v>
      </c>
      <c r="AS189" s="19">
        <v>0.0</v>
      </c>
      <c r="AT189" s="19">
        <v>1.0</v>
      </c>
      <c r="AU189" s="19">
        <v>0.0</v>
      </c>
      <c r="AV189" s="19">
        <v>0.0</v>
      </c>
      <c r="AW189" s="19">
        <v>0.0</v>
      </c>
      <c r="AX189" s="19"/>
      <c r="AY189" s="13">
        <f t="shared" si="36"/>
        <v>6</v>
      </c>
      <c r="AZ189" s="5"/>
      <c r="BA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1.0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1.0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0.0</v>
      </c>
      <c r="AI190" s="19">
        <v>0.0</v>
      </c>
      <c r="AJ190" s="19">
        <v>0.0</v>
      </c>
      <c r="AK190" s="19">
        <v>0.0</v>
      </c>
      <c r="AL190" s="19">
        <v>0.0</v>
      </c>
      <c r="AM190" s="19">
        <v>0.0</v>
      </c>
      <c r="AN190" s="19">
        <v>0.0</v>
      </c>
      <c r="AO190" s="19">
        <v>0.0</v>
      </c>
      <c r="AP190" s="19">
        <v>0.0</v>
      </c>
      <c r="AQ190" s="19">
        <v>0.0</v>
      </c>
      <c r="AR190" s="19">
        <v>0.0</v>
      </c>
      <c r="AS190" s="19">
        <v>0.0</v>
      </c>
      <c r="AT190" s="19">
        <v>0.0</v>
      </c>
      <c r="AU190" s="19">
        <v>0.0</v>
      </c>
      <c r="AV190" s="19">
        <v>0.0</v>
      </c>
      <c r="AW190" s="19">
        <v>0.0</v>
      </c>
      <c r="AX190" s="19"/>
      <c r="AY190" s="13">
        <f t="shared" si="36"/>
        <v>2</v>
      </c>
      <c r="AZ190" s="5"/>
      <c r="BA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9">
        <v>0.0</v>
      </c>
      <c r="AI191" s="19">
        <v>0.0</v>
      </c>
      <c r="AJ191" s="19">
        <v>0.0</v>
      </c>
      <c r="AK191" s="19">
        <v>0.0</v>
      </c>
      <c r="AL191" s="19">
        <v>0.0</v>
      </c>
      <c r="AM191" s="19">
        <v>0.0</v>
      </c>
      <c r="AN191" s="19">
        <v>0.0</v>
      </c>
      <c r="AO191" s="19">
        <v>0.0</v>
      </c>
      <c r="AP191" s="19">
        <v>0.0</v>
      </c>
      <c r="AQ191" s="19">
        <v>0.0</v>
      </c>
      <c r="AR191" s="19">
        <v>0.0</v>
      </c>
      <c r="AS191" s="19">
        <v>0.0</v>
      </c>
      <c r="AT191" s="19">
        <v>0.0</v>
      </c>
      <c r="AU191" s="19">
        <v>0.0</v>
      </c>
      <c r="AV191" s="19">
        <v>1.0</v>
      </c>
      <c r="AW191" s="19">
        <v>0.0</v>
      </c>
      <c r="AX191" s="19"/>
      <c r="AY191" s="13">
        <f t="shared" si="36"/>
        <v>1</v>
      </c>
      <c r="AZ191" s="5"/>
      <c r="BA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9">
        <v>0.0</v>
      </c>
      <c r="AK192" s="19">
        <v>0.0</v>
      </c>
      <c r="AL192" s="19">
        <v>1.0</v>
      </c>
      <c r="AM192" s="19">
        <v>0.0</v>
      </c>
      <c r="AN192" s="19">
        <v>0.0</v>
      </c>
      <c r="AO192" s="19">
        <v>0.0</v>
      </c>
      <c r="AP192" s="19">
        <v>0.0</v>
      </c>
      <c r="AQ192" s="19">
        <v>0.0</v>
      </c>
      <c r="AR192" s="19">
        <v>0.0</v>
      </c>
      <c r="AS192" s="19">
        <v>0.0</v>
      </c>
      <c r="AT192" s="19">
        <v>0.0</v>
      </c>
      <c r="AU192" s="19">
        <v>0.0</v>
      </c>
      <c r="AV192" s="19">
        <v>0.0</v>
      </c>
      <c r="AW192" s="19">
        <v>0.0</v>
      </c>
      <c r="AX192" s="19"/>
      <c r="AY192" s="13">
        <f t="shared" si="36"/>
        <v>1</v>
      </c>
      <c r="AZ192" s="5"/>
      <c r="BA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0.0</v>
      </c>
      <c r="AJ193" s="19">
        <v>0.0</v>
      </c>
      <c r="AK193" s="19">
        <v>0.0</v>
      </c>
      <c r="AL193" s="19">
        <v>0.0</v>
      </c>
      <c r="AM193" s="19">
        <v>0.0</v>
      </c>
      <c r="AN193" s="19">
        <v>0.0</v>
      </c>
      <c r="AO193" s="19">
        <v>0.0</v>
      </c>
      <c r="AP193" s="19">
        <v>0.0</v>
      </c>
      <c r="AQ193" s="19">
        <v>0.0</v>
      </c>
      <c r="AR193" s="19">
        <v>0.0</v>
      </c>
      <c r="AS193" s="19">
        <v>0.0</v>
      </c>
      <c r="AT193" s="19">
        <v>0.0</v>
      </c>
      <c r="AU193" s="19">
        <v>0.0</v>
      </c>
      <c r="AV193" s="19">
        <v>0.0</v>
      </c>
      <c r="AW193" s="19">
        <v>0.0</v>
      </c>
      <c r="AX193" s="19"/>
      <c r="AY193" s="13">
        <f t="shared" si="36"/>
        <v>0</v>
      </c>
      <c r="AZ193" s="5"/>
      <c r="BA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9">
        <v>0.0</v>
      </c>
      <c r="AL194" s="19">
        <v>0.0</v>
      </c>
      <c r="AM194" s="19">
        <v>0.0</v>
      </c>
      <c r="AN194" s="19">
        <v>0.0</v>
      </c>
      <c r="AO194" s="19">
        <v>0.0</v>
      </c>
      <c r="AP194" s="19">
        <v>0.0</v>
      </c>
      <c r="AQ194" s="19">
        <v>0.0</v>
      </c>
      <c r="AR194" s="19">
        <v>0.0</v>
      </c>
      <c r="AS194" s="19">
        <v>0.0</v>
      </c>
      <c r="AT194" s="19">
        <v>0.0</v>
      </c>
      <c r="AU194" s="19">
        <v>0.0</v>
      </c>
      <c r="AV194" s="19">
        <v>0.0</v>
      </c>
      <c r="AW194" s="19">
        <v>0.0</v>
      </c>
      <c r="AX194" s="19"/>
      <c r="AY194" s="13">
        <f t="shared" si="36"/>
        <v>0</v>
      </c>
      <c r="AZ194" s="5"/>
      <c r="BA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9">
        <v>0.0</v>
      </c>
      <c r="AK195" s="19">
        <v>0.0</v>
      </c>
      <c r="AL195" s="19">
        <v>0.0</v>
      </c>
      <c r="AM195" s="19">
        <v>0.0</v>
      </c>
      <c r="AN195" s="19">
        <v>0.0</v>
      </c>
      <c r="AO195" s="19">
        <v>0.0</v>
      </c>
      <c r="AP195" s="19">
        <v>0.0</v>
      </c>
      <c r="AQ195" s="19">
        <v>0.0</v>
      </c>
      <c r="AR195" s="19">
        <v>0.0</v>
      </c>
      <c r="AS195" s="19">
        <v>0.0</v>
      </c>
      <c r="AT195" s="19">
        <v>0.0</v>
      </c>
      <c r="AU195" s="19">
        <v>0.0</v>
      </c>
      <c r="AV195" s="19">
        <v>0.0</v>
      </c>
      <c r="AW195" s="19">
        <v>0.0</v>
      </c>
      <c r="AX195" s="19"/>
      <c r="AY195" s="13">
        <f t="shared" si="36"/>
        <v>0</v>
      </c>
      <c r="AZ195" s="5"/>
      <c r="BA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>
        <v>0.0</v>
      </c>
      <c r="AJ196" s="19">
        <v>0.0</v>
      </c>
      <c r="AK196" s="19">
        <v>0.0</v>
      </c>
      <c r="AL196" s="19">
        <v>0.0</v>
      </c>
      <c r="AM196" s="19">
        <v>0.0</v>
      </c>
      <c r="AN196" s="19">
        <v>0.0</v>
      </c>
      <c r="AO196" s="19">
        <v>0.0</v>
      </c>
      <c r="AP196" s="19">
        <v>0.0</v>
      </c>
      <c r="AQ196" s="19">
        <v>0.0</v>
      </c>
      <c r="AR196" s="19">
        <v>0.0</v>
      </c>
      <c r="AS196" s="19">
        <v>0.0</v>
      </c>
      <c r="AT196" s="19">
        <v>1.0</v>
      </c>
      <c r="AU196" s="19">
        <v>0.0</v>
      </c>
      <c r="AV196" s="19">
        <v>0.0</v>
      </c>
      <c r="AW196" s="19">
        <v>0.0</v>
      </c>
      <c r="AX196" s="19"/>
      <c r="AY196" s="13">
        <f t="shared" si="36"/>
        <v>1</v>
      </c>
      <c r="AZ196" s="1"/>
      <c r="BA196" s="1"/>
    </row>
    <row r="197" ht="12.75" customHeight="1">
      <c r="A197" s="18"/>
      <c r="B197" s="71"/>
      <c r="C197" s="72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3">
        <f t="shared" si="36"/>
        <v>0</v>
      </c>
      <c r="AZ197" s="1"/>
      <c r="BA197" s="1"/>
    </row>
    <row r="198" ht="12.75" customHeight="1">
      <c r="A198" s="18"/>
      <c r="B198" s="71"/>
      <c r="C198" s="72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3">
        <f t="shared" si="36"/>
        <v>0</v>
      </c>
      <c r="AZ198" s="1"/>
      <c r="BA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Y199" si="37">SUM(E189:E198)</f>
        <v>1</v>
      </c>
      <c r="F199" s="13">
        <f t="shared" si="37"/>
        <v>0</v>
      </c>
      <c r="G199" s="13">
        <f t="shared" si="37"/>
        <v>0</v>
      </c>
      <c r="H199" s="13">
        <f t="shared" si="37"/>
        <v>0</v>
      </c>
      <c r="I199" s="13">
        <f t="shared" si="37"/>
        <v>0</v>
      </c>
      <c r="J199" s="13">
        <f t="shared" si="37"/>
        <v>0</v>
      </c>
      <c r="K199" s="13">
        <f t="shared" si="37"/>
        <v>0</v>
      </c>
      <c r="L199" s="13">
        <f t="shared" si="37"/>
        <v>1</v>
      </c>
      <c r="M199" s="13">
        <f t="shared" si="37"/>
        <v>0</v>
      </c>
      <c r="N199" s="13">
        <f t="shared" si="37"/>
        <v>0</v>
      </c>
      <c r="O199" s="13">
        <f t="shared" si="37"/>
        <v>0</v>
      </c>
      <c r="P199" s="13">
        <f t="shared" si="37"/>
        <v>0</v>
      </c>
      <c r="Q199" s="13">
        <f t="shared" si="37"/>
        <v>0</v>
      </c>
      <c r="R199" s="13">
        <f t="shared" si="37"/>
        <v>0</v>
      </c>
      <c r="S199" s="13">
        <f t="shared" si="37"/>
        <v>0</v>
      </c>
      <c r="T199" s="13">
        <f t="shared" si="37"/>
        <v>0</v>
      </c>
      <c r="U199" s="13">
        <f t="shared" si="37"/>
        <v>0</v>
      </c>
      <c r="V199" s="13">
        <f t="shared" si="37"/>
        <v>0</v>
      </c>
      <c r="W199" s="13">
        <f t="shared" si="37"/>
        <v>0</v>
      </c>
      <c r="X199" s="13">
        <f t="shared" si="37"/>
        <v>1</v>
      </c>
      <c r="Y199" s="13">
        <f t="shared" si="37"/>
        <v>0</v>
      </c>
      <c r="Z199" s="13">
        <f t="shared" si="37"/>
        <v>0</v>
      </c>
      <c r="AA199" s="13">
        <f t="shared" si="37"/>
        <v>0</v>
      </c>
      <c r="AB199" s="13">
        <f t="shared" si="37"/>
        <v>0</v>
      </c>
      <c r="AC199" s="13">
        <f t="shared" si="37"/>
        <v>0</v>
      </c>
      <c r="AD199" s="13">
        <f t="shared" si="37"/>
        <v>0</v>
      </c>
      <c r="AE199" s="13">
        <f t="shared" si="37"/>
        <v>1</v>
      </c>
      <c r="AF199" s="13">
        <f t="shared" si="37"/>
        <v>0</v>
      </c>
      <c r="AG199" s="13">
        <f t="shared" si="37"/>
        <v>1</v>
      </c>
      <c r="AH199" s="13">
        <f t="shared" si="37"/>
        <v>0</v>
      </c>
      <c r="AI199" s="13">
        <f t="shared" si="37"/>
        <v>1</v>
      </c>
      <c r="AJ199" s="13">
        <f t="shared" si="37"/>
        <v>0</v>
      </c>
      <c r="AK199" s="13">
        <f t="shared" si="37"/>
        <v>0</v>
      </c>
      <c r="AL199" s="13">
        <f t="shared" si="37"/>
        <v>1</v>
      </c>
      <c r="AM199" s="13">
        <f t="shared" si="37"/>
        <v>0</v>
      </c>
      <c r="AN199" s="13">
        <f t="shared" si="37"/>
        <v>0</v>
      </c>
      <c r="AO199" s="13">
        <f t="shared" si="37"/>
        <v>0</v>
      </c>
      <c r="AP199" s="13">
        <f t="shared" si="37"/>
        <v>0</v>
      </c>
      <c r="AQ199" s="13">
        <f t="shared" si="37"/>
        <v>0</v>
      </c>
      <c r="AR199" s="13">
        <f t="shared" si="37"/>
        <v>1</v>
      </c>
      <c r="AS199" s="13">
        <f t="shared" si="37"/>
        <v>0</v>
      </c>
      <c r="AT199" s="13">
        <f t="shared" si="37"/>
        <v>2</v>
      </c>
      <c r="AU199" s="13">
        <f t="shared" si="37"/>
        <v>0</v>
      </c>
      <c r="AV199" s="13">
        <f t="shared" si="37"/>
        <v>1</v>
      </c>
      <c r="AW199" s="13">
        <f t="shared" si="37"/>
        <v>0</v>
      </c>
      <c r="AX199" s="13">
        <f t="shared" si="37"/>
        <v>0</v>
      </c>
      <c r="AY199" s="13">
        <f t="shared" si="37"/>
        <v>11</v>
      </c>
      <c r="AZ199" s="52"/>
      <c r="BA199" s="52"/>
    </row>
    <row r="200" ht="12.75" customHeight="1">
      <c r="A200" s="24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6"/>
      <c r="X200" s="75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75"/>
      <c r="AK200" s="75"/>
      <c r="AL200" s="75"/>
      <c r="AM200" s="75"/>
      <c r="AN200" s="75"/>
      <c r="AO200" s="75"/>
      <c r="AP200" s="75"/>
      <c r="AQ200" s="75"/>
      <c r="AR200" s="75"/>
      <c r="AS200" s="75"/>
      <c r="AT200" s="75"/>
      <c r="AU200" s="75"/>
      <c r="AV200" s="75"/>
      <c r="AW200" s="75"/>
      <c r="AX200" s="75"/>
      <c r="AY200" s="13">
        <f t="shared" ref="AY200:AY210" si="38">SUM(E200:AX200)</f>
        <v>0</v>
      </c>
      <c r="AZ200" s="5"/>
      <c r="BA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2.0</v>
      </c>
      <c r="F201" s="19">
        <v>8.0</v>
      </c>
      <c r="G201" s="19">
        <v>8.0</v>
      </c>
      <c r="H201" s="19">
        <v>12.0</v>
      </c>
      <c r="I201" s="19">
        <v>16.0</v>
      </c>
      <c r="J201" s="19">
        <v>13.0</v>
      </c>
      <c r="K201" s="19">
        <v>12.0</v>
      </c>
      <c r="L201" s="19">
        <v>21.0</v>
      </c>
      <c r="M201" s="19">
        <v>18.0</v>
      </c>
      <c r="N201" s="19">
        <v>14.0</v>
      </c>
      <c r="O201" s="19">
        <v>12.0</v>
      </c>
      <c r="P201" s="19">
        <v>3.0</v>
      </c>
      <c r="Q201" s="19">
        <v>13.0</v>
      </c>
      <c r="R201" s="19">
        <v>4.0</v>
      </c>
      <c r="S201" s="19">
        <v>1.0</v>
      </c>
      <c r="T201" s="19">
        <v>10.0</v>
      </c>
      <c r="U201" s="19">
        <v>13.0</v>
      </c>
      <c r="V201" s="19">
        <v>6.0</v>
      </c>
      <c r="W201" s="19">
        <v>6.0</v>
      </c>
      <c r="X201" s="19">
        <v>6.0</v>
      </c>
      <c r="Y201" s="19">
        <v>10.0</v>
      </c>
      <c r="Z201" s="19">
        <v>5.0</v>
      </c>
      <c r="AA201" s="19">
        <v>6.0</v>
      </c>
      <c r="AB201" s="19">
        <v>6.0</v>
      </c>
      <c r="AC201" s="19">
        <v>4.0</v>
      </c>
      <c r="AD201" s="19">
        <v>13.0</v>
      </c>
      <c r="AE201" s="19">
        <v>9.0</v>
      </c>
      <c r="AF201" s="19">
        <v>9.0</v>
      </c>
      <c r="AG201" s="19">
        <v>11.0</v>
      </c>
      <c r="AH201" s="19">
        <v>11.0</v>
      </c>
      <c r="AI201" s="19">
        <v>7.0</v>
      </c>
      <c r="AJ201" s="19">
        <v>5.0</v>
      </c>
      <c r="AK201" s="19">
        <v>14.0</v>
      </c>
      <c r="AL201" s="19">
        <v>12.0</v>
      </c>
      <c r="AM201" s="19">
        <v>7.0</v>
      </c>
      <c r="AN201" s="19">
        <v>2.0</v>
      </c>
      <c r="AO201" s="19">
        <v>16.0</v>
      </c>
      <c r="AP201" s="19">
        <v>7.0</v>
      </c>
      <c r="AQ201" s="19">
        <v>15.0</v>
      </c>
      <c r="AR201" s="19">
        <v>10.0</v>
      </c>
      <c r="AS201" s="19">
        <v>5.0</v>
      </c>
      <c r="AT201" s="19">
        <v>4.0</v>
      </c>
      <c r="AU201" s="19">
        <v>7.0</v>
      </c>
      <c r="AV201" s="19">
        <v>4.0</v>
      </c>
      <c r="AW201" s="19">
        <v>9.0</v>
      </c>
      <c r="AX201" s="19">
        <v>3.0</v>
      </c>
      <c r="AY201" s="13">
        <f t="shared" si="38"/>
        <v>409</v>
      </c>
      <c r="AZ201" s="5"/>
      <c r="BA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6.0</v>
      </c>
      <c r="F202" s="19">
        <v>27.0</v>
      </c>
      <c r="G202" s="19">
        <v>6.0</v>
      </c>
      <c r="H202" s="19">
        <v>9.0</v>
      </c>
      <c r="I202" s="19">
        <v>18.0</v>
      </c>
      <c r="J202" s="19">
        <v>14.0</v>
      </c>
      <c r="K202" s="19">
        <v>20.0</v>
      </c>
      <c r="L202" s="19">
        <v>29.0</v>
      </c>
      <c r="M202" s="19">
        <v>21.0</v>
      </c>
      <c r="N202" s="19">
        <v>8.0</v>
      </c>
      <c r="O202" s="19">
        <v>19.0</v>
      </c>
      <c r="P202" s="19">
        <v>16.0</v>
      </c>
      <c r="Q202" s="19">
        <v>13.0</v>
      </c>
      <c r="R202" s="19">
        <v>24.0</v>
      </c>
      <c r="S202" s="19">
        <v>6.0</v>
      </c>
      <c r="T202" s="19">
        <v>13.0</v>
      </c>
      <c r="U202" s="19">
        <v>29.0</v>
      </c>
      <c r="V202" s="19">
        <v>18.0</v>
      </c>
      <c r="W202" s="19">
        <v>9.0</v>
      </c>
      <c r="X202" s="19">
        <v>11.0</v>
      </c>
      <c r="Y202" s="19">
        <v>6.0</v>
      </c>
      <c r="Z202" s="19">
        <v>7.0</v>
      </c>
      <c r="AA202" s="19">
        <v>4.0</v>
      </c>
      <c r="AB202" s="19">
        <v>2.0</v>
      </c>
      <c r="AC202" s="19">
        <v>5.0</v>
      </c>
      <c r="AD202" s="19">
        <v>11.0</v>
      </c>
      <c r="AE202" s="19">
        <v>30.0</v>
      </c>
      <c r="AF202" s="19">
        <v>16.0</v>
      </c>
      <c r="AG202" s="19">
        <v>22.0</v>
      </c>
      <c r="AH202" s="19">
        <v>10.0</v>
      </c>
      <c r="AI202" s="19">
        <v>3.0</v>
      </c>
      <c r="AJ202" s="19">
        <v>2.0</v>
      </c>
      <c r="AK202" s="19">
        <v>10.0</v>
      </c>
      <c r="AL202" s="19">
        <v>15.0</v>
      </c>
      <c r="AM202" s="19">
        <v>5.0</v>
      </c>
      <c r="AN202" s="19">
        <v>5.0</v>
      </c>
      <c r="AO202" s="19">
        <v>9.0</v>
      </c>
      <c r="AP202" s="19">
        <v>3.0</v>
      </c>
      <c r="AQ202" s="19">
        <v>8.0</v>
      </c>
      <c r="AR202" s="19">
        <v>7.0</v>
      </c>
      <c r="AS202" s="19">
        <v>3.0</v>
      </c>
      <c r="AT202" s="19">
        <v>5.0</v>
      </c>
      <c r="AU202" s="19">
        <v>4.0</v>
      </c>
      <c r="AV202" s="19">
        <v>3.0</v>
      </c>
      <c r="AW202" s="19">
        <v>8.0</v>
      </c>
      <c r="AX202" s="19">
        <v>8.0</v>
      </c>
      <c r="AY202" s="13">
        <f t="shared" si="38"/>
        <v>527</v>
      </c>
      <c r="AZ202" s="5"/>
      <c r="BA202" s="5"/>
    </row>
    <row r="203" ht="12.75" customHeight="1">
      <c r="A203" s="18"/>
      <c r="B203" s="55">
        <v>2.0</v>
      </c>
      <c r="C203" s="50" t="s">
        <v>149</v>
      </c>
      <c r="D203" s="57"/>
      <c r="E203" s="19">
        <v>2.0</v>
      </c>
      <c r="F203" s="19">
        <v>1.0</v>
      </c>
      <c r="G203" s="19">
        <v>1.0</v>
      </c>
      <c r="H203" s="19">
        <v>0.0</v>
      </c>
      <c r="I203" s="19">
        <v>4.0</v>
      </c>
      <c r="J203" s="19">
        <v>3.0</v>
      </c>
      <c r="K203" s="19">
        <v>6.0</v>
      </c>
      <c r="L203" s="19">
        <v>4.0</v>
      </c>
      <c r="M203" s="19">
        <v>5.0</v>
      </c>
      <c r="N203" s="19">
        <v>2.0</v>
      </c>
      <c r="O203" s="19">
        <v>5.0</v>
      </c>
      <c r="P203" s="19">
        <v>3.0</v>
      </c>
      <c r="Q203" s="19">
        <v>6.0</v>
      </c>
      <c r="R203" s="19">
        <v>2.0</v>
      </c>
      <c r="S203" s="19">
        <v>1.0</v>
      </c>
      <c r="T203" s="19">
        <v>2.0</v>
      </c>
      <c r="U203" s="19">
        <v>1.0</v>
      </c>
      <c r="V203" s="19">
        <v>2.0</v>
      </c>
      <c r="W203" s="19">
        <v>4.0</v>
      </c>
      <c r="X203" s="19">
        <v>3.0</v>
      </c>
      <c r="Y203" s="19">
        <v>0.0</v>
      </c>
      <c r="Z203" s="19">
        <v>0.0</v>
      </c>
      <c r="AA203" s="19">
        <v>3.0</v>
      </c>
      <c r="AB203" s="19">
        <v>4.0</v>
      </c>
      <c r="AC203" s="19">
        <v>1.0</v>
      </c>
      <c r="AD203" s="19">
        <v>1.0</v>
      </c>
      <c r="AE203" s="19">
        <v>2.0</v>
      </c>
      <c r="AF203" s="19">
        <v>1.0</v>
      </c>
      <c r="AG203" s="19">
        <v>3.0</v>
      </c>
      <c r="AH203" s="19">
        <v>3.0</v>
      </c>
      <c r="AI203" s="19">
        <v>0.0</v>
      </c>
      <c r="AJ203" s="19">
        <v>3.0</v>
      </c>
      <c r="AK203" s="19">
        <v>4.0</v>
      </c>
      <c r="AL203" s="19">
        <v>4.0</v>
      </c>
      <c r="AM203" s="19">
        <v>3.0</v>
      </c>
      <c r="AN203" s="19">
        <v>0.0</v>
      </c>
      <c r="AO203" s="19">
        <v>4.0</v>
      </c>
      <c r="AP203" s="19">
        <v>2.0</v>
      </c>
      <c r="AQ203" s="19">
        <v>3.0</v>
      </c>
      <c r="AR203" s="19">
        <v>1.0</v>
      </c>
      <c r="AS203" s="19">
        <v>3.0</v>
      </c>
      <c r="AT203" s="19">
        <v>4.0</v>
      </c>
      <c r="AU203" s="19">
        <v>1.0</v>
      </c>
      <c r="AV203" s="19">
        <v>0.0</v>
      </c>
      <c r="AW203" s="19">
        <v>3.0</v>
      </c>
      <c r="AX203" s="19">
        <v>3.0</v>
      </c>
      <c r="AY203" s="13">
        <f t="shared" si="38"/>
        <v>113</v>
      </c>
      <c r="AZ203" s="5"/>
      <c r="BA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3.0</v>
      </c>
      <c r="G204" s="19">
        <v>1.0</v>
      </c>
      <c r="H204" s="19">
        <v>1.0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3.0</v>
      </c>
      <c r="O204" s="19">
        <v>0.0</v>
      </c>
      <c r="P204" s="19">
        <v>0.0</v>
      </c>
      <c r="Q204" s="19">
        <v>2.0</v>
      </c>
      <c r="R204" s="19">
        <v>0.0</v>
      </c>
      <c r="S204" s="19">
        <v>0.0</v>
      </c>
      <c r="T204" s="19">
        <v>0.0</v>
      </c>
      <c r="U204" s="19">
        <v>2.0</v>
      </c>
      <c r="V204" s="19">
        <v>0.0</v>
      </c>
      <c r="W204" s="19">
        <v>1.0</v>
      </c>
      <c r="X204" s="19">
        <v>0.0</v>
      </c>
      <c r="Y204" s="19">
        <v>0.0</v>
      </c>
      <c r="Z204" s="19">
        <v>1.0</v>
      </c>
      <c r="AA204" s="19">
        <v>3.0</v>
      </c>
      <c r="AB204" s="19">
        <v>0.0</v>
      </c>
      <c r="AC204" s="19">
        <v>3.0</v>
      </c>
      <c r="AD204" s="19">
        <v>0.0</v>
      </c>
      <c r="AE204" s="19">
        <v>0.0</v>
      </c>
      <c r="AF204" s="19">
        <v>1.0</v>
      </c>
      <c r="AG204" s="19">
        <v>1.0</v>
      </c>
      <c r="AH204" s="19">
        <v>0.0</v>
      </c>
      <c r="AI204" s="19">
        <v>1.0</v>
      </c>
      <c r="AJ204" s="19">
        <v>1.0</v>
      </c>
      <c r="AK204" s="19">
        <v>1.0</v>
      </c>
      <c r="AL204" s="19">
        <v>9.0</v>
      </c>
      <c r="AM204" s="19">
        <v>15.0</v>
      </c>
      <c r="AN204" s="19">
        <v>2.0</v>
      </c>
      <c r="AO204" s="19">
        <v>0.0</v>
      </c>
      <c r="AP204" s="19">
        <v>1.0</v>
      </c>
      <c r="AQ204" s="19">
        <v>1.0</v>
      </c>
      <c r="AR204" s="19">
        <v>3.0</v>
      </c>
      <c r="AS204" s="19">
        <v>0.0</v>
      </c>
      <c r="AT204" s="19">
        <v>0.0</v>
      </c>
      <c r="AU204" s="19">
        <v>0.0</v>
      </c>
      <c r="AV204" s="19">
        <v>3.0</v>
      </c>
      <c r="AW204" s="19">
        <v>0.0</v>
      </c>
      <c r="AX204" s="19">
        <v>0.0</v>
      </c>
      <c r="AY204" s="13">
        <f t="shared" si="38"/>
        <v>59</v>
      </c>
      <c r="AZ204" s="5"/>
      <c r="BA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1.0</v>
      </c>
      <c r="G205" s="19">
        <v>0.0</v>
      </c>
      <c r="H205" s="19">
        <v>0.0</v>
      </c>
      <c r="I205" s="19">
        <v>0.0</v>
      </c>
      <c r="J205" s="19">
        <v>0.0</v>
      </c>
      <c r="K205" s="19">
        <v>3.0</v>
      </c>
      <c r="L205" s="19">
        <v>0.0</v>
      </c>
      <c r="M205" s="19">
        <v>1.0</v>
      </c>
      <c r="N205" s="19">
        <v>1.0</v>
      </c>
      <c r="O205" s="19">
        <v>0.0</v>
      </c>
      <c r="P205" s="19">
        <v>0.0</v>
      </c>
      <c r="Q205" s="19">
        <v>1.0</v>
      </c>
      <c r="R205" s="19">
        <v>0.0</v>
      </c>
      <c r="S205" s="19">
        <v>0.0</v>
      </c>
      <c r="T205" s="19">
        <v>0.0</v>
      </c>
      <c r="U205" s="19">
        <v>0.0</v>
      </c>
      <c r="V205" s="19">
        <v>0.0</v>
      </c>
      <c r="W205" s="19">
        <v>1.0</v>
      </c>
      <c r="X205" s="19">
        <v>1.0</v>
      </c>
      <c r="Y205" s="19">
        <v>0.0</v>
      </c>
      <c r="Z205" s="19">
        <v>1.0</v>
      </c>
      <c r="AA205" s="19">
        <v>1.0</v>
      </c>
      <c r="AB205" s="19">
        <v>0.0</v>
      </c>
      <c r="AC205" s="19">
        <v>0.0</v>
      </c>
      <c r="AD205" s="19">
        <v>1.0</v>
      </c>
      <c r="AE205" s="19">
        <v>0.0</v>
      </c>
      <c r="AF205" s="19">
        <v>0.0</v>
      </c>
      <c r="AG205" s="19">
        <v>1.0</v>
      </c>
      <c r="AH205" s="19">
        <v>0.0</v>
      </c>
      <c r="AI205" s="19">
        <v>1.0</v>
      </c>
      <c r="AJ205" s="19">
        <v>1.0</v>
      </c>
      <c r="AK205" s="19">
        <v>0.0</v>
      </c>
      <c r="AL205" s="19">
        <v>3.0</v>
      </c>
      <c r="AM205" s="19">
        <v>6.0</v>
      </c>
      <c r="AN205" s="19">
        <v>2.0</v>
      </c>
      <c r="AO205" s="19">
        <v>1.0</v>
      </c>
      <c r="AP205" s="19">
        <v>0.0</v>
      </c>
      <c r="AQ205" s="19">
        <v>1.0</v>
      </c>
      <c r="AR205" s="19">
        <v>1.0</v>
      </c>
      <c r="AS205" s="19">
        <v>1.0</v>
      </c>
      <c r="AT205" s="19">
        <v>0.0</v>
      </c>
      <c r="AU205" s="19">
        <v>0.0</v>
      </c>
      <c r="AV205" s="19">
        <v>0.0</v>
      </c>
      <c r="AW205" s="19">
        <v>0.0</v>
      </c>
      <c r="AX205" s="19">
        <v>1.0</v>
      </c>
      <c r="AY205" s="13">
        <f t="shared" si="38"/>
        <v>31</v>
      </c>
      <c r="AZ205" s="5"/>
      <c r="BA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2.0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1.0</v>
      </c>
      <c r="R206" s="19">
        <v>1.0</v>
      </c>
      <c r="S206" s="19">
        <v>0.0</v>
      </c>
      <c r="T206" s="19">
        <v>0.0</v>
      </c>
      <c r="U206" s="19">
        <v>0.0</v>
      </c>
      <c r="V206" s="19">
        <v>1.0</v>
      </c>
      <c r="W206" s="19">
        <v>0.0</v>
      </c>
      <c r="X206" s="19">
        <v>0.0</v>
      </c>
      <c r="Y206" s="19">
        <v>1.0</v>
      </c>
      <c r="Z206" s="19">
        <v>1.0</v>
      </c>
      <c r="AA206" s="19">
        <v>1.0</v>
      </c>
      <c r="AB206" s="19">
        <v>0.0</v>
      </c>
      <c r="AC206" s="19">
        <v>0.0</v>
      </c>
      <c r="AD206" s="19">
        <v>0.0</v>
      </c>
      <c r="AE206" s="19">
        <v>0.0</v>
      </c>
      <c r="AF206" s="19">
        <v>0.0</v>
      </c>
      <c r="AG206" s="19">
        <v>1.0</v>
      </c>
      <c r="AH206" s="19">
        <v>1.0</v>
      </c>
      <c r="AI206" s="19">
        <v>3.0</v>
      </c>
      <c r="AJ206" s="19">
        <v>0.0</v>
      </c>
      <c r="AK206" s="19">
        <v>1.0</v>
      </c>
      <c r="AL206" s="19">
        <v>0.0</v>
      </c>
      <c r="AM206" s="19">
        <v>2.0</v>
      </c>
      <c r="AN206" s="19">
        <v>0.0</v>
      </c>
      <c r="AO206" s="19">
        <v>1.0</v>
      </c>
      <c r="AP206" s="19">
        <v>0.0</v>
      </c>
      <c r="AQ206" s="19">
        <v>1.0</v>
      </c>
      <c r="AR206" s="19">
        <v>0.0</v>
      </c>
      <c r="AS206" s="19">
        <v>1.0</v>
      </c>
      <c r="AT206" s="19">
        <v>0.0</v>
      </c>
      <c r="AU206" s="19">
        <v>0.0</v>
      </c>
      <c r="AV206" s="19">
        <v>1.0</v>
      </c>
      <c r="AW206" s="19">
        <v>0.0</v>
      </c>
      <c r="AX206" s="19">
        <v>0.0</v>
      </c>
      <c r="AY206" s="13">
        <f t="shared" si="38"/>
        <v>20</v>
      </c>
      <c r="AZ206" s="5"/>
      <c r="BA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1.0</v>
      </c>
      <c r="K207" s="19">
        <v>2.0</v>
      </c>
      <c r="L207" s="19">
        <v>0.0</v>
      </c>
      <c r="M207" s="19">
        <v>2.0</v>
      </c>
      <c r="N207" s="19">
        <v>4.0</v>
      </c>
      <c r="O207" s="19">
        <v>3.0</v>
      </c>
      <c r="P207" s="19">
        <v>0.0</v>
      </c>
      <c r="Q207" s="19">
        <v>1.0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2.0</v>
      </c>
      <c r="AB207" s="19">
        <v>0.0</v>
      </c>
      <c r="AC207" s="19">
        <v>1.0</v>
      </c>
      <c r="AD207" s="19">
        <v>1.0</v>
      </c>
      <c r="AE207" s="19">
        <v>0.0</v>
      </c>
      <c r="AF207" s="19">
        <v>0.0</v>
      </c>
      <c r="AG207" s="19">
        <v>0.0</v>
      </c>
      <c r="AH207" s="19">
        <v>0.0</v>
      </c>
      <c r="AI207" s="19">
        <v>5.0</v>
      </c>
      <c r="AJ207" s="19">
        <v>1.0</v>
      </c>
      <c r="AK207" s="19">
        <v>0.0</v>
      </c>
      <c r="AL207" s="19">
        <v>0.0</v>
      </c>
      <c r="AM207" s="19">
        <v>2.0</v>
      </c>
      <c r="AN207" s="19">
        <v>0.0</v>
      </c>
      <c r="AO207" s="19">
        <v>0.0</v>
      </c>
      <c r="AP207" s="19">
        <v>0.0</v>
      </c>
      <c r="AQ207" s="19">
        <v>0.0</v>
      </c>
      <c r="AR207" s="19">
        <v>0.0</v>
      </c>
      <c r="AS207" s="19">
        <v>0.0</v>
      </c>
      <c r="AT207" s="19">
        <v>0.0</v>
      </c>
      <c r="AU207" s="19">
        <v>0.0</v>
      </c>
      <c r="AV207" s="19">
        <v>1.0</v>
      </c>
      <c r="AW207" s="19">
        <v>0.0</v>
      </c>
      <c r="AX207" s="19">
        <v>0.0</v>
      </c>
      <c r="AY207" s="13">
        <f t="shared" si="38"/>
        <v>26</v>
      </c>
      <c r="AZ207" s="1"/>
      <c r="BA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1.0</v>
      </c>
      <c r="G208" s="19">
        <v>0.0</v>
      </c>
      <c r="H208" s="19">
        <v>0.0</v>
      </c>
      <c r="I208" s="19">
        <v>1.0</v>
      </c>
      <c r="J208" s="19">
        <v>1.0</v>
      </c>
      <c r="K208" s="19">
        <v>0.0</v>
      </c>
      <c r="L208" s="19">
        <v>1.0</v>
      </c>
      <c r="M208" s="19">
        <v>0.0</v>
      </c>
      <c r="N208" s="19">
        <v>1.0</v>
      </c>
      <c r="O208" s="19">
        <v>0.0</v>
      </c>
      <c r="P208" s="19">
        <v>0.0</v>
      </c>
      <c r="Q208" s="19">
        <v>4.0</v>
      </c>
      <c r="R208" s="19">
        <v>0.0</v>
      </c>
      <c r="S208" s="19">
        <v>0.0</v>
      </c>
      <c r="T208" s="19">
        <v>2.0</v>
      </c>
      <c r="U208" s="19">
        <v>0.0</v>
      </c>
      <c r="V208" s="19">
        <v>0.0</v>
      </c>
      <c r="W208" s="19">
        <v>1.0</v>
      </c>
      <c r="X208" s="19">
        <v>0.0</v>
      </c>
      <c r="Y208" s="19">
        <v>0.0</v>
      </c>
      <c r="Z208" s="19">
        <v>1.0</v>
      </c>
      <c r="AA208" s="19">
        <v>0.0</v>
      </c>
      <c r="AB208" s="19">
        <v>0.0</v>
      </c>
      <c r="AC208" s="19">
        <v>0.0</v>
      </c>
      <c r="AD208" s="19">
        <v>1.0</v>
      </c>
      <c r="AE208" s="19">
        <v>1.0</v>
      </c>
      <c r="AF208" s="19">
        <v>0.0</v>
      </c>
      <c r="AG208" s="19">
        <v>0.0</v>
      </c>
      <c r="AH208" s="19">
        <v>0.0</v>
      </c>
      <c r="AI208" s="19">
        <v>4.0</v>
      </c>
      <c r="AJ208" s="19">
        <v>1.0</v>
      </c>
      <c r="AK208" s="19">
        <v>0.0</v>
      </c>
      <c r="AL208" s="19">
        <v>0.0</v>
      </c>
      <c r="AM208" s="19">
        <v>1.0</v>
      </c>
      <c r="AN208" s="19">
        <v>0.0</v>
      </c>
      <c r="AO208" s="19">
        <v>0.0</v>
      </c>
      <c r="AP208" s="19">
        <v>1.0</v>
      </c>
      <c r="AQ208" s="19">
        <v>2.0</v>
      </c>
      <c r="AR208" s="19">
        <v>0.0</v>
      </c>
      <c r="AS208" s="19">
        <v>0.0</v>
      </c>
      <c r="AT208" s="19">
        <v>0.0</v>
      </c>
      <c r="AU208" s="19">
        <v>1.0</v>
      </c>
      <c r="AV208" s="19">
        <v>1.0</v>
      </c>
      <c r="AW208" s="19">
        <v>0.0</v>
      </c>
      <c r="AX208" s="19">
        <v>1.0</v>
      </c>
      <c r="AY208" s="13">
        <f t="shared" si="38"/>
        <v>27</v>
      </c>
      <c r="AZ208" s="52"/>
      <c r="BA208" s="52"/>
    </row>
    <row r="209" ht="12.75" customHeight="1">
      <c r="A209" s="18"/>
      <c r="B209" s="71"/>
      <c r="C209" s="72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3">
        <f t="shared" si="38"/>
        <v>0</v>
      </c>
      <c r="AZ209" s="52"/>
      <c r="BA209" s="52"/>
    </row>
    <row r="210" ht="12.75" customHeight="1">
      <c r="A210" s="18"/>
      <c r="B210" s="71"/>
      <c r="C210" s="72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3">
        <f t="shared" si="38"/>
        <v>0</v>
      </c>
      <c r="AZ210" s="52"/>
      <c r="BA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Y211" si="39">SUM(E201:E210)</f>
        <v>10</v>
      </c>
      <c r="F211" s="13">
        <f t="shared" si="39"/>
        <v>41</v>
      </c>
      <c r="G211" s="13">
        <f t="shared" si="39"/>
        <v>16</v>
      </c>
      <c r="H211" s="13">
        <f t="shared" si="39"/>
        <v>22</v>
      </c>
      <c r="I211" s="13">
        <f t="shared" si="39"/>
        <v>39</v>
      </c>
      <c r="J211" s="13">
        <f t="shared" si="39"/>
        <v>32</v>
      </c>
      <c r="K211" s="13">
        <f t="shared" si="39"/>
        <v>45</v>
      </c>
      <c r="L211" s="13">
        <f t="shared" si="39"/>
        <v>55</v>
      </c>
      <c r="M211" s="13">
        <f t="shared" si="39"/>
        <v>47</v>
      </c>
      <c r="N211" s="13">
        <f t="shared" si="39"/>
        <v>33</v>
      </c>
      <c r="O211" s="13">
        <f t="shared" si="39"/>
        <v>39</v>
      </c>
      <c r="P211" s="13">
        <f t="shared" si="39"/>
        <v>22</v>
      </c>
      <c r="Q211" s="13">
        <f t="shared" si="39"/>
        <v>41</v>
      </c>
      <c r="R211" s="13">
        <f t="shared" si="39"/>
        <v>31</v>
      </c>
      <c r="S211" s="13">
        <f t="shared" si="39"/>
        <v>8</v>
      </c>
      <c r="T211" s="13">
        <f t="shared" si="39"/>
        <v>27</v>
      </c>
      <c r="U211" s="13">
        <f t="shared" si="39"/>
        <v>45</v>
      </c>
      <c r="V211" s="13">
        <f t="shared" si="39"/>
        <v>27</v>
      </c>
      <c r="W211" s="13">
        <f t="shared" si="39"/>
        <v>22</v>
      </c>
      <c r="X211" s="13">
        <f t="shared" si="39"/>
        <v>21</v>
      </c>
      <c r="Y211" s="13">
        <f t="shared" si="39"/>
        <v>17</v>
      </c>
      <c r="Z211" s="13">
        <f t="shared" si="39"/>
        <v>16</v>
      </c>
      <c r="AA211" s="13">
        <f t="shared" si="39"/>
        <v>20</v>
      </c>
      <c r="AB211" s="13">
        <f t="shared" si="39"/>
        <v>12</v>
      </c>
      <c r="AC211" s="13">
        <f t="shared" si="39"/>
        <v>14</v>
      </c>
      <c r="AD211" s="13">
        <f t="shared" si="39"/>
        <v>28</v>
      </c>
      <c r="AE211" s="13">
        <f t="shared" si="39"/>
        <v>42</v>
      </c>
      <c r="AF211" s="13">
        <f t="shared" si="39"/>
        <v>27</v>
      </c>
      <c r="AG211" s="13">
        <f t="shared" si="39"/>
        <v>39</v>
      </c>
      <c r="AH211" s="13">
        <f t="shared" si="39"/>
        <v>25</v>
      </c>
      <c r="AI211" s="13">
        <f t="shared" si="39"/>
        <v>24</v>
      </c>
      <c r="AJ211" s="13">
        <f t="shared" si="39"/>
        <v>14</v>
      </c>
      <c r="AK211" s="13">
        <f t="shared" si="39"/>
        <v>30</v>
      </c>
      <c r="AL211" s="13">
        <f t="shared" si="39"/>
        <v>43</v>
      </c>
      <c r="AM211" s="13">
        <f t="shared" si="39"/>
        <v>41</v>
      </c>
      <c r="AN211" s="13">
        <f t="shared" si="39"/>
        <v>11</v>
      </c>
      <c r="AO211" s="13">
        <f t="shared" si="39"/>
        <v>31</v>
      </c>
      <c r="AP211" s="13">
        <f t="shared" si="39"/>
        <v>14</v>
      </c>
      <c r="AQ211" s="13">
        <f t="shared" si="39"/>
        <v>31</v>
      </c>
      <c r="AR211" s="13">
        <f t="shared" si="39"/>
        <v>22</v>
      </c>
      <c r="AS211" s="13">
        <f t="shared" si="39"/>
        <v>13</v>
      </c>
      <c r="AT211" s="13">
        <f t="shared" si="39"/>
        <v>13</v>
      </c>
      <c r="AU211" s="13">
        <f t="shared" si="39"/>
        <v>13</v>
      </c>
      <c r="AV211" s="13">
        <f t="shared" si="39"/>
        <v>13</v>
      </c>
      <c r="AW211" s="13">
        <f t="shared" si="39"/>
        <v>20</v>
      </c>
      <c r="AX211" s="13">
        <f t="shared" si="39"/>
        <v>16</v>
      </c>
      <c r="AY211" s="13">
        <f t="shared" si="39"/>
        <v>1212</v>
      </c>
      <c r="AZ211" s="5"/>
      <c r="BA211" s="5"/>
    </row>
    <row r="212" ht="12.75" customHeight="1">
      <c r="A212" s="24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6"/>
      <c r="X212" s="75"/>
      <c r="Y212" s="75"/>
      <c r="Z212" s="75"/>
      <c r="AA212" s="75"/>
      <c r="AB212" s="75"/>
      <c r="AC212" s="75"/>
      <c r="AD212" s="75"/>
      <c r="AE212" s="75"/>
      <c r="AF212" s="75"/>
      <c r="AG212" s="75"/>
      <c r="AH212" s="75"/>
      <c r="AI212" s="75"/>
      <c r="AJ212" s="75"/>
      <c r="AK212" s="75"/>
      <c r="AL212" s="75"/>
      <c r="AM212" s="75"/>
      <c r="AN212" s="75"/>
      <c r="AO212" s="75"/>
      <c r="AP212" s="75"/>
      <c r="AQ212" s="75"/>
      <c r="AR212" s="75"/>
      <c r="AS212" s="75"/>
      <c r="AT212" s="75"/>
      <c r="AU212" s="75"/>
      <c r="AV212" s="75"/>
      <c r="AW212" s="75"/>
      <c r="AX212" s="75"/>
      <c r="AY212" s="13">
        <f t="shared" ref="AY212:AY222" si="40">SUM(E212:AX212)</f>
        <v>0</v>
      </c>
      <c r="AZ212" s="5"/>
      <c r="BA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4.0</v>
      </c>
      <c r="F213" s="19">
        <v>2.0</v>
      </c>
      <c r="G213" s="19">
        <v>3.0</v>
      </c>
      <c r="H213" s="19">
        <v>1.0</v>
      </c>
      <c r="I213" s="19">
        <v>0.0</v>
      </c>
      <c r="J213" s="19">
        <v>2.0</v>
      </c>
      <c r="K213" s="19">
        <v>2.0</v>
      </c>
      <c r="L213" s="19">
        <v>1.0</v>
      </c>
      <c r="M213" s="19">
        <v>3.0</v>
      </c>
      <c r="N213" s="19">
        <v>0.0</v>
      </c>
      <c r="O213" s="19">
        <v>0.0</v>
      </c>
      <c r="P213" s="19">
        <v>2.0</v>
      </c>
      <c r="Q213" s="19">
        <v>2.0</v>
      </c>
      <c r="R213" s="19">
        <v>4.0</v>
      </c>
      <c r="S213" s="19">
        <v>2.0</v>
      </c>
      <c r="T213" s="19">
        <v>2.0</v>
      </c>
      <c r="U213" s="19">
        <v>1.0</v>
      </c>
      <c r="V213" s="19">
        <v>3.0</v>
      </c>
      <c r="W213" s="19">
        <v>2.0</v>
      </c>
      <c r="X213" s="19">
        <v>1.0</v>
      </c>
      <c r="Y213" s="19">
        <v>2.0</v>
      </c>
      <c r="Z213" s="19">
        <v>3.0</v>
      </c>
      <c r="AA213" s="19">
        <v>3.0</v>
      </c>
      <c r="AB213" s="19">
        <v>5.0</v>
      </c>
      <c r="AC213" s="19">
        <v>0.0</v>
      </c>
      <c r="AD213" s="19">
        <v>3.0</v>
      </c>
      <c r="AE213" s="19">
        <v>1.0</v>
      </c>
      <c r="AF213" s="19">
        <v>3.0</v>
      </c>
      <c r="AG213" s="19">
        <v>2.0</v>
      </c>
      <c r="AH213" s="19">
        <v>0.0</v>
      </c>
      <c r="AI213" s="19">
        <v>2.0</v>
      </c>
      <c r="AJ213" s="19">
        <v>3.0</v>
      </c>
      <c r="AK213" s="19">
        <v>0.0</v>
      </c>
      <c r="AL213" s="19">
        <v>1.0</v>
      </c>
      <c r="AM213" s="19">
        <v>1.0</v>
      </c>
      <c r="AN213" s="19">
        <v>4.0</v>
      </c>
      <c r="AO213" s="19">
        <v>4.0</v>
      </c>
      <c r="AP213" s="19">
        <v>4.0</v>
      </c>
      <c r="AQ213" s="19">
        <v>0.0</v>
      </c>
      <c r="AR213" s="19">
        <v>9.0</v>
      </c>
      <c r="AS213" s="19">
        <v>4.0</v>
      </c>
      <c r="AT213" s="19">
        <v>1.0</v>
      </c>
      <c r="AU213" s="19">
        <v>3.0</v>
      </c>
      <c r="AV213" s="19">
        <v>3.0</v>
      </c>
      <c r="AW213" s="19">
        <v>2.0</v>
      </c>
      <c r="AX213" s="19">
        <v>1.0</v>
      </c>
      <c r="AY213" s="13">
        <f t="shared" si="40"/>
        <v>101</v>
      </c>
      <c r="AZ213" s="5"/>
      <c r="BA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1.0</v>
      </c>
      <c r="F214" s="19">
        <v>0.0</v>
      </c>
      <c r="G214" s="19">
        <v>2.0</v>
      </c>
      <c r="H214" s="19">
        <v>3.0</v>
      </c>
      <c r="I214" s="19">
        <v>2.0</v>
      </c>
      <c r="J214" s="19">
        <v>1.0</v>
      </c>
      <c r="K214" s="19">
        <v>1.0</v>
      </c>
      <c r="L214" s="19">
        <v>0.0</v>
      </c>
      <c r="M214" s="19">
        <v>1.0</v>
      </c>
      <c r="N214" s="19">
        <v>0.0</v>
      </c>
      <c r="O214" s="19">
        <v>1.0</v>
      </c>
      <c r="P214" s="19">
        <v>2.0</v>
      </c>
      <c r="Q214" s="19">
        <v>2.0</v>
      </c>
      <c r="R214" s="19">
        <v>2.0</v>
      </c>
      <c r="S214" s="19">
        <v>0.0</v>
      </c>
      <c r="T214" s="19">
        <v>0.0</v>
      </c>
      <c r="U214" s="19">
        <v>0.0</v>
      </c>
      <c r="V214" s="19">
        <v>1.0</v>
      </c>
      <c r="W214" s="19">
        <v>0.0</v>
      </c>
      <c r="X214" s="19">
        <v>4.0</v>
      </c>
      <c r="Y214" s="19">
        <v>0.0</v>
      </c>
      <c r="Z214" s="19">
        <v>2.0</v>
      </c>
      <c r="AA214" s="19">
        <v>1.0</v>
      </c>
      <c r="AB214" s="19">
        <v>0.0</v>
      </c>
      <c r="AC214" s="19">
        <v>0.0</v>
      </c>
      <c r="AD214" s="19">
        <v>0.0</v>
      </c>
      <c r="AE214" s="19">
        <v>1.0</v>
      </c>
      <c r="AF214" s="19">
        <v>5.0</v>
      </c>
      <c r="AG214" s="19">
        <v>4.0</v>
      </c>
      <c r="AH214" s="19">
        <v>1.0</v>
      </c>
      <c r="AI214" s="19">
        <v>0.0</v>
      </c>
      <c r="AJ214" s="19">
        <v>0.0</v>
      </c>
      <c r="AK214" s="19">
        <v>1.0</v>
      </c>
      <c r="AL214" s="19">
        <v>5.0</v>
      </c>
      <c r="AM214" s="19">
        <v>11.0</v>
      </c>
      <c r="AN214" s="19">
        <v>3.0</v>
      </c>
      <c r="AO214" s="19">
        <v>1.0</v>
      </c>
      <c r="AP214" s="19">
        <v>3.0</v>
      </c>
      <c r="AQ214" s="19">
        <v>3.0</v>
      </c>
      <c r="AR214" s="19">
        <v>0.0</v>
      </c>
      <c r="AS214" s="19">
        <v>3.0</v>
      </c>
      <c r="AT214" s="19">
        <v>2.0</v>
      </c>
      <c r="AU214" s="19">
        <v>3.0</v>
      </c>
      <c r="AV214" s="19">
        <v>0.0</v>
      </c>
      <c r="AW214" s="19">
        <v>1.0</v>
      </c>
      <c r="AX214" s="19"/>
      <c r="AY214" s="13">
        <f t="shared" si="40"/>
        <v>73</v>
      </c>
      <c r="AZ214" s="5"/>
      <c r="BA214" s="5"/>
    </row>
    <row r="215" ht="12.75" customHeight="1">
      <c r="A215" s="18"/>
      <c r="B215" s="55">
        <v>2.0</v>
      </c>
      <c r="C215" s="50" t="s">
        <v>158</v>
      </c>
      <c r="D215" s="56"/>
      <c r="E215" s="19">
        <v>3.0</v>
      </c>
      <c r="F215" s="19">
        <v>2.0</v>
      </c>
      <c r="G215" s="19">
        <v>2.0</v>
      </c>
      <c r="H215" s="19">
        <v>3.0</v>
      </c>
      <c r="I215" s="19">
        <v>1.0</v>
      </c>
      <c r="J215" s="19">
        <v>4.0</v>
      </c>
      <c r="K215" s="19">
        <v>4.0</v>
      </c>
      <c r="L215" s="19">
        <v>5.0</v>
      </c>
      <c r="M215" s="19">
        <v>3.0</v>
      </c>
      <c r="N215" s="19">
        <v>1.0</v>
      </c>
      <c r="O215" s="19">
        <v>0.0</v>
      </c>
      <c r="P215" s="19">
        <v>18.0</v>
      </c>
      <c r="Q215" s="19">
        <v>13.0</v>
      </c>
      <c r="R215" s="19">
        <v>8.0</v>
      </c>
      <c r="S215" s="19">
        <v>1.0</v>
      </c>
      <c r="T215" s="19">
        <v>12.0</v>
      </c>
      <c r="U215" s="19">
        <v>0.0</v>
      </c>
      <c r="V215" s="19">
        <v>1.0</v>
      </c>
      <c r="W215" s="19">
        <v>2.0</v>
      </c>
      <c r="X215" s="19">
        <v>4.0</v>
      </c>
      <c r="Y215" s="19">
        <v>3.0</v>
      </c>
      <c r="Z215" s="19">
        <v>0.0</v>
      </c>
      <c r="AA215" s="19">
        <v>0.0</v>
      </c>
      <c r="AB215" s="19">
        <v>1.0</v>
      </c>
      <c r="AC215" s="19">
        <v>0.0</v>
      </c>
      <c r="AD215" s="19">
        <v>5.0</v>
      </c>
      <c r="AE215" s="19">
        <v>0.0</v>
      </c>
      <c r="AF215" s="19">
        <v>2.0</v>
      </c>
      <c r="AG215" s="19">
        <v>1.0</v>
      </c>
      <c r="AH215" s="19">
        <v>0.0</v>
      </c>
      <c r="AI215" s="19">
        <v>0.0</v>
      </c>
      <c r="AJ215" s="19">
        <v>0.0</v>
      </c>
      <c r="AK215" s="19">
        <v>1.0</v>
      </c>
      <c r="AL215" s="19">
        <v>4.0</v>
      </c>
      <c r="AM215" s="19">
        <v>0.0</v>
      </c>
      <c r="AN215" s="19">
        <v>0.0</v>
      </c>
      <c r="AO215" s="19">
        <v>1.0</v>
      </c>
      <c r="AP215" s="19">
        <v>3.0</v>
      </c>
      <c r="AQ215" s="19">
        <v>2.0</v>
      </c>
      <c r="AR215" s="19">
        <v>0.0</v>
      </c>
      <c r="AS215" s="19">
        <v>2.0</v>
      </c>
      <c r="AT215" s="19">
        <v>0.0</v>
      </c>
      <c r="AU215" s="19">
        <v>1.0</v>
      </c>
      <c r="AV215" s="19">
        <v>2.0</v>
      </c>
      <c r="AW215" s="19">
        <v>0.0</v>
      </c>
      <c r="AX215" s="19"/>
      <c r="AY215" s="13">
        <f t="shared" si="40"/>
        <v>115</v>
      </c>
      <c r="AZ215" s="5"/>
      <c r="BA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2.0</v>
      </c>
      <c r="I216" s="19">
        <v>1.0</v>
      </c>
      <c r="J216" s="19">
        <v>0.0</v>
      </c>
      <c r="K216" s="19">
        <v>0.0</v>
      </c>
      <c r="L216" s="19">
        <v>0.0</v>
      </c>
      <c r="M216" s="19">
        <v>1.0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1.0</v>
      </c>
      <c r="T216" s="19">
        <v>0.0</v>
      </c>
      <c r="U216" s="19">
        <v>0.0</v>
      </c>
      <c r="V216" s="19">
        <v>1.0</v>
      </c>
      <c r="W216" s="19">
        <v>0.0</v>
      </c>
      <c r="X216" s="19">
        <v>0.0</v>
      </c>
      <c r="Y216" s="19">
        <v>0.0</v>
      </c>
      <c r="Z216" s="19">
        <v>0.0</v>
      </c>
      <c r="AA216" s="19">
        <v>0.0</v>
      </c>
      <c r="AB216" s="19">
        <v>1.0</v>
      </c>
      <c r="AC216" s="19">
        <v>0.0</v>
      </c>
      <c r="AD216" s="19">
        <v>0.0</v>
      </c>
      <c r="AE216" s="19">
        <v>0.0</v>
      </c>
      <c r="AF216" s="19">
        <v>0.0</v>
      </c>
      <c r="AG216" s="19">
        <v>0.0</v>
      </c>
      <c r="AH216" s="19">
        <v>0.0</v>
      </c>
      <c r="AI216" s="19">
        <v>0.0</v>
      </c>
      <c r="AJ216" s="19">
        <v>0.0</v>
      </c>
      <c r="AK216" s="19">
        <v>0.0</v>
      </c>
      <c r="AL216" s="19">
        <v>0.0</v>
      </c>
      <c r="AM216" s="19">
        <v>1.0</v>
      </c>
      <c r="AN216" s="19">
        <v>1.0</v>
      </c>
      <c r="AO216" s="19">
        <v>0.0</v>
      </c>
      <c r="AP216" s="19">
        <v>0.0</v>
      </c>
      <c r="AQ216" s="19">
        <v>1.0</v>
      </c>
      <c r="AR216" s="19">
        <v>0.0</v>
      </c>
      <c r="AS216" s="19">
        <v>0.0</v>
      </c>
      <c r="AT216" s="19">
        <v>1.0</v>
      </c>
      <c r="AU216" s="19">
        <v>0.0</v>
      </c>
      <c r="AV216" s="19">
        <v>0.0</v>
      </c>
      <c r="AW216" s="19">
        <v>1.0</v>
      </c>
      <c r="AX216" s="19"/>
      <c r="AY216" s="13">
        <f t="shared" si="40"/>
        <v>12</v>
      </c>
      <c r="AZ216" s="5"/>
      <c r="BA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1.0</v>
      </c>
      <c r="H217" s="19">
        <v>1.0</v>
      </c>
      <c r="I217" s="19">
        <v>0.0</v>
      </c>
      <c r="J217" s="19">
        <v>0.0</v>
      </c>
      <c r="K217" s="19">
        <v>0.0</v>
      </c>
      <c r="L217" s="19">
        <v>1.0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1.0</v>
      </c>
      <c r="U217" s="19">
        <v>1.0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1.0</v>
      </c>
      <c r="AF217" s="19">
        <v>1.0</v>
      </c>
      <c r="AG217" s="19">
        <v>0.0</v>
      </c>
      <c r="AH217" s="19">
        <v>0.0</v>
      </c>
      <c r="AI217" s="19">
        <v>0.0</v>
      </c>
      <c r="AJ217" s="19">
        <v>0.0</v>
      </c>
      <c r="AK217" s="19">
        <v>0.0</v>
      </c>
      <c r="AL217" s="19">
        <v>0.0</v>
      </c>
      <c r="AM217" s="19">
        <v>0.0</v>
      </c>
      <c r="AN217" s="19">
        <v>0.0</v>
      </c>
      <c r="AO217" s="19">
        <v>0.0</v>
      </c>
      <c r="AP217" s="19">
        <v>0.0</v>
      </c>
      <c r="AQ217" s="19">
        <v>0.0</v>
      </c>
      <c r="AR217" s="19">
        <v>0.0</v>
      </c>
      <c r="AS217" s="19">
        <v>0.0</v>
      </c>
      <c r="AT217" s="19">
        <v>0.0</v>
      </c>
      <c r="AU217" s="19">
        <v>0.0</v>
      </c>
      <c r="AV217" s="19">
        <v>0.0</v>
      </c>
      <c r="AW217" s="19">
        <v>0.0</v>
      </c>
      <c r="AX217" s="19"/>
      <c r="AY217" s="13">
        <f t="shared" si="40"/>
        <v>7</v>
      </c>
      <c r="AZ217" s="5"/>
      <c r="BA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1.0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1.0</v>
      </c>
      <c r="V218" s="19">
        <v>0.0</v>
      </c>
      <c r="W218" s="19">
        <v>0.0</v>
      </c>
      <c r="X218" s="19">
        <v>3.0</v>
      </c>
      <c r="Y218" s="19">
        <v>0.0</v>
      </c>
      <c r="Z218" s="19">
        <v>0.0</v>
      </c>
      <c r="AA218" s="19">
        <v>0.0</v>
      </c>
      <c r="AB218" s="19">
        <v>1.0</v>
      </c>
      <c r="AC218" s="19">
        <v>0.0</v>
      </c>
      <c r="AD218" s="19">
        <v>0.0</v>
      </c>
      <c r="AE218" s="19">
        <v>0.0</v>
      </c>
      <c r="AF218" s="19">
        <v>0.0</v>
      </c>
      <c r="AG218" s="19">
        <v>0.0</v>
      </c>
      <c r="AH218" s="19">
        <v>0.0</v>
      </c>
      <c r="AI218" s="19">
        <v>0.0</v>
      </c>
      <c r="AJ218" s="19">
        <v>0.0</v>
      </c>
      <c r="AK218" s="19">
        <v>0.0</v>
      </c>
      <c r="AL218" s="19">
        <v>0.0</v>
      </c>
      <c r="AM218" s="19">
        <v>0.0</v>
      </c>
      <c r="AN218" s="19">
        <v>0.0</v>
      </c>
      <c r="AO218" s="19">
        <v>0.0</v>
      </c>
      <c r="AP218" s="19">
        <v>0.0</v>
      </c>
      <c r="AQ218" s="19">
        <v>0.0</v>
      </c>
      <c r="AR218" s="19">
        <v>0.0</v>
      </c>
      <c r="AS218" s="19">
        <v>0.0</v>
      </c>
      <c r="AT218" s="19">
        <v>0.0</v>
      </c>
      <c r="AU218" s="19">
        <v>0.0</v>
      </c>
      <c r="AV218" s="19">
        <v>1.0</v>
      </c>
      <c r="AW218" s="19">
        <v>0.0</v>
      </c>
      <c r="AX218" s="19"/>
      <c r="AY218" s="13">
        <f t="shared" si="40"/>
        <v>7</v>
      </c>
      <c r="AZ218" s="1"/>
      <c r="BA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1.0</v>
      </c>
      <c r="I219" s="19">
        <v>1.0</v>
      </c>
      <c r="J219" s="19">
        <v>0.0</v>
      </c>
      <c r="K219" s="19">
        <v>0.0</v>
      </c>
      <c r="L219" s="19">
        <v>0.0</v>
      </c>
      <c r="M219" s="19">
        <v>0.0</v>
      </c>
      <c r="N219" s="19">
        <v>1.0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0.0</v>
      </c>
      <c r="AF219" s="19">
        <v>0.0</v>
      </c>
      <c r="AG219" s="19">
        <v>0.0</v>
      </c>
      <c r="AH219" s="19">
        <v>0.0</v>
      </c>
      <c r="AI219" s="19">
        <v>0.0</v>
      </c>
      <c r="AJ219" s="19">
        <v>0.0</v>
      </c>
      <c r="AK219" s="19">
        <v>0.0</v>
      </c>
      <c r="AL219" s="19">
        <v>0.0</v>
      </c>
      <c r="AM219" s="19">
        <v>1.0</v>
      </c>
      <c r="AN219" s="19">
        <v>0.0</v>
      </c>
      <c r="AO219" s="19">
        <v>0.0</v>
      </c>
      <c r="AP219" s="19">
        <v>0.0</v>
      </c>
      <c r="AQ219" s="19">
        <v>1.0</v>
      </c>
      <c r="AR219" s="19">
        <v>1.0</v>
      </c>
      <c r="AS219" s="19">
        <v>0.0</v>
      </c>
      <c r="AT219" s="19">
        <v>0.0</v>
      </c>
      <c r="AU219" s="19">
        <v>0.0</v>
      </c>
      <c r="AV219" s="19">
        <v>0.0</v>
      </c>
      <c r="AW219" s="19">
        <v>0.0</v>
      </c>
      <c r="AX219" s="19"/>
      <c r="AY219" s="13">
        <f t="shared" si="40"/>
        <v>6</v>
      </c>
      <c r="AZ219" s="52"/>
      <c r="BA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1.0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9">
        <v>0.0</v>
      </c>
      <c r="AE220" s="19">
        <v>0.0</v>
      </c>
      <c r="AF220" s="19">
        <v>0.0</v>
      </c>
      <c r="AG220" s="19">
        <v>0.0</v>
      </c>
      <c r="AH220" s="19">
        <v>0.0</v>
      </c>
      <c r="AI220" s="19">
        <v>1.0</v>
      </c>
      <c r="AJ220" s="19">
        <v>0.0</v>
      </c>
      <c r="AK220" s="19">
        <v>0.0</v>
      </c>
      <c r="AL220" s="19">
        <v>0.0</v>
      </c>
      <c r="AM220" s="19">
        <v>0.0</v>
      </c>
      <c r="AN220" s="19">
        <v>0.0</v>
      </c>
      <c r="AO220" s="19">
        <v>0.0</v>
      </c>
      <c r="AP220" s="19">
        <v>0.0</v>
      </c>
      <c r="AQ220" s="19">
        <v>0.0</v>
      </c>
      <c r="AR220" s="19">
        <v>0.0</v>
      </c>
      <c r="AS220" s="19">
        <v>0.0</v>
      </c>
      <c r="AT220" s="19">
        <v>0.0</v>
      </c>
      <c r="AU220" s="19">
        <v>1.0</v>
      </c>
      <c r="AV220" s="19">
        <v>0.0</v>
      </c>
      <c r="AW220" s="19">
        <v>0.0</v>
      </c>
      <c r="AX220" s="19"/>
      <c r="AY220" s="13">
        <f t="shared" si="40"/>
        <v>3</v>
      </c>
      <c r="AZ220" s="5"/>
      <c r="BA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3">
        <f t="shared" si="40"/>
        <v>0</v>
      </c>
      <c r="AZ221" s="5"/>
      <c r="BA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3">
        <f t="shared" si="40"/>
        <v>0</v>
      </c>
      <c r="AZ222" s="5"/>
      <c r="BA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Y223" si="41">SUM(E213:E222)</f>
        <v>8</v>
      </c>
      <c r="F223" s="13">
        <f t="shared" si="41"/>
        <v>4</v>
      </c>
      <c r="G223" s="13">
        <f t="shared" si="41"/>
        <v>8</v>
      </c>
      <c r="H223" s="13">
        <f t="shared" si="41"/>
        <v>11</v>
      </c>
      <c r="I223" s="13">
        <f t="shared" si="41"/>
        <v>5</v>
      </c>
      <c r="J223" s="13">
        <f t="shared" si="41"/>
        <v>7</v>
      </c>
      <c r="K223" s="13">
        <f t="shared" si="41"/>
        <v>8</v>
      </c>
      <c r="L223" s="13">
        <f t="shared" si="41"/>
        <v>7</v>
      </c>
      <c r="M223" s="13">
        <f t="shared" si="41"/>
        <v>8</v>
      </c>
      <c r="N223" s="13">
        <f t="shared" si="41"/>
        <v>2</v>
      </c>
      <c r="O223" s="13">
        <f t="shared" si="41"/>
        <v>1</v>
      </c>
      <c r="P223" s="13">
        <f t="shared" si="41"/>
        <v>22</v>
      </c>
      <c r="Q223" s="13">
        <f t="shared" si="41"/>
        <v>17</v>
      </c>
      <c r="R223" s="13">
        <f t="shared" si="41"/>
        <v>14</v>
      </c>
      <c r="S223" s="13">
        <f t="shared" si="41"/>
        <v>4</v>
      </c>
      <c r="T223" s="13">
        <f t="shared" si="41"/>
        <v>15</v>
      </c>
      <c r="U223" s="13">
        <f t="shared" si="41"/>
        <v>3</v>
      </c>
      <c r="V223" s="13">
        <f t="shared" si="41"/>
        <v>6</v>
      </c>
      <c r="W223" s="13">
        <f t="shared" si="41"/>
        <v>4</v>
      </c>
      <c r="X223" s="13">
        <f t="shared" si="41"/>
        <v>13</v>
      </c>
      <c r="Y223" s="13">
        <f t="shared" si="41"/>
        <v>5</v>
      </c>
      <c r="Z223" s="13">
        <f t="shared" si="41"/>
        <v>5</v>
      </c>
      <c r="AA223" s="13">
        <f t="shared" si="41"/>
        <v>4</v>
      </c>
      <c r="AB223" s="13">
        <f t="shared" si="41"/>
        <v>8</v>
      </c>
      <c r="AC223" s="13">
        <f t="shared" si="41"/>
        <v>0</v>
      </c>
      <c r="AD223" s="13">
        <f t="shared" si="41"/>
        <v>8</v>
      </c>
      <c r="AE223" s="13">
        <f t="shared" si="41"/>
        <v>3</v>
      </c>
      <c r="AF223" s="13">
        <f t="shared" si="41"/>
        <v>11</v>
      </c>
      <c r="AG223" s="13">
        <f t="shared" si="41"/>
        <v>7</v>
      </c>
      <c r="AH223" s="13">
        <f t="shared" si="41"/>
        <v>1</v>
      </c>
      <c r="AI223" s="13">
        <f t="shared" si="41"/>
        <v>3</v>
      </c>
      <c r="AJ223" s="13">
        <f t="shared" si="41"/>
        <v>3</v>
      </c>
      <c r="AK223" s="13">
        <f t="shared" si="41"/>
        <v>2</v>
      </c>
      <c r="AL223" s="13">
        <f t="shared" si="41"/>
        <v>10</v>
      </c>
      <c r="AM223" s="13">
        <f t="shared" si="41"/>
        <v>14</v>
      </c>
      <c r="AN223" s="13">
        <f t="shared" si="41"/>
        <v>8</v>
      </c>
      <c r="AO223" s="13">
        <f t="shared" si="41"/>
        <v>6</v>
      </c>
      <c r="AP223" s="13">
        <f t="shared" si="41"/>
        <v>10</v>
      </c>
      <c r="AQ223" s="13">
        <f t="shared" si="41"/>
        <v>7</v>
      </c>
      <c r="AR223" s="13">
        <f t="shared" si="41"/>
        <v>10</v>
      </c>
      <c r="AS223" s="13">
        <f t="shared" si="41"/>
        <v>9</v>
      </c>
      <c r="AT223" s="13">
        <f t="shared" si="41"/>
        <v>4</v>
      </c>
      <c r="AU223" s="13">
        <f t="shared" si="41"/>
        <v>8</v>
      </c>
      <c r="AV223" s="13">
        <f t="shared" si="41"/>
        <v>6</v>
      </c>
      <c r="AW223" s="13">
        <f t="shared" si="41"/>
        <v>4</v>
      </c>
      <c r="AX223" s="13">
        <f t="shared" si="41"/>
        <v>1</v>
      </c>
      <c r="AY223" s="13">
        <f t="shared" si="41"/>
        <v>324</v>
      </c>
      <c r="AZ223" s="5"/>
      <c r="BA223" s="5"/>
    </row>
    <row r="224" ht="12.75" customHeight="1">
      <c r="A224" s="24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6"/>
      <c r="X224" s="75"/>
      <c r="Y224" s="75"/>
      <c r="Z224" s="75"/>
      <c r="AA224" s="75"/>
      <c r="AB224" s="75"/>
      <c r="AC224" s="75"/>
      <c r="AD224" s="75"/>
      <c r="AE224" s="75"/>
      <c r="AF224" s="75"/>
      <c r="AG224" s="75"/>
      <c r="AH224" s="75"/>
      <c r="AI224" s="75"/>
      <c r="AJ224" s="75"/>
      <c r="AK224" s="75"/>
      <c r="AL224" s="75"/>
      <c r="AM224" s="75"/>
      <c r="AN224" s="75"/>
      <c r="AO224" s="75"/>
      <c r="AP224" s="75"/>
      <c r="AQ224" s="75"/>
      <c r="AR224" s="75"/>
      <c r="AS224" s="75"/>
      <c r="AT224" s="75"/>
      <c r="AU224" s="75"/>
      <c r="AV224" s="75"/>
      <c r="AW224" s="75"/>
      <c r="AX224" s="75"/>
      <c r="AY224" s="13">
        <f t="shared" ref="AY224:AY234" si="42">SUM(E224:AX224)</f>
        <v>0</v>
      </c>
      <c r="AZ224" s="5"/>
      <c r="BA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1.0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1.0</v>
      </c>
      <c r="P225" s="19">
        <v>1.0</v>
      </c>
      <c r="Q225" s="19">
        <v>1.0</v>
      </c>
      <c r="R225" s="19">
        <v>0.0</v>
      </c>
      <c r="S225" s="19">
        <v>0.0</v>
      </c>
      <c r="T225" s="19">
        <v>4.0</v>
      </c>
      <c r="U225" s="19">
        <v>2.0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1.0</v>
      </c>
      <c r="AD225" s="19">
        <v>0.0</v>
      </c>
      <c r="AE225" s="19">
        <v>0.0</v>
      </c>
      <c r="AF225" s="19">
        <v>0.0</v>
      </c>
      <c r="AG225" s="19">
        <v>0.0</v>
      </c>
      <c r="AH225" s="19">
        <v>0.0</v>
      </c>
      <c r="AI225" s="19">
        <v>0.0</v>
      </c>
      <c r="AJ225" s="19">
        <v>0.0</v>
      </c>
      <c r="AK225" s="19">
        <v>0.0</v>
      </c>
      <c r="AL225" s="19">
        <v>2.0</v>
      </c>
      <c r="AM225" s="19">
        <v>0.0</v>
      </c>
      <c r="AN225" s="19">
        <v>0.0</v>
      </c>
      <c r="AO225" s="19">
        <v>0.0</v>
      </c>
      <c r="AP225" s="19">
        <v>0.0</v>
      </c>
      <c r="AQ225" s="19">
        <v>0.0</v>
      </c>
      <c r="AR225" s="19">
        <v>2.0</v>
      </c>
      <c r="AS225" s="19">
        <v>0.0</v>
      </c>
      <c r="AT225" s="19">
        <v>1.0</v>
      </c>
      <c r="AU225" s="19">
        <v>1.0</v>
      </c>
      <c r="AV225" s="19">
        <v>0.0</v>
      </c>
      <c r="AW225" s="19">
        <v>0.0</v>
      </c>
      <c r="AX225" s="19"/>
      <c r="AY225" s="13">
        <f t="shared" si="42"/>
        <v>17</v>
      </c>
      <c r="AZ225" s="5"/>
      <c r="BA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4.0</v>
      </c>
      <c r="F226" s="19">
        <v>0.0</v>
      </c>
      <c r="G226" s="19">
        <v>2.0</v>
      </c>
      <c r="H226" s="19">
        <v>0.0</v>
      </c>
      <c r="I226" s="19">
        <v>0.0</v>
      </c>
      <c r="J226" s="19">
        <v>0.0</v>
      </c>
      <c r="K226" s="19">
        <v>0.0</v>
      </c>
      <c r="L226" s="19">
        <v>1.0</v>
      </c>
      <c r="M226" s="19">
        <v>0.0</v>
      </c>
      <c r="N226" s="19">
        <v>2.0</v>
      </c>
      <c r="O226" s="19">
        <v>4.0</v>
      </c>
      <c r="P226" s="19">
        <v>0.0</v>
      </c>
      <c r="Q226" s="19">
        <v>1.0</v>
      </c>
      <c r="R226" s="19">
        <v>3.0</v>
      </c>
      <c r="S226" s="19">
        <v>8.0</v>
      </c>
      <c r="T226" s="19">
        <v>12.0</v>
      </c>
      <c r="U226" s="19">
        <v>21.0</v>
      </c>
      <c r="V226" s="19">
        <v>10.0</v>
      </c>
      <c r="W226" s="19">
        <v>5.0</v>
      </c>
      <c r="X226" s="19">
        <v>0.0</v>
      </c>
      <c r="Y226" s="19">
        <v>0.0</v>
      </c>
      <c r="Z226" s="19">
        <v>4.0</v>
      </c>
      <c r="AA226" s="19">
        <v>4.0</v>
      </c>
      <c r="AB226" s="19">
        <v>3.0</v>
      </c>
      <c r="AC226" s="19">
        <v>11.0</v>
      </c>
      <c r="AD226" s="19">
        <v>5.0</v>
      </c>
      <c r="AE226" s="19">
        <v>2.0</v>
      </c>
      <c r="AF226" s="19">
        <v>11.0</v>
      </c>
      <c r="AG226" s="19">
        <v>0.0</v>
      </c>
      <c r="AH226" s="19">
        <v>0.0</v>
      </c>
      <c r="AI226" s="19">
        <v>0.0</v>
      </c>
      <c r="AJ226" s="19">
        <v>2.0</v>
      </c>
      <c r="AK226" s="19">
        <v>0.0</v>
      </c>
      <c r="AL226" s="19">
        <v>3.0</v>
      </c>
      <c r="AM226" s="19">
        <v>0.0</v>
      </c>
      <c r="AN226" s="19">
        <v>0.0</v>
      </c>
      <c r="AO226" s="19">
        <v>5.0</v>
      </c>
      <c r="AP226" s="19">
        <v>6.0</v>
      </c>
      <c r="AQ226" s="19">
        <v>0.0</v>
      </c>
      <c r="AR226" s="19">
        <v>8.0</v>
      </c>
      <c r="AS226" s="19">
        <v>0.0</v>
      </c>
      <c r="AT226" s="19">
        <v>0.0</v>
      </c>
      <c r="AU226" s="19">
        <v>0.0</v>
      </c>
      <c r="AV226" s="19">
        <v>2.0</v>
      </c>
      <c r="AW226" s="19">
        <v>2.0</v>
      </c>
      <c r="AX226" s="19"/>
      <c r="AY226" s="13">
        <f t="shared" si="42"/>
        <v>141</v>
      </c>
      <c r="AZ226" s="5"/>
      <c r="BA226" s="5"/>
    </row>
    <row r="227" ht="12.75" customHeight="1">
      <c r="A227" s="18"/>
      <c r="B227" s="55">
        <v>2.0</v>
      </c>
      <c r="C227" s="50" t="s">
        <v>167</v>
      </c>
      <c r="D227" s="57"/>
      <c r="E227" s="19">
        <v>2.0</v>
      </c>
      <c r="F227" s="19">
        <v>0.0</v>
      </c>
      <c r="G227" s="19">
        <v>0.0</v>
      </c>
      <c r="H227" s="19">
        <v>0.0</v>
      </c>
      <c r="I227" s="19">
        <v>1.0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1.0</v>
      </c>
      <c r="T227" s="19">
        <v>0.0</v>
      </c>
      <c r="U227" s="19">
        <v>1.0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1.0</v>
      </c>
      <c r="AI227" s="19">
        <v>0.0</v>
      </c>
      <c r="AJ227" s="19">
        <v>0.0</v>
      </c>
      <c r="AK227" s="19">
        <v>0.0</v>
      </c>
      <c r="AL227" s="19">
        <v>0.0</v>
      </c>
      <c r="AM227" s="19">
        <v>0.0</v>
      </c>
      <c r="AN227" s="19">
        <v>0.0</v>
      </c>
      <c r="AO227" s="19">
        <v>0.0</v>
      </c>
      <c r="AP227" s="19">
        <v>0.0</v>
      </c>
      <c r="AQ227" s="19">
        <v>0.0</v>
      </c>
      <c r="AR227" s="19">
        <v>0.0</v>
      </c>
      <c r="AS227" s="19">
        <v>0.0</v>
      </c>
      <c r="AT227" s="19">
        <v>0.0</v>
      </c>
      <c r="AU227" s="19">
        <v>0.0</v>
      </c>
      <c r="AV227" s="19">
        <v>0.0</v>
      </c>
      <c r="AW227" s="19">
        <v>0.0</v>
      </c>
      <c r="AX227" s="19"/>
      <c r="AY227" s="13">
        <f t="shared" si="42"/>
        <v>6</v>
      </c>
      <c r="AZ227" s="5"/>
      <c r="BA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1.0</v>
      </c>
      <c r="P228" s="19">
        <v>0.0</v>
      </c>
      <c r="Q228" s="19">
        <v>0.0</v>
      </c>
      <c r="R228" s="19">
        <v>0.0</v>
      </c>
      <c r="S228" s="19">
        <v>0.0</v>
      </c>
      <c r="T228" s="19">
        <v>1.0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1.0</v>
      </c>
      <c r="AG228" s="19">
        <v>0.0</v>
      </c>
      <c r="AH228" s="19">
        <v>0.0</v>
      </c>
      <c r="AI228" s="19">
        <v>0.0</v>
      </c>
      <c r="AJ228" s="19">
        <v>0.0</v>
      </c>
      <c r="AK228" s="19">
        <v>0.0</v>
      </c>
      <c r="AL228" s="19">
        <v>0.0</v>
      </c>
      <c r="AM228" s="19">
        <v>0.0</v>
      </c>
      <c r="AN228" s="19">
        <v>0.0</v>
      </c>
      <c r="AO228" s="19">
        <v>0.0</v>
      </c>
      <c r="AP228" s="19">
        <v>0.0</v>
      </c>
      <c r="AQ228" s="19">
        <v>0.0</v>
      </c>
      <c r="AR228" s="19">
        <v>0.0</v>
      </c>
      <c r="AS228" s="19">
        <v>0.0</v>
      </c>
      <c r="AT228" s="19">
        <v>0.0</v>
      </c>
      <c r="AU228" s="19">
        <v>0.0</v>
      </c>
      <c r="AV228" s="19">
        <v>0.0</v>
      </c>
      <c r="AW228" s="19">
        <v>0.0</v>
      </c>
      <c r="AX228" s="19"/>
      <c r="AY228" s="13">
        <f t="shared" si="42"/>
        <v>3</v>
      </c>
      <c r="AZ228" s="5"/>
      <c r="BA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9">
        <v>0.0</v>
      </c>
      <c r="AL229" s="19">
        <v>0.0</v>
      </c>
      <c r="AM229" s="19">
        <v>0.0</v>
      </c>
      <c r="AN229" s="19">
        <v>0.0</v>
      </c>
      <c r="AO229" s="19">
        <v>0.0</v>
      </c>
      <c r="AP229" s="19">
        <v>0.0</v>
      </c>
      <c r="AQ229" s="19">
        <v>0.0</v>
      </c>
      <c r="AR229" s="19">
        <v>0.0</v>
      </c>
      <c r="AS229" s="19">
        <v>0.0</v>
      </c>
      <c r="AT229" s="19">
        <v>0.0</v>
      </c>
      <c r="AU229" s="19">
        <v>0.0</v>
      </c>
      <c r="AV229" s="19">
        <v>0.0</v>
      </c>
      <c r="AW229" s="19">
        <v>0.0</v>
      </c>
      <c r="AX229" s="19"/>
      <c r="AY229" s="13">
        <f t="shared" si="42"/>
        <v>0</v>
      </c>
      <c r="AZ229" s="1"/>
      <c r="BA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1.0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1.0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9">
        <v>0.0</v>
      </c>
      <c r="AI230" s="19">
        <v>0.0</v>
      </c>
      <c r="AJ230" s="19">
        <v>0.0</v>
      </c>
      <c r="AK230" s="19">
        <v>0.0</v>
      </c>
      <c r="AL230" s="19">
        <v>0.0</v>
      </c>
      <c r="AM230" s="19">
        <v>0.0</v>
      </c>
      <c r="AN230" s="19">
        <v>0.0</v>
      </c>
      <c r="AO230" s="19">
        <v>0.0</v>
      </c>
      <c r="AP230" s="19">
        <v>0.0</v>
      </c>
      <c r="AQ230" s="19">
        <v>0.0</v>
      </c>
      <c r="AR230" s="19">
        <v>0.0</v>
      </c>
      <c r="AS230" s="19">
        <v>0.0</v>
      </c>
      <c r="AT230" s="19">
        <v>0.0</v>
      </c>
      <c r="AU230" s="19">
        <v>0.0</v>
      </c>
      <c r="AV230" s="19">
        <v>0.0</v>
      </c>
      <c r="AW230" s="19">
        <v>0.0</v>
      </c>
      <c r="AX230" s="19"/>
      <c r="AY230" s="13">
        <f t="shared" si="42"/>
        <v>2</v>
      </c>
      <c r="AZ230" s="52"/>
      <c r="BA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1.0</v>
      </c>
      <c r="AH231" s="19">
        <v>0.0</v>
      </c>
      <c r="AI231" s="19">
        <v>0.0</v>
      </c>
      <c r="AJ231" s="19">
        <v>0.0</v>
      </c>
      <c r="AK231" s="19">
        <v>0.0</v>
      </c>
      <c r="AL231" s="19">
        <v>0.0</v>
      </c>
      <c r="AM231" s="19">
        <v>0.0</v>
      </c>
      <c r="AN231" s="19">
        <v>0.0</v>
      </c>
      <c r="AO231" s="19">
        <v>0.0</v>
      </c>
      <c r="AP231" s="19">
        <v>0.0</v>
      </c>
      <c r="AQ231" s="19">
        <v>0.0</v>
      </c>
      <c r="AR231" s="19">
        <v>0.0</v>
      </c>
      <c r="AS231" s="19">
        <v>0.0</v>
      </c>
      <c r="AT231" s="19">
        <v>0.0</v>
      </c>
      <c r="AU231" s="19">
        <v>0.0</v>
      </c>
      <c r="AV231" s="19">
        <v>0.0</v>
      </c>
      <c r="AW231" s="19">
        <v>0.0</v>
      </c>
      <c r="AX231" s="19"/>
      <c r="AY231" s="13">
        <f t="shared" si="42"/>
        <v>1</v>
      </c>
      <c r="AZ231" s="5"/>
      <c r="BA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1.0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0.0</v>
      </c>
      <c r="AB232" s="19">
        <v>0.0</v>
      </c>
      <c r="AC232" s="19">
        <v>0.0</v>
      </c>
      <c r="AD232" s="19">
        <v>0.0</v>
      </c>
      <c r="AE232" s="19">
        <v>0.0</v>
      </c>
      <c r="AF232" s="19">
        <v>0.0</v>
      </c>
      <c r="AG232" s="19">
        <v>0.0</v>
      </c>
      <c r="AH232" s="19">
        <v>0.0</v>
      </c>
      <c r="AI232" s="19">
        <v>0.0</v>
      </c>
      <c r="AJ232" s="19">
        <v>0.0</v>
      </c>
      <c r="AK232" s="19">
        <v>0.0</v>
      </c>
      <c r="AL232" s="19">
        <v>1.0</v>
      </c>
      <c r="AM232" s="19">
        <v>0.0</v>
      </c>
      <c r="AN232" s="19">
        <v>0.0</v>
      </c>
      <c r="AO232" s="19">
        <v>0.0</v>
      </c>
      <c r="AP232" s="19">
        <v>0.0</v>
      </c>
      <c r="AQ232" s="19">
        <v>1.0</v>
      </c>
      <c r="AR232" s="19">
        <v>0.0</v>
      </c>
      <c r="AS232" s="19">
        <v>0.0</v>
      </c>
      <c r="AT232" s="19">
        <v>0.0</v>
      </c>
      <c r="AU232" s="19">
        <v>0.0</v>
      </c>
      <c r="AV232" s="19">
        <v>0.0</v>
      </c>
      <c r="AW232" s="19">
        <v>0.0</v>
      </c>
      <c r="AX232" s="19">
        <v>1.0</v>
      </c>
      <c r="AY232" s="13">
        <f t="shared" si="42"/>
        <v>4</v>
      </c>
      <c r="AZ232" s="5"/>
      <c r="BA232" s="5"/>
    </row>
    <row r="233" ht="12.75" customHeight="1">
      <c r="A233" s="18"/>
      <c r="B233" s="71"/>
      <c r="C233" s="72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3">
        <f t="shared" si="42"/>
        <v>0</v>
      </c>
      <c r="AZ233" s="5"/>
      <c r="BA233" s="5"/>
    </row>
    <row r="234" ht="12.75" customHeight="1">
      <c r="A234" s="18"/>
      <c r="B234" s="71"/>
      <c r="C234" s="72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3">
        <f t="shared" si="42"/>
        <v>0</v>
      </c>
      <c r="AZ234" s="5"/>
      <c r="BA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Y235" si="43">SUM(E225:E234)</f>
        <v>6</v>
      </c>
      <c r="F235" s="13">
        <f t="shared" si="43"/>
        <v>0</v>
      </c>
      <c r="G235" s="13">
        <f t="shared" si="43"/>
        <v>2</v>
      </c>
      <c r="H235" s="13">
        <f t="shared" si="43"/>
        <v>0</v>
      </c>
      <c r="I235" s="13">
        <f t="shared" si="43"/>
        <v>2</v>
      </c>
      <c r="J235" s="13">
        <f t="shared" si="43"/>
        <v>0</v>
      </c>
      <c r="K235" s="13">
        <f t="shared" si="43"/>
        <v>0</v>
      </c>
      <c r="L235" s="13">
        <f t="shared" si="43"/>
        <v>1</v>
      </c>
      <c r="M235" s="13">
        <f t="shared" si="43"/>
        <v>0</v>
      </c>
      <c r="N235" s="13">
        <f t="shared" si="43"/>
        <v>2</v>
      </c>
      <c r="O235" s="13">
        <f t="shared" si="43"/>
        <v>6</v>
      </c>
      <c r="P235" s="13">
        <f t="shared" si="43"/>
        <v>1</v>
      </c>
      <c r="Q235" s="13">
        <f t="shared" si="43"/>
        <v>2</v>
      </c>
      <c r="R235" s="13">
        <f t="shared" si="43"/>
        <v>3</v>
      </c>
      <c r="S235" s="13">
        <f t="shared" si="43"/>
        <v>10</v>
      </c>
      <c r="T235" s="13">
        <f t="shared" si="43"/>
        <v>18</v>
      </c>
      <c r="U235" s="13">
        <f t="shared" si="43"/>
        <v>24</v>
      </c>
      <c r="V235" s="13">
        <f t="shared" si="43"/>
        <v>10</v>
      </c>
      <c r="W235" s="13">
        <f t="shared" si="43"/>
        <v>5</v>
      </c>
      <c r="X235" s="13">
        <f t="shared" si="43"/>
        <v>0</v>
      </c>
      <c r="Y235" s="13">
        <f t="shared" si="43"/>
        <v>0</v>
      </c>
      <c r="Z235" s="13">
        <f t="shared" si="43"/>
        <v>4</v>
      </c>
      <c r="AA235" s="13">
        <f t="shared" si="43"/>
        <v>5</v>
      </c>
      <c r="AB235" s="13">
        <f t="shared" si="43"/>
        <v>3</v>
      </c>
      <c r="AC235" s="13">
        <f t="shared" si="43"/>
        <v>12</v>
      </c>
      <c r="AD235" s="13">
        <f t="shared" si="43"/>
        <v>5</v>
      </c>
      <c r="AE235" s="13">
        <f t="shared" si="43"/>
        <v>2</v>
      </c>
      <c r="AF235" s="13">
        <f t="shared" si="43"/>
        <v>12</v>
      </c>
      <c r="AG235" s="13">
        <f t="shared" si="43"/>
        <v>1</v>
      </c>
      <c r="AH235" s="13">
        <f t="shared" si="43"/>
        <v>1</v>
      </c>
      <c r="AI235" s="13">
        <f t="shared" si="43"/>
        <v>0</v>
      </c>
      <c r="AJ235" s="13">
        <f t="shared" si="43"/>
        <v>2</v>
      </c>
      <c r="AK235" s="13">
        <f t="shared" si="43"/>
        <v>0</v>
      </c>
      <c r="AL235" s="13">
        <f t="shared" si="43"/>
        <v>6</v>
      </c>
      <c r="AM235" s="13">
        <f t="shared" si="43"/>
        <v>0</v>
      </c>
      <c r="AN235" s="13">
        <f t="shared" si="43"/>
        <v>0</v>
      </c>
      <c r="AO235" s="13">
        <f t="shared" si="43"/>
        <v>5</v>
      </c>
      <c r="AP235" s="13">
        <f t="shared" si="43"/>
        <v>6</v>
      </c>
      <c r="AQ235" s="13">
        <f t="shared" si="43"/>
        <v>1</v>
      </c>
      <c r="AR235" s="13">
        <f t="shared" si="43"/>
        <v>10</v>
      </c>
      <c r="AS235" s="13">
        <f t="shared" si="43"/>
        <v>0</v>
      </c>
      <c r="AT235" s="13">
        <f t="shared" si="43"/>
        <v>1</v>
      </c>
      <c r="AU235" s="13">
        <f t="shared" si="43"/>
        <v>1</v>
      </c>
      <c r="AV235" s="13">
        <f t="shared" si="43"/>
        <v>2</v>
      </c>
      <c r="AW235" s="13">
        <f t="shared" si="43"/>
        <v>2</v>
      </c>
      <c r="AX235" s="13">
        <f t="shared" si="43"/>
        <v>1</v>
      </c>
      <c r="AY235" s="13">
        <f t="shared" si="43"/>
        <v>174</v>
      </c>
      <c r="AZ235" s="5"/>
      <c r="BA235" s="5"/>
    </row>
    <row r="236" ht="12.75" customHeight="1">
      <c r="A236" s="24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6"/>
      <c r="X236" s="75"/>
      <c r="Y236" s="75"/>
      <c r="Z236" s="75"/>
      <c r="AA236" s="75"/>
      <c r="AB236" s="75"/>
      <c r="AC236" s="75"/>
      <c r="AD236" s="75"/>
      <c r="AE236" s="75"/>
      <c r="AF236" s="75"/>
      <c r="AG236" s="75"/>
      <c r="AH236" s="75"/>
      <c r="AI236" s="75"/>
      <c r="AJ236" s="75"/>
      <c r="AK236" s="75"/>
      <c r="AL236" s="75"/>
      <c r="AM236" s="75"/>
      <c r="AN236" s="75"/>
      <c r="AO236" s="75"/>
      <c r="AP236" s="75"/>
      <c r="AQ236" s="75"/>
      <c r="AR236" s="75"/>
      <c r="AS236" s="75"/>
      <c r="AT236" s="75"/>
      <c r="AU236" s="75"/>
      <c r="AV236" s="75"/>
      <c r="AW236" s="75"/>
      <c r="AX236" s="75"/>
      <c r="AY236" s="13">
        <f t="shared" ref="AY236:AY246" si="44">SUM(E236:AX236)</f>
        <v>0</v>
      </c>
      <c r="AZ236" s="5"/>
      <c r="BA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2.0</v>
      </c>
      <c r="F237" s="19">
        <v>3.0</v>
      </c>
      <c r="G237" s="19">
        <v>0.0</v>
      </c>
      <c r="H237" s="19">
        <v>1.0</v>
      </c>
      <c r="I237" s="19">
        <v>0.0</v>
      </c>
      <c r="J237" s="19">
        <v>1.0</v>
      </c>
      <c r="K237" s="19">
        <v>0.0</v>
      </c>
      <c r="L237" s="19">
        <v>2.0</v>
      </c>
      <c r="M237" s="19">
        <v>0.0</v>
      </c>
      <c r="N237" s="19">
        <v>0.0</v>
      </c>
      <c r="O237" s="19">
        <v>1.0</v>
      </c>
      <c r="P237" s="19">
        <v>0.0</v>
      </c>
      <c r="Q237" s="19">
        <v>0.0</v>
      </c>
      <c r="R237" s="19">
        <v>0.0</v>
      </c>
      <c r="S237" s="19">
        <v>2.0</v>
      </c>
      <c r="T237" s="19">
        <v>1.0</v>
      </c>
      <c r="U237" s="19">
        <v>1.0</v>
      </c>
      <c r="V237" s="19">
        <v>0.0</v>
      </c>
      <c r="W237" s="19">
        <v>1.0</v>
      </c>
      <c r="X237" s="19">
        <v>1.0</v>
      </c>
      <c r="Y237" s="19">
        <v>0.0</v>
      </c>
      <c r="Z237" s="19">
        <v>1.0</v>
      </c>
      <c r="AA237" s="19">
        <v>3.0</v>
      </c>
      <c r="AB237" s="19">
        <v>0.0</v>
      </c>
      <c r="AC237" s="19">
        <v>0.0</v>
      </c>
      <c r="AD237" s="19">
        <v>2.0</v>
      </c>
      <c r="AE237" s="19">
        <v>3.0</v>
      </c>
      <c r="AF237" s="19">
        <v>0.0</v>
      </c>
      <c r="AG237" s="19">
        <v>1.0</v>
      </c>
      <c r="AH237" s="19">
        <v>1.0</v>
      </c>
      <c r="AI237" s="19">
        <v>1.0</v>
      </c>
      <c r="AJ237" s="19">
        <v>0.0</v>
      </c>
      <c r="AK237" s="19">
        <v>0.0</v>
      </c>
      <c r="AL237" s="19">
        <v>0.0</v>
      </c>
      <c r="AM237" s="19">
        <v>1.0</v>
      </c>
      <c r="AN237" s="19">
        <v>0.0</v>
      </c>
      <c r="AO237" s="19">
        <v>0.0</v>
      </c>
      <c r="AP237" s="19">
        <v>0.0</v>
      </c>
      <c r="AQ237" s="19">
        <v>1.0</v>
      </c>
      <c r="AR237" s="19">
        <v>2.0</v>
      </c>
      <c r="AS237" s="19">
        <v>0.0</v>
      </c>
      <c r="AT237" s="19">
        <v>1.0</v>
      </c>
      <c r="AU237" s="19">
        <v>0.0</v>
      </c>
      <c r="AV237" s="19">
        <v>0.0</v>
      </c>
      <c r="AW237" s="19">
        <v>1.0</v>
      </c>
      <c r="AX237" s="19">
        <v>2.0</v>
      </c>
      <c r="AY237" s="13">
        <f t="shared" si="44"/>
        <v>36</v>
      </c>
      <c r="AZ237" s="5"/>
      <c r="BA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9.0</v>
      </c>
      <c r="F238" s="19">
        <v>13.0</v>
      </c>
      <c r="G238" s="19">
        <v>0.0</v>
      </c>
      <c r="H238" s="19">
        <v>1.0</v>
      </c>
      <c r="I238" s="19">
        <v>1.0</v>
      </c>
      <c r="J238" s="19">
        <v>0.0</v>
      </c>
      <c r="K238" s="19">
        <v>0.0</v>
      </c>
      <c r="L238" s="19">
        <v>1.0</v>
      </c>
      <c r="M238" s="19">
        <v>0.0</v>
      </c>
      <c r="N238" s="19">
        <v>1.0</v>
      </c>
      <c r="O238" s="19">
        <v>0.0</v>
      </c>
      <c r="P238" s="19">
        <v>0.0</v>
      </c>
      <c r="Q238" s="19">
        <v>0.0</v>
      </c>
      <c r="R238" s="19">
        <v>0.0</v>
      </c>
      <c r="S238" s="19">
        <v>2.0</v>
      </c>
      <c r="T238" s="19">
        <v>1.0</v>
      </c>
      <c r="U238" s="19">
        <v>0.0</v>
      </c>
      <c r="V238" s="19">
        <v>0.0</v>
      </c>
      <c r="W238" s="19">
        <v>0.0</v>
      </c>
      <c r="X238" s="19">
        <v>0.0</v>
      </c>
      <c r="Y238" s="19">
        <v>0.0</v>
      </c>
      <c r="Z238" s="19">
        <v>0.0</v>
      </c>
      <c r="AA238" s="19">
        <v>0.0</v>
      </c>
      <c r="AB238" s="19">
        <v>0.0</v>
      </c>
      <c r="AC238" s="19">
        <v>1.0</v>
      </c>
      <c r="AD238" s="19">
        <v>1.0</v>
      </c>
      <c r="AE238" s="19">
        <v>1.0</v>
      </c>
      <c r="AF238" s="19">
        <v>1.0</v>
      </c>
      <c r="AG238" s="19">
        <v>1.0</v>
      </c>
      <c r="AH238" s="19">
        <v>0.0</v>
      </c>
      <c r="AI238" s="19">
        <v>0.0</v>
      </c>
      <c r="AJ238" s="19">
        <v>1.0</v>
      </c>
      <c r="AK238" s="19">
        <v>1.0</v>
      </c>
      <c r="AL238" s="19">
        <v>0.0</v>
      </c>
      <c r="AM238" s="19">
        <v>0.0</v>
      </c>
      <c r="AN238" s="19">
        <v>2.0</v>
      </c>
      <c r="AO238" s="19">
        <v>0.0</v>
      </c>
      <c r="AP238" s="19">
        <v>0.0</v>
      </c>
      <c r="AQ238" s="19">
        <v>0.0</v>
      </c>
      <c r="AR238" s="19">
        <v>0.0</v>
      </c>
      <c r="AS238" s="19">
        <v>0.0</v>
      </c>
      <c r="AT238" s="19">
        <v>0.0</v>
      </c>
      <c r="AU238" s="19">
        <v>0.0</v>
      </c>
      <c r="AV238" s="19">
        <v>2.0</v>
      </c>
      <c r="AW238" s="19">
        <v>0.0</v>
      </c>
      <c r="AX238" s="19">
        <v>3.0</v>
      </c>
      <c r="AY238" s="13">
        <f t="shared" si="44"/>
        <v>43</v>
      </c>
      <c r="AZ238" s="5"/>
      <c r="BA238" s="5"/>
    </row>
    <row r="239" ht="12.75" customHeight="1">
      <c r="A239" s="18"/>
      <c r="B239" s="55">
        <v>2.0</v>
      </c>
      <c r="C239" s="50" t="s">
        <v>176</v>
      </c>
      <c r="D239" s="57"/>
      <c r="E239" s="19">
        <v>2.0</v>
      </c>
      <c r="F239" s="19">
        <v>1.0</v>
      </c>
      <c r="G239" s="19">
        <v>0.0</v>
      </c>
      <c r="H239" s="19">
        <v>0.0</v>
      </c>
      <c r="I239" s="19">
        <v>0.0</v>
      </c>
      <c r="J239" s="19">
        <v>0.0</v>
      </c>
      <c r="K239" s="19">
        <v>0.0</v>
      </c>
      <c r="L239" s="19">
        <v>0.0</v>
      </c>
      <c r="M239" s="19">
        <v>0.0</v>
      </c>
      <c r="N239" s="19">
        <v>0.0</v>
      </c>
      <c r="O239" s="19">
        <v>0.0</v>
      </c>
      <c r="P239" s="19">
        <v>1.0</v>
      </c>
      <c r="Q239" s="19">
        <v>0.0</v>
      </c>
      <c r="R239" s="19">
        <v>0.0</v>
      </c>
      <c r="S239" s="19">
        <v>0.0</v>
      </c>
      <c r="T239" s="19">
        <v>0.0</v>
      </c>
      <c r="U239" s="19">
        <v>0.0</v>
      </c>
      <c r="V239" s="19">
        <v>0.0</v>
      </c>
      <c r="W239" s="19">
        <v>2.0</v>
      </c>
      <c r="X239" s="19">
        <v>0.0</v>
      </c>
      <c r="Y239" s="19">
        <v>0.0</v>
      </c>
      <c r="Z239" s="19">
        <v>1.0</v>
      </c>
      <c r="AA239" s="19">
        <v>2.0</v>
      </c>
      <c r="AB239" s="19">
        <v>0.0</v>
      </c>
      <c r="AC239" s="19">
        <v>1.0</v>
      </c>
      <c r="AD239" s="19">
        <v>0.0</v>
      </c>
      <c r="AE239" s="19">
        <v>2.0</v>
      </c>
      <c r="AF239" s="19">
        <v>0.0</v>
      </c>
      <c r="AG239" s="19">
        <v>0.0</v>
      </c>
      <c r="AH239" s="19">
        <v>0.0</v>
      </c>
      <c r="AI239" s="19">
        <v>3.0</v>
      </c>
      <c r="AJ239" s="19">
        <v>0.0</v>
      </c>
      <c r="AK239" s="19">
        <v>0.0</v>
      </c>
      <c r="AL239" s="19">
        <v>1.0</v>
      </c>
      <c r="AM239" s="19">
        <v>1.0</v>
      </c>
      <c r="AN239" s="19">
        <v>0.0</v>
      </c>
      <c r="AO239" s="19">
        <v>0.0</v>
      </c>
      <c r="AP239" s="19">
        <v>0.0</v>
      </c>
      <c r="AQ239" s="19">
        <v>0.0</v>
      </c>
      <c r="AR239" s="19">
        <v>0.0</v>
      </c>
      <c r="AS239" s="19">
        <v>1.0</v>
      </c>
      <c r="AT239" s="19">
        <v>0.0</v>
      </c>
      <c r="AU239" s="19">
        <v>0.0</v>
      </c>
      <c r="AV239" s="19">
        <v>0.0</v>
      </c>
      <c r="AW239" s="19">
        <v>0.0</v>
      </c>
      <c r="AX239" s="19">
        <v>1.0</v>
      </c>
      <c r="AY239" s="13">
        <f t="shared" si="44"/>
        <v>19</v>
      </c>
      <c r="AZ239" s="5"/>
      <c r="BA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1.0</v>
      </c>
      <c r="Y240" s="19">
        <v>0.0</v>
      </c>
      <c r="Z240" s="19">
        <v>0.0</v>
      </c>
      <c r="AA240" s="19">
        <v>0.0</v>
      </c>
      <c r="AB240" s="19">
        <v>0.0</v>
      </c>
      <c r="AC240" s="19">
        <v>0.0</v>
      </c>
      <c r="AD240" s="19">
        <v>2.0</v>
      </c>
      <c r="AE240" s="19">
        <v>1.0</v>
      </c>
      <c r="AF240" s="19">
        <v>0.0</v>
      </c>
      <c r="AG240" s="19">
        <v>0.0</v>
      </c>
      <c r="AH240" s="19">
        <v>1.0</v>
      </c>
      <c r="AI240" s="19">
        <v>0.0</v>
      </c>
      <c r="AJ240" s="19">
        <v>0.0</v>
      </c>
      <c r="AK240" s="19">
        <v>0.0</v>
      </c>
      <c r="AL240" s="19">
        <v>1.0</v>
      </c>
      <c r="AM240" s="19">
        <v>1.0</v>
      </c>
      <c r="AN240" s="19">
        <v>0.0</v>
      </c>
      <c r="AO240" s="19">
        <v>0.0</v>
      </c>
      <c r="AP240" s="19">
        <v>1.0</v>
      </c>
      <c r="AQ240" s="19">
        <v>0.0</v>
      </c>
      <c r="AR240" s="19">
        <v>0.0</v>
      </c>
      <c r="AS240" s="19">
        <v>0.0</v>
      </c>
      <c r="AT240" s="19">
        <v>0.0</v>
      </c>
      <c r="AU240" s="19">
        <v>0.0</v>
      </c>
      <c r="AV240" s="19">
        <v>0.0</v>
      </c>
      <c r="AW240" s="19">
        <v>0.0</v>
      </c>
      <c r="AX240" s="19">
        <v>1.0</v>
      </c>
      <c r="AY240" s="13">
        <f t="shared" si="44"/>
        <v>9</v>
      </c>
      <c r="AZ240" s="1"/>
      <c r="BA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1.0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1.0</v>
      </c>
      <c r="Q241" s="19">
        <v>0.0</v>
      </c>
      <c r="R241" s="19">
        <v>0.0</v>
      </c>
      <c r="S241" s="19">
        <v>0.0</v>
      </c>
      <c r="T241" s="19">
        <v>0.0</v>
      </c>
      <c r="U241" s="19">
        <v>1.0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2.0</v>
      </c>
      <c r="AB241" s="19">
        <v>0.0</v>
      </c>
      <c r="AC241" s="19">
        <v>1.0</v>
      </c>
      <c r="AD241" s="19">
        <v>0.0</v>
      </c>
      <c r="AE241" s="19">
        <v>1.0</v>
      </c>
      <c r="AF241" s="19">
        <v>0.0</v>
      </c>
      <c r="AG241" s="19">
        <v>0.0</v>
      </c>
      <c r="AH241" s="19">
        <v>0.0</v>
      </c>
      <c r="AI241" s="19">
        <v>0.0</v>
      </c>
      <c r="AJ241" s="19">
        <v>0.0</v>
      </c>
      <c r="AK241" s="19">
        <v>0.0</v>
      </c>
      <c r="AL241" s="19">
        <v>0.0</v>
      </c>
      <c r="AM241" s="19">
        <v>0.0</v>
      </c>
      <c r="AN241" s="19">
        <v>0.0</v>
      </c>
      <c r="AO241" s="19">
        <v>0.0</v>
      </c>
      <c r="AP241" s="19">
        <v>0.0</v>
      </c>
      <c r="AQ241" s="19">
        <v>0.0</v>
      </c>
      <c r="AR241" s="19">
        <v>0.0</v>
      </c>
      <c r="AS241" s="19">
        <v>0.0</v>
      </c>
      <c r="AT241" s="19">
        <v>0.0</v>
      </c>
      <c r="AU241" s="19">
        <v>0.0</v>
      </c>
      <c r="AV241" s="19">
        <v>1.0</v>
      </c>
      <c r="AW241" s="19">
        <v>0.0</v>
      </c>
      <c r="AX241" s="19">
        <v>1.0</v>
      </c>
      <c r="AY241" s="13">
        <f t="shared" si="44"/>
        <v>9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1.0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0.0</v>
      </c>
      <c r="AG242" s="19">
        <v>1.0</v>
      </c>
      <c r="AH242" s="19">
        <v>0.0</v>
      </c>
      <c r="AI242" s="19">
        <v>0.0</v>
      </c>
      <c r="AJ242" s="19">
        <v>0.0</v>
      </c>
      <c r="AK242" s="19">
        <v>0.0</v>
      </c>
      <c r="AL242" s="19">
        <v>0.0</v>
      </c>
      <c r="AM242" s="19">
        <v>0.0</v>
      </c>
      <c r="AN242" s="19">
        <v>0.0</v>
      </c>
      <c r="AO242" s="19">
        <v>0.0</v>
      </c>
      <c r="AP242" s="19">
        <v>0.0</v>
      </c>
      <c r="AQ242" s="19">
        <v>0.0</v>
      </c>
      <c r="AR242" s="19">
        <v>1.0</v>
      </c>
      <c r="AS242" s="19">
        <v>0.0</v>
      </c>
      <c r="AT242" s="19">
        <v>0.0</v>
      </c>
      <c r="AU242" s="19">
        <v>0.0</v>
      </c>
      <c r="AV242" s="19">
        <v>0.0</v>
      </c>
      <c r="AW242" s="19">
        <v>0.0</v>
      </c>
      <c r="AX242" s="19">
        <v>0.0</v>
      </c>
      <c r="AY242" s="13">
        <f t="shared" si="44"/>
        <v>3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1.0</v>
      </c>
      <c r="AC243" s="19">
        <v>0.0</v>
      </c>
      <c r="AD243" s="19">
        <v>0.0</v>
      </c>
      <c r="AE243" s="19">
        <v>0.0</v>
      </c>
      <c r="AF243" s="19">
        <v>0.0</v>
      </c>
      <c r="AG243" s="19">
        <v>0.0</v>
      </c>
      <c r="AH243" s="19">
        <v>0.0</v>
      </c>
      <c r="AI243" s="19">
        <v>0.0</v>
      </c>
      <c r="AJ243" s="19">
        <v>0.0</v>
      </c>
      <c r="AK243" s="19">
        <v>0.0</v>
      </c>
      <c r="AL243" s="19">
        <v>0.0</v>
      </c>
      <c r="AM243" s="19">
        <v>3.0</v>
      </c>
      <c r="AN243" s="19">
        <v>3.0</v>
      </c>
      <c r="AO243" s="19">
        <v>0.0</v>
      </c>
      <c r="AP243" s="19">
        <v>0.0</v>
      </c>
      <c r="AQ243" s="19">
        <v>0.0</v>
      </c>
      <c r="AR243" s="19">
        <v>0.0</v>
      </c>
      <c r="AS243" s="19">
        <v>0.0</v>
      </c>
      <c r="AT243" s="19">
        <v>0.0</v>
      </c>
      <c r="AU243" s="19">
        <v>0.0</v>
      </c>
      <c r="AV243" s="19">
        <v>0.0</v>
      </c>
      <c r="AW243" s="19">
        <v>0.0</v>
      </c>
      <c r="AX243" s="19">
        <v>0.0</v>
      </c>
      <c r="AY243" s="13">
        <f t="shared" si="44"/>
        <v>7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1.0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>
        <v>0.0</v>
      </c>
      <c r="N244" s="19">
        <v>0.0</v>
      </c>
      <c r="O244" s="19">
        <v>0.0</v>
      </c>
      <c r="P244" s="19">
        <v>0.0</v>
      </c>
      <c r="Q244" s="19">
        <v>0.0</v>
      </c>
      <c r="R244" s="19">
        <v>0.0</v>
      </c>
      <c r="S244" s="19">
        <v>0.0</v>
      </c>
      <c r="T244" s="19">
        <v>0.0</v>
      </c>
      <c r="U244" s="19">
        <v>0.0</v>
      </c>
      <c r="V244" s="19">
        <v>0.0</v>
      </c>
      <c r="W244" s="19">
        <v>0.0</v>
      </c>
      <c r="X244" s="19">
        <v>0.0</v>
      </c>
      <c r="Y244" s="19">
        <v>0.0</v>
      </c>
      <c r="Z244" s="19">
        <v>2.0</v>
      </c>
      <c r="AA244" s="19">
        <v>0.0</v>
      </c>
      <c r="AB244" s="19">
        <v>0.0</v>
      </c>
      <c r="AC244" s="19">
        <v>0.0</v>
      </c>
      <c r="AD244" s="19">
        <v>0.0</v>
      </c>
      <c r="AE244" s="19">
        <v>0.0</v>
      </c>
      <c r="AF244" s="19">
        <v>0.0</v>
      </c>
      <c r="AG244" s="19">
        <v>3.0</v>
      </c>
      <c r="AH244" s="19">
        <v>0.0</v>
      </c>
      <c r="AI244" s="19">
        <v>0.0</v>
      </c>
      <c r="AJ244" s="19">
        <v>0.0</v>
      </c>
      <c r="AK244" s="19">
        <v>1.0</v>
      </c>
      <c r="AL244" s="19">
        <v>0.0</v>
      </c>
      <c r="AM244" s="19">
        <v>3.0</v>
      </c>
      <c r="AN244" s="19">
        <v>0.0</v>
      </c>
      <c r="AO244" s="19">
        <v>0.0</v>
      </c>
      <c r="AP244" s="19">
        <v>1.0</v>
      </c>
      <c r="AQ244" s="19">
        <v>5.0</v>
      </c>
      <c r="AR244" s="19">
        <v>3.0</v>
      </c>
      <c r="AS244" s="19">
        <v>6.0</v>
      </c>
      <c r="AT244" s="19">
        <v>4.0</v>
      </c>
      <c r="AU244" s="19">
        <v>0.0</v>
      </c>
      <c r="AV244" s="19">
        <v>0.0</v>
      </c>
      <c r="AW244" s="19">
        <v>8.0</v>
      </c>
      <c r="AX244" s="19">
        <v>2.0</v>
      </c>
      <c r="AY244" s="13">
        <f t="shared" si="44"/>
        <v>39</v>
      </c>
    </row>
    <row r="245" ht="12.75" customHeight="1">
      <c r="A245" s="18"/>
      <c r="B245" s="71"/>
      <c r="C245" s="72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3">
        <f t="shared" si="44"/>
        <v>0</v>
      </c>
    </row>
    <row r="246" ht="12.75" customHeight="1">
      <c r="A246" s="18"/>
      <c r="B246" s="71"/>
      <c r="C246" s="72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3">
        <f t="shared" si="44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Y247" si="45">SUM(E237:E246)</f>
        <v>15</v>
      </c>
      <c r="F247" s="13">
        <f t="shared" si="45"/>
        <v>18</v>
      </c>
      <c r="G247" s="13">
        <f t="shared" si="45"/>
        <v>0</v>
      </c>
      <c r="H247" s="13">
        <f t="shared" si="45"/>
        <v>2</v>
      </c>
      <c r="I247" s="13">
        <f t="shared" si="45"/>
        <v>1</v>
      </c>
      <c r="J247" s="13">
        <f t="shared" si="45"/>
        <v>1</v>
      </c>
      <c r="K247" s="13">
        <f t="shared" si="45"/>
        <v>0</v>
      </c>
      <c r="L247" s="13">
        <f t="shared" si="45"/>
        <v>3</v>
      </c>
      <c r="M247" s="13">
        <f t="shared" si="45"/>
        <v>0</v>
      </c>
      <c r="N247" s="13">
        <f t="shared" si="45"/>
        <v>1</v>
      </c>
      <c r="O247" s="13">
        <f t="shared" si="45"/>
        <v>1</v>
      </c>
      <c r="P247" s="13">
        <f t="shared" si="45"/>
        <v>2</v>
      </c>
      <c r="Q247" s="13">
        <f t="shared" si="45"/>
        <v>0</v>
      </c>
      <c r="R247" s="13">
        <f t="shared" si="45"/>
        <v>0</v>
      </c>
      <c r="S247" s="13">
        <f t="shared" si="45"/>
        <v>4</v>
      </c>
      <c r="T247" s="13">
        <f t="shared" si="45"/>
        <v>2</v>
      </c>
      <c r="U247" s="13">
        <f t="shared" si="45"/>
        <v>2</v>
      </c>
      <c r="V247" s="13">
        <f t="shared" si="45"/>
        <v>0</v>
      </c>
      <c r="W247" s="13">
        <f t="shared" si="45"/>
        <v>3</v>
      </c>
      <c r="X247" s="13">
        <f t="shared" si="45"/>
        <v>2</v>
      </c>
      <c r="Y247" s="13">
        <f t="shared" si="45"/>
        <v>0</v>
      </c>
      <c r="Z247" s="13">
        <f t="shared" si="45"/>
        <v>4</v>
      </c>
      <c r="AA247" s="13">
        <f t="shared" si="45"/>
        <v>7</v>
      </c>
      <c r="AB247" s="13">
        <f t="shared" si="45"/>
        <v>1</v>
      </c>
      <c r="AC247" s="13">
        <f t="shared" si="45"/>
        <v>3</v>
      </c>
      <c r="AD247" s="13">
        <f t="shared" si="45"/>
        <v>5</v>
      </c>
      <c r="AE247" s="13">
        <f t="shared" si="45"/>
        <v>8</v>
      </c>
      <c r="AF247" s="13">
        <f t="shared" si="45"/>
        <v>1</v>
      </c>
      <c r="AG247" s="13">
        <f t="shared" si="45"/>
        <v>6</v>
      </c>
      <c r="AH247" s="13">
        <f t="shared" si="45"/>
        <v>2</v>
      </c>
      <c r="AI247" s="13">
        <f t="shared" si="45"/>
        <v>4</v>
      </c>
      <c r="AJ247" s="13">
        <f t="shared" si="45"/>
        <v>1</v>
      </c>
      <c r="AK247" s="13">
        <f t="shared" si="45"/>
        <v>2</v>
      </c>
      <c r="AL247" s="13">
        <f t="shared" si="45"/>
        <v>2</v>
      </c>
      <c r="AM247" s="13">
        <f t="shared" si="45"/>
        <v>9</v>
      </c>
      <c r="AN247" s="13">
        <f t="shared" si="45"/>
        <v>5</v>
      </c>
      <c r="AO247" s="13">
        <f t="shared" si="45"/>
        <v>0</v>
      </c>
      <c r="AP247" s="13">
        <f t="shared" si="45"/>
        <v>2</v>
      </c>
      <c r="AQ247" s="13">
        <f t="shared" si="45"/>
        <v>6</v>
      </c>
      <c r="AR247" s="13">
        <f t="shared" si="45"/>
        <v>6</v>
      </c>
      <c r="AS247" s="13">
        <f t="shared" si="45"/>
        <v>7</v>
      </c>
      <c r="AT247" s="13">
        <f t="shared" si="45"/>
        <v>5</v>
      </c>
      <c r="AU247" s="13">
        <f t="shared" si="45"/>
        <v>0</v>
      </c>
      <c r="AV247" s="13">
        <f t="shared" si="45"/>
        <v>3</v>
      </c>
      <c r="AW247" s="13">
        <f t="shared" si="45"/>
        <v>9</v>
      </c>
      <c r="AX247" s="13">
        <f t="shared" si="45"/>
        <v>10</v>
      </c>
      <c r="AY247" s="13">
        <f t="shared" si="45"/>
        <v>165</v>
      </c>
    </row>
    <row r="248" ht="12.75" customHeight="1">
      <c r="A248" s="24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6"/>
      <c r="AY248" s="13">
        <f t="shared" ref="AY248:AY258" si="46">SUM(E248:AX248)</f>
        <v>0</v>
      </c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1.0</v>
      </c>
      <c r="O249" s="19">
        <v>0.0</v>
      </c>
      <c r="P249" s="19">
        <v>0.0</v>
      </c>
      <c r="Q249" s="19">
        <v>0.0</v>
      </c>
      <c r="R249" s="19">
        <v>5.0</v>
      </c>
      <c r="S249" s="19">
        <v>1.0</v>
      </c>
      <c r="T249" s="19">
        <v>0.0</v>
      </c>
      <c r="U249" s="19">
        <v>0.0</v>
      </c>
      <c r="V249" s="19">
        <v>0.0</v>
      </c>
      <c r="W249" s="19">
        <v>0.0</v>
      </c>
      <c r="X249" s="19">
        <v>1.0</v>
      </c>
      <c r="Y249" s="19">
        <v>0.0</v>
      </c>
      <c r="Z249" s="19">
        <v>2.0</v>
      </c>
      <c r="AA249" s="19">
        <v>0.0</v>
      </c>
      <c r="AB249" s="19">
        <v>1.0</v>
      </c>
      <c r="AC249" s="19">
        <v>0.0</v>
      </c>
      <c r="AD249" s="19">
        <v>0.0</v>
      </c>
      <c r="AE249" s="19">
        <v>0.0</v>
      </c>
      <c r="AF249" s="19">
        <v>0.0</v>
      </c>
      <c r="AG249" s="19">
        <v>0.0</v>
      </c>
      <c r="AH249" s="19">
        <v>0.0</v>
      </c>
      <c r="AI249" s="19">
        <v>0.0</v>
      </c>
      <c r="AJ249" s="19">
        <v>0.0</v>
      </c>
      <c r="AK249" s="19">
        <v>0.0</v>
      </c>
      <c r="AL249" s="19">
        <v>0.0</v>
      </c>
      <c r="AM249" s="19">
        <v>0.0</v>
      </c>
      <c r="AN249" s="19">
        <v>0.0</v>
      </c>
      <c r="AO249" s="19">
        <v>0.0</v>
      </c>
      <c r="AP249" s="19">
        <v>0.0</v>
      </c>
      <c r="AQ249" s="19">
        <v>0.0</v>
      </c>
      <c r="AR249" s="19">
        <v>1.0</v>
      </c>
      <c r="AS249" s="19">
        <v>0.0</v>
      </c>
      <c r="AT249" s="19">
        <v>1.0</v>
      </c>
      <c r="AU249" s="19">
        <v>0.0</v>
      </c>
      <c r="AV249" s="19">
        <v>0.0</v>
      </c>
      <c r="AW249" s="19">
        <v>0.0</v>
      </c>
      <c r="AX249" s="19">
        <v>1.0</v>
      </c>
      <c r="AY249" s="13">
        <f t="shared" si="46"/>
        <v>14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1.0</v>
      </c>
      <c r="H250" s="19">
        <v>1.0</v>
      </c>
      <c r="I250" s="19">
        <v>1.0</v>
      </c>
      <c r="J250" s="19">
        <v>0.0</v>
      </c>
      <c r="K250" s="19">
        <v>1.0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1.0</v>
      </c>
      <c r="R250" s="19">
        <v>4.0</v>
      </c>
      <c r="S250" s="19">
        <v>0.0</v>
      </c>
      <c r="T250" s="19">
        <v>1.0</v>
      </c>
      <c r="U250" s="19">
        <v>0.0</v>
      </c>
      <c r="V250" s="19">
        <v>0.0</v>
      </c>
      <c r="W250" s="19">
        <v>0.0</v>
      </c>
      <c r="X250" s="19">
        <v>1.0</v>
      </c>
      <c r="Y250" s="19">
        <v>0.0</v>
      </c>
      <c r="Z250" s="19">
        <v>0.0</v>
      </c>
      <c r="AA250" s="19">
        <v>0.0</v>
      </c>
      <c r="AB250" s="19">
        <v>1.0</v>
      </c>
      <c r="AC250" s="19">
        <v>0.0</v>
      </c>
      <c r="AD250" s="19">
        <v>0.0</v>
      </c>
      <c r="AE250" s="19">
        <v>0.0</v>
      </c>
      <c r="AF250" s="19">
        <v>0.0</v>
      </c>
      <c r="AG250" s="19">
        <v>0.0</v>
      </c>
      <c r="AH250" s="19">
        <v>0.0</v>
      </c>
      <c r="AI250" s="19">
        <v>0.0</v>
      </c>
      <c r="AJ250" s="19">
        <v>0.0</v>
      </c>
      <c r="AK250" s="19">
        <v>0.0</v>
      </c>
      <c r="AL250" s="19">
        <v>0.0</v>
      </c>
      <c r="AM250" s="19">
        <v>0.0</v>
      </c>
      <c r="AN250" s="19">
        <v>0.0</v>
      </c>
      <c r="AO250" s="19">
        <v>0.0</v>
      </c>
      <c r="AP250" s="19">
        <v>0.0</v>
      </c>
      <c r="AQ250" s="19">
        <v>0.0</v>
      </c>
      <c r="AR250" s="19">
        <v>0.0</v>
      </c>
      <c r="AS250" s="19">
        <v>1.0</v>
      </c>
      <c r="AT250" s="19">
        <v>0.0</v>
      </c>
      <c r="AU250" s="19">
        <v>0.0</v>
      </c>
      <c r="AV250" s="19">
        <v>0.0</v>
      </c>
      <c r="AW250" s="19">
        <v>0.0</v>
      </c>
      <c r="AX250" s="19">
        <v>0.0</v>
      </c>
      <c r="AY250" s="13">
        <f t="shared" si="46"/>
        <v>13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1.0</v>
      </c>
      <c r="R251" s="19">
        <v>0.0</v>
      </c>
      <c r="S251" s="19">
        <v>3.0</v>
      </c>
      <c r="T251" s="19">
        <v>0.0</v>
      </c>
      <c r="U251" s="19">
        <v>0.0</v>
      </c>
      <c r="V251" s="19">
        <v>0.0</v>
      </c>
      <c r="W251" s="19">
        <v>1.0</v>
      </c>
      <c r="X251" s="19">
        <v>4.0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1.0</v>
      </c>
      <c r="AD251" s="19">
        <v>0.0</v>
      </c>
      <c r="AE251" s="19">
        <v>0.0</v>
      </c>
      <c r="AF251" s="19">
        <v>0.0</v>
      </c>
      <c r="AG251" s="19">
        <v>0.0</v>
      </c>
      <c r="AH251" s="19">
        <v>0.0</v>
      </c>
      <c r="AI251" s="19">
        <v>0.0</v>
      </c>
      <c r="AJ251" s="19">
        <v>0.0</v>
      </c>
      <c r="AK251" s="19">
        <v>0.0</v>
      </c>
      <c r="AL251" s="19">
        <v>0.0</v>
      </c>
      <c r="AM251" s="19">
        <v>0.0</v>
      </c>
      <c r="AN251" s="19">
        <v>0.0</v>
      </c>
      <c r="AO251" s="19">
        <v>0.0</v>
      </c>
      <c r="AP251" s="19">
        <v>0.0</v>
      </c>
      <c r="AQ251" s="19">
        <v>0.0</v>
      </c>
      <c r="AR251" s="19">
        <v>0.0</v>
      </c>
      <c r="AS251" s="19">
        <v>0.0</v>
      </c>
      <c r="AT251" s="19">
        <v>0.0</v>
      </c>
      <c r="AU251" s="19">
        <v>0.0</v>
      </c>
      <c r="AV251" s="19">
        <v>0.0</v>
      </c>
      <c r="AW251" s="19">
        <v>0.0</v>
      </c>
      <c r="AX251" s="19">
        <v>0.0</v>
      </c>
      <c r="AY251" s="13">
        <f t="shared" si="46"/>
        <v>10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1.0</v>
      </c>
      <c r="T252" s="19">
        <v>0.0</v>
      </c>
      <c r="U252" s="19">
        <v>0.0</v>
      </c>
      <c r="V252" s="19">
        <v>1.0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0.0</v>
      </c>
      <c r="AJ252" s="19">
        <v>0.0</v>
      </c>
      <c r="AK252" s="19">
        <v>0.0</v>
      </c>
      <c r="AL252" s="19">
        <v>0.0</v>
      </c>
      <c r="AM252" s="19">
        <v>0.0</v>
      </c>
      <c r="AN252" s="19">
        <v>0.0</v>
      </c>
      <c r="AO252" s="19">
        <v>0.0</v>
      </c>
      <c r="AP252" s="19">
        <v>0.0</v>
      </c>
      <c r="AQ252" s="19">
        <v>0.0</v>
      </c>
      <c r="AR252" s="19">
        <v>0.0</v>
      </c>
      <c r="AS252" s="19">
        <v>0.0</v>
      </c>
      <c r="AT252" s="19">
        <v>0.0</v>
      </c>
      <c r="AU252" s="19">
        <v>0.0</v>
      </c>
      <c r="AV252" s="19">
        <v>0.0</v>
      </c>
      <c r="AW252" s="19">
        <v>0.0</v>
      </c>
      <c r="AX252" s="19">
        <v>0.0</v>
      </c>
      <c r="AY252" s="13">
        <f t="shared" si="46"/>
        <v>2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>
        <v>0.0</v>
      </c>
      <c r="AJ253" s="19">
        <v>0.0</v>
      </c>
      <c r="AK253" s="19">
        <v>0.0</v>
      </c>
      <c r="AL253" s="19">
        <v>0.0</v>
      </c>
      <c r="AM253" s="19">
        <v>0.0</v>
      </c>
      <c r="AN253" s="19">
        <v>0.0</v>
      </c>
      <c r="AO253" s="19">
        <v>0.0</v>
      </c>
      <c r="AP253" s="19">
        <v>0.0</v>
      </c>
      <c r="AQ253" s="19">
        <v>0.0</v>
      </c>
      <c r="AR253" s="19">
        <v>0.0</v>
      </c>
      <c r="AS253" s="19">
        <v>0.0</v>
      </c>
      <c r="AT253" s="19">
        <v>0.0</v>
      </c>
      <c r="AU253" s="19">
        <v>0.0</v>
      </c>
      <c r="AV253" s="19">
        <v>0.0</v>
      </c>
      <c r="AW253" s="19">
        <v>0.0</v>
      </c>
      <c r="AX253" s="19">
        <v>0.0</v>
      </c>
      <c r="AY253" s="13">
        <f t="shared" si="46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1.0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0.0</v>
      </c>
      <c r="AI254" s="19">
        <v>0.0</v>
      </c>
      <c r="AJ254" s="19">
        <v>0.0</v>
      </c>
      <c r="AK254" s="19">
        <v>0.0</v>
      </c>
      <c r="AL254" s="19">
        <v>0.0</v>
      </c>
      <c r="AM254" s="19">
        <v>0.0</v>
      </c>
      <c r="AN254" s="19">
        <v>0.0</v>
      </c>
      <c r="AO254" s="19">
        <v>0.0</v>
      </c>
      <c r="AP254" s="19">
        <v>0.0</v>
      </c>
      <c r="AQ254" s="19">
        <v>0.0</v>
      </c>
      <c r="AR254" s="19">
        <v>0.0</v>
      </c>
      <c r="AS254" s="19">
        <v>0.0</v>
      </c>
      <c r="AT254" s="19">
        <v>0.0</v>
      </c>
      <c r="AU254" s="19">
        <v>0.0</v>
      </c>
      <c r="AV254" s="19">
        <v>0.0</v>
      </c>
      <c r="AW254" s="19">
        <v>0.0</v>
      </c>
      <c r="AX254" s="19">
        <v>0.0</v>
      </c>
      <c r="AY254" s="13">
        <f t="shared" si="46"/>
        <v>1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0.0</v>
      </c>
      <c r="AG255" s="19">
        <v>0.0</v>
      </c>
      <c r="AH255" s="19">
        <v>0.0</v>
      </c>
      <c r="AI255" s="19">
        <v>0.0</v>
      </c>
      <c r="AJ255" s="19">
        <v>0.0</v>
      </c>
      <c r="AK255" s="19">
        <v>0.0</v>
      </c>
      <c r="AL255" s="19">
        <v>0.0</v>
      </c>
      <c r="AM255" s="19">
        <v>0.0</v>
      </c>
      <c r="AN255" s="19">
        <v>0.0</v>
      </c>
      <c r="AO255" s="19">
        <v>0.0</v>
      </c>
      <c r="AP255" s="19">
        <v>0.0</v>
      </c>
      <c r="AQ255" s="19">
        <v>0.0</v>
      </c>
      <c r="AR255" s="19">
        <v>0.0</v>
      </c>
      <c r="AS255" s="19">
        <v>0.0</v>
      </c>
      <c r="AT255" s="19">
        <v>0.0</v>
      </c>
      <c r="AU255" s="19">
        <v>0.0</v>
      </c>
      <c r="AV255" s="19">
        <v>0.0</v>
      </c>
      <c r="AW255" s="19">
        <v>0.0</v>
      </c>
      <c r="AX255" s="19">
        <v>0.0</v>
      </c>
      <c r="AY255" s="13">
        <f t="shared" si="46"/>
        <v>0</v>
      </c>
    </row>
    <row r="256" ht="12.75" customHeight="1">
      <c r="A256" s="18"/>
      <c r="B256" s="71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3">
        <f t="shared" si="46"/>
        <v>0</v>
      </c>
    </row>
    <row r="257" ht="12.75" customHeight="1">
      <c r="A257" s="18"/>
      <c r="B257" s="71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3">
        <f t="shared" si="46"/>
        <v>0</v>
      </c>
    </row>
    <row r="258" ht="12.75" customHeight="1">
      <c r="A258" s="18"/>
      <c r="B258" s="71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3">
        <f t="shared" si="46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Y259" si="47">SUM(E249:E258)</f>
        <v>0</v>
      </c>
      <c r="F259" s="13">
        <f t="shared" si="47"/>
        <v>0</v>
      </c>
      <c r="G259" s="13">
        <f t="shared" si="47"/>
        <v>1</v>
      </c>
      <c r="H259" s="13">
        <f t="shared" si="47"/>
        <v>1</v>
      </c>
      <c r="I259" s="13">
        <f t="shared" si="47"/>
        <v>1</v>
      </c>
      <c r="J259" s="13">
        <f t="shared" si="47"/>
        <v>0</v>
      </c>
      <c r="K259" s="13">
        <f t="shared" si="47"/>
        <v>1</v>
      </c>
      <c r="L259" s="13">
        <f t="shared" si="47"/>
        <v>0</v>
      </c>
      <c r="M259" s="13">
        <f t="shared" si="47"/>
        <v>0</v>
      </c>
      <c r="N259" s="13">
        <f t="shared" si="47"/>
        <v>1</v>
      </c>
      <c r="O259" s="13">
        <f t="shared" si="47"/>
        <v>0</v>
      </c>
      <c r="P259" s="13">
        <f t="shared" si="47"/>
        <v>0</v>
      </c>
      <c r="Q259" s="13">
        <f t="shared" si="47"/>
        <v>2</v>
      </c>
      <c r="R259" s="13">
        <f t="shared" si="47"/>
        <v>9</v>
      </c>
      <c r="S259" s="13">
        <f t="shared" si="47"/>
        <v>5</v>
      </c>
      <c r="T259" s="13">
        <f t="shared" si="47"/>
        <v>1</v>
      </c>
      <c r="U259" s="13">
        <f t="shared" si="47"/>
        <v>0</v>
      </c>
      <c r="V259" s="13">
        <f t="shared" si="47"/>
        <v>1</v>
      </c>
      <c r="W259" s="13">
        <f t="shared" si="47"/>
        <v>2</v>
      </c>
      <c r="X259" s="13">
        <f t="shared" si="47"/>
        <v>6</v>
      </c>
      <c r="Y259" s="13">
        <f t="shared" si="47"/>
        <v>0</v>
      </c>
      <c r="Z259" s="13">
        <f t="shared" si="47"/>
        <v>2</v>
      </c>
      <c r="AA259" s="13">
        <f t="shared" si="47"/>
        <v>0</v>
      </c>
      <c r="AB259" s="13">
        <f t="shared" si="47"/>
        <v>2</v>
      </c>
      <c r="AC259" s="13">
        <f t="shared" si="47"/>
        <v>1</v>
      </c>
      <c r="AD259" s="13">
        <f t="shared" si="47"/>
        <v>0</v>
      </c>
      <c r="AE259" s="13">
        <f t="shared" si="47"/>
        <v>0</v>
      </c>
      <c r="AF259" s="13">
        <f t="shared" si="47"/>
        <v>0</v>
      </c>
      <c r="AG259" s="13">
        <f t="shared" si="47"/>
        <v>0</v>
      </c>
      <c r="AH259" s="13">
        <f t="shared" si="47"/>
        <v>0</v>
      </c>
      <c r="AI259" s="13">
        <f t="shared" si="47"/>
        <v>0</v>
      </c>
      <c r="AJ259" s="13">
        <f t="shared" si="47"/>
        <v>0</v>
      </c>
      <c r="AK259" s="13">
        <f t="shared" si="47"/>
        <v>0</v>
      </c>
      <c r="AL259" s="13">
        <f t="shared" si="47"/>
        <v>0</v>
      </c>
      <c r="AM259" s="13">
        <f t="shared" si="47"/>
        <v>0</v>
      </c>
      <c r="AN259" s="13">
        <f t="shared" si="47"/>
        <v>0</v>
      </c>
      <c r="AO259" s="13">
        <f t="shared" si="47"/>
        <v>0</v>
      </c>
      <c r="AP259" s="13">
        <f t="shared" si="47"/>
        <v>0</v>
      </c>
      <c r="AQ259" s="13">
        <f t="shared" si="47"/>
        <v>0</v>
      </c>
      <c r="AR259" s="13">
        <f t="shared" si="47"/>
        <v>1</v>
      </c>
      <c r="AS259" s="13">
        <f t="shared" si="47"/>
        <v>1</v>
      </c>
      <c r="AT259" s="13">
        <f t="shared" si="47"/>
        <v>1</v>
      </c>
      <c r="AU259" s="13">
        <f t="shared" si="47"/>
        <v>0</v>
      </c>
      <c r="AV259" s="13">
        <f t="shared" si="47"/>
        <v>0</v>
      </c>
      <c r="AW259" s="13">
        <f t="shared" si="47"/>
        <v>0</v>
      </c>
      <c r="AX259" s="13">
        <f t="shared" si="47"/>
        <v>1</v>
      </c>
      <c r="AY259" s="13">
        <f t="shared" si="47"/>
        <v>40</v>
      </c>
    </row>
    <row r="260" ht="12.75" customHeight="1">
      <c r="AY260" s="13">
        <f t="shared" ref="AY260:AY264" si="48">SUM(E260:AX260)</f>
        <v>0</v>
      </c>
    </row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69"/>
      <c r="P261" s="69"/>
      <c r="Q261" s="69"/>
      <c r="R261" s="69"/>
      <c r="S261" s="69"/>
      <c r="T261" s="69"/>
      <c r="U261" s="69"/>
      <c r="V261" s="69"/>
      <c r="W261" s="13"/>
      <c r="X261" s="13"/>
      <c r="Y261" s="13"/>
      <c r="Z261" s="13"/>
      <c r="AA261" s="13"/>
      <c r="AB261" s="13"/>
      <c r="AC261" s="13"/>
      <c r="AD261" s="13"/>
      <c r="AE261" s="13"/>
      <c r="AF261" s="69"/>
      <c r="AG261" s="69"/>
      <c r="AH261" s="69"/>
      <c r="AI261" s="69"/>
      <c r="AJ261" s="69"/>
      <c r="AK261" s="69"/>
      <c r="AL261" s="69"/>
      <c r="AM261" s="69"/>
      <c r="AN261" s="69"/>
      <c r="AO261" s="69"/>
      <c r="AP261" s="69"/>
      <c r="AQ261" s="69"/>
      <c r="AR261" s="69"/>
      <c r="AS261" s="69"/>
      <c r="AT261" s="69"/>
      <c r="AU261" s="69"/>
      <c r="AV261" s="69"/>
      <c r="AW261" s="69"/>
      <c r="AX261" s="69"/>
      <c r="AY261" s="13">
        <f t="shared" si="48"/>
        <v>0</v>
      </c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X262" si="49">E55+E67+E79+E91+E103+E115+E127+E139+E151+E163+E175+E187+E199+E211+E223+E235+E247+E259</f>
        <v>140</v>
      </c>
      <c r="F262" s="19">
        <f t="shared" si="49"/>
        <v>185</v>
      </c>
      <c r="G262" s="19">
        <f t="shared" si="49"/>
        <v>135</v>
      </c>
      <c r="H262" s="19">
        <f t="shared" si="49"/>
        <v>133</v>
      </c>
      <c r="I262" s="19">
        <f t="shared" si="49"/>
        <v>181</v>
      </c>
      <c r="J262" s="19">
        <f t="shared" si="49"/>
        <v>145</v>
      </c>
      <c r="K262" s="19">
        <f t="shared" si="49"/>
        <v>117</v>
      </c>
      <c r="L262" s="19">
        <f t="shared" si="49"/>
        <v>169</v>
      </c>
      <c r="M262" s="19">
        <f t="shared" si="49"/>
        <v>149</v>
      </c>
      <c r="N262" s="19">
        <f t="shared" si="49"/>
        <v>197</v>
      </c>
      <c r="O262" s="19">
        <f t="shared" si="49"/>
        <v>174</v>
      </c>
      <c r="P262" s="19">
        <f t="shared" si="49"/>
        <v>184</v>
      </c>
      <c r="Q262" s="19">
        <f t="shared" si="49"/>
        <v>163</v>
      </c>
      <c r="R262" s="19">
        <f t="shared" si="49"/>
        <v>138</v>
      </c>
      <c r="S262" s="19">
        <f t="shared" si="49"/>
        <v>170</v>
      </c>
      <c r="T262" s="19">
        <f t="shared" si="49"/>
        <v>159</v>
      </c>
      <c r="U262" s="19">
        <f t="shared" si="49"/>
        <v>199</v>
      </c>
      <c r="V262" s="19">
        <f t="shared" si="49"/>
        <v>205</v>
      </c>
      <c r="W262" s="19">
        <f t="shared" si="49"/>
        <v>192</v>
      </c>
      <c r="X262" s="19">
        <f t="shared" si="49"/>
        <v>211</v>
      </c>
      <c r="Y262" s="19">
        <f t="shared" si="49"/>
        <v>198</v>
      </c>
      <c r="Z262" s="19">
        <f t="shared" si="49"/>
        <v>191</v>
      </c>
      <c r="AA262" s="19">
        <f t="shared" si="49"/>
        <v>158</v>
      </c>
      <c r="AB262" s="19">
        <f t="shared" si="49"/>
        <v>164</v>
      </c>
      <c r="AC262" s="19">
        <f t="shared" si="49"/>
        <v>186</v>
      </c>
      <c r="AD262" s="19">
        <f t="shared" si="49"/>
        <v>185</v>
      </c>
      <c r="AE262" s="19">
        <f t="shared" si="49"/>
        <v>176</v>
      </c>
      <c r="AF262" s="19">
        <f t="shared" si="49"/>
        <v>150</v>
      </c>
      <c r="AG262" s="19">
        <f t="shared" si="49"/>
        <v>212</v>
      </c>
      <c r="AH262" s="19">
        <f t="shared" si="49"/>
        <v>113</v>
      </c>
      <c r="AI262" s="19">
        <f t="shared" si="49"/>
        <v>189</v>
      </c>
      <c r="AJ262" s="19">
        <f t="shared" si="49"/>
        <v>191</v>
      </c>
      <c r="AK262" s="19">
        <f t="shared" si="49"/>
        <v>209</v>
      </c>
      <c r="AL262" s="19">
        <f t="shared" si="49"/>
        <v>212</v>
      </c>
      <c r="AM262" s="19">
        <f t="shared" si="49"/>
        <v>234</v>
      </c>
      <c r="AN262" s="19">
        <f t="shared" si="49"/>
        <v>179</v>
      </c>
      <c r="AO262" s="19">
        <f t="shared" si="49"/>
        <v>204</v>
      </c>
      <c r="AP262" s="19">
        <f t="shared" si="49"/>
        <v>193</v>
      </c>
      <c r="AQ262" s="19">
        <f t="shared" si="49"/>
        <v>185</v>
      </c>
      <c r="AR262" s="19">
        <f t="shared" si="49"/>
        <v>192</v>
      </c>
      <c r="AS262" s="19">
        <f t="shared" si="49"/>
        <v>195</v>
      </c>
      <c r="AT262" s="19">
        <f t="shared" si="49"/>
        <v>183</v>
      </c>
      <c r="AU262" s="19">
        <f t="shared" si="49"/>
        <v>212</v>
      </c>
      <c r="AV262" s="19">
        <f t="shared" si="49"/>
        <v>195</v>
      </c>
      <c r="AW262" s="19">
        <f t="shared" si="49"/>
        <v>181</v>
      </c>
      <c r="AX262" s="19">
        <f t="shared" si="49"/>
        <v>185</v>
      </c>
      <c r="AY262" s="13">
        <f t="shared" si="48"/>
        <v>8218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42.0</v>
      </c>
      <c r="F263" s="19">
        <v>20.0</v>
      </c>
      <c r="G263" s="19">
        <v>36.0</v>
      </c>
      <c r="H263" s="19">
        <v>36.0</v>
      </c>
      <c r="I263" s="19">
        <v>27.0</v>
      </c>
      <c r="J263" s="19">
        <v>54.0</v>
      </c>
      <c r="K263" s="19">
        <v>50.0</v>
      </c>
      <c r="L263" s="19">
        <v>25.0</v>
      </c>
      <c r="M263" s="19">
        <v>17.0</v>
      </c>
      <c r="N263" s="19">
        <v>21.0</v>
      </c>
      <c r="O263" s="19">
        <v>18.0</v>
      </c>
      <c r="P263" s="19">
        <v>26.0</v>
      </c>
      <c r="Q263" s="19">
        <v>17.0</v>
      </c>
      <c r="R263" s="19">
        <v>15.0</v>
      </c>
      <c r="S263" s="19">
        <v>9.0</v>
      </c>
      <c r="T263" s="19">
        <v>42.0</v>
      </c>
      <c r="U263" s="19">
        <v>25.0</v>
      </c>
      <c r="V263" s="19">
        <v>15.0</v>
      </c>
      <c r="W263" s="19">
        <v>15.0</v>
      </c>
      <c r="X263" s="19">
        <v>20.0</v>
      </c>
      <c r="Y263" s="19">
        <v>17.0</v>
      </c>
      <c r="Z263" s="19">
        <v>13.0</v>
      </c>
      <c r="AA263" s="19">
        <v>35.0</v>
      </c>
      <c r="AB263" s="19">
        <v>18.0</v>
      </c>
      <c r="AC263" s="19">
        <v>13.0</v>
      </c>
      <c r="AD263" s="19">
        <v>18.0</v>
      </c>
      <c r="AE263" s="19">
        <v>15.0</v>
      </c>
      <c r="AF263" s="19">
        <v>11.0</v>
      </c>
      <c r="AG263" s="19">
        <v>11.0</v>
      </c>
      <c r="AH263" s="19">
        <v>9.0</v>
      </c>
      <c r="AI263" s="19">
        <v>13.0</v>
      </c>
      <c r="AJ263" s="19">
        <v>18.0</v>
      </c>
      <c r="AK263" s="19">
        <v>15.0</v>
      </c>
      <c r="AL263" s="19">
        <v>25.0</v>
      </c>
      <c r="AM263" s="19">
        <v>21.0</v>
      </c>
      <c r="AN263" s="19">
        <v>31.0</v>
      </c>
      <c r="AO263" s="19">
        <v>25.0</v>
      </c>
      <c r="AP263" s="19">
        <v>11.0</v>
      </c>
      <c r="AQ263" s="19">
        <v>11.0</v>
      </c>
      <c r="AR263" s="19">
        <v>6.0</v>
      </c>
      <c r="AS263" s="19">
        <v>15.0</v>
      </c>
      <c r="AT263" s="19">
        <v>27.0</v>
      </c>
      <c r="AU263" s="19">
        <v>18.0</v>
      </c>
      <c r="AV263" s="19">
        <v>10.0</v>
      </c>
      <c r="AW263" s="19">
        <v>10.0</v>
      </c>
      <c r="AX263" s="19">
        <v>15.0</v>
      </c>
      <c r="AY263" s="13">
        <f t="shared" si="48"/>
        <v>961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X264" si="50">SUM(E262:E263)</f>
        <v>182</v>
      </c>
      <c r="F264" s="13">
        <f t="shared" si="50"/>
        <v>205</v>
      </c>
      <c r="G264" s="13">
        <f t="shared" si="50"/>
        <v>171</v>
      </c>
      <c r="H264" s="13">
        <f t="shared" si="50"/>
        <v>169</v>
      </c>
      <c r="I264" s="13">
        <f t="shared" si="50"/>
        <v>208</v>
      </c>
      <c r="J264" s="13">
        <f t="shared" si="50"/>
        <v>199</v>
      </c>
      <c r="K264" s="13">
        <f t="shared" si="50"/>
        <v>167</v>
      </c>
      <c r="L264" s="13">
        <f t="shared" si="50"/>
        <v>194</v>
      </c>
      <c r="M264" s="13">
        <f t="shared" si="50"/>
        <v>166</v>
      </c>
      <c r="N264" s="13">
        <f t="shared" si="50"/>
        <v>218</v>
      </c>
      <c r="O264" s="13">
        <f t="shared" si="50"/>
        <v>192</v>
      </c>
      <c r="P264" s="13">
        <f t="shared" si="50"/>
        <v>210</v>
      </c>
      <c r="Q264" s="13">
        <f t="shared" si="50"/>
        <v>180</v>
      </c>
      <c r="R264" s="13">
        <f t="shared" si="50"/>
        <v>153</v>
      </c>
      <c r="S264" s="13">
        <f t="shared" si="50"/>
        <v>179</v>
      </c>
      <c r="T264" s="13">
        <f t="shared" si="50"/>
        <v>201</v>
      </c>
      <c r="U264" s="13">
        <f t="shared" si="50"/>
        <v>224</v>
      </c>
      <c r="V264" s="13">
        <f t="shared" si="50"/>
        <v>220</v>
      </c>
      <c r="W264" s="13">
        <f t="shared" si="50"/>
        <v>207</v>
      </c>
      <c r="X264" s="13">
        <f t="shared" si="50"/>
        <v>231</v>
      </c>
      <c r="Y264" s="13">
        <f t="shared" si="50"/>
        <v>215</v>
      </c>
      <c r="Z264" s="13">
        <f t="shared" si="50"/>
        <v>204</v>
      </c>
      <c r="AA264" s="13">
        <f t="shared" si="50"/>
        <v>193</v>
      </c>
      <c r="AB264" s="13">
        <f t="shared" si="50"/>
        <v>182</v>
      </c>
      <c r="AC264" s="13">
        <f t="shared" si="50"/>
        <v>199</v>
      </c>
      <c r="AD264" s="13">
        <f t="shared" si="50"/>
        <v>203</v>
      </c>
      <c r="AE264" s="13">
        <f t="shared" si="50"/>
        <v>191</v>
      </c>
      <c r="AF264" s="13">
        <f t="shared" si="50"/>
        <v>161</v>
      </c>
      <c r="AG264" s="13">
        <f t="shared" si="50"/>
        <v>223</v>
      </c>
      <c r="AH264" s="13">
        <f t="shared" si="50"/>
        <v>122</v>
      </c>
      <c r="AI264" s="13">
        <f t="shared" si="50"/>
        <v>202</v>
      </c>
      <c r="AJ264" s="13">
        <f t="shared" si="50"/>
        <v>209</v>
      </c>
      <c r="AK264" s="13">
        <f t="shared" si="50"/>
        <v>224</v>
      </c>
      <c r="AL264" s="13">
        <f t="shared" si="50"/>
        <v>237</v>
      </c>
      <c r="AM264" s="13">
        <f t="shared" si="50"/>
        <v>255</v>
      </c>
      <c r="AN264" s="13">
        <f t="shared" si="50"/>
        <v>210</v>
      </c>
      <c r="AO264" s="13">
        <f t="shared" si="50"/>
        <v>229</v>
      </c>
      <c r="AP264" s="13">
        <f t="shared" si="50"/>
        <v>204</v>
      </c>
      <c r="AQ264" s="13">
        <f t="shared" si="50"/>
        <v>196</v>
      </c>
      <c r="AR264" s="13">
        <f t="shared" si="50"/>
        <v>198</v>
      </c>
      <c r="AS264" s="13">
        <f t="shared" si="50"/>
        <v>210</v>
      </c>
      <c r="AT264" s="13">
        <f t="shared" si="50"/>
        <v>210</v>
      </c>
      <c r="AU264" s="13">
        <f t="shared" si="50"/>
        <v>230</v>
      </c>
      <c r="AV264" s="13">
        <f t="shared" si="50"/>
        <v>205</v>
      </c>
      <c r="AW264" s="13">
        <f t="shared" si="50"/>
        <v>191</v>
      </c>
      <c r="AX264" s="13">
        <f t="shared" si="50"/>
        <v>200</v>
      </c>
      <c r="AY264" s="13">
        <f t="shared" si="48"/>
        <v>9179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5">
    <mergeCell ref="C28:C30"/>
    <mergeCell ref="A31:D31"/>
    <mergeCell ref="B32:D32"/>
    <mergeCell ref="B33:D33"/>
    <mergeCell ref="B34:D34"/>
    <mergeCell ref="B35:D35"/>
    <mergeCell ref="B36:D36"/>
    <mergeCell ref="C45:D45"/>
    <mergeCell ref="C46:D46"/>
    <mergeCell ref="C47:D47"/>
    <mergeCell ref="C48:D48"/>
    <mergeCell ref="C49:D49"/>
    <mergeCell ref="C50:D50"/>
    <mergeCell ref="C51:D51"/>
    <mergeCell ref="B91:D91"/>
    <mergeCell ref="C93:D93"/>
    <mergeCell ref="B103:D103"/>
    <mergeCell ref="C105:D105"/>
    <mergeCell ref="B115:D115"/>
    <mergeCell ref="C117:D117"/>
    <mergeCell ref="B127:D127"/>
    <mergeCell ref="C129:D129"/>
    <mergeCell ref="B139:D139"/>
    <mergeCell ref="C141:D141"/>
    <mergeCell ref="B151:D151"/>
    <mergeCell ref="C153:D153"/>
    <mergeCell ref="B163:D163"/>
    <mergeCell ref="C165:D165"/>
    <mergeCell ref="B175:D175"/>
    <mergeCell ref="C177:D177"/>
    <mergeCell ref="B187:D187"/>
    <mergeCell ref="C189:D189"/>
    <mergeCell ref="B199:D199"/>
    <mergeCell ref="C201:D201"/>
    <mergeCell ref="B211:D211"/>
    <mergeCell ref="B259:D259"/>
    <mergeCell ref="B261:D261"/>
    <mergeCell ref="C262:D262"/>
    <mergeCell ref="C263:D263"/>
    <mergeCell ref="C264:D264"/>
    <mergeCell ref="C213:D213"/>
    <mergeCell ref="B223:D223"/>
    <mergeCell ref="C225:D225"/>
    <mergeCell ref="B235:D235"/>
    <mergeCell ref="C237:D237"/>
    <mergeCell ref="B247:D247"/>
    <mergeCell ref="C249:D249"/>
    <mergeCell ref="A200:W200"/>
    <mergeCell ref="A212:W212"/>
    <mergeCell ref="A224:W224"/>
    <mergeCell ref="A236:W236"/>
    <mergeCell ref="A248:W248"/>
    <mergeCell ref="A116:W116"/>
    <mergeCell ref="A128:W128"/>
    <mergeCell ref="A140:W140"/>
    <mergeCell ref="A152:W152"/>
    <mergeCell ref="A164:W164"/>
    <mergeCell ref="A176:W176"/>
    <mergeCell ref="A188:W188"/>
    <mergeCell ref="B12:D12"/>
    <mergeCell ref="W12:AX12"/>
    <mergeCell ref="AY12:AY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W37:AA37"/>
    <mergeCell ref="B38:D38"/>
    <mergeCell ref="B39:C41"/>
    <mergeCell ref="A42:D42"/>
    <mergeCell ref="E42:I42"/>
    <mergeCell ref="W42:AA42"/>
    <mergeCell ref="B43:D43"/>
    <mergeCell ref="A44:D44"/>
    <mergeCell ref="C52:D52"/>
    <mergeCell ref="B55:D55"/>
    <mergeCell ref="A56:W56"/>
    <mergeCell ref="B79:D79"/>
    <mergeCell ref="C81:D81"/>
    <mergeCell ref="C57:D57"/>
    <mergeCell ref="B67:D67"/>
    <mergeCell ref="A68:W68"/>
    <mergeCell ref="C69:D69"/>
    <mergeCell ref="A80:W80"/>
    <mergeCell ref="A92:W92"/>
    <mergeCell ref="A104:W104"/>
  </mergeCells>
  <conditionalFormatting sqref="E34:T34">
    <cfRule type="expression" dxfId="0" priority="1">
      <formula>E34&lt;&gt;E64</formula>
    </cfRule>
  </conditionalFormatting>
  <conditionalFormatting sqref="E14:AX15">
    <cfRule type="containsBlanks" dxfId="1" priority="2">
      <formula>LEN(TRIM(E14))=0</formula>
    </cfRule>
  </conditionalFormatting>
  <conditionalFormatting sqref="E19:AX20">
    <cfRule type="containsBlanks" dxfId="1" priority="3">
      <formula>LEN(TRIM(E19))=0</formula>
    </cfRule>
  </conditionalFormatting>
  <conditionalFormatting sqref="E22:AX23 E25:AX26 E33:AX33 E35:AX35 E39:AX40">
    <cfRule type="containsBlanks" dxfId="1" priority="4">
      <formula>LEN(TRIM(E22))=0</formula>
    </cfRule>
  </conditionalFormatting>
  <conditionalFormatting sqref="E30:AX30">
    <cfRule type="expression" dxfId="0" priority="5">
      <formula>E30&lt;&gt;E47</formula>
    </cfRule>
  </conditionalFormatting>
  <conditionalFormatting sqref="E30:AX30">
    <cfRule type="expression" dxfId="0" priority="6">
      <formula>E30&lt;&gt;E34</formula>
    </cfRule>
  </conditionalFormatting>
  <conditionalFormatting sqref="E34:AX34">
    <cfRule type="expression" dxfId="2" priority="7">
      <formula>E30&lt;&gt;E34</formula>
    </cfRule>
  </conditionalFormatting>
  <conditionalFormatting sqref="E34:AX34">
    <cfRule type="expression" dxfId="3" priority="8">
      <formula>E30=E34</formula>
    </cfRule>
  </conditionalFormatting>
  <conditionalFormatting sqref="E34:AX34">
    <cfRule type="expression" dxfId="0" priority="9">
      <formula>E34&lt;&gt;E30</formula>
    </cfRule>
  </conditionalFormatting>
  <conditionalFormatting sqref="E45:AX54">
    <cfRule type="containsBlanks" dxfId="1" priority="10">
      <formula>LEN(TRIM(E45))=0</formula>
    </cfRule>
  </conditionalFormatting>
  <conditionalFormatting sqref="E57:AX66">
    <cfRule type="containsBlanks" dxfId="1" priority="11">
      <formula>LEN(TRIM(E57))=0</formula>
    </cfRule>
  </conditionalFormatting>
  <conditionalFormatting sqref="E69:AX78">
    <cfRule type="containsBlanks" dxfId="1" priority="12">
      <formula>LEN(TRIM(E69))=0</formula>
    </cfRule>
  </conditionalFormatting>
  <conditionalFormatting sqref="E81:AX90">
    <cfRule type="containsBlanks" dxfId="1" priority="13">
      <formula>LEN(TRIM(E81))=0</formula>
    </cfRule>
  </conditionalFormatting>
  <conditionalFormatting sqref="E93:AX102">
    <cfRule type="containsBlanks" dxfId="1" priority="14">
      <formula>LEN(TRIM(E93))=0</formula>
    </cfRule>
  </conditionalFormatting>
  <conditionalFormatting sqref="E105:AX114">
    <cfRule type="containsBlanks" dxfId="1" priority="15">
      <formula>LEN(TRIM(E105))=0</formula>
    </cfRule>
  </conditionalFormatting>
  <conditionalFormatting sqref="E117:AX126">
    <cfRule type="containsBlanks" dxfId="1" priority="16">
      <formula>LEN(TRIM(E117))=0</formula>
    </cfRule>
  </conditionalFormatting>
  <conditionalFormatting sqref="E129:AX138">
    <cfRule type="containsBlanks" dxfId="1" priority="17">
      <formula>LEN(TRIM(E129))=0</formula>
    </cfRule>
  </conditionalFormatting>
  <conditionalFormatting sqref="E141:AX150">
    <cfRule type="containsBlanks" dxfId="1" priority="18">
      <formula>LEN(TRIM(E141))=0</formula>
    </cfRule>
  </conditionalFormatting>
  <conditionalFormatting sqref="E153:AX162">
    <cfRule type="containsBlanks" dxfId="1" priority="19">
      <formula>LEN(TRIM(E153))=0</formula>
    </cfRule>
  </conditionalFormatting>
  <conditionalFormatting sqref="E165:AX174">
    <cfRule type="containsBlanks" dxfId="1" priority="20">
      <formula>LEN(TRIM(E165))=0</formula>
    </cfRule>
  </conditionalFormatting>
  <conditionalFormatting sqref="E177:AX186">
    <cfRule type="containsBlanks" dxfId="1" priority="21">
      <formula>LEN(TRIM(E177))=0</formula>
    </cfRule>
  </conditionalFormatting>
  <conditionalFormatting sqref="E189:AX198">
    <cfRule type="containsBlanks" dxfId="1" priority="22">
      <formula>LEN(TRIM(E189))=0</formula>
    </cfRule>
  </conditionalFormatting>
  <conditionalFormatting sqref="E201:AX210">
    <cfRule type="containsBlanks" dxfId="1" priority="23">
      <formula>LEN(TRIM(E201))=0</formula>
    </cfRule>
  </conditionalFormatting>
  <conditionalFormatting sqref="E213:AX222">
    <cfRule type="containsBlanks" dxfId="1" priority="24">
      <formula>LEN(TRIM(E213))=0</formula>
    </cfRule>
  </conditionalFormatting>
  <conditionalFormatting sqref="E225:AX234">
    <cfRule type="containsBlanks" dxfId="1" priority="25">
      <formula>LEN(TRIM(E225))=0</formula>
    </cfRule>
  </conditionalFormatting>
  <conditionalFormatting sqref="E237:AX246">
    <cfRule type="containsBlanks" dxfId="1" priority="26">
      <formula>LEN(TRIM(E237))=0</formula>
    </cfRule>
  </conditionalFormatting>
  <conditionalFormatting sqref="E249:AX258">
    <cfRule type="containsBlanks" dxfId="1" priority="27">
      <formula>LEN(TRIM(E249))=0</formula>
    </cfRule>
  </conditionalFormatting>
  <conditionalFormatting sqref="E262:AX263">
    <cfRule type="containsBlanks" dxfId="1" priority="28">
      <formula>LEN(TRIM(E262))=0</formula>
    </cfRule>
  </conditionalFormatting>
  <conditionalFormatting sqref="U34:V34">
    <cfRule type="expression" dxfId="0" priority="29">
      <formula>U34&lt;&gt;U47</formula>
    </cfRule>
  </conditionalFormatting>
  <conditionalFormatting sqref="W34:AL34">
    <cfRule type="expression" dxfId="0" priority="30">
      <formula>W34&lt;&gt;W64</formula>
    </cfRule>
  </conditionalFormatting>
  <conditionalFormatting sqref="AM34:AX34">
    <cfRule type="expression" dxfId="0" priority="31">
      <formula>AM34&lt;&gt;AM47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2" width="8.71"/>
    <col customWidth="1" min="53" max="53" width="13.29"/>
    <col customWidth="1" min="54" max="55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6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219</v>
      </c>
      <c r="Z13" s="13" t="s">
        <v>220</v>
      </c>
      <c r="AA13" s="13" t="s">
        <v>221</v>
      </c>
      <c r="AB13" s="13" t="s">
        <v>222</v>
      </c>
      <c r="AC13" s="13" t="s">
        <v>223</v>
      </c>
      <c r="AD13" s="13" t="s">
        <v>224</v>
      </c>
      <c r="AE13" s="13" t="s">
        <v>225</v>
      </c>
      <c r="AF13" s="13" t="s">
        <v>226</v>
      </c>
      <c r="AG13" s="13" t="s">
        <v>227</v>
      </c>
      <c r="AH13" s="13" t="s">
        <v>228</v>
      </c>
      <c r="AI13" s="13" t="s">
        <v>229</v>
      </c>
      <c r="AJ13" s="13" t="s">
        <v>230</v>
      </c>
      <c r="AK13" s="13" t="s">
        <v>231</v>
      </c>
      <c r="AL13" s="13" t="s">
        <v>232</v>
      </c>
      <c r="AM13" s="13" t="s">
        <v>233</v>
      </c>
      <c r="AN13" s="13" t="s">
        <v>234</v>
      </c>
      <c r="AO13" s="13" t="s">
        <v>235</v>
      </c>
      <c r="AP13" s="13" t="s">
        <v>236</v>
      </c>
      <c r="AQ13" s="13" t="s">
        <v>237</v>
      </c>
      <c r="AR13" s="13" t="s">
        <v>238</v>
      </c>
      <c r="AS13" s="13" t="s">
        <v>239</v>
      </c>
      <c r="AT13" s="13" t="s">
        <v>240</v>
      </c>
      <c r="AU13" s="13" t="s">
        <v>241</v>
      </c>
      <c r="AV13" s="13" t="s">
        <v>242</v>
      </c>
      <c r="AW13" s="13" t="s">
        <v>243</v>
      </c>
      <c r="AX13" s="13" t="s">
        <v>244</v>
      </c>
      <c r="AY13" s="13" t="s">
        <v>246</v>
      </c>
      <c r="AZ13" s="13" t="s">
        <v>247</v>
      </c>
      <c r="BA13" s="36"/>
    </row>
    <row r="14" ht="12.75" customHeight="1">
      <c r="A14" s="18"/>
      <c r="B14" s="22" t="s">
        <v>11</v>
      </c>
      <c r="C14" s="23"/>
      <c r="D14" s="19" t="s">
        <v>12</v>
      </c>
      <c r="E14" s="19">
        <v>136.0</v>
      </c>
      <c r="F14" s="19">
        <v>136.0</v>
      </c>
      <c r="G14" s="19">
        <v>104.0</v>
      </c>
      <c r="H14" s="19">
        <v>123.0</v>
      </c>
      <c r="I14" s="19">
        <v>142.0</v>
      </c>
      <c r="J14" s="19">
        <v>128.0</v>
      </c>
      <c r="K14" s="19">
        <v>118.0</v>
      </c>
      <c r="L14" s="19">
        <v>116.0</v>
      </c>
      <c r="M14" s="19">
        <v>106.0</v>
      </c>
      <c r="N14" s="19">
        <v>127.0</v>
      </c>
      <c r="O14" s="19">
        <v>131.0</v>
      </c>
      <c r="P14" s="19">
        <v>111.0</v>
      </c>
      <c r="Q14" s="19">
        <v>96.0</v>
      </c>
      <c r="R14" s="19">
        <v>146.0</v>
      </c>
      <c r="S14" s="19">
        <v>136.0</v>
      </c>
      <c r="T14" s="19">
        <v>148.0</v>
      </c>
      <c r="U14" s="19">
        <v>99.0</v>
      </c>
      <c r="V14" s="19">
        <v>145.0</v>
      </c>
      <c r="W14" s="19">
        <v>152.0</v>
      </c>
      <c r="X14" s="19">
        <v>139.0</v>
      </c>
      <c r="Y14" s="19">
        <v>143.0</v>
      </c>
      <c r="Z14" s="19">
        <v>77.0</v>
      </c>
      <c r="AA14" s="19">
        <v>149.0</v>
      </c>
      <c r="AB14" s="19">
        <v>131.0</v>
      </c>
      <c r="AC14" s="19">
        <v>128.0</v>
      </c>
      <c r="AD14" s="19">
        <v>129.0</v>
      </c>
      <c r="AE14" s="19">
        <v>117.0</v>
      </c>
      <c r="AF14" s="19">
        <v>141.0</v>
      </c>
      <c r="AG14" s="19">
        <v>136.0</v>
      </c>
      <c r="AH14" s="19">
        <v>146.0</v>
      </c>
      <c r="AI14" s="19">
        <v>70.0</v>
      </c>
      <c r="AJ14" s="19">
        <v>141.0</v>
      </c>
      <c r="AK14" s="19">
        <v>134.0</v>
      </c>
      <c r="AL14" s="19">
        <v>142.0</v>
      </c>
      <c r="AM14" s="19">
        <v>125.0</v>
      </c>
      <c r="AN14" s="19">
        <v>132.0</v>
      </c>
      <c r="AO14" s="19">
        <v>133.0</v>
      </c>
      <c r="AP14" s="19">
        <v>141.0</v>
      </c>
      <c r="AQ14" s="19">
        <v>125.0</v>
      </c>
      <c r="AR14" s="19">
        <v>129.0</v>
      </c>
      <c r="AS14" s="19">
        <v>114.0</v>
      </c>
      <c r="AT14" s="19">
        <v>131.0</v>
      </c>
      <c r="AU14" s="19">
        <v>138.0</v>
      </c>
      <c r="AV14" s="19">
        <v>134.0</v>
      </c>
      <c r="AW14" s="19">
        <v>143.0</v>
      </c>
      <c r="AX14" s="19">
        <v>121.0</v>
      </c>
      <c r="AY14" s="19">
        <v>111.0</v>
      </c>
      <c r="AZ14" s="19">
        <v>88.0</v>
      </c>
      <c r="BA14" s="13">
        <f t="shared" ref="BA14:BA16" si="1">SUM(E14:AZ14)</f>
        <v>6088</v>
      </c>
    </row>
    <row r="15" ht="12.75" customHeight="1">
      <c r="A15" s="18"/>
      <c r="B15" s="26"/>
      <c r="C15" s="27"/>
      <c r="D15" s="19" t="s">
        <v>13</v>
      </c>
      <c r="E15" s="19">
        <v>155.0</v>
      </c>
      <c r="F15" s="19">
        <v>158.0</v>
      </c>
      <c r="G15" s="19">
        <v>104.0</v>
      </c>
      <c r="H15" s="19">
        <v>155.0</v>
      </c>
      <c r="I15" s="19">
        <v>146.0</v>
      </c>
      <c r="J15" s="19">
        <v>149.0</v>
      </c>
      <c r="K15" s="19">
        <v>126.0</v>
      </c>
      <c r="L15" s="19">
        <v>128.0</v>
      </c>
      <c r="M15" s="19">
        <v>119.0</v>
      </c>
      <c r="N15" s="19">
        <v>134.0</v>
      </c>
      <c r="O15" s="19">
        <v>131.0</v>
      </c>
      <c r="P15" s="19">
        <v>123.0</v>
      </c>
      <c r="Q15" s="19">
        <v>114.0</v>
      </c>
      <c r="R15" s="19">
        <v>141.0</v>
      </c>
      <c r="S15" s="19">
        <v>158.0</v>
      </c>
      <c r="T15" s="19">
        <v>149.0</v>
      </c>
      <c r="U15" s="19">
        <v>113.0</v>
      </c>
      <c r="V15" s="19">
        <v>145.0</v>
      </c>
      <c r="W15" s="19">
        <v>147.0</v>
      </c>
      <c r="X15" s="19">
        <v>140.0</v>
      </c>
      <c r="Y15" s="19">
        <v>132.0</v>
      </c>
      <c r="Z15" s="19">
        <v>79.0</v>
      </c>
      <c r="AA15" s="19">
        <v>144.0</v>
      </c>
      <c r="AB15" s="19">
        <v>129.0</v>
      </c>
      <c r="AC15" s="19">
        <v>142.0</v>
      </c>
      <c r="AD15" s="19">
        <v>159.0</v>
      </c>
      <c r="AE15" s="19">
        <v>128.0</v>
      </c>
      <c r="AF15" s="19">
        <v>137.0</v>
      </c>
      <c r="AG15" s="19">
        <v>133.0</v>
      </c>
      <c r="AH15" s="19">
        <v>136.0</v>
      </c>
      <c r="AI15" s="19">
        <v>76.0</v>
      </c>
      <c r="AJ15" s="19">
        <v>143.0</v>
      </c>
      <c r="AK15" s="19">
        <v>135.0</v>
      </c>
      <c r="AL15" s="19">
        <v>145.0</v>
      </c>
      <c r="AM15" s="19">
        <v>117.0</v>
      </c>
      <c r="AN15" s="19">
        <v>141.0</v>
      </c>
      <c r="AO15" s="19">
        <v>140.0</v>
      </c>
      <c r="AP15" s="19">
        <v>152.0</v>
      </c>
      <c r="AQ15" s="19">
        <v>108.0</v>
      </c>
      <c r="AR15" s="19">
        <v>125.0</v>
      </c>
      <c r="AS15" s="19">
        <v>116.0</v>
      </c>
      <c r="AT15" s="19">
        <v>159.0</v>
      </c>
      <c r="AU15" s="19">
        <v>134.0</v>
      </c>
      <c r="AV15" s="19">
        <v>149.0</v>
      </c>
      <c r="AW15" s="19">
        <v>154.0</v>
      </c>
      <c r="AX15" s="19">
        <v>117.0</v>
      </c>
      <c r="AY15" s="19">
        <v>123.0</v>
      </c>
      <c r="AZ15" s="19">
        <v>99.0</v>
      </c>
      <c r="BA15" s="13">
        <f t="shared" si="1"/>
        <v>6387</v>
      </c>
    </row>
    <row r="16" ht="12.75" customHeight="1">
      <c r="A16" s="25"/>
      <c r="B16" s="21"/>
      <c r="C16" s="28"/>
      <c r="D16" s="13" t="s">
        <v>14</v>
      </c>
      <c r="E16" s="13">
        <f t="shared" ref="E16:AZ16" si="2">SUM(E14:E15)</f>
        <v>291</v>
      </c>
      <c r="F16" s="13">
        <f t="shared" si="2"/>
        <v>294</v>
      </c>
      <c r="G16" s="13">
        <f t="shared" si="2"/>
        <v>208</v>
      </c>
      <c r="H16" s="13">
        <f t="shared" si="2"/>
        <v>278</v>
      </c>
      <c r="I16" s="13">
        <f t="shared" si="2"/>
        <v>288</v>
      </c>
      <c r="J16" s="13">
        <f t="shared" si="2"/>
        <v>277</v>
      </c>
      <c r="K16" s="13">
        <f t="shared" si="2"/>
        <v>244</v>
      </c>
      <c r="L16" s="13">
        <f t="shared" si="2"/>
        <v>244</v>
      </c>
      <c r="M16" s="13">
        <f t="shared" si="2"/>
        <v>225</v>
      </c>
      <c r="N16" s="13">
        <f t="shared" si="2"/>
        <v>261</v>
      </c>
      <c r="O16" s="13">
        <f t="shared" si="2"/>
        <v>262</v>
      </c>
      <c r="P16" s="13">
        <f t="shared" si="2"/>
        <v>234</v>
      </c>
      <c r="Q16" s="13">
        <f t="shared" si="2"/>
        <v>210</v>
      </c>
      <c r="R16" s="13">
        <f t="shared" si="2"/>
        <v>287</v>
      </c>
      <c r="S16" s="13">
        <f t="shared" si="2"/>
        <v>294</v>
      </c>
      <c r="T16" s="13">
        <f t="shared" si="2"/>
        <v>297</v>
      </c>
      <c r="U16" s="13">
        <f t="shared" si="2"/>
        <v>212</v>
      </c>
      <c r="V16" s="13">
        <f t="shared" si="2"/>
        <v>290</v>
      </c>
      <c r="W16" s="13">
        <f t="shared" si="2"/>
        <v>299</v>
      </c>
      <c r="X16" s="13">
        <f t="shared" si="2"/>
        <v>279</v>
      </c>
      <c r="Y16" s="13">
        <f t="shared" si="2"/>
        <v>275</v>
      </c>
      <c r="Z16" s="13">
        <f t="shared" si="2"/>
        <v>156</v>
      </c>
      <c r="AA16" s="13">
        <f t="shared" si="2"/>
        <v>293</v>
      </c>
      <c r="AB16" s="13">
        <f t="shared" si="2"/>
        <v>260</v>
      </c>
      <c r="AC16" s="13">
        <f t="shared" si="2"/>
        <v>270</v>
      </c>
      <c r="AD16" s="13">
        <f t="shared" si="2"/>
        <v>288</v>
      </c>
      <c r="AE16" s="13">
        <f t="shared" si="2"/>
        <v>245</v>
      </c>
      <c r="AF16" s="13">
        <f t="shared" si="2"/>
        <v>278</v>
      </c>
      <c r="AG16" s="13">
        <f t="shared" si="2"/>
        <v>269</v>
      </c>
      <c r="AH16" s="13">
        <f t="shared" si="2"/>
        <v>282</v>
      </c>
      <c r="AI16" s="13">
        <f t="shared" si="2"/>
        <v>146</v>
      </c>
      <c r="AJ16" s="13">
        <f t="shared" si="2"/>
        <v>284</v>
      </c>
      <c r="AK16" s="13">
        <f t="shared" si="2"/>
        <v>269</v>
      </c>
      <c r="AL16" s="13">
        <f t="shared" si="2"/>
        <v>287</v>
      </c>
      <c r="AM16" s="13">
        <f t="shared" si="2"/>
        <v>242</v>
      </c>
      <c r="AN16" s="13">
        <f t="shared" si="2"/>
        <v>273</v>
      </c>
      <c r="AO16" s="13">
        <f t="shared" si="2"/>
        <v>273</v>
      </c>
      <c r="AP16" s="13">
        <f t="shared" si="2"/>
        <v>293</v>
      </c>
      <c r="AQ16" s="13">
        <f t="shared" si="2"/>
        <v>233</v>
      </c>
      <c r="AR16" s="13">
        <f t="shared" si="2"/>
        <v>254</v>
      </c>
      <c r="AS16" s="13">
        <f t="shared" si="2"/>
        <v>230</v>
      </c>
      <c r="AT16" s="13">
        <f t="shared" si="2"/>
        <v>290</v>
      </c>
      <c r="AU16" s="13">
        <f t="shared" si="2"/>
        <v>272</v>
      </c>
      <c r="AV16" s="13">
        <f t="shared" si="2"/>
        <v>283</v>
      </c>
      <c r="AW16" s="13">
        <f t="shared" si="2"/>
        <v>297</v>
      </c>
      <c r="AX16" s="13">
        <f t="shared" si="2"/>
        <v>238</v>
      </c>
      <c r="AY16" s="13">
        <f t="shared" si="2"/>
        <v>234</v>
      </c>
      <c r="AZ16" s="13">
        <f t="shared" si="2"/>
        <v>187</v>
      </c>
      <c r="BA16" s="13">
        <f t="shared" si="1"/>
        <v>12475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7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7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98.0</v>
      </c>
      <c r="F19" s="19">
        <v>109.0</v>
      </c>
      <c r="G19" s="19">
        <v>87.0</v>
      </c>
      <c r="H19" s="19">
        <v>90.0</v>
      </c>
      <c r="I19" s="19">
        <v>105.0</v>
      </c>
      <c r="J19" s="19">
        <v>101.0</v>
      </c>
      <c r="K19" s="19">
        <v>86.0</v>
      </c>
      <c r="L19" s="19">
        <v>89.0</v>
      </c>
      <c r="M19" s="19">
        <v>76.0</v>
      </c>
      <c r="N19" s="19">
        <v>85.0</v>
      </c>
      <c r="O19" s="19">
        <v>98.0</v>
      </c>
      <c r="P19" s="19">
        <v>89.0</v>
      </c>
      <c r="Q19" s="19">
        <v>79.0</v>
      </c>
      <c r="R19" s="19">
        <v>115.0</v>
      </c>
      <c r="S19" s="19">
        <v>106.0</v>
      </c>
      <c r="T19" s="19">
        <v>113.0</v>
      </c>
      <c r="U19" s="19">
        <v>73.0</v>
      </c>
      <c r="V19" s="19">
        <v>100.0</v>
      </c>
      <c r="W19" s="19">
        <v>109.0</v>
      </c>
      <c r="X19" s="19">
        <v>106.0</v>
      </c>
      <c r="Y19" s="19">
        <v>103.0</v>
      </c>
      <c r="Z19" s="19">
        <v>58.0</v>
      </c>
      <c r="AA19" s="19">
        <v>110.0</v>
      </c>
      <c r="AB19" s="19">
        <v>98.0</v>
      </c>
      <c r="AC19" s="19">
        <v>92.0</v>
      </c>
      <c r="AD19" s="19">
        <v>88.0</v>
      </c>
      <c r="AE19" s="19">
        <v>97.0</v>
      </c>
      <c r="AF19" s="19">
        <v>109.0</v>
      </c>
      <c r="AG19" s="19">
        <v>103.0</v>
      </c>
      <c r="AH19" s="19">
        <v>100.0</v>
      </c>
      <c r="AI19" s="19">
        <v>43.0</v>
      </c>
      <c r="AJ19" s="19">
        <v>104.0</v>
      </c>
      <c r="AK19" s="19">
        <v>93.0</v>
      </c>
      <c r="AL19" s="19">
        <v>93.0</v>
      </c>
      <c r="AM19" s="19">
        <v>88.0</v>
      </c>
      <c r="AN19" s="19">
        <v>103.0</v>
      </c>
      <c r="AO19" s="19">
        <v>92.0</v>
      </c>
      <c r="AP19" s="19">
        <v>99.0</v>
      </c>
      <c r="AQ19" s="19">
        <v>81.0</v>
      </c>
      <c r="AR19" s="19">
        <v>93.0</v>
      </c>
      <c r="AS19" s="19">
        <v>79.0</v>
      </c>
      <c r="AT19" s="19">
        <v>104.0</v>
      </c>
      <c r="AU19" s="19">
        <v>104.0</v>
      </c>
      <c r="AV19" s="19">
        <v>107.0</v>
      </c>
      <c r="AW19" s="19">
        <v>107.0</v>
      </c>
      <c r="AX19" s="19">
        <v>99.0</v>
      </c>
      <c r="AY19" s="19">
        <v>77.0</v>
      </c>
      <c r="AZ19" s="19">
        <v>67.0</v>
      </c>
      <c r="BA19" s="13">
        <f t="shared" ref="BA19:BA30" si="3">SUM(E19:AZ19)</f>
        <v>4505</v>
      </c>
    </row>
    <row r="20" ht="12.75" customHeight="1">
      <c r="A20" s="33"/>
      <c r="B20" s="27"/>
      <c r="C20" s="34"/>
      <c r="D20" s="19" t="s">
        <v>13</v>
      </c>
      <c r="E20" s="19">
        <v>115.0</v>
      </c>
      <c r="F20" s="19">
        <v>122.0</v>
      </c>
      <c r="G20" s="19">
        <v>86.0</v>
      </c>
      <c r="H20" s="19">
        <v>120.0</v>
      </c>
      <c r="I20" s="19">
        <v>115.0</v>
      </c>
      <c r="J20" s="19">
        <v>118.0</v>
      </c>
      <c r="K20" s="19">
        <v>107.0</v>
      </c>
      <c r="L20" s="19">
        <v>98.0</v>
      </c>
      <c r="M20" s="19">
        <v>92.0</v>
      </c>
      <c r="N20" s="19">
        <v>104.0</v>
      </c>
      <c r="O20" s="19">
        <v>100.0</v>
      </c>
      <c r="P20" s="19">
        <v>97.0</v>
      </c>
      <c r="Q20" s="19">
        <v>94.0</v>
      </c>
      <c r="R20" s="19">
        <v>108.0</v>
      </c>
      <c r="S20" s="19">
        <v>113.0</v>
      </c>
      <c r="T20" s="19">
        <v>119.0</v>
      </c>
      <c r="U20" s="19">
        <v>87.0</v>
      </c>
      <c r="V20" s="19">
        <v>109.0</v>
      </c>
      <c r="W20" s="19">
        <v>119.0</v>
      </c>
      <c r="X20" s="19">
        <v>127.0</v>
      </c>
      <c r="Y20" s="19">
        <v>109.0</v>
      </c>
      <c r="Z20" s="19">
        <v>68.0</v>
      </c>
      <c r="AA20" s="19">
        <v>113.0</v>
      </c>
      <c r="AB20" s="19">
        <v>105.0</v>
      </c>
      <c r="AC20" s="19">
        <v>104.0</v>
      </c>
      <c r="AD20" s="19">
        <v>119.0</v>
      </c>
      <c r="AE20" s="19">
        <v>103.0</v>
      </c>
      <c r="AF20" s="19">
        <v>109.0</v>
      </c>
      <c r="AG20" s="19">
        <v>95.0</v>
      </c>
      <c r="AH20" s="19">
        <v>102.0</v>
      </c>
      <c r="AI20" s="19">
        <v>57.0</v>
      </c>
      <c r="AJ20" s="19">
        <v>115.0</v>
      </c>
      <c r="AK20" s="19">
        <v>105.0</v>
      </c>
      <c r="AL20" s="19">
        <v>103.0</v>
      </c>
      <c r="AM20" s="19">
        <v>99.0</v>
      </c>
      <c r="AN20" s="19">
        <v>96.0</v>
      </c>
      <c r="AO20" s="19">
        <v>98.0</v>
      </c>
      <c r="AP20" s="19">
        <v>111.0</v>
      </c>
      <c r="AQ20" s="19">
        <v>82.0</v>
      </c>
      <c r="AR20" s="19">
        <v>97.0</v>
      </c>
      <c r="AS20" s="19">
        <v>92.0</v>
      </c>
      <c r="AT20" s="19">
        <v>139.0</v>
      </c>
      <c r="AU20" s="19">
        <v>96.0</v>
      </c>
      <c r="AV20" s="19">
        <v>123.0</v>
      </c>
      <c r="AW20" s="19">
        <v>105.0</v>
      </c>
      <c r="AX20" s="19">
        <v>93.0</v>
      </c>
      <c r="AY20" s="19">
        <v>96.0</v>
      </c>
      <c r="AZ20" s="19">
        <v>77.0</v>
      </c>
      <c r="BA20" s="13">
        <f t="shared" si="3"/>
        <v>4961</v>
      </c>
    </row>
    <row r="21" ht="12.75" customHeight="1">
      <c r="A21" s="35"/>
      <c r="B21" s="28"/>
      <c r="C21" s="36"/>
      <c r="D21" s="13" t="s">
        <v>14</v>
      </c>
      <c r="E21" s="13">
        <f t="shared" ref="E21:AZ21" si="4">SUM(E19:E20)</f>
        <v>213</v>
      </c>
      <c r="F21" s="13">
        <f t="shared" si="4"/>
        <v>231</v>
      </c>
      <c r="G21" s="13">
        <f t="shared" si="4"/>
        <v>173</v>
      </c>
      <c r="H21" s="13">
        <f t="shared" si="4"/>
        <v>210</v>
      </c>
      <c r="I21" s="13">
        <f t="shared" si="4"/>
        <v>220</v>
      </c>
      <c r="J21" s="13">
        <f t="shared" si="4"/>
        <v>219</v>
      </c>
      <c r="K21" s="13">
        <f t="shared" si="4"/>
        <v>193</v>
      </c>
      <c r="L21" s="13">
        <f t="shared" si="4"/>
        <v>187</v>
      </c>
      <c r="M21" s="13">
        <f t="shared" si="4"/>
        <v>168</v>
      </c>
      <c r="N21" s="13">
        <f t="shared" si="4"/>
        <v>189</v>
      </c>
      <c r="O21" s="13">
        <f t="shared" si="4"/>
        <v>198</v>
      </c>
      <c r="P21" s="13">
        <f t="shared" si="4"/>
        <v>186</v>
      </c>
      <c r="Q21" s="13">
        <f t="shared" si="4"/>
        <v>173</v>
      </c>
      <c r="R21" s="13">
        <f t="shared" si="4"/>
        <v>223</v>
      </c>
      <c r="S21" s="13">
        <f t="shared" si="4"/>
        <v>219</v>
      </c>
      <c r="T21" s="13">
        <f t="shared" si="4"/>
        <v>232</v>
      </c>
      <c r="U21" s="13">
        <f t="shared" si="4"/>
        <v>160</v>
      </c>
      <c r="V21" s="13">
        <f t="shared" si="4"/>
        <v>209</v>
      </c>
      <c r="W21" s="13">
        <f t="shared" si="4"/>
        <v>228</v>
      </c>
      <c r="X21" s="13">
        <f t="shared" si="4"/>
        <v>233</v>
      </c>
      <c r="Y21" s="13">
        <f t="shared" si="4"/>
        <v>212</v>
      </c>
      <c r="Z21" s="13">
        <f t="shared" si="4"/>
        <v>126</v>
      </c>
      <c r="AA21" s="13">
        <f t="shared" si="4"/>
        <v>223</v>
      </c>
      <c r="AB21" s="13">
        <f t="shared" si="4"/>
        <v>203</v>
      </c>
      <c r="AC21" s="13">
        <f t="shared" si="4"/>
        <v>196</v>
      </c>
      <c r="AD21" s="13">
        <f t="shared" si="4"/>
        <v>207</v>
      </c>
      <c r="AE21" s="13">
        <f t="shared" si="4"/>
        <v>200</v>
      </c>
      <c r="AF21" s="13">
        <f t="shared" si="4"/>
        <v>218</v>
      </c>
      <c r="AG21" s="13">
        <f t="shared" si="4"/>
        <v>198</v>
      </c>
      <c r="AH21" s="13">
        <f t="shared" si="4"/>
        <v>202</v>
      </c>
      <c r="AI21" s="13">
        <f t="shared" si="4"/>
        <v>100</v>
      </c>
      <c r="AJ21" s="13">
        <f t="shared" si="4"/>
        <v>219</v>
      </c>
      <c r="AK21" s="13">
        <f t="shared" si="4"/>
        <v>198</v>
      </c>
      <c r="AL21" s="13">
        <f t="shared" si="4"/>
        <v>196</v>
      </c>
      <c r="AM21" s="13">
        <f t="shared" si="4"/>
        <v>187</v>
      </c>
      <c r="AN21" s="13">
        <f t="shared" si="4"/>
        <v>199</v>
      </c>
      <c r="AO21" s="13">
        <f t="shared" si="4"/>
        <v>190</v>
      </c>
      <c r="AP21" s="13">
        <f t="shared" si="4"/>
        <v>210</v>
      </c>
      <c r="AQ21" s="13">
        <f t="shared" si="4"/>
        <v>163</v>
      </c>
      <c r="AR21" s="13">
        <f t="shared" si="4"/>
        <v>190</v>
      </c>
      <c r="AS21" s="13">
        <f t="shared" si="4"/>
        <v>171</v>
      </c>
      <c r="AT21" s="13">
        <f t="shared" si="4"/>
        <v>243</v>
      </c>
      <c r="AU21" s="13">
        <f t="shared" si="4"/>
        <v>200</v>
      </c>
      <c r="AV21" s="13">
        <f t="shared" si="4"/>
        <v>230</v>
      </c>
      <c r="AW21" s="13">
        <f t="shared" si="4"/>
        <v>212</v>
      </c>
      <c r="AX21" s="13">
        <f t="shared" si="4"/>
        <v>192</v>
      </c>
      <c r="AY21" s="13">
        <f t="shared" si="4"/>
        <v>173</v>
      </c>
      <c r="AZ21" s="13">
        <f t="shared" si="4"/>
        <v>144</v>
      </c>
      <c r="BA21" s="13">
        <f t="shared" si="3"/>
        <v>9466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7.0</v>
      </c>
      <c r="G22" s="19">
        <v>3.0</v>
      </c>
      <c r="H22" s="19">
        <v>0.0</v>
      </c>
      <c r="I22" s="19">
        <v>0.0</v>
      </c>
      <c r="J22" s="19">
        <v>0.0</v>
      </c>
      <c r="K22" s="19">
        <v>1.0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1.0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1.0</v>
      </c>
      <c r="AF22" s="19">
        <v>0.0</v>
      </c>
      <c r="AG22" s="19">
        <v>0.0</v>
      </c>
      <c r="AH22" s="19">
        <v>0.0</v>
      </c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>
        <v>0.0</v>
      </c>
      <c r="AY22" s="19">
        <v>0.0</v>
      </c>
      <c r="AZ22" s="19">
        <v>1.0</v>
      </c>
      <c r="BA22" s="13">
        <f t="shared" si="3"/>
        <v>14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7.0</v>
      </c>
      <c r="G23" s="19">
        <v>1.0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1.0</v>
      </c>
      <c r="AF23" s="19">
        <v>0.0</v>
      </c>
      <c r="AG23" s="19">
        <v>0.0</v>
      </c>
      <c r="AH23" s="19">
        <v>0.0</v>
      </c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>
        <v>0.0</v>
      </c>
      <c r="AY23" s="19">
        <v>0.0</v>
      </c>
      <c r="AZ23" s="19">
        <v>0.0</v>
      </c>
      <c r="BA23" s="13">
        <f t="shared" si="3"/>
        <v>9</v>
      </c>
    </row>
    <row r="24" ht="12.75" customHeight="1">
      <c r="A24" s="35"/>
      <c r="B24" s="28"/>
      <c r="C24" s="36"/>
      <c r="D24" s="13" t="s">
        <v>14</v>
      </c>
      <c r="E24" s="13">
        <f t="shared" ref="E24:AZ24" si="5">SUM(E22:E23)</f>
        <v>0</v>
      </c>
      <c r="F24" s="13">
        <f t="shared" si="5"/>
        <v>14</v>
      </c>
      <c r="G24" s="13">
        <f t="shared" si="5"/>
        <v>4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1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2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f t="shared" si="5"/>
        <v>0</v>
      </c>
      <c r="AY24" s="13">
        <f t="shared" si="5"/>
        <v>0</v>
      </c>
      <c r="AZ24" s="13">
        <f t="shared" si="5"/>
        <v>1</v>
      </c>
      <c r="BA24" s="13">
        <f t="shared" si="3"/>
        <v>23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0.0</v>
      </c>
      <c r="I25" s="19">
        <v>1.0</v>
      </c>
      <c r="J25" s="19">
        <v>4.0</v>
      </c>
      <c r="K25" s="19">
        <v>1.0</v>
      </c>
      <c r="L25" s="19">
        <v>3.0</v>
      </c>
      <c r="M25" s="19">
        <v>1.0</v>
      </c>
      <c r="N25" s="19">
        <v>0.0</v>
      </c>
      <c r="O25" s="19">
        <v>10.0</v>
      </c>
      <c r="P25" s="19">
        <v>0.0</v>
      </c>
      <c r="Q25" s="19">
        <v>2.0</v>
      </c>
      <c r="R25" s="19">
        <v>6.0</v>
      </c>
      <c r="S25" s="19">
        <v>2.0</v>
      </c>
      <c r="T25" s="19">
        <v>1.0</v>
      </c>
      <c r="U25" s="19">
        <v>0.0</v>
      </c>
      <c r="V25" s="19">
        <v>3.0</v>
      </c>
      <c r="W25" s="19">
        <v>1.0</v>
      </c>
      <c r="X25" s="19">
        <v>0.0</v>
      </c>
      <c r="Y25" s="19">
        <v>0.0</v>
      </c>
      <c r="Z25" s="19">
        <v>0.0</v>
      </c>
      <c r="AA25" s="19">
        <v>1.0</v>
      </c>
      <c r="AB25" s="19">
        <v>0.0</v>
      </c>
      <c r="AC25" s="19">
        <v>4.0</v>
      </c>
      <c r="AD25" s="19">
        <v>4.0</v>
      </c>
      <c r="AE25" s="19">
        <v>0.0</v>
      </c>
      <c r="AF25" s="19">
        <v>1.0</v>
      </c>
      <c r="AG25" s="19">
        <v>4.0</v>
      </c>
      <c r="AH25" s="19">
        <v>0.0</v>
      </c>
      <c r="AI25" s="19">
        <v>0.0</v>
      </c>
      <c r="AJ25" s="19">
        <v>0.0</v>
      </c>
      <c r="AK25" s="19">
        <v>2.0</v>
      </c>
      <c r="AL25" s="19">
        <v>0.0</v>
      </c>
      <c r="AM25" s="19">
        <v>0.0</v>
      </c>
      <c r="AN25" s="19">
        <v>0.0</v>
      </c>
      <c r="AO25" s="19">
        <v>3.0</v>
      </c>
      <c r="AP25" s="19">
        <v>1.0</v>
      </c>
      <c r="AQ25" s="19">
        <v>1.0</v>
      </c>
      <c r="AR25" s="19">
        <v>2.0</v>
      </c>
      <c r="AS25" s="19">
        <v>1.0</v>
      </c>
      <c r="AT25" s="19">
        <v>4.0</v>
      </c>
      <c r="AU25" s="19">
        <v>0.0</v>
      </c>
      <c r="AV25" s="19">
        <v>3.0</v>
      </c>
      <c r="AW25" s="19">
        <v>0.0</v>
      </c>
      <c r="AX25" s="19">
        <v>0.0</v>
      </c>
      <c r="AY25" s="19">
        <v>0.0</v>
      </c>
      <c r="AZ25" s="19">
        <v>0.0</v>
      </c>
      <c r="BA25" s="13">
        <f t="shared" si="3"/>
        <v>67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3.0</v>
      </c>
      <c r="G26" s="19">
        <v>0.0</v>
      </c>
      <c r="H26" s="19">
        <v>0.0</v>
      </c>
      <c r="I26" s="19">
        <v>2.0</v>
      </c>
      <c r="J26" s="19">
        <v>3.0</v>
      </c>
      <c r="K26" s="19">
        <v>1.0</v>
      </c>
      <c r="L26" s="19">
        <v>2.0</v>
      </c>
      <c r="M26" s="19">
        <v>2.0</v>
      </c>
      <c r="N26" s="19">
        <v>2.0</v>
      </c>
      <c r="O26" s="19">
        <v>6.0</v>
      </c>
      <c r="P26" s="19">
        <v>0.0</v>
      </c>
      <c r="Q26" s="19">
        <v>0.0</v>
      </c>
      <c r="R26" s="19">
        <v>3.0</v>
      </c>
      <c r="S26" s="19">
        <v>1.0</v>
      </c>
      <c r="T26" s="19">
        <v>0.0</v>
      </c>
      <c r="U26" s="19">
        <v>0.0</v>
      </c>
      <c r="V26" s="19">
        <v>1.0</v>
      </c>
      <c r="W26" s="19">
        <v>0.0</v>
      </c>
      <c r="X26" s="19">
        <v>0.0</v>
      </c>
      <c r="Y26" s="19">
        <v>0.0</v>
      </c>
      <c r="Z26" s="19">
        <v>0.0</v>
      </c>
      <c r="AA26" s="19">
        <v>0.0</v>
      </c>
      <c r="AB26" s="19">
        <v>0.0</v>
      </c>
      <c r="AC26" s="19">
        <v>6.0</v>
      </c>
      <c r="AD26" s="19">
        <v>4.0</v>
      </c>
      <c r="AE26" s="19">
        <v>0.0</v>
      </c>
      <c r="AF26" s="19">
        <v>1.0</v>
      </c>
      <c r="AG26" s="19">
        <v>2.0</v>
      </c>
      <c r="AH26" s="19">
        <v>1.0</v>
      </c>
      <c r="AI26" s="19">
        <v>1.0</v>
      </c>
      <c r="AJ26" s="19">
        <v>0.0</v>
      </c>
      <c r="AK26" s="19">
        <v>1.0</v>
      </c>
      <c r="AL26" s="19">
        <v>0.0</v>
      </c>
      <c r="AM26" s="19">
        <v>1.0</v>
      </c>
      <c r="AN26" s="19">
        <v>0.0</v>
      </c>
      <c r="AO26" s="19">
        <v>3.0</v>
      </c>
      <c r="AP26" s="19">
        <v>3.0</v>
      </c>
      <c r="AQ26" s="19">
        <v>2.0</v>
      </c>
      <c r="AR26" s="19">
        <v>2.0</v>
      </c>
      <c r="AS26" s="19">
        <v>6.0</v>
      </c>
      <c r="AT26" s="19">
        <v>3.0</v>
      </c>
      <c r="AU26" s="19">
        <v>0.0</v>
      </c>
      <c r="AV26" s="19">
        <v>4.0</v>
      </c>
      <c r="AW26" s="19">
        <v>2.0</v>
      </c>
      <c r="AX26" s="19">
        <v>2.0</v>
      </c>
      <c r="AY26" s="19">
        <v>3.0</v>
      </c>
      <c r="AZ26" s="19">
        <v>0.0</v>
      </c>
      <c r="BA26" s="13">
        <f t="shared" si="3"/>
        <v>74</v>
      </c>
    </row>
    <row r="27" ht="12.75" customHeight="1">
      <c r="A27" s="35"/>
      <c r="B27" s="28"/>
      <c r="C27" s="36"/>
      <c r="D27" s="13" t="s">
        <v>14</v>
      </c>
      <c r="E27" s="13">
        <f t="shared" ref="E27:AZ27" si="6">SUM(E25:E26)</f>
        <v>1</v>
      </c>
      <c r="F27" s="13">
        <f t="shared" si="6"/>
        <v>4</v>
      </c>
      <c r="G27" s="13">
        <f t="shared" si="6"/>
        <v>0</v>
      </c>
      <c r="H27" s="13">
        <f t="shared" si="6"/>
        <v>0</v>
      </c>
      <c r="I27" s="13">
        <f t="shared" si="6"/>
        <v>3</v>
      </c>
      <c r="J27" s="13">
        <f t="shared" si="6"/>
        <v>7</v>
      </c>
      <c r="K27" s="13">
        <f t="shared" si="6"/>
        <v>2</v>
      </c>
      <c r="L27" s="13">
        <f t="shared" si="6"/>
        <v>5</v>
      </c>
      <c r="M27" s="13">
        <f t="shared" si="6"/>
        <v>3</v>
      </c>
      <c r="N27" s="13">
        <f t="shared" si="6"/>
        <v>2</v>
      </c>
      <c r="O27" s="13">
        <f t="shared" si="6"/>
        <v>16</v>
      </c>
      <c r="P27" s="13">
        <f t="shared" si="6"/>
        <v>0</v>
      </c>
      <c r="Q27" s="13">
        <f t="shared" si="6"/>
        <v>2</v>
      </c>
      <c r="R27" s="13">
        <f t="shared" si="6"/>
        <v>9</v>
      </c>
      <c r="S27" s="13">
        <f t="shared" si="6"/>
        <v>3</v>
      </c>
      <c r="T27" s="13">
        <f t="shared" si="6"/>
        <v>1</v>
      </c>
      <c r="U27" s="13">
        <f t="shared" si="6"/>
        <v>0</v>
      </c>
      <c r="V27" s="13">
        <f t="shared" si="6"/>
        <v>4</v>
      </c>
      <c r="W27" s="13">
        <f t="shared" si="6"/>
        <v>1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1</v>
      </c>
      <c r="AB27" s="13">
        <f t="shared" si="6"/>
        <v>0</v>
      </c>
      <c r="AC27" s="13">
        <f t="shared" si="6"/>
        <v>10</v>
      </c>
      <c r="AD27" s="13">
        <f t="shared" si="6"/>
        <v>8</v>
      </c>
      <c r="AE27" s="13">
        <f t="shared" si="6"/>
        <v>0</v>
      </c>
      <c r="AF27" s="13">
        <f t="shared" si="6"/>
        <v>2</v>
      </c>
      <c r="AG27" s="13">
        <f t="shared" si="6"/>
        <v>6</v>
      </c>
      <c r="AH27" s="13">
        <f t="shared" si="6"/>
        <v>1</v>
      </c>
      <c r="AI27" s="13">
        <f t="shared" si="6"/>
        <v>1</v>
      </c>
      <c r="AJ27" s="13">
        <f t="shared" si="6"/>
        <v>0</v>
      </c>
      <c r="AK27" s="13">
        <f t="shared" si="6"/>
        <v>3</v>
      </c>
      <c r="AL27" s="13">
        <f t="shared" si="6"/>
        <v>0</v>
      </c>
      <c r="AM27" s="13">
        <f t="shared" si="6"/>
        <v>1</v>
      </c>
      <c r="AN27" s="13">
        <f t="shared" si="6"/>
        <v>0</v>
      </c>
      <c r="AO27" s="13">
        <f t="shared" si="6"/>
        <v>6</v>
      </c>
      <c r="AP27" s="13">
        <f t="shared" si="6"/>
        <v>4</v>
      </c>
      <c r="AQ27" s="13">
        <f t="shared" si="6"/>
        <v>3</v>
      </c>
      <c r="AR27" s="13">
        <f t="shared" si="6"/>
        <v>4</v>
      </c>
      <c r="AS27" s="13">
        <f t="shared" si="6"/>
        <v>7</v>
      </c>
      <c r="AT27" s="13">
        <f t="shared" si="6"/>
        <v>7</v>
      </c>
      <c r="AU27" s="13">
        <f t="shared" si="6"/>
        <v>0</v>
      </c>
      <c r="AV27" s="13">
        <f t="shared" si="6"/>
        <v>7</v>
      </c>
      <c r="AW27" s="13">
        <f t="shared" si="6"/>
        <v>2</v>
      </c>
      <c r="AX27" s="13">
        <f t="shared" si="6"/>
        <v>2</v>
      </c>
      <c r="AY27" s="13">
        <f t="shared" si="6"/>
        <v>3</v>
      </c>
      <c r="AZ27" s="13">
        <f t="shared" si="6"/>
        <v>0</v>
      </c>
      <c r="BA27" s="13">
        <f t="shared" si="3"/>
        <v>141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Z28" si="7">SUM(E19,E22,E25)</f>
        <v>98</v>
      </c>
      <c r="F28" s="13">
        <f t="shared" si="7"/>
        <v>117</v>
      </c>
      <c r="G28" s="13">
        <f t="shared" si="7"/>
        <v>90</v>
      </c>
      <c r="H28" s="13">
        <f t="shared" si="7"/>
        <v>90</v>
      </c>
      <c r="I28" s="13">
        <f t="shared" si="7"/>
        <v>106</v>
      </c>
      <c r="J28" s="13">
        <f t="shared" si="7"/>
        <v>105</v>
      </c>
      <c r="K28" s="13">
        <f t="shared" si="7"/>
        <v>88</v>
      </c>
      <c r="L28" s="13">
        <f t="shared" si="7"/>
        <v>92</v>
      </c>
      <c r="M28" s="13">
        <f t="shared" si="7"/>
        <v>77</v>
      </c>
      <c r="N28" s="13">
        <f t="shared" si="7"/>
        <v>85</v>
      </c>
      <c r="O28" s="13">
        <f t="shared" si="7"/>
        <v>108</v>
      </c>
      <c r="P28" s="13">
        <f t="shared" si="7"/>
        <v>89</v>
      </c>
      <c r="Q28" s="13">
        <f t="shared" si="7"/>
        <v>81</v>
      </c>
      <c r="R28" s="13">
        <f t="shared" si="7"/>
        <v>122</v>
      </c>
      <c r="S28" s="13">
        <f t="shared" si="7"/>
        <v>108</v>
      </c>
      <c r="T28" s="13">
        <f t="shared" si="7"/>
        <v>114</v>
      </c>
      <c r="U28" s="13">
        <f t="shared" si="7"/>
        <v>73</v>
      </c>
      <c r="V28" s="13">
        <f t="shared" si="7"/>
        <v>103</v>
      </c>
      <c r="W28" s="13">
        <f t="shared" si="7"/>
        <v>110</v>
      </c>
      <c r="X28" s="13">
        <f t="shared" si="7"/>
        <v>106</v>
      </c>
      <c r="Y28" s="13">
        <f t="shared" si="7"/>
        <v>103</v>
      </c>
      <c r="Z28" s="13">
        <f t="shared" si="7"/>
        <v>58</v>
      </c>
      <c r="AA28" s="13">
        <f t="shared" si="7"/>
        <v>111</v>
      </c>
      <c r="AB28" s="13">
        <f t="shared" si="7"/>
        <v>98</v>
      </c>
      <c r="AC28" s="13">
        <f t="shared" si="7"/>
        <v>96</v>
      </c>
      <c r="AD28" s="13">
        <f t="shared" si="7"/>
        <v>92</v>
      </c>
      <c r="AE28" s="13">
        <f t="shared" si="7"/>
        <v>98</v>
      </c>
      <c r="AF28" s="13">
        <f t="shared" si="7"/>
        <v>110</v>
      </c>
      <c r="AG28" s="13">
        <f t="shared" si="7"/>
        <v>107</v>
      </c>
      <c r="AH28" s="13">
        <f t="shared" si="7"/>
        <v>100</v>
      </c>
      <c r="AI28" s="13">
        <f t="shared" si="7"/>
        <v>43</v>
      </c>
      <c r="AJ28" s="13">
        <f t="shared" si="7"/>
        <v>104</v>
      </c>
      <c r="AK28" s="13">
        <f t="shared" si="7"/>
        <v>95</v>
      </c>
      <c r="AL28" s="13">
        <f t="shared" si="7"/>
        <v>93</v>
      </c>
      <c r="AM28" s="13">
        <f t="shared" si="7"/>
        <v>88</v>
      </c>
      <c r="AN28" s="13">
        <f t="shared" si="7"/>
        <v>103</v>
      </c>
      <c r="AO28" s="13">
        <f t="shared" si="7"/>
        <v>95</v>
      </c>
      <c r="AP28" s="13">
        <f t="shared" si="7"/>
        <v>100</v>
      </c>
      <c r="AQ28" s="13">
        <f t="shared" si="7"/>
        <v>82</v>
      </c>
      <c r="AR28" s="13">
        <f t="shared" si="7"/>
        <v>95</v>
      </c>
      <c r="AS28" s="13">
        <f t="shared" si="7"/>
        <v>80</v>
      </c>
      <c r="AT28" s="13">
        <f t="shared" si="7"/>
        <v>108</v>
      </c>
      <c r="AU28" s="13">
        <f t="shared" si="7"/>
        <v>104</v>
      </c>
      <c r="AV28" s="13">
        <f t="shared" si="7"/>
        <v>110</v>
      </c>
      <c r="AW28" s="13">
        <f t="shared" si="7"/>
        <v>107</v>
      </c>
      <c r="AX28" s="13">
        <f t="shared" si="7"/>
        <v>99</v>
      </c>
      <c r="AY28" s="13">
        <f t="shared" si="7"/>
        <v>77</v>
      </c>
      <c r="AZ28" s="13">
        <f t="shared" si="7"/>
        <v>68</v>
      </c>
      <c r="BA28" s="13">
        <f t="shared" si="3"/>
        <v>4586</v>
      </c>
    </row>
    <row r="29" ht="12.75" customHeight="1">
      <c r="A29" s="35"/>
      <c r="B29" s="27"/>
      <c r="C29" s="34"/>
      <c r="D29" s="13" t="s">
        <v>13</v>
      </c>
      <c r="E29" s="13">
        <f t="shared" ref="E29:AZ29" si="8">SUM(E20,E23,E26)</f>
        <v>116</v>
      </c>
      <c r="F29" s="13">
        <f t="shared" si="8"/>
        <v>132</v>
      </c>
      <c r="G29" s="13">
        <f t="shared" si="8"/>
        <v>87</v>
      </c>
      <c r="H29" s="13">
        <f t="shared" si="8"/>
        <v>120</v>
      </c>
      <c r="I29" s="13">
        <f t="shared" si="8"/>
        <v>117</v>
      </c>
      <c r="J29" s="13">
        <f t="shared" si="8"/>
        <v>121</v>
      </c>
      <c r="K29" s="13">
        <f t="shared" si="8"/>
        <v>108</v>
      </c>
      <c r="L29" s="13">
        <f t="shared" si="8"/>
        <v>100</v>
      </c>
      <c r="M29" s="13">
        <f t="shared" si="8"/>
        <v>94</v>
      </c>
      <c r="N29" s="13">
        <f t="shared" si="8"/>
        <v>106</v>
      </c>
      <c r="O29" s="13">
        <f t="shared" si="8"/>
        <v>106</v>
      </c>
      <c r="P29" s="13">
        <f t="shared" si="8"/>
        <v>97</v>
      </c>
      <c r="Q29" s="13">
        <f t="shared" si="8"/>
        <v>94</v>
      </c>
      <c r="R29" s="13">
        <f t="shared" si="8"/>
        <v>111</v>
      </c>
      <c r="S29" s="13">
        <f t="shared" si="8"/>
        <v>114</v>
      </c>
      <c r="T29" s="13">
        <f t="shared" si="8"/>
        <v>119</v>
      </c>
      <c r="U29" s="13">
        <f t="shared" si="8"/>
        <v>87</v>
      </c>
      <c r="V29" s="13">
        <f t="shared" si="8"/>
        <v>110</v>
      </c>
      <c r="W29" s="13">
        <f t="shared" si="8"/>
        <v>119</v>
      </c>
      <c r="X29" s="13">
        <f t="shared" si="8"/>
        <v>127</v>
      </c>
      <c r="Y29" s="13">
        <f t="shared" si="8"/>
        <v>109</v>
      </c>
      <c r="Z29" s="13">
        <f t="shared" si="8"/>
        <v>68</v>
      </c>
      <c r="AA29" s="13">
        <f t="shared" si="8"/>
        <v>113</v>
      </c>
      <c r="AB29" s="13">
        <f t="shared" si="8"/>
        <v>105</v>
      </c>
      <c r="AC29" s="13">
        <f t="shared" si="8"/>
        <v>110</v>
      </c>
      <c r="AD29" s="13">
        <f t="shared" si="8"/>
        <v>123</v>
      </c>
      <c r="AE29" s="13">
        <f t="shared" si="8"/>
        <v>104</v>
      </c>
      <c r="AF29" s="13">
        <f t="shared" si="8"/>
        <v>110</v>
      </c>
      <c r="AG29" s="13">
        <f t="shared" si="8"/>
        <v>97</v>
      </c>
      <c r="AH29" s="13">
        <f t="shared" si="8"/>
        <v>103</v>
      </c>
      <c r="AI29" s="13">
        <f t="shared" si="8"/>
        <v>58</v>
      </c>
      <c r="AJ29" s="13">
        <f t="shared" si="8"/>
        <v>115</v>
      </c>
      <c r="AK29" s="13">
        <f t="shared" si="8"/>
        <v>106</v>
      </c>
      <c r="AL29" s="13">
        <f t="shared" si="8"/>
        <v>103</v>
      </c>
      <c r="AM29" s="13">
        <f t="shared" si="8"/>
        <v>100</v>
      </c>
      <c r="AN29" s="13">
        <f t="shared" si="8"/>
        <v>96</v>
      </c>
      <c r="AO29" s="13">
        <f t="shared" si="8"/>
        <v>101</v>
      </c>
      <c r="AP29" s="13">
        <f t="shared" si="8"/>
        <v>114</v>
      </c>
      <c r="AQ29" s="13">
        <f t="shared" si="8"/>
        <v>84</v>
      </c>
      <c r="AR29" s="13">
        <f t="shared" si="8"/>
        <v>99</v>
      </c>
      <c r="AS29" s="13">
        <f t="shared" si="8"/>
        <v>98</v>
      </c>
      <c r="AT29" s="13">
        <f t="shared" si="8"/>
        <v>142</v>
      </c>
      <c r="AU29" s="13">
        <f t="shared" si="8"/>
        <v>96</v>
      </c>
      <c r="AV29" s="13">
        <f t="shared" si="8"/>
        <v>127</v>
      </c>
      <c r="AW29" s="13">
        <f t="shared" si="8"/>
        <v>107</v>
      </c>
      <c r="AX29" s="13">
        <f t="shared" si="8"/>
        <v>95</v>
      </c>
      <c r="AY29" s="13">
        <f t="shared" si="8"/>
        <v>99</v>
      </c>
      <c r="AZ29" s="13">
        <f t="shared" si="8"/>
        <v>77</v>
      </c>
      <c r="BA29" s="13">
        <f t="shared" si="3"/>
        <v>5044</v>
      </c>
    </row>
    <row r="30" ht="12.75" customHeight="1">
      <c r="A30" s="35"/>
      <c r="B30" s="28"/>
      <c r="C30" s="36"/>
      <c r="D30" s="13" t="s">
        <v>14</v>
      </c>
      <c r="E30" s="13">
        <f t="shared" ref="E30:AZ30" si="9">SUM(E28:E29)</f>
        <v>214</v>
      </c>
      <c r="F30" s="13">
        <f t="shared" si="9"/>
        <v>249</v>
      </c>
      <c r="G30" s="13">
        <f t="shared" si="9"/>
        <v>177</v>
      </c>
      <c r="H30" s="13">
        <f t="shared" si="9"/>
        <v>210</v>
      </c>
      <c r="I30" s="13">
        <f t="shared" si="9"/>
        <v>223</v>
      </c>
      <c r="J30" s="13">
        <f t="shared" si="9"/>
        <v>226</v>
      </c>
      <c r="K30" s="13">
        <f t="shared" si="9"/>
        <v>196</v>
      </c>
      <c r="L30" s="13">
        <f t="shared" si="9"/>
        <v>192</v>
      </c>
      <c r="M30" s="13">
        <f t="shared" si="9"/>
        <v>171</v>
      </c>
      <c r="N30" s="13">
        <f t="shared" si="9"/>
        <v>191</v>
      </c>
      <c r="O30" s="13">
        <f t="shared" si="9"/>
        <v>214</v>
      </c>
      <c r="P30" s="13">
        <f t="shared" si="9"/>
        <v>186</v>
      </c>
      <c r="Q30" s="13">
        <f t="shared" si="9"/>
        <v>175</v>
      </c>
      <c r="R30" s="13">
        <f t="shared" si="9"/>
        <v>233</v>
      </c>
      <c r="S30" s="13">
        <f t="shared" si="9"/>
        <v>222</v>
      </c>
      <c r="T30" s="13">
        <f t="shared" si="9"/>
        <v>233</v>
      </c>
      <c r="U30" s="13">
        <f t="shared" si="9"/>
        <v>160</v>
      </c>
      <c r="V30" s="13">
        <f t="shared" si="9"/>
        <v>213</v>
      </c>
      <c r="W30" s="13">
        <f t="shared" si="9"/>
        <v>229</v>
      </c>
      <c r="X30" s="13">
        <f t="shared" si="9"/>
        <v>233</v>
      </c>
      <c r="Y30" s="13">
        <f t="shared" si="9"/>
        <v>212</v>
      </c>
      <c r="Z30" s="13">
        <f t="shared" si="9"/>
        <v>126</v>
      </c>
      <c r="AA30" s="13">
        <f t="shared" si="9"/>
        <v>224</v>
      </c>
      <c r="AB30" s="13">
        <f t="shared" si="9"/>
        <v>203</v>
      </c>
      <c r="AC30" s="13">
        <f t="shared" si="9"/>
        <v>206</v>
      </c>
      <c r="AD30" s="13">
        <f t="shared" si="9"/>
        <v>215</v>
      </c>
      <c r="AE30" s="13">
        <f t="shared" si="9"/>
        <v>202</v>
      </c>
      <c r="AF30" s="13">
        <f t="shared" si="9"/>
        <v>220</v>
      </c>
      <c r="AG30" s="13">
        <f t="shared" si="9"/>
        <v>204</v>
      </c>
      <c r="AH30" s="13">
        <f t="shared" si="9"/>
        <v>203</v>
      </c>
      <c r="AI30" s="13">
        <f t="shared" si="9"/>
        <v>101</v>
      </c>
      <c r="AJ30" s="13">
        <f t="shared" si="9"/>
        <v>219</v>
      </c>
      <c r="AK30" s="13">
        <f t="shared" si="9"/>
        <v>201</v>
      </c>
      <c r="AL30" s="13">
        <f t="shared" si="9"/>
        <v>196</v>
      </c>
      <c r="AM30" s="13">
        <f t="shared" si="9"/>
        <v>188</v>
      </c>
      <c r="AN30" s="13">
        <f t="shared" si="9"/>
        <v>199</v>
      </c>
      <c r="AO30" s="13">
        <f t="shared" si="9"/>
        <v>196</v>
      </c>
      <c r="AP30" s="13">
        <f t="shared" si="9"/>
        <v>214</v>
      </c>
      <c r="AQ30" s="13">
        <f t="shared" si="9"/>
        <v>166</v>
      </c>
      <c r="AR30" s="13">
        <f t="shared" si="9"/>
        <v>194</v>
      </c>
      <c r="AS30" s="13">
        <f t="shared" si="9"/>
        <v>178</v>
      </c>
      <c r="AT30" s="13">
        <f t="shared" si="9"/>
        <v>250</v>
      </c>
      <c r="AU30" s="13">
        <f t="shared" si="9"/>
        <v>200</v>
      </c>
      <c r="AV30" s="13">
        <f t="shared" si="9"/>
        <v>237</v>
      </c>
      <c r="AW30" s="13">
        <f t="shared" si="9"/>
        <v>214</v>
      </c>
      <c r="AX30" s="13">
        <f t="shared" si="9"/>
        <v>194</v>
      </c>
      <c r="AY30" s="13">
        <f t="shared" si="9"/>
        <v>176</v>
      </c>
      <c r="AZ30" s="13">
        <f t="shared" si="9"/>
        <v>145</v>
      </c>
      <c r="BA30" s="13">
        <f t="shared" si="3"/>
        <v>9630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7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77"/>
    </row>
    <row r="33" ht="12.75" customHeight="1">
      <c r="A33" s="19">
        <v>1.0</v>
      </c>
      <c r="B33" s="20" t="s">
        <v>27</v>
      </c>
      <c r="C33" s="15"/>
      <c r="D33" s="16"/>
      <c r="E33" s="19">
        <v>295.0</v>
      </c>
      <c r="F33" s="19">
        <v>291.0</v>
      </c>
      <c r="G33" s="19">
        <v>213.0</v>
      </c>
      <c r="H33" s="19">
        <v>284.0</v>
      </c>
      <c r="I33" s="19">
        <v>304.0</v>
      </c>
      <c r="J33" s="19">
        <v>283.0</v>
      </c>
      <c r="K33" s="19">
        <v>249.0</v>
      </c>
      <c r="L33" s="19">
        <v>249.0</v>
      </c>
      <c r="M33" s="19">
        <v>300.0</v>
      </c>
      <c r="N33" s="19">
        <v>237.0</v>
      </c>
      <c r="O33" s="19">
        <v>277.0</v>
      </c>
      <c r="P33" s="19">
        <v>229.0</v>
      </c>
      <c r="Q33" s="19">
        <v>215.0</v>
      </c>
      <c r="R33" s="19">
        <v>303.0</v>
      </c>
      <c r="S33" s="19">
        <v>300.0</v>
      </c>
      <c r="T33" s="19">
        <v>303.0</v>
      </c>
      <c r="U33" s="19">
        <v>218.0</v>
      </c>
      <c r="V33" s="19">
        <v>296.0</v>
      </c>
      <c r="W33" s="19">
        <v>306.0</v>
      </c>
      <c r="X33" s="19">
        <v>275.0</v>
      </c>
      <c r="Y33" s="19">
        <v>281.0</v>
      </c>
      <c r="Z33" s="19">
        <v>159.0</v>
      </c>
      <c r="AA33" s="19">
        <v>300.0</v>
      </c>
      <c r="AB33" s="19">
        <v>266.0</v>
      </c>
      <c r="AC33" s="19">
        <v>276.0</v>
      </c>
      <c r="AD33" s="19">
        <v>294.0</v>
      </c>
      <c r="AE33" s="19">
        <v>254.0</v>
      </c>
      <c r="AF33" s="19">
        <v>284.0</v>
      </c>
      <c r="AG33" s="19">
        <v>275.0</v>
      </c>
      <c r="AH33" s="19">
        <v>298.0</v>
      </c>
      <c r="AI33" s="19">
        <v>249.0</v>
      </c>
      <c r="AJ33" s="19">
        <v>289.0</v>
      </c>
      <c r="AK33" s="19">
        <v>274.0</v>
      </c>
      <c r="AL33" s="19">
        <v>299.0</v>
      </c>
      <c r="AM33" s="19">
        <v>247.0</v>
      </c>
      <c r="AN33" s="19">
        <v>278.0</v>
      </c>
      <c r="AO33" s="19">
        <v>275.0</v>
      </c>
      <c r="AP33" s="19">
        <v>299.0</v>
      </c>
      <c r="AQ33" s="19">
        <v>238.0</v>
      </c>
      <c r="AR33" s="19">
        <v>260.0</v>
      </c>
      <c r="AS33" s="19">
        <v>235.0</v>
      </c>
      <c r="AT33" s="19">
        <v>297.0</v>
      </c>
      <c r="AU33" s="19">
        <v>278.0</v>
      </c>
      <c r="AV33" s="19">
        <v>289.0</v>
      </c>
      <c r="AW33" s="19">
        <v>303.0</v>
      </c>
      <c r="AX33" s="19">
        <v>243.0</v>
      </c>
      <c r="AY33" s="19">
        <v>239.0</v>
      </c>
      <c r="AZ33" s="19">
        <v>191.0</v>
      </c>
      <c r="BA33" s="13">
        <f t="shared" ref="BA33:BA36" si="10">SUM(E33:AZ33)</f>
        <v>12897</v>
      </c>
    </row>
    <row r="34" ht="12.75" customHeight="1">
      <c r="A34" s="19">
        <v>2.0</v>
      </c>
      <c r="B34" s="20" t="s">
        <v>28</v>
      </c>
      <c r="C34" s="15"/>
      <c r="D34" s="16"/>
      <c r="E34" s="13">
        <v>214.0</v>
      </c>
      <c r="F34" s="13">
        <v>249.0</v>
      </c>
      <c r="G34" s="13">
        <v>177.0</v>
      </c>
      <c r="H34" s="13">
        <v>210.0</v>
      </c>
      <c r="I34" s="13">
        <v>223.0</v>
      </c>
      <c r="J34" s="13">
        <v>226.0</v>
      </c>
      <c r="K34" s="13">
        <v>196.0</v>
      </c>
      <c r="L34" s="13">
        <v>192.0</v>
      </c>
      <c r="M34" s="13">
        <v>171.0</v>
      </c>
      <c r="N34" s="13">
        <v>191.0</v>
      </c>
      <c r="O34" s="13">
        <v>214.0</v>
      </c>
      <c r="P34" s="13">
        <v>186.0</v>
      </c>
      <c r="Q34" s="13">
        <v>175.0</v>
      </c>
      <c r="R34" s="13">
        <v>233.0</v>
      </c>
      <c r="S34" s="13">
        <v>222.0</v>
      </c>
      <c r="T34" s="13">
        <v>233.0</v>
      </c>
      <c r="U34" s="13">
        <v>160.0</v>
      </c>
      <c r="V34" s="78">
        <v>213.0</v>
      </c>
      <c r="W34" s="78">
        <v>229.0</v>
      </c>
      <c r="X34" s="78">
        <v>233.0</v>
      </c>
      <c r="Y34" s="78">
        <v>212.0</v>
      </c>
      <c r="Z34" s="78">
        <v>126.0</v>
      </c>
      <c r="AA34" s="78">
        <v>224.0</v>
      </c>
      <c r="AB34" s="78">
        <v>203.0</v>
      </c>
      <c r="AC34" s="78">
        <v>206.0</v>
      </c>
      <c r="AD34" s="78">
        <v>215.0</v>
      </c>
      <c r="AE34" s="78">
        <v>202.0</v>
      </c>
      <c r="AF34" s="78">
        <v>220.0</v>
      </c>
      <c r="AG34" s="78">
        <v>204.0</v>
      </c>
      <c r="AH34" s="13">
        <v>203.0</v>
      </c>
      <c r="AI34" s="13">
        <v>101.0</v>
      </c>
      <c r="AJ34" s="13">
        <v>219.0</v>
      </c>
      <c r="AK34" s="13">
        <v>201.0</v>
      </c>
      <c r="AL34" s="13">
        <v>196.0</v>
      </c>
      <c r="AM34" s="13">
        <v>188.0</v>
      </c>
      <c r="AN34" s="13">
        <v>199.0</v>
      </c>
      <c r="AO34" s="13">
        <v>196.0</v>
      </c>
      <c r="AP34" s="13">
        <v>214.0</v>
      </c>
      <c r="AQ34" s="13">
        <v>166.0</v>
      </c>
      <c r="AR34" s="13">
        <v>194.0</v>
      </c>
      <c r="AS34" s="13">
        <v>178.0</v>
      </c>
      <c r="AT34" s="13">
        <v>250.0</v>
      </c>
      <c r="AU34" s="13">
        <v>200.0</v>
      </c>
      <c r="AV34" s="13">
        <v>237.0</v>
      </c>
      <c r="AW34" s="13">
        <v>214.0</v>
      </c>
      <c r="AX34" s="13">
        <v>194.0</v>
      </c>
      <c r="AY34" s="13">
        <v>176.0</v>
      </c>
      <c r="AZ34" s="13">
        <v>145.0</v>
      </c>
      <c r="BA34" s="13">
        <f t="shared" si="10"/>
        <v>9630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2.0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1.0</v>
      </c>
      <c r="S35" s="19">
        <v>0.0</v>
      </c>
      <c r="T35" s="19">
        <v>0.0</v>
      </c>
      <c r="U35" s="19">
        <v>1.0</v>
      </c>
      <c r="V35" s="19">
        <v>1.0</v>
      </c>
      <c r="W35" s="19">
        <v>0.0</v>
      </c>
      <c r="X35" s="19">
        <v>0.0</v>
      </c>
      <c r="Y35" s="19">
        <v>1.0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2.0</v>
      </c>
      <c r="AF35" s="19">
        <v>0.0</v>
      </c>
      <c r="AG35" s="19">
        <v>2.0</v>
      </c>
      <c r="AH35" s="19">
        <v>1.0</v>
      </c>
      <c r="AI35" s="19">
        <v>0.0</v>
      </c>
      <c r="AJ35" s="19">
        <v>0.0</v>
      </c>
      <c r="AK35" s="19">
        <v>1.0</v>
      </c>
      <c r="AL35" s="19">
        <v>0.0</v>
      </c>
      <c r="AM35" s="19">
        <v>0.0</v>
      </c>
      <c r="AN35" s="19">
        <v>0.0</v>
      </c>
      <c r="AO35" s="19">
        <v>0.0</v>
      </c>
      <c r="AP35" s="19">
        <v>0.0</v>
      </c>
      <c r="AQ35" s="19">
        <v>0.0</v>
      </c>
      <c r="AR35" s="19">
        <v>0.0</v>
      </c>
      <c r="AS35" s="19">
        <v>0.0</v>
      </c>
      <c r="AT35" s="19">
        <v>0.0</v>
      </c>
      <c r="AU35" s="19">
        <v>0.0</v>
      </c>
      <c r="AV35" s="19">
        <v>0.0</v>
      </c>
      <c r="AW35" s="19">
        <v>1.0</v>
      </c>
      <c r="AX35" s="19"/>
      <c r="AY35" s="19"/>
      <c r="AZ35" s="19"/>
      <c r="BA35" s="13">
        <f t="shared" si="10"/>
        <v>13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Z36" si="11">E33-(E34+E35)</f>
        <v>81</v>
      </c>
      <c r="F36" s="13">
        <f t="shared" si="11"/>
        <v>42</v>
      </c>
      <c r="G36" s="13">
        <f t="shared" si="11"/>
        <v>36</v>
      </c>
      <c r="H36" s="13">
        <f t="shared" si="11"/>
        <v>74</v>
      </c>
      <c r="I36" s="13">
        <f t="shared" si="11"/>
        <v>81</v>
      </c>
      <c r="J36" s="13">
        <f t="shared" si="11"/>
        <v>57</v>
      </c>
      <c r="K36" s="13">
        <f t="shared" si="11"/>
        <v>51</v>
      </c>
      <c r="L36" s="13">
        <f t="shared" si="11"/>
        <v>57</v>
      </c>
      <c r="M36" s="13">
        <f t="shared" si="11"/>
        <v>129</v>
      </c>
      <c r="N36" s="13">
        <f t="shared" si="11"/>
        <v>46</v>
      </c>
      <c r="O36" s="13">
        <f t="shared" si="11"/>
        <v>63</v>
      </c>
      <c r="P36" s="13">
        <f t="shared" si="11"/>
        <v>43</v>
      </c>
      <c r="Q36" s="13">
        <f t="shared" si="11"/>
        <v>40</v>
      </c>
      <c r="R36" s="13">
        <f t="shared" si="11"/>
        <v>69</v>
      </c>
      <c r="S36" s="13">
        <f t="shared" si="11"/>
        <v>78</v>
      </c>
      <c r="T36" s="13">
        <f t="shared" si="11"/>
        <v>70</v>
      </c>
      <c r="U36" s="13">
        <f t="shared" si="11"/>
        <v>57</v>
      </c>
      <c r="V36" s="13">
        <f t="shared" si="11"/>
        <v>82</v>
      </c>
      <c r="W36" s="13">
        <f t="shared" si="11"/>
        <v>77</v>
      </c>
      <c r="X36" s="13">
        <f t="shared" si="11"/>
        <v>42</v>
      </c>
      <c r="Y36" s="13">
        <f t="shared" si="11"/>
        <v>68</v>
      </c>
      <c r="Z36" s="13">
        <f t="shared" si="11"/>
        <v>33</v>
      </c>
      <c r="AA36" s="13">
        <f t="shared" si="11"/>
        <v>76</v>
      </c>
      <c r="AB36" s="13">
        <f t="shared" si="11"/>
        <v>63</v>
      </c>
      <c r="AC36" s="13">
        <f t="shared" si="11"/>
        <v>70</v>
      </c>
      <c r="AD36" s="13">
        <f t="shared" si="11"/>
        <v>79</v>
      </c>
      <c r="AE36" s="13">
        <f t="shared" si="11"/>
        <v>50</v>
      </c>
      <c r="AF36" s="13">
        <f t="shared" si="11"/>
        <v>64</v>
      </c>
      <c r="AG36" s="13">
        <f t="shared" si="11"/>
        <v>69</v>
      </c>
      <c r="AH36" s="13">
        <f t="shared" si="11"/>
        <v>94</v>
      </c>
      <c r="AI36" s="13">
        <f t="shared" si="11"/>
        <v>148</v>
      </c>
      <c r="AJ36" s="13">
        <f t="shared" si="11"/>
        <v>70</v>
      </c>
      <c r="AK36" s="13">
        <f t="shared" si="11"/>
        <v>72</v>
      </c>
      <c r="AL36" s="13">
        <f t="shared" si="11"/>
        <v>103</v>
      </c>
      <c r="AM36" s="13">
        <f t="shared" si="11"/>
        <v>59</v>
      </c>
      <c r="AN36" s="13">
        <f t="shared" si="11"/>
        <v>79</v>
      </c>
      <c r="AO36" s="13">
        <f t="shared" si="11"/>
        <v>79</v>
      </c>
      <c r="AP36" s="13">
        <f t="shared" si="11"/>
        <v>85</v>
      </c>
      <c r="AQ36" s="13">
        <f t="shared" si="11"/>
        <v>72</v>
      </c>
      <c r="AR36" s="13">
        <f t="shared" si="11"/>
        <v>66</v>
      </c>
      <c r="AS36" s="13">
        <f t="shared" si="11"/>
        <v>57</v>
      </c>
      <c r="AT36" s="13">
        <f t="shared" si="11"/>
        <v>47</v>
      </c>
      <c r="AU36" s="13">
        <f t="shared" si="11"/>
        <v>78</v>
      </c>
      <c r="AV36" s="13">
        <f t="shared" si="11"/>
        <v>52</v>
      </c>
      <c r="AW36" s="13">
        <f t="shared" si="11"/>
        <v>88</v>
      </c>
      <c r="AX36" s="13">
        <f t="shared" si="11"/>
        <v>49</v>
      </c>
      <c r="AY36" s="13">
        <f t="shared" si="11"/>
        <v>63</v>
      </c>
      <c r="AZ36" s="13">
        <f t="shared" si="11"/>
        <v>46</v>
      </c>
      <c r="BA36" s="13">
        <f t="shared" si="10"/>
        <v>3254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8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77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1.0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1.0</v>
      </c>
      <c r="Q39" s="19">
        <v>0.0</v>
      </c>
      <c r="R39" s="19">
        <v>0.0</v>
      </c>
      <c r="S39" s="19">
        <v>0.0</v>
      </c>
      <c r="T39" s="19">
        <v>0.0</v>
      </c>
      <c r="U39" s="19">
        <v>1.0</v>
      </c>
      <c r="V39" s="19">
        <v>0.0</v>
      </c>
      <c r="W39" s="19">
        <v>0.0</v>
      </c>
      <c r="X39" s="19">
        <v>2.0</v>
      </c>
      <c r="Y39" s="19">
        <v>0.0</v>
      </c>
      <c r="Z39" s="19">
        <v>1.0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1.0</v>
      </c>
      <c r="AQ39" s="19">
        <v>0.0</v>
      </c>
      <c r="AR39" s="19">
        <v>1.0</v>
      </c>
      <c r="AS39" s="19">
        <v>1.0</v>
      </c>
      <c r="AT39" s="19">
        <v>0.0</v>
      </c>
      <c r="AU39" s="19">
        <v>0.0</v>
      </c>
      <c r="AV39" s="19">
        <v>0.0</v>
      </c>
      <c r="AW39" s="19">
        <v>0.0</v>
      </c>
      <c r="AX39" s="19">
        <v>0.0</v>
      </c>
      <c r="AY39" s="19">
        <v>0.0</v>
      </c>
      <c r="AZ39" s="19">
        <v>0.0</v>
      </c>
      <c r="BA39" s="13">
        <f t="shared" ref="BA39:BA41" si="12">SUM(E39:AZ39)</f>
        <v>9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1.0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1.0</v>
      </c>
      <c r="S40" s="19">
        <v>0.0</v>
      </c>
      <c r="T40" s="19">
        <v>0.0</v>
      </c>
      <c r="U40" s="19">
        <v>1.0</v>
      </c>
      <c r="V40" s="19">
        <v>0.0</v>
      </c>
      <c r="W40" s="19">
        <v>0.0</v>
      </c>
      <c r="X40" s="19">
        <v>1.0</v>
      </c>
      <c r="Y40" s="19">
        <v>0.0</v>
      </c>
      <c r="Z40" s="19">
        <v>3.0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2.0</v>
      </c>
      <c r="AP40" s="19">
        <v>1.0</v>
      </c>
      <c r="AQ40" s="19">
        <v>0.0</v>
      </c>
      <c r="AR40" s="19">
        <v>0.0</v>
      </c>
      <c r="AS40" s="19">
        <v>0.0</v>
      </c>
      <c r="AT40" s="19">
        <v>0.0</v>
      </c>
      <c r="AU40" s="19">
        <v>0.0</v>
      </c>
      <c r="AV40" s="19">
        <v>0.0</v>
      </c>
      <c r="AW40" s="19">
        <v>0.0</v>
      </c>
      <c r="AX40" s="19">
        <v>0.0</v>
      </c>
      <c r="AY40" s="19">
        <v>0.0</v>
      </c>
      <c r="AZ40" s="19">
        <v>1.0</v>
      </c>
      <c r="BA40" s="13">
        <f t="shared" si="12"/>
        <v>11</v>
      </c>
    </row>
    <row r="41" ht="12.75" customHeight="1">
      <c r="A41" s="41"/>
      <c r="B41" s="44"/>
      <c r="C41" s="28"/>
      <c r="D41" s="13" t="s">
        <v>14</v>
      </c>
      <c r="E41" s="13">
        <f t="shared" ref="E41:AZ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1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0</v>
      </c>
      <c r="R41" s="13">
        <f t="shared" si="13"/>
        <v>1</v>
      </c>
      <c r="S41" s="13">
        <f t="shared" si="13"/>
        <v>0</v>
      </c>
      <c r="T41" s="13">
        <f t="shared" si="13"/>
        <v>0</v>
      </c>
      <c r="U41" s="13">
        <f t="shared" si="13"/>
        <v>2</v>
      </c>
      <c r="V41" s="13">
        <f t="shared" si="13"/>
        <v>0</v>
      </c>
      <c r="W41" s="13">
        <f t="shared" si="13"/>
        <v>0</v>
      </c>
      <c r="X41" s="13">
        <f t="shared" si="13"/>
        <v>3</v>
      </c>
      <c r="Y41" s="13">
        <f t="shared" si="13"/>
        <v>0</v>
      </c>
      <c r="Z41" s="13">
        <f t="shared" si="13"/>
        <v>4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2</v>
      </c>
      <c r="AP41" s="13">
        <f t="shared" si="13"/>
        <v>2</v>
      </c>
      <c r="AQ41" s="13">
        <f t="shared" si="13"/>
        <v>0</v>
      </c>
      <c r="AR41" s="13">
        <f t="shared" si="13"/>
        <v>1</v>
      </c>
      <c r="AS41" s="13">
        <f t="shared" si="13"/>
        <v>1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0</v>
      </c>
      <c r="AZ41" s="13">
        <f t="shared" si="13"/>
        <v>1</v>
      </c>
      <c r="BA41" s="13">
        <f t="shared" si="12"/>
        <v>20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8"/>
      <c r="O42" s="19"/>
      <c r="P42" s="68"/>
      <c r="Q42" s="19"/>
      <c r="R42" s="68"/>
      <c r="S42" s="19"/>
      <c r="T42" s="68"/>
      <c r="U42" s="19"/>
      <c r="V42" s="68"/>
      <c r="W42" s="19"/>
      <c r="X42" s="68"/>
      <c r="Y42" s="19"/>
      <c r="Z42" s="68"/>
      <c r="AA42" s="19"/>
      <c r="AB42" s="68"/>
      <c r="AC42" s="19"/>
      <c r="AD42" s="68"/>
      <c r="AE42" s="19"/>
      <c r="AF42" s="68"/>
      <c r="AG42" s="19"/>
      <c r="AH42" s="19"/>
      <c r="AI42" s="68"/>
      <c r="AJ42" s="19"/>
      <c r="AK42" s="68"/>
      <c r="AL42" s="19"/>
      <c r="AM42" s="68"/>
      <c r="AN42" s="19"/>
      <c r="AO42" s="68"/>
      <c r="AP42" s="19"/>
      <c r="AQ42" s="68"/>
      <c r="AR42" s="19"/>
      <c r="AS42" s="68"/>
      <c r="AT42" s="19"/>
      <c r="AU42" s="68"/>
      <c r="AV42" s="19"/>
      <c r="AW42" s="68"/>
      <c r="AX42" s="19"/>
      <c r="AY42" s="68"/>
      <c r="AZ42" s="19"/>
      <c r="BA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69"/>
      <c r="Q43" s="13"/>
      <c r="R43" s="69"/>
      <c r="S43" s="13"/>
      <c r="T43" s="69"/>
      <c r="U43" s="13"/>
      <c r="V43" s="69"/>
      <c r="W43" s="13"/>
      <c r="X43" s="69"/>
      <c r="Y43" s="13"/>
      <c r="Z43" s="69"/>
      <c r="AA43" s="13"/>
      <c r="AB43" s="69"/>
      <c r="AC43" s="13"/>
      <c r="AD43" s="69"/>
      <c r="AE43" s="13"/>
      <c r="AF43" s="69"/>
      <c r="AG43" s="13"/>
      <c r="AH43" s="13"/>
      <c r="AI43" s="69"/>
      <c r="AJ43" s="13"/>
      <c r="AK43" s="69"/>
      <c r="AL43" s="13"/>
      <c r="AM43" s="69"/>
      <c r="AN43" s="13"/>
      <c r="AO43" s="69"/>
      <c r="AP43" s="13"/>
      <c r="AQ43" s="69"/>
      <c r="AR43" s="13"/>
      <c r="AS43" s="69"/>
      <c r="AT43" s="13"/>
      <c r="AU43" s="69"/>
      <c r="AV43" s="13"/>
      <c r="AW43" s="69"/>
      <c r="AX43" s="13"/>
      <c r="AY43" s="69"/>
      <c r="AZ43" s="13"/>
      <c r="BA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8"/>
      <c r="O44" s="19"/>
      <c r="P44" s="68"/>
      <c r="Q44" s="19"/>
      <c r="R44" s="68"/>
      <c r="S44" s="19"/>
      <c r="T44" s="68"/>
      <c r="U44" s="19"/>
      <c r="V44" s="68"/>
      <c r="W44" s="19"/>
      <c r="X44" s="68"/>
      <c r="Y44" s="19"/>
      <c r="Z44" s="68"/>
      <c r="AA44" s="19"/>
      <c r="AB44" s="68"/>
      <c r="AC44" s="19"/>
      <c r="AD44" s="68"/>
      <c r="AE44" s="19"/>
      <c r="AF44" s="68"/>
      <c r="AG44" s="19"/>
      <c r="AH44" s="19"/>
      <c r="AI44" s="68"/>
      <c r="AJ44" s="19"/>
      <c r="AK44" s="68"/>
      <c r="AL44" s="19"/>
      <c r="AM44" s="68"/>
      <c r="AN44" s="19"/>
      <c r="AO44" s="68"/>
      <c r="AP44" s="19"/>
      <c r="AQ44" s="68"/>
      <c r="AR44" s="19"/>
      <c r="AS44" s="68"/>
      <c r="AT44" s="19"/>
      <c r="AU44" s="68"/>
      <c r="AV44" s="19"/>
      <c r="AW44" s="68"/>
      <c r="AX44" s="19"/>
      <c r="AY44" s="68"/>
      <c r="AZ44" s="19"/>
      <c r="BA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4.0</v>
      </c>
      <c r="F45" s="19">
        <v>6.0</v>
      </c>
      <c r="G45" s="19">
        <v>0.0</v>
      </c>
      <c r="H45" s="19">
        <v>1.0</v>
      </c>
      <c r="I45" s="19">
        <v>3.0</v>
      </c>
      <c r="J45" s="19">
        <v>2.0</v>
      </c>
      <c r="K45" s="19">
        <v>3.0</v>
      </c>
      <c r="L45" s="19">
        <v>7.0</v>
      </c>
      <c r="M45" s="19">
        <v>7.0</v>
      </c>
      <c r="N45" s="19">
        <v>6.0</v>
      </c>
      <c r="O45" s="19">
        <v>2.0</v>
      </c>
      <c r="P45" s="19">
        <v>9.0</v>
      </c>
      <c r="Q45" s="19">
        <v>2.0</v>
      </c>
      <c r="R45" s="19">
        <v>9.0</v>
      </c>
      <c r="S45" s="19">
        <v>10.0</v>
      </c>
      <c r="T45" s="19">
        <v>8.0</v>
      </c>
      <c r="U45" s="19">
        <v>4.0</v>
      </c>
      <c r="V45" s="19">
        <v>6.0</v>
      </c>
      <c r="W45" s="19">
        <v>6.0</v>
      </c>
      <c r="X45" s="19">
        <v>3.0</v>
      </c>
      <c r="Y45" s="19">
        <v>4.0</v>
      </c>
      <c r="Z45" s="19">
        <v>5.0</v>
      </c>
      <c r="AA45" s="19">
        <v>7.0</v>
      </c>
      <c r="AB45" s="19">
        <v>5.0</v>
      </c>
      <c r="AC45" s="19">
        <v>4.0</v>
      </c>
      <c r="AD45" s="19">
        <v>11.0</v>
      </c>
      <c r="AE45" s="19">
        <v>1.0</v>
      </c>
      <c r="AF45" s="19">
        <v>4.0</v>
      </c>
      <c r="AG45" s="19">
        <v>8.0</v>
      </c>
      <c r="AH45" s="19">
        <v>7.0</v>
      </c>
      <c r="AI45" s="19">
        <v>1.0</v>
      </c>
      <c r="AJ45" s="19">
        <v>4.0</v>
      </c>
      <c r="AK45" s="19">
        <v>3.0</v>
      </c>
      <c r="AL45" s="19">
        <v>1.0</v>
      </c>
      <c r="AM45" s="19">
        <v>1.0</v>
      </c>
      <c r="AN45" s="19">
        <v>4.0</v>
      </c>
      <c r="AO45" s="19">
        <v>5.0</v>
      </c>
      <c r="AP45" s="19">
        <v>11.0</v>
      </c>
      <c r="AQ45" s="19">
        <v>4.0</v>
      </c>
      <c r="AR45" s="19">
        <v>3.0</v>
      </c>
      <c r="AS45" s="19">
        <v>3.0</v>
      </c>
      <c r="AT45" s="19">
        <v>8.0</v>
      </c>
      <c r="AU45" s="19">
        <v>5.0</v>
      </c>
      <c r="AV45" s="19">
        <v>4.0</v>
      </c>
      <c r="AW45" s="19">
        <v>2.0</v>
      </c>
      <c r="AX45" s="19">
        <v>3.0</v>
      </c>
      <c r="AY45" s="19">
        <v>2.0</v>
      </c>
      <c r="AZ45" s="19">
        <v>1.0</v>
      </c>
      <c r="BA45" s="13">
        <f t="shared" ref="BA45:BA52" si="14">SUM(E45:AZ45)</f>
        <v>219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2.0</v>
      </c>
      <c r="F46" s="19">
        <v>16.0</v>
      </c>
      <c r="G46" s="19">
        <v>9.0</v>
      </c>
      <c r="H46" s="19">
        <v>8.0</v>
      </c>
      <c r="I46" s="19">
        <v>16.0</v>
      </c>
      <c r="J46" s="19">
        <v>12.0</v>
      </c>
      <c r="K46" s="19">
        <v>13.0</v>
      </c>
      <c r="L46" s="19">
        <v>31.0</v>
      </c>
      <c r="M46" s="19">
        <v>16.0</v>
      </c>
      <c r="N46" s="19">
        <v>15.0</v>
      </c>
      <c r="O46" s="19">
        <v>1.0</v>
      </c>
      <c r="P46" s="19">
        <v>0.0</v>
      </c>
      <c r="Q46" s="19">
        <v>5.0</v>
      </c>
      <c r="R46" s="19">
        <v>5.0</v>
      </c>
      <c r="S46" s="19">
        <v>29.0</v>
      </c>
      <c r="T46" s="19">
        <v>23.0</v>
      </c>
      <c r="U46" s="19">
        <v>18.0</v>
      </c>
      <c r="V46" s="19">
        <v>15.0</v>
      </c>
      <c r="W46" s="19">
        <v>4.0</v>
      </c>
      <c r="X46" s="19">
        <v>3.0</v>
      </c>
      <c r="Y46" s="19">
        <v>31.0</v>
      </c>
      <c r="Z46" s="19">
        <v>10.0</v>
      </c>
      <c r="AA46" s="19">
        <v>17.0</v>
      </c>
      <c r="AB46" s="19">
        <v>13.0</v>
      </c>
      <c r="AC46" s="19">
        <v>6.0</v>
      </c>
      <c r="AD46" s="19">
        <v>12.0</v>
      </c>
      <c r="AE46" s="19">
        <v>4.0</v>
      </c>
      <c r="AF46" s="19">
        <v>21.0</v>
      </c>
      <c r="AG46" s="19">
        <v>33.0</v>
      </c>
      <c r="AH46" s="19">
        <v>18.0</v>
      </c>
      <c r="AI46" s="19">
        <v>7.0</v>
      </c>
      <c r="AJ46" s="19">
        <v>9.0</v>
      </c>
      <c r="AK46" s="19">
        <v>6.0</v>
      </c>
      <c r="AL46" s="19">
        <v>10.0</v>
      </c>
      <c r="AM46" s="19">
        <v>3.0</v>
      </c>
      <c r="AN46" s="19">
        <v>9.0</v>
      </c>
      <c r="AO46" s="19">
        <v>10.0</v>
      </c>
      <c r="AP46" s="19">
        <v>12.0</v>
      </c>
      <c r="AQ46" s="19">
        <v>10.0</v>
      </c>
      <c r="AR46" s="19">
        <v>4.0</v>
      </c>
      <c r="AS46" s="19">
        <v>4.0</v>
      </c>
      <c r="AT46" s="19">
        <v>4.0</v>
      </c>
      <c r="AU46" s="19">
        <v>12.0</v>
      </c>
      <c r="AV46" s="19">
        <v>4.0</v>
      </c>
      <c r="AW46" s="19">
        <v>17.0</v>
      </c>
      <c r="AX46" s="19">
        <v>6.0</v>
      </c>
      <c r="AY46" s="19">
        <v>11.0</v>
      </c>
      <c r="AZ46" s="19">
        <v>1.0</v>
      </c>
      <c r="BA46" s="13">
        <f t="shared" si="14"/>
        <v>545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0.0</v>
      </c>
      <c r="G47" s="19">
        <v>0.0</v>
      </c>
      <c r="H47" s="19">
        <v>1.0</v>
      </c>
      <c r="I47" s="19">
        <v>0.0</v>
      </c>
      <c r="J47" s="19">
        <v>4.0</v>
      </c>
      <c r="K47" s="19">
        <v>0.0</v>
      </c>
      <c r="L47" s="19">
        <v>0.0</v>
      </c>
      <c r="M47" s="19">
        <v>1.0</v>
      </c>
      <c r="N47" s="19">
        <v>0.0</v>
      </c>
      <c r="O47" s="19">
        <v>0.0</v>
      </c>
      <c r="P47" s="19">
        <v>0.0</v>
      </c>
      <c r="Q47" s="19">
        <v>1.0</v>
      </c>
      <c r="R47" s="19">
        <v>3.0</v>
      </c>
      <c r="S47" s="19">
        <v>0.0</v>
      </c>
      <c r="T47" s="19">
        <v>1.0</v>
      </c>
      <c r="U47" s="19">
        <v>0.0</v>
      </c>
      <c r="V47" s="19">
        <v>1.0</v>
      </c>
      <c r="W47" s="19">
        <v>3.0</v>
      </c>
      <c r="X47" s="19">
        <v>0.0</v>
      </c>
      <c r="Y47" s="19">
        <v>0.0</v>
      </c>
      <c r="Z47" s="19">
        <v>1.0</v>
      </c>
      <c r="AA47" s="19">
        <v>0.0</v>
      </c>
      <c r="AB47" s="19">
        <v>1.0</v>
      </c>
      <c r="AC47" s="19">
        <v>0.0</v>
      </c>
      <c r="AD47" s="19">
        <v>2.0</v>
      </c>
      <c r="AE47" s="19">
        <v>0.0</v>
      </c>
      <c r="AF47" s="19">
        <v>0.0</v>
      </c>
      <c r="AG47" s="19">
        <v>1.0</v>
      </c>
      <c r="AH47" s="19">
        <v>2.0</v>
      </c>
      <c r="AI47" s="19">
        <v>0.0</v>
      </c>
      <c r="AJ47" s="19">
        <v>2.0</v>
      </c>
      <c r="AK47" s="19">
        <v>1.0</v>
      </c>
      <c r="AL47" s="19">
        <v>1.0</v>
      </c>
      <c r="AM47" s="19">
        <v>0.0</v>
      </c>
      <c r="AN47" s="19">
        <v>0.0</v>
      </c>
      <c r="AO47" s="19">
        <v>0.0</v>
      </c>
      <c r="AP47" s="19">
        <v>0.0</v>
      </c>
      <c r="AQ47" s="19">
        <v>1.0</v>
      </c>
      <c r="AR47" s="19">
        <v>0.0</v>
      </c>
      <c r="AS47" s="19">
        <v>2.0</v>
      </c>
      <c r="AT47" s="19">
        <v>0.0</v>
      </c>
      <c r="AU47" s="19">
        <v>0.0</v>
      </c>
      <c r="AV47" s="19">
        <v>0.0</v>
      </c>
      <c r="AW47" s="19">
        <v>0.0</v>
      </c>
      <c r="AX47" s="19">
        <v>1.0</v>
      </c>
      <c r="AY47" s="19">
        <v>2.0</v>
      </c>
      <c r="AZ47" s="19">
        <v>0.0</v>
      </c>
      <c r="BA47" s="13">
        <f t="shared" si="14"/>
        <v>32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1.0</v>
      </c>
      <c r="H48" s="19">
        <v>0.0</v>
      </c>
      <c r="I48" s="19">
        <v>1.0</v>
      </c>
      <c r="J48" s="19">
        <v>0.0</v>
      </c>
      <c r="K48" s="19">
        <v>1.0</v>
      </c>
      <c r="L48" s="19">
        <v>2.0</v>
      </c>
      <c r="M48" s="19">
        <v>0.0</v>
      </c>
      <c r="N48" s="19">
        <v>2.0</v>
      </c>
      <c r="O48" s="19">
        <v>1.0</v>
      </c>
      <c r="P48" s="19">
        <v>0.0</v>
      </c>
      <c r="Q48" s="19">
        <v>0.0</v>
      </c>
      <c r="R48" s="19">
        <v>2.0</v>
      </c>
      <c r="S48" s="19">
        <v>0.0</v>
      </c>
      <c r="T48" s="19">
        <v>0.0</v>
      </c>
      <c r="U48" s="19">
        <v>2.0</v>
      </c>
      <c r="V48" s="19">
        <v>0.0</v>
      </c>
      <c r="W48" s="19">
        <v>0.0</v>
      </c>
      <c r="X48" s="19">
        <v>0.0</v>
      </c>
      <c r="Y48" s="19">
        <v>0.0</v>
      </c>
      <c r="Z48" s="19">
        <v>0.0</v>
      </c>
      <c r="AA48" s="19">
        <v>0.0</v>
      </c>
      <c r="AB48" s="19">
        <v>0.0</v>
      </c>
      <c r="AC48" s="19">
        <v>0.0</v>
      </c>
      <c r="AD48" s="19">
        <v>0.0</v>
      </c>
      <c r="AE48" s="19">
        <v>0.0</v>
      </c>
      <c r="AF48" s="19">
        <v>1.0</v>
      </c>
      <c r="AG48" s="19">
        <v>1.0</v>
      </c>
      <c r="AH48" s="19">
        <v>0.0</v>
      </c>
      <c r="AI48" s="19">
        <v>0.0</v>
      </c>
      <c r="AJ48" s="19">
        <v>0.0</v>
      </c>
      <c r="AK48" s="19">
        <v>0.0</v>
      </c>
      <c r="AL48" s="19">
        <v>1.0</v>
      </c>
      <c r="AM48" s="19">
        <v>0.0</v>
      </c>
      <c r="AN48" s="19">
        <v>0.0</v>
      </c>
      <c r="AO48" s="19">
        <v>0.0</v>
      </c>
      <c r="AP48" s="19">
        <v>1.0</v>
      </c>
      <c r="AQ48" s="19">
        <v>0.0</v>
      </c>
      <c r="AR48" s="19">
        <v>0.0</v>
      </c>
      <c r="AS48" s="19">
        <v>1.0</v>
      </c>
      <c r="AT48" s="19">
        <v>2.0</v>
      </c>
      <c r="AU48" s="19">
        <v>0.0</v>
      </c>
      <c r="AV48" s="19">
        <v>1.0</v>
      </c>
      <c r="AW48" s="19">
        <v>0.0</v>
      </c>
      <c r="AX48" s="19">
        <v>0.0</v>
      </c>
      <c r="AY48" s="19">
        <v>0.0</v>
      </c>
      <c r="AZ48" s="19">
        <v>0.0</v>
      </c>
      <c r="BA48" s="13">
        <f t="shared" si="14"/>
        <v>20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2.0</v>
      </c>
      <c r="H49" s="19">
        <v>0.0</v>
      </c>
      <c r="I49" s="19">
        <v>0.0</v>
      </c>
      <c r="J49" s="19">
        <v>2.0</v>
      </c>
      <c r="K49" s="19">
        <v>0.0</v>
      </c>
      <c r="L49" s="19">
        <v>0.0</v>
      </c>
      <c r="M49" s="19">
        <v>0.0</v>
      </c>
      <c r="N49" s="19">
        <v>0.0</v>
      </c>
      <c r="O49" s="19">
        <v>1.0</v>
      </c>
      <c r="P49" s="19">
        <v>0.0</v>
      </c>
      <c r="Q49" s="19">
        <v>0.0</v>
      </c>
      <c r="R49" s="19">
        <v>3.0</v>
      </c>
      <c r="S49" s="19">
        <v>0.0</v>
      </c>
      <c r="T49" s="19">
        <v>0.0</v>
      </c>
      <c r="U49" s="19">
        <v>0.0</v>
      </c>
      <c r="V49" s="19">
        <v>4.0</v>
      </c>
      <c r="W49" s="19">
        <v>1.0</v>
      </c>
      <c r="X49" s="19">
        <v>0.0</v>
      </c>
      <c r="Y49" s="19">
        <v>0.0</v>
      </c>
      <c r="Z49" s="19">
        <v>0.0</v>
      </c>
      <c r="AA49" s="19">
        <v>0.0</v>
      </c>
      <c r="AB49" s="19">
        <v>1.0</v>
      </c>
      <c r="AC49" s="19">
        <v>1.0</v>
      </c>
      <c r="AD49" s="19">
        <v>1.0</v>
      </c>
      <c r="AE49" s="19">
        <v>0.0</v>
      </c>
      <c r="AF49" s="19">
        <v>1.0</v>
      </c>
      <c r="AG49" s="19">
        <v>0.0</v>
      </c>
      <c r="AH49" s="19">
        <v>0.0</v>
      </c>
      <c r="AI49" s="19">
        <v>0.0</v>
      </c>
      <c r="AJ49" s="19">
        <v>1.0</v>
      </c>
      <c r="AK49" s="19">
        <v>1.0</v>
      </c>
      <c r="AL49" s="19">
        <v>0.0</v>
      </c>
      <c r="AM49" s="19">
        <v>3.0</v>
      </c>
      <c r="AN49" s="19">
        <v>1.0</v>
      </c>
      <c r="AO49" s="19">
        <v>0.0</v>
      </c>
      <c r="AP49" s="19">
        <v>3.0</v>
      </c>
      <c r="AQ49" s="19">
        <v>2.0</v>
      </c>
      <c r="AR49" s="19">
        <v>1.0</v>
      </c>
      <c r="AS49" s="19">
        <v>0.0</v>
      </c>
      <c r="AT49" s="19">
        <v>1.0</v>
      </c>
      <c r="AU49" s="19">
        <v>0.0</v>
      </c>
      <c r="AV49" s="19">
        <v>0.0</v>
      </c>
      <c r="AW49" s="19">
        <v>0.0</v>
      </c>
      <c r="AX49" s="19">
        <v>0.0</v>
      </c>
      <c r="AY49" s="19">
        <v>3.0</v>
      </c>
      <c r="AZ49" s="19">
        <v>0.0</v>
      </c>
      <c r="BA49" s="13">
        <f t="shared" si="14"/>
        <v>33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1.0</v>
      </c>
      <c r="G50" s="19">
        <v>1.0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1.0</v>
      </c>
      <c r="N50" s="19">
        <v>1.0</v>
      </c>
      <c r="O50" s="19">
        <v>0.0</v>
      </c>
      <c r="P50" s="19">
        <v>0.0</v>
      </c>
      <c r="Q50" s="19">
        <v>1.0</v>
      </c>
      <c r="R50" s="19">
        <v>2.0</v>
      </c>
      <c r="S50" s="19">
        <v>2.0</v>
      </c>
      <c r="T50" s="19">
        <v>0.0</v>
      </c>
      <c r="U50" s="19">
        <v>0.0</v>
      </c>
      <c r="V50" s="19">
        <v>1.0</v>
      </c>
      <c r="W50" s="19">
        <v>1.0</v>
      </c>
      <c r="X50" s="19">
        <v>0.0</v>
      </c>
      <c r="Y50" s="19">
        <v>1.0</v>
      </c>
      <c r="Z50" s="19">
        <v>0.0</v>
      </c>
      <c r="AA50" s="19">
        <v>1.0</v>
      </c>
      <c r="AB50" s="19">
        <v>1.0</v>
      </c>
      <c r="AC50" s="19">
        <v>0.0</v>
      </c>
      <c r="AD50" s="19">
        <v>0.0</v>
      </c>
      <c r="AE50" s="19">
        <v>1.0</v>
      </c>
      <c r="AF50" s="19">
        <v>0.0</v>
      </c>
      <c r="AG50" s="19">
        <v>0.0</v>
      </c>
      <c r="AH50" s="19">
        <v>0.0</v>
      </c>
      <c r="AI50" s="19">
        <v>0.0</v>
      </c>
      <c r="AJ50" s="19">
        <v>0.0</v>
      </c>
      <c r="AK50" s="19">
        <v>0.0</v>
      </c>
      <c r="AL50" s="19">
        <v>0.0</v>
      </c>
      <c r="AM50" s="19">
        <v>0.0</v>
      </c>
      <c r="AN50" s="19">
        <v>0.0</v>
      </c>
      <c r="AO50" s="19">
        <v>0.0</v>
      </c>
      <c r="AP50" s="19">
        <v>1.0</v>
      </c>
      <c r="AQ50" s="19">
        <v>0.0</v>
      </c>
      <c r="AR50" s="19">
        <v>0.0</v>
      </c>
      <c r="AS50" s="19">
        <v>0.0</v>
      </c>
      <c r="AT50" s="19">
        <v>0.0</v>
      </c>
      <c r="AU50" s="19">
        <v>0.0</v>
      </c>
      <c r="AV50" s="19">
        <v>0.0</v>
      </c>
      <c r="AW50" s="19">
        <v>0.0</v>
      </c>
      <c r="AX50" s="19">
        <v>1.0</v>
      </c>
      <c r="AY50" s="19">
        <v>0.0</v>
      </c>
      <c r="AZ50" s="19">
        <v>0.0</v>
      </c>
      <c r="BA50" s="13">
        <f t="shared" si="14"/>
        <v>17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1.0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2.0</v>
      </c>
      <c r="U51" s="19">
        <v>0.0</v>
      </c>
      <c r="V51" s="19">
        <v>0.0</v>
      </c>
      <c r="W51" s="19">
        <v>0.0</v>
      </c>
      <c r="X51" s="19">
        <v>0.0</v>
      </c>
      <c r="Y51" s="19">
        <v>1.0</v>
      </c>
      <c r="Z51" s="19">
        <v>1.0</v>
      </c>
      <c r="AA51" s="19">
        <v>0.0</v>
      </c>
      <c r="AB51" s="19">
        <v>0.0</v>
      </c>
      <c r="AC51" s="19">
        <v>3.0</v>
      </c>
      <c r="AD51" s="19">
        <v>1.0</v>
      </c>
      <c r="AE51" s="19">
        <v>0.0</v>
      </c>
      <c r="AF51" s="19">
        <v>0.0</v>
      </c>
      <c r="AG51" s="19">
        <v>0.0</v>
      </c>
      <c r="AH51" s="19">
        <v>1.0</v>
      </c>
      <c r="AI51" s="19">
        <v>0.0</v>
      </c>
      <c r="AJ51" s="19">
        <v>0.0</v>
      </c>
      <c r="AK51" s="19">
        <v>0.0</v>
      </c>
      <c r="AL51" s="19">
        <v>0.0</v>
      </c>
      <c r="AM51" s="19">
        <v>1.0</v>
      </c>
      <c r="AN51" s="19">
        <v>0.0</v>
      </c>
      <c r="AO51" s="19">
        <v>0.0</v>
      </c>
      <c r="AP51" s="19">
        <v>1.0</v>
      </c>
      <c r="AQ51" s="19">
        <v>0.0</v>
      </c>
      <c r="AR51" s="19">
        <v>0.0</v>
      </c>
      <c r="AS51" s="19">
        <v>0.0</v>
      </c>
      <c r="AT51" s="19">
        <v>0.0</v>
      </c>
      <c r="AU51" s="19">
        <v>1.0</v>
      </c>
      <c r="AV51" s="19">
        <v>0.0</v>
      </c>
      <c r="AW51" s="19">
        <v>0.0</v>
      </c>
      <c r="AX51" s="19">
        <v>3.0</v>
      </c>
      <c r="AY51" s="19">
        <v>0.0</v>
      </c>
      <c r="AZ51" s="19">
        <v>0.0</v>
      </c>
      <c r="BA51" s="13">
        <f t="shared" si="14"/>
        <v>17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2.0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0.0</v>
      </c>
      <c r="AE52" s="19">
        <v>0.0</v>
      </c>
      <c r="AF52" s="19">
        <v>0.0</v>
      </c>
      <c r="AG52" s="19">
        <v>0.0</v>
      </c>
      <c r="AH52" s="19">
        <v>0.0</v>
      </c>
      <c r="AI52" s="19">
        <v>0.0</v>
      </c>
      <c r="AJ52" s="19">
        <v>0.0</v>
      </c>
      <c r="AK52" s="19">
        <v>0.0</v>
      </c>
      <c r="AL52" s="19">
        <v>0.0</v>
      </c>
      <c r="AM52" s="19">
        <v>0.0</v>
      </c>
      <c r="AN52" s="19">
        <v>0.0</v>
      </c>
      <c r="AO52" s="19">
        <v>0.0</v>
      </c>
      <c r="AP52" s="19">
        <v>0.0</v>
      </c>
      <c r="AQ52" s="19">
        <v>0.0</v>
      </c>
      <c r="AR52" s="19">
        <v>1.0</v>
      </c>
      <c r="AS52" s="19">
        <v>0.0</v>
      </c>
      <c r="AT52" s="19">
        <v>0.0</v>
      </c>
      <c r="AU52" s="19">
        <v>1.0</v>
      </c>
      <c r="AV52" s="19">
        <v>0.0</v>
      </c>
      <c r="AW52" s="19">
        <v>0.0</v>
      </c>
      <c r="AX52" s="19">
        <v>0.0</v>
      </c>
      <c r="AY52" s="19">
        <v>1.0</v>
      </c>
      <c r="AZ52" s="19">
        <v>0.0</v>
      </c>
      <c r="BA52" s="13">
        <f t="shared" si="14"/>
        <v>5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79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79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BA55" si="15">SUM(E45:E54)</f>
        <v>7</v>
      </c>
      <c r="F55" s="13">
        <f t="shared" si="15"/>
        <v>24</v>
      </c>
      <c r="G55" s="13">
        <f t="shared" si="15"/>
        <v>15</v>
      </c>
      <c r="H55" s="13">
        <f t="shared" si="15"/>
        <v>10</v>
      </c>
      <c r="I55" s="13">
        <f t="shared" si="15"/>
        <v>20</v>
      </c>
      <c r="J55" s="13">
        <f t="shared" si="15"/>
        <v>20</v>
      </c>
      <c r="K55" s="13">
        <f t="shared" si="15"/>
        <v>17</v>
      </c>
      <c r="L55" s="13">
        <f t="shared" si="15"/>
        <v>40</v>
      </c>
      <c r="M55" s="13">
        <f t="shared" si="15"/>
        <v>25</v>
      </c>
      <c r="N55" s="13">
        <f t="shared" si="15"/>
        <v>24</v>
      </c>
      <c r="O55" s="13">
        <f t="shared" si="15"/>
        <v>5</v>
      </c>
      <c r="P55" s="13">
        <f t="shared" si="15"/>
        <v>9</v>
      </c>
      <c r="Q55" s="13">
        <f t="shared" si="15"/>
        <v>9</v>
      </c>
      <c r="R55" s="13">
        <f t="shared" si="15"/>
        <v>24</v>
      </c>
      <c r="S55" s="13">
        <f t="shared" si="15"/>
        <v>41</v>
      </c>
      <c r="T55" s="13">
        <f t="shared" si="15"/>
        <v>34</v>
      </c>
      <c r="U55" s="13">
        <f t="shared" si="15"/>
        <v>24</v>
      </c>
      <c r="V55" s="13">
        <f t="shared" si="15"/>
        <v>27</v>
      </c>
      <c r="W55" s="13">
        <f t="shared" si="15"/>
        <v>15</v>
      </c>
      <c r="X55" s="13">
        <f t="shared" si="15"/>
        <v>6</v>
      </c>
      <c r="Y55" s="13">
        <f t="shared" si="15"/>
        <v>37</v>
      </c>
      <c r="Z55" s="13">
        <f t="shared" si="15"/>
        <v>17</v>
      </c>
      <c r="AA55" s="13">
        <f t="shared" si="15"/>
        <v>25</v>
      </c>
      <c r="AB55" s="13">
        <f t="shared" si="15"/>
        <v>21</v>
      </c>
      <c r="AC55" s="13">
        <f t="shared" si="15"/>
        <v>14</v>
      </c>
      <c r="AD55" s="13">
        <f t="shared" si="15"/>
        <v>27</v>
      </c>
      <c r="AE55" s="13">
        <f t="shared" si="15"/>
        <v>6</v>
      </c>
      <c r="AF55" s="13">
        <f t="shared" si="15"/>
        <v>27</v>
      </c>
      <c r="AG55" s="13">
        <f t="shared" si="15"/>
        <v>43</v>
      </c>
      <c r="AH55" s="13">
        <f t="shared" si="15"/>
        <v>28</v>
      </c>
      <c r="AI55" s="13">
        <f t="shared" si="15"/>
        <v>8</v>
      </c>
      <c r="AJ55" s="13">
        <f t="shared" si="15"/>
        <v>16</v>
      </c>
      <c r="AK55" s="13">
        <f t="shared" si="15"/>
        <v>11</v>
      </c>
      <c r="AL55" s="13">
        <f t="shared" si="15"/>
        <v>13</v>
      </c>
      <c r="AM55" s="13">
        <f t="shared" si="15"/>
        <v>8</v>
      </c>
      <c r="AN55" s="13">
        <f t="shared" si="15"/>
        <v>14</v>
      </c>
      <c r="AO55" s="13">
        <f t="shared" si="15"/>
        <v>15</v>
      </c>
      <c r="AP55" s="13">
        <f t="shared" si="15"/>
        <v>29</v>
      </c>
      <c r="AQ55" s="13">
        <f t="shared" si="15"/>
        <v>17</v>
      </c>
      <c r="AR55" s="13">
        <f t="shared" si="15"/>
        <v>9</v>
      </c>
      <c r="AS55" s="13">
        <f t="shared" si="15"/>
        <v>10</v>
      </c>
      <c r="AT55" s="13">
        <f t="shared" si="15"/>
        <v>15</v>
      </c>
      <c r="AU55" s="13">
        <f t="shared" si="15"/>
        <v>19</v>
      </c>
      <c r="AV55" s="13">
        <f t="shared" si="15"/>
        <v>9</v>
      </c>
      <c r="AW55" s="13">
        <f t="shared" si="15"/>
        <v>19</v>
      </c>
      <c r="AX55" s="13">
        <f t="shared" si="15"/>
        <v>14</v>
      </c>
      <c r="AY55" s="13">
        <f t="shared" si="15"/>
        <v>19</v>
      </c>
      <c r="AZ55" s="13">
        <f t="shared" si="15"/>
        <v>2</v>
      </c>
      <c r="BA55" s="13">
        <f t="shared" si="15"/>
        <v>888</v>
      </c>
    </row>
    <row r="56" ht="12.75" customHeight="1">
      <c r="A56" s="45"/>
      <c r="B56" s="44"/>
      <c r="C56" s="44"/>
      <c r="D56" s="44"/>
      <c r="E56" s="44"/>
      <c r="BA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2.0</v>
      </c>
      <c r="F57" s="19">
        <v>12.0</v>
      </c>
      <c r="G57" s="19">
        <v>5.0</v>
      </c>
      <c r="H57" s="19">
        <v>2.0</v>
      </c>
      <c r="I57" s="19">
        <v>11.0</v>
      </c>
      <c r="J57" s="19">
        <v>3.0</v>
      </c>
      <c r="K57" s="19">
        <v>7.0</v>
      </c>
      <c r="L57" s="19">
        <v>7.0</v>
      </c>
      <c r="M57" s="19">
        <v>6.0</v>
      </c>
      <c r="N57" s="19">
        <v>7.0</v>
      </c>
      <c r="O57" s="19">
        <v>3.0</v>
      </c>
      <c r="P57" s="19">
        <v>4.0</v>
      </c>
      <c r="Q57" s="19">
        <v>4.0</v>
      </c>
      <c r="R57" s="19">
        <v>5.0</v>
      </c>
      <c r="S57" s="19">
        <v>9.0</v>
      </c>
      <c r="T57" s="19">
        <v>6.0</v>
      </c>
      <c r="U57" s="19">
        <v>4.0</v>
      </c>
      <c r="V57" s="19">
        <v>2.0</v>
      </c>
      <c r="W57" s="19">
        <v>5.0</v>
      </c>
      <c r="X57" s="19">
        <v>6.0</v>
      </c>
      <c r="Y57" s="19">
        <v>5.0</v>
      </c>
      <c r="Z57" s="19">
        <v>1.0</v>
      </c>
      <c r="AA57" s="19">
        <v>5.0</v>
      </c>
      <c r="AB57" s="19">
        <v>3.0</v>
      </c>
      <c r="AC57" s="19">
        <v>10.0</v>
      </c>
      <c r="AD57" s="19">
        <v>16.0</v>
      </c>
      <c r="AE57" s="19">
        <v>7.0</v>
      </c>
      <c r="AF57" s="19">
        <v>3.0</v>
      </c>
      <c r="AG57" s="19">
        <v>9.0</v>
      </c>
      <c r="AH57" s="19">
        <v>20.0</v>
      </c>
      <c r="AI57" s="19">
        <v>4.0</v>
      </c>
      <c r="AJ57" s="19">
        <v>3.0</v>
      </c>
      <c r="AK57" s="19">
        <v>7.0</v>
      </c>
      <c r="AL57" s="19">
        <v>2.0</v>
      </c>
      <c r="AM57" s="19">
        <v>11.0</v>
      </c>
      <c r="AN57" s="19">
        <v>11.0</v>
      </c>
      <c r="AO57" s="19">
        <v>6.0</v>
      </c>
      <c r="AP57" s="19">
        <v>10.0</v>
      </c>
      <c r="AQ57" s="19">
        <v>7.0</v>
      </c>
      <c r="AR57" s="19">
        <v>5.0</v>
      </c>
      <c r="AS57" s="19">
        <v>6.0</v>
      </c>
      <c r="AT57" s="19">
        <v>20.0</v>
      </c>
      <c r="AU57" s="19">
        <v>6.0</v>
      </c>
      <c r="AV57" s="19">
        <v>6.0</v>
      </c>
      <c r="AW57" s="19">
        <v>5.0</v>
      </c>
      <c r="AX57" s="19">
        <v>10.0</v>
      </c>
      <c r="AY57" s="19">
        <v>12.0</v>
      </c>
      <c r="AZ57" s="19">
        <v>10.0</v>
      </c>
      <c r="BA57" s="13">
        <f t="shared" ref="BA57:BA64" si="16">SUM(E57:AZ57)</f>
        <v>330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3.0</v>
      </c>
      <c r="F58" s="19">
        <v>7.0</v>
      </c>
      <c r="G58" s="19">
        <v>9.0</v>
      </c>
      <c r="H58" s="19">
        <v>6.0</v>
      </c>
      <c r="I58" s="19">
        <v>2.0</v>
      </c>
      <c r="J58" s="19">
        <v>15.0</v>
      </c>
      <c r="K58" s="19">
        <v>10.0</v>
      </c>
      <c r="L58" s="19">
        <v>6.0</v>
      </c>
      <c r="M58" s="19">
        <v>4.0</v>
      </c>
      <c r="N58" s="19">
        <v>5.0</v>
      </c>
      <c r="O58" s="19">
        <v>0.0</v>
      </c>
      <c r="P58" s="19">
        <v>2.0</v>
      </c>
      <c r="Q58" s="19">
        <v>5.0</v>
      </c>
      <c r="R58" s="19">
        <v>37.0</v>
      </c>
      <c r="S58" s="19">
        <v>3.0</v>
      </c>
      <c r="T58" s="19">
        <v>2.0</v>
      </c>
      <c r="U58" s="19">
        <v>1.0</v>
      </c>
      <c r="V58" s="19">
        <v>8.0</v>
      </c>
      <c r="W58" s="19">
        <v>5.0</v>
      </c>
      <c r="X58" s="19">
        <v>2.0</v>
      </c>
      <c r="Y58" s="19">
        <v>3.0</v>
      </c>
      <c r="Z58" s="19">
        <v>2.0</v>
      </c>
      <c r="AA58" s="19">
        <v>0.0</v>
      </c>
      <c r="AB58" s="19">
        <v>1.0</v>
      </c>
      <c r="AC58" s="19">
        <v>4.0</v>
      </c>
      <c r="AD58" s="19">
        <v>8.0</v>
      </c>
      <c r="AE58" s="19">
        <v>4.0</v>
      </c>
      <c r="AF58" s="19">
        <v>10.0</v>
      </c>
      <c r="AG58" s="19">
        <v>21.0</v>
      </c>
      <c r="AH58" s="19">
        <v>12.0</v>
      </c>
      <c r="AI58" s="19">
        <v>4.0</v>
      </c>
      <c r="AJ58" s="19">
        <v>3.0</v>
      </c>
      <c r="AK58" s="19">
        <v>4.0</v>
      </c>
      <c r="AL58" s="19">
        <v>5.0</v>
      </c>
      <c r="AM58" s="19">
        <v>14.0</v>
      </c>
      <c r="AN58" s="19">
        <v>6.0</v>
      </c>
      <c r="AO58" s="19">
        <v>10.0</v>
      </c>
      <c r="AP58" s="19">
        <v>3.0</v>
      </c>
      <c r="AQ58" s="19">
        <v>3.0</v>
      </c>
      <c r="AR58" s="19">
        <v>4.0</v>
      </c>
      <c r="AS58" s="19">
        <v>5.0</v>
      </c>
      <c r="AT58" s="19">
        <v>48.0</v>
      </c>
      <c r="AU58" s="19">
        <v>4.0</v>
      </c>
      <c r="AV58" s="19">
        <v>6.0</v>
      </c>
      <c r="AW58" s="19">
        <v>4.0</v>
      </c>
      <c r="AX58" s="19">
        <v>34.0</v>
      </c>
      <c r="AY58" s="19">
        <v>10.0</v>
      </c>
      <c r="AZ58" s="19">
        <v>19.0</v>
      </c>
      <c r="BA58" s="13">
        <f t="shared" si="16"/>
        <v>383</v>
      </c>
    </row>
    <row r="59" ht="12.75" customHeight="1">
      <c r="A59" s="18"/>
      <c r="B59" s="55">
        <v>2.0</v>
      </c>
      <c r="C59" s="50" t="s">
        <v>50</v>
      </c>
      <c r="D59" s="56"/>
      <c r="E59" s="19">
        <v>1.0</v>
      </c>
      <c r="F59" s="19">
        <v>1.0</v>
      </c>
      <c r="G59" s="19">
        <v>2.0</v>
      </c>
      <c r="H59" s="19">
        <v>1.0</v>
      </c>
      <c r="I59" s="19">
        <v>3.0</v>
      </c>
      <c r="J59" s="19">
        <v>3.0</v>
      </c>
      <c r="K59" s="19">
        <v>2.0</v>
      </c>
      <c r="L59" s="19">
        <v>0.0</v>
      </c>
      <c r="M59" s="19">
        <v>1.0</v>
      </c>
      <c r="N59" s="19">
        <v>5.0</v>
      </c>
      <c r="O59" s="19">
        <v>2.0</v>
      </c>
      <c r="P59" s="19">
        <v>2.0</v>
      </c>
      <c r="Q59" s="19">
        <v>4.0</v>
      </c>
      <c r="R59" s="19">
        <v>8.0</v>
      </c>
      <c r="S59" s="19">
        <v>2.0</v>
      </c>
      <c r="T59" s="19">
        <v>2.0</v>
      </c>
      <c r="U59" s="19">
        <v>1.0</v>
      </c>
      <c r="V59" s="19">
        <v>2.0</v>
      </c>
      <c r="W59" s="19">
        <v>0.0</v>
      </c>
      <c r="X59" s="19">
        <v>1.0</v>
      </c>
      <c r="Y59" s="19">
        <v>1.0</v>
      </c>
      <c r="Z59" s="19">
        <v>2.0</v>
      </c>
      <c r="AA59" s="19">
        <v>0.0</v>
      </c>
      <c r="AB59" s="19">
        <v>0.0</v>
      </c>
      <c r="AC59" s="19">
        <v>4.0</v>
      </c>
      <c r="AD59" s="19">
        <v>5.0</v>
      </c>
      <c r="AE59" s="19">
        <v>1.0</v>
      </c>
      <c r="AF59" s="19">
        <v>0.0</v>
      </c>
      <c r="AG59" s="19">
        <v>4.0</v>
      </c>
      <c r="AH59" s="19">
        <v>8.0</v>
      </c>
      <c r="AI59" s="19">
        <v>3.0</v>
      </c>
      <c r="AJ59" s="19">
        <v>2.0</v>
      </c>
      <c r="AK59" s="19">
        <v>1.0</v>
      </c>
      <c r="AL59" s="19">
        <v>3.0</v>
      </c>
      <c r="AM59" s="19">
        <v>4.0</v>
      </c>
      <c r="AN59" s="19">
        <v>3.0</v>
      </c>
      <c r="AO59" s="19">
        <v>2.0</v>
      </c>
      <c r="AP59" s="19">
        <v>3.0</v>
      </c>
      <c r="AQ59" s="19">
        <v>2.0</v>
      </c>
      <c r="AR59" s="19">
        <v>4.0</v>
      </c>
      <c r="AS59" s="19">
        <v>4.0</v>
      </c>
      <c r="AT59" s="19">
        <v>8.0</v>
      </c>
      <c r="AU59" s="19">
        <v>1.0</v>
      </c>
      <c r="AV59" s="19">
        <v>5.0</v>
      </c>
      <c r="AW59" s="19">
        <v>2.0</v>
      </c>
      <c r="AX59" s="19">
        <v>2.0</v>
      </c>
      <c r="AY59" s="19">
        <v>6.0</v>
      </c>
      <c r="AZ59" s="19">
        <v>0.0</v>
      </c>
      <c r="BA59" s="13">
        <f t="shared" si="16"/>
        <v>123</v>
      </c>
    </row>
    <row r="60" ht="12.75" customHeight="1">
      <c r="A60" s="18"/>
      <c r="B60" s="55">
        <v>3.0</v>
      </c>
      <c r="C60" s="50" t="s">
        <v>51</v>
      </c>
      <c r="D60" s="56"/>
      <c r="E60" s="19">
        <v>1.0</v>
      </c>
      <c r="F60" s="19">
        <v>0.0</v>
      </c>
      <c r="G60" s="19">
        <v>0.0</v>
      </c>
      <c r="H60" s="19">
        <v>0.0</v>
      </c>
      <c r="I60" s="19">
        <v>0.0</v>
      </c>
      <c r="J60" s="19">
        <v>3.0</v>
      </c>
      <c r="K60" s="19">
        <v>1.0</v>
      </c>
      <c r="L60" s="19">
        <v>0.0</v>
      </c>
      <c r="M60" s="19">
        <v>0.0</v>
      </c>
      <c r="N60" s="19">
        <v>0.0</v>
      </c>
      <c r="O60" s="19">
        <v>0.0</v>
      </c>
      <c r="P60" s="19">
        <v>1.0</v>
      </c>
      <c r="Q60" s="19">
        <v>0.0</v>
      </c>
      <c r="R60" s="19">
        <v>1.0</v>
      </c>
      <c r="S60" s="19">
        <v>1.0</v>
      </c>
      <c r="T60" s="19">
        <v>1.0</v>
      </c>
      <c r="U60" s="19">
        <v>0.0</v>
      </c>
      <c r="V60" s="19">
        <v>0.0</v>
      </c>
      <c r="W60" s="19">
        <v>1.0</v>
      </c>
      <c r="X60" s="19">
        <v>0.0</v>
      </c>
      <c r="Y60" s="19">
        <v>0.0</v>
      </c>
      <c r="Z60" s="19">
        <v>0.0</v>
      </c>
      <c r="AA60" s="19">
        <v>0.0</v>
      </c>
      <c r="AB60" s="19">
        <v>0.0</v>
      </c>
      <c r="AC60" s="19">
        <v>2.0</v>
      </c>
      <c r="AD60" s="19">
        <v>1.0</v>
      </c>
      <c r="AE60" s="19">
        <v>0.0</v>
      </c>
      <c r="AF60" s="19">
        <v>0.0</v>
      </c>
      <c r="AG60" s="19">
        <v>1.0</v>
      </c>
      <c r="AH60" s="19">
        <v>2.0</v>
      </c>
      <c r="AI60" s="19">
        <v>0.0</v>
      </c>
      <c r="AJ60" s="19">
        <v>0.0</v>
      </c>
      <c r="AK60" s="19">
        <v>0.0</v>
      </c>
      <c r="AL60" s="19">
        <v>0.0</v>
      </c>
      <c r="AM60" s="19">
        <v>0.0</v>
      </c>
      <c r="AN60" s="19">
        <v>0.0</v>
      </c>
      <c r="AO60" s="19">
        <v>2.0</v>
      </c>
      <c r="AP60" s="19">
        <v>2.0</v>
      </c>
      <c r="AQ60" s="19">
        <v>0.0</v>
      </c>
      <c r="AR60" s="19">
        <v>3.0</v>
      </c>
      <c r="AS60" s="19">
        <v>1.0</v>
      </c>
      <c r="AT60" s="19">
        <v>2.0</v>
      </c>
      <c r="AU60" s="19">
        <v>2.0</v>
      </c>
      <c r="AV60" s="19">
        <v>1.0</v>
      </c>
      <c r="AW60" s="19">
        <v>0.0</v>
      </c>
      <c r="AX60" s="19">
        <v>2.0</v>
      </c>
      <c r="AY60" s="19">
        <v>1.0</v>
      </c>
      <c r="AZ60" s="19">
        <v>1.0</v>
      </c>
      <c r="BA60" s="13">
        <f t="shared" si="16"/>
        <v>33</v>
      </c>
    </row>
    <row r="61" ht="12.75" customHeight="1">
      <c r="A61" s="18"/>
      <c r="B61" s="55">
        <v>4.0</v>
      </c>
      <c r="C61" s="50" t="s">
        <v>52</v>
      </c>
      <c r="D61" s="56"/>
      <c r="E61" s="19">
        <v>5.0</v>
      </c>
      <c r="F61" s="19">
        <v>5.0</v>
      </c>
      <c r="G61" s="19">
        <v>1.0</v>
      </c>
      <c r="H61" s="19">
        <v>1.0</v>
      </c>
      <c r="I61" s="19">
        <v>2.0</v>
      </c>
      <c r="J61" s="19">
        <v>0.0</v>
      </c>
      <c r="K61" s="19">
        <v>1.0</v>
      </c>
      <c r="L61" s="19">
        <v>0.0</v>
      </c>
      <c r="M61" s="19">
        <v>1.0</v>
      </c>
      <c r="N61" s="19">
        <v>1.0</v>
      </c>
      <c r="O61" s="19">
        <v>1.0</v>
      </c>
      <c r="P61" s="19">
        <v>1.0</v>
      </c>
      <c r="Q61" s="19">
        <v>1.0</v>
      </c>
      <c r="R61" s="19">
        <v>0.0</v>
      </c>
      <c r="S61" s="19">
        <v>1.0</v>
      </c>
      <c r="T61" s="19">
        <v>3.0</v>
      </c>
      <c r="U61" s="19">
        <v>0.0</v>
      </c>
      <c r="V61" s="19">
        <v>2.0</v>
      </c>
      <c r="W61" s="19">
        <v>0.0</v>
      </c>
      <c r="X61" s="19">
        <v>0.0</v>
      </c>
      <c r="Y61" s="19">
        <v>0.0</v>
      </c>
      <c r="Z61" s="19">
        <v>1.0</v>
      </c>
      <c r="AA61" s="19">
        <v>1.0</v>
      </c>
      <c r="AB61" s="19">
        <v>1.0</v>
      </c>
      <c r="AC61" s="19">
        <v>4.0</v>
      </c>
      <c r="AD61" s="19">
        <v>1.0</v>
      </c>
      <c r="AE61" s="19">
        <v>3.0</v>
      </c>
      <c r="AF61" s="19">
        <v>5.0</v>
      </c>
      <c r="AG61" s="19">
        <v>1.0</v>
      </c>
      <c r="AH61" s="19">
        <v>0.0</v>
      </c>
      <c r="AI61" s="19">
        <v>1.0</v>
      </c>
      <c r="AJ61" s="19">
        <v>1.0</v>
      </c>
      <c r="AK61" s="19">
        <v>0.0</v>
      </c>
      <c r="AL61" s="19">
        <v>0.0</v>
      </c>
      <c r="AM61" s="19">
        <v>2.0</v>
      </c>
      <c r="AN61" s="19">
        <v>2.0</v>
      </c>
      <c r="AO61" s="19">
        <v>2.0</v>
      </c>
      <c r="AP61" s="19">
        <v>1.0</v>
      </c>
      <c r="AQ61" s="19">
        <v>1.0</v>
      </c>
      <c r="AR61" s="19">
        <v>1.0</v>
      </c>
      <c r="AS61" s="19">
        <v>2.0</v>
      </c>
      <c r="AT61" s="19">
        <v>1.0</v>
      </c>
      <c r="AU61" s="19">
        <v>2.0</v>
      </c>
      <c r="AV61" s="19">
        <v>1.0</v>
      </c>
      <c r="AW61" s="19">
        <v>4.0</v>
      </c>
      <c r="AX61" s="19">
        <v>0.0</v>
      </c>
      <c r="AY61" s="19">
        <v>4.0</v>
      </c>
      <c r="AZ61" s="19">
        <v>2.0</v>
      </c>
      <c r="BA61" s="13">
        <f t="shared" si="16"/>
        <v>70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3.0</v>
      </c>
      <c r="G62" s="19">
        <v>1.0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2.0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1.0</v>
      </c>
      <c r="W62" s="19">
        <v>0.0</v>
      </c>
      <c r="X62" s="19">
        <v>1.0</v>
      </c>
      <c r="Y62" s="19">
        <v>2.0</v>
      </c>
      <c r="Z62" s="19">
        <v>0.0</v>
      </c>
      <c r="AA62" s="19">
        <v>1.0</v>
      </c>
      <c r="AB62" s="19">
        <v>1.0</v>
      </c>
      <c r="AC62" s="19">
        <v>0.0</v>
      </c>
      <c r="AD62" s="19">
        <v>0.0</v>
      </c>
      <c r="AE62" s="19">
        <v>1.0</v>
      </c>
      <c r="AF62" s="19">
        <v>0.0</v>
      </c>
      <c r="AG62" s="19">
        <v>0.0</v>
      </c>
      <c r="AH62" s="19">
        <v>0.0</v>
      </c>
      <c r="AI62" s="19">
        <v>1.0</v>
      </c>
      <c r="AJ62" s="19">
        <v>1.0</v>
      </c>
      <c r="AK62" s="19">
        <v>0.0</v>
      </c>
      <c r="AL62" s="19">
        <v>1.0</v>
      </c>
      <c r="AM62" s="19">
        <v>1.0</v>
      </c>
      <c r="AN62" s="19">
        <v>1.0</v>
      </c>
      <c r="AO62" s="19">
        <v>0.0</v>
      </c>
      <c r="AP62" s="19">
        <v>1.0</v>
      </c>
      <c r="AQ62" s="19">
        <v>0.0</v>
      </c>
      <c r="AR62" s="19">
        <v>0.0</v>
      </c>
      <c r="AS62" s="19">
        <v>2.0</v>
      </c>
      <c r="AT62" s="19">
        <v>0.0</v>
      </c>
      <c r="AU62" s="19">
        <v>1.0</v>
      </c>
      <c r="AV62" s="19">
        <v>0.0</v>
      </c>
      <c r="AW62" s="19">
        <v>0.0</v>
      </c>
      <c r="AX62" s="19">
        <v>1.0</v>
      </c>
      <c r="AY62" s="19">
        <v>0.0</v>
      </c>
      <c r="AZ62" s="19">
        <v>0.0</v>
      </c>
      <c r="BA62" s="13">
        <f t="shared" si="16"/>
        <v>23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0.0</v>
      </c>
      <c r="G63" s="19">
        <v>0.0</v>
      </c>
      <c r="H63" s="19">
        <v>2.0</v>
      </c>
      <c r="I63" s="19">
        <v>0.0</v>
      </c>
      <c r="J63" s="19">
        <v>0.0</v>
      </c>
      <c r="K63" s="19">
        <v>2.0</v>
      </c>
      <c r="L63" s="19">
        <v>0.0</v>
      </c>
      <c r="M63" s="19">
        <v>1.0</v>
      </c>
      <c r="N63" s="19">
        <v>0.0</v>
      </c>
      <c r="O63" s="19">
        <v>0.0</v>
      </c>
      <c r="P63" s="19">
        <v>0.0</v>
      </c>
      <c r="Q63" s="19">
        <v>0.0</v>
      </c>
      <c r="R63" s="19">
        <v>0.0</v>
      </c>
      <c r="S63" s="19">
        <v>0.0</v>
      </c>
      <c r="T63" s="19">
        <v>0.0</v>
      </c>
      <c r="U63" s="19">
        <v>0.0</v>
      </c>
      <c r="V63" s="19">
        <v>0.0</v>
      </c>
      <c r="W63" s="19">
        <v>1.0</v>
      </c>
      <c r="X63" s="19">
        <v>0.0</v>
      </c>
      <c r="Y63" s="19">
        <v>0.0</v>
      </c>
      <c r="Z63" s="19">
        <v>0.0</v>
      </c>
      <c r="AA63" s="19">
        <v>0.0</v>
      </c>
      <c r="AB63" s="19">
        <v>2.0</v>
      </c>
      <c r="AC63" s="19">
        <v>0.0</v>
      </c>
      <c r="AD63" s="19">
        <v>2.0</v>
      </c>
      <c r="AE63" s="19">
        <v>0.0</v>
      </c>
      <c r="AF63" s="19">
        <v>0.0</v>
      </c>
      <c r="AG63" s="19">
        <v>1.0</v>
      </c>
      <c r="AH63" s="19">
        <v>2.0</v>
      </c>
      <c r="AI63" s="19">
        <v>0.0</v>
      </c>
      <c r="AJ63" s="19">
        <v>1.0</v>
      </c>
      <c r="AK63" s="19">
        <v>0.0</v>
      </c>
      <c r="AL63" s="19">
        <v>1.0</v>
      </c>
      <c r="AM63" s="19">
        <v>1.0</v>
      </c>
      <c r="AN63" s="19">
        <v>0.0</v>
      </c>
      <c r="AO63" s="19">
        <v>0.0</v>
      </c>
      <c r="AP63" s="19">
        <v>2.0</v>
      </c>
      <c r="AQ63" s="19">
        <v>0.0</v>
      </c>
      <c r="AR63" s="19">
        <v>1.0</v>
      </c>
      <c r="AS63" s="19">
        <v>0.0</v>
      </c>
      <c r="AT63" s="19">
        <v>1.0</v>
      </c>
      <c r="AU63" s="19">
        <v>1.0</v>
      </c>
      <c r="AV63" s="19">
        <v>3.0</v>
      </c>
      <c r="AW63" s="19">
        <v>1.0</v>
      </c>
      <c r="AX63" s="19">
        <v>0.0</v>
      </c>
      <c r="AY63" s="19">
        <v>0.0</v>
      </c>
      <c r="AZ63" s="19">
        <v>0.0</v>
      </c>
      <c r="BA63" s="13">
        <f t="shared" si="16"/>
        <v>25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1.0</v>
      </c>
      <c r="G64" s="19">
        <v>1.0</v>
      </c>
      <c r="H64" s="19">
        <v>0.0</v>
      </c>
      <c r="I64" s="19">
        <v>1.0</v>
      </c>
      <c r="J64" s="19">
        <v>1.0</v>
      </c>
      <c r="K64" s="19">
        <v>0.0</v>
      </c>
      <c r="L64" s="19">
        <v>0.0</v>
      </c>
      <c r="M64" s="19">
        <v>0.0</v>
      </c>
      <c r="N64" s="19">
        <v>2.0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0.0</v>
      </c>
      <c r="U64" s="19">
        <v>1.0</v>
      </c>
      <c r="V64" s="19">
        <v>0.0</v>
      </c>
      <c r="W64" s="19">
        <v>0.0</v>
      </c>
      <c r="X64" s="19">
        <v>0.0</v>
      </c>
      <c r="Y64" s="19">
        <v>0.0</v>
      </c>
      <c r="Z64" s="19">
        <v>0.0</v>
      </c>
      <c r="AA64" s="19">
        <v>0.0</v>
      </c>
      <c r="AB64" s="19">
        <v>0.0</v>
      </c>
      <c r="AC64" s="19">
        <v>1.0</v>
      </c>
      <c r="AD64" s="19">
        <v>1.0</v>
      </c>
      <c r="AE64" s="19">
        <v>0.0</v>
      </c>
      <c r="AF64" s="19">
        <v>0.0</v>
      </c>
      <c r="AG64" s="19">
        <v>0.0</v>
      </c>
      <c r="AH64" s="19">
        <v>0.0</v>
      </c>
      <c r="AI64" s="19">
        <v>0.0</v>
      </c>
      <c r="AJ64" s="19">
        <v>0.0</v>
      </c>
      <c r="AK64" s="19">
        <v>0.0</v>
      </c>
      <c r="AL64" s="19">
        <v>1.0</v>
      </c>
      <c r="AM64" s="19">
        <v>0.0</v>
      </c>
      <c r="AN64" s="19">
        <v>0.0</v>
      </c>
      <c r="AO64" s="19">
        <v>0.0</v>
      </c>
      <c r="AP64" s="19">
        <v>1.0</v>
      </c>
      <c r="AQ64" s="19">
        <v>0.0</v>
      </c>
      <c r="AR64" s="19">
        <v>0.0</v>
      </c>
      <c r="AS64" s="19">
        <v>0.0</v>
      </c>
      <c r="AT64" s="19">
        <v>0.0</v>
      </c>
      <c r="AU64" s="19">
        <v>0.0</v>
      </c>
      <c r="AV64" s="19">
        <v>1.0</v>
      </c>
      <c r="AW64" s="19">
        <v>1.0</v>
      </c>
      <c r="AX64" s="19">
        <v>0.0</v>
      </c>
      <c r="AY64" s="19">
        <v>0.0</v>
      </c>
      <c r="AZ64" s="19">
        <v>2.0</v>
      </c>
      <c r="BA64" s="13">
        <f t="shared" si="16"/>
        <v>15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79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79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BA67" si="17">SUM(E57:E66)</f>
        <v>12</v>
      </c>
      <c r="F67" s="13">
        <f t="shared" si="17"/>
        <v>29</v>
      </c>
      <c r="G67" s="13">
        <f t="shared" si="17"/>
        <v>19</v>
      </c>
      <c r="H67" s="13">
        <f t="shared" si="17"/>
        <v>12</v>
      </c>
      <c r="I67" s="13">
        <f t="shared" si="17"/>
        <v>19</v>
      </c>
      <c r="J67" s="13">
        <f t="shared" si="17"/>
        <v>25</v>
      </c>
      <c r="K67" s="13">
        <f t="shared" si="17"/>
        <v>23</v>
      </c>
      <c r="L67" s="13">
        <f t="shared" si="17"/>
        <v>13</v>
      </c>
      <c r="M67" s="13">
        <f t="shared" si="17"/>
        <v>13</v>
      </c>
      <c r="N67" s="13">
        <f t="shared" si="17"/>
        <v>20</v>
      </c>
      <c r="O67" s="13">
        <f t="shared" si="17"/>
        <v>6</v>
      </c>
      <c r="P67" s="13">
        <f t="shared" si="17"/>
        <v>12</v>
      </c>
      <c r="Q67" s="13">
        <f t="shared" si="17"/>
        <v>14</v>
      </c>
      <c r="R67" s="13">
        <f t="shared" si="17"/>
        <v>51</v>
      </c>
      <c r="S67" s="13">
        <f t="shared" si="17"/>
        <v>16</v>
      </c>
      <c r="T67" s="13">
        <f t="shared" si="17"/>
        <v>14</v>
      </c>
      <c r="U67" s="13">
        <f t="shared" si="17"/>
        <v>7</v>
      </c>
      <c r="V67" s="13">
        <f t="shared" si="17"/>
        <v>15</v>
      </c>
      <c r="W67" s="13">
        <f t="shared" si="17"/>
        <v>12</v>
      </c>
      <c r="X67" s="13">
        <f t="shared" si="17"/>
        <v>10</v>
      </c>
      <c r="Y67" s="13">
        <f t="shared" si="17"/>
        <v>11</v>
      </c>
      <c r="Z67" s="13">
        <f t="shared" si="17"/>
        <v>6</v>
      </c>
      <c r="AA67" s="13">
        <f t="shared" si="17"/>
        <v>7</v>
      </c>
      <c r="AB67" s="13">
        <f t="shared" si="17"/>
        <v>8</v>
      </c>
      <c r="AC67" s="13">
        <f t="shared" si="17"/>
        <v>25</v>
      </c>
      <c r="AD67" s="13">
        <f t="shared" si="17"/>
        <v>34</v>
      </c>
      <c r="AE67" s="13">
        <f t="shared" si="17"/>
        <v>16</v>
      </c>
      <c r="AF67" s="13">
        <f t="shared" si="17"/>
        <v>18</v>
      </c>
      <c r="AG67" s="13">
        <f t="shared" si="17"/>
        <v>37</v>
      </c>
      <c r="AH67" s="13">
        <f t="shared" si="17"/>
        <v>44</v>
      </c>
      <c r="AI67" s="13">
        <f t="shared" si="17"/>
        <v>13</v>
      </c>
      <c r="AJ67" s="13">
        <f t="shared" si="17"/>
        <v>11</v>
      </c>
      <c r="AK67" s="13">
        <f t="shared" si="17"/>
        <v>12</v>
      </c>
      <c r="AL67" s="13">
        <f t="shared" si="17"/>
        <v>13</v>
      </c>
      <c r="AM67" s="13">
        <f t="shared" si="17"/>
        <v>33</v>
      </c>
      <c r="AN67" s="13">
        <f t="shared" si="17"/>
        <v>23</v>
      </c>
      <c r="AO67" s="13">
        <f t="shared" si="17"/>
        <v>22</v>
      </c>
      <c r="AP67" s="13">
        <f t="shared" si="17"/>
        <v>23</v>
      </c>
      <c r="AQ67" s="13">
        <f t="shared" si="17"/>
        <v>13</v>
      </c>
      <c r="AR67" s="13">
        <f t="shared" si="17"/>
        <v>18</v>
      </c>
      <c r="AS67" s="13">
        <f t="shared" si="17"/>
        <v>20</v>
      </c>
      <c r="AT67" s="13">
        <f t="shared" si="17"/>
        <v>80</v>
      </c>
      <c r="AU67" s="13">
        <f t="shared" si="17"/>
        <v>17</v>
      </c>
      <c r="AV67" s="13">
        <f t="shared" si="17"/>
        <v>23</v>
      </c>
      <c r="AW67" s="13">
        <f t="shared" si="17"/>
        <v>17</v>
      </c>
      <c r="AX67" s="13">
        <f t="shared" si="17"/>
        <v>49</v>
      </c>
      <c r="AY67" s="13">
        <f t="shared" si="17"/>
        <v>33</v>
      </c>
      <c r="AZ67" s="13">
        <f t="shared" si="17"/>
        <v>34</v>
      </c>
      <c r="BA67" s="13">
        <f t="shared" si="17"/>
        <v>1002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4.0</v>
      </c>
      <c r="F69" s="19">
        <v>17.0</v>
      </c>
      <c r="G69" s="19">
        <v>17.0</v>
      </c>
      <c r="H69" s="19">
        <v>27.0</v>
      </c>
      <c r="I69" s="19">
        <v>11.0</v>
      </c>
      <c r="J69" s="19">
        <v>9.0</v>
      </c>
      <c r="K69" s="19">
        <v>15.0</v>
      </c>
      <c r="L69" s="19">
        <v>9.0</v>
      </c>
      <c r="M69" s="19">
        <v>15.0</v>
      </c>
      <c r="N69" s="19">
        <v>14.0</v>
      </c>
      <c r="O69" s="19">
        <v>13.0</v>
      </c>
      <c r="P69" s="19">
        <v>5.0</v>
      </c>
      <c r="Q69" s="19">
        <v>4.0</v>
      </c>
      <c r="R69" s="19">
        <v>9.0</v>
      </c>
      <c r="S69" s="19">
        <v>18.0</v>
      </c>
      <c r="T69" s="19">
        <v>14.0</v>
      </c>
      <c r="U69" s="19">
        <v>15.0</v>
      </c>
      <c r="V69" s="19">
        <v>11.0</v>
      </c>
      <c r="W69" s="19">
        <v>8.0</v>
      </c>
      <c r="X69" s="19">
        <v>2.0</v>
      </c>
      <c r="Y69" s="19">
        <v>9.0</v>
      </c>
      <c r="Z69" s="19">
        <v>8.0</v>
      </c>
      <c r="AA69" s="19">
        <v>10.0</v>
      </c>
      <c r="AB69" s="19">
        <v>5.0</v>
      </c>
      <c r="AC69" s="19">
        <v>23.0</v>
      </c>
      <c r="AD69" s="19">
        <v>21.0</v>
      </c>
      <c r="AE69" s="19">
        <v>13.0</v>
      </c>
      <c r="AF69" s="19">
        <v>9.0</v>
      </c>
      <c r="AG69" s="19">
        <v>8.0</v>
      </c>
      <c r="AH69" s="19">
        <v>11.0</v>
      </c>
      <c r="AI69" s="19">
        <v>11.0</v>
      </c>
      <c r="AJ69" s="19">
        <v>19.0</v>
      </c>
      <c r="AK69" s="19">
        <v>25.0</v>
      </c>
      <c r="AL69" s="19">
        <v>15.0</v>
      </c>
      <c r="AM69" s="19">
        <v>13.0</v>
      </c>
      <c r="AN69" s="19">
        <v>15.0</v>
      </c>
      <c r="AO69" s="19">
        <v>16.0</v>
      </c>
      <c r="AP69" s="19">
        <v>23.0</v>
      </c>
      <c r="AQ69" s="19">
        <v>16.0</v>
      </c>
      <c r="AR69" s="19">
        <v>16.0</v>
      </c>
      <c r="AS69" s="19">
        <v>11.0</v>
      </c>
      <c r="AT69" s="19">
        <v>13.0</v>
      </c>
      <c r="AU69" s="19">
        <v>17.0</v>
      </c>
      <c r="AV69" s="19">
        <v>31.0</v>
      </c>
      <c r="AW69" s="19">
        <v>16.0</v>
      </c>
      <c r="AX69" s="19">
        <v>16.0</v>
      </c>
      <c r="AY69" s="19">
        <v>12.0</v>
      </c>
      <c r="AZ69" s="19">
        <v>6.0</v>
      </c>
      <c r="BA69" s="13">
        <f t="shared" ref="BA69:BA76" si="18">SUM(E69:AZ69)</f>
        <v>645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11.0</v>
      </c>
      <c r="F70" s="19">
        <v>22.0</v>
      </c>
      <c r="G70" s="19">
        <v>19.0</v>
      </c>
      <c r="H70" s="19">
        <v>35.0</v>
      </c>
      <c r="I70" s="19">
        <v>17.0</v>
      </c>
      <c r="J70" s="19">
        <v>23.0</v>
      </c>
      <c r="K70" s="19">
        <v>5.0</v>
      </c>
      <c r="L70" s="19">
        <v>6.0</v>
      </c>
      <c r="M70" s="19">
        <v>12.0</v>
      </c>
      <c r="N70" s="19">
        <v>17.0</v>
      </c>
      <c r="O70" s="19">
        <v>9.0</v>
      </c>
      <c r="P70" s="19">
        <v>10.0</v>
      </c>
      <c r="Q70" s="19">
        <v>20.0</v>
      </c>
      <c r="R70" s="19">
        <v>41.0</v>
      </c>
      <c r="S70" s="19">
        <v>19.0</v>
      </c>
      <c r="T70" s="19">
        <v>21.0</v>
      </c>
      <c r="U70" s="19">
        <v>15.0</v>
      </c>
      <c r="V70" s="19">
        <v>19.0</v>
      </c>
      <c r="W70" s="19">
        <v>2.0</v>
      </c>
      <c r="X70" s="19">
        <v>1.0</v>
      </c>
      <c r="Y70" s="19">
        <v>9.0</v>
      </c>
      <c r="Z70" s="19">
        <v>10.0</v>
      </c>
      <c r="AA70" s="19">
        <v>8.0</v>
      </c>
      <c r="AB70" s="19">
        <v>4.0</v>
      </c>
      <c r="AC70" s="19">
        <v>17.0</v>
      </c>
      <c r="AD70" s="19">
        <v>12.0</v>
      </c>
      <c r="AE70" s="19">
        <v>59.0</v>
      </c>
      <c r="AF70" s="19">
        <v>8.0</v>
      </c>
      <c r="AG70" s="19">
        <v>20.0</v>
      </c>
      <c r="AH70" s="19">
        <v>31.0</v>
      </c>
      <c r="AI70" s="19">
        <v>17.0</v>
      </c>
      <c r="AJ70" s="19">
        <v>77.0</v>
      </c>
      <c r="AK70" s="19">
        <v>57.0</v>
      </c>
      <c r="AL70" s="19">
        <v>40.0</v>
      </c>
      <c r="AM70" s="19">
        <v>10.0</v>
      </c>
      <c r="AN70" s="19">
        <v>34.0</v>
      </c>
      <c r="AO70" s="19">
        <v>27.0</v>
      </c>
      <c r="AP70" s="19">
        <v>31.0</v>
      </c>
      <c r="AQ70" s="19">
        <v>16.0</v>
      </c>
      <c r="AR70" s="19">
        <v>22.0</v>
      </c>
      <c r="AS70" s="19">
        <v>16.0</v>
      </c>
      <c r="AT70" s="19">
        <v>22.0</v>
      </c>
      <c r="AU70" s="19">
        <v>25.0</v>
      </c>
      <c r="AV70" s="19">
        <v>50.0</v>
      </c>
      <c r="AW70" s="19">
        <v>43.0</v>
      </c>
      <c r="AX70" s="19">
        <v>12.0</v>
      </c>
      <c r="AY70" s="19">
        <v>13.0</v>
      </c>
      <c r="AZ70" s="19">
        <v>1.0</v>
      </c>
      <c r="BA70" s="13">
        <f t="shared" si="18"/>
        <v>1015</v>
      </c>
    </row>
    <row r="71" ht="12.75" customHeight="1">
      <c r="A71" s="18"/>
      <c r="B71" s="55">
        <v>2.0</v>
      </c>
      <c r="C71" s="50" t="s">
        <v>58</v>
      </c>
      <c r="D71" s="57"/>
      <c r="E71" s="19">
        <v>3.0</v>
      </c>
      <c r="F71" s="19">
        <v>5.0</v>
      </c>
      <c r="G71" s="19">
        <v>2.0</v>
      </c>
      <c r="H71" s="19">
        <v>15.0</v>
      </c>
      <c r="I71" s="19">
        <v>5.0</v>
      </c>
      <c r="J71" s="19">
        <v>9.0</v>
      </c>
      <c r="K71" s="19">
        <v>5.0</v>
      </c>
      <c r="L71" s="19">
        <v>0.0</v>
      </c>
      <c r="M71" s="19">
        <v>8.0</v>
      </c>
      <c r="N71" s="19">
        <v>2.0</v>
      </c>
      <c r="O71" s="19">
        <v>0.0</v>
      </c>
      <c r="P71" s="19">
        <v>1.0</v>
      </c>
      <c r="Q71" s="19">
        <v>4.0</v>
      </c>
      <c r="R71" s="19">
        <v>7.0</v>
      </c>
      <c r="S71" s="19">
        <v>2.0</v>
      </c>
      <c r="T71" s="19">
        <v>1.0</v>
      </c>
      <c r="U71" s="19">
        <v>3.0</v>
      </c>
      <c r="V71" s="19">
        <v>6.0</v>
      </c>
      <c r="W71" s="19">
        <v>0.0</v>
      </c>
      <c r="X71" s="19">
        <v>0.0</v>
      </c>
      <c r="Y71" s="19">
        <v>28.0</v>
      </c>
      <c r="Z71" s="19">
        <v>12.0</v>
      </c>
      <c r="AA71" s="19">
        <v>16.0</v>
      </c>
      <c r="AB71" s="19">
        <v>12.0</v>
      </c>
      <c r="AC71" s="19">
        <v>1.0</v>
      </c>
      <c r="AD71" s="19">
        <v>17.0</v>
      </c>
      <c r="AE71" s="19">
        <v>23.0</v>
      </c>
      <c r="AF71" s="19">
        <v>30.0</v>
      </c>
      <c r="AG71" s="19">
        <v>1.0</v>
      </c>
      <c r="AH71" s="19">
        <v>2.0</v>
      </c>
      <c r="AI71" s="19">
        <v>6.0</v>
      </c>
      <c r="AJ71" s="19">
        <v>2.0</v>
      </c>
      <c r="AK71" s="19">
        <v>2.0</v>
      </c>
      <c r="AL71" s="19">
        <v>5.0</v>
      </c>
      <c r="AM71" s="19">
        <v>6.0</v>
      </c>
      <c r="AN71" s="19">
        <v>7.0</v>
      </c>
      <c r="AO71" s="19">
        <v>4.0</v>
      </c>
      <c r="AP71" s="19">
        <v>6.0</v>
      </c>
      <c r="AQ71" s="19">
        <v>2.0</v>
      </c>
      <c r="AR71" s="19">
        <v>6.0</v>
      </c>
      <c r="AS71" s="19">
        <v>2.0</v>
      </c>
      <c r="AT71" s="19">
        <v>1.0</v>
      </c>
      <c r="AU71" s="19">
        <v>4.0</v>
      </c>
      <c r="AV71" s="19">
        <v>2.0</v>
      </c>
      <c r="AW71" s="19">
        <v>0.0</v>
      </c>
      <c r="AX71" s="19">
        <v>5.0</v>
      </c>
      <c r="AY71" s="19">
        <v>4.0</v>
      </c>
      <c r="AZ71" s="19">
        <v>0.0</v>
      </c>
      <c r="BA71" s="13">
        <f t="shared" si="18"/>
        <v>284</v>
      </c>
    </row>
    <row r="72" ht="12.75" customHeight="1">
      <c r="A72" s="18"/>
      <c r="B72" s="55">
        <v>3.0</v>
      </c>
      <c r="C72" s="50" t="s">
        <v>59</v>
      </c>
      <c r="D72" s="57"/>
      <c r="E72" s="19">
        <v>20.0</v>
      </c>
      <c r="F72" s="19">
        <v>18.0</v>
      </c>
      <c r="G72" s="19">
        <v>2.0</v>
      </c>
      <c r="H72" s="19">
        <v>4.0</v>
      </c>
      <c r="I72" s="19">
        <v>10.0</v>
      </c>
      <c r="J72" s="19">
        <v>12.0</v>
      </c>
      <c r="K72" s="19">
        <v>2.0</v>
      </c>
      <c r="L72" s="19">
        <v>0.0</v>
      </c>
      <c r="M72" s="19">
        <v>4.0</v>
      </c>
      <c r="N72" s="19">
        <v>0.0</v>
      </c>
      <c r="O72" s="19">
        <v>3.0</v>
      </c>
      <c r="P72" s="19">
        <v>2.0</v>
      </c>
      <c r="Q72" s="19">
        <v>2.0</v>
      </c>
      <c r="R72" s="19">
        <v>7.0</v>
      </c>
      <c r="S72" s="19">
        <v>3.0</v>
      </c>
      <c r="T72" s="19">
        <v>1.0</v>
      </c>
      <c r="U72" s="19">
        <v>14.0</v>
      </c>
      <c r="V72" s="19">
        <v>9.0</v>
      </c>
      <c r="W72" s="19">
        <v>5.0</v>
      </c>
      <c r="X72" s="19">
        <v>40.0</v>
      </c>
      <c r="Y72" s="19">
        <v>6.0</v>
      </c>
      <c r="Z72" s="19">
        <v>6.0</v>
      </c>
      <c r="AA72" s="19">
        <v>1.0</v>
      </c>
      <c r="AB72" s="19">
        <v>1.0</v>
      </c>
      <c r="AC72" s="19">
        <v>4.0</v>
      </c>
      <c r="AD72" s="19">
        <v>0.0</v>
      </c>
      <c r="AE72" s="19">
        <v>1.0</v>
      </c>
      <c r="AF72" s="19">
        <v>1.0</v>
      </c>
      <c r="AG72" s="19">
        <v>1.0</v>
      </c>
      <c r="AH72" s="19">
        <v>11.0</v>
      </c>
      <c r="AI72" s="19">
        <v>2.0</v>
      </c>
      <c r="AJ72" s="19">
        <v>7.0</v>
      </c>
      <c r="AK72" s="19">
        <v>8.0</v>
      </c>
      <c r="AL72" s="19">
        <v>7.0</v>
      </c>
      <c r="AM72" s="19">
        <v>7.0</v>
      </c>
      <c r="AN72" s="19">
        <v>3.0</v>
      </c>
      <c r="AO72" s="19">
        <v>4.0</v>
      </c>
      <c r="AP72" s="19">
        <v>6.0</v>
      </c>
      <c r="AQ72" s="19">
        <v>0.0</v>
      </c>
      <c r="AR72" s="19">
        <v>13.0</v>
      </c>
      <c r="AS72" s="19">
        <v>9.0</v>
      </c>
      <c r="AT72" s="19">
        <v>19.0</v>
      </c>
      <c r="AU72" s="19">
        <v>11.0</v>
      </c>
      <c r="AV72" s="19">
        <v>6.0</v>
      </c>
      <c r="AW72" s="19">
        <v>2.0</v>
      </c>
      <c r="AX72" s="19">
        <v>5.0</v>
      </c>
      <c r="AY72" s="19">
        <v>3.0</v>
      </c>
      <c r="AZ72" s="19">
        <v>5.0</v>
      </c>
      <c r="BA72" s="13">
        <f t="shared" si="18"/>
        <v>307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1.0</v>
      </c>
      <c r="G73" s="19">
        <v>1.0</v>
      </c>
      <c r="H73" s="19">
        <v>0.0</v>
      </c>
      <c r="I73" s="19">
        <v>1.0</v>
      </c>
      <c r="J73" s="19">
        <v>0.0</v>
      </c>
      <c r="K73" s="19">
        <v>1.0</v>
      </c>
      <c r="L73" s="19">
        <v>0.0</v>
      </c>
      <c r="M73" s="19">
        <v>1.0</v>
      </c>
      <c r="N73" s="19">
        <v>0.0</v>
      </c>
      <c r="O73" s="19">
        <v>1.0</v>
      </c>
      <c r="P73" s="19">
        <v>0.0</v>
      </c>
      <c r="Q73" s="19">
        <v>1.0</v>
      </c>
      <c r="R73" s="19">
        <v>0.0</v>
      </c>
      <c r="S73" s="19">
        <v>1.0</v>
      </c>
      <c r="T73" s="19">
        <v>2.0</v>
      </c>
      <c r="U73" s="19">
        <v>0.0</v>
      </c>
      <c r="V73" s="19">
        <v>3.0</v>
      </c>
      <c r="W73" s="19">
        <v>2.0</v>
      </c>
      <c r="X73" s="19">
        <v>0.0</v>
      </c>
      <c r="Y73" s="19">
        <v>0.0</v>
      </c>
      <c r="Z73" s="19">
        <v>1.0</v>
      </c>
      <c r="AA73" s="19">
        <v>0.0</v>
      </c>
      <c r="AB73" s="19">
        <v>0.0</v>
      </c>
      <c r="AC73" s="19">
        <v>2.0</v>
      </c>
      <c r="AD73" s="19">
        <v>2.0</v>
      </c>
      <c r="AE73" s="19">
        <v>0.0</v>
      </c>
      <c r="AF73" s="19">
        <v>0.0</v>
      </c>
      <c r="AG73" s="19">
        <v>0.0</v>
      </c>
      <c r="AH73" s="19">
        <v>1.0</v>
      </c>
      <c r="AI73" s="19">
        <v>0.0</v>
      </c>
      <c r="AJ73" s="19">
        <v>1.0</v>
      </c>
      <c r="AK73" s="19">
        <v>2.0</v>
      </c>
      <c r="AL73" s="19">
        <v>1.0</v>
      </c>
      <c r="AM73" s="19">
        <v>0.0</v>
      </c>
      <c r="AN73" s="19">
        <v>2.0</v>
      </c>
      <c r="AO73" s="19">
        <v>1.0</v>
      </c>
      <c r="AP73" s="19">
        <v>2.0</v>
      </c>
      <c r="AQ73" s="19">
        <v>1.0</v>
      </c>
      <c r="AR73" s="19">
        <v>1.0</v>
      </c>
      <c r="AS73" s="19">
        <v>2.0</v>
      </c>
      <c r="AT73" s="19">
        <v>4.0</v>
      </c>
      <c r="AU73" s="19">
        <v>1.0</v>
      </c>
      <c r="AV73" s="19">
        <v>2.0</v>
      </c>
      <c r="AW73" s="19">
        <v>1.0</v>
      </c>
      <c r="AX73" s="19">
        <v>2.0</v>
      </c>
      <c r="AY73" s="19">
        <v>0.0</v>
      </c>
      <c r="AZ73" s="19">
        <v>0.0</v>
      </c>
      <c r="BA73" s="13">
        <f t="shared" si="18"/>
        <v>44</v>
      </c>
    </row>
    <row r="74" ht="12.75" customHeight="1">
      <c r="A74" s="18"/>
      <c r="B74" s="55">
        <v>5.0</v>
      </c>
      <c r="C74" s="50" t="s">
        <v>61</v>
      </c>
      <c r="D74" s="57"/>
      <c r="E74" s="19">
        <v>0.0</v>
      </c>
      <c r="F74" s="19">
        <v>4.0</v>
      </c>
      <c r="G74" s="19">
        <v>7.0</v>
      </c>
      <c r="H74" s="19">
        <v>9.0</v>
      </c>
      <c r="I74" s="19">
        <v>6.0</v>
      </c>
      <c r="J74" s="19">
        <v>5.0</v>
      </c>
      <c r="K74" s="19">
        <v>2.0</v>
      </c>
      <c r="L74" s="19">
        <v>4.0</v>
      </c>
      <c r="M74" s="19">
        <v>7.0</v>
      </c>
      <c r="N74" s="19">
        <v>5.0</v>
      </c>
      <c r="O74" s="19">
        <v>4.0</v>
      </c>
      <c r="P74" s="19">
        <v>1.0</v>
      </c>
      <c r="Q74" s="19">
        <v>1.0</v>
      </c>
      <c r="R74" s="19">
        <v>5.0</v>
      </c>
      <c r="S74" s="19">
        <v>5.0</v>
      </c>
      <c r="T74" s="19">
        <v>4.0</v>
      </c>
      <c r="U74" s="19">
        <v>5.0</v>
      </c>
      <c r="V74" s="19">
        <v>7.0</v>
      </c>
      <c r="W74" s="19">
        <v>1.0</v>
      </c>
      <c r="X74" s="19">
        <v>1.0</v>
      </c>
      <c r="Y74" s="19">
        <v>3.0</v>
      </c>
      <c r="Z74" s="19">
        <v>0.0</v>
      </c>
      <c r="AA74" s="19">
        <v>6.0</v>
      </c>
      <c r="AB74" s="19">
        <v>0.0</v>
      </c>
      <c r="AC74" s="19">
        <v>5.0</v>
      </c>
      <c r="AD74" s="19">
        <v>5.0</v>
      </c>
      <c r="AE74" s="19">
        <v>0.0</v>
      </c>
      <c r="AF74" s="19">
        <v>2.0</v>
      </c>
      <c r="AG74" s="19">
        <v>0.0</v>
      </c>
      <c r="AH74" s="19">
        <v>4.0</v>
      </c>
      <c r="AI74" s="19">
        <v>1.0</v>
      </c>
      <c r="AJ74" s="19">
        <v>1.0</v>
      </c>
      <c r="AK74" s="19">
        <v>0.0</v>
      </c>
      <c r="AL74" s="19">
        <v>2.0</v>
      </c>
      <c r="AM74" s="19">
        <v>3.0</v>
      </c>
      <c r="AN74" s="19">
        <v>5.0</v>
      </c>
      <c r="AO74" s="19">
        <v>6.0</v>
      </c>
      <c r="AP74" s="19">
        <v>6.0</v>
      </c>
      <c r="AQ74" s="19">
        <v>6.0</v>
      </c>
      <c r="AR74" s="19">
        <v>3.0</v>
      </c>
      <c r="AS74" s="19">
        <v>5.0</v>
      </c>
      <c r="AT74" s="19">
        <v>6.0</v>
      </c>
      <c r="AU74" s="19">
        <v>6.0</v>
      </c>
      <c r="AV74" s="19">
        <v>4.0</v>
      </c>
      <c r="AW74" s="19">
        <v>0.0</v>
      </c>
      <c r="AX74" s="19">
        <v>2.0</v>
      </c>
      <c r="AY74" s="19">
        <v>5.0</v>
      </c>
      <c r="AZ74" s="19">
        <v>3.0</v>
      </c>
      <c r="BA74" s="13">
        <f t="shared" si="18"/>
        <v>172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1.0</v>
      </c>
      <c r="G75" s="19">
        <v>1.0</v>
      </c>
      <c r="H75" s="19">
        <v>2.0</v>
      </c>
      <c r="I75" s="19">
        <v>2.0</v>
      </c>
      <c r="J75" s="19">
        <v>1.0</v>
      </c>
      <c r="K75" s="19">
        <v>1.0</v>
      </c>
      <c r="L75" s="19">
        <v>2.0</v>
      </c>
      <c r="M75" s="19">
        <v>2.0</v>
      </c>
      <c r="N75" s="19">
        <v>2.0</v>
      </c>
      <c r="O75" s="19">
        <v>1.0</v>
      </c>
      <c r="P75" s="19">
        <v>0.0</v>
      </c>
      <c r="Q75" s="19">
        <v>1.0</v>
      </c>
      <c r="R75" s="19">
        <v>3.0</v>
      </c>
      <c r="S75" s="19">
        <v>1.0</v>
      </c>
      <c r="T75" s="19">
        <v>0.0</v>
      </c>
      <c r="U75" s="19">
        <v>1.0</v>
      </c>
      <c r="V75" s="19">
        <v>2.0</v>
      </c>
      <c r="W75" s="19">
        <v>0.0</v>
      </c>
      <c r="X75" s="19">
        <v>1.0</v>
      </c>
      <c r="Y75" s="19">
        <v>1.0</v>
      </c>
      <c r="Z75" s="19">
        <v>1.0</v>
      </c>
      <c r="AA75" s="19">
        <v>1.0</v>
      </c>
      <c r="AB75" s="19">
        <v>0.0</v>
      </c>
      <c r="AC75" s="19">
        <v>3.0</v>
      </c>
      <c r="AD75" s="19">
        <v>2.0</v>
      </c>
      <c r="AE75" s="19">
        <v>2.0</v>
      </c>
      <c r="AF75" s="19">
        <v>0.0</v>
      </c>
      <c r="AG75" s="19">
        <v>0.0</v>
      </c>
      <c r="AH75" s="19">
        <v>1.0</v>
      </c>
      <c r="AI75" s="19">
        <v>0.0</v>
      </c>
      <c r="AJ75" s="19">
        <v>0.0</v>
      </c>
      <c r="AK75" s="19">
        <v>1.0</v>
      </c>
      <c r="AL75" s="19">
        <v>3.0</v>
      </c>
      <c r="AM75" s="19">
        <v>2.0</v>
      </c>
      <c r="AN75" s="19">
        <v>1.0</v>
      </c>
      <c r="AO75" s="19">
        <v>0.0</v>
      </c>
      <c r="AP75" s="19">
        <v>4.0</v>
      </c>
      <c r="AQ75" s="19">
        <v>0.0</v>
      </c>
      <c r="AR75" s="19">
        <v>0.0</v>
      </c>
      <c r="AS75" s="19">
        <v>1.0</v>
      </c>
      <c r="AT75" s="19">
        <v>0.0</v>
      </c>
      <c r="AU75" s="19">
        <v>0.0</v>
      </c>
      <c r="AV75" s="19">
        <v>2.0</v>
      </c>
      <c r="AW75" s="19">
        <v>2.0</v>
      </c>
      <c r="AX75" s="19">
        <v>1.0</v>
      </c>
      <c r="AY75" s="19">
        <v>6.0</v>
      </c>
      <c r="AZ75" s="19">
        <v>0.0</v>
      </c>
      <c r="BA75" s="13">
        <f t="shared" si="18"/>
        <v>58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2.0</v>
      </c>
      <c r="G76" s="19">
        <v>0.0</v>
      </c>
      <c r="H76" s="19">
        <v>1.0</v>
      </c>
      <c r="I76" s="19">
        <v>0.0</v>
      </c>
      <c r="J76" s="19">
        <v>1.0</v>
      </c>
      <c r="K76" s="19">
        <v>3.0</v>
      </c>
      <c r="L76" s="19">
        <v>1.0</v>
      </c>
      <c r="M76" s="19">
        <v>2.0</v>
      </c>
      <c r="N76" s="19">
        <v>1.0</v>
      </c>
      <c r="O76" s="19">
        <v>0.0</v>
      </c>
      <c r="P76" s="19">
        <v>1.0</v>
      </c>
      <c r="Q76" s="19">
        <v>0.0</v>
      </c>
      <c r="R76" s="19">
        <v>1.0</v>
      </c>
      <c r="S76" s="19">
        <v>2.0</v>
      </c>
      <c r="T76" s="19">
        <v>2.0</v>
      </c>
      <c r="U76" s="19">
        <v>0.0</v>
      </c>
      <c r="V76" s="19">
        <v>4.0</v>
      </c>
      <c r="W76" s="19">
        <v>0.0</v>
      </c>
      <c r="X76" s="19">
        <v>0.0</v>
      </c>
      <c r="Y76" s="19">
        <v>0.0</v>
      </c>
      <c r="Z76" s="19">
        <v>1.0</v>
      </c>
      <c r="AA76" s="19">
        <v>1.0</v>
      </c>
      <c r="AB76" s="19">
        <v>0.0</v>
      </c>
      <c r="AC76" s="19">
        <v>1.0</v>
      </c>
      <c r="AD76" s="19">
        <v>5.0</v>
      </c>
      <c r="AE76" s="19">
        <v>2.0</v>
      </c>
      <c r="AF76" s="19">
        <v>0.0</v>
      </c>
      <c r="AG76" s="19">
        <v>0.0</v>
      </c>
      <c r="AH76" s="19">
        <v>0.0</v>
      </c>
      <c r="AI76" s="19">
        <v>0.0</v>
      </c>
      <c r="AJ76" s="19">
        <v>1.0</v>
      </c>
      <c r="AK76" s="19">
        <v>0.0</v>
      </c>
      <c r="AL76" s="19">
        <v>1.0</v>
      </c>
      <c r="AM76" s="19">
        <v>2.0</v>
      </c>
      <c r="AN76" s="19">
        <v>0.0</v>
      </c>
      <c r="AO76" s="19">
        <v>1.0</v>
      </c>
      <c r="AP76" s="19">
        <v>1.0</v>
      </c>
      <c r="AQ76" s="19">
        <v>0.0</v>
      </c>
      <c r="AR76" s="19">
        <v>5.0</v>
      </c>
      <c r="AS76" s="19">
        <v>0.0</v>
      </c>
      <c r="AT76" s="19">
        <v>0.0</v>
      </c>
      <c r="AU76" s="19">
        <v>0.0</v>
      </c>
      <c r="AV76" s="19">
        <v>2.0</v>
      </c>
      <c r="AW76" s="19">
        <v>0.0</v>
      </c>
      <c r="AX76" s="19">
        <v>0.0</v>
      </c>
      <c r="AY76" s="19">
        <v>1.0</v>
      </c>
      <c r="AZ76" s="19">
        <v>0.0</v>
      </c>
      <c r="BA76" s="13">
        <f t="shared" si="18"/>
        <v>45</v>
      </c>
    </row>
    <row r="77" ht="12.75" customHeight="1">
      <c r="A77" s="18"/>
      <c r="B77" s="71"/>
      <c r="C77" s="72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79"/>
    </row>
    <row r="78" ht="12.75" customHeight="1">
      <c r="A78" s="18"/>
      <c r="B78" s="71"/>
      <c r="C78" s="72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79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BA79" si="19">SUM(E69:E78)</f>
        <v>38</v>
      </c>
      <c r="F79" s="13">
        <f t="shared" si="19"/>
        <v>70</v>
      </c>
      <c r="G79" s="13">
        <f t="shared" si="19"/>
        <v>49</v>
      </c>
      <c r="H79" s="13">
        <f t="shared" si="19"/>
        <v>93</v>
      </c>
      <c r="I79" s="13">
        <f t="shared" si="19"/>
        <v>52</v>
      </c>
      <c r="J79" s="13">
        <f t="shared" si="19"/>
        <v>60</v>
      </c>
      <c r="K79" s="13">
        <f t="shared" si="19"/>
        <v>34</v>
      </c>
      <c r="L79" s="13">
        <f t="shared" si="19"/>
        <v>22</v>
      </c>
      <c r="M79" s="13">
        <f t="shared" si="19"/>
        <v>51</v>
      </c>
      <c r="N79" s="13">
        <f t="shared" si="19"/>
        <v>41</v>
      </c>
      <c r="O79" s="13">
        <f t="shared" si="19"/>
        <v>31</v>
      </c>
      <c r="P79" s="13">
        <f t="shared" si="19"/>
        <v>20</v>
      </c>
      <c r="Q79" s="13">
        <f t="shared" si="19"/>
        <v>33</v>
      </c>
      <c r="R79" s="13">
        <f t="shared" si="19"/>
        <v>73</v>
      </c>
      <c r="S79" s="13">
        <f t="shared" si="19"/>
        <v>51</v>
      </c>
      <c r="T79" s="13">
        <f t="shared" si="19"/>
        <v>45</v>
      </c>
      <c r="U79" s="13">
        <f t="shared" si="19"/>
        <v>53</v>
      </c>
      <c r="V79" s="13">
        <f t="shared" si="19"/>
        <v>61</v>
      </c>
      <c r="W79" s="13">
        <f t="shared" si="19"/>
        <v>18</v>
      </c>
      <c r="X79" s="13">
        <f t="shared" si="19"/>
        <v>45</v>
      </c>
      <c r="Y79" s="13">
        <f t="shared" si="19"/>
        <v>56</v>
      </c>
      <c r="Z79" s="13">
        <f t="shared" si="19"/>
        <v>39</v>
      </c>
      <c r="AA79" s="13">
        <f t="shared" si="19"/>
        <v>43</v>
      </c>
      <c r="AB79" s="13">
        <f t="shared" si="19"/>
        <v>22</v>
      </c>
      <c r="AC79" s="13">
        <f t="shared" si="19"/>
        <v>56</v>
      </c>
      <c r="AD79" s="13">
        <f t="shared" si="19"/>
        <v>64</v>
      </c>
      <c r="AE79" s="13">
        <f t="shared" si="19"/>
        <v>100</v>
      </c>
      <c r="AF79" s="13">
        <f t="shared" si="19"/>
        <v>50</v>
      </c>
      <c r="AG79" s="13">
        <f t="shared" si="19"/>
        <v>30</v>
      </c>
      <c r="AH79" s="13">
        <f t="shared" si="19"/>
        <v>61</v>
      </c>
      <c r="AI79" s="13">
        <f t="shared" si="19"/>
        <v>37</v>
      </c>
      <c r="AJ79" s="13">
        <f t="shared" si="19"/>
        <v>108</v>
      </c>
      <c r="AK79" s="13">
        <f t="shared" si="19"/>
        <v>95</v>
      </c>
      <c r="AL79" s="13">
        <f t="shared" si="19"/>
        <v>74</v>
      </c>
      <c r="AM79" s="13">
        <f t="shared" si="19"/>
        <v>43</v>
      </c>
      <c r="AN79" s="13">
        <f t="shared" si="19"/>
        <v>67</v>
      </c>
      <c r="AO79" s="13">
        <f t="shared" si="19"/>
        <v>59</v>
      </c>
      <c r="AP79" s="13">
        <f t="shared" si="19"/>
        <v>79</v>
      </c>
      <c r="AQ79" s="13">
        <f t="shared" si="19"/>
        <v>41</v>
      </c>
      <c r="AR79" s="13">
        <f t="shared" si="19"/>
        <v>66</v>
      </c>
      <c r="AS79" s="13">
        <f t="shared" si="19"/>
        <v>46</v>
      </c>
      <c r="AT79" s="13">
        <f t="shared" si="19"/>
        <v>65</v>
      </c>
      <c r="AU79" s="13">
        <f t="shared" si="19"/>
        <v>64</v>
      </c>
      <c r="AV79" s="13">
        <f t="shared" si="19"/>
        <v>99</v>
      </c>
      <c r="AW79" s="13">
        <f t="shared" si="19"/>
        <v>64</v>
      </c>
      <c r="AX79" s="13">
        <f t="shared" si="19"/>
        <v>43</v>
      </c>
      <c r="AY79" s="13">
        <f t="shared" si="19"/>
        <v>44</v>
      </c>
      <c r="AZ79" s="13">
        <f t="shared" si="19"/>
        <v>15</v>
      </c>
      <c r="BA79" s="13">
        <f t="shared" si="19"/>
        <v>2570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3.0</v>
      </c>
      <c r="F81" s="19">
        <v>6.0</v>
      </c>
      <c r="G81" s="19">
        <v>4.0</v>
      </c>
      <c r="H81" s="19">
        <v>4.0</v>
      </c>
      <c r="I81" s="19">
        <v>7.0</v>
      </c>
      <c r="J81" s="19">
        <v>0.0</v>
      </c>
      <c r="K81" s="19">
        <v>4.0</v>
      </c>
      <c r="L81" s="19">
        <v>3.0</v>
      </c>
      <c r="M81" s="19">
        <v>2.0</v>
      </c>
      <c r="N81" s="19">
        <v>1.0</v>
      </c>
      <c r="O81" s="19">
        <v>7.0</v>
      </c>
      <c r="P81" s="19">
        <v>2.0</v>
      </c>
      <c r="Q81" s="19">
        <v>1.0</v>
      </c>
      <c r="R81" s="19">
        <v>1.0</v>
      </c>
      <c r="S81" s="19">
        <v>2.0</v>
      </c>
      <c r="T81" s="19">
        <v>1.0</v>
      </c>
      <c r="U81" s="19">
        <v>0.0</v>
      </c>
      <c r="V81" s="19">
        <v>4.0</v>
      </c>
      <c r="W81" s="19">
        <v>7.0</v>
      </c>
      <c r="X81" s="19">
        <v>8.0</v>
      </c>
      <c r="Y81" s="19">
        <v>4.0</v>
      </c>
      <c r="Z81" s="19">
        <v>4.0</v>
      </c>
      <c r="AA81" s="19">
        <v>5.0</v>
      </c>
      <c r="AB81" s="19">
        <v>0.0</v>
      </c>
      <c r="AC81" s="19">
        <v>3.0</v>
      </c>
      <c r="AD81" s="19">
        <v>3.0</v>
      </c>
      <c r="AE81" s="19">
        <v>3.0</v>
      </c>
      <c r="AF81" s="19">
        <v>4.0</v>
      </c>
      <c r="AG81" s="19">
        <v>4.0</v>
      </c>
      <c r="AH81" s="19">
        <v>2.0</v>
      </c>
      <c r="AI81" s="19">
        <v>2.0</v>
      </c>
      <c r="AJ81" s="19">
        <v>5.0</v>
      </c>
      <c r="AK81" s="19">
        <v>7.0</v>
      </c>
      <c r="AL81" s="19">
        <v>8.0</v>
      </c>
      <c r="AM81" s="19">
        <v>6.0</v>
      </c>
      <c r="AN81" s="19">
        <v>5.0</v>
      </c>
      <c r="AO81" s="19">
        <v>7.0</v>
      </c>
      <c r="AP81" s="19">
        <v>5.0</v>
      </c>
      <c r="AQ81" s="19">
        <v>5.0</v>
      </c>
      <c r="AR81" s="19">
        <v>8.0</v>
      </c>
      <c r="AS81" s="19">
        <v>7.0</v>
      </c>
      <c r="AT81" s="19">
        <v>4.0</v>
      </c>
      <c r="AU81" s="19">
        <v>3.0</v>
      </c>
      <c r="AV81" s="19">
        <v>4.0</v>
      </c>
      <c r="AW81" s="19">
        <v>4.0</v>
      </c>
      <c r="AX81" s="19">
        <v>1.0</v>
      </c>
      <c r="AY81" s="19">
        <v>2.0</v>
      </c>
      <c r="AZ81" s="19">
        <v>3.0</v>
      </c>
      <c r="BA81" s="13">
        <f t="shared" ref="BA81:BA88" si="20">SUM(E81:AZ81)</f>
        <v>185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79.0</v>
      </c>
      <c r="F82" s="19">
        <v>26.0</v>
      </c>
      <c r="G82" s="19">
        <v>24.0</v>
      </c>
      <c r="H82" s="19">
        <v>17.0</v>
      </c>
      <c r="I82" s="19">
        <v>27.0</v>
      </c>
      <c r="J82" s="19">
        <v>0.0</v>
      </c>
      <c r="K82" s="19">
        <v>0.0</v>
      </c>
      <c r="L82" s="19">
        <v>11.0</v>
      </c>
      <c r="M82" s="19">
        <v>9.0</v>
      </c>
      <c r="N82" s="19">
        <v>5.0</v>
      </c>
      <c r="O82" s="19">
        <v>67.0</v>
      </c>
      <c r="P82" s="19">
        <v>22.0</v>
      </c>
      <c r="Q82" s="19">
        <v>33.0</v>
      </c>
      <c r="R82" s="19">
        <v>3.0</v>
      </c>
      <c r="S82" s="19">
        <v>1.0</v>
      </c>
      <c r="T82" s="19">
        <v>3.0</v>
      </c>
      <c r="U82" s="19">
        <v>5.0</v>
      </c>
      <c r="V82" s="19">
        <v>27.0</v>
      </c>
      <c r="W82" s="19">
        <v>107.0</v>
      </c>
      <c r="X82" s="19">
        <v>148.0</v>
      </c>
      <c r="Y82" s="19">
        <v>11.0</v>
      </c>
      <c r="Z82" s="19">
        <v>9.0</v>
      </c>
      <c r="AA82" s="19">
        <v>27.0</v>
      </c>
      <c r="AB82" s="19">
        <v>7.0</v>
      </c>
      <c r="AC82" s="19">
        <v>5.0</v>
      </c>
      <c r="AD82" s="19">
        <v>17.0</v>
      </c>
      <c r="AE82" s="19">
        <v>2.0</v>
      </c>
      <c r="AF82" s="19">
        <v>4.0</v>
      </c>
      <c r="AG82" s="19">
        <v>14.0</v>
      </c>
      <c r="AH82" s="19">
        <v>7.0</v>
      </c>
      <c r="AI82" s="19">
        <v>3.0</v>
      </c>
      <c r="AJ82" s="19">
        <v>15.0</v>
      </c>
      <c r="AK82" s="19">
        <v>6.0</v>
      </c>
      <c r="AL82" s="19">
        <v>5.0</v>
      </c>
      <c r="AM82" s="19">
        <v>15.0</v>
      </c>
      <c r="AN82" s="19">
        <v>3.0</v>
      </c>
      <c r="AO82" s="19">
        <v>12.0</v>
      </c>
      <c r="AP82" s="19">
        <v>8.0</v>
      </c>
      <c r="AQ82" s="19">
        <v>24.0</v>
      </c>
      <c r="AR82" s="19">
        <v>7.0</v>
      </c>
      <c r="AS82" s="19">
        <v>8.0</v>
      </c>
      <c r="AT82" s="19">
        <v>2.0</v>
      </c>
      <c r="AU82" s="19">
        <v>9.0</v>
      </c>
      <c r="AV82" s="19">
        <v>11.0</v>
      </c>
      <c r="AW82" s="19">
        <v>40.0</v>
      </c>
      <c r="AX82" s="19">
        <v>2.0</v>
      </c>
      <c r="AY82" s="19">
        <v>4.0</v>
      </c>
      <c r="AZ82" s="19">
        <v>4.0</v>
      </c>
      <c r="BA82" s="13">
        <f t="shared" si="20"/>
        <v>895</v>
      </c>
    </row>
    <row r="83" ht="12.75" customHeight="1">
      <c r="A83" s="18"/>
      <c r="B83" s="55">
        <v>2.0</v>
      </c>
      <c r="C83" s="50" t="s">
        <v>66</v>
      </c>
      <c r="D83" s="57"/>
      <c r="E83" s="19">
        <v>8.0</v>
      </c>
      <c r="F83" s="19">
        <v>7.0</v>
      </c>
      <c r="G83" s="19">
        <v>2.0</v>
      </c>
      <c r="H83" s="19">
        <v>5.0</v>
      </c>
      <c r="I83" s="19">
        <v>1.0</v>
      </c>
      <c r="J83" s="19">
        <v>2.0</v>
      </c>
      <c r="K83" s="19">
        <v>19.0</v>
      </c>
      <c r="L83" s="19">
        <v>11.0</v>
      </c>
      <c r="M83" s="19">
        <v>5.0</v>
      </c>
      <c r="N83" s="19">
        <v>3.0</v>
      </c>
      <c r="O83" s="19">
        <v>0.0</v>
      </c>
      <c r="P83" s="19">
        <v>1.0</v>
      </c>
      <c r="Q83" s="19">
        <v>5.0</v>
      </c>
      <c r="R83" s="19">
        <v>4.0</v>
      </c>
      <c r="S83" s="19">
        <v>8.0</v>
      </c>
      <c r="T83" s="19">
        <v>0.0</v>
      </c>
      <c r="U83" s="19">
        <v>2.0</v>
      </c>
      <c r="V83" s="19">
        <v>2.0</v>
      </c>
      <c r="W83" s="19">
        <v>1.0</v>
      </c>
      <c r="X83" s="19">
        <v>1.0</v>
      </c>
      <c r="Y83" s="19">
        <v>1.0</v>
      </c>
      <c r="Z83" s="19">
        <v>3.0</v>
      </c>
      <c r="AA83" s="19">
        <v>1.0</v>
      </c>
      <c r="AB83" s="19">
        <v>0.0</v>
      </c>
      <c r="AC83" s="19">
        <v>4.0</v>
      </c>
      <c r="AD83" s="19">
        <v>3.0</v>
      </c>
      <c r="AE83" s="19">
        <v>4.0</v>
      </c>
      <c r="AF83" s="19">
        <v>9.0</v>
      </c>
      <c r="AG83" s="19">
        <v>4.0</v>
      </c>
      <c r="AH83" s="19">
        <v>4.0</v>
      </c>
      <c r="AI83" s="19">
        <v>2.0</v>
      </c>
      <c r="AJ83" s="19">
        <v>10.0</v>
      </c>
      <c r="AK83" s="19">
        <v>7.0</v>
      </c>
      <c r="AL83" s="19">
        <v>2.0</v>
      </c>
      <c r="AM83" s="19">
        <v>5.0</v>
      </c>
      <c r="AN83" s="19">
        <v>16.0</v>
      </c>
      <c r="AO83" s="19">
        <v>23.0</v>
      </c>
      <c r="AP83" s="19">
        <v>7.0</v>
      </c>
      <c r="AQ83" s="19">
        <v>8.0</v>
      </c>
      <c r="AR83" s="19">
        <v>11.0</v>
      </c>
      <c r="AS83" s="19">
        <v>9.0</v>
      </c>
      <c r="AT83" s="19">
        <v>15.0</v>
      </c>
      <c r="AU83" s="19">
        <v>10.0</v>
      </c>
      <c r="AV83" s="19">
        <v>4.0</v>
      </c>
      <c r="AW83" s="19">
        <v>3.0</v>
      </c>
      <c r="AX83" s="19">
        <v>6.0</v>
      </c>
      <c r="AY83" s="19">
        <v>1.0</v>
      </c>
      <c r="AZ83" s="19">
        <v>5.0</v>
      </c>
      <c r="BA83" s="13">
        <f t="shared" si="20"/>
        <v>264</v>
      </c>
    </row>
    <row r="84" ht="12.75" customHeight="1">
      <c r="A84" s="18"/>
      <c r="B84" s="55">
        <v>3.0</v>
      </c>
      <c r="C84" s="50" t="s">
        <v>67</v>
      </c>
      <c r="D84" s="57"/>
      <c r="E84" s="19">
        <v>1.0</v>
      </c>
      <c r="F84" s="19">
        <v>1.0</v>
      </c>
      <c r="G84" s="19">
        <v>1.0</v>
      </c>
      <c r="H84" s="19">
        <v>1.0</v>
      </c>
      <c r="I84" s="19">
        <v>4.0</v>
      </c>
      <c r="J84" s="19">
        <v>1.0</v>
      </c>
      <c r="K84" s="19">
        <v>1.0</v>
      </c>
      <c r="L84" s="19">
        <v>0.0</v>
      </c>
      <c r="M84" s="19">
        <v>0.0</v>
      </c>
      <c r="N84" s="19">
        <v>0.0</v>
      </c>
      <c r="O84" s="19">
        <v>1.0</v>
      </c>
      <c r="P84" s="19">
        <v>1.0</v>
      </c>
      <c r="Q84" s="19">
        <v>0.0</v>
      </c>
      <c r="R84" s="19">
        <v>1.0</v>
      </c>
      <c r="S84" s="19">
        <v>0.0</v>
      </c>
      <c r="T84" s="19">
        <v>1.0</v>
      </c>
      <c r="U84" s="19">
        <v>0.0</v>
      </c>
      <c r="V84" s="19">
        <v>0.0</v>
      </c>
      <c r="W84" s="19">
        <v>1.0</v>
      </c>
      <c r="X84" s="19">
        <v>1.0</v>
      </c>
      <c r="Y84" s="19">
        <v>0.0</v>
      </c>
      <c r="Z84" s="19">
        <v>1.0</v>
      </c>
      <c r="AA84" s="19">
        <v>0.0</v>
      </c>
      <c r="AB84" s="19">
        <v>0.0</v>
      </c>
      <c r="AC84" s="19">
        <v>1.0</v>
      </c>
      <c r="AD84" s="19">
        <v>0.0</v>
      </c>
      <c r="AE84" s="19">
        <v>1.0</v>
      </c>
      <c r="AF84" s="19">
        <v>1.0</v>
      </c>
      <c r="AG84" s="19">
        <v>1.0</v>
      </c>
      <c r="AH84" s="19">
        <v>0.0</v>
      </c>
      <c r="AI84" s="19">
        <v>1.0</v>
      </c>
      <c r="AJ84" s="19">
        <v>0.0</v>
      </c>
      <c r="AK84" s="19">
        <v>1.0</v>
      </c>
      <c r="AL84" s="19">
        <v>0.0</v>
      </c>
      <c r="AM84" s="19">
        <v>0.0</v>
      </c>
      <c r="AN84" s="19">
        <v>0.0</v>
      </c>
      <c r="AO84" s="19">
        <v>0.0</v>
      </c>
      <c r="AP84" s="19">
        <v>0.0</v>
      </c>
      <c r="AQ84" s="19">
        <v>0.0</v>
      </c>
      <c r="AR84" s="19">
        <v>2.0</v>
      </c>
      <c r="AS84" s="19">
        <v>0.0</v>
      </c>
      <c r="AT84" s="19">
        <v>1.0</v>
      </c>
      <c r="AU84" s="19">
        <v>1.0</v>
      </c>
      <c r="AV84" s="19">
        <v>0.0</v>
      </c>
      <c r="AW84" s="19">
        <v>0.0</v>
      </c>
      <c r="AX84" s="19">
        <v>0.0</v>
      </c>
      <c r="AY84" s="19">
        <v>0.0</v>
      </c>
      <c r="AZ84" s="19">
        <v>0.0</v>
      </c>
      <c r="BA84" s="13">
        <f t="shared" si="20"/>
        <v>27</v>
      </c>
    </row>
    <row r="85" ht="12.75" customHeight="1">
      <c r="A85" s="18"/>
      <c r="B85" s="55">
        <v>4.0</v>
      </c>
      <c r="C85" s="50" t="s">
        <v>68</v>
      </c>
      <c r="D85" s="57"/>
      <c r="E85" s="19">
        <v>1.0</v>
      </c>
      <c r="F85" s="19">
        <v>1.0</v>
      </c>
      <c r="G85" s="19">
        <v>1.0</v>
      </c>
      <c r="H85" s="19">
        <v>0.0</v>
      </c>
      <c r="I85" s="19">
        <v>0.0</v>
      </c>
      <c r="J85" s="19">
        <v>0.0</v>
      </c>
      <c r="K85" s="19">
        <v>1.0</v>
      </c>
      <c r="L85" s="19">
        <v>0.0</v>
      </c>
      <c r="M85" s="19">
        <v>0.0</v>
      </c>
      <c r="N85" s="19">
        <v>0.0</v>
      </c>
      <c r="O85" s="19">
        <v>0.0</v>
      </c>
      <c r="P85" s="19">
        <v>0.0</v>
      </c>
      <c r="Q85" s="19">
        <v>1.0</v>
      </c>
      <c r="R85" s="19">
        <v>1.0</v>
      </c>
      <c r="S85" s="19">
        <v>0.0</v>
      </c>
      <c r="T85" s="19">
        <v>0.0</v>
      </c>
      <c r="U85" s="19">
        <v>0.0</v>
      </c>
      <c r="V85" s="19">
        <v>0.0</v>
      </c>
      <c r="W85" s="19">
        <v>0.0</v>
      </c>
      <c r="X85" s="19">
        <v>2.0</v>
      </c>
      <c r="Y85" s="19">
        <v>0.0</v>
      </c>
      <c r="Z85" s="19">
        <v>1.0</v>
      </c>
      <c r="AA85" s="19">
        <v>1.0</v>
      </c>
      <c r="AB85" s="19">
        <v>0.0</v>
      </c>
      <c r="AC85" s="19">
        <v>1.0</v>
      </c>
      <c r="AD85" s="19">
        <v>0.0</v>
      </c>
      <c r="AE85" s="19">
        <v>1.0</v>
      </c>
      <c r="AF85" s="19">
        <v>0.0</v>
      </c>
      <c r="AG85" s="19">
        <v>0.0</v>
      </c>
      <c r="AH85" s="19">
        <v>0.0</v>
      </c>
      <c r="AI85" s="19">
        <v>1.0</v>
      </c>
      <c r="AJ85" s="19">
        <v>0.0</v>
      </c>
      <c r="AK85" s="19">
        <v>1.0</v>
      </c>
      <c r="AL85" s="19">
        <v>0.0</v>
      </c>
      <c r="AM85" s="19">
        <v>2.0</v>
      </c>
      <c r="AN85" s="19">
        <v>1.0</v>
      </c>
      <c r="AO85" s="19">
        <v>0.0</v>
      </c>
      <c r="AP85" s="19">
        <v>0.0</v>
      </c>
      <c r="AQ85" s="19">
        <v>0.0</v>
      </c>
      <c r="AR85" s="19">
        <v>0.0</v>
      </c>
      <c r="AS85" s="19">
        <v>0.0</v>
      </c>
      <c r="AT85" s="19">
        <v>0.0</v>
      </c>
      <c r="AU85" s="19">
        <v>1.0</v>
      </c>
      <c r="AV85" s="19">
        <v>0.0</v>
      </c>
      <c r="AW85" s="19">
        <v>0.0</v>
      </c>
      <c r="AX85" s="19">
        <v>0.0</v>
      </c>
      <c r="AY85" s="19">
        <v>0.0</v>
      </c>
      <c r="AZ85" s="19">
        <v>0.0</v>
      </c>
      <c r="BA85" s="13">
        <f t="shared" si="20"/>
        <v>18</v>
      </c>
    </row>
    <row r="86" ht="12.75" customHeight="1">
      <c r="A86" s="18"/>
      <c r="B86" s="55">
        <v>5.0</v>
      </c>
      <c r="C86" s="50" t="s">
        <v>69</v>
      </c>
      <c r="D86" s="57"/>
      <c r="E86" s="19">
        <v>1.0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2.0</v>
      </c>
      <c r="M86" s="19">
        <v>0.0</v>
      </c>
      <c r="N86" s="19">
        <v>3.0</v>
      </c>
      <c r="O86" s="19">
        <v>1.0</v>
      </c>
      <c r="P86" s="19">
        <v>0.0</v>
      </c>
      <c r="Q86" s="19">
        <v>1.0</v>
      </c>
      <c r="R86" s="19">
        <v>0.0</v>
      </c>
      <c r="S86" s="19">
        <v>0.0</v>
      </c>
      <c r="T86" s="19">
        <v>2.0</v>
      </c>
      <c r="U86" s="19">
        <v>0.0</v>
      </c>
      <c r="V86" s="19">
        <v>0.0</v>
      </c>
      <c r="W86" s="19">
        <v>0.0</v>
      </c>
      <c r="X86" s="19">
        <v>0.0</v>
      </c>
      <c r="Y86" s="19">
        <v>0.0</v>
      </c>
      <c r="Z86" s="19">
        <v>0.0</v>
      </c>
      <c r="AA86" s="19">
        <v>0.0</v>
      </c>
      <c r="AB86" s="19">
        <v>0.0</v>
      </c>
      <c r="AC86" s="19">
        <v>0.0</v>
      </c>
      <c r="AD86" s="19">
        <v>0.0</v>
      </c>
      <c r="AE86" s="19">
        <v>0.0</v>
      </c>
      <c r="AF86" s="19">
        <v>0.0</v>
      </c>
      <c r="AG86" s="19">
        <v>1.0</v>
      </c>
      <c r="AH86" s="19">
        <v>0.0</v>
      </c>
      <c r="AI86" s="19">
        <v>0.0</v>
      </c>
      <c r="AJ86" s="19">
        <v>0.0</v>
      </c>
      <c r="AK86" s="19">
        <v>0.0</v>
      </c>
      <c r="AL86" s="19">
        <v>1.0</v>
      </c>
      <c r="AM86" s="19">
        <v>1.0</v>
      </c>
      <c r="AN86" s="19">
        <v>0.0</v>
      </c>
      <c r="AO86" s="19">
        <v>1.0</v>
      </c>
      <c r="AP86" s="19">
        <v>1.0</v>
      </c>
      <c r="AQ86" s="19">
        <v>2.0</v>
      </c>
      <c r="AR86" s="19">
        <v>0.0</v>
      </c>
      <c r="AS86" s="19">
        <v>0.0</v>
      </c>
      <c r="AT86" s="19">
        <v>0.0</v>
      </c>
      <c r="AU86" s="19">
        <v>1.0</v>
      </c>
      <c r="AV86" s="19">
        <v>0.0</v>
      </c>
      <c r="AW86" s="19">
        <v>0.0</v>
      </c>
      <c r="AX86" s="19">
        <v>0.0</v>
      </c>
      <c r="AY86" s="19">
        <v>0.0</v>
      </c>
      <c r="AZ86" s="19">
        <v>0.0</v>
      </c>
      <c r="BA86" s="13">
        <f t="shared" si="20"/>
        <v>18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1.0</v>
      </c>
      <c r="Q87" s="19">
        <v>1.0</v>
      </c>
      <c r="R87" s="19">
        <v>0.0</v>
      </c>
      <c r="S87" s="19">
        <v>0.0</v>
      </c>
      <c r="T87" s="19">
        <v>0.0</v>
      </c>
      <c r="U87" s="19">
        <v>2.0</v>
      </c>
      <c r="V87" s="19">
        <v>1.0</v>
      </c>
      <c r="W87" s="19">
        <v>1.0</v>
      </c>
      <c r="X87" s="19">
        <v>0.0</v>
      </c>
      <c r="Y87" s="19">
        <v>1.0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1.0</v>
      </c>
      <c r="AF87" s="19">
        <v>0.0</v>
      </c>
      <c r="AG87" s="19">
        <v>1.0</v>
      </c>
      <c r="AH87" s="19">
        <v>1.0</v>
      </c>
      <c r="AI87" s="19">
        <v>0.0</v>
      </c>
      <c r="AJ87" s="19">
        <v>6.0</v>
      </c>
      <c r="AK87" s="19">
        <v>0.0</v>
      </c>
      <c r="AL87" s="19">
        <v>0.0</v>
      </c>
      <c r="AM87" s="19">
        <v>0.0</v>
      </c>
      <c r="AN87" s="19">
        <v>0.0</v>
      </c>
      <c r="AO87" s="19">
        <v>0.0</v>
      </c>
      <c r="AP87" s="19">
        <v>0.0</v>
      </c>
      <c r="AQ87" s="19">
        <v>0.0</v>
      </c>
      <c r="AR87" s="19">
        <v>0.0</v>
      </c>
      <c r="AS87" s="19">
        <v>0.0</v>
      </c>
      <c r="AT87" s="19">
        <v>0.0</v>
      </c>
      <c r="AU87" s="19">
        <v>1.0</v>
      </c>
      <c r="AV87" s="19">
        <v>0.0</v>
      </c>
      <c r="AW87" s="19">
        <v>0.0</v>
      </c>
      <c r="AX87" s="19">
        <v>0.0</v>
      </c>
      <c r="AY87" s="19">
        <v>0.0</v>
      </c>
      <c r="AZ87" s="19">
        <v>0.0</v>
      </c>
      <c r="BA87" s="13">
        <f t="shared" si="20"/>
        <v>17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1.0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1.0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1.0</v>
      </c>
      <c r="AG88" s="19">
        <v>0.0</v>
      </c>
      <c r="AH88" s="19">
        <v>1.0</v>
      </c>
      <c r="AI88" s="19">
        <v>0.0</v>
      </c>
      <c r="AJ88" s="19">
        <v>0.0</v>
      </c>
      <c r="AK88" s="19">
        <v>0.0</v>
      </c>
      <c r="AL88" s="19">
        <v>0.0</v>
      </c>
      <c r="AM88" s="19">
        <v>0.0</v>
      </c>
      <c r="AN88" s="19">
        <v>0.0</v>
      </c>
      <c r="AO88" s="19">
        <v>0.0</v>
      </c>
      <c r="AP88" s="19">
        <v>0.0</v>
      </c>
      <c r="AQ88" s="19">
        <v>0.0</v>
      </c>
      <c r="AR88" s="19">
        <v>0.0</v>
      </c>
      <c r="AS88" s="19">
        <v>0.0</v>
      </c>
      <c r="AT88" s="19">
        <v>0.0</v>
      </c>
      <c r="AU88" s="19">
        <v>0.0</v>
      </c>
      <c r="AV88" s="19">
        <v>0.0</v>
      </c>
      <c r="AW88" s="19">
        <v>0.0</v>
      </c>
      <c r="AX88" s="19">
        <v>0.0</v>
      </c>
      <c r="AY88" s="19">
        <v>0.0</v>
      </c>
      <c r="AZ88" s="19">
        <v>0.0</v>
      </c>
      <c r="BA88" s="13">
        <f t="shared" si="20"/>
        <v>4</v>
      </c>
    </row>
    <row r="89" ht="12.75" customHeight="1">
      <c r="A89" s="18"/>
      <c r="B89" s="71"/>
      <c r="C89" s="72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79"/>
    </row>
    <row r="90" ht="12.75" customHeight="1">
      <c r="A90" s="18"/>
      <c r="B90" s="71"/>
      <c r="C90" s="72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79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BA91" si="21">SUM(E81:E90)</f>
        <v>93</v>
      </c>
      <c r="F91" s="13">
        <f t="shared" si="21"/>
        <v>41</v>
      </c>
      <c r="G91" s="13">
        <f t="shared" si="21"/>
        <v>32</v>
      </c>
      <c r="H91" s="13">
        <f t="shared" si="21"/>
        <v>27</v>
      </c>
      <c r="I91" s="13">
        <f t="shared" si="21"/>
        <v>39</v>
      </c>
      <c r="J91" s="13">
        <f t="shared" si="21"/>
        <v>3</v>
      </c>
      <c r="K91" s="13">
        <f t="shared" si="21"/>
        <v>25</v>
      </c>
      <c r="L91" s="13">
        <f t="shared" si="21"/>
        <v>28</v>
      </c>
      <c r="M91" s="13">
        <f t="shared" si="21"/>
        <v>16</v>
      </c>
      <c r="N91" s="13">
        <f t="shared" si="21"/>
        <v>12</v>
      </c>
      <c r="O91" s="13">
        <f t="shared" si="21"/>
        <v>76</v>
      </c>
      <c r="P91" s="13">
        <f t="shared" si="21"/>
        <v>27</v>
      </c>
      <c r="Q91" s="13">
        <f t="shared" si="21"/>
        <v>42</v>
      </c>
      <c r="R91" s="13">
        <f t="shared" si="21"/>
        <v>11</v>
      </c>
      <c r="S91" s="13">
        <f t="shared" si="21"/>
        <v>11</v>
      </c>
      <c r="T91" s="13">
        <f t="shared" si="21"/>
        <v>7</v>
      </c>
      <c r="U91" s="13">
        <f t="shared" si="21"/>
        <v>9</v>
      </c>
      <c r="V91" s="13">
        <f t="shared" si="21"/>
        <v>34</v>
      </c>
      <c r="W91" s="13">
        <f t="shared" si="21"/>
        <v>117</v>
      </c>
      <c r="X91" s="13">
        <f t="shared" si="21"/>
        <v>160</v>
      </c>
      <c r="Y91" s="13">
        <f t="shared" si="21"/>
        <v>17</v>
      </c>
      <c r="Z91" s="13">
        <f t="shared" si="21"/>
        <v>18</v>
      </c>
      <c r="AA91" s="13">
        <f t="shared" si="21"/>
        <v>34</v>
      </c>
      <c r="AB91" s="13">
        <f t="shared" si="21"/>
        <v>7</v>
      </c>
      <c r="AC91" s="13">
        <f t="shared" si="21"/>
        <v>14</v>
      </c>
      <c r="AD91" s="13">
        <f t="shared" si="21"/>
        <v>23</v>
      </c>
      <c r="AE91" s="13">
        <f t="shared" si="21"/>
        <v>12</v>
      </c>
      <c r="AF91" s="13">
        <f t="shared" si="21"/>
        <v>19</v>
      </c>
      <c r="AG91" s="13">
        <f t="shared" si="21"/>
        <v>25</v>
      </c>
      <c r="AH91" s="13">
        <f t="shared" si="21"/>
        <v>15</v>
      </c>
      <c r="AI91" s="13">
        <f t="shared" si="21"/>
        <v>9</v>
      </c>
      <c r="AJ91" s="13">
        <f t="shared" si="21"/>
        <v>36</v>
      </c>
      <c r="AK91" s="13">
        <f t="shared" si="21"/>
        <v>22</v>
      </c>
      <c r="AL91" s="13">
        <f t="shared" si="21"/>
        <v>16</v>
      </c>
      <c r="AM91" s="13">
        <f t="shared" si="21"/>
        <v>29</v>
      </c>
      <c r="AN91" s="13">
        <f t="shared" si="21"/>
        <v>25</v>
      </c>
      <c r="AO91" s="13">
        <f t="shared" si="21"/>
        <v>43</v>
      </c>
      <c r="AP91" s="13">
        <f t="shared" si="21"/>
        <v>21</v>
      </c>
      <c r="AQ91" s="13">
        <f t="shared" si="21"/>
        <v>39</v>
      </c>
      <c r="AR91" s="13">
        <f t="shared" si="21"/>
        <v>28</v>
      </c>
      <c r="AS91" s="13">
        <f t="shared" si="21"/>
        <v>24</v>
      </c>
      <c r="AT91" s="13">
        <f t="shared" si="21"/>
        <v>22</v>
      </c>
      <c r="AU91" s="13">
        <f t="shared" si="21"/>
        <v>26</v>
      </c>
      <c r="AV91" s="13">
        <f t="shared" si="21"/>
        <v>19</v>
      </c>
      <c r="AW91" s="13">
        <f t="shared" si="21"/>
        <v>47</v>
      </c>
      <c r="AX91" s="13">
        <f t="shared" si="21"/>
        <v>9</v>
      </c>
      <c r="AY91" s="13">
        <f t="shared" si="21"/>
        <v>7</v>
      </c>
      <c r="AZ91" s="13">
        <f t="shared" si="21"/>
        <v>12</v>
      </c>
      <c r="BA91" s="13">
        <f t="shared" si="21"/>
        <v>1428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2.0</v>
      </c>
      <c r="F93" s="19">
        <v>0.0</v>
      </c>
      <c r="G93" s="19">
        <v>0.0</v>
      </c>
      <c r="H93" s="19">
        <v>1.0</v>
      </c>
      <c r="I93" s="19">
        <v>1.0</v>
      </c>
      <c r="J93" s="19">
        <v>6.0</v>
      </c>
      <c r="K93" s="19">
        <v>3.0</v>
      </c>
      <c r="L93" s="19">
        <v>0.0</v>
      </c>
      <c r="M93" s="19">
        <v>0.0</v>
      </c>
      <c r="N93" s="19">
        <v>0.0</v>
      </c>
      <c r="O93" s="19">
        <v>1.0</v>
      </c>
      <c r="P93" s="19">
        <v>0.0</v>
      </c>
      <c r="Q93" s="19">
        <v>1.0</v>
      </c>
      <c r="R93" s="19">
        <v>3.0</v>
      </c>
      <c r="S93" s="19">
        <v>0.0</v>
      </c>
      <c r="T93" s="19">
        <v>3.0</v>
      </c>
      <c r="U93" s="19">
        <v>2.0</v>
      </c>
      <c r="V93" s="19">
        <v>0.0</v>
      </c>
      <c r="W93" s="19">
        <v>5.0</v>
      </c>
      <c r="X93" s="19">
        <v>1.0</v>
      </c>
      <c r="Y93" s="19">
        <v>1.0</v>
      </c>
      <c r="Z93" s="19">
        <v>1.0</v>
      </c>
      <c r="AA93" s="19">
        <v>3.0</v>
      </c>
      <c r="AB93" s="19">
        <v>0.0</v>
      </c>
      <c r="AC93" s="19">
        <v>0.0</v>
      </c>
      <c r="AD93" s="19">
        <v>3.0</v>
      </c>
      <c r="AE93" s="19">
        <v>4.0</v>
      </c>
      <c r="AF93" s="19">
        <v>0.0</v>
      </c>
      <c r="AG93" s="19">
        <v>0.0</v>
      </c>
      <c r="AH93" s="19">
        <v>1.0</v>
      </c>
      <c r="AI93" s="19">
        <v>0.0</v>
      </c>
      <c r="AJ93" s="19">
        <v>0.0</v>
      </c>
      <c r="AK93" s="19">
        <v>1.0</v>
      </c>
      <c r="AL93" s="19">
        <v>0.0</v>
      </c>
      <c r="AM93" s="19">
        <v>1.0</v>
      </c>
      <c r="AN93" s="19">
        <v>1.0</v>
      </c>
      <c r="AO93" s="19">
        <v>0.0</v>
      </c>
      <c r="AP93" s="19">
        <v>0.0</v>
      </c>
      <c r="AQ93" s="19">
        <v>1.0</v>
      </c>
      <c r="AR93" s="19">
        <v>1.0</v>
      </c>
      <c r="AS93" s="19">
        <v>1.0</v>
      </c>
      <c r="AT93" s="19">
        <v>0.0</v>
      </c>
      <c r="AU93" s="19">
        <v>0.0</v>
      </c>
      <c r="AV93" s="19">
        <v>0.0</v>
      </c>
      <c r="AW93" s="19">
        <v>0.0</v>
      </c>
      <c r="AX93" s="19">
        <v>0.0</v>
      </c>
      <c r="AY93" s="19">
        <v>2.0</v>
      </c>
      <c r="AZ93" s="19">
        <v>2.0</v>
      </c>
      <c r="BA93" s="13">
        <f t="shared" ref="BA93:BA100" si="22">SUM(E93:AZ93)</f>
        <v>52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1.0</v>
      </c>
      <c r="F94" s="19">
        <v>0.0</v>
      </c>
      <c r="G94" s="19">
        <v>2.0</v>
      </c>
      <c r="H94" s="19">
        <v>0.0</v>
      </c>
      <c r="I94" s="19">
        <v>0.0</v>
      </c>
      <c r="J94" s="19">
        <v>4.0</v>
      </c>
      <c r="K94" s="19">
        <v>1.0</v>
      </c>
      <c r="L94" s="19">
        <v>0.0</v>
      </c>
      <c r="M94" s="19">
        <v>0.0</v>
      </c>
      <c r="N94" s="19">
        <v>0.0</v>
      </c>
      <c r="O94" s="19">
        <v>0.0</v>
      </c>
      <c r="P94" s="19">
        <v>1.0</v>
      </c>
      <c r="Q94" s="19">
        <v>0.0</v>
      </c>
      <c r="R94" s="19">
        <v>4.0</v>
      </c>
      <c r="S94" s="19">
        <v>1.0</v>
      </c>
      <c r="T94" s="19">
        <v>0.0</v>
      </c>
      <c r="U94" s="19">
        <v>2.0</v>
      </c>
      <c r="V94" s="19">
        <v>1.0</v>
      </c>
      <c r="W94" s="19">
        <v>1.0</v>
      </c>
      <c r="X94" s="19">
        <v>0.0</v>
      </c>
      <c r="Y94" s="19">
        <v>0.0</v>
      </c>
      <c r="Z94" s="19">
        <v>0.0</v>
      </c>
      <c r="AA94" s="19">
        <v>0.0</v>
      </c>
      <c r="AB94" s="19">
        <v>2.0</v>
      </c>
      <c r="AC94" s="19">
        <v>2.0</v>
      </c>
      <c r="AD94" s="19">
        <v>4.0</v>
      </c>
      <c r="AE94" s="19">
        <v>1.0</v>
      </c>
      <c r="AF94" s="19">
        <v>1.0</v>
      </c>
      <c r="AG94" s="19">
        <v>0.0</v>
      </c>
      <c r="AH94" s="19">
        <v>1.0</v>
      </c>
      <c r="AI94" s="19">
        <v>0.0</v>
      </c>
      <c r="AJ94" s="19">
        <v>0.0</v>
      </c>
      <c r="AK94" s="19">
        <v>3.0</v>
      </c>
      <c r="AL94" s="19">
        <v>1.0</v>
      </c>
      <c r="AM94" s="19">
        <v>1.0</v>
      </c>
      <c r="AN94" s="19">
        <v>3.0</v>
      </c>
      <c r="AO94" s="19">
        <v>3.0</v>
      </c>
      <c r="AP94" s="19">
        <v>1.0</v>
      </c>
      <c r="AQ94" s="19">
        <v>1.0</v>
      </c>
      <c r="AR94" s="19">
        <v>2.0</v>
      </c>
      <c r="AS94" s="19">
        <v>1.0</v>
      </c>
      <c r="AT94" s="19">
        <v>0.0</v>
      </c>
      <c r="AU94" s="19">
        <v>0.0</v>
      </c>
      <c r="AV94" s="19">
        <v>0.0</v>
      </c>
      <c r="AW94" s="19">
        <v>0.0</v>
      </c>
      <c r="AX94" s="19">
        <v>0.0</v>
      </c>
      <c r="AY94" s="19">
        <v>0.0</v>
      </c>
      <c r="AZ94" s="19">
        <v>1.0</v>
      </c>
      <c r="BA94" s="13">
        <f t="shared" si="22"/>
        <v>46</v>
      </c>
    </row>
    <row r="95" ht="12.75" customHeight="1">
      <c r="A95" s="18"/>
      <c r="B95" s="55">
        <v>2.0</v>
      </c>
      <c r="C95" s="50" t="s">
        <v>75</v>
      </c>
      <c r="D95" s="57"/>
      <c r="E95" s="19">
        <v>2.0</v>
      </c>
      <c r="F95" s="19">
        <v>0.0</v>
      </c>
      <c r="G95" s="19">
        <v>0.0</v>
      </c>
      <c r="H95" s="19">
        <v>4.0</v>
      </c>
      <c r="I95" s="19">
        <v>6.0</v>
      </c>
      <c r="J95" s="19">
        <v>1.0</v>
      </c>
      <c r="K95" s="19">
        <v>6.0</v>
      </c>
      <c r="L95" s="19">
        <v>11.0</v>
      </c>
      <c r="M95" s="19">
        <v>1.0</v>
      </c>
      <c r="N95" s="19">
        <v>0.0</v>
      </c>
      <c r="O95" s="19">
        <v>7.0</v>
      </c>
      <c r="P95" s="19">
        <v>0.0</v>
      </c>
      <c r="Q95" s="19">
        <v>0.0</v>
      </c>
      <c r="R95" s="19">
        <v>18.0</v>
      </c>
      <c r="S95" s="19">
        <v>40.0</v>
      </c>
      <c r="T95" s="19">
        <v>50.0</v>
      </c>
      <c r="U95" s="19">
        <v>3.0</v>
      </c>
      <c r="V95" s="19">
        <v>1.0</v>
      </c>
      <c r="W95" s="19">
        <v>1.0</v>
      </c>
      <c r="X95" s="19">
        <v>0.0</v>
      </c>
      <c r="Y95" s="19">
        <v>0.0</v>
      </c>
      <c r="Z95" s="19">
        <v>0.0</v>
      </c>
      <c r="AA95" s="19">
        <v>0.0</v>
      </c>
      <c r="AB95" s="19">
        <v>0.0</v>
      </c>
      <c r="AC95" s="19">
        <v>15.0</v>
      </c>
      <c r="AD95" s="19">
        <v>0.0</v>
      </c>
      <c r="AE95" s="19">
        <v>0.0</v>
      </c>
      <c r="AF95" s="19">
        <v>0.0</v>
      </c>
      <c r="AG95" s="19">
        <v>0.0</v>
      </c>
      <c r="AH95" s="19">
        <v>8.0</v>
      </c>
      <c r="AI95" s="19">
        <v>0.0</v>
      </c>
      <c r="AJ95" s="19">
        <v>2.0</v>
      </c>
      <c r="AK95" s="19">
        <v>8.0</v>
      </c>
      <c r="AL95" s="19">
        <v>3.0</v>
      </c>
      <c r="AM95" s="19">
        <v>9.0</v>
      </c>
      <c r="AN95" s="19">
        <v>0.0</v>
      </c>
      <c r="AO95" s="19">
        <v>2.0</v>
      </c>
      <c r="AP95" s="19">
        <v>1.0</v>
      </c>
      <c r="AQ95" s="19">
        <v>0.0</v>
      </c>
      <c r="AR95" s="19">
        <v>6.0</v>
      </c>
      <c r="AS95" s="19">
        <v>6.0</v>
      </c>
      <c r="AT95" s="19">
        <v>0.0</v>
      </c>
      <c r="AU95" s="19">
        <v>0.0</v>
      </c>
      <c r="AV95" s="19">
        <v>0.0</v>
      </c>
      <c r="AW95" s="19">
        <v>7.0</v>
      </c>
      <c r="AX95" s="19">
        <v>0.0</v>
      </c>
      <c r="AY95" s="19">
        <v>0.0</v>
      </c>
      <c r="AZ95" s="19">
        <v>28.0</v>
      </c>
      <c r="BA95" s="13">
        <f t="shared" si="22"/>
        <v>246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1.0</v>
      </c>
      <c r="G96" s="19">
        <v>0.0</v>
      </c>
      <c r="H96" s="19">
        <v>0.0</v>
      </c>
      <c r="I96" s="19">
        <v>0.0</v>
      </c>
      <c r="J96" s="19">
        <v>0.0</v>
      </c>
      <c r="K96" s="19">
        <v>1.0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1.0</v>
      </c>
      <c r="U96" s="19">
        <v>0.0</v>
      </c>
      <c r="V96" s="19">
        <v>0.0</v>
      </c>
      <c r="W96" s="19">
        <v>1.0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9">
        <v>0.0</v>
      </c>
      <c r="AF96" s="19">
        <v>0.0</v>
      </c>
      <c r="AG96" s="19">
        <v>0.0</v>
      </c>
      <c r="AH96" s="19">
        <v>0.0</v>
      </c>
      <c r="AI96" s="19">
        <v>0.0</v>
      </c>
      <c r="AJ96" s="19">
        <v>0.0</v>
      </c>
      <c r="AK96" s="19">
        <v>0.0</v>
      </c>
      <c r="AL96" s="19">
        <v>1.0</v>
      </c>
      <c r="AM96" s="19">
        <v>0.0</v>
      </c>
      <c r="AN96" s="19">
        <v>0.0</v>
      </c>
      <c r="AO96" s="19">
        <v>0.0</v>
      </c>
      <c r="AP96" s="19">
        <v>0.0</v>
      </c>
      <c r="AQ96" s="19">
        <v>0.0</v>
      </c>
      <c r="AR96" s="19">
        <v>1.0</v>
      </c>
      <c r="AS96" s="19">
        <v>0.0</v>
      </c>
      <c r="AT96" s="19">
        <v>0.0</v>
      </c>
      <c r="AU96" s="19">
        <v>0.0</v>
      </c>
      <c r="AV96" s="19">
        <v>0.0</v>
      </c>
      <c r="AW96" s="19">
        <v>0.0</v>
      </c>
      <c r="AX96" s="19">
        <v>1.0</v>
      </c>
      <c r="AY96" s="19">
        <v>0.0</v>
      </c>
      <c r="AZ96" s="19">
        <v>1.0</v>
      </c>
      <c r="BA96" s="13">
        <f t="shared" si="22"/>
        <v>8</v>
      </c>
    </row>
    <row r="97" ht="12.75" customHeight="1">
      <c r="A97" s="18"/>
      <c r="B97" s="55">
        <v>4.0</v>
      </c>
      <c r="C97" s="50" t="s">
        <v>77</v>
      </c>
      <c r="D97" s="57"/>
      <c r="E97" s="19">
        <v>1.0</v>
      </c>
      <c r="F97" s="19">
        <v>1.0</v>
      </c>
      <c r="G97" s="19">
        <v>0.0</v>
      </c>
      <c r="H97" s="19">
        <v>0.0</v>
      </c>
      <c r="I97" s="19">
        <v>2.0</v>
      </c>
      <c r="J97" s="19">
        <v>0.0</v>
      </c>
      <c r="K97" s="19">
        <v>0.0</v>
      </c>
      <c r="L97" s="19">
        <v>0.0</v>
      </c>
      <c r="M97" s="19">
        <v>1.0</v>
      </c>
      <c r="N97" s="19">
        <v>0.0</v>
      </c>
      <c r="O97" s="19">
        <v>0.0</v>
      </c>
      <c r="P97" s="19">
        <v>1.0</v>
      </c>
      <c r="Q97" s="19">
        <v>0.0</v>
      </c>
      <c r="R97" s="19">
        <v>1.0</v>
      </c>
      <c r="S97" s="19">
        <v>2.0</v>
      </c>
      <c r="T97" s="19">
        <v>0.0</v>
      </c>
      <c r="U97" s="19">
        <v>1.0</v>
      </c>
      <c r="V97" s="19">
        <v>1.0</v>
      </c>
      <c r="W97" s="19">
        <v>1.0</v>
      </c>
      <c r="X97" s="19">
        <v>0.0</v>
      </c>
      <c r="Y97" s="19">
        <v>0.0</v>
      </c>
      <c r="Z97" s="19">
        <v>0.0</v>
      </c>
      <c r="AA97" s="19">
        <v>0.0</v>
      </c>
      <c r="AB97" s="19">
        <v>0.0</v>
      </c>
      <c r="AC97" s="19">
        <v>0.0</v>
      </c>
      <c r="AD97" s="19">
        <v>0.0</v>
      </c>
      <c r="AE97" s="19">
        <v>0.0</v>
      </c>
      <c r="AF97" s="19">
        <v>1.0</v>
      </c>
      <c r="AG97" s="19">
        <v>0.0</v>
      </c>
      <c r="AH97" s="19">
        <v>0.0</v>
      </c>
      <c r="AI97" s="19">
        <v>0.0</v>
      </c>
      <c r="AJ97" s="19">
        <v>1.0</v>
      </c>
      <c r="AK97" s="19">
        <v>0.0</v>
      </c>
      <c r="AL97" s="19">
        <v>1.0</v>
      </c>
      <c r="AM97" s="19">
        <v>0.0</v>
      </c>
      <c r="AN97" s="19">
        <v>0.0</v>
      </c>
      <c r="AO97" s="19">
        <v>1.0</v>
      </c>
      <c r="AP97" s="19">
        <v>1.0</v>
      </c>
      <c r="AQ97" s="19">
        <v>0.0</v>
      </c>
      <c r="AR97" s="19">
        <v>2.0</v>
      </c>
      <c r="AS97" s="19">
        <v>1.0</v>
      </c>
      <c r="AT97" s="19">
        <v>0.0</v>
      </c>
      <c r="AU97" s="19">
        <v>0.0</v>
      </c>
      <c r="AV97" s="19">
        <v>0.0</v>
      </c>
      <c r="AW97" s="19">
        <v>0.0</v>
      </c>
      <c r="AX97" s="19">
        <v>0.0</v>
      </c>
      <c r="AY97" s="19">
        <v>0.0</v>
      </c>
      <c r="AZ97" s="19">
        <v>0.0</v>
      </c>
      <c r="BA97" s="13">
        <f t="shared" si="22"/>
        <v>20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1.0</v>
      </c>
      <c r="I98" s="19">
        <v>1.0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9">
        <v>0.0</v>
      </c>
      <c r="AF98" s="19">
        <v>1.0</v>
      </c>
      <c r="AG98" s="19">
        <v>1.0</v>
      </c>
      <c r="AH98" s="19">
        <v>0.0</v>
      </c>
      <c r="AI98" s="19">
        <v>0.0</v>
      </c>
      <c r="AJ98" s="19">
        <v>0.0</v>
      </c>
      <c r="AK98" s="19">
        <v>0.0</v>
      </c>
      <c r="AL98" s="19">
        <v>0.0</v>
      </c>
      <c r="AM98" s="19">
        <v>0.0</v>
      </c>
      <c r="AN98" s="19">
        <v>0.0</v>
      </c>
      <c r="AO98" s="19">
        <v>0.0</v>
      </c>
      <c r="AP98" s="19">
        <v>0.0</v>
      </c>
      <c r="AQ98" s="19">
        <v>0.0</v>
      </c>
      <c r="AR98" s="19">
        <v>0.0</v>
      </c>
      <c r="AS98" s="19">
        <v>0.0</v>
      </c>
      <c r="AT98" s="19">
        <v>0.0</v>
      </c>
      <c r="AU98" s="19">
        <v>0.0</v>
      </c>
      <c r="AV98" s="19">
        <v>0.0</v>
      </c>
      <c r="AW98" s="19">
        <v>0.0</v>
      </c>
      <c r="AX98" s="19">
        <v>1.0</v>
      </c>
      <c r="AY98" s="19">
        <v>0.0</v>
      </c>
      <c r="AZ98" s="19">
        <v>0.0</v>
      </c>
      <c r="BA98" s="13">
        <f t="shared" si="22"/>
        <v>5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1.0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1.0</v>
      </c>
      <c r="AG99" s="19">
        <v>0.0</v>
      </c>
      <c r="AH99" s="19">
        <v>0.0</v>
      </c>
      <c r="AI99" s="19">
        <v>0.0</v>
      </c>
      <c r="AJ99" s="19">
        <v>0.0</v>
      </c>
      <c r="AK99" s="19">
        <v>0.0</v>
      </c>
      <c r="AL99" s="19">
        <v>0.0</v>
      </c>
      <c r="AM99" s="19">
        <v>1.0</v>
      </c>
      <c r="AN99" s="19">
        <v>1.0</v>
      </c>
      <c r="AO99" s="19">
        <v>1.0</v>
      </c>
      <c r="AP99" s="19">
        <v>0.0</v>
      </c>
      <c r="AQ99" s="19">
        <v>0.0</v>
      </c>
      <c r="AR99" s="19">
        <v>0.0</v>
      </c>
      <c r="AS99" s="19">
        <v>0.0</v>
      </c>
      <c r="AT99" s="19">
        <v>0.0</v>
      </c>
      <c r="AU99" s="19">
        <v>1.0</v>
      </c>
      <c r="AV99" s="19">
        <v>0.0</v>
      </c>
      <c r="AW99" s="19">
        <v>0.0</v>
      </c>
      <c r="AX99" s="19">
        <v>0.0</v>
      </c>
      <c r="AY99" s="19">
        <v>0.0</v>
      </c>
      <c r="AZ99" s="19">
        <v>0.0</v>
      </c>
      <c r="BA99" s="13">
        <f t="shared" si="22"/>
        <v>6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1.0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0.0</v>
      </c>
      <c r="AH100" s="19">
        <v>0.0</v>
      </c>
      <c r="AI100" s="19">
        <v>0.0</v>
      </c>
      <c r="AJ100" s="19">
        <v>0.0</v>
      </c>
      <c r="AK100" s="19">
        <v>0.0</v>
      </c>
      <c r="AL100" s="19">
        <v>0.0</v>
      </c>
      <c r="AM100" s="19">
        <v>0.0</v>
      </c>
      <c r="AN100" s="19">
        <v>0.0</v>
      </c>
      <c r="AO100" s="19">
        <v>0.0</v>
      </c>
      <c r="AP100" s="19">
        <v>0.0</v>
      </c>
      <c r="AQ100" s="19">
        <v>0.0</v>
      </c>
      <c r="AR100" s="19">
        <v>0.0</v>
      </c>
      <c r="AS100" s="19">
        <v>0.0</v>
      </c>
      <c r="AT100" s="19">
        <v>0.0</v>
      </c>
      <c r="AU100" s="19">
        <v>1.0</v>
      </c>
      <c r="AV100" s="19">
        <v>1.0</v>
      </c>
      <c r="AW100" s="19">
        <v>0.0</v>
      </c>
      <c r="AX100" s="19">
        <v>0.0</v>
      </c>
      <c r="AY100" s="19">
        <v>0.0</v>
      </c>
      <c r="AZ100" s="19">
        <v>0.0</v>
      </c>
      <c r="BA100" s="13">
        <f t="shared" si="22"/>
        <v>3</v>
      </c>
    </row>
    <row r="101" ht="12.75" customHeight="1">
      <c r="A101" s="18"/>
      <c r="B101" s="71"/>
      <c r="C101" s="72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79"/>
    </row>
    <row r="102" ht="12.75" customHeight="1">
      <c r="A102" s="18"/>
      <c r="B102" s="71"/>
      <c r="C102" s="72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79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BA103" si="23">SUM(E93:E102)</f>
        <v>6</v>
      </c>
      <c r="F103" s="13">
        <f t="shared" si="23"/>
        <v>2</v>
      </c>
      <c r="G103" s="13">
        <f t="shared" si="23"/>
        <v>2</v>
      </c>
      <c r="H103" s="13">
        <f t="shared" si="23"/>
        <v>6</v>
      </c>
      <c r="I103" s="13">
        <f t="shared" si="23"/>
        <v>10</v>
      </c>
      <c r="J103" s="13">
        <f t="shared" si="23"/>
        <v>11</v>
      </c>
      <c r="K103" s="13">
        <f t="shared" si="23"/>
        <v>11</v>
      </c>
      <c r="L103" s="13">
        <f t="shared" si="23"/>
        <v>11</v>
      </c>
      <c r="M103" s="13">
        <f t="shared" si="23"/>
        <v>2</v>
      </c>
      <c r="N103" s="13">
        <f t="shared" si="23"/>
        <v>0</v>
      </c>
      <c r="O103" s="13">
        <f t="shared" si="23"/>
        <v>8</v>
      </c>
      <c r="P103" s="13">
        <f t="shared" si="23"/>
        <v>2</v>
      </c>
      <c r="Q103" s="13">
        <f t="shared" si="23"/>
        <v>1</v>
      </c>
      <c r="R103" s="13">
        <f t="shared" si="23"/>
        <v>26</v>
      </c>
      <c r="S103" s="13">
        <f t="shared" si="23"/>
        <v>43</v>
      </c>
      <c r="T103" s="13">
        <f t="shared" si="23"/>
        <v>55</v>
      </c>
      <c r="U103" s="13">
        <f t="shared" si="23"/>
        <v>8</v>
      </c>
      <c r="V103" s="13">
        <f t="shared" si="23"/>
        <v>3</v>
      </c>
      <c r="W103" s="13">
        <f t="shared" si="23"/>
        <v>10</v>
      </c>
      <c r="X103" s="13">
        <f t="shared" si="23"/>
        <v>1</v>
      </c>
      <c r="Y103" s="13">
        <f t="shared" si="23"/>
        <v>1</v>
      </c>
      <c r="Z103" s="13">
        <f t="shared" si="23"/>
        <v>1</v>
      </c>
      <c r="AA103" s="13">
        <f t="shared" si="23"/>
        <v>3</v>
      </c>
      <c r="AB103" s="13">
        <f t="shared" si="23"/>
        <v>2</v>
      </c>
      <c r="AC103" s="13">
        <f t="shared" si="23"/>
        <v>17</v>
      </c>
      <c r="AD103" s="13">
        <f t="shared" si="23"/>
        <v>7</v>
      </c>
      <c r="AE103" s="13">
        <f t="shared" si="23"/>
        <v>5</v>
      </c>
      <c r="AF103" s="13">
        <f t="shared" si="23"/>
        <v>4</v>
      </c>
      <c r="AG103" s="13">
        <f t="shared" si="23"/>
        <v>1</v>
      </c>
      <c r="AH103" s="13">
        <f t="shared" si="23"/>
        <v>10</v>
      </c>
      <c r="AI103" s="13">
        <f t="shared" si="23"/>
        <v>0</v>
      </c>
      <c r="AJ103" s="13">
        <f t="shared" si="23"/>
        <v>3</v>
      </c>
      <c r="AK103" s="13">
        <f t="shared" si="23"/>
        <v>12</v>
      </c>
      <c r="AL103" s="13">
        <f t="shared" si="23"/>
        <v>6</v>
      </c>
      <c r="AM103" s="13">
        <f t="shared" si="23"/>
        <v>12</v>
      </c>
      <c r="AN103" s="13">
        <f t="shared" si="23"/>
        <v>5</v>
      </c>
      <c r="AO103" s="13">
        <f t="shared" si="23"/>
        <v>7</v>
      </c>
      <c r="AP103" s="13">
        <f t="shared" si="23"/>
        <v>3</v>
      </c>
      <c r="AQ103" s="13">
        <f t="shared" si="23"/>
        <v>2</v>
      </c>
      <c r="AR103" s="13">
        <f t="shared" si="23"/>
        <v>12</v>
      </c>
      <c r="AS103" s="13">
        <f t="shared" si="23"/>
        <v>9</v>
      </c>
      <c r="AT103" s="13">
        <f t="shared" si="23"/>
        <v>0</v>
      </c>
      <c r="AU103" s="13">
        <f t="shared" si="23"/>
        <v>2</v>
      </c>
      <c r="AV103" s="13">
        <f t="shared" si="23"/>
        <v>1</v>
      </c>
      <c r="AW103" s="13">
        <f t="shared" si="23"/>
        <v>7</v>
      </c>
      <c r="AX103" s="13">
        <f t="shared" si="23"/>
        <v>2</v>
      </c>
      <c r="AY103" s="13">
        <f t="shared" si="23"/>
        <v>2</v>
      </c>
      <c r="AZ103" s="13">
        <f t="shared" si="23"/>
        <v>32</v>
      </c>
      <c r="BA103" s="13">
        <f t="shared" si="23"/>
        <v>386</v>
      </c>
    </row>
    <row r="104" ht="12.75" customHeight="1">
      <c r="A104" s="45"/>
      <c r="B104" s="44"/>
      <c r="C104" s="44"/>
      <c r="D104" s="44"/>
      <c r="E104" s="44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  <c r="AS104" s="75"/>
      <c r="AT104" s="75"/>
      <c r="AU104" s="75"/>
      <c r="AV104" s="75"/>
      <c r="AW104" s="75"/>
      <c r="AX104" s="75"/>
      <c r="AY104" s="75"/>
      <c r="AZ104" s="75"/>
      <c r="BA104" s="75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1.0</v>
      </c>
      <c r="F105" s="19">
        <v>0.0</v>
      </c>
      <c r="G105" s="19">
        <v>0.0</v>
      </c>
      <c r="H105" s="19">
        <v>1.0</v>
      </c>
      <c r="I105" s="19">
        <v>1.0</v>
      </c>
      <c r="J105" s="19">
        <v>1.0</v>
      </c>
      <c r="K105" s="19">
        <v>1.0</v>
      </c>
      <c r="L105" s="19">
        <v>0.0</v>
      </c>
      <c r="M105" s="19">
        <v>0.0</v>
      </c>
      <c r="N105" s="19">
        <v>0.0</v>
      </c>
      <c r="O105" s="19">
        <v>0.0</v>
      </c>
      <c r="P105" s="19">
        <v>1.0</v>
      </c>
      <c r="Q105" s="19">
        <v>0.0</v>
      </c>
      <c r="R105" s="19">
        <v>1.0</v>
      </c>
      <c r="S105" s="19">
        <v>0.0</v>
      </c>
      <c r="T105" s="19">
        <v>0.0</v>
      </c>
      <c r="U105" s="19">
        <v>1.0</v>
      </c>
      <c r="V105" s="19">
        <v>1.0</v>
      </c>
      <c r="W105" s="19">
        <v>0.0</v>
      </c>
      <c r="X105" s="19">
        <v>0.0</v>
      </c>
      <c r="Y105" s="19">
        <v>1.0</v>
      </c>
      <c r="Z105" s="19">
        <v>0.0</v>
      </c>
      <c r="AA105" s="19">
        <v>1.0</v>
      </c>
      <c r="AB105" s="19">
        <v>1.0</v>
      </c>
      <c r="AC105" s="19">
        <v>0.0</v>
      </c>
      <c r="AD105" s="19">
        <v>0.0</v>
      </c>
      <c r="AE105" s="19">
        <v>1.0</v>
      </c>
      <c r="AF105" s="19">
        <v>3.0</v>
      </c>
      <c r="AG105" s="19">
        <v>1.0</v>
      </c>
      <c r="AH105" s="19">
        <v>0.0</v>
      </c>
      <c r="AI105" s="19">
        <v>1.0</v>
      </c>
      <c r="AJ105" s="19">
        <v>0.0</v>
      </c>
      <c r="AK105" s="19">
        <v>0.0</v>
      </c>
      <c r="AL105" s="19">
        <v>3.0</v>
      </c>
      <c r="AM105" s="19">
        <v>0.0</v>
      </c>
      <c r="AN105" s="19">
        <v>1.0</v>
      </c>
      <c r="AO105" s="19">
        <v>0.0</v>
      </c>
      <c r="AP105" s="19">
        <v>0.0</v>
      </c>
      <c r="AQ105" s="19">
        <v>0.0</v>
      </c>
      <c r="AR105" s="19">
        <v>1.0</v>
      </c>
      <c r="AS105" s="19">
        <v>2.0</v>
      </c>
      <c r="AT105" s="19">
        <v>4.0</v>
      </c>
      <c r="AU105" s="19">
        <v>1.0</v>
      </c>
      <c r="AV105" s="19">
        <v>1.0</v>
      </c>
      <c r="AW105" s="19">
        <v>3.0</v>
      </c>
      <c r="AX105" s="19">
        <v>1.0</v>
      </c>
      <c r="AY105" s="19">
        <v>4.0</v>
      </c>
      <c r="AZ105" s="19">
        <v>1.0</v>
      </c>
      <c r="BA105" s="13">
        <f t="shared" ref="BA105:BA112" si="24">SUM(E105:AZ105)</f>
        <v>40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1.0</v>
      </c>
      <c r="F106" s="19">
        <v>0.0</v>
      </c>
      <c r="G106" s="19">
        <v>0.0</v>
      </c>
      <c r="H106" s="19">
        <v>1.0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2.0</v>
      </c>
      <c r="O106" s="19">
        <v>0.0</v>
      </c>
      <c r="P106" s="19">
        <v>1.0</v>
      </c>
      <c r="Q106" s="19">
        <v>0.0</v>
      </c>
      <c r="R106" s="19">
        <v>0.0</v>
      </c>
      <c r="S106" s="19">
        <v>0.0</v>
      </c>
      <c r="T106" s="19">
        <v>0.0</v>
      </c>
      <c r="U106" s="19">
        <v>1.0</v>
      </c>
      <c r="V106" s="19">
        <v>0.0</v>
      </c>
      <c r="W106" s="19">
        <v>1.0</v>
      </c>
      <c r="X106" s="19">
        <v>1.0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1.0</v>
      </c>
      <c r="AD106" s="19">
        <v>1.0</v>
      </c>
      <c r="AE106" s="19">
        <v>1.0</v>
      </c>
      <c r="AF106" s="19">
        <v>1.0</v>
      </c>
      <c r="AG106" s="19">
        <v>0.0</v>
      </c>
      <c r="AH106" s="19">
        <v>0.0</v>
      </c>
      <c r="AI106" s="19">
        <v>0.0</v>
      </c>
      <c r="AJ106" s="19">
        <v>0.0</v>
      </c>
      <c r="AK106" s="19">
        <v>0.0</v>
      </c>
      <c r="AL106" s="19">
        <v>0.0</v>
      </c>
      <c r="AM106" s="19">
        <v>0.0</v>
      </c>
      <c r="AN106" s="19">
        <v>0.0</v>
      </c>
      <c r="AO106" s="19">
        <v>0.0</v>
      </c>
      <c r="AP106" s="19">
        <v>1.0</v>
      </c>
      <c r="AQ106" s="19">
        <v>0.0</v>
      </c>
      <c r="AR106" s="19">
        <v>0.0</v>
      </c>
      <c r="AS106" s="19">
        <v>0.0</v>
      </c>
      <c r="AT106" s="19">
        <v>1.0</v>
      </c>
      <c r="AU106" s="19">
        <v>0.0</v>
      </c>
      <c r="AV106" s="19">
        <v>1.0</v>
      </c>
      <c r="AW106" s="19">
        <v>0.0</v>
      </c>
      <c r="AX106" s="19">
        <v>0.0</v>
      </c>
      <c r="AY106" s="19">
        <v>1.0</v>
      </c>
      <c r="AZ106" s="19">
        <v>0.0</v>
      </c>
      <c r="BA106" s="13">
        <f t="shared" si="24"/>
        <v>16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1.0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1.0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1.0</v>
      </c>
      <c r="AH107" s="19">
        <v>0.0</v>
      </c>
      <c r="AI107" s="19">
        <v>0.0</v>
      </c>
      <c r="AJ107" s="19">
        <v>0.0</v>
      </c>
      <c r="AK107" s="19">
        <v>0.0</v>
      </c>
      <c r="AL107" s="19">
        <v>1.0</v>
      </c>
      <c r="AM107" s="19">
        <v>0.0</v>
      </c>
      <c r="AN107" s="19">
        <v>0.0</v>
      </c>
      <c r="AO107" s="19">
        <v>1.0</v>
      </c>
      <c r="AP107" s="19">
        <v>0.0</v>
      </c>
      <c r="AQ107" s="19">
        <v>0.0</v>
      </c>
      <c r="AR107" s="19">
        <v>0.0</v>
      </c>
      <c r="AS107" s="19">
        <v>0.0</v>
      </c>
      <c r="AT107" s="19">
        <v>0.0</v>
      </c>
      <c r="AU107" s="19">
        <v>1.0</v>
      </c>
      <c r="AV107" s="19">
        <v>1.0</v>
      </c>
      <c r="AW107" s="19">
        <v>0.0</v>
      </c>
      <c r="AX107" s="19">
        <v>1.0</v>
      </c>
      <c r="AY107" s="19">
        <v>2.0</v>
      </c>
      <c r="AZ107" s="19">
        <v>0.0</v>
      </c>
      <c r="BA107" s="13">
        <f t="shared" si="24"/>
        <v>10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0.0</v>
      </c>
      <c r="AJ108" s="19">
        <v>0.0</v>
      </c>
      <c r="AK108" s="19">
        <v>0.0</v>
      </c>
      <c r="AL108" s="19">
        <v>0.0</v>
      </c>
      <c r="AM108" s="19">
        <v>0.0</v>
      </c>
      <c r="AN108" s="19">
        <v>0.0</v>
      </c>
      <c r="AO108" s="19">
        <v>1.0</v>
      </c>
      <c r="AP108" s="19">
        <v>0.0</v>
      </c>
      <c r="AQ108" s="19">
        <v>0.0</v>
      </c>
      <c r="AR108" s="19">
        <v>0.0</v>
      </c>
      <c r="AS108" s="19">
        <v>0.0</v>
      </c>
      <c r="AT108" s="19">
        <v>0.0</v>
      </c>
      <c r="AU108" s="19">
        <v>0.0</v>
      </c>
      <c r="AV108" s="19">
        <v>0.0</v>
      </c>
      <c r="AW108" s="19">
        <v>0.0</v>
      </c>
      <c r="AX108" s="19">
        <v>0.0</v>
      </c>
      <c r="AY108" s="19">
        <v>0.0</v>
      </c>
      <c r="AZ108" s="19">
        <v>0.0</v>
      </c>
      <c r="BA108" s="13">
        <f t="shared" si="24"/>
        <v>1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19">
        <v>0.0</v>
      </c>
      <c r="AG109" s="19">
        <v>0.0</v>
      </c>
      <c r="AH109" s="19">
        <v>0.0</v>
      </c>
      <c r="AI109" s="19">
        <v>0.0</v>
      </c>
      <c r="AJ109" s="19">
        <v>0.0</v>
      </c>
      <c r="AK109" s="19">
        <v>0.0</v>
      </c>
      <c r="AL109" s="19">
        <v>0.0</v>
      </c>
      <c r="AM109" s="19">
        <v>0.0</v>
      </c>
      <c r="AN109" s="19">
        <v>0.0</v>
      </c>
      <c r="AO109" s="19">
        <v>0.0</v>
      </c>
      <c r="AP109" s="19">
        <v>0.0</v>
      </c>
      <c r="AQ109" s="19">
        <v>0.0</v>
      </c>
      <c r="AR109" s="19">
        <v>0.0</v>
      </c>
      <c r="AS109" s="19">
        <v>1.0</v>
      </c>
      <c r="AT109" s="19">
        <v>0.0</v>
      </c>
      <c r="AU109" s="19">
        <v>0.0</v>
      </c>
      <c r="AV109" s="19">
        <v>0.0</v>
      </c>
      <c r="AW109" s="19">
        <v>0.0</v>
      </c>
      <c r="AX109" s="19">
        <v>0.0</v>
      </c>
      <c r="AY109" s="19">
        <v>0.0</v>
      </c>
      <c r="AZ109" s="19">
        <v>0.0</v>
      </c>
      <c r="BA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1.0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9">
        <v>0.0</v>
      </c>
      <c r="AL110" s="19">
        <v>0.0</v>
      </c>
      <c r="AM110" s="19">
        <v>1.0</v>
      </c>
      <c r="AN110" s="19">
        <v>0.0</v>
      </c>
      <c r="AO110" s="19">
        <v>0.0</v>
      </c>
      <c r="AP110" s="19">
        <v>0.0</v>
      </c>
      <c r="AQ110" s="19">
        <v>0.0</v>
      </c>
      <c r="AR110" s="19">
        <v>0.0</v>
      </c>
      <c r="AS110" s="19">
        <v>0.0</v>
      </c>
      <c r="AT110" s="19">
        <v>0.0</v>
      </c>
      <c r="AU110" s="19">
        <v>1.0</v>
      </c>
      <c r="AV110" s="19">
        <v>0.0</v>
      </c>
      <c r="AW110" s="19">
        <v>0.0</v>
      </c>
      <c r="AX110" s="19">
        <v>0.0</v>
      </c>
      <c r="AY110" s="19">
        <v>0.0</v>
      </c>
      <c r="AZ110" s="19">
        <v>0.0</v>
      </c>
      <c r="BA110" s="13">
        <f t="shared" si="24"/>
        <v>3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1.0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9">
        <v>0.0</v>
      </c>
      <c r="AK111" s="19">
        <v>0.0</v>
      </c>
      <c r="AL111" s="19">
        <v>0.0</v>
      </c>
      <c r="AM111" s="19">
        <v>0.0</v>
      </c>
      <c r="AN111" s="19">
        <v>0.0</v>
      </c>
      <c r="AO111" s="19">
        <v>0.0</v>
      </c>
      <c r="AP111" s="19">
        <v>0.0</v>
      </c>
      <c r="AQ111" s="19">
        <v>0.0</v>
      </c>
      <c r="AR111" s="19">
        <v>0.0</v>
      </c>
      <c r="AS111" s="19">
        <v>0.0</v>
      </c>
      <c r="AT111" s="19">
        <v>0.0</v>
      </c>
      <c r="AU111" s="19">
        <v>0.0</v>
      </c>
      <c r="AV111" s="19">
        <v>0.0</v>
      </c>
      <c r="AW111" s="19">
        <v>0.0</v>
      </c>
      <c r="AX111" s="19">
        <v>0.0</v>
      </c>
      <c r="AY111" s="19">
        <v>1.0</v>
      </c>
      <c r="AZ111" s="19">
        <v>0.0</v>
      </c>
      <c r="BA111" s="13">
        <f t="shared" si="24"/>
        <v>2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9">
        <v>0.0</v>
      </c>
      <c r="AL112" s="19">
        <v>0.0</v>
      </c>
      <c r="AM112" s="19">
        <v>0.0</v>
      </c>
      <c r="AN112" s="19">
        <v>0.0</v>
      </c>
      <c r="AO112" s="19">
        <v>0.0</v>
      </c>
      <c r="AP112" s="19">
        <v>0.0</v>
      </c>
      <c r="AQ112" s="19">
        <v>0.0</v>
      </c>
      <c r="AR112" s="19">
        <v>0.0</v>
      </c>
      <c r="AS112" s="19">
        <v>0.0</v>
      </c>
      <c r="AT112" s="19">
        <v>0.0</v>
      </c>
      <c r="AU112" s="19">
        <v>0.0</v>
      </c>
      <c r="AV112" s="19">
        <v>0.0</v>
      </c>
      <c r="AW112" s="19">
        <v>0.0</v>
      </c>
      <c r="AX112" s="19">
        <v>0.0</v>
      </c>
      <c r="AY112" s="19">
        <v>0.0</v>
      </c>
      <c r="AZ112" s="19">
        <v>0.0</v>
      </c>
      <c r="BA112" s="13">
        <f t="shared" si="24"/>
        <v>0</v>
      </c>
    </row>
    <row r="113" ht="12.75" customHeight="1">
      <c r="A113" s="18"/>
      <c r="B113" s="71"/>
      <c r="C113" s="72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79"/>
    </row>
    <row r="114" ht="12.75" customHeight="1">
      <c r="A114" s="18"/>
      <c r="B114" s="71"/>
      <c r="C114" s="72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79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BA115" si="25">SUM(E105:E114)</f>
        <v>2</v>
      </c>
      <c r="F115" s="13">
        <f t="shared" si="25"/>
        <v>0</v>
      </c>
      <c r="G115" s="13">
        <f t="shared" si="25"/>
        <v>1</v>
      </c>
      <c r="H115" s="13">
        <f t="shared" si="25"/>
        <v>2</v>
      </c>
      <c r="I115" s="13">
        <f t="shared" si="25"/>
        <v>1</v>
      </c>
      <c r="J115" s="13">
        <f t="shared" si="25"/>
        <v>2</v>
      </c>
      <c r="K115" s="13">
        <f t="shared" si="25"/>
        <v>1</v>
      </c>
      <c r="L115" s="13">
        <f t="shared" si="25"/>
        <v>0</v>
      </c>
      <c r="M115" s="13">
        <f t="shared" si="25"/>
        <v>0</v>
      </c>
      <c r="N115" s="13">
        <f t="shared" si="25"/>
        <v>3</v>
      </c>
      <c r="O115" s="13">
        <f t="shared" si="25"/>
        <v>0</v>
      </c>
      <c r="P115" s="13">
        <f t="shared" si="25"/>
        <v>2</v>
      </c>
      <c r="Q115" s="13">
        <f t="shared" si="25"/>
        <v>0</v>
      </c>
      <c r="R115" s="13">
        <f t="shared" si="25"/>
        <v>1</v>
      </c>
      <c r="S115" s="13">
        <f t="shared" si="25"/>
        <v>0</v>
      </c>
      <c r="T115" s="13">
        <f t="shared" si="25"/>
        <v>0</v>
      </c>
      <c r="U115" s="13">
        <f t="shared" si="25"/>
        <v>2</v>
      </c>
      <c r="V115" s="13">
        <f t="shared" si="25"/>
        <v>1</v>
      </c>
      <c r="W115" s="13">
        <f t="shared" si="25"/>
        <v>1</v>
      </c>
      <c r="X115" s="13">
        <f t="shared" si="25"/>
        <v>2</v>
      </c>
      <c r="Y115" s="13">
        <f t="shared" si="25"/>
        <v>1</v>
      </c>
      <c r="Z115" s="13">
        <f t="shared" si="25"/>
        <v>0</v>
      </c>
      <c r="AA115" s="13">
        <f t="shared" si="25"/>
        <v>1</v>
      </c>
      <c r="AB115" s="13">
        <f t="shared" si="25"/>
        <v>1</v>
      </c>
      <c r="AC115" s="13">
        <f t="shared" si="25"/>
        <v>1</v>
      </c>
      <c r="AD115" s="13">
        <f t="shared" si="25"/>
        <v>1</v>
      </c>
      <c r="AE115" s="13">
        <f t="shared" si="25"/>
        <v>2</v>
      </c>
      <c r="AF115" s="13">
        <f t="shared" si="25"/>
        <v>4</v>
      </c>
      <c r="AG115" s="13">
        <f t="shared" si="25"/>
        <v>2</v>
      </c>
      <c r="AH115" s="13">
        <f t="shared" si="25"/>
        <v>0</v>
      </c>
      <c r="AI115" s="13">
        <f t="shared" si="25"/>
        <v>1</v>
      </c>
      <c r="AJ115" s="13">
        <f t="shared" si="25"/>
        <v>0</v>
      </c>
      <c r="AK115" s="13">
        <f t="shared" si="25"/>
        <v>0</v>
      </c>
      <c r="AL115" s="13">
        <f t="shared" si="25"/>
        <v>4</v>
      </c>
      <c r="AM115" s="13">
        <f t="shared" si="25"/>
        <v>1</v>
      </c>
      <c r="AN115" s="13">
        <f t="shared" si="25"/>
        <v>1</v>
      </c>
      <c r="AO115" s="13">
        <f t="shared" si="25"/>
        <v>2</v>
      </c>
      <c r="AP115" s="13">
        <f t="shared" si="25"/>
        <v>1</v>
      </c>
      <c r="AQ115" s="13">
        <f t="shared" si="25"/>
        <v>0</v>
      </c>
      <c r="AR115" s="13">
        <f t="shared" si="25"/>
        <v>1</v>
      </c>
      <c r="AS115" s="13">
        <f t="shared" si="25"/>
        <v>3</v>
      </c>
      <c r="AT115" s="13">
        <f t="shared" si="25"/>
        <v>5</v>
      </c>
      <c r="AU115" s="13">
        <f t="shared" si="25"/>
        <v>3</v>
      </c>
      <c r="AV115" s="13">
        <f t="shared" si="25"/>
        <v>3</v>
      </c>
      <c r="AW115" s="13">
        <f t="shared" si="25"/>
        <v>3</v>
      </c>
      <c r="AX115" s="13">
        <f t="shared" si="25"/>
        <v>2</v>
      </c>
      <c r="AY115" s="13">
        <f t="shared" si="25"/>
        <v>8</v>
      </c>
      <c r="AZ115" s="13">
        <f t="shared" si="25"/>
        <v>1</v>
      </c>
      <c r="BA115" s="13">
        <f t="shared" si="25"/>
        <v>73</v>
      </c>
    </row>
    <row r="116" ht="12.75" customHeight="1">
      <c r="A116" s="24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AH116" s="75"/>
      <c r="AI116" s="75"/>
      <c r="AJ116" s="75"/>
      <c r="AK116" s="75"/>
      <c r="AL116" s="75"/>
      <c r="AM116" s="75"/>
      <c r="AN116" s="75"/>
      <c r="AO116" s="75"/>
      <c r="BA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1.0</v>
      </c>
      <c r="K117" s="19">
        <v>0.0</v>
      </c>
      <c r="L117" s="19">
        <v>0.0</v>
      </c>
      <c r="M117" s="19">
        <v>0.0</v>
      </c>
      <c r="N117" s="19">
        <v>3.0</v>
      </c>
      <c r="O117" s="19">
        <v>0.0</v>
      </c>
      <c r="P117" s="19">
        <v>1.0</v>
      </c>
      <c r="Q117" s="19">
        <v>0.0</v>
      </c>
      <c r="R117" s="19">
        <v>1.0</v>
      </c>
      <c r="S117" s="19">
        <v>1.0</v>
      </c>
      <c r="T117" s="19">
        <v>2.0</v>
      </c>
      <c r="U117" s="19">
        <v>0.0</v>
      </c>
      <c r="V117" s="19">
        <v>0.0</v>
      </c>
      <c r="W117" s="19">
        <v>0.0</v>
      </c>
      <c r="X117" s="19">
        <v>0.0</v>
      </c>
      <c r="Y117" s="19">
        <v>0.0</v>
      </c>
      <c r="Z117" s="19">
        <v>2.0</v>
      </c>
      <c r="AA117" s="19">
        <v>1.0</v>
      </c>
      <c r="AB117" s="19">
        <v>1.0</v>
      </c>
      <c r="AC117" s="19">
        <v>0.0</v>
      </c>
      <c r="AD117" s="19">
        <v>2.0</v>
      </c>
      <c r="AE117" s="19">
        <v>0.0</v>
      </c>
      <c r="AF117" s="19">
        <v>2.0</v>
      </c>
      <c r="AG117" s="19">
        <v>0.0</v>
      </c>
      <c r="AH117" s="19">
        <v>1.0</v>
      </c>
      <c r="AI117" s="19">
        <v>0.0</v>
      </c>
      <c r="AJ117" s="19">
        <v>0.0</v>
      </c>
      <c r="AK117" s="19">
        <v>0.0</v>
      </c>
      <c r="AL117" s="19">
        <v>0.0</v>
      </c>
      <c r="AM117" s="19">
        <v>0.0</v>
      </c>
      <c r="AN117" s="19">
        <v>1.0</v>
      </c>
      <c r="AO117" s="19">
        <v>1.0</v>
      </c>
      <c r="AP117" s="19">
        <v>1.0</v>
      </c>
      <c r="AQ117" s="19">
        <v>0.0</v>
      </c>
      <c r="AR117" s="19">
        <v>0.0</v>
      </c>
      <c r="AS117" s="19">
        <v>0.0</v>
      </c>
      <c r="AT117" s="19">
        <v>0.0</v>
      </c>
      <c r="AU117" s="19">
        <v>2.0</v>
      </c>
      <c r="AV117" s="19">
        <v>0.0</v>
      </c>
      <c r="AW117" s="19">
        <v>0.0</v>
      </c>
      <c r="AX117" s="19">
        <v>0.0</v>
      </c>
      <c r="AY117" s="19">
        <v>1.0</v>
      </c>
      <c r="AZ117" s="19">
        <v>0.0</v>
      </c>
      <c r="BA117" s="13">
        <f t="shared" ref="BA117:BA120" si="26">SUM(E117:AZ117)</f>
        <v>24</v>
      </c>
      <c r="BB117" s="5"/>
      <c r="BC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1.0</v>
      </c>
      <c r="K118" s="19">
        <v>1.0</v>
      </c>
      <c r="L118" s="19">
        <v>0.0</v>
      </c>
      <c r="M118" s="19">
        <v>0.0</v>
      </c>
      <c r="N118" s="19">
        <v>0.0</v>
      </c>
      <c r="O118" s="19">
        <v>0.0</v>
      </c>
      <c r="P118" s="19">
        <v>1.0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1.0</v>
      </c>
      <c r="AC118" s="19">
        <v>0.0</v>
      </c>
      <c r="AD118" s="19">
        <v>0.0</v>
      </c>
      <c r="AE118" s="19">
        <v>0.0</v>
      </c>
      <c r="AF118" s="19">
        <v>0.0</v>
      </c>
      <c r="AG118" s="19">
        <v>0.0</v>
      </c>
      <c r="AH118" s="19">
        <v>1.0</v>
      </c>
      <c r="AI118" s="19">
        <v>0.0</v>
      </c>
      <c r="AJ118" s="19">
        <v>1.0</v>
      </c>
      <c r="AK118" s="19">
        <v>0.0</v>
      </c>
      <c r="AL118" s="19">
        <v>0.0</v>
      </c>
      <c r="AM118" s="19">
        <v>0.0</v>
      </c>
      <c r="AN118" s="19">
        <v>0.0</v>
      </c>
      <c r="AO118" s="19">
        <v>0.0</v>
      </c>
      <c r="AP118" s="19">
        <v>0.0</v>
      </c>
      <c r="AQ118" s="19">
        <v>0.0</v>
      </c>
      <c r="AR118" s="19">
        <v>0.0</v>
      </c>
      <c r="AS118" s="19">
        <v>0.0</v>
      </c>
      <c r="AT118" s="19">
        <v>0.0</v>
      </c>
      <c r="AU118" s="19">
        <v>0.0</v>
      </c>
      <c r="AV118" s="19">
        <v>1.0</v>
      </c>
      <c r="AW118" s="19">
        <v>0.0</v>
      </c>
      <c r="AX118" s="19">
        <v>0.0</v>
      </c>
      <c r="AY118" s="19">
        <v>0.0</v>
      </c>
      <c r="AZ118" s="19">
        <v>0.0</v>
      </c>
      <c r="BA118" s="13">
        <f t="shared" si="26"/>
        <v>7</v>
      </c>
      <c r="BB118" s="5"/>
      <c r="BC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1.0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1.0</v>
      </c>
      <c r="Z119" s="19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19">
        <v>0.0</v>
      </c>
      <c r="AG119" s="19">
        <v>0.0</v>
      </c>
      <c r="AH119" s="19">
        <v>0.0</v>
      </c>
      <c r="AI119" s="19">
        <v>0.0</v>
      </c>
      <c r="AJ119" s="19">
        <v>0.0</v>
      </c>
      <c r="AK119" s="19">
        <v>0.0</v>
      </c>
      <c r="AL119" s="19">
        <v>1.0</v>
      </c>
      <c r="AM119" s="19">
        <v>0.0</v>
      </c>
      <c r="AN119" s="19">
        <v>0.0</v>
      </c>
      <c r="AO119" s="19">
        <v>0.0</v>
      </c>
      <c r="AP119" s="19">
        <v>0.0</v>
      </c>
      <c r="AQ119" s="19">
        <v>0.0</v>
      </c>
      <c r="AR119" s="19">
        <v>0.0</v>
      </c>
      <c r="AS119" s="19">
        <v>0.0</v>
      </c>
      <c r="AT119" s="19">
        <v>0.0</v>
      </c>
      <c r="AU119" s="19">
        <v>0.0</v>
      </c>
      <c r="AV119" s="19">
        <v>1.0</v>
      </c>
      <c r="AW119" s="19">
        <v>0.0</v>
      </c>
      <c r="AX119" s="19">
        <v>0.0</v>
      </c>
      <c r="AY119" s="19">
        <v>0.0</v>
      </c>
      <c r="AZ119" s="19">
        <v>0.0</v>
      </c>
      <c r="BA119" s="13">
        <f t="shared" si="26"/>
        <v>4</v>
      </c>
      <c r="BB119" s="5"/>
      <c r="BC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1.0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9">
        <v>0.0</v>
      </c>
      <c r="AI120" s="19">
        <v>0.0</v>
      </c>
      <c r="AJ120" s="19">
        <v>0.0</v>
      </c>
      <c r="AK120" s="19">
        <v>0.0</v>
      </c>
      <c r="AL120" s="19">
        <v>0.0</v>
      </c>
      <c r="AM120" s="19">
        <v>0.0</v>
      </c>
      <c r="AN120" s="19">
        <v>0.0</v>
      </c>
      <c r="AO120" s="19">
        <v>0.0</v>
      </c>
      <c r="AP120" s="19">
        <v>0.0</v>
      </c>
      <c r="AQ120" s="19">
        <v>0.0</v>
      </c>
      <c r="AR120" s="19">
        <v>0.0</v>
      </c>
      <c r="AS120" s="19">
        <v>0.0</v>
      </c>
      <c r="AT120" s="19">
        <v>0.0</v>
      </c>
      <c r="AU120" s="19">
        <v>0.0</v>
      </c>
      <c r="AV120" s="19">
        <v>0.0</v>
      </c>
      <c r="AW120" s="19">
        <v>0.0</v>
      </c>
      <c r="AX120" s="19">
        <v>0.0</v>
      </c>
      <c r="AY120" s="19">
        <v>0.0</v>
      </c>
      <c r="AZ120" s="19">
        <v>0.0</v>
      </c>
      <c r="BA120" s="13">
        <f t="shared" si="26"/>
        <v>1</v>
      </c>
      <c r="BB120" s="5"/>
      <c r="BC120" s="5"/>
    </row>
    <row r="121" ht="12.75" customHeight="1">
      <c r="A121" s="18"/>
      <c r="B121" s="71"/>
      <c r="C121" s="72"/>
      <c r="D121" s="7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79"/>
      <c r="BB121" s="5"/>
      <c r="BC121" s="5"/>
    </row>
    <row r="122" ht="12.75" customHeight="1">
      <c r="A122" s="18"/>
      <c r="B122" s="71"/>
      <c r="C122" s="72"/>
      <c r="D122" s="7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79"/>
      <c r="BB122" s="5"/>
      <c r="BC122" s="5"/>
    </row>
    <row r="123" ht="12.75" customHeight="1">
      <c r="A123" s="18"/>
      <c r="B123" s="71"/>
      <c r="C123" s="72"/>
      <c r="D123" s="7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79"/>
      <c r="BB123" s="5"/>
      <c r="BC123" s="5"/>
    </row>
    <row r="124" ht="12.75" customHeight="1">
      <c r="A124" s="18"/>
      <c r="B124" s="71"/>
      <c r="C124" s="72"/>
      <c r="D124" s="7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79"/>
      <c r="BB124" s="5"/>
      <c r="BC124" s="5"/>
    </row>
    <row r="125" ht="12.75" customHeight="1">
      <c r="A125" s="18"/>
      <c r="B125" s="71"/>
      <c r="C125" s="72"/>
      <c r="D125" s="7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79"/>
      <c r="BB125" s="5"/>
      <c r="BC125" s="5"/>
    </row>
    <row r="126" ht="12.75" customHeight="1">
      <c r="A126" s="18"/>
      <c r="B126" s="71"/>
      <c r="C126" s="72"/>
      <c r="D126" s="7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79"/>
      <c r="BB126" s="5"/>
      <c r="BC126" s="5"/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BA127" si="27">SUM(E117:E126)</f>
        <v>0</v>
      </c>
      <c r="F127" s="13">
        <f t="shared" si="27"/>
        <v>0</v>
      </c>
      <c r="G127" s="13">
        <f t="shared" si="27"/>
        <v>0</v>
      </c>
      <c r="H127" s="13">
        <f t="shared" si="27"/>
        <v>0</v>
      </c>
      <c r="I127" s="13">
        <f t="shared" si="27"/>
        <v>0</v>
      </c>
      <c r="J127" s="13">
        <f t="shared" si="27"/>
        <v>2</v>
      </c>
      <c r="K127" s="13">
        <f t="shared" si="27"/>
        <v>2</v>
      </c>
      <c r="L127" s="13">
        <f t="shared" si="27"/>
        <v>1</v>
      </c>
      <c r="M127" s="13">
        <f t="shared" si="27"/>
        <v>0</v>
      </c>
      <c r="N127" s="13">
        <f t="shared" si="27"/>
        <v>3</v>
      </c>
      <c r="O127" s="13">
        <f t="shared" si="27"/>
        <v>0</v>
      </c>
      <c r="P127" s="13">
        <f t="shared" si="27"/>
        <v>2</v>
      </c>
      <c r="Q127" s="13">
        <f t="shared" si="27"/>
        <v>0</v>
      </c>
      <c r="R127" s="13">
        <f t="shared" si="27"/>
        <v>1</v>
      </c>
      <c r="S127" s="13">
        <f t="shared" si="27"/>
        <v>1</v>
      </c>
      <c r="T127" s="13">
        <f t="shared" si="27"/>
        <v>2</v>
      </c>
      <c r="U127" s="13">
        <f t="shared" si="27"/>
        <v>0</v>
      </c>
      <c r="V127" s="13">
        <f t="shared" si="27"/>
        <v>0</v>
      </c>
      <c r="W127" s="13">
        <f t="shared" si="27"/>
        <v>0</v>
      </c>
      <c r="X127" s="13">
        <f t="shared" si="27"/>
        <v>0</v>
      </c>
      <c r="Y127" s="13">
        <f t="shared" si="27"/>
        <v>1</v>
      </c>
      <c r="Z127" s="13">
        <f t="shared" si="27"/>
        <v>2</v>
      </c>
      <c r="AA127" s="13">
        <f t="shared" si="27"/>
        <v>1</v>
      </c>
      <c r="AB127" s="13">
        <f t="shared" si="27"/>
        <v>2</v>
      </c>
      <c r="AC127" s="13">
        <f t="shared" si="27"/>
        <v>0</v>
      </c>
      <c r="AD127" s="13">
        <f t="shared" si="27"/>
        <v>2</v>
      </c>
      <c r="AE127" s="13">
        <f t="shared" si="27"/>
        <v>0</v>
      </c>
      <c r="AF127" s="13">
        <f t="shared" si="27"/>
        <v>2</v>
      </c>
      <c r="AG127" s="13">
        <f t="shared" si="27"/>
        <v>0</v>
      </c>
      <c r="AH127" s="13">
        <f t="shared" si="27"/>
        <v>2</v>
      </c>
      <c r="AI127" s="13">
        <f t="shared" si="27"/>
        <v>0</v>
      </c>
      <c r="AJ127" s="13">
        <f t="shared" si="27"/>
        <v>1</v>
      </c>
      <c r="AK127" s="13">
        <f t="shared" si="27"/>
        <v>0</v>
      </c>
      <c r="AL127" s="13">
        <f t="shared" si="27"/>
        <v>1</v>
      </c>
      <c r="AM127" s="13">
        <f t="shared" si="27"/>
        <v>0</v>
      </c>
      <c r="AN127" s="13">
        <f t="shared" si="27"/>
        <v>1</v>
      </c>
      <c r="AO127" s="13">
        <f t="shared" si="27"/>
        <v>1</v>
      </c>
      <c r="AP127" s="13">
        <f t="shared" si="27"/>
        <v>1</v>
      </c>
      <c r="AQ127" s="13">
        <f t="shared" si="27"/>
        <v>0</v>
      </c>
      <c r="AR127" s="13">
        <f t="shared" si="27"/>
        <v>0</v>
      </c>
      <c r="AS127" s="13">
        <f t="shared" si="27"/>
        <v>0</v>
      </c>
      <c r="AT127" s="13">
        <f t="shared" si="27"/>
        <v>0</v>
      </c>
      <c r="AU127" s="13">
        <f t="shared" si="27"/>
        <v>2</v>
      </c>
      <c r="AV127" s="13">
        <f t="shared" si="27"/>
        <v>2</v>
      </c>
      <c r="AW127" s="13">
        <f t="shared" si="27"/>
        <v>0</v>
      </c>
      <c r="AX127" s="13">
        <f t="shared" si="27"/>
        <v>0</v>
      </c>
      <c r="AY127" s="13">
        <f t="shared" si="27"/>
        <v>1</v>
      </c>
      <c r="AZ127" s="13">
        <f t="shared" si="27"/>
        <v>0</v>
      </c>
      <c r="BA127" s="13">
        <f t="shared" si="27"/>
        <v>36</v>
      </c>
      <c r="BB127" s="5"/>
      <c r="BC127" s="5"/>
    </row>
    <row r="128" ht="12.75" customHeight="1">
      <c r="A128" s="24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75"/>
      <c r="AK128" s="75"/>
      <c r="AL128" s="75"/>
      <c r="AM128" s="75"/>
      <c r="AN128" s="75"/>
      <c r="AO128" s="75"/>
      <c r="AP128" s="75"/>
      <c r="AQ128" s="75"/>
      <c r="AR128" s="75"/>
      <c r="AS128" s="75"/>
      <c r="AT128" s="75"/>
      <c r="AU128" s="75"/>
      <c r="AV128" s="75"/>
      <c r="AW128" s="75"/>
      <c r="AX128" s="75"/>
      <c r="AY128" s="75"/>
      <c r="AZ128" s="75"/>
      <c r="BA128" s="75"/>
      <c r="BB128" s="5"/>
      <c r="BC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0.0</v>
      </c>
      <c r="G129" s="19">
        <v>0.0</v>
      </c>
      <c r="H129" s="19">
        <v>0.0</v>
      </c>
      <c r="I129" s="19">
        <v>2.0</v>
      </c>
      <c r="J129" s="19">
        <v>0.0</v>
      </c>
      <c r="K129" s="19">
        <v>3.0</v>
      </c>
      <c r="L129" s="19">
        <v>0.0</v>
      </c>
      <c r="M129" s="19">
        <v>1.0</v>
      </c>
      <c r="N129" s="19">
        <v>0.0</v>
      </c>
      <c r="O129" s="19">
        <v>0.0</v>
      </c>
      <c r="P129" s="19">
        <v>1.0</v>
      </c>
      <c r="Q129" s="19">
        <v>0.0</v>
      </c>
      <c r="R129" s="19">
        <v>0.0</v>
      </c>
      <c r="S129" s="19">
        <v>1.0</v>
      </c>
      <c r="T129" s="19">
        <v>3.0</v>
      </c>
      <c r="U129" s="19">
        <v>1.0</v>
      </c>
      <c r="V129" s="19">
        <v>0.0</v>
      </c>
      <c r="W129" s="19">
        <v>0.0</v>
      </c>
      <c r="X129" s="19">
        <v>0.0</v>
      </c>
      <c r="Y129" s="19">
        <v>0.0</v>
      </c>
      <c r="Z129" s="19">
        <v>1.0</v>
      </c>
      <c r="AA129" s="19">
        <v>0.0</v>
      </c>
      <c r="AB129" s="19">
        <v>0.0</v>
      </c>
      <c r="AC129" s="19">
        <v>1.0</v>
      </c>
      <c r="AD129" s="19">
        <v>0.0</v>
      </c>
      <c r="AE129" s="19">
        <v>1.0</v>
      </c>
      <c r="AF129" s="19">
        <v>0.0</v>
      </c>
      <c r="AG129" s="19">
        <v>1.0</v>
      </c>
      <c r="AH129" s="19">
        <v>0.0</v>
      </c>
      <c r="AI129" s="19">
        <v>0.0</v>
      </c>
      <c r="AJ129" s="19">
        <v>2.0</v>
      </c>
      <c r="AK129" s="19">
        <v>0.0</v>
      </c>
      <c r="AL129" s="19">
        <v>0.0</v>
      </c>
      <c r="AM129" s="19">
        <v>4.0</v>
      </c>
      <c r="AN129" s="19">
        <v>0.0</v>
      </c>
      <c r="AO129" s="19">
        <v>1.0</v>
      </c>
      <c r="AP129" s="19">
        <v>3.0</v>
      </c>
      <c r="AQ129" s="19">
        <v>0.0</v>
      </c>
      <c r="AR129" s="19">
        <v>0.0</v>
      </c>
      <c r="AS129" s="19">
        <v>1.0</v>
      </c>
      <c r="AT129" s="19">
        <v>1.0</v>
      </c>
      <c r="AU129" s="19">
        <v>0.0</v>
      </c>
      <c r="AV129" s="19">
        <v>1.0</v>
      </c>
      <c r="AW129" s="19">
        <v>0.0</v>
      </c>
      <c r="AX129" s="19">
        <v>3.0</v>
      </c>
      <c r="AY129" s="19">
        <v>0.0</v>
      </c>
      <c r="AZ129" s="19">
        <v>1.0</v>
      </c>
      <c r="BA129" s="13">
        <f t="shared" ref="BA129:BA136" si="28">SUM(E129:AZ129)</f>
        <v>34</v>
      </c>
      <c r="BB129" s="5"/>
      <c r="BC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1.0</v>
      </c>
      <c r="F130" s="19">
        <v>0.0</v>
      </c>
      <c r="G130" s="19">
        <v>1.0</v>
      </c>
      <c r="H130" s="19">
        <v>1.0</v>
      </c>
      <c r="I130" s="19">
        <v>0.0</v>
      </c>
      <c r="J130" s="19">
        <v>1.0</v>
      </c>
      <c r="K130" s="19">
        <v>2.0</v>
      </c>
      <c r="L130" s="19">
        <v>1.0</v>
      </c>
      <c r="M130" s="19">
        <v>2.0</v>
      </c>
      <c r="N130" s="19">
        <v>0.0</v>
      </c>
      <c r="O130" s="19">
        <v>0.0</v>
      </c>
      <c r="P130" s="19">
        <v>1.0</v>
      </c>
      <c r="Q130" s="19">
        <v>0.0</v>
      </c>
      <c r="R130" s="19">
        <v>0.0</v>
      </c>
      <c r="S130" s="19">
        <v>1.0</v>
      </c>
      <c r="T130" s="19">
        <v>2.0</v>
      </c>
      <c r="U130" s="19">
        <v>0.0</v>
      </c>
      <c r="V130" s="19">
        <v>1.0</v>
      </c>
      <c r="W130" s="19">
        <v>0.0</v>
      </c>
      <c r="X130" s="19">
        <v>0.0</v>
      </c>
      <c r="Y130" s="19">
        <v>1.0</v>
      </c>
      <c r="Z130" s="19">
        <v>0.0</v>
      </c>
      <c r="AA130" s="19">
        <v>3.0</v>
      </c>
      <c r="AB130" s="19">
        <v>1.0</v>
      </c>
      <c r="AC130" s="19">
        <v>0.0</v>
      </c>
      <c r="AD130" s="19">
        <v>0.0</v>
      </c>
      <c r="AE130" s="19">
        <v>0.0</v>
      </c>
      <c r="AF130" s="19">
        <v>1.0</v>
      </c>
      <c r="AG130" s="19">
        <v>2.0</v>
      </c>
      <c r="AH130" s="19">
        <v>0.0</v>
      </c>
      <c r="AI130" s="19">
        <v>1.0</v>
      </c>
      <c r="AJ130" s="19">
        <v>1.0</v>
      </c>
      <c r="AK130" s="19">
        <v>0.0</v>
      </c>
      <c r="AL130" s="19">
        <v>0.0</v>
      </c>
      <c r="AM130" s="19">
        <v>3.0</v>
      </c>
      <c r="AN130" s="19">
        <v>0.0</v>
      </c>
      <c r="AO130" s="19">
        <v>1.0</v>
      </c>
      <c r="AP130" s="19">
        <v>1.0</v>
      </c>
      <c r="AQ130" s="19">
        <v>0.0</v>
      </c>
      <c r="AR130" s="19">
        <v>0.0</v>
      </c>
      <c r="AS130" s="19">
        <v>1.0</v>
      </c>
      <c r="AT130" s="19">
        <v>0.0</v>
      </c>
      <c r="AU130" s="19">
        <v>0.0</v>
      </c>
      <c r="AV130" s="19">
        <v>0.0</v>
      </c>
      <c r="AW130" s="19">
        <v>0.0</v>
      </c>
      <c r="AX130" s="19">
        <v>3.0</v>
      </c>
      <c r="AY130" s="19">
        <v>0.0</v>
      </c>
      <c r="AZ130" s="19">
        <v>1.0</v>
      </c>
      <c r="BA130" s="13">
        <f t="shared" si="28"/>
        <v>34</v>
      </c>
      <c r="BB130" s="1"/>
      <c r="BC130" s="1"/>
    </row>
    <row r="131" ht="12.75" customHeight="1">
      <c r="A131" s="18"/>
      <c r="B131" s="55">
        <v>2.0</v>
      </c>
      <c r="C131" s="50" t="s">
        <v>98</v>
      </c>
      <c r="D131" s="56"/>
      <c r="E131" s="19">
        <v>5.0</v>
      </c>
      <c r="F131" s="19">
        <v>2.0</v>
      </c>
      <c r="G131" s="19">
        <v>2.0</v>
      </c>
      <c r="H131" s="19">
        <v>0.0</v>
      </c>
      <c r="I131" s="19">
        <v>0.0</v>
      </c>
      <c r="J131" s="19">
        <v>0.0</v>
      </c>
      <c r="K131" s="19">
        <v>0.0</v>
      </c>
      <c r="L131" s="19">
        <v>1.0</v>
      </c>
      <c r="M131" s="19">
        <v>0.0</v>
      </c>
      <c r="N131" s="19">
        <v>2.0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2.0</v>
      </c>
      <c r="W131" s="19">
        <v>2.0</v>
      </c>
      <c r="X131" s="19">
        <v>0.0</v>
      </c>
      <c r="Y131" s="19">
        <v>3.0</v>
      </c>
      <c r="Z131" s="19">
        <v>0.0</v>
      </c>
      <c r="AA131" s="19">
        <v>0.0</v>
      </c>
      <c r="AB131" s="19">
        <v>1.0</v>
      </c>
      <c r="AC131" s="19">
        <v>2.0</v>
      </c>
      <c r="AD131" s="19">
        <v>0.0</v>
      </c>
      <c r="AE131" s="19">
        <v>0.0</v>
      </c>
      <c r="AF131" s="19">
        <v>0.0</v>
      </c>
      <c r="AG131" s="19">
        <v>2.0</v>
      </c>
      <c r="AH131" s="19">
        <v>0.0</v>
      </c>
      <c r="AI131" s="19">
        <v>2.0</v>
      </c>
      <c r="AJ131" s="19">
        <v>0.0</v>
      </c>
      <c r="AK131" s="19">
        <v>0.0</v>
      </c>
      <c r="AL131" s="19">
        <v>0.0</v>
      </c>
      <c r="AM131" s="19">
        <v>4.0</v>
      </c>
      <c r="AN131" s="19">
        <v>0.0</v>
      </c>
      <c r="AO131" s="19">
        <v>0.0</v>
      </c>
      <c r="AP131" s="19">
        <v>0.0</v>
      </c>
      <c r="AQ131" s="19">
        <v>0.0</v>
      </c>
      <c r="AR131" s="19">
        <v>1.0</v>
      </c>
      <c r="AS131" s="19">
        <v>1.0</v>
      </c>
      <c r="AT131" s="19">
        <v>0.0</v>
      </c>
      <c r="AU131" s="19">
        <v>0.0</v>
      </c>
      <c r="AV131" s="19">
        <v>0.0</v>
      </c>
      <c r="AW131" s="19">
        <v>0.0</v>
      </c>
      <c r="AX131" s="19">
        <v>1.0</v>
      </c>
      <c r="AY131" s="19">
        <v>0.0</v>
      </c>
      <c r="AZ131" s="19">
        <v>0.0</v>
      </c>
      <c r="BA131" s="13">
        <f t="shared" si="28"/>
        <v>33</v>
      </c>
      <c r="BB131" s="52"/>
      <c r="BC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1.0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1.0</v>
      </c>
      <c r="W132" s="19">
        <v>2.0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0.0</v>
      </c>
      <c r="AG132" s="19">
        <v>0.0</v>
      </c>
      <c r="AH132" s="19">
        <v>0.0</v>
      </c>
      <c r="AI132" s="19">
        <v>0.0</v>
      </c>
      <c r="AJ132" s="19">
        <v>0.0</v>
      </c>
      <c r="AK132" s="19">
        <v>0.0</v>
      </c>
      <c r="AL132" s="19">
        <v>0.0</v>
      </c>
      <c r="AM132" s="19">
        <v>0.0</v>
      </c>
      <c r="AN132" s="19">
        <v>0.0</v>
      </c>
      <c r="AO132" s="19">
        <v>1.0</v>
      </c>
      <c r="AP132" s="19">
        <v>0.0</v>
      </c>
      <c r="AQ132" s="19">
        <v>0.0</v>
      </c>
      <c r="AR132" s="19">
        <v>0.0</v>
      </c>
      <c r="AS132" s="19">
        <v>0.0</v>
      </c>
      <c r="AT132" s="19">
        <v>0.0</v>
      </c>
      <c r="AU132" s="19">
        <v>0.0</v>
      </c>
      <c r="AV132" s="19">
        <v>0.0</v>
      </c>
      <c r="AW132" s="19">
        <v>0.0</v>
      </c>
      <c r="AX132" s="19">
        <v>0.0</v>
      </c>
      <c r="AY132" s="19">
        <v>0.0</v>
      </c>
      <c r="AZ132" s="19">
        <v>0.0</v>
      </c>
      <c r="BA132" s="13">
        <f t="shared" si="28"/>
        <v>5</v>
      </c>
      <c r="BB132" s="5"/>
      <c r="BC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1.0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>
        <v>0.0</v>
      </c>
      <c r="AJ133" s="19">
        <v>0.0</v>
      </c>
      <c r="AK133" s="19">
        <v>0.0</v>
      </c>
      <c r="AL133" s="19">
        <v>0.0</v>
      </c>
      <c r="AM133" s="19">
        <v>0.0</v>
      </c>
      <c r="AN133" s="19">
        <v>0.0</v>
      </c>
      <c r="AO133" s="19">
        <v>0.0</v>
      </c>
      <c r="AP133" s="19">
        <v>0.0</v>
      </c>
      <c r="AQ133" s="19">
        <v>0.0</v>
      </c>
      <c r="AR133" s="19">
        <v>0.0</v>
      </c>
      <c r="AS133" s="19">
        <v>0.0</v>
      </c>
      <c r="AT133" s="19">
        <v>0.0</v>
      </c>
      <c r="AU133" s="19">
        <v>0.0</v>
      </c>
      <c r="AV133" s="19">
        <v>0.0</v>
      </c>
      <c r="AW133" s="19">
        <v>0.0</v>
      </c>
      <c r="AX133" s="19">
        <v>0.0</v>
      </c>
      <c r="AY133" s="19">
        <v>0.0</v>
      </c>
      <c r="AZ133" s="19">
        <v>0.0</v>
      </c>
      <c r="BA133" s="13">
        <f t="shared" si="28"/>
        <v>1</v>
      </c>
      <c r="BB133" s="5"/>
      <c r="BC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1.0</v>
      </c>
      <c r="AI134" s="19">
        <v>0.0</v>
      </c>
      <c r="AJ134" s="19">
        <v>0.0</v>
      </c>
      <c r="AK134" s="19">
        <v>0.0</v>
      </c>
      <c r="AL134" s="19">
        <v>1.0</v>
      </c>
      <c r="AM134" s="19">
        <v>0.0</v>
      </c>
      <c r="AN134" s="19">
        <v>0.0</v>
      </c>
      <c r="AO134" s="19">
        <v>0.0</v>
      </c>
      <c r="AP134" s="19">
        <v>0.0</v>
      </c>
      <c r="AQ134" s="19">
        <v>0.0</v>
      </c>
      <c r="AR134" s="19">
        <v>0.0</v>
      </c>
      <c r="AS134" s="19">
        <v>0.0</v>
      </c>
      <c r="AT134" s="19">
        <v>0.0</v>
      </c>
      <c r="AU134" s="19">
        <v>0.0</v>
      </c>
      <c r="AV134" s="19">
        <v>0.0</v>
      </c>
      <c r="AW134" s="19">
        <v>0.0</v>
      </c>
      <c r="AX134" s="19">
        <v>0.0</v>
      </c>
      <c r="AY134" s="19">
        <v>0.0</v>
      </c>
      <c r="AZ134" s="19">
        <v>0.0</v>
      </c>
      <c r="BA134" s="13">
        <f t="shared" si="28"/>
        <v>2</v>
      </c>
      <c r="BB134" s="5"/>
      <c r="BC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9">
        <v>0.0</v>
      </c>
      <c r="AL135" s="19">
        <v>0.0</v>
      </c>
      <c r="AM135" s="19">
        <v>0.0</v>
      </c>
      <c r="AN135" s="19">
        <v>0.0</v>
      </c>
      <c r="AO135" s="19">
        <v>0.0</v>
      </c>
      <c r="AP135" s="19">
        <v>0.0</v>
      </c>
      <c r="AQ135" s="19">
        <v>0.0</v>
      </c>
      <c r="AR135" s="19">
        <v>0.0</v>
      </c>
      <c r="AS135" s="19">
        <v>0.0</v>
      </c>
      <c r="AT135" s="19">
        <v>1.0</v>
      </c>
      <c r="AU135" s="19">
        <v>0.0</v>
      </c>
      <c r="AV135" s="19">
        <v>0.0</v>
      </c>
      <c r="AW135" s="19">
        <v>0.0</v>
      </c>
      <c r="AX135" s="19">
        <v>0.0</v>
      </c>
      <c r="AY135" s="19">
        <v>0.0</v>
      </c>
      <c r="AZ135" s="19">
        <v>1.0</v>
      </c>
      <c r="BA135" s="13">
        <f t="shared" si="28"/>
        <v>2</v>
      </c>
      <c r="BB135" s="5"/>
      <c r="BC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9">
        <v>0.0</v>
      </c>
      <c r="AK136" s="19">
        <v>0.0</v>
      </c>
      <c r="AL136" s="19">
        <v>0.0</v>
      </c>
      <c r="AM136" s="19">
        <v>0.0</v>
      </c>
      <c r="AN136" s="19">
        <v>0.0</v>
      </c>
      <c r="AO136" s="19">
        <v>0.0</v>
      </c>
      <c r="AP136" s="19">
        <v>0.0</v>
      </c>
      <c r="AQ136" s="19">
        <v>0.0</v>
      </c>
      <c r="AR136" s="19">
        <v>0.0</v>
      </c>
      <c r="AS136" s="19">
        <v>0.0</v>
      </c>
      <c r="AT136" s="19">
        <v>0.0</v>
      </c>
      <c r="AU136" s="19">
        <v>0.0</v>
      </c>
      <c r="AV136" s="19">
        <v>0.0</v>
      </c>
      <c r="AW136" s="19">
        <v>0.0</v>
      </c>
      <c r="AX136" s="19">
        <v>0.0</v>
      </c>
      <c r="AY136" s="19">
        <v>0.0</v>
      </c>
      <c r="AZ136" s="19">
        <v>0.0</v>
      </c>
      <c r="BA136" s="13">
        <f t="shared" si="28"/>
        <v>0</v>
      </c>
      <c r="BB136" s="5"/>
      <c r="BC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79"/>
      <c r="BB137" s="5"/>
      <c r="BC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79"/>
      <c r="BB138" s="5"/>
      <c r="BC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BA139" si="29">SUM(E129:E138)</f>
        <v>7</v>
      </c>
      <c r="F139" s="13">
        <f t="shared" si="29"/>
        <v>2</v>
      </c>
      <c r="G139" s="13">
        <f t="shared" si="29"/>
        <v>3</v>
      </c>
      <c r="H139" s="13">
        <f t="shared" si="29"/>
        <v>1</v>
      </c>
      <c r="I139" s="13">
        <f t="shared" si="29"/>
        <v>2</v>
      </c>
      <c r="J139" s="13">
        <f t="shared" si="29"/>
        <v>1</v>
      </c>
      <c r="K139" s="13">
        <f t="shared" si="29"/>
        <v>5</v>
      </c>
      <c r="L139" s="13">
        <f t="shared" si="29"/>
        <v>3</v>
      </c>
      <c r="M139" s="13">
        <f t="shared" si="29"/>
        <v>4</v>
      </c>
      <c r="N139" s="13">
        <f t="shared" si="29"/>
        <v>2</v>
      </c>
      <c r="O139" s="13">
        <f t="shared" si="29"/>
        <v>0</v>
      </c>
      <c r="P139" s="13">
        <f t="shared" si="29"/>
        <v>2</v>
      </c>
      <c r="Q139" s="13">
        <f t="shared" si="29"/>
        <v>0</v>
      </c>
      <c r="R139" s="13">
        <f t="shared" si="29"/>
        <v>0</v>
      </c>
      <c r="S139" s="13">
        <f t="shared" si="29"/>
        <v>2</v>
      </c>
      <c r="T139" s="13">
        <f t="shared" si="29"/>
        <v>5</v>
      </c>
      <c r="U139" s="13">
        <f t="shared" si="29"/>
        <v>1</v>
      </c>
      <c r="V139" s="13">
        <f t="shared" si="29"/>
        <v>4</v>
      </c>
      <c r="W139" s="13">
        <f t="shared" si="29"/>
        <v>4</v>
      </c>
      <c r="X139" s="13">
        <f t="shared" si="29"/>
        <v>0</v>
      </c>
      <c r="Y139" s="13">
        <f t="shared" si="29"/>
        <v>4</v>
      </c>
      <c r="Z139" s="13">
        <f t="shared" si="29"/>
        <v>1</v>
      </c>
      <c r="AA139" s="13">
        <f t="shared" si="29"/>
        <v>3</v>
      </c>
      <c r="AB139" s="13">
        <f t="shared" si="29"/>
        <v>2</v>
      </c>
      <c r="AC139" s="13">
        <f t="shared" si="29"/>
        <v>3</v>
      </c>
      <c r="AD139" s="13">
        <f t="shared" si="29"/>
        <v>0</v>
      </c>
      <c r="AE139" s="13">
        <f t="shared" si="29"/>
        <v>1</v>
      </c>
      <c r="AF139" s="13">
        <f t="shared" si="29"/>
        <v>1</v>
      </c>
      <c r="AG139" s="13">
        <f t="shared" si="29"/>
        <v>5</v>
      </c>
      <c r="AH139" s="13">
        <f t="shared" si="29"/>
        <v>1</v>
      </c>
      <c r="AI139" s="13">
        <f t="shared" si="29"/>
        <v>3</v>
      </c>
      <c r="AJ139" s="13">
        <f t="shared" si="29"/>
        <v>3</v>
      </c>
      <c r="AK139" s="13">
        <f t="shared" si="29"/>
        <v>0</v>
      </c>
      <c r="AL139" s="13">
        <f t="shared" si="29"/>
        <v>1</v>
      </c>
      <c r="AM139" s="13">
        <f t="shared" si="29"/>
        <v>11</v>
      </c>
      <c r="AN139" s="13">
        <f t="shared" si="29"/>
        <v>0</v>
      </c>
      <c r="AO139" s="13">
        <f t="shared" si="29"/>
        <v>3</v>
      </c>
      <c r="AP139" s="13">
        <f t="shared" si="29"/>
        <v>4</v>
      </c>
      <c r="AQ139" s="13">
        <f t="shared" si="29"/>
        <v>0</v>
      </c>
      <c r="AR139" s="13">
        <f t="shared" si="29"/>
        <v>1</v>
      </c>
      <c r="AS139" s="13">
        <f t="shared" si="29"/>
        <v>3</v>
      </c>
      <c r="AT139" s="13">
        <f t="shared" si="29"/>
        <v>2</v>
      </c>
      <c r="AU139" s="13">
        <f t="shared" si="29"/>
        <v>0</v>
      </c>
      <c r="AV139" s="13">
        <f t="shared" si="29"/>
        <v>1</v>
      </c>
      <c r="AW139" s="13">
        <f t="shared" si="29"/>
        <v>0</v>
      </c>
      <c r="AX139" s="13">
        <f t="shared" si="29"/>
        <v>7</v>
      </c>
      <c r="AY139" s="13">
        <f t="shared" si="29"/>
        <v>0</v>
      </c>
      <c r="AZ139" s="13">
        <f t="shared" si="29"/>
        <v>3</v>
      </c>
      <c r="BA139" s="13">
        <f t="shared" si="29"/>
        <v>111</v>
      </c>
      <c r="BB139" s="5"/>
      <c r="BC139" s="5"/>
    </row>
    <row r="140" ht="12.75" customHeight="1">
      <c r="A140" s="24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75"/>
      <c r="AK140" s="75"/>
      <c r="AL140" s="75"/>
      <c r="AM140" s="75"/>
      <c r="AN140" s="75"/>
      <c r="AO140" s="75"/>
      <c r="AP140" s="75"/>
      <c r="AQ140" s="75"/>
      <c r="AR140" s="75"/>
      <c r="AS140" s="75"/>
      <c r="AT140" s="75"/>
      <c r="AU140" s="75"/>
      <c r="AV140" s="75"/>
      <c r="AW140" s="75"/>
      <c r="AX140" s="75"/>
      <c r="AY140" s="75"/>
      <c r="AZ140" s="75"/>
      <c r="BA140" s="75"/>
      <c r="BB140" s="5"/>
      <c r="BC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1.0</v>
      </c>
      <c r="AH141" s="19">
        <v>0.0</v>
      </c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3">
        <f t="shared" ref="BA141:BA148" si="30">SUM(E141:AZ141)</f>
        <v>1</v>
      </c>
      <c r="BB141" s="1"/>
      <c r="BC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>
        <v>0.0</v>
      </c>
      <c r="U142" s="19">
        <v>0.0</v>
      </c>
      <c r="V142" s="19">
        <v>1.0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1.0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3">
        <f t="shared" si="30"/>
        <v>2</v>
      </c>
      <c r="BB142" s="52"/>
      <c r="BC142" s="52"/>
    </row>
    <row r="143" ht="12.75" customHeight="1">
      <c r="A143" s="18"/>
      <c r="B143" s="55">
        <v>2.0</v>
      </c>
      <c r="C143" s="50" t="s">
        <v>107</v>
      </c>
      <c r="D143" s="57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>
        <v>1.0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3">
        <f t="shared" si="30"/>
        <v>1</v>
      </c>
      <c r="BB143" s="5"/>
      <c r="BC143" s="5"/>
    </row>
    <row r="144" ht="12.75" customHeight="1">
      <c r="A144" s="18"/>
      <c r="B144" s="55">
        <v>3.0</v>
      </c>
      <c r="C144" s="50" t="s">
        <v>108</v>
      </c>
      <c r="D144" s="57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3">
        <f t="shared" si="30"/>
        <v>0</v>
      </c>
      <c r="BB144" s="5"/>
      <c r="BC144" s="5"/>
    </row>
    <row r="145" ht="12.75" customHeight="1">
      <c r="A145" s="18"/>
      <c r="B145" s="55">
        <v>4.0</v>
      </c>
      <c r="C145" s="50" t="s">
        <v>109</v>
      </c>
      <c r="D145" s="57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3">
        <f t="shared" si="30"/>
        <v>0</v>
      </c>
      <c r="BB145" s="5"/>
      <c r="BC145" s="5"/>
    </row>
    <row r="146" ht="12.75" customHeight="1">
      <c r="A146" s="18"/>
      <c r="B146" s="55">
        <v>5.0</v>
      </c>
      <c r="C146" s="50" t="s">
        <v>110</v>
      </c>
      <c r="D146" s="57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3">
        <f t="shared" si="30"/>
        <v>0</v>
      </c>
      <c r="BB146" s="5"/>
      <c r="BC146" s="5"/>
    </row>
    <row r="147" ht="12.75" customHeight="1">
      <c r="A147" s="18"/>
      <c r="B147" s="55">
        <v>6.0</v>
      </c>
      <c r="C147" s="50" t="s">
        <v>111</v>
      </c>
      <c r="D147" s="57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3">
        <f t="shared" si="30"/>
        <v>0</v>
      </c>
      <c r="BB147" s="5"/>
      <c r="BC147" s="5"/>
    </row>
    <row r="148" ht="12.75" customHeight="1">
      <c r="A148" s="18"/>
      <c r="B148" s="55">
        <v>7.0</v>
      </c>
      <c r="C148" s="50" t="s">
        <v>112</v>
      </c>
      <c r="D148" s="57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3">
        <f t="shared" si="30"/>
        <v>0</v>
      </c>
      <c r="BB148" s="5"/>
      <c r="BC148" s="5"/>
    </row>
    <row r="149" ht="12.75" customHeight="1">
      <c r="A149" s="18"/>
      <c r="B149" s="71"/>
      <c r="C149" s="72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79"/>
      <c r="BB149" s="5"/>
      <c r="BC149" s="5"/>
    </row>
    <row r="150" ht="12.75" customHeight="1">
      <c r="A150" s="18"/>
      <c r="B150" s="71"/>
      <c r="C150" s="72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79"/>
      <c r="BB150" s="5"/>
      <c r="BC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BA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1</v>
      </c>
      <c r="U151" s="13">
        <f t="shared" si="31"/>
        <v>0</v>
      </c>
      <c r="V151" s="13">
        <f t="shared" si="31"/>
        <v>1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1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1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0</v>
      </c>
      <c r="AM151" s="13">
        <f t="shared" si="31"/>
        <v>0</v>
      </c>
      <c r="AN151" s="13">
        <f t="shared" si="31"/>
        <v>0</v>
      </c>
      <c r="AO151" s="13">
        <f t="shared" si="31"/>
        <v>0</v>
      </c>
      <c r="AP151" s="13">
        <f t="shared" si="31"/>
        <v>0</v>
      </c>
      <c r="AQ151" s="13">
        <f t="shared" si="31"/>
        <v>0</v>
      </c>
      <c r="AR151" s="13">
        <f t="shared" si="31"/>
        <v>0</v>
      </c>
      <c r="AS151" s="13">
        <f t="shared" si="31"/>
        <v>0</v>
      </c>
      <c r="AT151" s="13">
        <f t="shared" si="31"/>
        <v>0</v>
      </c>
      <c r="AU151" s="13">
        <f t="shared" si="31"/>
        <v>0</v>
      </c>
      <c r="AV151" s="13">
        <f t="shared" si="31"/>
        <v>0</v>
      </c>
      <c r="AW151" s="13">
        <f t="shared" si="31"/>
        <v>0</v>
      </c>
      <c r="AX151" s="13">
        <f t="shared" si="31"/>
        <v>0</v>
      </c>
      <c r="AY151" s="13">
        <f t="shared" si="31"/>
        <v>0</v>
      </c>
      <c r="AZ151" s="13">
        <f t="shared" si="31"/>
        <v>0</v>
      </c>
      <c r="BA151" s="13">
        <f t="shared" si="31"/>
        <v>4</v>
      </c>
      <c r="BB151" s="1"/>
      <c r="BC151" s="1"/>
    </row>
    <row r="152" ht="12.75" customHeight="1">
      <c r="A152" s="24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75"/>
      <c r="AE152" s="75"/>
      <c r="AF152" s="75"/>
      <c r="AG152" s="75"/>
      <c r="AH152" s="75"/>
      <c r="AI152" s="75"/>
      <c r="AJ152" s="75"/>
      <c r="AK152" s="75"/>
      <c r="AL152" s="75"/>
      <c r="AM152" s="75"/>
      <c r="AN152" s="75"/>
      <c r="AO152" s="75"/>
      <c r="AP152" s="75"/>
      <c r="AQ152" s="75"/>
      <c r="AR152" s="75"/>
      <c r="AS152" s="75"/>
      <c r="AT152" s="75"/>
      <c r="AU152" s="75"/>
      <c r="AV152" s="75"/>
      <c r="AW152" s="75"/>
      <c r="AX152" s="75"/>
      <c r="AY152" s="75"/>
      <c r="AZ152" s="75"/>
      <c r="BA152" s="13"/>
      <c r="BB152" s="52"/>
      <c r="BC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1.0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9">
        <v>0.0</v>
      </c>
      <c r="AH153" s="19">
        <v>0.0</v>
      </c>
      <c r="AI153" s="19">
        <v>0.0</v>
      </c>
      <c r="AJ153" s="19">
        <v>0.0</v>
      </c>
      <c r="AK153" s="19">
        <v>0.0</v>
      </c>
      <c r="AL153" s="19">
        <v>0.0</v>
      </c>
      <c r="AM153" s="19">
        <v>0.0</v>
      </c>
      <c r="AN153" s="19">
        <v>0.0</v>
      </c>
      <c r="AO153" s="19">
        <v>0.0</v>
      </c>
      <c r="AP153" s="19">
        <v>0.0</v>
      </c>
      <c r="AQ153" s="19">
        <v>0.0</v>
      </c>
      <c r="AR153" s="19">
        <v>0.0</v>
      </c>
      <c r="AS153" s="19">
        <v>0.0</v>
      </c>
      <c r="AT153" s="19">
        <v>0.0</v>
      </c>
      <c r="AU153" s="19">
        <v>1.0</v>
      </c>
      <c r="AV153" s="19">
        <v>0.0</v>
      </c>
      <c r="AW153" s="19">
        <v>0.0</v>
      </c>
      <c r="AX153" s="19"/>
      <c r="AY153" s="19"/>
      <c r="AZ153" s="19"/>
      <c r="BA153" s="13">
        <f t="shared" ref="BA153:BA157" si="32">SUM(E153:AZ153)</f>
        <v>2</v>
      </c>
      <c r="BB153" s="5"/>
      <c r="BC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1.0</v>
      </c>
      <c r="AC154" s="19">
        <v>0.0</v>
      </c>
      <c r="AD154" s="19">
        <v>0.0</v>
      </c>
      <c r="AE154" s="19">
        <v>0.0</v>
      </c>
      <c r="AF154" s="19">
        <v>0.0</v>
      </c>
      <c r="AG154" s="19">
        <v>0.0</v>
      </c>
      <c r="AH154" s="19">
        <v>0.0</v>
      </c>
      <c r="AI154" s="19">
        <v>0.0</v>
      </c>
      <c r="AJ154" s="19">
        <v>0.0</v>
      </c>
      <c r="AK154" s="19">
        <v>0.0</v>
      </c>
      <c r="AL154" s="19">
        <v>1.0</v>
      </c>
      <c r="AM154" s="19">
        <v>0.0</v>
      </c>
      <c r="AN154" s="19">
        <v>0.0</v>
      </c>
      <c r="AO154" s="19">
        <v>0.0</v>
      </c>
      <c r="AP154" s="19">
        <v>1.0</v>
      </c>
      <c r="AQ154" s="19">
        <v>0.0</v>
      </c>
      <c r="AR154" s="19">
        <v>0.0</v>
      </c>
      <c r="AS154" s="19">
        <v>0.0</v>
      </c>
      <c r="AT154" s="19">
        <v>1.0</v>
      </c>
      <c r="AU154" s="19">
        <v>0.0</v>
      </c>
      <c r="AV154" s="19">
        <v>1.0</v>
      </c>
      <c r="AW154" s="19">
        <v>0.0</v>
      </c>
      <c r="AX154" s="19"/>
      <c r="AY154" s="19"/>
      <c r="AZ154" s="19"/>
      <c r="BA154" s="13">
        <f t="shared" si="32"/>
        <v>5</v>
      </c>
      <c r="BB154" s="5"/>
      <c r="BC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1.0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0.0</v>
      </c>
      <c r="AG155" s="19">
        <v>0.0</v>
      </c>
      <c r="AH155" s="19">
        <v>0.0</v>
      </c>
      <c r="AI155" s="19">
        <v>0.0</v>
      </c>
      <c r="AJ155" s="19">
        <v>0.0</v>
      </c>
      <c r="AK155" s="19">
        <v>0.0</v>
      </c>
      <c r="AL155" s="19">
        <v>0.0</v>
      </c>
      <c r="AM155" s="19">
        <v>0.0</v>
      </c>
      <c r="AN155" s="19">
        <v>0.0</v>
      </c>
      <c r="AO155" s="19">
        <v>0.0</v>
      </c>
      <c r="AP155" s="19">
        <v>0.0</v>
      </c>
      <c r="AQ155" s="19">
        <v>0.0</v>
      </c>
      <c r="AR155" s="19">
        <v>0.0</v>
      </c>
      <c r="AS155" s="19">
        <v>0.0</v>
      </c>
      <c r="AT155" s="19">
        <v>0.0</v>
      </c>
      <c r="AU155" s="19">
        <v>1.0</v>
      </c>
      <c r="AV155" s="19">
        <v>0.0</v>
      </c>
      <c r="AW155" s="19">
        <v>0.0</v>
      </c>
      <c r="AX155" s="19"/>
      <c r="AY155" s="19"/>
      <c r="AZ155" s="19"/>
      <c r="BA155" s="13">
        <f t="shared" si="32"/>
        <v>2</v>
      </c>
      <c r="BB155" s="5"/>
      <c r="BC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0.0</v>
      </c>
      <c r="AI156" s="19">
        <v>0.0</v>
      </c>
      <c r="AJ156" s="19">
        <v>0.0</v>
      </c>
      <c r="AK156" s="19">
        <v>0.0</v>
      </c>
      <c r="AL156" s="19">
        <v>0.0</v>
      </c>
      <c r="AM156" s="19">
        <v>0.0</v>
      </c>
      <c r="AN156" s="19">
        <v>0.0</v>
      </c>
      <c r="AO156" s="19">
        <v>0.0</v>
      </c>
      <c r="AP156" s="19">
        <v>0.0</v>
      </c>
      <c r="AQ156" s="19">
        <v>0.0</v>
      </c>
      <c r="AR156" s="19">
        <v>1.0</v>
      </c>
      <c r="AS156" s="19">
        <v>0.0</v>
      </c>
      <c r="AT156" s="19">
        <v>0.0</v>
      </c>
      <c r="AU156" s="19">
        <v>0.0</v>
      </c>
      <c r="AV156" s="19">
        <v>0.0</v>
      </c>
      <c r="AW156" s="19">
        <v>0.0</v>
      </c>
      <c r="AX156" s="19"/>
      <c r="AY156" s="19"/>
      <c r="AZ156" s="19"/>
      <c r="BA156" s="13">
        <f t="shared" si="32"/>
        <v>1</v>
      </c>
      <c r="BB156" s="5"/>
      <c r="BC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1.0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1.0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1.0</v>
      </c>
      <c r="AH157" s="19">
        <v>0.0</v>
      </c>
      <c r="AI157" s="19">
        <v>0.0</v>
      </c>
      <c r="AJ157" s="19">
        <v>0.0</v>
      </c>
      <c r="AK157" s="19">
        <v>0.0</v>
      </c>
      <c r="AL157" s="19">
        <v>0.0</v>
      </c>
      <c r="AM157" s="19">
        <v>0.0</v>
      </c>
      <c r="AN157" s="19">
        <v>0.0</v>
      </c>
      <c r="AO157" s="19">
        <v>0.0</v>
      </c>
      <c r="AP157" s="19">
        <v>0.0</v>
      </c>
      <c r="AQ157" s="19">
        <v>0.0</v>
      </c>
      <c r="AR157" s="19">
        <v>0.0</v>
      </c>
      <c r="AS157" s="19">
        <v>1.0</v>
      </c>
      <c r="AT157" s="19">
        <v>0.0</v>
      </c>
      <c r="AU157" s="19">
        <v>0.0</v>
      </c>
      <c r="AV157" s="19">
        <v>0.0</v>
      </c>
      <c r="AW157" s="19">
        <v>0.0</v>
      </c>
      <c r="AX157" s="19"/>
      <c r="AY157" s="19"/>
      <c r="AZ157" s="19"/>
      <c r="BA157" s="13">
        <f t="shared" si="32"/>
        <v>4</v>
      </c>
      <c r="BB157" s="5"/>
      <c r="BC157" s="5"/>
    </row>
    <row r="158" ht="12.75" customHeight="1">
      <c r="A158" s="18"/>
      <c r="B158" s="71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5"/>
      <c r="BC158" s="5"/>
    </row>
    <row r="159" ht="12.75" customHeight="1">
      <c r="A159" s="18"/>
      <c r="B159" s="71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5"/>
      <c r="BC159" s="5"/>
    </row>
    <row r="160" ht="12.75" customHeight="1">
      <c r="A160" s="18"/>
      <c r="B160" s="71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5"/>
      <c r="BC160" s="5"/>
    </row>
    <row r="161" ht="12.75" customHeight="1">
      <c r="A161" s="18"/>
      <c r="B161" s="71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5"/>
      <c r="BC161" s="5"/>
    </row>
    <row r="162" ht="12.75" customHeight="1">
      <c r="A162" s="18"/>
      <c r="B162" s="71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5"/>
      <c r="BC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AZ163" si="33">SUM(E153:E162)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1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1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0</v>
      </c>
      <c r="Y163" s="13">
        <f t="shared" si="33"/>
        <v>0</v>
      </c>
      <c r="Z163" s="13">
        <f t="shared" si="33"/>
        <v>2</v>
      </c>
      <c r="AA163" s="13">
        <f t="shared" si="33"/>
        <v>0</v>
      </c>
      <c r="AB163" s="13">
        <f t="shared" si="33"/>
        <v>1</v>
      </c>
      <c r="AC163" s="13">
        <f t="shared" si="33"/>
        <v>0</v>
      </c>
      <c r="AD163" s="13">
        <f t="shared" si="33"/>
        <v>0</v>
      </c>
      <c r="AE163" s="13">
        <f t="shared" si="33"/>
        <v>0</v>
      </c>
      <c r="AF163" s="13">
        <f t="shared" si="33"/>
        <v>0</v>
      </c>
      <c r="AG163" s="13">
        <f t="shared" si="33"/>
        <v>1</v>
      </c>
      <c r="AH163" s="13">
        <f t="shared" si="33"/>
        <v>0</v>
      </c>
      <c r="AI163" s="13">
        <f t="shared" si="33"/>
        <v>0</v>
      </c>
      <c r="AJ163" s="13">
        <f t="shared" si="33"/>
        <v>0</v>
      </c>
      <c r="AK163" s="13">
        <f t="shared" si="33"/>
        <v>0</v>
      </c>
      <c r="AL163" s="13">
        <f t="shared" si="33"/>
        <v>1</v>
      </c>
      <c r="AM163" s="13">
        <f t="shared" si="33"/>
        <v>0</v>
      </c>
      <c r="AN163" s="13">
        <f t="shared" si="33"/>
        <v>0</v>
      </c>
      <c r="AO163" s="13">
        <f t="shared" si="33"/>
        <v>0</v>
      </c>
      <c r="AP163" s="13">
        <f t="shared" si="33"/>
        <v>1</v>
      </c>
      <c r="AQ163" s="13">
        <f t="shared" si="33"/>
        <v>0</v>
      </c>
      <c r="AR163" s="13">
        <f t="shared" si="33"/>
        <v>1</v>
      </c>
      <c r="AS163" s="13">
        <f t="shared" si="33"/>
        <v>1</v>
      </c>
      <c r="AT163" s="13">
        <f t="shared" si="33"/>
        <v>1</v>
      </c>
      <c r="AU163" s="13">
        <f t="shared" si="33"/>
        <v>2</v>
      </c>
      <c r="AV163" s="13">
        <f t="shared" si="33"/>
        <v>1</v>
      </c>
      <c r="AW163" s="13">
        <f t="shared" si="33"/>
        <v>0</v>
      </c>
      <c r="AX163" s="13">
        <f t="shared" si="33"/>
        <v>0</v>
      </c>
      <c r="AY163" s="13">
        <f t="shared" si="33"/>
        <v>0</v>
      </c>
      <c r="AZ163" s="13">
        <f t="shared" si="33"/>
        <v>0</v>
      </c>
      <c r="BA163" s="13">
        <f>SUM(E163:AZ163)</f>
        <v>14</v>
      </c>
      <c r="BB163" s="5"/>
      <c r="BC163" s="5"/>
    </row>
    <row r="164" ht="12.75" customHeight="1">
      <c r="A164" s="24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5"/>
      <c r="AE164" s="75"/>
      <c r="AF164" s="75"/>
      <c r="AG164" s="75"/>
      <c r="AH164" s="75"/>
      <c r="AI164" s="75"/>
      <c r="AJ164" s="75"/>
      <c r="AK164" s="75"/>
      <c r="AL164" s="75"/>
      <c r="AM164" s="75"/>
      <c r="AN164" s="75"/>
      <c r="AO164" s="75"/>
      <c r="AP164" s="75"/>
      <c r="AQ164" s="75"/>
      <c r="AR164" s="75"/>
      <c r="AS164" s="75"/>
      <c r="AT164" s="75"/>
      <c r="AU164" s="75"/>
      <c r="AV164" s="75"/>
      <c r="AW164" s="75"/>
      <c r="AX164" s="75"/>
      <c r="AY164" s="75"/>
      <c r="AZ164" s="75"/>
      <c r="BA164" s="75"/>
      <c r="BB164" s="5"/>
      <c r="BC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1.0</v>
      </c>
      <c r="L165" s="19">
        <v>0.0</v>
      </c>
      <c r="M165" s="19">
        <v>1.0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1.0</v>
      </c>
      <c r="T165" s="19">
        <v>0.0</v>
      </c>
      <c r="U165" s="19">
        <v>1.0</v>
      </c>
      <c r="V165" s="19">
        <v>0.0</v>
      </c>
      <c r="W165" s="19">
        <v>0.0</v>
      </c>
      <c r="X165" s="19">
        <v>0.0</v>
      </c>
      <c r="Y165" s="19">
        <v>1.0</v>
      </c>
      <c r="Z165" s="19">
        <v>0.0</v>
      </c>
      <c r="AA165" s="19">
        <v>1.0</v>
      </c>
      <c r="AB165" s="19">
        <v>0.0</v>
      </c>
      <c r="AC165" s="19">
        <v>0.0</v>
      </c>
      <c r="AD165" s="19">
        <v>0.0</v>
      </c>
      <c r="AE165" s="19">
        <v>0.0</v>
      </c>
      <c r="AF165" s="19">
        <v>0.0</v>
      </c>
      <c r="AG165" s="19">
        <v>0.0</v>
      </c>
      <c r="AH165" s="19">
        <v>1.0</v>
      </c>
      <c r="AI165" s="19">
        <v>0.0</v>
      </c>
      <c r="AJ165" s="19">
        <v>0.0</v>
      </c>
      <c r="AK165" s="19">
        <v>0.0</v>
      </c>
      <c r="AL165" s="19">
        <v>0.0</v>
      </c>
      <c r="AM165" s="19">
        <v>0.0</v>
      </c>
      <c r="AN165" s="19">
        <v>0.0</v>
      </c>
      <c r="AO165" s="19">
        <v>0.0</v>
      </c>
      <c r="AP165" s="19">
        <v>0.0</v>
      </c>
      <c r="AQ165" s="19">
        <v>1.0</v>
      </c>
      <c r="AR165" s="19">
        <v>1.0</v>
      </c>
      <c r="AS165" s="19">
        <v>0.0</v>
      </c>
      <c r="AT165" s="19">
        <v>1.0</v>
      </c>
      <c r="AU165" s="19">
        <v>1.0</v>
      </c>
      <c r="AV165" s="19">
        <v>0.0</v>
      </c>
      <c r="AW165" s="19">
        <v>0.0</v>
      </c>
      <c r="AX165" s="19">
        <v>0.0</v>
      </c>
      <c r="AY165" s="19">
        <v>2.0</v>
      </c>
      <c r="AZ165" s="19">
        <v>0.0</v>
      </c>
      <c r="BA165" s="13">
        <f t="shared" ref="BA165:BA172" si="34">SUM(E165:AZ165)</f>
        <v>13</v>
      </c>
      <c r="BB165" s="1"/>
      <c r="BC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1.0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1.0</v>
      </c>
      <c r="AC166" s="19">
        <v>0.0</v>
      </c>
      <c r="AD166" s="19">
        <v>0.0</v>
      </c>
      <c r="AE166" s="19">
        <v>0.0</v>
      </c>
      <c r="AF166" s="19">
        <v>0.0</v>
      </c>
      <c r="AG166" s="19">
        <v>0.0</v>
      </c>
      <c r="AH166" s="19">
        <v>0.0</v>
      </c>
      <c r="AI166" s="19">
        <v>0.0</v>
      </c>
      <c r="AJ166" s="19">
        <v>0.0</v>
      </c>
      <c r="AK166" s="19">
        <v>0.0</v>
      </c>
      <c r="AL166" s="19">
        <v>0.0</v>
      </c>
      <c r="AM166" s="19">
        <v>0.0</v>
      </c>
      <c r="AN166" s="19">
        <v>0.0</v>
      </c>
      <c r="AO166" s="19">
        <v>0.0</v>
      </c>
      <c r="AP166" s="19">
        <v>0.0</v>
      </c>
      <c r="AQ166" s="19">
        <v>0.0</v>
      </c>
      <c r="AR166" s="19">
        <v>0.0</v>
      </c>
      <c r="AS166" s="19">
        <v>0.0</v>
      </c>
      <c r="AT166" s="19">
        <v>0.0</v>
      </c>
      <c r="AU166" s="19">
        <v>0.0</v>
      </c>
      <c r="AV166" s="19">
        <v>0.0</v>
      </c>
      <c r="AW166" s="19">
        <v>0.0</v>
      </c>
      <c r="AX166" s="19">
        <v>0.0</v>
      </c>
      <c r="AY166" s="19">
        <v>0.0</v>
      </c>
      <c r="AZ166" s="19">
        <v>0.0</v>
      </c>
      <c r="BA166" s="13">
        <f t="shared" si="34"/>
        <v>2</v>
      </c>
      <c r="BB166" s="52"/>
      <c r="BC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19">
        <v>0.0</v>
      </c>
      <c r="AG167" s="19">
        <v>0.0</v>
      </c>
      <c r="AH167" s="19">
        <v>0.0</v>
      </c>
      <c r="AI167" s="19">
        <v>0.0</v>
      </c>
      <c r="AJ167" s="19">
        <v>0.0</v>
      </c>
      <c r="AK167" s="19">
        <v>0.0</v>
      </c>
      <c r="AL167" s="19">
        <v>0.0</v>
      </c>
      <c r="AM167" s="19">
        <v>1.0</v>
      </c>
      <c r="AN167" s="19">
        <v>0.0</v>
      </c>
      <c r="AO167" s="19">
        <v>0.0</v>
      </c>
      <c r="AP167" s="19">
        <v>0.0</v>
      </c>
      <c r="AQ167" s="19">
        <v>0.0</v>
      </c>
      <c r="AR167" s="19">
        <v>0.0</v>
      </c>
      <c r="AS167" s="19">
        <v>1.0</v>
      </c>
      <c r="AT167" s="19">
        <v>1.0</v>
      </c>
      <c r="AU167" s="19">
        <v>0.0</v>
      </c>
      <c r="AV167" s="19">
        <v>0.0</v>
      </c>
      <c r="AW167" s="19">
        <v>0.0</v>
      </c>
      <c r="AX167" s="19">
        <v>1.0</v>
      </c>
      <c r="AY167" s="19">
        <v>0.0</v>
      </c>
      <c r="AZ167" s="19">
        <v>0.0</v>
      </c>
      <c r="BA167" s="13">
        <f t="shared" si="34"/>
        <v>4</v>
      </c>
      <c r="BB167" s="5"/>
      <c r="BC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1.0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1.0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0.0</v>
      </c>
      <c r="AH168" s="19">
        <v>0.0</v>
      </c>
      <c r="AI168" s="19">
        <v>0.0</v>
      </c>
      <c r="AJ168" s="19">
        <v>0.0</v>
      </c>
      <c r="AK168" s="19">
        <v>0.0</v>
      </c>
      <c r="AL168" s="19">
        <v>0.0</v>
      </c>
      <c r="AM168" s="19">
        <v>1.0</v>
      </c>
      <c r="AN168" s="19">
        <v>0.0</v>
      </c>
      <c r="AO168" s="19">
        <v>0.0</v>
      </c>
      <c r="AP168" s="19">
        <v>0.0</v>
      </c>
      <c r="AQ168" s="19">
        <v>0.0</v>
      </c>
      <c r="AR168" s="19">
        <v>0.0</v>
      </c>
      <c r="AS168" s="19">
        <v>0.0</v>
      </c>
      <c r="AT168" s="19">
        <v>0.0</v>
      </c>
      <c r="AU168" s="19">
        <v>0.0</v>
      </c>
      <c r="AV168" s="19">
        <v>0.0</v>
      </c>
      <c r="AW168" s="19">
        <v>0.0</v>
      </c>
      <c r="AX168" s="19">
        <v>0.0</v>
      </c>
      <c r="AY168" s="19">
        <v>2.0</v>
      </c>
      <c r="AZ168" s="19">
        <v>0.0</v>
      </c>
      <c r="BA168" s="13">
        <f t="shared" si="34"/>
        <v>5</v>
      </c>
      <c r="BB168" s="5"/>
      <c r="BC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1.0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1.0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0.0</v>
      </c>
      <c r="AI169" s="19">
        <v>0.0</v>
      </c>
      <c r="AJ169" s="19">
        <v>0.0</v>
      </c>
      <c r="AK169" s="19">
        <v>0.0</v>
      </c>
      <c r="AL169" s="19">
        <v>0.0</v>
      </c>
      <c r="AM169" s="19">
        <v>0.0</v>
      </c>
      <c r="AN169" s="19">
        <v>0.0</v>
      </c>
      <c r="AO169" s="19">
        <v>0.0</v>
      </c>
      <c r="AP169" s="19">
        <v>0.0</v>
      </c>
      <c r="AQ169" s="19">
        <v>0.0</v>
      </c>
      <c r="AR169" s="19">
        <v>0.0</v>
      </c>
      <c r="AS169" s="19">
        <v>0.0</v>
      </c>
      <c r="AT169" s="19">
        <v>0.0</v>
      </c>
      <c r="AU169" s="19">
        <v>0.0</v>
      </c>
      <c r="AV169" s="19">
        <v>0.0</v>
      </c>
      <c r="AW169" s="19">
        <v>0.0</v>
      </c>
      <c r="AX169" s="19">
        <v>1.0</v>
      </c>
      <c r="AY169" s="19">
        <v>0.0</v>
      </c>
      <c r="AZ169" s="19">
        <v>0.0</v>
      </c>
      <c r="BA169" s="13">
        <f t="shared" si="34"/>
        <v>3</v>
      </c>
      <c r="BB169" s="5"/>
      <c r="BC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1.0</v>
      </c>
      <c r="AF170" s="19">
        <v>0.0</v>
      </c>
      <c r="AG170" s="19">
        <v>0.0</v>
      </c>
      <c r="AH170" s="19">
        <v>0.0</v>
      </c>
      <c r="AI170" s="19">
        <v>0.0</v>
      </c>
      <c r="AJ170" s="19">
        <v>0.0</v>
      </c>
      <c r="AK170" s="19">
        <v>0.0</v>
      </c>
      <c r="AL170" s="19">
        <v>0.0</v>
      </c>
      <c r="AM170" s="19">
        <v>0.0</v>
      </c>
      <c r="AN170" s="19">
        <v>0.0</v>
      </c>
      <c r="AO170" s="19">
        <v>0.0</v>
      </c>
      <c r="AP170" s="19">
        <v>0.0</v>
      </c>
      <c r="AQ170" s="19">
        <v>0.0</v>
      </c>
      <c r="AR170" s="19">
        <v>0.0</v>
      </c>
      <c r="AS170" s="19">
        <v>0.0</v>
      </c>
      <c r="AT170" s="19">
        <v>0.0</v>
      </c>
      <c r="AU170" s="19">
        <v>0.0</v>
      </c>
      <c r="AV170" s="19">
        <v>1.0</v>
      </c>
      <c r="AW170" s="19">
        <v>0.0</v>
      </c>
      <c r="AX170" s="19">
        <v>0.0</v>
      </c>
      <c r="AY170" s="19">
        <v>0.0</v>
      </c>
      <c r="AZ170" s="19">
        <v>0.0</v>
      </c>
      <c r="BA170" s="13">
        <f t="shared" si="34"/>
        <v>2</v>
      </c>
      <c r="BB170" s="5"/>
      <c r="BC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1.0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9">
        <v>0.0</v>
      </c>
      <c r="AL171" s="19">
        <v>0.0</v>
      </c>
      <c r="AM171" s="19">
        <v>0.0</v>
      </c>
      <c r="AN171" s="19">
        <v>0.0</v>
      </c>
      <c r="AO171" s="19">
        <v>0.0</v>
      </c>
      <c r="AP171" s="19">
        <v>0.0</v>
      </c>
      <c r="AQ171" s="19">
        <v>0.0</v>
      </c>
      <c r="AR171" s="19">
        <v>0.0</v>
      </c>
      <c r="AS171" s="19">
        <v>0.0</v>
      </c>
      <c r="AT171" s="19">
        <v>0.0</v>
      </c>
      <c r="AU171" s="19">
        <v>0.0</v>
      </c>
      <c r="AV171" s="19">
        <v>0.0</v>
      </c>
      <c r="AW171" s="19">
        <v>0.0</v>
      </c>
      <c r="AX171" s="19">
        <v>0.0</v>
      </c>
      <c r="AY171" s="19">
        <v>0.0</v>
      </c>
      <c r="AZ171" s="19">
        <v>0.0</v>
      </c>
      <c r="BA171" s="13">
        <f t="shared" si="34"/>
        <v>1</v>
      </c>
      <c r="BB171" s="5"/>
      <c r="BC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0.0</v>
      </c>
      <c r="AJ172" s="19">
        <v>0.0</v>
      </c>
      <c r="AK172" s="19">
        <v>0.0</v>
      </c>
      <c r="AL172" s="19">
        <v>0.0</v>
      </c>
      <c r="AM172" s="19">
        <v>0.0</v>
      </c>
      <c r="AN172" s="19">
        <v>0.0</v>
      </c>
      <c r="AO172" s="19">
        <v>0.0</v>
      </c>
      <c r="AP172" s="19">
        <v>0.0</v>
      </c>
      <c r="AQ172" s="19">
        <v>0.0</v>
      </c>
      <c r="AR172" s="19">
        <v>0.0</v>
      </c>
      <c r="AS172" s="19">
        <v>0.0</v>
      </c>
      <c r="AT172" s="19">
        <v>0.0</v>
      </c>
      <c r="AU172" s="19">
        <v>0.0</v>
      </c>
      <c r="AV172" s="19">
        <v>0.0</v>
      </c>
      <c r="AW172" s="19">
        <v>0.0</v>
      </c>
      <c r="AX172" s="19">
        <v>0.0</v>
      </c>
      <c r="AY172" s="19">
        <v>0.0</v>
      </c>
      <c r="AZ172" s="19">
        <v>0.0</v>
      </c>
      <c r="BA172" s="13">
        <f t="shared" si="34"/>
        <v>0</v>
      </c>
      <c r="BB172" s="5"/>
      <c r="BC172" s="5"/>
    </row>
    <row r="173" ht="12.75" customHeight="1">
      <c r="A173" s="18"/>
      <c r="B173" s="71"/>
      <c r="C173" s="72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79"/>
      <c r="BB173" s="5"/>
      <c r="BC173" s="5"/>
    </row>
    <row r="174" ht="12.75" customHeight="1">
      <c r="A174" s="18"/>
      <c r="B174" s="71"/>
      <c r="C174" s="72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79"/>
      <c r="BB174" s="5"/>
      <c r="BC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BA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1</v>
      </c>
      <c r="L175" s="13">
        <f t="shared" si="35"/>
        <v>0</v>
      </c>
      <c r="M175" s="13">
        <f t="shared" si="35"/>
        <v>2</v>
      </c>
      <c r="N175" s="13">
        <f t="shared" si="35"/>
        <v>0</v>
      </c>
      <c r="O175" s="13">
        <f t="shared" si="35"/>
        <v>0</v>
      </c>
      <c r="P175" s="13">
        <f t="shared" si="35"/>
        <v>2</v>
      </c>
      <c r="Q175" s="13">
        <f t="shared" si="35"/>
        <v>0</v>
      </c>
      <c r="R175" s="13">
        <f t="shared" si="35"/>
        <v>0</v>
      </c>
      <c r="S175" s="13">
        <f t="shared" si="35"/>
        <v>1</v>
      </c>
      <c r="T175" s="13">
        <f t="shared" si="35"/>
        <v>0</v>
      </c>
      <c r="U175" s="13">
        <f t="shared" si="35"/>
        <v>1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1</v>
      </c>
      <c r="Z175" s="13">
        <f t="shared" si="35"/>
        <v>0</v>
      </c>
      <c r="AA175" s="13">
        <f t="shared" si="35"/>
        <v>2</v>
      </c>
      <c r="AB175" s="13">
        <f t="shared" si="35"/>
        <v>1</v>
      </c>
      <c r="AC175" s="13">
        <f t="shared" si="35"/>
        <v>1</v>
      </c>
      <c r="AD175" s="13">
        <f t="shared" si="35"/>
        <v>0</v>
      </c>
      <c r="AE175" s="13">
        <f t="shared" si="35"/>
        <v>1</v>
      </c>
      <c r="AF175" s="13">
        <f t="shared" si="35"/>
        <v>0</v>
      </c>
      <c r="AG175" s="13">
        <f t="shared" si="35"/>
        <v>0</v>
      </c>
      <c r="AH175" s="13">
        <f t="shared" si="35"/>
        <v>1</v>
      </c>
      <c r="AI175" s="13">
        <f t="shared" si="35"/>
        <v>0</v>
      </c>
      <c r="AJ175" s="13">
        <f t="shared" si="35"/>
        <v>0</v>
      </c>
      <c r="AK175" s="13">
        <f t="shared" si="35"/>
        <v>0</v>
      </c>
      <c r="AL175" s="13">
        <f t="shared" si="35"/>
        <v>0</v>
      </c>
      <c r="AM175" s="13">
        <f t="shared" si="35"/>
        <v>2</v>
      </c>
      <c r="AN175" s="13">
        <f t="shared" si="35"/>
        <v>0</v>
      </c>
      <c r="AO175" s="13">
        <f t="shared" si="35"/>
        <v>0</v>
      </c>
      <c r="AP175" s="13">
        <f t="shared" si="35"/>
        <v>0</v>
      </c>
      <c r="AQ175" s="13">
        <f t="shared" si="35"/>
        <v>1</v>
      </c>
      <c r="AR175" s="13">
        <f t="shared" si="35"/>
        <v>1</v>
      </c>
      <c r="AS175" s="13">
        <f t="shared" si="35"/>
        <v>1</v>
      </c>
      <c r="AT175" s="13">
        <f t="shared" si="35"/>
        <v>2</v>
      </c>
      <c r="AU175" s="13">
        <f t="shared" si="35"/>
        <v>1</v>
      </c>
      <c r="AV175" s="13">
        <f t="shared" si="35"/>
        <v>1</v>
      </c>
      <c r="AW175" s="13">
        <f t="shared" si="35"/>
        <v>0</v>
      </c>
      <c r="AX175" s="13">
        <f t="shared" si="35"/>
        <v>2</v>
      </c>
      <c r="AY175" s="13">
        <f t="shared" si="35"/>
        <v>4</v>
      </c>
      <c r="AZ175" s="13">
        <f t="shared" si="35"/>
        <v>0</v>
      </c>
      <c r="BA175" s="13">
        <f t="shared" si="35"/>
        <v>30</v>
      </c>
      <c r="BB175" s="5"/>
      <c r="BC175" s="5"/>
    </row>
    <row r="176" ht="12.75" customHeight="1">
      <c r="A176" s="24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75"/>
      <c r="AV176" s="75"/>
      <c r="AW176" s="75"/>
      <c r="AX176" s="75"/>
      <c r="AY176" s="75"/>
      <c r="AZ176" s="75"/>
      <c r="BA176" s="75"/>
      <c r="BB176" s="1"/>
      <c r="BC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2.0</v>
      </c>
      <c r="H177" s="19">
        <v>1.0</v>
      </c>
      <c r="I177" s="19">
        <v>0.0</v>
      </c>
      <c r="J177" s="19">
        <v>0.0</v>
      </c>
      <c r="K177" s="19">
        <v>0.0</v>
      </c>
      <c r="L177" s="19">
        <v>3.0</v>
      </c>
      <c r="M177" s="19">
        <v>0.0</v>
      </c>
      <c r="N177" s="19">
        <v>0.0</v>
      </c>
      <c r="O177" s="19">
        <v>1.0</v>
      </c>
      <c r="P177" s="19">
        <v>0.0</v>
      </c>
      <c r="Q177" s="19">
        <v>0.0</v>
      </c>
      <c r="R177" s="19">
        <v>0.0</v>
      </c>
      <c r="S177" s="19">
        <v>0.0</v>
      </c>
      <c r="T177" s="19">
        <v>0.0</v>
      </c>
      <c r="U177" s="19">
        <v>0.0</v>
      </c>
      <c r="V177" s="19">
        <v>1.0</v>
      </c>
      <c r="W177" s="19">
        <v>0.0</v>
      </c>
      <c r="X177" s="19">
        <v>0.0</v>
      </c>
      <c r="Y177" s="19">
        <v>0.0</v>
      </c>
      <c r="Z177" s="19">
        <v>0.0</v>
      </c>
      <c r="AA177" s="19">
        <v>2.0</v>
      </c>
      <c r="AB177" s="19">
        <v>0.0</v>
      </c>
      <c r="AC177" s="19">
        <v>0.0</v>
      </c>
      <c r="AD177" s="19">
        <v>4.0</v>
      </c>
      <c r="AE177" s="19">
        <v>1.0</v>
      </c>
      <c r="AF177" s="19">
        <v>1.0</v>
      </c>
      <c r="AG177" s="19">
        <v>1.0</v>
      </c>
      <c r="AH177" s="19">
        <v>1.0</v>
      </c>
      <c r="AI177" s="19">
        <v>0.0</v>
      </c>
      <c r="AJ177" s="19">
        <v>0.0</v>
      </c>
      <c r="AK177" s="19">
        <v>0.0</v>
      </c>
      <c r="AL177" s="19">
        <v>0.0</v>
      </c>
      <c r="AM177" s="19">
        <v>0.0</v>
      </c>
      <c r="AN177" s="19">
        <v>1.0</v>
      </c>
      <c r="AO177" s="19">
        <v>0.0</v>
      </c>
      <c r="AP177" s="19">
        <v>1.0</v>
      </c>
      <c r="AQ177" s="19">
        <v>0.0</v>
      </c>
      <c r="AR177" s="19">
        <v>0.0</v>
      </c>
      <c r="AS177" s="19">
        <v>0.0</v>
      </c>
      <c r="AT177" s="19">
        <v>2.0</v>
      </c>
      <c r="AU177" s="19">
        <v>1.0</v>
      </c>
      <c r="AV177" s="19">
        <v>1.0</v>
      </c>
      <c r="AW177" s="19">
        <v>1.0</v>
      </c>
      <c r="AX177" s="19">
        <v>1.0</v>
      </c>
      <c r="AY177" s="19">
        <v>2.0</v>
      </c>
      <c r="AZ177" s="19">
        <v>1.0</v>
      </c>
      <c r="BA177" s="13">
        <f t="shared" ref="BA177:BA184" si="36">SUM(E177:AZ177)</f>
        <v>29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1.0</v>
      </c>
      <c r="F178" s="19">
        <v>2.0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2.0</v>
      </c>
      <c r="M178" s="19">
        <v>0.0</v>
      </c>
      <c r="N178" s="19">
        <v>0.0</v>
      </c>
      <c r="O178" s="19">
        <v>2.0</v>
      </c>
      <c r="P178" s="19">
        <v>0.0</v>
      </c>
      <c r="Q178" s="19">
        <v>0.0</v>
      </c>
      <c r="R178" s="19">
        <v>0.0</v>
      </c>
      <c r="S178" s="19">
        <v>0.0</v>
      </c>
      <c r="T178" s="19">
        <v>1.0</v>
      </c>
      <c r="U178" s="19">
        <v>0.0</v>
      </c>
      <c r="V178" s="19">
        <v>0.0</v>
      </c>
      <c r="W178" s="19">
        <v>3.0</v>
      </c>
      <c r="X178" s="19">
        <v>0.0</v>
      </c>
      <c r="Y178" s="19">
        <v>1.0</v>
      </c>
      <c r="Z178" s="19">
        <v>0.0</v>
      </c>
      <c r="AA178" s="19">
        <v>1.0</v>
      </c>
      <c r="AB178" s="19">
        <v>1.0</v>
      </c>
      <c r="AC178" s="19">
        <v>1.0</v>
      </c>
      <c r="AD178" s="19">
        <v>0.0</v>
      </c>
      <c r="AE178" s="19">
        <v>0.0</v>
      </c>
      <c r="AF178" s="19">
        <v>0.0</v>
      </c>
      <c r="AG178" s="19">
        <v>0.0</v>
      </c>
      <c r="AH178" s="19">
        <v>0.0</v>
      </c>
      <c r="AI178" s="19">
        <v>0.0</v>
      </c>
      <c r="AJ178" s="19">
        <v>1.0</v>
      </c>
      <c r="AK178" s="19">
        <v>0.0</v>
      </c>
      <c r="AL178" s="19">
        <v>0.0</v>
      </c>
      <c r="AM178" s="19">
        <v>0.0</v>
      </c>
      <c r="AN178" s="19">
        <v>0.0</v>
      </c>
      <c r="AO178" s="19">
        <v>0.0</v>
      </c>
      <c r="AP178" s="19">
        <v>0.0</v>
      </c>
      <c r="AQ178" s="19">
        <v>0.0</v>
      </c>
      <c r="AR178" s="19">
        <v>0.0</v>
      </c>
      <c r="AS178" s="19">
        <v>0.0</v>
      </c>
      <c r="AT178" s="19">
        <v>2.0</v>
      </c>
      <c r="AU178" s="19">
        <v>1.0</v>
      </c>
      <c r="AV178" s="19">
        <v>2.0</v>
      </c>
      <c r="AW178" s="19">
        <v>0.0</v>
      </c>
      <c r="AX178" s="19">
        <v>0.0</v>
      </c>
      <c r="AY178" s="19">
        <v>1.0</v>
      </c>
      <c r="AZ178" s="19">
        <v>1.0</v>
      </c>
      <c r="BA178" s="13">
        <f t="shared" si="36"/>
        <v>23</v>
      </c>
      <c r="BB178" s="5"/>
      <c r="BC178" s="5"/>
    </row>
    <row r="179" ht="12.75" customHeight="1">
      <c r="A179" s="18"/>
      <c r="B179" s="55">
        <v>2.0</v>
      </c>
      <c r="C179" s="50" t="s">
        <v>131</v>
      </c>
      <c r="D179" s="57"/>
      <c r="E179" s="19">
        <v>1.0</v>
      </c>
      <c r="F179" s="19">
        <v>0.0</v>
      </c>
      <c r="G179" s="19">
        <v>1.0</v>
      </c>
      <c r="H179" s="19">
        <v>1.0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1.0</v>
      </c>
      <c r="P179" s="19">
        <v>1.0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2.0</v>
      </c>
      <c r="W179" s="19">
        <v>0.0</v>
      </c>
      <c r="X179" s="19">
        <v>0.0</v>
      </c>
      <c r="Y179" s="19">
        <v>1.0</v>
      </c>
      <c r="Z179" s="19">
        <v>0.0</v>
      </c>
      <c r="AA179" s="19">
        <v>0.0</v>
      </c>
      <c r="AB179" s="19">
        <v>0.0</v>
      </c>
      <c r="AC179" s="19">
        <v>0.0</v>
      </c>
      <c r="AD179" s="19">
        <v>0.0</v>
      </c>
      <c r="AE179" s="19">
        <v>0.0</v>
      </c>
      <c r="AF179" s="19">
        <v>0.0</v>
      </c>
      <c r="AG179" s="19">
        <v>0.0</v>
      </c>
      <c r="AH179" s="19">
        <v>0.0</v>
      </c>
      <c r="AI179" s="19">
        <v>0.0</v>
      </c>
      <c r="AJ179" s="19">
        <v>0.0</v>
      </c>
      <c r="AK179" s="19">
        <v>0.0</v>
      </c>
      <c r="AL179" s="19">
        <v>0.0</v>
      </c>
      <c r="AM179" s="19">
        <v>2.0</v>
      </c>
      <c r="AN179" s="19">
        <v>0.0</v>
      </c>
      <c r="AO179" s="19">
        <v>0.0</v>
      </c>
      <c r="AP179" s="19">
        <v>0.0</v>
      </c>
      <c r="AQ179" s="19">
        <v>1.0</v>
      </c>
      <c r="AR179" s="19">
        <v>0.0</v>
      </c>
      <c r="AS179" s="19">
        <v>0.0</v>
      </c>
      <c r="AT179" s="19">
        <v>1.0</v>
      </c>
      <c r="AU179" s="19">
        <v>0.0</v>
      </c>
      <c r="AV179" s="19">
        <v>0.0</v>
      </c>
      <c r="AW179" s="19">
        <v>1.0</v>
      </c>
      <c r="AX179" s="19">
        <v>0.0</v>
      </c>
      <c r="AY179" s="19">
        <v>0.0</v>
      </c>
      <c r="AZ179" s="19">
        <v>1.0</v>
      </c>
      <c r="BA179" s="13">
        <f t="shared" si="36"/>
        <v>14</v>
      </c>
      <c r="BB179" s="5"/>
      <c r="BC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1.0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1.0</v>
      </c>
      <c r="N180" s="19">
        <v>2.0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0.0</v>
      </c>
      <c r="W180" s="19">
        <v>0.0</v>
      </c>
      <c r="X180" s="19">
        <v>0.0</v>
      </c>
      <c r="Y180" s="19">
        <v>1.0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0.0</v>
      </c>
      <c r="AF180" s="19">
        <v>0.0</v>
      </c>
      <c r="AG180" s="19">
        <v>0.0</v>
      </c>
      <c r="AH180" s="19">
        <v>0.0</v>
      </c>
      <c r="AI180" s="19">
        <v>0.0</v>
      </c>
      <c r="AJ180" s="19">
        <v>0.0</v>
      </c>
      <c r="AK180" s="19">
        <v>0.0</v>
      </c>
      <c r="AL180" s="19">
        <v>0.0</v>
      </c>
      <c r="AM180" s="19">
        <v>0.0</v>
      </c>
      <c r="AN180" s="19">
        <v>0.0</v>
      </c>
      <c r="AO180" s="19">
        <v>0.0</v>
      </c>
      <c r="AP180" s="19">
        <v>0.0</v>
      </c>
      <c r="AQ180" s="19">
        <v>1.0</v>
      </c>
      <c r="AR180" s="19">
        <v>0.0</v>
      </c>
      <c r="AS180" s="19">
        <v>1.0</v>
      </c>
      <c r="AT180" s="19">
        <v>0.0</v>
      </c>
      <c r="AU180" s="19">
        <v>1.0</v>
      </c>
      <c r="AV180" s="19">
        <v>0.0</v>
      </c>
      <c r="AW180" s="19">
        <v>0.0</v>
      </c>
      <c r="AX180" s="19">
        <v>0.0</v>
      </c>
      <c r="AY180" s="19">
        <v>0.0</v>
      </c>
      <c r="AZ180" s="19">
        <v>0.0</v>
      </c>
      <c r="BA180" s="13">
        <f t="shared" si="36"/>
        <v>8</v>
      </c>
      <c r="BB180" s="5"/>
      <c r="BC180" s="5"/>
    </row>
    <row r="181" ht="12.75" customHeight="1">
      <c r="A181" s="18"/>
      <c r="B181" s="55">
        <v>4.0</v>
      </c>
      <c r="C181" s="50" t="s">
        <v>133</v>
      </c>
      <c r="D181" s="57"/>
      <c r="E181" s="19">
        <v>1.0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1.0</v>
      </c>
      <c r="M181" s="19">
        <v>0.0</v>
      </c>
      <c r="N181" s="19">
        <v>1.0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1.0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0.0</v>
      </c>
      <c r="AG181" s="19">
        <v>0.0</v>
      </c>
      <c r="AH181" s="19">
        <v>0.0</v>
      </c>
      <c r="AI181" s="19">
        <v>0.0</v>
      </c>
      <c r="AJ181" s="19">
        <v>0.0</v>
      </c>
      <c r="AK181" s="19">
        <v>0.0</v>
      </c>
      <c r="AL181" s="19">
        <v>0.0</v>
      </c>
      <c r="AM181" s="19">
        <v>1.0</v>
      </c>
      <c r="AN181" s="19">
        <v>0.0</v>
      </c>
      <c r="AO181" s="19">
        <v>0.0</v>
      </c>
      <c r="AP181" s="19">
        <v>0.0</v>
      </c>
      <c r="AQ181" s="19">
        <v>1.0</v>
      </c>
      <c r="AR181" s="19">
        <v>0.0</v>
      </c>
      <c r="AS181" s="19">
        <v>0.0</v>
      </c>
      <c r="AT181" s="19">
        <v>0.0</v>
      </c>
      <c r="AU181" s="19">
        <v>0.0</v>
      </c>
      <c r="AV181" s="19">
        <v>0.0</v>
      </c>
      <c r="AW181" s="19">
        <v>0.0</v>
      </c>
      <c r="AX181" s="19">
        <v>0.0</v>
      </c>
      <c r="AY181" s="19">
        <v>0.0</v>
      </c>
      <c r="AZ181" s="19">
        <v>0.0</v>
      </c>
      <c r="BA181" s="13">
        <f t="shared" si="36"/>
        <v>6</v>
      </c>
      <c r="BB181" s="5"/>
      <c r="BC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1.0</v>
      </c>
      <c r="M182" s="19">
        <v>0.0</v>
      </c>
      <c r="N182" s="19">
        <v>0.0</v>
      </c>
      <c r="O182" s="19">
        <v>0.0</v>
      </c>
      <c r="P182" s="19">
        <v>0.0</v>
      </c>
      <c r="Q182" s="19">
        <v>1.0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9">
        <v>0.0</v>
      </c>
      <c r="AH182" s="19">
        <v>0.0</v>
      </c>
      <c r="AI182" s="19">
        <v>0.0</v>
      </c>
      <c r="AJ182" s="19">
        <v>0.0</v>
      </c>
      <c r="AK182" s="19">
        <v>0.0</v>
      </c>
      <c r="AL182" s="19">
        <v>0.0</v>
      </c>
      <c r="AM182" s="19">
        <v>0.0</v>
      </c>
      <c r="AN182" s="19">
        <v>0.0</v>
      </c>
      <c r="AO182" s="19">
        <v>0.0</v>
      </c>
      <c r="AP182" s="19">
        <v>0.0</v>
      </c>
      <c r="AQ182" s="19">
        <v>0.0</v>
      </c>
      <c r="AR182" s="19">
        <v>0.0</v>
      </c>
      <c r="AS182" s="19">
        <v>0.0</v>
      </c>
      <c r="AT182" s="19">
        <v>0.0</v>
      </c>
      <c r="AU182" s="19">
        <v>0.0</v>
      </c>
      <c r="AV182" s="19">
        <v>0.0</v>
      </c>
      <c r="AW182" s="19">
        <v>0.0</v>
      </c>
      <c r="AX182" s="19">
        <v>0.0</v>
      </c>
      <c r="AY182" s="19">
        <v>0.0</v>
      </c>
      <c r="AZ182" s="19">
        <v>0.0</v>
      </c>
      <c r="BA182" s="13">
        <f t="shared" si="36"/>
        <v>2</v>
      </c>
      <c r="BB182" s="5"/>
      <c r="BC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1.0</v>
      </c>
      <c r="N183" s="19">
        <v>0.0</v>
      </c>
      <c r="O183" s="19">
        <v>0.0</v>
      </c>
      <c r="P183" s="19">
        <v>1.0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1.0</v>
      </c>
      <c r="AG183" s="19">
        <v>0.0</v>
      </c>
      <c r="AH183" s="19">
        <v>0.0</v>
      </c>
      <c r="AI183" s="19">
        <v>0.0</v>
      </c>
      <c r="AJ183" s="19">
        <v>0.0</v>
      </c>
      <c r="AK183" s="19">
        <v>0.0</v>
      </c>
      <c r="AL183" s="19">
        <v>0.0</v>
      </c>
      <c r="AM183" s="19">
        <v>0.0</v>
      </c>
      <c r="AN183" s="19">
        <v>0.0</v>
      </c>
      <c r="AO183" s="19">
        <v>1.0</v>
      </c>
      <c r="AP183" s="19">
        <v>0.0</v>
      </c>
      <c r="AQ183" s="19">
        <v>0.0</v>
      </c>
      <c r="AR183" s="19">
        <v>0.0</v>
      </c>
      <c r="AS183" s="19">
        <v>0.0</v>
      </c>
      <c r="AT183" s="19">
        <v>1.0</v>
      </c>
      <c r="AU183" s="19">
        <v>0.0</v>
      </c>
      <c r="AV183" s="19">
        <v>0.0</v>
      </c>
      <c r="AW183" s="19">
        <v>0.0</v>
      </c>
      <c r="AX183" s="19">
        <v>0.0</v>
      </c>
      <c r="AY183" s="19">
        <v>0.0</v>
      </c>
      <c r="AZ183" s="19">
        <v>0.0</v>
      </c>
      <c r="BA183" s="13">
        <f t="shared" si="36"/>
        <v>5</v>
      </c>
      <c r="BB183" s="5"/>
      <c r="BC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1.0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0.0</v>
      </c>
      <c r="AH184" s="19">
        <v>0.0</v>
      </c>
      <c r="AI184" s="19">
        <v>0.0</v>
      </c>
      <c r="AJ184" s="19">
        <v>0.0</v>
      </c>
      <c r="AK184" s="19">
        <v>0.0</v>
      </c>
      <c r="AL184" s="19">
        <v>0.0</v>
      </c>
      <c r="AM184" s="19">
        <v>0.0</v>
      </c>
      <c r="AN184" s="19">
        <v>0.0</v>
      </c>
      <c r="AO184" s="19">
        <v>0.0</v>
      </c>
      <c r="AP184" s="19">
        <v>0.0</v>
      </c>
      <c r="AQ184" s="19">
        <v>0.0</v>
      </c>
      <c r="AR184" s="19">
        <v>0.0</v>
      </c>
      <c r="AS184" s="19">
        <v>0.0</v>
      </c>
      <c r="AT184" s="19">
        <v>0.0</v>
      </c>
      <c r="AU184" s="19">
        <v>0.0</v>
      </c>
      <c r="AV184" s="19">
        <v>0.0</v>
      </c>
      <c r="AW184" s="19">
        <v>0.0</v>
      </c>
      <c r="AX184" s="19">
        <v>0.0</v>
      </c>
      <c r="AY184" s="19">
        <v>0.0</v>
      </c>
      <c r="AZ184" s="19">
        <v>0.0</v>
      </c>
      <c r="BA184" s="13">
        <f t="shared" si="36"/>
        <v>1</v>
      </c>
      <c r="BB184" s="5"/>
      <c r="BC184" s="5"/>
    </row>
    <row r="185" ht="12.75" customHeight="1">
      <c r="A185" s="18"/>
      <c r="B185" s="71"/>
      <c r="C185" s="72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79"/>
      <c r="BB185" s="5"/>
      <c r="BC185" s="5"/>
    </row>
    <row r="186" ht="12.75" customHeight="1">
      <c r="A186" s="18"/>
      <c r="B186" s="71"/>
      <c r="C186" s="72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79"/>
      <c r="BB186" s="5"/>
      <c r="BC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BA187" si="37">SUM(E177:E186)</f>
        <v>3</v>
      </c>
      <c r="F187" s="13">
        <f t="shared" si="37"/>
        <v>2</v>
      </c>
      <c r="G187" s="13">
        <f t="shared" si="37"/>
        <v>4</v>
      </c>
      <c r="H187" s="13">
        <f t="shared" si="37"/>
        <v>2</v>
      </c>
      <c r="I187" s="13">
        <f t="shared" si="37"/>
        <v>0</v>
      </c>
      <c r="J187" s="13">
        <f t="shared" si="37"/>
        <v>0</v>
      </c>
      <c r="K187" s="13">
        <f t="shared" si="37"/>
        <v>0</v>
      </c>
      <c r="L187" s="13">
        <f t="shared" si="37"/>
        <v>7</v>
      </c>
      <c r="M187" s="13">
        <f t="shared" si="37"/>
        <v>2</v>
      </c>
      <c r="N187" s="13">
        <f t="shared" si="37"/>
        <v>3</v>
      </c>
      <c r="O187" s="13">
        <f t="shared" si="37"/>
        <v>4</v>
      </c>
      <c r="P187" s="13">
        <f t="shared" si="37"/>
        <v>2</v>
      </c>
      <c r="Q187" s="13">
        <f t="shared" si="37"/>
        <v>1</v>
      </c>
      <c r="R187" s="13">
        <f t="shared" si="37"/>
        <v>0</v>
      </c>
      <c r="S187" s="13">
        <f t="shared" si="37"/>
        <v>0</v>
      </c>
      <c r="T187" s="13">
        <f t="shared" si="37"/>
        <v>1</v>
      </c>
      <c r="U187" s="13">
        <f t="shared" si="37"/>
        <v>0</v>
      </c>
      <c r="V187" s="13">
        <f t="shared" si="37"/>
        <v>4</v>
      </c>
      <c r="W187" s="13">
        <f t="shared" si="37"/>
        <v>4</v>
      </c>
      <c r="X187" s="13">
        <f t="shared" si="37"/>
        <v>0</v>
      </c>
      <c r="Y187" s="13">
        <f t="shared" si="37"/>
        <v>3</v>
      </c>
      <c r="Z187" s="13">
        <f t="shared" si="37"/>
        <v>0</v>
      </c>
      <c r="AA187" s="13">
        <f t="shared" si="37"/>
        <v>3</v>
      </c>
      <c r="AB187" s="13">
        <f t="shared" si="37"/>
        <v>1</v>
      </c>
      <c r="AC187" s="13">
        <f t="shared" si="37"/>
        <v>1</v>
      </c>
      <c r="AD187" s="13">
        <f t="shared" si="37"/>
        <v>4</v>
      </c>
      <c r="AE187" s="13">
        <f t="shared" si="37"/>
        <v>1</v>
      </c>
      <c r="AF187" s="13">
        <f t="shared" si="37"/>
        <v>2</v>
      </c>
      <c r="AG187" s="13">
        <f t="shared" si="37"/>
        <v>1</v>
      </c>
      <c r="AH187" s="13">
        <f t="shared" si="37"/>
        <v>1</v>
      </c>
      <c r="AI187" s="13">
        <f t="shared" si="37"/>
        <v>0</v>
      </c>
      <c r="AJ187" s="13">
        <f t="shared" si="37"/>
        <v>1</v>
      </c>
      <c r="AK187" s="13">
        <f t="shared" si="37"/>
        <v>0</v>
      </c>
      <c r="AL187" s="13">
        <f t="shared" si="37"/>
        <v>0</v>
      </c>
      <c r="AM187" s="13">
        <f t="shared" si="37"/>
        <v>3</v>
      </c>
      <c r="AN187" s="13">
        <f t="shared" si="37"/>
        <v>1</v>
      </c>
      <c r="AO187" s="13">
        <f t="shared" si="37"/>
        <v>1</v>
      </c>
      <c r="AP187" s="13">
        <f t="shared" si="37"/>
        <v>1</v>
      </c>
      <c r="AQ187" s="13">
        <f t="shared" si="37"/>
        <v>3</v>
      </c>
      <c r="AR187" s="13">
        <f t="shared" si="37"/>
        <v>0</v>
      </c>
      <c r="AS187" s="13">
        <f t="shared" si="37"/>
        <v>1</v>
      </c>
      <c r="AT187" s="13">
        <f t="shared" si="37"/>
        <v>6</v>
      </c>
      <c r="AU187" s="13">
        <f t="shared" si="37"/>
        <v>3</v>
      </c>
      <c r="AV187" s="13">
        <f t="shared" si="37"/>
        <v>3</v>
      </c>
      <c r="AW187" s="13">
        <f t="shared" si="37"/>
        <v>2</v>
      </c>
      <c r="AX187" s="13">
        <f t="shared" si="37"/>
        <v>1</v>
      </c>
      <c r="AY187" s="13">
        <f t="shared" si="37"/>
        <v>3</v>
      </c>
      <c r="AZ187" s="13">
        <f t="shared" si="37"/>
        <v>3</v>
      </c>
      <c r="BA187" s="13">
        <f t="shared" si="37"/>
        <v>88</v>
      </c>
      <c r="BB187" s="1"/>
      <c r="BC187" s="1"/>
    </row>
    <row r="188" ht="12.75" customHeight="1">
      <c r="A188" s="24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BA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2.0</v>
      </c>
      <c r="S189" s="19">
        <v>0.0</v>
      </c>
      <c r="T189" s="19">
        <v>0.0</v>
      </c>
      <c r="U189" s="19">
        <v>0.0</v>
      </c>
      <c r="V189" s="19">
        <v>0.0</v>
      </c>
      <c r="W189" s="19">
        <v>2.0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0.0</v>
      </c>
      <c r="AF189" s="19">
        <v>0.0</v>
      </c>
      <c r="AG189" s="19">
        <v>0.0</v>
      </c>
      <c r="AH189" s="19">
        <v>0.0</v>
      </c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>
        <v>0.0</v>
      </c>
      <c r="AY189" s="19">
        <v>0.0</v>
      </c>
      <c r="AZ189" s="19">
        <v>0.0</v>
      </c>
      <c r="BA189" s="13">
        <f t="shared" ref="BA189:BA196" si="38">SUM(E189:AZ189)</f>
        <v>4</v>
      </c>
      <c r="BB189" s="5"/>
      <c r="BC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2.0</v>
      </c>
      <c r="S190" s="19">
        <v>0.0</v>
      </c>
      <c r="T190" s="19">
        <v>0.0</v>
      </c>
      <c r="U190" s="19">
        <v>0.0</v>
      </c>
      <c r="V190" s="19">
        <v>1.0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1.0</v>
      </c>
      <c r="AD190" s="19">
        <v>0.0</v>
      </c>
      <c r="AE190" s="19">
        <v>0.0</v>
      </c>
      <c r="AF190" s="19">
        <v>1.0</v>
      </c>
      <c r="AG190" s="19">
        <v>0.0</v>
      </c>
      <c r="AH190" s="19">
        <v>0.0</v>
      </c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>
        <v>0.0</v>
      </c>
      <c r="AY190" s="19">
        <v>0.0</v>
      </c>
      <c r="AZ190" s="19">
        <v>0.0</v>
      </c>
      <c r="BA190" s="13">
        <f t="shared" si="38"/>
        <v>5</v>
      </c>
      <c r="BB190" s="5"/>
      <c r="BC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1.0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1.0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1.0</v>
      </c>
      <c r="AF191" s="19">
        <v>0.0</v>
      </c>
      <c r="AG191" s="19">
        <v>0.0</v>
      </c>
      <c r="AH191" s="19">
        <v>0.0</v>
      </c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>
        <v>0.0</v>
      </c>
      <c r="AY191" s="19">
        <v>0.0</v>
      </c>
      <c r="AZ191" s="19">
        <v>1.0</v>
      </c>
      <c r="BA191" s="13">
        <f t="shared" si="38"/>
        <v>4</v>
      </c>
      <c r="BB191" s="5"/>
      <c r="BC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>
        <v>0.0</v>
      </c>
      <c r="AY192" s="19">
        <v>0.0</v>
      </c>
      <c r="AZ192" s="19">
        <v>0.0</v>
      </c>
      <c r="BA192" s="13">
        <f t="shared" si="38"/>
        <v>0</v>
      </c>
      <c r="BB192" s="5"/>
      <c r="BC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>
        <v>0.0</v>
      </c>
      <c r="AY193" s="19">
        <v>0.0</v>
      </c>
      <c r="AZ193" s="19">
        <v>0.0</v>
      </c>
      <c r="BA193" s="13">
        <f t="shared" si="38"/>
        <v>0</v>
      </c>
      <c r="BB193" s="5"/>
      <c r="BC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2.0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>
        <v>0.0</v>
      </c>
      <c r="AY194" s="19">
        <v>0.0</v>
      </c>
      <c r="AZ194" s="19">
        <v>0.0</v>
      </c>
      <c r="BA194" s="13">
        <f t="shared" si="38"/>
        <v>2</v>
      </c>
      <c r="BB194" s="5"/>
      <c r="BC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>
        <v>0.0</v>
      </c>
      <c r="AY195" s="19">
        <v>0.0</v>
      </c>
      <c r="AZ195" s="19">
        <v>0.0</v>
      </c>
      <c r="BA195" s="13">
        <f t="shared" si="38"/>
        <v>0</v>
      </c>
      <c r="BB195" s="5"/>
      <c r="BC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1.0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1.0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>
        <v>0.0</v>
      </c>
      <c r="AY196" s="19">
        <v>0.0</v>
      </c>
      <c r="AZ196" s="19">
        <v>0.0</v>
      </c>
      <c r="BA196" s="13">
        <f t="shared" si="38"/>
        <v>2</v>
      </c>
      <c r="BB196" s="1"/>
      <c r="BC196" s="1"/>
    </row>
    <row r="197" ht="12.75" customHeight="1">
      <c r="A197" s="18"/>
      <c r="B197" s="71"/>
      <c r="C197" s="72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79"/>
      <c r="BB197" s="1"/>
      <c r="BC197" s="1"/>
    </row>
    <row r="198" ht="12.75" customHeight="1">
      <c r="A198" s="18"/>
      <c r="B198" s="71"/>
      <c r="C198" s="72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79"/>
      <c r="BB198" s="1"/>
      <c r="BC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BA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6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1</v>
      </c>
      <c r="W199" s="13">
        <f t="shared" si="39"/>
        <v>2</v>
      </c>
      <c r="X199" s="13">
        <f t="shared" si="39"/>
        <v>0</v>
      </c>
      <c r="Y199" s="13">
        <f t="shared" si="39"/>
        <v>1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4</v>
      </c>
      <c r="AD199" s="13">
        <f t="shared" si="39"/>
        <v>0</v>
      </c>
      <c r="AE199" s="13">
        <f t="shared" si="39"/>
        <v>1</v>
      </c>
      <c r="AF199" s="13">
        <f t="shared" si="39"/>
        <v>1</v>
      </c>
      <c r="AG199" s="13">
        <f t="shared" si="39"/>
        <v>0</v>
      </c>
      <c r="AH199" s="13">
        <f t="shared" si="39"/>
        <v>0</v>
      </c>
      <c r="AI199" s="13">
        <f t="shared" si="39"/>
        <v>0</v>
      </c>
      <c r="AJ199" s="13">
        <f t="shared" si="39"/>
        <v>0</v>
      </c>
      <c r="AK199" s="13">
        <f t="shared" si="39"/>
        <v>0</v>
      </c>
      <c r="AL199" s="13">
        <f t="shared" si="39"/>
        <v>0</v>
      </c>
      <c r="AM199" s="13">
        <f t="shared" si="39"/>
        <v>0</v>
      </c>
      <c r="AN199" s="13">
        <f t="shared" si="39"/>
        <v>0</v>
      </c>
      <c r="AO199" s="13">
        <f t="shared" si="39"/>
        <v>0</v>
      </c>
      <c r="AP199" s="13">
        <f t="shared" si="39"/>
        <v>0</v>
      </c>
      <c r="AQ199" s="13">
        <f t="shared" si="39"/>
        <v>0</v>
      </c>
      <c r="AR199" s="13">
        <f t="shared" si="39"/>
        <v>0</v>
      </c>
      <c r="AS199" s="13">
        <f t="shared" si="39"/>
        <v>0</v>
      </c>
      <c r="AT199" s="13">
        <f t="shared" si="39"/>
        <v>0</v>
      </c>
      <c r="AU199" s="13">
        <f t="shared" si="39"/>
        <v>0</v>
      </c>
      <c r="AV199" s="13">
        <f t="shared" si="39"/>
        <v>0</v>
      </c>
      <c r="AW199" s="13">
        <f t="shared" si="39"/>
        <v>0</v>
      </c>
      <c r="AX199" s="13">
        <f t="shared" si="39"/>
        <v>0</v>
      </c>
      <c r="AY199" s="13">
        <f t="shared" si="39"/>
        <v>0</v>
      </c>
      <c r="AZ199" s="13">
        <f t="shared" si="39"/>
        <v>1</v>
      </c>
      <c r="BA199" s="13">
        <f t="shared" si="39"/>
        <v>17</v>
      </c>
      <c r="BB199" s="52"/>
      <c r="BC199" s="52"/>
    </row>
    <row r="200" ht="12.75" customHeight="1">
      <c r="A200" s="24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75"/>
      <c r="AK200" s="75"/>
      <c r="AL200" s="75"/>
      <c r="AM200" s="75"/>
      <c r="AN200" s="75"/>
      <c r="AO200" s="75"/>
      <c r="AP200" s="75"/>
      <c r="AQ200" s="75"/>
      <c r="AR200" s="75"/>
      <c r="AS200" s="75"/>
      <c r="AT200" s="75"/>
      <c r="AU200" s="75"/>
      <c r="AV200" s="75"/>
      <c r="AW200" s="75"/>
      <c r="AX200" s="75"/>
      <c r="AY200" s="75"/>
      <c r="AZ200" s="75"/>
      <c r="BA200" s="75"/>
      <c r="BB200" s="5"/>
      <c r="BC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1.0</v>
      </c>
      <c r="F201" s="19">
        <v>2.0</v>
      </c>
      <c r="G201" s="19">
        <v>3.0</v>
      </c>
      <c r="H201" s="19">
        <v>1.0</v>
      </c>
      <c r="I201" s="19">
        <v>11.0</v>
      </c>
      <c r="J201" s="19">
        <v>3.0</v>
      </c>
      <c r="K201" s="19">
        <v>5.0</v>
      </c>
      <c r="L201" s="19">
        <v>2.0</v>
      </c>
      <c r="M201" s="19">
        <v>2.0</v>
      </c>
      <c r="N201" s="19">
        <v>4.0</v>
      </c>
      <c r="O201" s="19">
        <v>2.0</v>
      </c>
      <c r="P201" s="19">
        <v>3.0</v>
      </c>
      <c r="Q201" s="19">
        <v>3.0</v>
      </c>
      <c r="R201" s="19">
        <v>2.0</v>
      </c>
      <c r="S201" s="19">
        <v>4.0</v>
      </c>
      <c r="T201" s="19">
        <v>0.0</v>
      </c>
      <c r="U201" s="19">
        <v>3.0</v>
      </c>
      <c r="V201" s="19">
        <v>2.0</v>
      </c>
      <c r="W201" s="19">
        <v>1.0</v>
      </c>
      <c r="X201" s="19">
        <v>1.0</v>
      </c>
      <c r="Y201" s="19">
        <v>10.0</v>
      </c>
      <c r="Z201" s="19">
        <v>2.0</v>
      </c>
      <c r="AA201" s="19">
        <v>9.0</v>
      </c>
      <c r="AB201" s="19">
        <v>9.0</v>
      </c>
      <c r="AC201" s="19">
        <v>9.0</v>
      </c>
      <c r="AD201" s="19">
        <v>6.0</v>
      </c>
      <c r="AE201" s="19">
        <v>7.0</v>
      </c>
      <c r="AF201" s="19">
        <v>6.0</v>
      </c>
      <c r="AG201" s="19">
        <v>7.0</v>
      </c>
      <c r="AH201" s="19">
        <v>3.0</v>
      </c>
      <c r="AI201" s="19">
        <v>2.0</v>
      </c>
      <c r="AJ201" s="19">
        <v>1.0</v>
      </c>
      <c r="AK201" s="19">
        <v>4.0</v>
      </c>
      <c r="AL201" s="19">
        <v>6.0</v>
      </c>
      <c r="AM201" s="19">
        <v>3.0</v>
      </c>
      <c r="AN201" s="19">
        <v>1.0</v>
      </c>
      <c r="AO201" s="19">
        <v>1.0</v>
      </c>
      <c r="AP201" s="19">
        <v>3.0</v>
      </c>
      <c r="AQ201" s="19">
        <v>3.0</v>
      </c>
      <c r="AR201" s="19">
        <v>1.0</v>
      </c>
      <c r="AS201" s="19">
        <v>3.0</v>
      </c>
      <c r="AT201" s="19">
        <v>2.0</v>
      </c>
      <c r="AU201" s="19">
        <v>10.0</v>
      </c>
      <c r="AV201" s="19">
        <v>5.0</v>
      </c>
      <c r="AW201" s="19">
        <v>4.0</v>
      </c>
      <c r="AX201" s="19">
        <v>4.0</v>
      </c>
      <c r="AY201" s="19">
        <v>7.0</v>
      </c>
      <c r="AZ201" s="19">
        <v>6.0</v>
      </c>
      <c r="BA201" s="13">
        <f t="shared" ref="BA201:BA208" si="40">SUM(E201:AZ201)</f>
        <v>189</v>
      </c>
      <c r="BB201" s="5"/>
      <c r="BC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4.0</v>
      </c>
      <c r="F202" s="19">
        <v>0.0</v>
      </c>
      <c r="G202" s="19">
        <v>1.0</v>
      </c>
      <c r="H202" s="19">
        <v>3.0</v>
      </c>
      <c r="I202" s="19">
        <v>10.0</v>
      </c>
      <c r="J202" s="19">
        <v>10.0</v>
      </c>
      <c r="K202" s="19">
        <v>7.0</v>
      </c>
      <c r="L202" s="19">
        <v>7.0</v>
      </c>
      <c r="M202" s="19">
        <v>7.0</v>
      </c>
      <c r="N202" s="19">
        <v>5.0</v>
      </c>
      <c r="O202" s="19">
        <v>3.0</v>
      </c>
      <c r="P202" s="19">
        <v>7.0</v>
      </c>
      <c r="Q202" s="19">
        <v>8.0</v>
      </c>
      <c r="R202" s="19">
        <v>2.0</v>
      </c>
      <c r="S202" s="19">
        <v>8.0</v>
      </c>
      <c r="T202" s="19">
        <v>3.0</v>
      </c>
      <c r="U202" s="19">
        <v>3.0</v>
      </c>
      <c r="V202" s="19">
        <v>8.0</v>
      </c>
      <c r="W202" s="19">
        <v>2.0</v>
      </c>
      <c r="X202" s="19">
        <v>0.0</v>
      </c>
      <c r="Y202" s="19">
        <v>7.0</v>
      </c>
      <c r="Z202" s="19">
        <v>3.0</v>
      </c>
      <c r="AA202" s="19">
        <v>10.0</v>
      </c>
      <c r="AB202" s="19">
        <v>2.0</v>
      </c>
      <c r="AC202" s="19">
        <v>2.0</v>
      </c>
      <c r="AD202" s="19">
        <v>5.0</v>
      </c>
      <c r="AE202" s="19">
        <v>8.0</v>
      </c>
      <c r="AF202" s="19">
        <v>8.0</v>
      </c>
      <c r="AG202" s="19">
        <v>9.0</v>
      </c>
      <c r="AH202" s="19">
        <v>4.0</v>
      </c>
      <c r="AI202" s="19">
        <v>2.0</v>
      </c>
      <c r="AJ202" s="19">
        <v>2.0</v>
      </c>
      <c r="AK202" s="19">
        <v>5.0</v>
      </c>
      <c r="AL202" s="19">
        <v>5.0</v>
      </c>
      <c r="AM202" s="19">
        <v>9.0</v>
      </c>
      <c r="AN202" s="19">
        <v>7.0</v>
      </c>
      <c r="AO202" s="19">
        <v>3.0</v>
      </c>
      <c r="AP202" s="19">
        <v>5.0</v>
      </c>
      <c r="AQ202" s="19">
        <v>3.0</v>
      </c>
      <c r="AR202" s="19">
        <v>5.0</v>
      </c>
      <c r="AS202" s="19">
        <v>6.0</v>
      </c>
      <c r="AT202" s="19">
        <v>5.0</v>
      </c>
      <c r="AU202" s="19">
        <v>5.0</v>
      </c>
      <c r="AV202" s="19">
        <v>6.0</v>
      </c>
      <c r="AW202" s="19">
        <v>4.0</v>
      </c>
      <c r="AX202" s="19">
        <v>3.0</v>
      </c>
      <c r="AY202" s="19">
        <v>9.0</v>
      </c>
      <c r="AZ202" s="19">
        <v>5.0</v>
      </c>
      <c r="BA202" s="13">
        <f t="shared" si="40"/>
        <v>245</v>
      </c>
      <c r="BB202" s="5"/>
      <c r="BC202" s="5"/>
    </row>
    <row r="203" ht="12.75" customHeight="1">
      <c r="A203" s="18"/>
      <c r="B203" s="55">
        <v>2.0</v>
      </c>
      <c r="C203" s="50" t="s">
        <v>149</v>
      </c>
      <c r="D203" s="57"/>
      <c r="E203" s="19">
        <v>2.0</v>
      </c>
      <c r="F203" s="19">
        <v>0.0</v>
      </c>
      <c r="G203" s="19">
        <v>7.0</v>
      </c>
      <c r="H203" s="19">
        <v>1.0</v>
      </c>
      <c r="I203" s="19">
        <v>1.0</v>
      </c>
      <c r="J203" s="19">
        <v>0.0</v>
      </c>
      <c r="K203" s="19">
        <v>2.0</v>
      </c>
      <c r="L203" s="19">
        <v>1.0</v>
      </c>
      <c r="M203" s="19">
        <v>1.0</v>
      </c>
      <c r="N203" s="19">
        <v>0.0</v>
      </c>
      <c r="O203" s="19">
        <v>24.0</v>
      </c>
      <c r="P203" s="19">
        <v>20.0</v>
      </c>
      <c r="Q203" s="19">
        <v>11.0</v>
      </c>
      <c r="R203" s="19">
        <v>1.0</v>
      </c>
      <c r="S203" s="19">
        <v>3.0</v>
      </c>
      <c r="T203" s="19">
        <v>3.0</v>
      </c>
      <c r="U203" s="19">
        <v>2.0</v>
      </c>
      <c r="V203" s="19">
        <v>4.0</v>
      </c>
      <c r="W203" s="19">
        <v>1.0</v>
      </c>
      <c r="X203" s="19">
        <v>0.0</v>
      </c>
      <c r="Y203" s="19">
        <v>2.0</v>
      </c>
      <c r="Z203" s="19">
        <v>2.0</v>
      </c>
      <c r="AA203" s="19">
        <v>2.0</v>
      </c>
      <c r="AB203" s="19">
        <v>2.0</v>
      </c>
      <c r="AC203" s="19">
        <v>6.0</v>
      </c>
      <c r="AD203" s="19">
        <v>3.0</v>
      </c>
      <c r="AE203" s="19">
        <v>3.0</v>
      </c>
      <c r="AF203" s="19">
        <v>9.0</v>
      </c>
      <c r="AG203" s="19">
        <v>1.0</v>
      </c>
      <c r="AH203" s="19">
        <v>3.0</v>
      </c>
      <c r="AI203" s="19">
        <v>1.0</v>
      </c>
      <c r="AJ203" s="19">
        <v>0.0</v>
      </c>
      <c r="AK203" s="19">
        <v>3.0</v>
      </c>
      <c r="AL203" s="19">
        <v>18.0</v>
      </c>
      <c r="AM203" s="19">
        <v>3.0</v>
      </c>
      <c r="AN203" s="19">
        <v>1.0</v>
      </c>
      <c r="AO203" s="19">
        <v>2.0</v>
      </c>
      <c r="AP203" s="19">
        <v>4.0</v>
      </c>
      <c r="AQ203" s="19">
        <v>7.0</v>
      </c>
      <c r="AR203" s="19">
        <v>1.0</v>
      </c>
      <c r="AS203" s="19">
        <v>4.0</v>
      </c>
      <c r="AT203" s="19">
        <v>2.0</v>
      </c>
      <c r="AU203" s="19">
        <v>7.0</v>
      </c>
      <c r="AV203" s="19">
        <v>6.0</v>
      </c>
      <c r="AW203" s="19">
        <v>3.0</v>
      </c>
      <c r="AX203" s="19">
        <v>1.0</v>
      </c>
      <c r="AY203" s="19">
        <v>1.0</v>
      </c>
      <c r="AZ203" s="19">
        <v>7.0</v>
      </c>
      <c r="BA203" s="13">
        <f t="shared" si="40"/>
        <v>188</v>
      </c>
      <c r="BB203" s="5"/>
      <c r="BC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1.0</v>
      </c>
      <c r="G204" s="19">
        <v>1.0</v>
      </c>
      <c r="H204" s="19">
        <v>1.0</v>
      </c>
      <c r="I204" s="19">
        <v>1.0</v>
      </c>
      <c r="J204" s="19">
        <v>57.0</v>
      </c>
      <c r="K204" s="19">
        <v>6.0</v>
      </c>
      <c r="L204" s="19">
        <v>0.0</v>
      </c>
      <c r="M204" s="19">
        <v>1.0</v>
      </c>
      <c r="N204" s="19">
        <v>0.0</v>
      </c>
      <c r="O204" s="19">
        <v>1.0</v>
      </c>
      <c r="P204" s="19">
        <v>1.0</v>
      </c>
      <c r="Q204" s="19">
        <v>0.0</v>
      </c>
      <c r="R204" s="19">
        <v>0.0</v>
      </c>
      <c r="S204" s="19">
        <v>0.0</v>
      </c>
      <c r="T204" s="19">
        <v>0.0</v>
      </c>
      <c r="U204" s="19">
        <v>0.0</v>
      </c>
      <c r="V204" s="19">
        <v>2.0</v>
      </c>
      <c r="W204" s="19">
        <v>0.0</v>
      </c>
      <c r="X204" s="19">
        <v>0.0</v>
      </c>
      <c r="Y204" s="19">
        <v>2.0</v>
      </c>
      <c r="Z204" s="19">
        <v>0.0</v>
      </c>
      <c r="AA204" s="19">
        <v>2.0</v>
      </c>
      <c r="AB204" s="19">
        <v>1.0</v>
      </c>
      <c r="AC204" s="19">
        <v>1.0</v>
      </c>
      <c r="AD204" s="19">
        <v>1.0</v>
      </c>
      <c r="AE204" s="19">
        <v>4.0</v>
      </c>
      <c r="AF204" s="19">
        <v>2.0</v>
      </c>
      <c r="AG204" s="19">
        <v>1.0</v>
      </c>
      <c r="AH204" s="19">
        <v>0.0</v>
      </c>
      <c r="AI204" s="19">
        <v>2.0</v>
      </c>
      <c r="AJ204" s="19">
        <v>0.0</v>
      </c>
      <c r="AK204" s="19">
        <v>0.0</v>
      </c>
      <c r="AL204" s="19">
        <v>0.0</v>
      </c>
      <c r="AM204" s="19">
        <v>0.0</v>
      </c>
      <c r="AN204" s="19">
        <v>0.0</v>
      </c>
      <c r="AO204" s="19">
        <v>0.0</v>
      </c>
      <c r="AP204" s="19">
        <v>0.0</v>
      </c>
      <c r="AQ204" s="19">
        <v>0.0</v>
      </c>
      <c r="AR204" s="19">
        <v>0.0</v>
      </c>
      <c r="AS204" s="19">
        <v>1.0</v>
      </c>
      <c r="AT204" s="19">
        <v>0.0</v>
      </c>
      <c r="AU204" s="19">
        <v>2.0</v>
      </c>
      <c r="AV204" s="19">
        <v>1.0</v>
      </c>
      <c r="AW204" s="19">
        <v>1.0</v>
      </c>
      <c r="AX204" s="19">
        <v>1.0</v>
      </c>
      <c r="AY204" s="19">
        <v>2.0</v>
      </c>
      <c r="AZ204" s="19">
        <v>0.0</v>
      </c>
      <c r="BA204" s="13">
        <f t="shared" si="40"/>
        <v>96</v>
      </c>
      <c r="BB204" s="5"/>
      <c r="BC204" s="5"/>
    </row>
    <row r="205" ht="12.75" customHeight="1">
      <c r="A205" s="18"/>
      <c r="B205" s="55">
        <v>4.0</v>
      </c>
      <c r="C205" s="50" t="s">
        <v>151</v>
      </c>
      <c r="D205" s="57"/>
      <c r="E205" s="19">
        <v>1.0</v>
      </c>
      <c r="F205" s="19">
        <v>0.0</v>
      </c>
      <c r="G205" s="19">
        <v>0.0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1.0</v>
      </c>
      <c r="N205" s="19">
        <v>0.0</v>
      </c>
      <c r="O205" s="19">
        <v>8.0</v>
      </c>
      <c r="P205" s="19">
        <v>2.0</v>
      </c>
      <c r="Q205" s="19">
        <v>2.0</v>
      </c>
      <c r="R205" s="19">
        <v>0.0</v>
      </c>
      <c r="S205" s="19">
        <v>1.0</v>
      </c>
      <c r="T205" s="19">
        <v>1.0</v>
      </c>
      <c r="U205" s="19">
        <v>0.0</v>
      </c>
      <c r="V205" s="19">
        <v>0.0</v>
      </c>
      <c r="W205" s="19">
        <v>0.0</v>
      </c>
      <c r="X205" s="19">
        <v>0.0</v>
      </c>
      <c r="Y205" s="19">
        <v>1.0</v>
      </c>
      <c r="Z205" s="19">
        <v>0.0</v>
      </c>
      <c r="AA205" s="19">
        <v>0.0</v>
      </c>
      <c r="AB205" s="19">
        <v>0.0</v>
      </c>
      <c r="AC205" s="19">
        <v>2.0</v>
      </c>
      <c r="AD205" s="19">
        <v>2.0</v>
      </c>
      <c r="AE205" s="19">
        <v>0.0</v>
      </c>
      <c r="AF205" s="19">
        <v>0.0</v>
      </c>
      <c r="AG205" s="19">
        <v>0.0</v>
      </c>
      <c r="AH205" s="19">
        <v>1.0</v>
      </c>
      <c r="AI205" s="19">
        <v>0.0</v>
      </c>
      <c r="AJ205" s="19">
        <v>0.0</v>
      </c>
      <c r="AK205" s="19">
        <v>0.0</v>
      </c>
      <c r="AL205" s="19">
        <v>1.0</v>
      </c>
      <c r="AM205" s="19">
        <v>0.0</v>
      </c>
      <c r="AN205" s="19">
        <v>0.0</v>
      </c>
      <c r="AO205" s="19">
        <v>0.0</v>
      </c>
      <c r="AP205" s="19">
        <v>1.0</v>
      </c>
      <c r="AQ205" s="19">
        <v>2.0</v>
      </c>
      <c r="AR205" s="19">
        <v>6.0</v>
      </c>
      <c r="AS205" s="19">
        <v>2.0</v>
      </c>
      <c r="AT205" s="19">
        <v>0.0</v>
      </c>
      <c r="AU205" s="19">
        <v>0.0</v>
      </c>
      <c r="AV205" s="19">
        <v>2.0</v>
      </c>
      <c r="AW205" s="19">
        <v>0.0</v>
      </c>
      <c r="AX205" s="19">
        <v>1.0</v>
      </c>
      <c r="AY205" s="19">
        <v>0.0</v>
      </c>
      <c r="AZ205" s="19">
        <v>2.0</v>
      </c>
      <c r="BA205" s="13">
        <f t="shared" si="40"/>
        <v>39</v>
      </c>
      <c r="BB205" s="5"/>
      <c r="BC205" s="5"/>
    </row>
    <row r="206" ht="12.75" customHeight="1">
      <c r="A206" s="18"/>
      <c r="B206" s="55">
        <v>5.0</v>
      </c>
      <c r="C206" s="50" t="s">
        <v>152</v>
      </c>
      <c r="D206" s="57"/>
      <c r="E206" s="19">
        <v>1.0</v>
      </c>
      <c r="F206" s="19">
        <v>1.0</v>
      </c>
      <c r="G206" s="19">
        <v>0.0</v>
      </c>
      <c r="H206" s="19">
        <v>0.0</v>
      </c>
      <c r="I206" s="19">
        <v>0.0</v>
      </c>
      <c r="J206" s="19">
        <v>0.0</v>
      </c>
      <c r="K206" s="19">
        <v>1.0</v>
      </c>
      <c r="L206" s="19">
        <v>0.0</v>
      </c>
      <c r="M206" s="19">
        <v>0.0</v>
      </c>
      <c r="N206" s="19">
        <v>0.0</v>
      </c>
      <c r="O206" s="19">
        <v>0.0</v>
      </c>
      <c r="P206" s="19">
        <v>1.0</v>
      </c>
      <c r="Q206" s="19">
        <v>0.0</v>
      </c>
      <c r="R206" s="19">
        <v>0.0</v>
      </c>
      <c r="S206" s="19">
        <v>0.0</v>
      </c>
      <c r="T206" s="19">
        <v>2.0</v>
      </c>
      <c r="U206" s="19">
        <v>1.0</v>
      </c>
      <c r="V206" s="19">
        <v>0.0</v>
      </c>
      <c r="W206" s="19">
        <v>1.0</v>
      </c>
      <c r="X206" s="19">
        <v>0.0</v>
      </c>
      <c r="Y206" s="19">
        <v>0.0</v>
      </c>
      <c r="Z206" s="19">
        <v>0.0</v>
      </c>
      <c r="AA206" s="19">
        <v>1.0</v>
      </c>
      <c r="AB206" s="19">
        <v>1.0</v>
      </c>
      <c r="AC206" s="19">
        <v>1.0</v>
      </c>
      <c r="AD206" s="19">
        <v>0.0</v>
      </c>
      <c r="AE206" s="19">
        <v>2.0</v>
      </c>
      <c r="AF206" s="19">
        <v>0.0</v>
      </c>
      <c r="AG206" s="19">
        <v>0.0</v>
      </c>
      <c r="AH206" s="19">
        <v>0.0</v>
      </c>
      <c r="AI206" s="19">
        <v>0.0</v>
      </c>
      <c r="AJ206" s="19">
        <v>0.0</v>
      </c>
      <c r="AK206" s="19">
        <v>0.0</v>
      </c>
      <c r="AL206" s="19">
        <v>0.0</v>
      </c>
      <c r="AM206" s="19">
        <v>0.0</v>
      </c>
      <c r="AN206" s="19">
        <v>0.0</v>
      </c>
      <c r="AO206" s="19">
        <v>0.0</v>
      </c>
      <c r="AP206" s="19">
        <v>1.0</v>
      </c>
      <c r="AQ206" s="19">
        <v>0.0</v>
      </c>
      <c r="AR206" s="19">
        <v>0.0</v>
      </c>
      <c r="AS206" s="19">
        <v>0.0</v>
      </c>
      <c r="AT206" s="19">
        <v>0.0</v>
      </c>
      <c r="AU206" s="19">
        <v>0.0</v>
      </c>
      <c r="AV206" s="19">
        <v>0.0</v>
      </c>
      <c r="AW206" s="19">
        <v>0.0</v>
      </c>
      <c r="AX206" s="19">
        <v>0.0</v>
      </c>
      <c r="AY206" s="19">
        <v>2.0</v>
      </c>
      <c r="AZ206" s="19">
        <v>1.0</v>
      </c>
      <c r="BA206" s="13">
        <f t="shared" si="40"/>
        <v>17</v>
      </c>
      <c r="BB206" s="5"/>
      <c r="BC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1.0</v>
      </c>
      <c r="L207" s="19">
        <v>0.0</v>
      </c>
      <c r="M207" s="19">
        <v>0.0</v>
      </c>
      <c r="N207" s="19">
        <v>0.0</v>
      </c>
      <c r="O207" s="19">
        <v>1.0</v>
      </c>
      <c r="P207" s="19">
        <v>1.0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1.0</v>
      </c>
      <c r="Z207" s="19">
        <v>0.0</v>
      </c>
      <c r="AA207" s="19">
        <v>1.0</v>
      </c>
      <c r="AB207" s="19">
        <v>0.0</v>
      </c>
      <c r="AC207" s="19">
        <v>0.0</v>
      </c>
      <c r="AD207" s="19">
        <v>0.0</v>
      </c>
      <c r="AE207" s="19">
        <v>0.0</v>
      </c>
      <c r="AF207" s="19">
        <v>2.0</v>
      </c>
      <c r="AG207" s="19">
        <v>0.0</v>
      </c>
      <c r="AH207" s="19">
        <v>0.0</v>
      </c>
      <c r="AI207" s="19">
        <v>0.0</v>
      </c>
      <c r="AJ207" s="19">
        <v>0.0</v>
      </c>
      <c r="AK207" s="19">
        <v>0.0</v>
      </c>
      <c r="AL207" s="19">
        <v>2.0</v>
      </c>
      <c r="AM207" s="19">
        <v>0.0</v>
      </c>
      <c r="AN207" s="19">
        <v>0.0</v>
      </c>
      <c r="AO207" s="19">
        <v>0.0</v>
      </c>
      <c r="AP207" s="19">
        <v>0.0</v>
      </c>
      <c r="AQ207" s="19">
        <v>0.0</v>
      </c>
      <c r="AR207" s="19">
        <v>0.0</v>
      </c>
      <c r="AS207" s="19">
        <v>0.0</v>
      </c>
      <c r="AT207" s="19">
        <v>1.0</v>
      </c>
      <c r="AU207" s="19">
        <v>0.0</v>
      </c>
      <c r="AV207" s="19">
        <v>1.0</v>
      </c>
      <c r="AW207" s="19">
        <v>0.0</v>
      </c>
      <c r="AX207" s="19">
        <v>1.0</v>
      </c>
      <c r="AY207" s="19">
        <v>4.0</v>
      </c>
      <c r="AZ207" s="19">
        <v>0.0</v>
      </c>
      <c r="BA207" s="13">
        <f t="shared" si="40"/>
        <v>16</v>
      </c>
      <c r="BB207" s="1"/>
      <c r="BC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1.0</v>
      </c>
      <c r="I208" s="19">
        <v>0.0</v>
      </c>
      <c r="J208" s="19">
        <v>2.0</v>
      </c>
      <c r="K208" s="19">
        <v>2.0</v>
      </c>
      <c r="L208" s="19">
        <v>0.0</v>
      </c>
      <c r="M208" s="19">
        <v>0.0</v>
      </c>
      <c r="N208" s="19">
        <v>2.0</v>
      </c>
      <c r="O208" s="19">
        <v>0.0</v>
      </c>
      <c r="P208" s="19">
        <v>5.0</v>
      </c>
      <c r="Q208" s="19">
        <v>0.0</v>
      </c>
      <c r="R208" s="19">
        <v>1.0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9">
        <v>0.0</v>
      </c>
      <c r="Y208" s="19">
        <v>1.0</v>
      </c>
      <c r="Z208" s="19">
        <v>1.0</v>
      </c>
      <c r="AA208" s="19">
        <v>0.0</v>
      </c>
      <c r="AB208" s="19">
        <v>1.0</v>
      </c>
      <c r="AC208" s="19">
        <v>0.0</v>
      </c>
      <c r="AD208" s="19">
        <v>0.0</v>
      </c>
      <c r="AE208" s="19">
        <v>0.0</v>
      </c>
      <c r="AF208" s="19">
        <v>1.0</v>
      </c>
      <c r="AG208" s="19">
        <v>3.0</v>
      </c>
      <c r="AH208" s="19">
        <v>0.0</v>
      </c>
      <c r="AI208" s="19">
        <v>0.0</v>
      </c>
      <c r="AJ208" s="19">
        <v>1.0</v>
      </c>
      <c r="AK208" s="19">
        <v>2.0</v>
      </c>
      <c r="AL208" s="19">
        <v>0.0</v>
      </c>
      <c r="AM208" s="19">
        <v>1.0</v>
      </c>
      <c r="AN208" s="19">
        <v>0.0</v>
      </c>
      <c r="AO208" s="19">
        <v>0.0</v>
      </c>
      <c r="AP208" s="19">
        <v>0.0</v>
      </c>
      <c r="AQ208" s="19">
        <v>1.0</v>
      </c>
      <c r="AR208" s="19">
        <v>1.0</v>
      </c>
      <c r="AS208" s="19">
        <v>0.0</v>
      </c>
      <c r="AT208" s="19">
        <v>0.0</v>
      </c>
      <c r="AU208" s="19">
        <v>0.0</v>
      </c>
      <c r="AV208" s="19">
        <v>1.0</v>
      </c>
      <c r="AW208" s="19">
        <v>2.0</v>
      </c>
      <c r="AX208" s="19">
        <v>1.0</v>
      </c>
      <c r="AY208" s="19">
        <v>0.0</v>
      </c>
      <c r="AZ208" s="19">
        <v>0.0</v>
      </c>
      <c r="BA208" s="13">
        <f t="shared" si="40"/>
        <v>30</v>
      </c>
      <c r="BB208" s="52"/>
      <c r="BC208" s="52"/>
    </row>
    <row r="209" ht="12.75" customHeight="1">
      <c r="A209" s="18"/>
      <c r="B209" s="71"/>
      <c r="C209" s="72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79"/>
      <c r="BB209" s="52"/>
      <c r="BC209" s="52"/>
    </row>
    <row r="210" ht="12.75" customHeight="1">
      <c r="A210" s="18"/>
      <c r="B210" s="71"/>
      <c r="C210" s="72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79"/>
      <c r="BB210" s="52"/>
      <c r="BC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BA211" si="41">SUM(E201:E210)</f>
        <v>9</v>
      </c>
      <c r="F211" s="13">
        <f t="shared" si="41"/>
        <v>4</v>
      </c>
      <c r="G211" s="13">
        <f t="shared" si="41"/>
        <v>12</v>
      </c>
      <c r="H211" s="13">
        <f t="shared" si="41"/>
        <v>7</v>
      </c>
      <c r="I211" s="13">
        <f t="shared" si="41"/>
        <v>23</v>
      </c>
      <c r="J211" s="13">
        <f t="shared" si="41"/>
        <v>72</v>
      </c>
      <c r="K211" s="13">
        <f t="shared" si="41"/>
        <v>24</v>
      </c>
      <c r="L211" s="13">
        <f t="shared" si="41"/>
        <v>10</v>
      </c>
      <c r="M211" s="13">
        <f t="shared" si="41"/>
        <v>12</v>
      </c>
      <c r="N211" s="13">
        <f t="shared" si="41"/>
        <v>11</v>
      </c>
      <c r="O211" s="13">
        <f t="shared" si="41"/>
        <v>39</v>
      </c>
      <c r="P211" s="13">
        <f t="shared" si="41"/>
        <v>40</v>
      </c>
      <c r="Q211" s="13">
        <f t="shared" si="41"/>
        <v>24</v>
      </c>
      <c r="R211" s="13">
        <f t="shared" si="41"/>
        <v>6</v>
      </c>
      <c r="S211" s="13">
        <f t="shared" si="41"/>
        <v>16</v>
      </c>
      <c r="T211" s="13">
        <f t="shared" si="41"/>
        <v>9</v>
      </c>
      <c r="U211" s="13">
        <f t="shared" si="41"/>
        <v>9</v>
      </c>
      <c r="V211" s="13">
        <f t="shared" si="41"/>
        <v>16</v>
      </c>
      <c r="W211" s="13">
        <f t="shared" si="41"/>
        <v>5</v>
      </c>
      <c r="X211" s="13">
        <f t="shared" si="41"/>
        <v>1</v>
      </c>
      <c r="Y211" s="13">
        <f t="shared" si="41"/>
        <v>24</v>
      </c>
      <c r="Z211" s="13">
        <f t="shared" si="41"/>
        <v>8</v>
      </c>
      <c r="AA211" s="13">
        <f t="shared" si="41"/>
        <v>25</v>
      </c>
      <c r="AB211" s="13">
        <f t="shared" si="41"/>
        <v>16</v>
      </c>
      <c r="AC211" s="13">
        <f t="shared" si="41"/>
        <v>21</v>
      </c>
      <c r="AD211" s="13">
        <f t="shared" si="41"/>
        <v>17</v>
      </c>
      <c r="AE211" s="13">
        <f t="shared" si="41"/>
        <v>24</v>
      </c>
      <c r="AF211" s="13">
        <f t="shared" si="41"/>
        <v>28</v>
      </c>
      <c r="AG211" s="13">
        <f t="shared" si="41"/>
        <v>21</v>
      </c>
      <c r="AH211" s="13">
        <f t="shared" si="41"/>
        <v>11</v>
      </c>
      <c r="AI211" s="13">
        <f t="shared" si="41"/>
        <v>7</v>
      </c>
      <c r="AJ211" s="13">
        <f t="shared" si="41"/>
        <v>4</v>
      </c>
      <c r="AK211" s="13">
        <f t="shared" si="41"/>
        <v>14</v>
      </c>
      <c r="AL211" s="13">
        <f t="shared" si="41"/>
        <v>32</v>
      </c>
      <c r="AM211" s="13">
        <f t="shared" si="41"/>
        <v>16</v>
      </c>
      <c r="AN211" s="13">
        <f t="shared" si="41"/>
        <v>9</v>
      </c>
      <c r="AO211" s="13">
        <f t="shared" si="41"/>
        <v>6</v>
      </c>
      <c r="AP211" s="13">
        <f t="shared" si="41"/>
        <v>14</v>
      </c>
      <c r="AQ211" s="13">
        <f t="shared" si="41"/>
        <v>16</v>
      </c>
      <c r="AR211" s="13">
        <f t="shared" si="41"/>
        <v>14</v>
      </c>
      <c r="AS211" s="13">
        <f t="shared" si="41"/>
        <v>16</v>
      </c>
      <c r="AT211" s="13">
        <f t="shared" si="41"/>
        <v>10</v>
      </c>
      <c r="AU211" s="13">
        <f t="shared" si="41"/>
        <v>24</v>
      </c>
      <c r="AV211" s="13">
        <f t="shared" si="41"/>
        <v>22</v>
      </c>
      <c r="AW211" s="13">
        <f t="shared" si="41"/>
        <v>14</v>
      </c>
      <c r="AX211" s="13">
        <f t="shared" si="41"/>
        <v>12</v>
      </c>
      <c r="AY211" s="13">
        <f t="shared" si="41"/>
        <v>25</v>
      </c>
      <c r="AZ211" s="13">
        <f t="shared" si="41"/>
        <v>21</v>
      </c>
      <c r="BA211" s="13">
        <f t="shared" si="41"/>
        <v>820</v>
      </c>
      <c r="BB211" s="5"/>
      <c r="BC211" s="5"/>
    </row>
    <row r="212" ht="12.75" customHeight="1">
      <c r="A212" s="24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5"/>
      <c r="AE212" s="75"/>
      <c r="AF212" s="75"/>
      <c r="AG212" s="75"/>
      <c r="AH212" s="75"/>
      <c r="AI212" s="75"/>
      <c r="AJ212" s="75"/>
      <c r="AK212" s="75"/>
      <c r="AL212" s="75"/>
      <c r="AM212" s="75"/>
      <c r="AN212" s="75"/>
      <c r="AO212" s="75"/>
      <c r="AP212" s="75"/>
      <c r="AQ212" s="75"/>
      <c r="AR212" s="75"/>
      <c r="AS212" s="75"/>
      <c r="AT212" s="75"/>
      <c r="AU212" s="75"/>
      <c r="AV212" s="75"/>
      <c r="AW212" s="75"/>
      <c r="AX212" s="75"/>
      <c r="AY212" s="75"/>
      <c r="AZ212" s="75"/>
      <c r="BA212" s="75"/>
      <c r="BB212" s="5"/>
      <c r="BC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2.0</v>
      </c>
      <c r="F213" s="19">
        <v>4.0</v>
      </c>
      <c r="G213" s="19">
        <v>2.0</v>
      </c>
      <c r="H213" s="19">
        <v>3.0</v>
      </c>
      <c r="I213" s="19">
        <v>7.0</v>
      </c>
      <c r="J213" s="19">
        <v>2.0</v>
      </c>
      <c r="K213" s="19">
        <v>4.0</v>
      </c>
      <c r="L213" s="19">
        <v>6.0</v>
      </c>
      <c r="M213" s="19">
        <v>3.0</v>
      </c>
      <c r="N213" s="19">
        <v>6.0</v>
      </c>
      <c r="O213" s="19">
        <v>0.0</v>
      </c>
      <c r="P213" s="19">
        <v>0.0</v>
      </c>
      <c r="Q213" s="19">
        <v>3.0</v>
      </c>
      <c r="R213" s="19">
        <v>7.0</v>
      </c>
      <c r="S213" s="19">
        <v>3.0</v>
      </c>
      <c r="T213" s="19">
        <v>8.0</v>
      </c>
      <c r="U213" s="19">
        <v>4.0</v>
      </c>
      <c r="V213" s="19">
        <v>4.0</v>
      </c>
      <c r="W213" s="19">
        <v>3.0</v>
      </c>
      <c r="X213" s="19">
        <v>0.0</v>
      </c>
      <c r="Y213" s="19">
        <v>1.0</v>
      </c>
      <c r="Z213" s="19">
        <v>0.0</v>
      </c>
      <c r="AA213" s="19">
        <v>3.0</v>
      </c>
      <c r="AB213" s="19">
        <v>1.0</v>
      </c>
      <c r="AC213" s="19">
        <v>0.0</v>
      </c>
      <c r="AD213" s="19">
        <v>7.0</v>
      </c>
      <c r="AE213" s="19">
        <v>7.0</v>
      </c>
      <c r="AF213" s="19">
        <v>1.0</v>
      </c>
      <c r="AG213" s="19">
        <v>4.0</v>
      </c>
      <c r="AH213" s="19">
        <v>0.0</v>
      </c>
      <c r="AI213" s="19">
        <v>6.0</v>
      </c>
      <c r="AJ213" s="19">
        <v>4.0</v>
      </c>
      <c r="AK213" s="19">
        <v>3.0</v>
      </c>
      <c r="AL213" s="19">
        <v>2.0</v>
      </c>
      <c r="AM213" s="19">
        <v>3.0</v>
      </c>
      <c r="AN213" s="19">
        <v>3.0</v>
      </c>
      <c r="AO213" s="19">
        <v>9.0</v>
      </c>
      <c r="AP213" s="19">
        <v>3.0</v>
      </c>
      <c r="AQ213" s="19">
        <v>1.0</v>
      </c>
      <c r="AR213" s="19">
        <v>3.0</v>
      </c>
      <c r="AS213" s="19">
        <v>1.0</v>
      </c>
      <c r="AT213" s="19">
        <v>6.0</v>
      </c>
      <c r="AU213" s="19">
        <v>5.0</v>
      </c>
      <c r="AV213" s="19">
        <v>1.0</v>
      </c>
      <c r="AW213" s="19">
        <v>3.0</v>
      </c>
      <c r="AX213" s="19">
        <v>0.0</v>
      </c>
      <c r="AY213" s="19">
        <v>4.0</v>
      </c>
      <c r="AZ213" s="19">
        <v>0.0</v>
      </c>
      <c r="BA213" s="13">
        <f t="shared" ref="BA213:BA220" si="42">SUM(E213:AZ213)</f>
        <v>152</v>
      </c>
      <c r="BB213" s="5"/>
      <c r="BC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5.0</v>
      </c>
      <c r="F214" s="19">
        <v>16.0</v>
      </c>
      <c r="G214" s="19">
        <v>9.0</v>
      </c>
      <c r="H214" s="19">
        <v>6.0</v>
      </c>
      <c r="I214" s="19">
        <v>9.0</v>
      </c>
      <c r="J214" s="19">
        <v>0.0</v>
      </c>
      <c r="K214" s="19">
        <v>7.0</v>
      </c>
      <c r="L214" s="19">
        <v>11.0</v>
      </c>
      <c r="M214" s="19">
        <v>9.0</v>
      </c>
      <c r="N214" s="19">
        <v>3.0</v>
      </c>
      <c r="O214" s="19">
        <v>2.0</v>
      </c>
      <c r="P214" s="19">
        <v>2.0</v>
      </c>
      <c r="Q214" s="19">
        <v>25.0</v>
      </c>
      <c r="R214" s="19">
        <v>0.0</v>
      </c>
      <c r="S214" s="19">
        <v>4.0</v>
      </c>
      <c r="T214" s="19">
        <v>7.0</v>
      </c>
      <c r="U214" s="19">
        <v>1.0</v>
      </c>
      <c r="V214" s="19">
        <v>4.0</v>
      </c>
      <c r="W214" s="19">
        <v>15.0</v>
      </c>
      <c r="X214" s="19">
        <v>0.0</v>
      </c>
      <c r="Y214" s="19">
        <v>3.0</v>
      </c>
      <c r="Z214" s="19">
        <v>2.0</v>
      </c>
      <c r="AA214" s="19">
        <v>4.0</v>
      </c>
      <c r="AB214" s="19">
        <v>5.0</v>
      </c>
      <c r="AC214" s="19">
        <v>3.0</v>
      </c>
      <c r="AD214" s="19">
        <v>0.0</v>
      </c>
      <c r="AE214" s="19">
        <v>1.0</v>
      </c>
      <c r="AF214" s="19">
        <v>5.0</v>
      </c>
      <c r="AG214" s="19">
        <v>11.0</v>
      </c>
      <c r="AH214" s="19">
        <v>2.0</v>
      </c>
      <c r="AI214" s="19">
        <v>1.0</v>
      </c>
      <c r="AJ214" s="19">
        <v>0.0</v>
      </c>
      <c r="AK214" s="19">
        <v>3.0</v>
      </c>
      <c r="AL214" s="19">
        <v>9.0</v>
      </c>
      <c r="AM214" s="19">
        <v>1.0</v>
      </c>
      <c r="AN214" s="19">
        <v>8.0</v>
      </c>
      <c r="AO214" s="19">
        <v>2.0</v>
      </c>
      <c r="AP214" s="19">
        <v>0.0</v>
      </c>
      <c r="AQ214" s="19">
        <v>1.0</v>
      </c>
      <c r="AR214" s="19">
        <v>3.0</v>
      </c>
      <c r="AS214" s="19">
        <v>0.0</v>
      </c>
      <c r="AT214" s="19">
        <v>2.0</v>
      </c>
      <c r="AU214" s="19">
        <v>1.0</v>
      </c>
      <c r="AV214" s="19">
        <v>5.0</v>
      </c>
      <c r="AW214" s="19">
        <v>2.0</v>
      </c>
      <c r="AX214" s="19">
        <v>1.0</v>
      </c>
      <c r="AY214" s="19">
        <v>4.0</v>
      </c>
      <c r="AZ214" s="19">
        <v>0.0</v>
      </c>
      <c r="BA214" s="13">
        <f t="shared" si="42"/>
        <v>214</v>
      </c>
      <c r="BB214" s="5"/>
      <c r="BC214" s="5"/>
    </row>
    <row r="215" ht="12.75" customHeight="1">
      <c r="A215" s="18"/>
      <c r="B215" s="55">
        <v>2.0</v>
      </c>
      <c r="C215" s="50" t="s">
        <v>158</v>
      </c>
      <c r="D215" s="56"/>
      <c r="E215" s="19">
        <v>7.0</v>
      </c>
      <c r="F215" s="19">
        <v>1.0</v>
      </c>
      <c r="G215" s="19">
        <v>2.0</v>
      </c>
      <c r="H215" s="19">
        <v>4.0</v>
      </c>
      <c r="I215" s="19">
        <v>5.0</v>
      </c>
      <c r="J215" s="19">
        <v>1.0</v>
      </c>
      <c r="K215" s="19">
        <v>4.0</v>
      </c>
      <c r="L215" s="19">
        <v>1.0</v>
      </c>
      <c r="M215" s="19">
        <v>4.0</v>
      </c>
      <c r="N215" s="19">
        <v>5.0</v>
      </c>
      <c r="O215" s="19">
        <v>3.0</v>
      </c>
      <c r="P215" s="19">
        <v>10.0</v>
      </c>
      <c r="Q215" s="19">
        <v>6.0</v>
      </c>
      <c r="R215" s="19">
        <v>2.0</v>
      </c>
      <c r="S215" s="19">
        <v>3.0</v>
      </c>
      <c r="T215" s="19">
        <v>2.0</v>
      </c>
      <c r="U215" s="19">
        <v>1.0</v>
      </c>
      <c r="V215" s="19">
        <v>1.0</v>
      </c>
      <c r="W215" s="19">
        <v>2.0</v>
      </c>
      <c r="X215" s="19">
        <v>5.0</v>
      </c>
      <c r="Y215" s="19">
        <v>0.0</v>
      </c>
      <c r="Z215" s="19">
        <v>0.0</v>
      </c>
      <c r="AA215" s="19">
        <v>0.0</v>
      </c>
      <c r="AB215" s="19">
        <v>1.0</v>
      </c>
      <c r="AC215" s="19">
        <v>2.0</v>
      </c>
      <c r="AD215" s="19">
        <v>1.0</v>
      </c>
      <c r="AE215" s="19">
        <v>0.0</v>
      </c>
      <c r="AF215" s="19">
        <v>0.0</v>
      </c>
      <c r="AG215" s="19">
        <v>1.0</v>
      </c>
      <c r="AH215" s="19">
        <v>1.0</v>
      </c>
      <c r="AI215" s="19">
        <v>3.0</v>
      </c>
      <c r="AJ215" s="19">
        <v>1.0</v>
      </c>
      <c r="AK215" s="19">
        <v>1.0</v>
      </c>
      <c r="AL215" s="19">
        <v>3.0</v>
      </c>
      <c r="AM215" s="19">
        <v>6.0</v>
      </c>
      <c r="AN215" s="19">
        <v>7.0</v>
      </c>
      <c r="AO215" s="19">
        <v>1.0</v>
      </c>
      <c r="AP215" s="19">
        <v>4.0</v>
      </c>
      <c r="AQ215" s="19">
        <v>2.0</v>
      </c>
      <c r="AR215" s="19">
        <v>6.0</v>
      </c>
      <c r="AS215" s="19">
        <v>7.0</v>
      </c>
      <c r="AT215" s="19">
        <v>1.0</v>
      </c>
      <c r="AU215" s="19">
        <v>5.0</v>
      </c>
      <c r="AV215" s="19">
        <v>2.0</v>
      </c>
      <c r="AW215" s="19">
        <v>7.0</v>
      </c>
      <c r="AX215" s="19">
        <v>13.0</v>
      </c>
      <c r="AY215" s="19">
        <v>6.0</v>
      </c>
      <c r="AZ215" s="19">
        <v>4.0</v>
      </c>
      <c r="BA215" s="13">
        <f t="shared" si="42"/>
        <v>154</v>
      </c>
      <c r="BB215" s="5"/>
      <c r="BC215" s="5"/>
    </row>
    <row r="216" ht="12.75" customHeight="1">
      <c r="A216" s="18"/>
      <c r="B216" s="55">
        <v>3.0</v>
      </c>
      <c r="C216" s="61" t="s">
        <v>159</v>
      </c>
      <c r="E216" s="19">
        <v>1.0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1.0</v>
      </c>
      <c r="L216" s="19">
        <v>1.0</v>
      </c>
      <c r="M216" s="19">
        <v>0.0</v>
      </c>
      <c r="N216" s="19">
        <v>0.0</v>
      </c>
      <c r="O216" s="19">
        <v>1.0</v>
      </c>
      <c r="P216" s="19">
        <v>1.0</v>
      </c>
      <c r="Q216" s="19">
        <v>0.0</v>
      </c>
      <c r="R216" s="19">
        <v>0.0</v>
      </c>
      <c r="S216" s="19">
        <v>0.0</v>
      </c>
      <c r="T216" s="19">
        <v>1.0</v>
      </c>
      <c r="U216" s="19">
        <v>2.0</v>
      </c>
      <c r="V216" s="19">
        <v>1.0</v>
      </c>
      <c r="W216" s="19">
        <v>0.0</v>
      </c>
      <c r="X216" s="19">
        <v>1.0</v>
      </c>
      <c r="Y216" s="19">
        <v>0.0</v>
      </c>
      <c r="Z216" s="19">
        <v>1.0</v>
      </c>
      <c r="AA216" s="19">
        <v>0.0</v>
      </c>
      <c r="AB216" s="19">
        <v>0.0</v>
      </c>
      <c r="AC216" s="19">
        <v>0.0</v>
      </c>
      <c r="AD216" s="19">
        <v>0.0</v>
      </c>
      <c r="AE216" s="19">
        <v>1.0</v>
      </c>
      <c r="AF216" s="19">
        <v>1.0</v>
      </c>
      <c r="AG216" s="19">
        <v>0.0</v>
      </c>
      <c r="AH216" s="19">
        <v>0.0</v>
      </c>
      <c r="AI216" s="19">
        <v>0.0</v>
      </c>
      <c r="AJ216" s="19">
        <v>1.0</v>
      </c>
      <c r="AK216" s="19">
        <v>1.0</v>
      </c>
      <c r="AL216" s="19">
        <v>1.0</v>
      </c>
      <c r="AM216" s="19">
        <v>0.0</v>
      </c>
      <c r="AN216" s="19">
        <v>1.0</v>
      </c>
      <c r="AO216" s="19">
        <v>1.0</v>
      </c>
      <c r="AP216" s="19">
        <v>1.0</v>
      </c>
      <c r="AQ216" s="19">
        <v>1.0</v>
      </c>
      <c r="AR216" s="19">
        <v>0.0</v>
      </c>
      <c r="AS216" s="19">
        <v>1.0</v>
      </c>
      <c r="AT216" s="19">
        <v>0.0</v>
      </c>
      <c r="AU216" s="19">
        <v>0.0</v>
      </c>
      <c r="AV216" s="19">
        <v>1.0</v>
      </c>
      <c r="AW216" s="19">
        <v>0.0</v>
      </c>
      <c r="AX216" s="19">
        <v>1.0</v>
      </c>
      <c r="AY216" s="19">
        <v>1.0</v>
      </c>
      <c r="AZ216" s="19">
        <v>0.0</v>
      </c>
      <c r="BA216" s="13">
        <f t="shared" si="42"/>
        <v>24</v>
      </c>
      <c r="BB216" s="5"/>
      <c r="BC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1.0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1.0</v>
      </c>
      <c r="AG217" s="19">
        <v>0.0</v>
      </c>
      <c r="AH217" s="19">
        <v>0.0</v>
      </c>
      <c r="AI217" s="19">
        <v>0.0</v>
      </c>
      <c r="AJ217" s="19">
        <v>0.0</v>
      </c>
      <c r="AK217" s="19">
        <v>0.0</v>
      </c>
      <c r="AL217" s="19">
        <v>0.0</v>
      </c>
      <c r="AM217" s="19">
        <v>0.0</v>
      </c>
      <c r="AN217" s="19">
        <v>0.0</v>
      </c>
      <c r="AO217" s="19">
        <v>0.0</v>
      </c>
      <c r="AP217" s="19">
        <v>0.0</v>
      </c>
      <c r="AQ217" s="19">
        <v>0.0</v>
      </c>
      <c r="AR217" s="19">
        <v>0.0</v>
      </c>
      <c r="AS217" s="19">
        <v>0.0</v>
      </c>
      <c r="AT217" s="19">
        <v>0.0</v>
      </c>
      <c r="AU217" s="19">
        <v>0.0</v>
      </c>
      <c r="AV217" s="19">
        <v>0.0</v>
      </c>
      <c r="AW217" s="19">
        <v>0.0</v>
      </c>
      <c r="AX217" s="19">
        <v>0.0</v>
      </c>
      <c r="AY217" s="19">
        <v>0.0</v>
      </c>
      <c r="AZ217" s="19">
        <v>0.0</v>
      </c>
      <c r="BA217" s="13">
        <f t="shared" si="42"/>
        <v>2</v>
      </c>
      <c r="BB217" s="5"/>
      <c r="BC217" s="5"/>
    </row>
    <row r="218" ht="12.75" customHeight="1">
      <c r="A218" s="18"/>
      <c r="B218" s="55">
        <v>5.0</v>
      </c>
      <c r="C218" s="50" t="s">
        <v>161</v>
      </c>
      <c r="D218" s="56"/>
      <c r="E218" s="19">
        <v>1.0</v>
      </c>
      <c r="F218" s="19">
        <v>0.0</v>
      </c>
      <c r="G218" s="19">
        <v>1.0</v>
      </c>
      <c r="H218" s="19">
        <v>1.0</v>
      </c>
      <c r="I218" s="19">
        <v>0.0</v>
      </c>
      <c r="J218" s="19">
        <v>0.0</v>
      </c>
      <c r="K218" s="19">
        <v>1.0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1.0</v>
      </c>
      <c r="U218" s="19">
        <v>1.0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1.0</v>
      </c>
      <c r="AC218" s="19">
        <v>0.0</v>
      </c>
      <c r="AD218" s="19">
        <v>1.0</v>
      </c>
      <c r="AE218" s="19">
        <v>0.0</v>
      </c>
      <c r="AF218" s="19">
        <v>0.0</v>
      </c>
      <c r="AG218" s="19">
        <v>0.0</v>
      </c>
      <c r="AH218" s="19">
        <v>0.0</v>
      </c>
      <c r="AI218" s="19">
        <v>0.0</v>
      </c>
      <c r="AJ218" s="19">
        <v>0.0</v>
      </c>
      <c r="AK218" s="19">
        <v>0.0</v>
      </c>
      <c r="AL218" s="19">
        <v>1.0</v>
      </c>
      <c r="AM218" s="19">
        <v>0.0</v>
      </c>
      <c r="AN218" s="19">
        <v>0.0</v>
      </c>
      <c r="AO218" s="19">
        <v>0.0</v>
      </c>
      <c r="AP218" s="19">
        <v>0.0</v>
      </c>
      <c r="AQ218" s="19">
        <v>1.0</v>
      </c>
      <c r="AR218" s="19">
        <v>0.0</v>
      </c>
      <c r="AS218" s="19">
        <v>0.0</v>
      </c>
      <c r="AT218" s="19">
        <v>0.0</v>
      </c>
      <c r="AU218" s="19">
        <v>0.0</v>
      </c>
      <c r="AV218" s="19">
        <v>1.0</v>
      </c>
      <c r="AW218" s="19">
        <v>1.0</v>
      </c>
      <c r="AX218" s="19">
        <v>0.0</v>
      </c>
      <c r="AY218" s="19">
        <v>0.0</v>
      </c>
      <c r="AZ218" s="19">
        <v>0.0</v>
      </c>
      <c r="BA218" s="13">
        <f t="shared" si="42"/>
        <v>12</v>
      </c>
      <c r="BB218" s="1"/>
      <c r="BC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3.0</v>
      </c>
      <c r="G219" s="19">
        <v>0.0</v>
      </c>
      <c r="H219" s="19">
        <v>0.0</v>
      </c>
      <c r="I219" s="19">
        <v>0.0</v>
      </c>
      <c r="J219" s="19">
        <v>0.0</v>
      </c>
      <c r="K219" s="19">
        <v>1.0</v>
      </c>
      <c r="L219" s="19">
        <v>3.0</v>
      </c>
      <c r="M219" s="19">
        <v>0.0</v>
      </c>
      <c r="N219" s="19">
        <v>1.0</v>
      </c>
      <c r="O219" s="19">
        <v>1.0</v>
      </c>
      <c r="P219" s="19">
        <v>0.0</v>
      </c>
      <c r="Q219" s="19">
        <v>0.0</v>
      </c>
      <c r="R219" s="19">
        <v>1.0</v>
      </c>
      <c r="S219" s="19">
        <v>0.0</v>
      </c>
      <c r="T219" s="19">
        <v>0.0</v>
      </c>
      <c r="U219" s="19">
        <v>0.0</v>
      </c>
      <c r="V219" s="19">
        <v>1.0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9">
        <v>0.0</v>
      </c>
      <c r="AE219" s="19">
        <v>1.0</v>
      </c>
      <c r="AF219" s="19">
        <v>0.0</v>
      </c>
      <c r="AG219" s="19">
        <v>0.0</v>
      </c>
      <c r="AH219" s="19">
        <v>0.0</v>
      </c>
      <c r="AI219" s="19">
        <v>0.0</v>
      </c>
      <c r="AJ219" s="19">
        <v>0.0</v>
      </c>
      <c r="AK219" s="19">
        <v>0.0</v>
      </c>
      <c r="AL219" s="19">
        <v>0.0</v>
      </c>
      <c r="AM219" s="19">
        <v>0.0</v>
      </c>
      <c r="AN219" s="19">
        <v>0.0</v>
      </c>
      <c r="AO219" s="19">
        <v>0.0</v>
      </c>
      <c r="AP219" s="19">
        <v>0.0</v>
      </c>
      <c r="AQ219" s="19">
        <v>0.0</v>
      </c>
      <c r="AR219" s="19">
        <v>0.0</v>
      </c>
      <c r="AS219" s="19">
        <v>0.0</v>
      </c>
      <c r="AT219" s="19">
        <v>0.0</v>
      </c>
      <c r="AU219" s="19">
        <v>1.0</v>
      </c>
      <c r="AV219" s="19">
        <v>0.0</v>
      </c>
      <c r="AW219" s="19">
        <v>0.0</v>
      </c>
      <c r="AX219" s="19">
        <v>0.0</v>
      </c>
      <c r="AY219" s="19">
        <v>0.0</v>
      </c>
      <c r="AZ219" s="19">
        <v>0.0</v>
      </c>
      <c r="BA219" s="13">
        <f t="shared" si="42"/>
        <v>13</v>
      </c>
      <c r="BB219" s="52"/>
      <c r="BC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2.0</v>
      </c>
      <c r="K220" s="19">
        <v>1.0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1.0</v>
      </c>
      <c r="U220" s="19">
        <v>0.0</v>
      </c>
      <c r="V220" s="19">
        <v>1.0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1.0</v>
      </c>
      <c r="AB220" s="19">
        <v>2.0</v>
      </c>
      <c r="AC220" s="19">
        <v>0.0</v>
      </c>
      <c r="AD220" s="19">
        <v>2.0</v>
      </c>
      <c r="AE220" s="19">
        <v>0.0</v>
      </c>
      <c r="AF220" s="19">
        <v>0.0</v>
      </c>
      <c r="AG220" s="19">
        <v>0.0</v>
      </c>
      <c r="AH220" s="19">
        <v>0.0</v>
      </c>
      <c r="AI220" s="19">
        <v>0.0</v>
      </c>
      <c r="AJ220" s="19">
        <v>0.0</v>
      </c>
      <c r="AK220" s="19">
        <v>0.0</v>
      </c>
      <c r="AL220" s="19">
        <v>0.0</v>
      </c>
      <c r="AM220" s="19">
        <v>0.0</v>
      </c>
      <c r="AN220" s="19">
        <v>0.0</v>
      </c>
      <c r="AO220" s="19">
        <v>0.0</v>
      </c>
      <c r="AP220" s="19">
        <v>2.0</v>
      </c>
      <c r="AQ220" s="19">
        <v>1.0</v>
      </c>
      <c r="AR220" s="19">
        <v>0.0</v>
      </c>
      <c r="AS220" s="19">
        <v>0.0</v>
      </c>
      <c r="AT220" s="19">
        <v>0.0</v>
      </c>
      <c r="AU220" s="19">
        <v>0.0</v>
      </c>
      <c r="AV220" s="19">
        <v>0.0</v>
      </c>
      <c r="AW220" s="19">
        <v>0.0</v>
      </c>
      <c r="AX220" s="19">
        <v>0.0</v>
      </c>
      <c r="AY220" s="19">
        <v>0.0</v>
      </c>
      <c r="AZ220" s="19">
        <v>0.0</v>
      </c>
      <c r="BA220" s="13">
        <f t="shared" si="42"/>
        <v>13</v>
      </c>
      <c r="BB220" s="5"/>
      <c r="BC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79"/>
      <c r="BB221" s="5"/>
      <c r="BC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79"/>
      <c r="BB222" s="5"/>
      <c r="BC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BA223" si="43">SUM(E213:E222)</f>
        <v>16</v>
      </c>
      <c r="F223" s="13">
        <f t="shared" si="43"/>
        <v>24</v>
      </c>
      <c r="G223" s="13">
        <f t="shared" si="43"/>
        <v>14</v>
      </c>
      <c r="H223" s="13">
        <f t="shared" si="43"/>
        <v>14</v>
      </c>
      <c r="I223" s="13">
        <f t="shared" si="43"/>
        <v>22</v>
      </c>
      <c r="J223" s="13">
        <f t="shared" si="43"/>
        <v>5</v>
      </c>
      <c r="K223" s="13">
        <f t="shared" si="43"/>
        <v>19</v>
      </c>
      <c r="L223" s="13">
        <f t="shared" si="43"/>
        <v>22</v>
      </c>
      <c r="M223" s="13">
        <f t="shared" si="43"/>
        <v>16</v>
      </c>
      <c r="N223" s="13">
        <f t="shared" si="43"/>
        <v>15</v>
      </c>
      <c r="O223" s="13">
        <f t="shared" si="43"/>
        <v>7</v>
      </c>
      <c r="P223" s="13">
        <f t="shared" si="43"/>
        <v>13</v>
      </c>
      <c r="Q223" s="13">
        <f t="shared" si="43"/>
        <v>34</v>
      </c>
      <c r="R223" s="13">
        <f t="shared" si="43"/>
        <v>10</v>
      </c>
      <c r="S223" s="13">
        <f t="shared" si="43"/>
        <v>10</v>
      </c>
      <c r="T223" s="13">
        <f t="shared" si="43"/>
        <v>20</v>
      </c>
      <c r="U223" s="13">
        <f t="shared" si="43"/>
        <v>9</v>
      </c>
      <c r="V223" s="13">
        <f t="shared" si="43"/>
        <v>12</v>
      </c>
      <c r="W223" s="13">
        <f t="shared" si="43"/>
        <v>20</v>
      </c>
      <c r="X223" s="13">
        <f t="shared" si="43"/>
        <v>6</v>
      </c>
      <c r="Y223" s="13">
        <f t="shared" si="43"/>
        <v>4</v>
      </c>
      <c r="Z223" s="13">
        <f t="shared" si="43"/>
        <v>3</v>
      </c>
      <c r="AA223" s="13">
        <f t="shared" si="43"/>
        <v>8</v>
      </c>
      <c r="AB223" s="13">
        <f t="shared" si="43"/>
        <v>10</v>
      </c>
      <c r="AC223" s="13">
        <f t="shared" si="43"/>
        <v>5</v>
      </c>
      <c r="AD223" s="13">
        <f t="shared" si="43"/>
        <v>11</v>
      </c>
      <c r="AE223" s="13">
        <f t="shared" si="43"/>
        <v>10</v>
      </c>
      <c r="AF223" s="13">
        <f t="shared" si="43"/>
        <v>8</v>
      </c>
      <c r="AG223" s="13">
        <f t="shared" si="43"/>
        <v>16</v>
      </c>
      <c r="AH223" s="13">
        <f t="shared" si="43"/>
        <v>3</v>
      </c>
      <c r="AI223" s="13">
        <f t="shared" si="43"/>
        <v>10</v>
      </c>
      <c r="AJ223" s="13">
        <f t="shared" si="43"/>
        <v>6</v>
      </c>
      <c r="AK223" s="13">
        <f t="shared" si="43"/>
        <v>8</v>
      </c>
      <c r="AL223" s="13">
        <f t="shared" si="43"/>
        <v>16</v>
      </c>
      <c r="AM223" s="13">
        <f t="shared" si="43"/>
        <v>10</v>
      </c>
      <c r="AN223" s="13">
        <f t="shared" si="43"/>
        <v>19</v>
      </c>
      <c r="AO223" s="13">
        <f t="shared" si="43"/>
        <v>13</v>
      </c>
      <c r="AP223" s="13">
        <f t="shared" si="43"/>
        <v>10</v>
      </c>
      <c r="AQ223" s="13">
        <f t="shared" si="43"/>
        <v>7</v>
      </c>
      <c r="AR223" s="13">
        <f t="shared" si="43"/>
        <v>12</v>
      </c>
      <c r="AS223" s="13">
        <f t="shared" si="43"/>
        <v>9</v>
      </c>
      <c r="AT223" s="13">
        <f t="shared" si="43"/>
        <v>9</v>
      </c>
      <c r="AU223" s="13">
        <f t="shared" si="43"/>
        <v>12</v>
      </c>
      <c r="AV223" s="13">
        <f t="shared" si="43"/>
        <v>10</v>
      </c>
      <c r="AW223" s="13">
        <f t="shared" si="43"/>
        <v>13</v>
      </c>
      <c r="AX223" s="13">
        <f t="shared" si="43"/>
        <v>15</v>
      </c>
      <c r="AY223" s="13">
        <f t="shared" si="43"/>
        <v>15</v>
      </c>
      <c r="AZ223" s="13">
        <f t="shared" si="43"/>
        <v>4</v>
      </c>
      <c r="BA223" s="13">
        <f t="shared" si="43"/>
        <v>584</v>
      </c>
      <c r="BB223" s="5"/>
      <c r="BC223" s="5"/>
    </row>
    <row r="224" ht="12.75" customHeight="1">
      <c r="A224" s="24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75"/>
      <c r="AF224" s="75"/>
      <c r="AG224" s="75"/>
      <c r="AH224" s="75"/>
      <c r="AI224" s="75"/>
      <c r="AJ224" s="75"/>
      <c r="AK224" s="75"/>
      <c r="AL224" s="75"/>
      <c r="AM224" s="75"/>
      <c r="AN224" s="75"/>
      <c r="AO224" s="75"/>
      <c r="AP224" s="75"/>
      <c r="AQ224" s="75"/>
      <c r="AR224" s="75"/>
      <c r="AS224" s="75"/>
      <c r="AT224" s="75"/>
      <c r="AU224" s="75"/>
      <c r="AV224" s="75"/>
      <c r="AW224" s="75"/>
      <c r="AX224" s="75"/>
      <c r="AY224" s="75"/>
      <c r="AZ224" s="75"/>
      <c r="BA224" s="75"/>
      <c r="BB224" s="5"/>
      <c r="BC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4.0</v>
      </c>
      <c r="G225" s="19">
        <v>0.0</v>
      </c>
      <c r="H225" s="19">
        <v>0.0</v>
      </c>
      <c r="I225" s="19">
        <v>1.0</v>
      </c>
      <c r="J225" s="19">
        <v>2.0</v>
      </c>
      <c r="K225" s="19">
        <v>0.0</v>
      </c>
      <c r="L225" s="19">
        <v>2.0</v>
      </c>
      <c r="M225" s="19">
        <v>0.0</v>
      </c>
      <c r="N225" s="19">
        <v>0.0</v>
      </c>
      <c r="O225" s="19">
        <v>0.0</v>
      </c>
      <c r="P225" s="19">
        <v>0.0</v>
      </c>
      <c r="Q225" s="19">
        <v>1.0</v>
      </c>
      <c r="R225" s="19">
        <v>0.0</v>
      </c>
      <c r="S225" s="19">
        <v>2.0</v>
      </c>
      <c r="T225" s="19">
        <v>1.0</v>
      </c>
      <c r="U225" s="19">
        <v>0.0</v>
      </c>
      <c r="V225" s="19">
        <v>0.0</v>
      </c>
      <c r="W225" s="19">
        <v>0.0</v>
      </c>
      <c r="X225" s="19">
        <v>1.0</v>
      </c>
      <c r="Y225" s="19">
        <v>0.0</v>
      </c>
      <c r="Z225" s="19">
        <v>0.0</v>
      </c>
      <c r="AA225" s="19">
        <v>0.0</v>
      </c>
      <c r="AB225" s="19">
        <v>0.0</v>
      </c>
      <c r="AC225" s="19">
        <v>0.0</v>
      </c>
      <c r="AD225" s="19">
        <v>0.0</v>
      </c>
      <c r="AE225" s="19">
        <v>0.0</v>
      </c>
      <c r="AF225" s="19">
        <v>0.0</v>
      </c>
      <c r="AG225" s="19">
        <v>0.0</v>
      </c>
      <c r="AH225" s="19">
        <v>0.0</v>
      </c>
      <c r="AI225" s="19">
        <v>0.0</v>
      </c>
      <c r="AJ225" s="19">
        <v>0.0</v>
      </c>
      <c r="AK225" s="19">
        <v>0.0</v>
      </c>
      <c r="AL225" s="19">
        <v>0.0</v>
      </c>
      <c r="AM225" s="19">
        <v>0.0</v>
      </c>
      <c r="AN225" s="19">
        <v>0.0</v>
      </c>
      <c r="AO225" s="19">
        <v>0.0</v>
      </c>
      <c r="AP225" s="19">
        <v>0.0</v>
      </c>
      <c r="AQ225" s="19">
        <v>1.0</v>
      </c>
      <c r="AR225" s="19">
        <v>0.0</v>
      </c>
      <c r="AS225" s="19">
        <v>0.0</v>
      </c>
      <c r="AT225" s="19">
        <v>0.0</v>
      </c>
      <c r="AU225" s="19">
        <v>1.0</v>
      </c>
      <c r="AV225" s="19">
        <v>0.0</v>
      </c>
      <c r="AW225" s="19">
        <v>0.0</v>
      </c>
      <c r="AX225" s="19">
        <v>1.0</v>
      </c>
      <c r="AY225" s="19">
        <v>2.0</v>
      </c>
      <c r="AZ225" s="19">
        <v>0.0</v>
      </c>
      <c r="BA225" s="13">
        <f t="shared" ref="BA225:BA232" si="44">SUM(E225:AZ225)</f>
        <v>19</v>
      </c>
      <c r="BB225" s="5"/>
      <c r="BC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14.0</v>
      </c>
      <c r="G226" s="19">
        <v>7.0</v>
      </c>
      <c r="H226" s="19">
        <v>4.0</v>
      </c>
      <c r="I226" s="19">
        <v>2.0</v>
      </c>
      <c r="J226" s="19">
        <v>5.0</v>
      </c>
      <c r="K226" s="19">
        <v>3.0</v>
      </c>
      <c r="L226" s="19">
        <v>2.0</v>
      </c>
      <c r="M226" s="19">
        <v>1.0</v>
      </c>
      <c r="N226" s="19">
        <v>0.0</v>
      </c>
      <c r="O226" s="19">
        <v>0.0</v>
      </c>
      <c r="P226" s="19">
        <v>5.0</v>
      </c>
      <c r="Q226" s="19">
        <v>0.0</v>
      </c>
      <c r="R226" s="19">
        <v>1.0</v>
      </c>
      <c r="S226" s="19">
        <v>0.0</v>
      </c>
      <c r="T226" s="19">
        <v>1.0</v>
      </c>
      <c r="U226" s="19">
        <v>0.0</v>
      </c>
      <c r="V226" s="19">
        <v>2.0</v>
      </c>
      <c r="W226" s="19">
        <v>0.0</v>
      </c>
      <c r="X226" s="19">
        <v>1.0</v>
      </c>
      <c r="Y226" s="19">
        <v>0.0</v>
      </c>
      <c r="Z226" s="19">
        <v>0.0</v>
      </c>
      <c r="AA226" s="19">
        <v>0.0</v>
      </c>
      <c r="AB226" s="19">
        <v>0.0</v>
      </c>
      <c r="AC226" s="19">
        <v>2.0</v>
      </c>
      <c r="AD226" s="19">
        <v>1.0</v>
      </c>
      <c r="AE226" s="19">
        <v>0.0</v>
      </c>
      <c r="AF226" s="19">
        <v>0.0</v>
      </c>
      <c r="AG226" s="19">
        <v>0.0</v>
      </c>
      <c r="AH226" s="19">
        <v>0.0</v>
      </c>
      <c r="AI226" s="19">
        <v>0.0</v>
      </c>
      <c r="AJ226" s="19">
        <v>0.0</v>
      </c>
      <c r="AK226" s="19">
        <v>0.0</v>
      </c>
      <c r="AL226" s="19">
        <v>0.0</v>
      </c>
      <c r="AM226" s="19">
        <v>0.0</v>
      </c>
      <c r="AN226" s="19">
        <v>0.0</v>
      </c>
      <c r="AO226" s="19">
        <v>0.0</v>
      </c>
      <c r="AP226" s="19">
        <v>1.0</v>
      </c>
      <c r="AQ226" s="19">
        <v>0.0</v>
      </c>
      <c r="AR226" s="19">
        <v>0.0</v>
      </c>
      <c r="AS226" s="19">
        <v>0.0</v>
      </c>
      <c r="AT226" s="19">
        <v>0.0</v>
      </c>
      <c r="AU226" s="19">
        <v>0.0</v>
      </c>
      <c r="AV226" s="19">
        <v>0.0</v>
      </c>
      <c r="AW226" s="19">
        <v>0.0</v>
      </c>
      <c r="AX226" s="19">
        <v>4.0</v>
      </c>
      <c r="AY226" s="19">
        <v>0.0</v>
      </c>
      <c r="AZ226" s="19">
        <v>0.0</v>
      </c>
      <c r="BA226" s="13">
        <f t="shared" si="44"/>
        <v>56</v>
      </c>
      <c r="BB226" s="5"/>
      <c r="BC226" s="5"/>
    </row>
    <row r="227" ht="12.75" customHeight="1">
      <c r="A227" s="18"/>
      <c r="B227" s="55">
        <v>2.0</v>
      </c>
      <c r="C227" s="50" t="s">
        <v>167</v>
      </c>
      <c r="D227" s="57"/>
      <c r="E227" s="19">
        <v>1.0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1.0</v>
      </c>
      <c r="AB227" s="19">
        <v>0.0</v>
      </c>
      <c r="AC227" s="19">
        <v>0.0</v>
      </c>
      <c r="AD227" s="19">
        <v>0.0</v>
      </c>
      <c r="AE227" s="19">
        <v>0.0</v>
      </c>
      <c r="AF227" s="19">
        <v>0.0</v>
      </c>
      <c r="AG227" s="19">
        <v>0.0</v>
      </c>
      <c r="AH227" s="19">
        <v>0.0</v>
      </c>
      <c r="AI227" s="19">
        <v>0.0</v>
      </c>
      <c r="AJ227" s="19">
        <v>0.0</v>
      </c>
      <c r="AK227" s="19">
        <v>0.0</v>
      </c>
      <c r="AL227" s="19">
        <v>0.0</v>
      </c>
      <c r="AM227" s="19">
        <v>0.0</v>
      </c>
      <c r="AN227" s="19">
        <v>0.0</v>
      </c>
      <c r="AO227" s="19">
        <v>0.0</v>
      </c>
      <c r="AP227" s="19">
        <v>0.0</v>
      </c>
      <c r="AQ227" s="19">
        <v>0.0</v>
      </c>
      <c r="AR227" s="19">
        <v>0.0</v>
      </c>
      <c r="AS227" s="19">
        <v>0.0</v>
      </c>
      <c r="AT227" s="19">
        <v>0.0</v>
      </c>
      <c r="AU227" s="19">
        <v>0.0</v>
      </c>
      <c r="AV227" s="19">
        <v>0.0</v>
      </c>
      <c r="AW227" s="19">
        <v>0.0</v>
      </c>
      <c r="AX227" s="19">
        <v>0.0</v>
      </c>
      <c r="AY227" s="19">
        <v>0.0</v>
      </c>
      <c r="AZ227" s="19">
        <v>0.0</v>
      </c>
      <c r="BA227" s="13">
        <f t="shared" si="44"/>
        <v>2</v>
      </c>
      <c r="BB227" s="5"/>
      <c r="BC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1.0</v>
      </c>
      <c r="S228" s="19">
        <v>0.0</v>
      </c>
      <c r="T228" s="19">
        <v>0.0</v>
      </c>
      <c r="U228" s="19">
        <v>0.0</v>
      </c>
      <c r="V228" s="19">
        <v>1.0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0.0</v>
      </c>
      <c r="AI228" s="19">
        <v>0.0</v>
      </c>
      <c r="AJ228" s="19">
        <v>0.0</v>
      </c>
      <c r="AK228" s="19">
        <v>0.0</v>
      </c>
      <c r="AL228" s="19">
        <v>0.0</v>
      </c>
      <c r="AM228" s="19">
        <v>1.0</v>
      </c>
      <c r="AN228" s="19">
        <v>1.0</v>
      </c>
      <c r="AO228" s="19">
        <v>0.0</v>
      </c>
      <c r="AP228" s="19">
        <v>1.0</v>
      </c>
      <c r="AQ228" s="19">
        <v>0.0</v>
      </c>
      <c r="AR228" s="19">
        <v>1.0</v>
      </c>
      <c r="AS228" s="19">
        <v>0.0</v>
      </c>
      <c r="AT228" s="19">
        <v>0.0</v>
      </c>
      <c r="AU228" s="19">
        <v>0.0</v>
      </c>
      <c r="AV228" s="19">
        <v>0.0</v>
      </c>
      <c r="AW228" s="19">
        <v>0.0</v>
      </c>
      <c r="AX228" s="19">
        <v>0.0</v>
      </c>
      <c r="AY228" s="19">
        <v>0.0</v>
      </c>
      <c r="AZ228" s="19">
        <v>0.0</v>
      </c>
      <c r="BA228" s="13">
        <f t="shared" si="44"/>
        <v>6</v>
      </c>
      <c r="BB228" s="5"/>
      <c r="BC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9">
        <v>0.0</v>
      </c>
      <c r="AL229" s="19">
        <v>0.0</v>
      </c>
      <c r="AM229" s="19">
        <v>1.0</v>
      </c>
      <c r="AN229" s="19">
        <v>0.0</v>
      </c>
      <c r="AO229" s="19">
        <v>0.0</v>
      </c>
      <c r="AP229" s="19">
        <v>0.0</v>
      </c>
      <c r="AQ229" s="19">
        <v>0.0</v>
      </c>
      <c r="AR229" s="19">
        <v>0.0</v>
      </c>
      <c r="AS229" s="19">
        <v>0.0</v>
      </c>
      <c r="AT229" s="19">
        <v>0.0</v>
      </c>
      <c r="AU229" s="19">
        <v>0.0</v>
      </c>
      <c r="AV229" s="19">
        <v>0.0</v>
      </c>
      <c r="AW229" s="19">
        <v>0.0</v>
      </c>
      <c r="AX229" s="19">
        <v>0.0</v>
      </c>
      <c r="AY229" s="19">
        <v>0.0</v>
      </c>
      <c r="AZ229" s="19">
        <v>0.0</v>
      </c>
      <c r="BA229" s="13">
        <f t="shared" si="44"/>
        <v>1</v>
      </c>
      <c r="BB229" s="1"/>
      <c r="BC229" s="1"/>
    </row>
    <row r="230" ht="12.75" customHeight="1">
      <c r="A230" s="18"/>
      <c r="B230" s="55">
        <v>5.0</v>
      </c>
      <c r="C230" s="50" t="s">
        <v>170</v>
      </c>
      <c r="D230" s="57"/>
      <c r="E230" s="19">
        <v>1.0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1.0</v>
      </c>
      <c r="AD230" s="19">
        <v>0.0</v>
      </c>
      <c r="AE230" s="19">
        <v>0.0</v>
      </c>
      <c r="AF230" s="19">
        <v>0.0</v>
      </c>
      <c r="AG230" s="19">
        <v>0.0</v>
      </c>
      <c r="AH230" s="19">
        <v>0.0</v>
      </c>
      <c r="AI230" s="19">
        <v>1.0</v>
      </c>
      <c r="AJ230" s="19">
        <v>0.0</v>
      </c>
      <c r="AK230" s="19">
        <v>0.0</v>
      </c>
      <c r="AL230" s="19">
        <v>0.0</v>
      </c>
      <c r="AM230" s="19">
        <v>0.0</v>
      </c>
      <c r="AN230" s="19">
        <v>0.0</v>
      </c>
      <c r="AO230" s="19">
        <v>0.0</v>
      </c>
      <c r="AP230" s="19">
        <v>0.0</v>
      </c>
      <c r="AQ230" s="19">
        <v>0.0</v>
      </c>
      <c r="AR230" s="19">
        <v>0.0</v>
      </c>
      <c r="AS230" s="19">
        <v>0.0</v>
      </c>
      <c r="AT230" s="19">
        <v>1.0</v>
      </c>
      <c r="AU230" s="19">
        <v>0.0</v>
      </c>
      <c r="AV230" s="19">
        <v>0.0</v>
      </c>
      <c r="AW230" s="19">
        <v>0.0</v>
      </c>
      <c r="AX230" s="19">
        <v>0.0</v>
      </c>
      <c r="AY230" s="19">
        <v>0.0</v>
      </c>
      <c r="AZ230" s="19">
        <v>0.0</v>
      </c>
      <c r="BA230" s="13">
        <f t="shared" si="44"/>
        <v>4</v>
      </c>
      <c r="BB230" s="52"/>
      <c r="BC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9">
        <v>0.0</v>
      </c>
      <c r="AK231" s="19">
        <v>0.0</v>
      </c>
      <c r="AL231" s="19">
        <v>0.0</v>
      </c>
      <c r="AM231" s="19">
        <v>0.0</v>
      </c>
      <c r="AN231" s="19">
        <v>0.0</v>
      </c>
      <c r="AO231" s="19">
        <v>0.0</v>
      </c>
      <c r="AP231" s="19">
        <v>0.0</v>
      </c>
      <c r="AQ231" s="19">
        <v>0.0</v>
      </c>
      <c r="AR231" s="19">
        <v>0.0</v>
      </c>
      <c r="AS231" s="19">
        <v>0.0</v>
      </c>
      <c r="AT231" s="19">
        <v>0.0</v>
      </c>
      <c r="AU231" s="19">
        <v>0.0</v>
      </c>
      <c r="AV231" s="19">
        <v>0.0</v>
      </c>
      <c r="AW231" s="19">
        <v>0.0</v>
      </c>
      <c r="AX231" s="19">
        <v>0.0</v>
      </c>
      <c r="AY231" s="19">
        <v>1.0</v>
      </c>
      <c r="AZ231" s="19">
        <v>0.0</v>
      </c>
      <c r="BA231" s="13">
        <f t="shared" si="44"/>
        <v>1</v>
      </c>
      <c r="BB231" s="5"/>
      <c r="BC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3.0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2.0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1.0</v>
      </c>
      <c r="S232" s="19">
        <v>2.0</v>
      </c>
      <c r="T232" s="19">
        <v>0.0</v>
      </c>
      <c r="U232" s="19">
        <v>0.0</v>
      </c>
      <c r="V232" s="19">
        <v>3.0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0.0</v>
      </c>
      <c r="AB232" s="19">
        <v>0.0</v>
      </c>
      <c r="AC232" s="19">
        <v>0.0</v>
      </c>
      <c r="AD232" s="19">
        <v>0.0</v>
      </c>
      <c r="AE232" s="19">
        <v>0.0</v>
      </c>
      <c r="AF232" s="19">
        <v>0.0</v>
      </c>
      <c r="AG232" s="19">
        <v>0.0</v>
      </c>
      <c r="AH232" s="19">
        <v>0.0</v>
      </c>
      <c r="AI232" s="19">
        <v>1.0</v>
      </c>
      <c r="AJ232" s="19">
        <v>0.0</v>
      </c>
      <c r="AK232" s="19">
        <v>1.0</v>
      </c>
      <c r="AL232" s="19">
        <v>1.0</v>
      </c>
      <c r="AM232" s="19">
        <v>1.0</v>
      </c>
      <c r="AN232" s="19">
        <v>0.0</v>
      </c>
      <c r="AO232" s="19">
        <v>0.0</v>
      </c>
      <c r="AP232" s="19">
        <v>0.0</v>
      </c>
      <c r="AQ232" s="19">
        <v>0.0</v>
      </c>
      <c r="AR232" s="19">
        <v>0.0</v>
      </c>
      <c r="AS232" s="19">
        <v>0.0</v>
      </c>
      <c r="AT232" s="19">
        <v>1.0</v>
      </c>
      <c r="AU232" s="19">
        <v>1.0</v>
      </c>
      <c r="AV232" s="19">
        <v>1.0</v>
      </c>
      <c r="AW232" s="19">
        <v>0.0</v>
      </c>
      <c r="AX232" s="19">
        <v>0.0</v>
      </c>
      <c r="AY232" s="19">
        <v>1.0</v>
      </c>
      <c r="AZ232" s="19">
        <v>0.0</v>
      </c>
      <c r="BA232" s="13">
        <f t="shared" si="44"/>
        <v>19</v>
      </c>
      <c r="BB232" s="5"/>
      <c r="BC232" s="5"/>
    </row>
    <row r="233" ht="12.75" customHeight="1">
      <c r="A233" s="18"/>
      <c r="B233" s="71"/>
      <c r="C233" s="72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79"/>
      <c r="BB233" s="5"/>
      <c r="BC233" s="5"/>
    </row>
    <row r="234" ht="12.75" customHeight="1">
      <c r="A234" s="18"/>
      <c r="B234" s="71"/>
      <c r="C234" s="72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79"/>
      <c r="BB234" s="5"/>
      <c r="BC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BA235" si="45">SUM(E225:E234)</f>
        <v>2</v>
      </c>
      <c r="F235" s="13">
        <f t="shared" si="45"/>
        <v>21</v>
      </c>
      <c r="G235" s="13">
        <f t="shared" si="45"/>
        <v>7</v>
      </c>
      <c r="H235" s="13">
        <f t="shared" si="45"/>
        <v>4</v>
      </c>
      <c r="I235" s="13">
        <f t="shared" si="45"/>
        <v>3</v>
      </c>
      <c r="J235" s="13">
        <f t="shared" si="45"/>
        <v>7</v>
      </c>
      <c r="K235" s="13">
        <f t="shared" si="45"/>
        <v>3</v>
      </c>
      <c r="L235" s="13">
        <f t="shared" si="45"/>
        <v>6</v>
      </c>
      <c r="M235" s="13">
        <f t="shared" si="45"/>
        <v>1</v>
      </c>
      <c r="N235" s="13">
        <f t="shared" si="45"/>
        <v>0</v>
      </c>
      <c r="O235" s="13">
        <f t="shared" si="45"/>
        <v>0</v>
      </c>
      <c r="P235" s="13">
        <f t="shared" si="45"/>
        <v>5</v>
      </c>
      <c r="Q235" s="13">
        <f t="shared" si="45"/>
        <v>1</v>
      </c>
      <c r="R235" s="13">
        <f t="shared" si="45"/>
        <v>3</v>
      </c>
      <c r="S235" s="13">
        <f t="shared" si="45"/>
        <v>4</v>
      </c>
      <c r="T235" s="13">
        <f t="shared" si="45"/>
        <v>2</v>
      </c>
      <c r="U235" s="13">
        <f t="shared" si="45"/>
        <v>0</v>
      </c>
      <c r="V235" s="13">
        <f t="shared" si="45"/>
        <v>6</v>
      </c>
      <c r="W235" s="13">
        <f t="shared" si="45"/>
        <v>0</v>
      </c>
      <c r="X235" s="13">
        <f t="shared" si="45"/>
        <v>2</v>
      </c>
      <c r="Y235" s="13">
        <f t="shared" si="45"/>
        <v>0</v>
      </c>
      <c r="Z235" s="13">
        <f t="shared" si="45"/>
        <v>0</v>
      </c>
      <c r="AA235" s="13">
        <f t="shared" si="45"/>
        <v>1</v>
      </c>
      <c r="AB235" s="13">
        <f t="shared" si="45"/>
        <v>0</v>
      </c>
      <c r="AC235" s="13">
        <f t="shared" si="45"/>
        <v>3</v>
      </c>
      <c r="AD235" s="13">
        <f t="shared" si="45"/>
        <v>1</v>
      </c>
      <c r="AE235" s="13">
        <f t="shared" si="45"/>
        <v>0</v>
      </c>
      <c r="AF235" s="13">
        <f t="shared" si="45"/>
        <v>0</v>
      </c>
      <c r="AG235" s="13">
        <f t="shared" si="45"/>
        <v>0</v>
      </c>
      <c r="AH235" s="13">
        <f t="shared" si="45"/>
        <v>0</v>
      </c>
      <c r="AI235" s="13">
        <f t="shared" si="45"/>
        <v>2</v>
      </c>
      <c r="AJ235" s="13">
        <f t="shared" si="45"/>
        <v>0</v>
      </c>
      <c r="AK235" s="13">
        <f t="shared" si="45"/>
        <v>1</v>
      </c>
      <c r="AL235" s="13">
        <f t="shared" si="45"/>
        <v>1</v>
      </c>
      <c r="AM235" s="13">
        <f t="shared" si="45"/>
        <v>3</v>
      </c>
      <c r="AN235" s="13">
        <f t="shared" si="45"/>
        <v>1</v>
      </c>
      <c r="AO235" s="13">
        <f t="shared" si="45"/>
        <v>0</v>
      </c>
      <c r="AP235" s="13">
        <f t="shared" si="45"/>
        <v>2</v>
      </c>
      <c r="AQ235" s="13">
        <f t="shared" si="45"/>
        <v>1</v>
      </c>
      <c r="AR235" s="13">
        <f t="shared" si="45"/>
        <v>1</v>
      </c>
      <c r="AS235" s="13">
        <f t="shared" si="45"/>
        <v>0</v>
      </c>
      <c r="AT235" s="13">
        <f t="shared" si="45"/>
        <v>2</v>
      </c>
      <c r="AU235" s="13">
        <f t="shared" si="45"/>
        <v>2</v>
      </c>
      <c r="AV235" s="13">
        <f t="shared" si="45"/>
        <v>1</v>
      </c>
      <c r="AW235" s="13">
        <f t="shared" si="45"/>
        <v>0</v>
      </c>
      <c r="AX235" s="13">
        <f t="shared" si="45"/>
        <v>5</v>
      </c>
      <c r="AY235" s="13">
        <f t="shared" si="45"/>
        <v>4</v>
      </c>
      <c r="AZ235" s="13">
        <f t="shared" si="45"/>
        <v>0</v>
      </c>
      <c r="BA235" s="13">
        <f t="shared" si="45"/>
        <v>108</v>
      </c>
      <c r="BB235" s="5"/>
      <c r="BC235" s="5"/>
    </row>
    <row r="236" ht="12.75" customHeight="1">
      <c r="A236" s="24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75"/>
      <c r="AE236" s="75"/>
      <c r="AF236" s="75"/>
      <c r="AG236" s="75"/>
      <c r="AH236" s="75"/>
      <c r="AI236" s="75"/>
      <c r="AJ236" s="75"/>
      <c r="AK236" s="75"/>
      <c r="AL236" s="75"/>
      <c r="AM236" s="75"/>
      <c r="AN236" s="75"/>
      <c r="AO236" s="75"/>
      <c r="AP236" s="75"/>
      <c r="AQ236" s="75"/>
      <c r="AR236" s="75"/>
      <c r="AS236" s="75"/>
      <c r="AT236" s="75"/>
      <c r="AU236" s="75"/>
      <c r="AV236" s="75"/>
      <c r="AW236" s="75"/>
      <c r="AX236" s="75"/>
      <c r="AY236" s="75"/>
      <c r="AZ236" s="75"/>
      <c r="BA236" s="75"/>
      <c r="BB236" s="5"/>
      <c r="BC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1.0</v>
      </c>
      <c r="H237" s="19">
        <v>0.0</v>
      </c>
      <c r="I237" s="19">
        <v>1.0</v>
      </c>
      <c r="J237" s="19">
        <v>0.0</v>
      </c>
      <c r="K237" s="19">
        <v>3.0</v>
      </c>
      <c r="L237" s="19">
        <v>1.0</v>
      </c>
      <c r="M237" s="19">
        <v>0.0</v>
      </c>
      <c r="N237" s="19">
        <v>5.0</v>
      </c>
      <c r="O237" s="19">
        <v>0.0</v>
      </c>
      <c r="P237" s="19">
        <v>1.0</v>
      </c>
      <c r="Q237" s="19">
        <v>0.0</v>
      </c>
      <c r="R237" s="19">
        <v>0.0</v>
      </c>
      <c r="S237" s="19">
        <v>7.0</v>
      </c>
      <c r="T237" s="19">
        <v>8.0</v>
      </c>
      <c r="U237" s="19">
        <v>2.0</v>
      </c>
      <c r="V237" s="19">
        <v>2.0</v>
      </c>
      <c r="W237" s="19">
        <v>0.0</v>
      </c>
      <c r="X237" s="19">
        <v>0.0</v>
      </c>
      <c r="Y237" s="19">
        <v>3.0</v>
      </c>
      <c r="Z237" s="19">
        <v>2.0</v>
      </c>
      <c r="AA237" s="19">
        <v>2.0</v>
      </c>
      <c r="AB237" s="19">
        <v>2.0</v>
      </c>
      <c r="AC237" s="19">
        <v>1.0</v>
      </c>
      <c r="AD237" s="19">
        <v>2.0</v>
      </c>
      <c r="AE237" s="19">
        <v>1.0</v>
      </c>
      <c r="AF237" s="19">
        <v>1.0</v>
      </c>
      <c r="AG237" s="19">
        <v>0.0</v>
      </c>
      <c r="AH237" s="19">
        <v>3.0</v>
      </c>
      <c r="AI237" s="19">
        <v>0.0</v>
      </c>
      <c r="AJ237" s="19">
        <v>0.0</v>
      </c>
      <c r="AK237" s="19">
        <v>1.0</v>
      </c>
      <c r="AL237" s="19">
        <v>0.0</v>
      </c>
      <c r="AM237" s="19">
        <v>0.0</v>
      </c>
      <c r="AN237" s="19">
        <v>0.0</v>
      </c>
      <c r="AO237" s="19">
        <v>0.0</v>
      </c>
      <c r="AP237" s="19">
        <v>4.0</v>
      </c>
      <c r="AQ237" s="19">
        <v>1.0</v>
      </c>
      <c r="AR237" s="19">
        <v>0.0</v>
      </c>
      <c r="AS237" s="19">
        <v>1.0</v>
      </c>
      <c r="AT237" s="19">
        <v>1.0</v>
      </c>
      <c r="AU237" s="19">
        <v>0.0</v>
      </c>
      <c r="AV237" s="19">
        <v>0.0</v>
      </c>
      <c r="AW237" s="19">
        <v>2.0</v>
      </c>
      <c r="AX237" s="19">
        <v>1.0</v>
      </c>
      <c r="AY237" s="19">
        <v>0.0</v>
      </c>
      <c r="AZ237" s="19">
        <v>1.0</v>
      </c>
      <c r="BA237" s="13">
        <f t="shared" ref="BA237:BA244" si="46">SUM(E237:AZ237)</f>
        <v>60</v>
      </c>
      <c r="BB237" s="5"/>
      <c r="BC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1.0</v>
      </c>
      <c r="F238" s="19">
        <v>2.0</v>
      </c>
      <c r="G238" s="19">
        <v>0.0</v>
      </c>
      <c r="H238" s="19">
        <v>0.0</v>
      </c>
      <c r="I238" s="19">
        <v>0.0</v>
      </c>
      <c r="J238" s="19">
        <v>0.0</v>
      </c>
      <c r="K238" s="19">
        <v>1.0</v>
      </c>
      <c r="L238" s="19">
        <v>1.0</v>
      </c>
      <c r="M238" s="19">
        <v>1.0</v>
      </c>
      <c r="N238" s="19">
        <v>2.0</v>
      </c>
      <c r="O238" s="19">
        <v>0.0</v>
      </c>
      <c r="P238" s="19">
        <v>0.0</v>
      </c>
      <c r="Q238" s="19">
        <v>0.0</v>
      </c>
      <c r="R238" s="19">
        <v>0.0</v>
      </c>
      <c r="S238" s="19">
        <v>2.0</v>
      </c>
      <c r="T238" s="19">
        <v>6.0</v>
      </c>
      <c r="U238" s="19">
        <v>5.0</v>
      </c>
      <c r="V238" s="19">
        <v>3.0</v>
      </c>
      <c r="W238" s="19">
        <v>0.0</v>
      </c>
      <c r="X238" s="19">
        <v>0.0</v>
      </c>
      <c r="Y238" s="19">
        <v>1.0</v>
      </c>
      <c r="Z238" s="19">
        <v>0.0</v>
      </c>
      <c r="AA238" s="19">
        <v>1.0</v>
      </c>
      <c r="AB238" s="19">
        <v>0.0</v>
      </c>
      <c r="AC238" s="19">
        <v>0.0</v>
      </c>
      <c r="AD238" s="19">
        <v>0.0</v>
      </c>
      <c r="AE238" s="19">
        <v>1.0</v>
      </c>
      <c r="AF238" s="19">
        <v>0.0</v>
      </c>
      <c r="AG238" s="19">
        <v>0.0</v>
      </c>
      <c r="AH238" s="19">
        <v>1.0</v>
      </c>
      <c r="AI238" s="19">
        <v>1.0</v>
      </c>
      <c r="AJ238" s="19">
        <v>0.0</v>
      </c>
      <c r="AK238" s="19">
        <v>2.0</v>
      </c>
      <c r="AL238" s="19">
        <v>0.0</v>
      </c>
      <c r="AM238" s="19">
        <v>0.0</v>
      </c>
      <c r="AN238" s="19">
        <v>1.0</v>
      </c>
      <c r="AO238" s="19">
        <v>0.0</v>
      </c>
      <c r="AP238" s="19">
        <v>0.0</v>
      </c>
      <c r="AQ238" s="19">
        <v>0.0</v>
      </c>
      <c r="AR238" s="19">
        <v>0.0</v>
      </c>
      <c r="AS238" s="19">
        <v>1.0</v>
      </c>
      <c r="AT238" s="19">
        <v>0.0</v>
      </c>
      <c r="AU238" s="19">
        <v>0.0</v>
      </c>
      <c r="AV238" s="19">
        <v>0.0</v>
      </c>
      <c r="AW238" s="19">
        <v>1.0</v>
      </c>
      <c r="AX238" s="19">
        <v>0.0</v>
      </c>
      <c r="AY238" s="19">
        <v>0.0</v>
      </c>
      <c r="AZ238" s="19">
        <v>0.0</v>
      </c>
      <c r="BA238" s="13">
        <f t="shared" si="46"/>
        <v>34</v>
      </c>
      <c r="BB238" s="5"/>
      <c r="BC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1.0</v>
      </c>
      <c r="G239" s="19">
        <v>0.0</v>
      </c>
      <c r="H239" s="19">
        <v>1.0</v>
      </c>
      <c r="I239" s="19">
        <v>0.0</v>
      </c>
      <c r="J239" s="19">
        <v>0.0</v>
      </c>
      <c r="K239" s="19">
        <v>1.0</v>
      </c>
      <c r="L239" s="19">
        <v>0.0</v>
      </c>
      <c r="M239" s="19">
        <v>0.0</v>
      </c>
      <c r="N239" s="19">
        <v>0.0</v>
      </c>
      <c r="O239" s="19">
        <v>0.0</v>
      </c>
      <c r="P239" s="19">
        <v>0.0</v>
      </c>
      <c r="Q239" s="19">
        <v>0.0</v>
      </c>
      <c r="R239" s="19">
        <v>0.0</v>
      </c>
      <c r="S239" s="19">
        <v>0.0</v>
      </c>
      <c r="T239" s="19">
        <v>6.0</v>
      </c>
      <c r="U239" s="19">
        <v>3.0</v>
      </c>
      <c r="V239" s="19">
        <v>3.0</v>
      </c>
      <c r="W239" s="19">
        <v>0.0</v>
      </c>
      <c r="X239" s="19">
        <v>0.0</v>
      </c>
      <c r="Y239" s="19">
        <v>0.0</v>
      </c>
      <c r="Z239" s="19">
        <v>0.0</v>
      </c>
      <c r="AA239" s="19">
        <v>0.0</v>
      </c>
      <c r="AB239" s="19">
        <v>0.0</v>
      </c>
      <c r="AC239" s="19">
        <v>0.0</v>
      </c>
      <c r="AD239" s="19">
        <v>1.0</v>
      </c>
      <c r="AE239" s="19">
        <v>2.0</v>
      </c>
      <c r="AF239" s="19">
        <v>0.0</v>
      </c>
      <c r="AG239" s="19">
        <v>0.0</v>
      </c>
      <c r="AH239" s="19">
        <v>1.0</v>
      </c>
      <c r="AI239" s="19">
        <v>1.0</v>
      </c>
      <c r="AJ239" s="19">
        <v>0.0</v>
      </c>
      <c r="AK239" s="19">
        <v>0.0</v>
      </c>
      <c r="AL239" s="19">
        <v>0.0</v>
      </c>
      <c r="AM239" s="19">
        <v>0.0</v>
      </c>
      <c r="AN239" s="19">
        <v>0.0</v>
      </c>
      <c r="AO239" s="19">
        <v>0.0</v>
      </c>
      <c r="AP239" s="19">
        <v>2.0</v>
      </c>
      <c r="AQ239" s="19">
        <v>2.0</v>
      </c>
      <c r="AR239" s="19">
        <v>0.0</v>
      </c>
      <c r="AS239" s="19">
        <v>3.0</v>
      </c>
      <c r="AT239" s="19">
        <v>1.0</v>
      </c>
      <c r="AU239" s="19">
        <v>0.0</v>
      </c>
      <c r="AV239" s="19">
        <v>1.0</v>
      </c>
      <c r="AW239" s="19">
        <v>0.0</v>
      </c>
      <c r="AX239" s="19">
        <v>1.0</v>
      </c>
      <c r="AY239" s="19">
        <v>0.0</v>
      </c>
      <c r="AZ239" s="19">
        <v>0.0</v>
      </c>
      <c r="BA239" s="13">
        <f t="shared" si="46"/>
        <v>30</v>
      </c>
      <c r="BB239" s="5"/>
      <c r="BC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1.0</v>
      </c>
      <c r="G240" s="19">
        <v>1.0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1.0</v>
      </c>
      <c r="T240" s="19">
        <v>1.0</v>
      </c>
      <c r="U240" s="19">
        <v>1.0</v>
      </c>
      <c r="V240" s="19">
        <v>0.0</v>
      </c>
      <c r="W240" s="19">
        <v>0.0</v>
      </c>
      <c r="X240" s="19">
        <v>0.0</v>
      </c>
      <c r="Y240" s="19">
        <v>0.0</v>
      </c>
      <c r="Z240" s="19">
        <v>0.0</v>
      </c>
      <c r="AA240" s="19">
        <v>1.0</v>
      </c>
      <c r="AB240" s="19">
        <v>1.0</v>
      </c>
      <c r="AC240" s="19">
        <v>0.0</v>
      </c>
      <c r="AD240" s="19">
        <v>0.0</v>
      </c>
      <c r="AE240" s="19">
        <v>0.0</v>
      </c>
      <c r="AF240" s="19">
        <v>0.0</v>
      </c>
      <c r="AG240" s="19">
        <v>0.0</v>
      </c>
      <c r="AH240" s="19">
        <v>0.0</v>
      </c>
      <c r="AI240" s="19">
        <v>0.0</v>
      </c>
      <c r="AJ240" s="19">
        <v>0.0</v>
      </c>
      <c r="AK240" s="19">
        <v>0.0</v>
      </c>
      <c r="AL240" s="19">
        <v>0.0</v>
      </c>
      <c r="AM240" s="19">
        <v>0.0</v>
      </c>
      <c r="AN240" s="19">
        <v>0.0</v>
      </c>
      <c r="AO240" s="19">
        <v>1.0</v>
      </c>
      <c r="AP240" s="19">
        <v>0.0</v>
      </c>
      <c r="AQ240" s="19">
        <v>0.0</v>
      </c>
      <c r="AR240" s="19">
        <v>0.0</v>
      </c>
      <c r="AS240" s="19">
        <v>0.0</v>
      </c>
      <c r="AT240" s="19">
        <v>0.0</v>
      </c>
      <c r="AU240" s="19">
        <v>0.0</v>
      </c>
      <c r="AV240" s="19">
        <v>0.0</v>
      </c>
      <c r="AW240" s="19">
        <v>0.0</v>
      </c>
      <c r="AX240" s="19">
        <v>0.0</v>
      </c>
      <c r="AY240" s="19">
        <v>0.0</v>
      </c>
      <c r="AZ240" s="19">
        <v>0.0</v>
      </c>
      <c r="BA240" s="13">
        <f t="shared" si="46"/>
        <v>8</v>
      </c>
      <c r="BB240" s="1"/>
      <c r="BC240" s="1"/>
    </row>
    <row r="241" ht="12.75" customHeight="1">
      <c r="A241" s="18"/>
      <c r="B241" s="55">
        <v>4.0</v>
      </c>
      <c r="C241" s="50" t="s">
        <v>178</v>
      </c>
      <c r="D241" s="57"/>
      <c r="E241" s="19">
        <v>1.0</v>
      </c>
      <c r="F241" s="19">
        <v>0.0</v>
      </c>
      <c r="G241" s="19">
        <v>0.0</v>
      </c>
      <c r="H241" s="19">
        <v>0.0</v>
      </c>
      <c r="I241" s="19">
        <v>1.0</v>
      </c>
      <c r="J241" s="19">
        <v>0.0</v>
      </c>
      <c r="K241" s="19">
        <v>1.0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1.0</v>
      </c>
      <c r="R241" s="19">
        <v>0.0</v>
      </c>
      <c r="S241" s="19">
        <v>0.0</v>
      </c>
      <c r="T241" s="19">
        <v>0.0</v>
      </c>
      <c r="U241" s="19">
        <v>1.0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1.0</v>
      </c>
      <c r="AC241" s="19">
        <v>0.0</v>
      </c>
      <c r="AD241" s="19">
        <v>1.0</v>
      </c>
      <c r="AE241" s="19">
        <v>0.0</v>
      </c>
      <c r="AF241" s="19">
        <v>1.0</v>
      </c>
      <c r="AG241" s="19">
        <v>0.0</v>
      </c>
      <c r="AH241" s="19">
        <v>0.0</v>
      </c>
      <c r="AI241" s="19">
        <v>0.0</v>
      </c>
      <c r="AJ241" s="19">
        <v>0.0</v>
      </c>
      <c r="AK241" s="19">
        <v>0.0</v>
      </c>
      <c r="AL241" s="19">
        <v>0.0</v>
      </c>
      <c r="AM241" s="19">
        <v>1.0</v>
      </c>
      <c r="AN241" s="19">
        <v>1.0</v>
      </c>
      <c r="AO241" s="19">
        <v>0.0</v>
      </c>
      <c r="AP241" s="19">
        <v>0.0</v>
      </c>
      <c r="AQ241" s="19">
        <v>0.0</v>
      </c>
      <c r="AR241" s="19">
        <v>0.0</v>
      </c>
      <c r="AS241" s="19">
        <v>0.0</v>
      </c>
      <c r="AT241" s="19">
        <v>0.0</v>
      </c>
      <c r="AU241" s="19">
        <v>0.0</v>
      </c>
      <c r="AV241" s="19">
        <v>0.0</v>
      </c>
      <c r="AW241" s="19">
        <v>0.0</v>
      </c>
      <c r="AX241" s="19">
        <v>0.0</v>
      </c>
      <c r="AY241" s="19">
        <v>0.0</v>
      </c>
      <c r="AZ241" s="19">
        <v>0.0</v>
      </c>
      <c r="BA241" s="13">
        <f t="shared" si="46"/>
        <v>10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0.0</v>
      </c>
      <c r="AG242" s="19">
        <v>0.0</v>
      </c>
      <c r="AH242" s="19">
        <v>0.0</v>
      </c>
      <c r="AI242" s="19">
        <v>0.0</v>
      </c>
      <c r="AJ242" s="19">
        <v>0.0</v>
      </c>
      <c r="AK242" s="19">
        <v>0.0</v>
      </c>
      <c r="AL242" s="19">
        <v>0.0</v>
      </c>
      <c r="AM242" s="19">
        <v>0.0</v>
      </c>
      <c r="AN242" s="19">
        <v>0.0</v>
      </c>
      <c r="AO242" s="19">
        <v>0.0</v>
      </c>
      <c r="AP242" s="19">
        <v>0.0</v>
      </c>
      <c r="AQ242" s="19">
        <v>0.0</v>
      </c>
      <c r="AR242" s="19">
        <v>0.0</v>
      </c>
      <c r="AS242" s="19">
        <v>0.0</v>
      </c>
      <c r="AT242" s="19">
        <v>0.0</v>
      </c>
      <c r="AU242" s="19">
        <v>0.0</v>
      </c>
      <c r="AV242" s="19">
        <v>0.0</v>
      </c>
      <c r="AW242" s="19">
        <v>0.0</v>
      </c>
      <c r="AX242" s="19">
        <v>0.0</v>
      </c>
      <c r="AY242" s="19">
        <v>0.0</v>
      </c>
      <c r="AZ242" s="19">
        <v>0.0</v>
      </c>
      <c r="BA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1.0</v>
      </c>
      <c r="N243" s="19">
        <v>1.0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1.0</v>
      </c>
      <c r="AC243" s="19">
        <v>0.0</v>
      </c>
      <c r="AD243" s="19">
        <v>0.0</v>
      </c>
      <c r="AE243" s="19">
        <v>0.0</v>
      </c>
      <c r="AF243" s="19">
        <v>0.0</v>
      </c>
      <c r="AG243" s="19">
        <v>2.0</v>
      </c>
      <c r="AH243" s="19">
        <v>0.0</v>
      </c>
      <c r="AI243" s="19">
        <v>0.0</v>
      </c>
      <c r="AJ243" s="19">
        <v>0.0</v>
      </c>
      <c r="AK243" s="19">
        <v>0.0</v>
      </c>
      <c r="AL243" s="19">
        <v>0.0</v>
      </c>
      <c r="AM243" s="19">
        <v>0.0</v>
      </c>
      <c r="AN243" s="19">
        <v>0.0</v>
      </c>
      <c r="AO243" s="19">
        <v>0.0</v>
      </c>
      <c r="AP243" s="19">
        <v>0.0</v>
      </c>
      <c r="AQ243" s="19">
        <v>0.0</v>
      </c>
      <c r="AR243" s="19">
        <v>0.0</v>
      </c>
      <c r="AS243" s="19">
        <v>0.0</v>
      </c>
      <c r="AT243" s="19">
        <v>0.0</v>
      </c>
      <c r="AU243" s="19">
        <v>0.0</v>
      </c>
      <c r="AV243" s="19">
        <v>1.0</v>
      </c>
      <c r="AW243" s="19">
        <v>0.0</v>
      </c>
      <c r="AX243" s="19">
        <v>1.0</v>
      </c>
      <c r="AY243" s="19">
        <v>0.0</v>
      </c>
      <c r="AZ243" s="19">
        <v>0.0</v>
      </c>
      <c r="BA243" s="13">
        <f t="shared" si="46"/>
        <v>7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2.0</v>
      </c>
      <c r="F244" s="19">
        <v>12.0</v>
      </c>
      <c r="G244" s="19">
        <v>3.0</v>
      </c>
      <c r="H244" s="19">
        <v>4.0</v>
      </c>
      <c r="I244" s="19">
        <v>2.0</v>
      </c>
      <c r="J244" s="19">
        <v>2.0</v>
      </c>
      <c r="K244" s="19">
        <v>1.0</v>
      </c>
      <c r="L244" s="19">
        <v>2.0</v>
      </c>
      <c r="M244" s="19">
        <v>2.0</v>
      </c>
      <c r="N244" s="19">
        <v>36.0</v>
      </c>
      <c r="O244" s="19">
        <v>0.0</v>
      </c>
      <c r="P244" s="19">
        <v>26.0</v>
      </c>
      <c r="Q244" s="19">
        <v>7.0</v>
      </c>
      <c r="R244" s="19">
        <v>1.0</v>
      </c>
      <c r="S244" s="19">
        <v>1.0</v>
      </c>
      <c r="T244" s="19">
        <v>1.0</v>
      </c>
      <c r="U244" s="19">
        <v>9.0</v>
      </c>
      <c r="V244" s="19">
        <v>1.0</v>
      </c>
      <c r="W244" s="19">
        <v>4.0</v>
      </c>
      <c r="X244" s="19">
        <v>0.0</v>
      </c>
      <c r="Y244" s="19">
        <v>29.0</v>
      </c>
      <c r="Z244" s="19">
        <v>17.0</v>
      </c>
      <c r="AA244" s="19">
        <v>43.0</v>
      </c>
      <c r="AB244" s="19">
        <v>82.0</v>
      </c>
      <c r="AC244" s="19">
        <v>19.0</v>
      </c>
      <c r="AD244" s="19">
        <v>1.0</v>
      </c>
      <c r="AE244" s="19">
        <v>2.0</v>
      </c>
      <c r="AF244" s="19">
        <v>0.0</v>
      </c>
      <c r="AG244" s="19">
        <v>0.0</v>
      </c>
      <c r="AH244" s="19">
        <v>0.0</v>
      </c>
      <c r="AI244" s="19">
        <v>0.0</v>
      </c>
      <c r="AJ244" s="19">
        <v>0.0</v>
      </c>
      <c r="AK244" s="19">
        <v>2.0</v>
      </c>
      <c r="AL244" s="19">
        <v>0.0</v>
      </c>
      <c r="AM244" s="19">
        <v>2.0</v>
      </c>
      <c r="AN244" s="19">
        <v>1.0</v>
      </c>
      <c r="AO244" s="19">
        <v>0.0</v>
      </c>
      <c r="AP244" s="19">
        <v>4.0</v>
      </c>
      <c r="AQ244" s="19">
        <v>7.0</v>
      </c>
      <c r="AR244" s="19">
        <v>0.0</v>
      </c>
      <c r="AS244" s="19">
        <v>0.0</v>
      </c>
      <c r="AT244" s="19">
        <v>0.0</v>
      </c>
      <c r="AU244" s="19">
        <v>0.0</v>
      </c>
      <c r="AV244" s="19">
        <v>7.0</v>
      </c>
      <c r="AW244" s="19">
        <v>7.0</v>
      </c>
      <c r="AX244" s="19">
        <v>1.0</v>
      </c>
      <c r="AY244" s="19">
        <v>0.0</v>
      </c>
      <c r="AZ244" s="19">
        <v>1.0</v>
      </c>
      <c r="BA244" s="13">
        <f t="shared" si="46"/>
        <v>341</v>
      </c>
    </row>
    <row r="245" ht="12.75" customHeight="1">
      <c r="A245" s="18"/>
      <c r="B245" s="71"/>
      <c r="C245" s="72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79"/>
    </row>
    <row r="246" ht="12.75" customHeight="1">
      <c r="A246" s="18"/>
      <c r="B246" s="71"/>
      <c r="C246" s="72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79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BA247" si="47">SUM(E237:E246)</f>
        <v>4</v>
      </c>
      <c r="F247" s="13">
        <f t="shared" si="47"/>
        <v>16</v>
      </c>
      <c r="G247" s="13">
        <f t="shared" si="47"/>
        <v>5</v>
      </c>
      <c r="H247" s="13">
        <f t="shared" si="47"/>
        <v>5</v>
      </c>
      <c r="I247" s="13">
        <f t="shared" si="47"/>
        <v>4</v>
      </c>
      <c r="J247" s="13">
        <f t="shared" si="47"/>
        <v>2</v>
      </c>
      <c r="K247" s="13">
        <f t="shared" si="47"/>
        <v>7</v>
      </c>
      <c r="L247" s="13">
        <f t="shared" si="47"/>
        <v>4</v>
      </c>
      <c r="M247" s="13">
        <f t="shared" si="47"/>
        <v>4</v>
      </c>
      <c r="N247" s="13">
        <f t="shared" si="47"/>
        <v>44</v>
      </c>
      <c r="O247" s="13">
        <f t="shared" si="47"/>
        <v>0</v>
      </c>
      <c r="P247" s="13">
        <f t="shared" si="47"/>
        <v>27</v>
      </c>
      <c r="Q247" s="13">
        <f t="shared" si="47"/>
        <v>8</v>
      </c>
      <c r="R247" s="13">
        <f t="shared" si="47"/>
        <v>1</v>
      </c>
      <c r="S247" s="13">
        <f t="shared" si="47"/>
        <v>11</v>
      </c>
      <c r="T247" s="13">
        <f t="shared" si="47"/>
        <v>22</v>
      </c>
      <c r="U247" s="13">
        <f t="shared" si="47"/>
        <v>21</v>
      </c>
      <c r="V247" s="13">
        <f t="shared" si="47"/>
        <v>9</v>
      </c>
      <c r="W247" s="13">
        <f t="shared" si="47"/>
        <v>4</v>
      </c>
      <c r="X247" s="13">
        <f t="shared" si="47"/>
        <v>0</v>
      </c>
      <c r="Y247" s="13">
        <f t="shared" si="47"/>
        <v>33</v>
      </c>
      <c r="Z247" s="13">
        <f t="shared" si="47"/>
        <v>19</v>
      </c>
      <c r="AA247" s="13">
        <f t="shared" si="47"/>
        <v>47</v>
      </c>
      <c r="AB247" s="13">
        <f t="shared" si="47"/>
        <v>87</v>
      </c>
      <c r="AC247" s="13">
        <f t="shared" si="47"/>
        <v>20</v>
      </c>
      <c r="AD247" s="13">
        <f t="shared" si="47"/>
        <v>5</v>
      </c>
      <c r="AE247" s="13">
        <f t="shared" si="47"/>
        <v>6</v>
      </c>
      <c r="AF247" s="13">
        <f t="shared" si="47"/>
        <v>2</v>
      </c>
      <c r="AG247" s="13">
        <f t="shared" si="47"/>
        <v>2</v>
      </c>
      <c r="AH247" s="13">
        <f t="shared" si="47"/>
        <v>5</v>
      </c>
      <c r="AI247" s="13">
        <f t="shared" si="47"/>
        <v>2</v>
      </c>
      <c r="AJ247" s="13">
        <f t="shared" si="47"/>
        <v>0</v>
      </c>
      <c r="AK247" s="13">
        <f t="shared" si="47"/>
        <v>5</v>
      </c>
      <c r="AL247" s="13">
        <f t="shared" si="47"/>
        <v>0</v>
      </c>
      <c r="AM247" s="13">
        <f t="shared" si="47"/>
        <v>3</v>
      </c>
      <c r="AN247" s="13">
        <f t="shared" si="47"/>
        <v>3</v>
      </c>
      <c r="AO247" s="13">
        <f t="shared" si="47"/>
        <v>1</v>
      </c>
      <c r="AP247" s="13">
        <f t="shared" si="47"/>
        <v>10</v>
      </c>
      <c r="AQ247" s="13">
        <f t="shared" si="47"/>
        <v>10</v>
      </c>
      <c r="AR247" s="13">
        <f t="shared" si="47"/>
        <v>0</v>
      </c>
      <c r="AS247" s="13">
        <f t="shared" si="47"/>
        <v>5</v>
      </c>
      <c r="AT247" s="13">
        <f t="shared" si="47"/>
        <v>2</v>
      </c>
      <c r="AU247" s="13">
        <f t="shared" si="47"/>
        <v>0</v>
      </c>
      <c r="AV247" s="13">
        <f t="shared" si="47"/>
        <v>9</v>
      </c>
      <c r="AW247" s="13">
        <f t="shared" si="47"/>
        <v>10</v>
      </c>
      <c r="AX247" s="13">
        <f t="shared" si="47"/>
        <v>4</v>
      </c>
      <c r="AY247" s="13">
        <f t="shared" si="47"/>
        <v>0</v>
      </c>
      <c r="AZ247" s="13">
        <f t="shared" si="47"/>
        <v>2</v>
      </c>
      <c r="BA247" s="13">
        <f t="shared" si="47"/>
        <v>490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1.0</v>
      </c>
      <c r="F249" s="19">
        <v>1.0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2.0</v>
      </c>
      <c r="M249" s="19">
        <v>0.0</v>
      </c>
      <c r="N249" s="19">
        <v>0.0</v>
      </c>
      <c r="O249" s="19">
        <v>0.0</v>
      </c>
      <c r="P249" s="19">
        <v>1.0</v>
      </c>
      <c r="Q249" s="19">
        <v>0.0</v>
      </c>
      <c r="R249" s="19">
        <v>2.0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9">
        <v>1.0</v>
      </c>
      <c r="AC249" s="19">
        <v>2.0</v>
      </c>
      <c r="AD249" s="19">
        <v>0.0</v>
      </c>
      <c r="AE249" s="19">
        <v>0.0</v>
      </c>
      <c r="AF249" s="19">
        <v>1.0</v>
      </c>
      <c r="AG249" s="19">
        <v>0.0</v>
      </c>
      <c r="AH249" s="19">
        <v>0.0</v>
      </c>
      <c r="AI249" s="19">
        <v>0.0</v>
      </c>
      <c r="AJ249" s="19">
        <v>0.0</v>
      </c>
      <c r="AK249" s="19">
        <v>0.0</v>
      </c>
      <c r="AL249" s="19">
        <v>0.0</v>
      </c>
      <c r="AM249" s="19">
        <v>0.0</v>
      </c>
      <c r="AN249" s="19">
        <v>0.0</v>
      </c>
      <c r="AO249" s="19">
        <v>0.0</v>
      </c>
      <c r="AP249" s="19">
        <v>0.0</v>
      </c>
      <c r="AQ249" s="19">
        <v>1.0</v>
      </c>
      <c r="AR249" s="19">
        <v>0.0</v>
      </c>
      <c r="AS249" s="19">
        <v>0.0</v>
      </c>
      <c r="AT249" s="19">
        <v>0.0</v>
      </c>
      <c r="AU249" s="19">
        <v>2.0</v>
      </c>
      <c r="AV249" s="19">
        <v>0.0</v>
      </c>
      <c r="AW249" s="19">
        <v>0.0</v>
      </c>
      <c r="AX249" s="19">
        <v>0.0</v>
      </c>
      <c r="AY249" s="19">
        <v>0.0</v>
      </c>
      <c r="AZ249" s="19">
        <v>0.0</v>
      </c>
      <c r="BA249" s="13">
        <f t="shared" ref="BA249:BA255" si="48">SUM(E249:AZ249)</f>
        <v>14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1.0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6.0</v>
      </c>
      <c r="M250" s="19">
        <v>2.0</v>
      </c>
      <c r="N250" s="19">
        <v>2.0</v>
      </c>
      <c r="O250" s="19">
        <v>0.0</v>
      </c>
      <c r="P250" s="19">
        <v>0.0</v>
      </c>
      <c r="Q250" s="19">
        <v>0.0</v>
      </c>
      <c r="R250" s="19">
        <v>1.0</v>
      </c>
      <c r="S250" s="19">
        <v>0.0</v>
      </c>
      <c r="T250" s="19">
        <v>1.0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9">
        <v>0.0</v>
      </c>
      <c r="AE250" s="19">
        <v>0.0</v>
      </c>
      <c r="AF250" s="19">
        <v>1.0</v>
      </c>
      <c r="AG250" s="19">
        <v>0.0</v>
      </c>
      <c r="AH250" s="19">
        <v>0.0</v>
      </c>
      <c r="AI250" s="19">
        <v>0.0</v>
      </c>
      <c r="AJ250" s="19">
        <v>0.0</v>
      </c>
      <c r="AK250" s="19">
        <v>0.0</v>
      </c>
      <c r="AL250" s="19">
        <v>0.0</v>
      </c>
      <c r="AM250" s="19">
        <v>1.0</v>
      </c>
      <c r="AN250" s="19">
        <v>0.0</v>
      </c>
      <c r="AO250" s="19">
        <v>0.0</v>
      </c>
      <c r="AP250" s="19">
        <v>0.0</v>
      </c>
      <c r="AQ250" s="19">
        <v>0.0</v>
      </c>
      <c r="AR250" s="19">
        <v>0.0</v>
      </c>
      <c r="AS250" s="19">
        <v>0.0</v>
      </c>
      <c r="AT250" s="19">
        <v>0.0</v>
      </c>
      <c r="AU250" s="19">
        <v>0.0</v>
      </c>
      <c r="AV250" s="19">
        <v>0.0</v>
      </c>
      <c r="AW250" s="19">
        <v>0.0</v>
      </c>
      <c r="AX250" s="19">
        <v>0.0</v>
      </c>
      <c r="AY250" s="19">
        <v>0.0</v>
      </c>
      <c r="AZ250" s="19">
        <v>0.0</v>
      </c>
      <c r="BA250" s="13">
        <f t="shared" si="48"/>
        <v>15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1.0</v>
      </c>
      <c r="J251" s="19">
        <v>1.0</v>
      </c>
      <c r="K251" s="19">
        <v>1.0</v>
      </c>
      <c r="L251" s="19">
        <v>6.0</v>
      </c>
      <c r="M251" s="19">
        <v>1.0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9">
        <v>0.0</v>
      </c>
      <c r="AE251" s="19">
        <v>0.0</v>
      </c>
      <c r="AF251" s="19">
        <v>0.0</v>
      </c>
      <c r="AG251" s="19">
        <v>0.0</v>
      </c>
      <c r="AH251" s="19">
        <v>0.0</v>
      </c>
      <c r="AI251" s="19">
        <v>0.0</v>
      </c>
      <c r="AJ251" s="19">
        <v>0.0</v>
      </c>
      <c r="AK251" s="19">
        <v>0.0</v>
      </c>
      <c r="AL251" s="19">
        <v>0.0</v>
      </c>
      <c r="AM251" s="19">
        <v>0.0</v>
      </c>
      <c r="AN251" s="19">
        <v>0.0</v>
      </c>
      <c r="AO251" s="19">
        <v>0.0</v>
      </c>
      <c r="AP251" s="19">
        <v>0.0</v>
      </c>
      <c r="AQ251" s="19">
        <v>0.0</v>
      </c>
      <c r="AR251" s="19">
        <v>0.0</v>
      </c>
      <c r="AS251" s="19">
        <v>0.0</v>
      </c>
      <c r="AT251" s="19">
        <v>0.0</v>
      </c>
      <c r="AU251" s="19">
        <v>0.0</v>
      </c>
      <c r="AV251" s="19">
        <v>0.0</v>
      </c>
      <c r="AW251" s="19">
        <v>0.0</v>
      </c>
      <c r="AX251" s="19">
        <v>0.0</v>
      </c>
      <c r="AY251" s="19">
        <v>0.0</v>
      </c>
      <c r="AZ251" s="19">
        <v>0.0</v>
      </c>
      <c r="BA251" s="13">
        <f t="shared" si="48"/>
        <v>10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0.0</v>
      </c>
      <c r="AJ252" s="19">
        <v>0.0</v>
      </c>
      <c r="AK252" s="19">
        <v>0.0</v>
      </c>
      <c r="AL252" s="19">
        <v>0.0</v>
      </c>
      <c r="AM252" s="19">
        <v>0.0</v>
      </c>
      <c r="AN252" s="19">
        <v>0.0</v>
      </c>
      <c r="AO252" s="19">
        <v>0.0</v>
      </c>
      <c r="AP252" s="19">
        <v>0.0</v>
      </c>
      <c r="AQ252" s="19">
        <v>0.0</v>
      </c>
      <c r="AR252" s="19">
        <v>0.0</v>
      </c>
      <c r="AS252" s="19">
        <v>1.0</v>
      </c>
      <c r="AT252" s="19">
        <v>0.0</v>
      </c>
      <c r="AU252" s="19">
        <v>0.0</v>
      </c>
      <c r="AV252" s="19">
        <v>0.0</v>
      </c>
      <c r="AW252" s="19">
        <v>0.0</v>
      </c>
      <c r="AX252" s="19">
        <v>0.0</v>
      </c>
      <c r="AY252" s="19">
        <v>0.0</v>
      </c>
      <c r="AZ252" s="19">
        <v>0.0</v>
      </c>
      <c r="BA252" s="13">
        <f t="shared" si="48"/>
        <v>1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>
        <v>0.0</v>
      </c>
      <c r="AJ253" s="19">
        <v>0.0</v>
      </c>
      <c r="AK253" s="19">
        <v>0.0</v>
      </c>
      <c r="AL253" s="19">
        <v>0.0</v>
      </c>
      <c r="AM253" s="19">
        <v>0.0</v>
      </c>
      <c r="AN253" s="19">
        <v>0.0</v>
      </c>
      <c r="AO253" s="19">
        <v>0.0</v>
      </c>
      <c r="AP253" s="19">
        <v>0.0</v>
      </c>
      <c r="AQ253" s="19">
        <v>0.0</v>
      </c>
      <c r="AR253" s="19">
        <v>0.0</v>
      </c>
      <c r="AS253" s="19">
        <v>0.0</v>
      </c>
      <c r="AT253" s="19">
        <v>0.0</v>
      </c>
      <c r="AU253" s="19">
        <v>0.0</v>
      </c>
      <c r="AV253" s="19">
        <v>0.0</v>
      </c>
      <c r="AW253" s="19">
        <v>0.0</v>
      </c>
      <c r="AX253" s="19">
        <v>0.0</v>
      </c>
      <c r="AY253" s="19">
        <v>0.0</v>
      </c>
      <c r="AZ253" s="19">
        <v>0.0</v>
      </c>
      <c r="BA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0.0</v>
      </c>
      <c r="AI254" s="19">
        <v>0.0</v>
      </c>
      <c r="AJ254" s="19">
        <v>0.0</v>
      </c>
      <c r="AK254" s="19">
        <v>0.0</v>
      </c>
      <c r="AL254" s="19">
        <v>0.0</v>
      </c>
      <c r="AM254" s="19">
        <v>1.0</v>
      </c>
      <c r="AN254" s="19">
        <v>0.0</v>
      </c>
      <c r="AO254" s="19">
        <v>0.0</v>
      </c>
      <c r="AP254" s="19">
        <v>0.0</v>
      </c>
      <c r="AQ254" s="19">
        <v>0.0</v>
      </c>
      <c r="AR254" s="19">
        <v>0.0</v>
      </c>
      <c r="AS254" s="19">
        <v>0.0</v>
      </c>
      <c r="AT254" s="19">
        <v>0.0</v>
      </c>
      <c r="AU254" s="19">
        <v>1.0</v>
      </c>
      <c r="AV254" s="19">
        <v>0.0</v>
      </c>
      <c r="AW254" s="19">
        <v>0.0</v>
      </c>
      <c r="AX254" s="19">
        <v>0.0</v>
      </c>
      <c r="AY254" s="19">
        <v>0.0</v>
      </c>
      <c r="AZ254" s="19">
        <v>0.0</v>
      </c>
      <c r="BA254" s="13">
        <f t="shared" si="48"/>
        <v>2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1.0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1.0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1.0</v>
      </c>
      <c r="AF255" s="19">
        <v>0.0</v>
      </c>
      <c r="AG255" s="19">
        <v>0.0</v>
      </c>
      <c r="AH255" s="19">
        <v>0.0</v>
      </c>
      <c r="AI255" s="19">
        <v>0.0</v>
      </c>
      <c r="AJ255" s="19">
        <v>0.0</v>
      </c>
      <c r="AK255" s="19">
        <v>0.0</v>
      </c>
      <c r="AL255" s="19">
        <v>0.0</v>
      </c>
      <c r="AM255" s="19">
        <v>0.0</v>
      </c>
      <c r="AN255" s="19">
        <v>0.0</v>
      </c>
      <c r="AO255" s="19">
        <v>0.0</v>
      </c>
      <c r="AP255" s="19">
        <v>0.0</v>
      </c>
      <c r="AQ255" s="19">
        <v>0.0</v>
      </c>
      <c r="AR255" s="19">
        <v>0.0</v>
      </c>
      <c r="AS255" s="19">
        <v>0.0</v>
      </c>
      <c r="AT255" s="19">
        <v>0.0</v>
      </c>
      <c r="AU255" s="19">
        <v>1.0</v>
      </c>
      <c r="AV255" s="19">
        <v>0.0</v>
      </c>
      <c r="AW255" s="19">
        <v>0.0</v>
      </c>
      <c r="AX255" s="19">
        <v>0.0</v>
      </c>
      <c r="AY255" s="19">
        <v>0.0</v>
      </c>
      <c r="AZ255" s="19">
        <v>0.0</v>
      </c>
      <c r="BA255" s="13">
        <f t="shared" si="48"/>
        <v>4</v>
      </c>
    </row>
    <row r="256" ht="12.75" customHeight="1">
      <c r="A256" s="18"/>
      <c r="B256" s="71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79"/>
    </row>
    <row r="257" ht="12.75" customHeight="1">
      <c r="A257" s="18"/>
      <c r="B257" s="71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79"/>
    </row>
    <row r="258" ht="12.75" customHeight="1">
      <c r="A258" s="18"/>
      <c r="B258" s="71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79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BA259" si="49">SUM(E249:E258)</f>
        <v>1</v>
      </c>
      <c r="F259" s="13">
        <f t="shared" si="49"/>
        <v>2</v>
      </c>
      <c r="G259" s="13">
        <f t="shared" si="49"/>
        <v>0</v>
      </c>
      <c r="H259" s="13">
        <f t="shared" si="49"/>
        <v>0</v>
      </c>
      <c r="I259" s="13">
        <f t="shared" si="49"/>
        <v>1</v>
      </c>
      <c r="J259" s="13">
        <f t="shared" si="49"/>
        <v>1</v>
      </c>
      <c r="K259" s="13">
        <f t="shared" si="49"/>
        <v>1</v>
      </c>
      <c r="L259" s="13">
        <f t="shared" si="49"/>
        <v>14</v>
      </c>
      <c r="M259" s="13">
        <f t="shared" si="49"/>
        <v>3</v>
      </c>
      <c r="N259" s="13">
        <f t="shared" si="49"/>
        <v>2</v>
      </c>
      <c r="O259" s="13">
        <f t="shared" si="49"/>
        <v>1</v>
      </c>
      <c r="P259" s="13">
        <f t="shared" si="49"/>
        <v>1</v>
      </c>
      <c r="Q259" s="13">
        <f t="shared" si="49"/>
        <v>0</v>
      </c>
      <c r="R259" s="13">
        <f t="shared" si="49"/>
        <v>3</v>
      </c>
      <c r="S259" s="13">
        <f t="shared" si="49"/>
        <v>0</v>
      </c>
      <c r="T259" s="13">
        <f t="shared" si="49"/>
        <v>1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1</v>
      </c>
      <c r="Z259" s="13">
        <f t="shared" si="49"/>
        <v>0</v>
      </c>
      <c r="AA259" s="13">
        <f t="shared" si="49"/>
        <v>0</v>
      </c>
      <c r="AB259" s="13">
        <f t="shared" si="49"/>
        <v>1</v>
      </c>
      <c r="AC259" s="13">
        <f t="shared" si="49"/>
        <v>2</v>
      </c>
      <c r="AD259" s="13">
        <f t="shared" si="49"/>
        <v>0</v>
      </c>
      <c r="AE259" s="13">
        <f t="shared" si="49"/>
        <v>1</v>
      </c>
      <c r="AF259" s="13">
        <f t="shared" si="49"/>
        <v>2</v>
      </c>
      <c r="AG259" s="13">
        <f t="shared" si="49"/>
        <v>0</v>
      </c>
      <c r="AH259" s="13">
        <f t="shared" si="49"/>
        <v>0</v>
      </c>
      <c r="AI259" s="13">
        <f t="shared" si="49"/>
        <v>0</v>
      </c>
      <c r="AJ259" s="13">
        <f t="shared" si="49"/>
        <v>0</v>
      </c>
      <c r="AK259" s="13">
        <f t="shared" si="49"/>
        <v>0</v>
      </c>
      <c r="AL259" s="13">
        <f t="shared" si="49"/>
        <v>0</v>
      </c>
      <c r="AM259" s="13">
        <f t="shared" si="49"/>
        <v>2</v>
      </c>
      <c r="AN259" s="13">
        <f t="shared" si="49"/>
        <v>0</v>
      </c>
      <c r="AO259" s="13">
        <f t="shared" si="49"/>
        <v>0</v>
      </c>
      <c r="AP259" s="13">
        <f t="shared" si="49"/>
        <v>0</v>
      </c>
      <c r="AQ259" s="13">
        <f t="shared" si="49"/>
        <v>1</v>
      </c>
      <c r="AR259" s="13">
        <f t="shared" si="49"/>
        <v>0</v>
      </c>
      <c r="AS259" s="13">
        <f t="shared" si="49"/>
        <v>1</v>
      </c>
      <c r="AT259" s="13">
        <f t="shared" si="49"/>
        <v>0</v>
      </c>
      <c r="AU259" s="13">
        <f t="shared" si="49"/>
        <v>4</v>
      </c>
      <c r="AV259" s="13">
        <f t="shared" si="49"/>
        <v>0</v>
      </c>
      <c r="AW259" s="13">
        <f t="shared" si="49"/>
        <v>0</v>
      </c>
      <c r="AX259" s="13">
        <f t="shared" si="49"/>
        <v>0</v>
      </c>
      <c r="AY259" s="13">
        <f t="shared" si="49"/>
        <v>0</v>
      </c>
      <c r="AZ259" s="13">
        <f t="shared" si="49"/>
        <v>0</v>
      </c>
      <c r="BA259" s="13">
        <f t="shared" si="49"/>
        <v>46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K261" s="69"/>
      <c r="AL261" s="69"/>
      <c r="AM261" s="69"/>
      <c r="AN261" s="69"/>
      <c r="AO261" s="69"/>
      <c r="AP261" s="69"/>
      <c r="AQ261" s="69"/>
      <c r="AR261" s="69"/>
      <c r="AS261" s="69"/>
      <c r="AT261" s="69"/>
      <c r="AU261" s="69"/>
      <c r="AV261" s="69"/>
      <c r="AW261" s="69"/>
      <c r="AX261" s="69"/>
      <c r="AY261" s="69"/>
      <c r="AZ261" s="69"/>
      <c r="BA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Z262" si="50">E55+E67+E79+E91+E103+E115+E127+E139+E151+E163+E175+E187+E199+E211+E223+E235+E247+E259</f>
        <v>200</v>
      </c>
      <c r="F262" s="19">
        <f t="shared" si="50"/>
        <v>237</v>
      </c>
      <c r="G262" s="19">
        <f t="shared" si="50"/>
        <v>163</v>
      </c>
      <c r="H262" s="19">
        <f t="shared" si="50"/>
        <v>184</v>
      </c>
      <c r="I262" s="19">
        <f t="shared" si="50"/>
        <v>196</v>
      </c>
      <c r="J262" s="19">
        <f t="shared" si="50"/>
        <v>212</v>
      </c>
      <c r="K262" s="19">
        <f t="shared" si="50"/>
        <v>173</v>
      </c>
      <c r="L262" s="19">
        <f t="shared" si="50"/>
        <v>181</v>
      </c>
      <c r="M262" s="19">
        <f t="shared" si="50"/>
        <v>151</v>
      </c>
      <c r="N262" s="19">
        <f t="shared" si="50"/>
        <v>181</v>
      </c>
      <c r="O262" s="19">
        <f t="shared" si="50"/>
        <v>177</v>
      </c>
      <c r="P262" s="19">
        <f t="shared" si="50"/>
        <v>166</v>
      </c>
      <c r="Q262" s="19">
        <f t="shared" si="50"/>
        <v>167</v>
      </c>
      <c r="R262" s="19">
        <f t="shared" si="50"/>
        <v>216</v>
      </c>
      <c r="S262" s="19">
        <f t="shared" si="50"/>
        <v>207</v>
      </c>
      <c r="T262" s="19">
        <f t="shared" si="50"/>
        <v>218</v>
      </c>
      <c r="U262" s="19">
        <f t="shared" si="50"/>
        <v>144</v>
      </c>
      <c r="V262" s="19">
        <f t="shared" si="50"/>
        <v>194</v>
      </c>
      <c r="W262" s="19">
        <f t="shared" si="50"/>
        <v>212</v>
      </c>
      <c r="X262" s="19">
        <f t="shared" si="50"/>
        <v>233</v>
      </c>
      <c r="Y262" s="19">
        <f t="shared" si="50"/>
        <v>195</v>
      </c>
      <c r="Z262" s="19">
        <f t="shared" si="50"/>
        <v>116</v>
      </c>
      <c r="AA262" s="19">
        <f t="shared" si="50"/>
        <v>203</v>
      </c>
      <c r="AB262" s="19">
        <f t="shared" si="50"/>
        <v>183</v>
      </c>
      <c r="AC262" s="19">
        <f t="shared" si="50"/>
        <v>187</v>
      </c>
      <c r="AD262" s="19">
        <f t="shared" si="50"/>
        <v>196</v>
      </c>
      <c r="AE262" s="19">
        <f t="shared" si="50"/>
        <v>186</v>
      </c>
      <c r="AF262" s="19">
        <f t="shared" si="50"/>
        <v>168</v>
      </c>
      <c r="AG262" s="19">
        <f t="shared" si="50"/>
        <v>185</v>
      </c>
      <c r="AH262" s="19">
        <f t="shared" si="50"/>
        <v>182</v>
      </c>
      <c r="AI262" s="19">
        <f t="shared" si="50"/>
        <v>92</v>
      </c>
      <c r="AJ262" s="19">
        <f t="shared" si="50"/>
        <v>189</v>
      </c>
      <c r="AK262" s="19">
        <f t="shared" si="50"/>
        <v>180</v>
      </c>
      <c r="AL262" s="19">
        <f t="shared" si="50"/>
        <v>178</v>
      </c>
      <c r="AM262" s="19">
        <f t="shared" si="50"/>
        <v>176</v>
      </c>
      <c r="AN262" s="19">
        <f t="shared" si="50"/>
        <v>169</v>
      </c>
      <c r="AO262" s="19">
        <f t="shared" si="50"/>
        <v>173</v>
      </c>
      <c r="AP262" s="19">
        <f t="shared" si="50"/>
        <v>199</v>
      </c>
      <c r="AQ262" s="19">
        <f t="shared" si="50"/>
        <v>151</v>
      </c>
      <c r="AR262" s="19">
        <f t="shared" si="50"/>
        <v>164</v>
      </c>
      <c r="AS262" s="19">
        <f t="shared" si="50"/>
        <v>149</v>
      </c>
      <c r="AT262" s="19">
        <f t="shared" si="50"/>
        <v>221</v>
      </c>
      <c r="AU262" s="19">
        <f t="shared" si="50"/>
        <v>181</v>
      </c>
      <c r="AV262" s="19">
        <f t="shared" si="50"/>
        <v>204</v>
      </c>
      <c r="AW262" s="19">
        <f t="shared" si="50"/>
        <v>196</v>
      </c>
      <c r="AX262" s="19">
        <f t="shared" si="50"/>
        <v>165</v>
      </c>
      <c r="AY262" s="19">
        <f t="shared" si="50"/>
        <v>165</v>
      </c>
      <c r="AZ262" s="19">
        <f t="shared" si="50"/>
        <v>130</v>
      </c>
      <c r="BA262" s="13">
        <f t="shared" ref="BA262:BA264" si="51">SUM(E262:AZ262)</f>
        <v>8695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14.0</v>
      </c>
      <c r="F263" s="19">
        <v>12.0</v>
      </c>
      <c r="G263" s="19">
        <v>14.0</v>
      </c>
      <c r="H263" s="19">
        <v>26.0</v>
      </c>
      <c r="I263" s="19">
        <v>27.0</v>
      </c>
      <c r="J263" s="19">
        <v>14.0</v>
      </c>
      <c r="K263" s="19">
        <v>23.0</v>
      </c>
      <c r="L263" s="19">
        <v>11.0</v>
      </c>
      <c r="M263" s="19">
        <v>20.0</v>
      </c>
      <c r="N263" s="19">
        <v>10.0</v>
      </c>
      <c r="O263" s="19">
        <v>37.0</v>
      </c>
      <c r="P263" s="19">
        <v>20.0</v>
      </c>
      <c r="Q263" s="19">
        <v>8.0</v>
      </c>
      <c r="R263" s="19">
        <v>17.0</v>
      </c>
      <c r="S263" s="19">
        <v>15.0</v>
      </c>
      <c r="T263" s="19">
        <v>15.0</v>
      </c>
      <c r="U263" s="19">
        <v>16.0</v>
      </c>
      <c r="V263" s="19">
        <v>19.0</v>
      </c>
      <c r="W263" s="19">
        <v>17.0</v>
      </c>
      <c r="X263" s="19"/>
      <c r="Y263" s="19">
        <v>17.0</v>
      </c>
      <c r="Z263" s="19">
        <v>10.0</v>
      </c>
      <c r="AA263" s="19">
        <v>21.0</v>
      </c>
      <c r="AB263" s="19">
        <v>20.0</v>
      </c>
      <c r="AC263" s="19">
        <v>19.0</v>
      </c>
      <c r="AD263" s="19">
        <v>19.0</v>
      </c>
      <c r="AE263" s="19">
        <v>16.0</v>
      </c>
      <c r="AF263" s="19">
        <v>52.0</v>
      </c>
      <c r="AG263" s="19">
        <v>19.0</v>
      </c>
      <c r="AH263" s="19">
        <v>21.0</v>
      </c>
      <c r="AI263" s="19">
        <v>9.0</v>
      </c>
      <c r="AJ263" s="19">
        <v>30.0</v>
      </c>
      <c r="AK263" s="19">
        <v>21.0</v>
      </c>
      <c r="AL263" s="19">
        <v>18.0</v>
      </c>
      <c r="AM263" s="19">
        <v>12.0</v>
      </c>
      <c r="AN263" s="19">
        <v>30.0</v>
      </c>
      <c r="AO263" s="19">
        <v>23.0</v>
      </c>
      <c r="AP263" s="19">
        <v>15.0</v>
      </c>
      <c r="AQ263" s="19">
        <v>15.0</v>
      </c>
      <c r="AR263" s="19">
        <v>30.0</v>
      </c>
      <c r="AS263" s="19">
        <v>29.0</v>
      </c>
      <c r="AT263" s="19">
        <v>29.0</v>
      </c>
      <c r="AU263" s="19">
        <v>19.0</v>
      </c>
      <c r="AV263" s="19">
        <v>33.0</v>
      </c>
      <c r="AW263" s="19">
        <v>18.0</v>
      </c>
      <c r="AX263" s="19">
        <v>29.0</v>
      </c>
      <c r="AY263" s="19">
        <v>11.0</v>
      </c>
      <c r="AZ263" s="19">
        <v>15.0</v>
      </c>
      <c r="BA263" s="13">
        <f t="shared" si="51"/>
        <v>935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Z264" si="52">SUM(E262:E263)</f>
        <v>214</v>
      </c>
      <c r="F264" s="13">
        <f t="shared" si="52"/>
        <v>249</v>
      </c>
      <c r="G264" s="13">
        <f t="shared" si="52"/>
        <v>177</v>
      </c>
      <c r="H264" s="13">
        <f t="shared" si="52"/>
        <v>210</v>
      </c>
      <c r="I264" s="13">
        <f t="shared" si="52"/>
        <v>223</v>
      </c>
      <c r="J264" s="13">
        <f t="shared" si="52"/>
        <v>226</v>
      </c>
      <c r="K264" s="13">
        <f t="shared" si="52"/>
        <v>196</v>
      </c>
      <c r="L264" s="13">
        <f t="shared" si="52"/>
        <v>192</v>
      </c>
      <c r="M264" s="13">
        <f t="shared" si="52"/>
        <v>171</v>
      </c>
      <c r="N264" s="13">
        <f t="shared" si="52"/>
        <v>191</v>
      </c>
      <c r="O264" s="13">
        <f t="shared" si="52"/>
        <v>214</v>
      </c>
      <c r="P264" s="13">
        <f t="shared" si="52"/>
        <v>186</v>
      </c>
      <c r="Q264" s="13">
        <f t="shared" si="52"/>
        <v>175</v>
      </c>
      <c r="R264" s="13">
        <f t="shared" si="52"/>
        <v>233</v>
      </c>
      <c r="S264" s="13">
        <f t="shared" si="52"/>
        <v>222</v>
      </c>
      <c r="T264" s="13">
        <f t="shared" si="52"/>
        <v>233</v>
      </c>
      <c r="U264" s="13">
        <f t="shared" si="52"/>
        <v>160</v>
      </c>
      <c r="V264" s="13">
        <f t="shared" si="52"/>
        <v>213</v>
      </c>
      <c r="W264" s="13">
        <f t="shared" si="52"/>
        <v>229</v>
      </c>
      <c r="X264" s="13">
        <f t="shared" si="52"/>
        <v>233</v>
      </c>
      <c r="Y264" s="13">
        <f t="shared" si="52"/>
        <v>212</v>
      </c>
      <c r="Z264" s="13">
        <f t="shared" si="52"/>
        <v>126</v>
      </c>
      <c r="AA264" s="13">
        <f t="shared" si="52"/>
        <v>224</v>
      </c>
      <c r="AB264" s="13">
        <f t="shared" si="52"/>
        <v>203</v>
      </c>
      <c r="AC264" s="13">
        <f t="shared" si="52"/>
        <v>206</v>
      </c>
      <c r="AD264" s="13">
        <f t="shared" si="52"/>
        <v>215</v>
      </c>
      <c r="AE264" s="13">
        <f t="shared" si="52"/>
        <v>202</v>
      </c>
      <c r="AF264" s="13">
        <f t="shared" si="52"/>
        <v>220</v>
      </c>
      <c r="AG264" s="13">
        <f t="shared" si="52"/>
        <v>204</v>
      </c>
      <c r="AH264" s="13">
        <f t="shared" si="52"/>
        <v>203</v>
      </c>
      <c r="AI264" s="13">
        <f t="shared" si="52"/>
        <v>101</v>
      </c>
      <c r="AJ264" s="13">
        <f t="shared" si="52"/>
        <v>219</v>
      </c>
      <c r="AK264" s="13">
        <f t="shared" si="52"/>
        <v>201</v>
      </c>
      <c r="AL264" s="13">
        <f t="shared" si="52"/>
        <v>196</v>
      </c>
      <c r="AM264" s="13">
        <f t="shared" si="52"/>
        <v>188</v>
      </c>
      <c r="AN264" s="13">
        <f t="shared" si="52"/>
        <v>199</v>
      </c>
      <c r="AO264" s="13">
        <f t="shared" si="52"/>
        <v>196</v>
      </c>
      <c r="AP264" s="13">
        <f t="shared" si="52"/>
        <v>214</v>
      </c>
      <c r="AQ264" s="13">
        <f t="shared" si="52"/>
        <v>166</v>
      </c>
      <c r="AR264" s="13">
        <f t="shared" si="52"/>
        <v>194</v>
      </c>
      <c r="AS264" s="13">
        <f t="shared" si="52"/>
        <v>178</v>
      </c>
      <c r="AT264" s="13">
        <f t="shared" si="52"/>
        <v>250</v>
      </c>
      <c r="AU264" s="13">
        <f t="shared" si="52"/>
        <v>200</v>
      </c>
      <c r="AV264" s="13">
        <f t="shared" si="52"/>
        <v>237</v>
      </c>
      <c r="AW264" s="13">
        <f t="shared" si="52"/>
        <v>214</v>
      </c>
      <c r="AX264" s="13">
        <f t="shared" si="52"/>
        <v>194</v>
      </c>
      <c r="AY264" s="13">
        <f t="shared" si="52"/>
        <v>176</v>
      </c>
      <c r="AZ264" s="13">
        <f t="shared" si="52"/>
        <v>145</v>
      </c>
      <c r="BA264" s="13">
        <f t="shared" si="51"/>
        <v>9630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Z12"/>
    <mergeCell ref="BA12:B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AM34">
    <cfRule type="expression" dxfId="0" priority="1">
      <formula>E34&lt;&gt;E64</formula>
    </cfRule>
  </conditionalFormatting>
  <conditionalFormatting sqref="E14:AZ15">
    <cfRule type="containsBlanks" dxfId="1" priority="2">
      <formula>LEN(TRIM(E14))=0</formula>
    </cfRule>
  </conditionalFormatting>
  <conditionalFormatting sqref="E19:AZ20">
    <cfRule type="containsBlanks" dxfId="1" priority="3">
      <formula>LEN(TRIM(E19))=0</formula>
    </cfRule>
  </conditionalFormatting>
  <conditionalFormatting sqref="E22:AZ23 E25:AZ26 E33:AZ33 E35:AZ35 E39:AZ40">
    <cfRule type="containsBlanks" dxfId="1" priority="4">
      <formula>LEN(TRIM(E22))=0</formula>
    </cfRule>
  </conditionalFormatting>
  <conditionalFormatting sqref="E30:AZ30">
    <cfRule type="expression" dxfId="0" priority="5">
      <formula>E30&lt;&gt;E47</formula>
    </cfRule>
  </conditionalFormatting>
  <conditionalFormatting sqref="E30:AZ30">
    <cfRule type="expression" dxfId="0" priority="6">
      <formula>E30&lt;&gt;E34</formula>
    </cfRule>
  </conditionalFormatting>
  <conditionalFormatting sqref="E34:AZ34">
    <cfRule type="expression" dxfId="2" priority="7">
      <formula>E30&lt;&gt;E34</formula>
    </cfRule>
  </conditionalFormatting>
  <conditionalFormatting sqref="E34:AZ34">
    <cfRule type="expression" dxfId="3" priority="8">
      <formula>E30=E34</formula>
    </cfRule>
  </conditionalFormatting>
  <conditionalFormatting sqref="E34:AZ34">
    <cfRule type="expression" dxfId="0" priority="9">
      <formula>E34&lt;&gt;E30</formula>
    </cfRule>
  </conditionalFormatting>
  <conditionalFormatting sqref="E45:AZ54">
    <cfRule type="containsBlanks" dxfId="1" priority="10">
      <formula>LEN(TRIM(E45))=0</formula>
    </cfRule>
  </conditionalFormatting>
  <conditionalFormatting sqref="E57:AZ66">
    <cfRule type="containsBlanks" dxfId="1" priority="11">
      <formula>LEN(TRIM(E57))=0</formula>
    </cfRule>
  </conditionalFormatting>
  <conditionalFormatting sqref="E69:AZ78">
    <cfRule type="containsBlanks" dxfId="1" priority="12">
      <formula>LEN(TRIM(E69))=0</formula>
    </cfRule>
  </conditionalFormatting>
  <conditionalFormatting sqref="E81:AZ90">
    <cfRule type="containsBlanks" dxfId="1" priority="13">
      <formula>LEN(TRIM(E81))=0</formula>
    </cfRule>
  </conditionalFormatting>
  <conditionalFormatting sqref="E93:AZ102">
    <cfRule type="containsBlanks" dxfId="1" priority="14">
      <formula>LEN(TRIM(E93))=0</formula>
    </cfRule>
  </conditionalFormatting>
  <conditionalFormatting sqref="E105:AZ114">
    <cfRule type="containsBlanks" dxfId="1" priority="15">
      <formula>LEN(TRIM(E105))=0</formula>
    </cfRule>
  </conditionalFormatting>
  <conditionalFormatting sqref="E117:AZ126">
    <cfRule type="containsBlanks" dxfId="1" priority="16">
      <formula>LEN(TRIM(E117))=0</formula>
    </cfRule>
  </conditionalFormatting>
  <conditionalFormatting sqref="E129:AZ138">
    <cfRule type="containsBlanks" dxfId="1" priority="17">
      <formula>LEN(TRIM(E129))=0</formula>
    </cfRule>
  </conditionalFormatting>
  <conditionalFormatting sqref="E141:AZ150">
    <cfRule type="containsBlanks" dxfId="1" priority="18">
      <formula>LEN(TRIM(E141))=0</formula>
    </cfRule>
  </conditionalFormatting>
  <conditionalFormatting sqref="E153:AZ157 E158:BA162">
    <cfRule type="containsBlanks" dxfId="1" priority="19">
      <formula>LEN(TRIM(E153))=0</formula>
    </cfRule>
  </conditionalFormatting>
  <conditionalFormatting sqref="E165:AZ174">
    <cfRule type="containsBlanks" dxfId="1" priority="20">
      <formula>LEN(TRIM(E165))=0</formula>
    </cfRule>
  </conditionalFormatting>
  <conditionalFormatting sqref="E177:AZ186">
    <cfRule type="containsBlanks" dxfId="1" priority="21">
      <formula>LEN(TRIM(E177))=0</formula>
    </cfRule>
  </conditionalFormatting>
  <conditionalFormatting sqref="E189:AZ198">
    <cfRule type="containsBlanks" dxfId="1" priority="22">
      <formula>LEN(TRIM(E189))=0</formula>
    </cfRule>
  </conditionalFormatting>
  <conditionalFormatting sqref="E201:AZ210">
    <cfRule type="containsBlanks" dxfId="1" priority="23">
      <formula>LEN(TRIM(E201))=0</formula>
    </cfRule>
  </conditionalFormatting>
  <conditionalFormatting sqref="E213:AZ222">
    <cfRule type="containsBlanks" dxfId="1" priority="24">
      <formula>LEN(TRIM(E213))=0</formula>
    </cfRule>
  </conditionalFormatting>
  <conditionalFormatting sqref="E225:AZ234">
    <cfRule type="containsBlanks" dxfId="1" priority="25">
      <formula>LEN(TRIM(E225))=0</formula>
    </cfRule>
  </conditionalFormatting>
  <conditionalFormatting sqref="E237:AZ246">
    <cfRule type="containsBlanks" dxfId="1" priority="26">
      <formula>LEN(TRIM(E237))=0</formula>
    </cfRule>
  </conditionalFormatting>
  <conditionalFormatting sqref="E249:AZ258">
    <cfRule type="containsBlanks" dxfId="1" priority="27">
      <formula>LEN(TRIM(E249))=0</formula>
    </cfRule>
  </conditionalFormatting>
  <conditionalFormatting sqref="E262:AZ263">
    <cfRule type="containsBlanks" dxfId="1" priority="28">
      <formula>LEN(TRIM(E262))=0</formula>
    </cfRule>
  </conditionalFormatting>
  <conditionalFormatting sqref="U34:AG34">
    <cfRule type="expression" dxfId="0" priority="29">
      <formula>U34&lt;&gt;U47</formula>
    </cfRule>
  </conditionalFormatting>
  <conditionalFormatting sqref="AN34:AZ34">
    <cfRule type="expression" dxfId="0" priority="30">
      <formula>AN34&lt;&gt;AN47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8" width="8.71"/>
    <col customWidth="1" min="29" max="29" width="13.29"/>
    <col customWidth="1" min="30" max="31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6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219</v>
      </c>
      <c r="Z13" s="13" t="s">
        <v>220</v>
      </c>
      <c r="AA13" s="13" t="s">
        <v>221</v>
      </c>
      <c r="AB13" s="13" t="s">
        <v>222</v>
      </c>
      <c r="AC13" s="36"/>
    </row>
    <row r="14" ht="12.75" customHeight="1">
      <c r="A14" s="18"/>
      <c r="B14" s="22" t="s">
        <v>11</v>
      </c>
      <c r="C14" s="23"/>
      <c r="D14" s="19" t="s">
        <v>12</v>
      </c>
      <c r="E14" s="19">
        <v>125.0</v>
      </c>
      <c r="F14" s="19">
        <v>98.0</v>
      </c>
      <c r="G14" s="19">
        <v>127.0</v>
      </c>
      <c r="H14" s="19">
        <v>127.0</v>
      </c>
      <c r="I14" s="19">
        <v>137.0</v>
      </c>
      <c r="J14" s="19">
        <v>137.0</v>
      </c>
      <c r="K14" s="19">
        <v>140.0</v>
      </c>
      <c r="L14" s="19">
        <v>117.0</v>
      </c>
      <c r="M14" s="19">
        <v>133.0</v>
      </c>
      <c r="N14" s="19">
        <v>133.0</v>
      </c>
      <c r="O14" s="19">
        <v>147.0</v>
      </c>
      <c r="P14" s="19">
        <v>136.0</v>
      </c>
      <c r="Q14" s="19">
        <v>160.0</v>
      </c>
      <c r="R14" s="19">
        <v>148.0</v>
      </c>
      <c r="S14" s="19">
        <v>110.0</v>
      </c>
      <c r="T14" s="19">
        <v>124.0</v>
      </c>
      <c r="U14" s="19">
        <v>129.0</v>
      </c>
      <c r="V14" s="19">
        <v>135.0</v>
      </c>
      <c r="W14" s="19">
        <v>108.0</v>
      </c>
      <c r="X14" s="19">
        <v>121.0</v>
      </c>
      <c r="Y14" s="19">
        <v>151.0</v>
      </c>
      <c r="Z14" s="19">
        <v>141.0</v>
      </c>
      <c r="AA14" s="19">
        <v>103.0</v>
      </c>
      <c r="AB14" s="19">
        <v>135.0</v>
      </c>
      <c r="AC14" s="13">
        <f t="shared" ref="AC14:AC16" si="1">SUM(E14:AB14)</f>
        <v>3122</v>
      </c>
    </row>
    <row r="15" ht="12.75" customHeight="1">
      <c r="A15" s="18"/>
      <c r="B15" s="26"/>
      <c r="C15" s="27"/>
      <c r="D15" s="19" t="s">
        <v>13</v>
      </c>
      <c r="E15" s="19">
        <v>131.0</v>
      </c>
      <c r="F15" s="19">
        <v>104.0</v>
      </c>
      <c r="G15" s="19">
        <v>131.0</v>
      </c>
      <c r="H15" s="19">
        <v>144.0</v>
      </c>
      <c r="I15" s="19">
        <v>136.0</v>
      </c>
      <c r="J15" s="19">
        <v>142.0</v>
      </c>
      <c r="K15" s="19">
        <v>142.0</v>
      </c>
      <c r="L15" s="19">
        <v>103.0</v>
      </c>
      <c r="M15" s="19">
        <v>123.0</v>
      </c>
      <c r="N15" s="19">
        <v>152.0</v>
      </c>
      <c r="O15" s="19">
        <v>141.0</v>
      </c>
      <c r="P15" s="19">
        <v>155.0</v>
      </c>
      <c r="Q15" s="19">
        <v>134.0</v>
      </c>
      <c r="R15" s="19">
        <v>138.0</v>
      </c>
      <c r="S15" s="19">
        <v>113.0</v>
      </c>
      <c r="T15" s="19">
        <v>152.0</v>
      </c>
      <c r="U15" s="19">
        <v>136.0</v>
      </c>
      <c r="V15" s="19">
        <v>134.0</v>
      </c>
      <c r="W15" s="19">
        <v>121.0</v>
      </c>
      <c r="X15" s="19">
        <v>115.0</v>
      </c>
      <c r="Y15" s="19">
        <v>133.0</v>
      </c>
      <c r="Z15" s="19">
        <v>141.0</v>
      </c>
      <c r="AA15" s="19">
        <v>140.0</v>
      </c>
      <c r="AB15" s="19">
        <v>135.0</v>
      </c>
      <c r="AC15" s="13">
        <f t="shared" si="1"/>
        <v>3196</v>
      </c>
    </row>
    <row r="16" ht="12.75" customHeight="1">
      <c r="A16" s="25"/>
      <c r="B16" s="21"/>
      <c r="C16" s="28"/>
      <c r="D16" s="13" t="s">
        <v>14</v>
      </c>
      <c r="E16" s="13">
        <f t="shared" ref="E16:AB16" si="2">SUM(E14:E15)</f>
        <v>256</v>
      </c>
      <c r="F16" s="13">
        <f t="shared" si="2"/>
        <v>202</v>
      </c>
      <c r="G16" s="13">
        <f t="shared" si="2"/>
        <v>258</v>
      </c>
      <c r="H16" s="13">
        <f t="shared" si="2"/>
        <v>271</v>
      </c>
      <c r="I16" s="13">
        <f t="shared" si="2"/>
        <v>273</v>
      </c>
      <c r="J16" s="13">
        <f t="shared" si="2"/>
        <v>279</v>
      </c>
      <c r="K16" s="13">
        <f t="shared" si="2"/>
        <v>282</v>
      </c>
      <c r="L16" s="13">
        <f t="shared" si="2"/>
        <v>220</v>
      </c>
      <c r="M16" s="13">
        <f t="shared" si="2"/>
        <v>256</v>
      </c>
      <c r="N16" s="13">
        <f t="shared" si="2"/>
        <v>285</v>
      </c>
      <c r="O16" s="13">
        <f t="shared" si="2"/>
        <v>288</v>
      </c>
      <c r="P16" s="13">
        <f t="shared" si="2"/>
        <v>291</v>
      </c>
      <c r="Q16" s="13">
        <f t="shared" si="2"/>
        <v>294</v>
      </c>
      <c r="R16" s="13">
        <f t="shared" si="2"/>
        <v>286</v>
      </c>
      <c r="S16" s="13">
        <f t="shared" si="2"/>
        <v>223</v>
      </c>
      <c r="T16" s="13">
        <f t="shared" si="2"/>
        <v>276</v>
      </c>
      <c r="U16" s="13">
        <f t="shared" si="2"/>
        <v>265</v>
      </c>
      <c r="V16" s="13">
        <f t="shared" si="2"/>
        <v>269</v>
      </c>
      <c r="W16" s="13">
        <f t="shared" si="2"/>
        <v>229</v>
      </c>
      <c r="X16" s="13">
        <f t="shared" si="2"/>
        <v>236</v>
      </c>
      <c r="Y16" s="13">
        <f t="shared" si="2"/>
        <v>284</v>
      </c>
      <c r="Z16" s="13">
        <f t="shared" si="2"/>
        <v>282</v>
      </c>
      <c r="AA16" s="13">
        <f t="shared" si="2"/>
        <v>243</v>
      </c>
      <c r="AB16" s="13">
        <f t="shared" si="2"/>
        <v>270</v>
      </c>
      <c r="AC16" s="13">
        <f t="shared" si="1"/>
        <v>6318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7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7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83.0</v>
      </c>
      <c r="F19" s="19">
        <v>76.0</v>
      </c>
      <c r="G19" s="19">
        <v>107.0</v>
      </c>
      <c r="H19" s="19">
        <v>80.0</v>
      </c>
      <c r="I19" s="19">
        <v>101.0</v>
      </c>
      <c r="J19" s="19">
        <v>100.0</v>
      </c>
      <c r="K19" s="19">
        <v>102.0</v>
      </c>
      <c r="L19" s="19">
        <v>86.0</v>
      </c>
      <c r="M19" s="19">
        <v>111.0</v>
      </c>
      <c r="N19" s="19">
        <v>104.0</v>
      </c>
      <c r="O19" s="19">
        <v>112.0</v>
      </c>
      <c r="P19" s="19">
        <v>99.0</v>
      </c>
      <c r="Q19" s="19">
        <v>122.0</v>
      </c>
      <c r="R19" s="19">
        <v>121.0</v>
      </c>
      <c r="S19" s="19">
        <v>85.0</v>
      </c>
      <c r="T19" s="19">
        <v>88.0</v>
      </c>
      <c r="U19" s="19">
        <v>85.0</v>
      </c>
      <c r="V19" s="19">
        <v>104.0</v>
      </c>
      <c r="W19" s="19">
        <v>83.0</v>
      </c>
      <c r="X19" s="19">
        <v>87.0</v>
      </c>
      <c r="Y19" s="19">
        <v>122.0</v>
      </c>
      <c r="Z19" s="19">
        <v>110.0</v>
      </c>
      <c r="AA19" s="19">
        <v>82.0</v>
      </c>
      <c r="AB19" s="19">
        <v>110.0</v>
      </c>
      <c r="AC19" s="13">
        <f t="shared" ref="AC19:AC30" si="3">SUM(E19:AB19)</f>
        <v>2360</v>
      </c>
    </row>
    <row r="20" ht="12.75" customHeight="1">
      <c r="A20" s="33"/>
      <c r="B20" s="27"/>
      <c r="C20" s="34"/>
      <c r="D20" s="19" t="s">
        <v>13</v>
      </c>
      <c r="E20" s="19">
        <v>96.0</v>
      </c>
      <c r="F20" s="19">
        <v>87.0</v>
      </c>
      <c r="G20" s="19">
        <v>110.0</v>
      </c>
      <c r="H20" s="19">
        <v>111.0</v>
      </c>
      <c r="I20" s="19">
        <v>109.0</v>
      </c>
      <c r="J20" s="19">
        <v>115.0</v>
      </c>
      <c r="K20" s="19">
        <v>111.0</v>
      </c>
      <c r="L20" s="19">
        <v>83.0</v>
      </c>
      <c r="M20" s="19">
        <v>98.0</v>
      </c>
      <c r="N20" s="19">
        <v>132.0</v>
      </c>
      <c r="O20" s="19">
        <v>116.0</v>
      </c>
      <c r="P20" s="19">
        <v>137.0</v>
      </c>
      <c r="Q20" s="19">
        <v>109.0</v>
      </c>
      <c r="R20" s="19">
        <v>103.0</v>
      </c>
      <c r="S20" s="19">
        <v>96.0</v>
      </c>
      <c r="T20" s="19">
        <v>112.0</v>
      </c>
      <c r="U20" s="19">
        <v>104.0</v>
      </c>
      <c r="V20" s="19">
        <v>106.0</v>
      </c>
      <c r="W20" s="19">
        <v>102.0</v>
      </c>
      <c r="X20" s="19">
        <v>92.0</v>
      </c>
      <c r="Y20" s="19">
        <v>107.0</v>
      </c>
      <c r="Z20" s="19">
        <v>115.0</v>
      </c>
      <c r="AA20" s="19">
        <v>119.0</v>
      </c>
      <c r="AB20" s="19">
        <v>122.0</v>
      </c>
      <c r="AC20" s="13">
        <f t="shared" si="3"/>
        <v>2592</v>
      </c>
    </row>
    <row r="21" ht="12.75" customHeight="1">
      <c r="A21" s="35"/>
      <c r="B21" s="28"/>
      <c r="C21" s="36"/>
      <c r="D21" s="13" t="s">
        <v>14</v>
      </c>
      <c r="E21" s="13">
        <f t="shared" ref="E21:AB21" si="4">SUM(E19:E20)</f>
        <v>179</v>
      </c>
      <c r="F21" s="13">
        <f t="shared" si="4"/>
        <v>163</v>
      </c>
      <c r="G21" s="13">
        <f t="shared" si="4"/>
        <v>217</v>
      </c>
      <c r="H21" s="13">
        <f t="shared" si="4"/>
        <v>191</v>
      </c>
      <c r="I21" s="13">
        <f t="shared" si="4"/>
        <v>210</v>
      </c>
      <c r="J21" s="13">
        <f t="shared" si="4"/>
        <v>215</v>
      </c>
      <c r="K21" s="13">
        <f t="shared" si="4"/>
        <v>213</v>
      </c>
      <c r="L21" s="13">
        <f t="shared" si="4"/>
        <v>169</v>
      </c>
      <c r="M21" s="13">
        <f t="shared" si="4"/>
        <v>209</v>
      </c>
      <c r="N21" s="13">
        <f t="shared" si="4"/>
        <v>236</v>
      </c>
      <c r="O21" s="13">
        <f t="shared" si="4"/>
        <v>228</v>
      </c>
      <c r="P21" s="13">
        <f t="shared" si="4"/>
        <v>236</v>
      </c>
      <c r="Q21" s="13">
        <f t="shared" si="4"/>
        <v>231</v>
      </c>
      <c r="R21" s="13">
        <f t="shared" si="4"/>
        <v>224</v>
      </c>
      <c r="S21" s="13">
        <f t="shared" si="4"/>
        <v>181</v>
      </c>
      <c r="T21" s="13">
        <f t="shared" si="4"/>
        <v>200</v>
      </c>
      <c r="U21" s="13">
        <f t="shared" si="4"/>
        <v>189</v>
      </c>
      <c r="V21" s="13">
        <f t="shared" si="4"/>
        <v>210</v>
      </c>
      <c r="W21" s="13">
        <f t="shared" si="4"/>
        <v>185</v>
      </c>
      <c r="X21" s="13">
        <f t="shared" si="4"/>
        <v>179</v>
      </c>
      <c r="Y21" s="13">
        <f t="shared" si="4"/>
        <v>229</v>
      </c>
      <c r="Z21" s="13">
        <f t="shared" si="4"/>
        <v>225</v>
      </c>
      <c r="AA21" s="13">
        <f t="shared" si="4"/>
        <v>201</v>
      </c>
      <c r="AB21" s="13">
        <f t="shared" si="4"/>
        <v>232</v>
      </c>
      <c r="AC21" s="13">
        <f t="shared" si="3"/>
        <v>4952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1.0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/>
      <c r="U22" s="19"/>
      <c r="V22" s="19"/>
      <c r="W22" s="19"/>
      <c r="X22" s="19"/>
      <c r="Y22" s="19"/>
      <c r="Z22" s="19"/>
      <c r="AA22" s="19"/>
      <c r="AB22" s="19"/>
      <c r="AC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1.0</v>
      </c>
      <c r="H23" s="19">
        <v>1.0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/>
      <c r="U23" s="19"/>
      <c r="V23" s="19"/>
      <c r="W23" s="19"/>
      <c r="X23" s="19"/>
      <c r="Y23" s="19"/>
      <c r="Z23" s="19"/>
      <c r="AA23" s="19"/>
      <c r="AB23" s="19"/>
      <c r="AC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AB24" si="5">SUM(E22:E23)</f>
        <v>0</v>
      </c>
      <c r="F24" s="13">
        <f t="shared" si="5"/>
        <v>0</v>
      </c>
      <c r="G24" s="13">
        <f t="shared" si="5"/>
        <v>2</v>
      </c>
      <c r="H24" s="13">
        <f t="shared" si="5"/>
        <v>2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3"/>
        <v>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2.0</v>
      </c>
      <c r="H25" s="19">
        <v>0.0</v>
      </c>
      <c r="I25" s="19">
        <v>0.0</v>
      </c>
      <c r="J25" s="19">
        <v>0.0</v>
      </c>
      <c r="K25" s="19">
        <v>2.0</v>
      </c>
      <c r="L25" s="19">
        <v>2.0</v>
      </c>
      <c r="M25" s="19">
        <v>0.0</v>
      </c>
      <c r="N25" s="19">
        <v>0.0</v>
      </c>
      <c r="O25" s="19">
        <v>0.0</v>
      </c>
      <c r="P25" s="19">
        <v>0.0</v>
      </c>
      <c r="Q25" s="19">
        <v>2.0</v>
      </c>
      <c r="R25" s="19">
        <v>0.0</v>
      </c>
      <c r="S25" s="19">
        <v>0.0</v>
      </c>
      <c r="T25" s="19">
        <v>1.0</v>
      </c>
      <c r="U25" s="19">
        <v>1.0</v>
      </c>
      <c r="V25" s="19">
        <v>0.0</v>
      </c>
      <c r="W25" s="19">
        <v>1.0</v>
      </c>
      <c r="X25" s="19">
        <v>0.0</v>
      </c>
      <c r="Y25" s="19">
        <v>0.0</v>
      </c>
      <c r="Z25" s="19">
        <v>0.0</v>
      </c>
      <c r="AA25" s="19">
        <v>0.0</v>
      </c>
      <c r="AB25" s="19">
        <v>0.0</v>
      </c>
      <c r="AC25" s="13">
        <f t="shared" si="3"/>
        <v>12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2.0</v>
      </c>
      <c r="H26" s="19">
        <v>0.0</v>
      </c>
      <c r="I26" s="19">
        <v>0.0</v>
      </c>
      <c r="J26" s="19">
        <v>3.0</v>
      </c>
      <c r="K26" s="19">
        <v>2.0</v>
      </c>
      <c r="L26" s="19">
        <v>0.0</v>
      </c>
      <c r="M26" s="19">
        <v>1.0</v>
      </c>
      <c r="N26" s="19">
        <v>2.0</v>
      </c>
      <c r="O26" s="19">
        <v>1.0</v>
      </c>
      <c r="P26" s="19">
        <v>0.0</v>
      </c>
      <c r="Q26" s="19">
        <v>2.0</v>
      </c>
      <c r="R26" s="19">
        <v>1.0</v>
      </c>
      <c r="S26" s="19">
        <v>3.0</v>
      </c>
      <c r="T26" s="19">
        <v>1.0</v>
      </c>
      <c r="U26" s="19">
        <v>1.0</v>
      </c>
      <c r="V26" s="19">
        <v>0.0</v>
      </c>
      <c r="W26" s="19">
        <v>0.0</v>
      </c>
      <c r="X26" s="19">
        <v>0.0</v>
      </c>
      <c r="Y26" s="19">
        <v>0.0</v>
      </c>
      <c r="Z26" s="19">
        <v>0.0</v>
      </c>
      <c r="AA26" s="19">
        <v>0.0</v>
      </c>
      <c r="AB26" s="19">
        <v>0.0</v>
      </c>
      <c r="AC26" s="13">
        <f t="shared" si="3"/>
        <v>20</v>
      </c>
    </row>
    <row r="27" ht="12.75" customHeight="1">
      <c r="A27" s="35"/>
      <c r="B27" s="28"/>
      <c r="C27" s="36"/>
      <c r="D27" s="13" t="s">
        <v>14</v>
      </c>
      <c r="E27" s="13">
        <f t="shared" ref="E27:AB27" si="6">SUM(E25:E26)</f>
        <v>2</v>
      </c>
      <c r="F27" s="13">
        <f t="shared" si="6"/>
        <v>0</v>
      </c>
      <c r="G27" s="13">
        <f t="shared" si="6"/>
        <v>4</v>
      </c>
      <c r="H27" s="13">
        <f t="shared" si="6"/>
        <v>0</v>
      </c>
      <c r="I27" s="13">
        <f t="shared" si="6"/>
        <v>0</v>
      </c>
      <c r="J27" s="13">
        <f t="shared" si="6"/>
        <v>3</v>
      </c>
      <c r="K27" s="13">
        <f t="shared" si="6"/>
        <v>4</v>
      </c>
      <c r="L27" s="13">
        <f t="shared" si="6"/>
        <v>2</v>
      </c>
      <c r="M27" s="13">
        <f t="shared" si="6"/>
        <v>1</v>
      </c>
      <c r="N27" s="13">
        <f t="shared" si="6"/>
        <v>2</v>
      </c>
      <c r="O27" s="13">
        <f t="shared" si="6"/>
        <v>1</v>
      </c>
      <c r="P27" s="13">
        <f t="shared" si="6"/>
        <v>0</v>
      </c>
      <c r="Q27" s="13">
        <f t="shared" si="6"/>
        <v>4</v>
      </c>
      <c r="R27" s="13">
        <f t="shared" si="6"/>
        <v>1</v>
      </c>
      <c r="S27" s="13">
        <f t="shared" si="6"/>
        <v>3</v>
      </c>
      <c r="T27" s="13">
        <f t="shared" si="6"/>
        <v>2</v>
      </c>
      <c r="U27" s="13">
        <f t="shared" si="6"/>
        <v>2</v>
      </c>
      <c r="V27" s="13">
        <f t="shared" si="6"/>
        <v>0</v>
      </c>
      <c r="W27" s="13">
        <f t="shared" si="6"/>
        <v>1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3"/>
        <v>32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B28" si="7">SUM(E19,E22,E25)</f>
        <v>84</v>
      </c>
      <c r="F28" s="13">
        <f t="shared" si="7"/>
        <v>76</v>
      </c>
      <c r="G28" s="13">
        <f t="shared" si="7"/>
        <v>110</v>
      </c>
      <c r="H28" s="13">
        <f t="shared" si="7"/>
        <v>81</v>
      </c>
      <c r="I28" s="13">
        <f t="shared" si="7"/>
        <v>101</v>
      </c>
      <c r="J28" s="13">
        <f t="shared" si="7"/>
        <v>100</v>
      </c>
      <c r="K28" s="13">
        <f t="shared" si="7"/>
        <v>104</v>
      </c>
      <c r="L28" s="13">
        <f t="shared" si="7"/>
        <v>88</v>
      </c>
      <c r="M28" s="13">
        <f t="shared" si="7"/>
        <v>111</v>
      </c>
      <c r="N28" s="13">
        <f t="shared" si="7"/>
        <v>104</v>
      </c>
      <c r="O28" s="13">
        <f t="shared" si="7"/>
        <v>112</v>
      </c>
      <c r="P28" s="13">
        <f t="shared" si="7"/>
        <v>99</v>
      </c>
      <c r="Q28" s="13">
        <f t="shared" si="7"/>
        <v>124</v>
      </c>
      <c r="R28" s="13">
        <f t="shared" si="7"/>
        <v>121</v>
      </c>
      <c r="S28" s="13">
        <f t="shared" si="7"/>
        <v>85</v>
      </c>
      <c r="T28" s="13">
        <f t="shared" si="7"/>
        <v>89</v>
      </c>
      <c r="U28" s="13">
        <f t="shared" si="7"/>
        <v>86</v>
      </c>
      <c r="V28" s="13">
        <f t="shared" si="7"/>
        <v>104</v>
      </c>
      <c r="W28" s="13">
        <f t="shared" si="7"/>
        <v>84</v>
      </c>
      <c r="X28" s="13">
        <f t="shared" si="7"/>
        <v>87</v>
      </c>
      <c r="Y28" s="13">
        <f t="shared" si="7"/>
        <v>122</v>
      </c>
      <c r="Z28" s="13">
        <f t="shared" si="7"/>
        <v>110</v>
      </c>
      <c r="AA28" s="13">
        <f t="shared" si="7"/>
        <v>82</v>
      </c>
      <c r="AB28" s="13">
        <f t="shared" si="7"/>
        <v>110</v>
      </c>
      <c r="AC28" s="13">
        <f t="shared" si="3"/>
        <v>2374</v>
      </c>
    </row>
    <row r="29" ht="12.75" customHeight="1">
      <c r="A29" s="35"/>
      <c r="B29" s="27"/>
      <c r="C29" s="34"/>
      <c r="D29" s="13" t="s">
        <v>13</v>
      </c>
      <c r="E29" s="13">
        <f t="shared" ref="E29:AB29" si="8">SUM(E20,E23,E26)</f>
        <v>97</v>
      </c>
      <c r="F29" s="13">
        <f t="shared" si="8"/>
        <v>87</v>
      </c>
      <c r="G29" s="13">
        <f t="shared" si="8"/>
        <v>113</v>
      </c>
      <c r="H29" s="13">
        <f t="shared" si="8"/>
        <v>112</v>
      </c>
      <c r="I29" s="13">
        <f t="shared" si="8"/>
        <v>109</v>
      </c>
      <c r="J29" s="13">
        <f t="shared" si="8"/>
        <v>118</v>
      </c>
      <c r="K29" s="13">
        <f t="shared" si="8"/>
        <v>113</v>
      </c>
      <c r="L29" s="13">
        <f t="shared" si="8"/>
        <v>83</v>
      </c>
      <c r="M29" s="13">
        <f t="shared" si="8"/>
        <v>99</v>
      </c>
      <c r="N29" s="13">
        <f t="shared" si="8"/>
        <v>134</v>
      </c>
      <c r="O29" s="13">
        <f t="shared" si="8"/>
        <v>117</v>
      </c>
      <c r="P29" s="13">
        <f t="shared" si="8"/>
        <v>137</v>
      </c>
      <c r="Q29" s="13">
        <f t="shared" si="8"/>
        <v>111</v>
      </c>
      <c r="R29" s="13">
        <f t="shared" si="8"/>
        <v>104</v>
      </c>
      <c r="S29" s="13">
        <f t="shared" si="8"/>
        <v>99</v>
      </c>
      <c r="T29" s="13">
        <f t="shared" si="8"/>
        <v>113</v>
      </c>
      <c r="U29" s="13">
        <f t="shared" si="8"/>
        <v>105</v>
      </c>
      <c r="V29" s="13">
        <f t="shared" si="8"/>
        <v>106</v>
      </c>
      <c r="W29" s="13">
        <f t="shared" si="8"/>
        <v>102</v>
      </c>
      <c r="X29" s="13">
        <f t="shared" si="8"/>
        <v>92</v>
      </c>
      <c r="Y29" s="13">
        <f t="shared" si="8"/>
        <v>107</v>
      </c>
      <c r="Z29" s="13">
        <f t="shared" si="8"/>
        <v>115</v>
      </c>
      <c r="AA29" s="13">
        <f t="shared" si="8"/>
        <v>119</v>
      </c>
      <c r="AB29" s="13">
        <f t="shared" si="8"/>
        <v>122</v>
      </c>
      <c r="AC29" s="13">
        <f t="shared" si="3"/>
        <v>2614</v>
      </c>
    </row>
    <row r="30" ht="12.75" customHeight="1">
      <c r="A30" s="35"/>
      <c r="B30" s="28"/>
      <c r="C30" s="36"/>
      <c r="D30" s="13" t="s">
        <v>14</v>
      </c>
      <c r="E30" s="13">
        <f t="shared" ref="E30:AB30" si="9">SUM(E28:E29)</f>
        <v>181</v>
      </c>
      <c r="F30" s="13">
        <f t="shared" si="9"/>
        <v>163</v>
      </c>
      <c r="G30" s="13">
        <f t="shared" si="9"/>
        <v>223</v>
      </c>
      <c r="H30" s="13">
        <f t="shared" si="9"/>
        <v>193</v>
      </c>
      <c r="I30" s="13">
        <f t="shared" si="9"/>
        <v>210</v>
      </c>
      <c r="J30" s="13">
        <f t="shared" si="9"/>
        <v>218</v>
      </c>
      <c r="K30" s="13">
        <f t="shared" si="9"/>
        <v>217</v>
      </c>
      <c r="L30" s="13">
        <f t="shared" si="9"/>
        <v>171</v>
      </c>
      <c r="M30" s="13">
        <f t="shared" si="9"/>
        <v>210</v>
      </c>
      <c r="N30" s="13">
        <f t="shared" si="9"/>
        <v>238</v>
      </c>
      <c r="O30" s="13">
        <f t="shared" si="9"/>
        <v>229</v>
      </c>
      <c r="P30" s="13">
        <f t="shared" si="9"/>
        <v>236</v>
      </c>
      <c r="Q30" s="13">
        <f t="shared" si="9"/>
        <v>235</v>
      </c>
      <c r="R30" s="13">
        <f t="shared" si="9"/>
        <v>225</v>
      </c>
      <c r="S30" s="13">
        <f t="shared" si="9"/>
        <v>184</v>
      </c>
      <c r="T30" s="13">
        <f t="shared" si="9"/>
        <v>202</v>
      </c>
      <c r="U30" s="13">
        <f t="shared" si="9"/>
        <v>191</v>
      </c>
      <c r="V30" s="13">
        <f t="shared" si="9"/>
        <v>210</v>
      </c>
      <c r="W30" s="13">
        <f t="shared" si="9"/>
        <v>186</v>
      </c>
      <c r="X30" s="13">
        <f t="shared" si="9"/>
        <v>179</v>
      </c>
      <c r="Y30" s="13">
        <f t="shared" si="9"/>
        <v>229</v>
      </c>
      <c r="Z30" s="13">
        <f t="shared" si="9"/>
        <v>225</v>
      </c>
      <c r="AA30" s="13">
        <f t="shared" si="9"/>
        <v>201</v>
      </c>
      <c r="AB30" s="13">
        <f t="shared" si="9"/>
        <v>232</v>
      </c>
      <c r="AC30" s="13">
        <f t="shared" si="3"/>
        <v>4988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7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77"/>
    </row>
    <row r="33" ht="12.75" customHeight="1">
      <c r="A33" s="19">
        <v>1.0</v>
      </c>
      <c r="B33" s="20" t="s">
        <v>27</v>
      </c>
      <c r="C33" s="15"/>
      <c r="D33" s="16"/>
      <c r="E33" s="19">
        <v>262.0</v>
      </c>
      <c r="F33" s="19">
        <v>208.0</v>
      </c>
      <c r="G33" s="19">
        <v>264.0</v>
      </c>
      <c r="H33" s="19">
        <v>277.0</v>
      </c>
      <c r="I33" s="19">
        <v>279.0</v>
      </c>
      <c r="J33" s="19">
        <v>285.0</v>
      </c>
      <c r="K33" s="19">
        <v>288.0</v>
      </c>
      <c r="L33" s="19">
        <v>226.0</v>
      </c>
      <c r="M33" s="19">
        <v>262.0</v>
      </c>
      <c r="N33" s="19">
        <v>292.0</v>
      </c>
      <c r="O33" s="19">
        <v>294.0</v>
      </c>
      <c r="P33" s="19">
        <v>297.0</v>
      </c>
      <c r="Q33" s="19">
        <v>300.0</v>
      </c>
      <c r="R33" s="19">
        <v>292.0</v>
      </c>
      <c r="S33" s="19">
        <v>248.0</v>
      </c>
      <c r="T33" s="19">
        <v>282.0</v>
      </c>
      <c r="U33" s="19">
        <v>272.0</v>
      </c>
      <c r="V33" s="19">
        <v>275.0</v>
      </c>
      <c r="W33" s="19">
        <v>234.0</v>
      </c>
      <c r="X33" s="19">
        <v>241.0</v>
      </c>
      <c r="Y33" s="19">
        <v>290.0</v>
      </c>
      <c r="Z33" s="19">
        <v>288.0</v>
      </c>
      <c r="AA33" s="19">
        <v>248.0</v>
      </c>
      <c r="AB33" s="19">
        <v>276.0</v>
      </c>
      <c r="AC33" s="13">
        <f t="shared" ref="AC33:AC36" si="10">SUM(E33:AB33)</f>
        <v>6480</v>
      </c>
    </row>
    <row r="34" ht="12.75" customHeight="1">
      <c r="A34" s="19">
        <v>2.0</v>
      </c>
      <c r="B34" s="20" t="s">
        <v>28</v>
      </c>
      <c r="C34" s="15"/>
      <c r="D34" s="16"/>
      <c r="E34" s="13">
        <v>181.0</v>
      </c>
      <c r="F34" s="13">
        <v>163.0</v>
      </c>
      <c r="G34" s="13">
        <v>223.0</v>
      </c>
      <c r="H34" s="13">
        <v>193.0</v>
      </c>
      <c r="I34" s="13">
        <v>210.0</v>
      </c>
      <c r="J34" s="13">
        <v>218.0</v>
      </c>
      <c r="K34" s="13">
        <v>217.0</v>
      </c>
      <c r="L34" s="13">
        <v>171.0</v>
      </c>
      <c r="M34" s="13">
        <v>210.0</v>
      </c>
      <c r="N34" s="13">
        <v>238.0</v>
      </c>
      <c r="O34" s="13">
        <v>229.0</v>
      </c>
      <c r="P34" s="13">
        <v>236.0</v>
      </c>
      <c r="Q34" s="13">
        <v>235.0</v>
      </c>
      <c r="R34" s="13">
        <v>225.0</v>
      </c>
      <c r="S34" s="13">
        <v>184.0</v>
      </c>
      <c r="T34" s="13">
        <v>202.0</v>
      </c>
      <c r="U34" s="13">
        <v>191.0</v>
      </c>
      <c r="V34" s="13">
        <v>210.0</v>
      </c>
      <c r="W34" s="13">
        <v>186.0</v>
      </c>
      <c r="X34" s="13">
        <v>179.0</v>
      </c>
      <c r="Y34" s="13">
        <v>229.0</v>
      </c>
      <c r="Z34" s="13">
        <v>225.0</v>
      </c>
      <c r="AA34" s="13">
        <v>201.0</v>
      </c>
      <c r="AB34" s="13">
        <v>232.0</v>
      </c>
      <c r="AC34" s="13">
        <f t="shared" si="10"/>
        <v>4988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2.0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1.0</v>
      </c>
      <c r="T35" s="19">
        <v>0.0</v>
      </c>
      <c r="U35" s="19">
        <v>0.0</v>
      </c>
      <c r="V35" s="19">
        <v>0.0</v>
      </c>
      <c r="W35" s="19">
        <v>2.0</v>
      </c>
      <c r="X35" s="19">
        <v>0.0</v>
      </c>
      <c r="Y35" s="19">
        <v>0.0</v>
      </c>
      <c r="Z35" s="19">
        <v>1.0</v>
      </c>
      <c r="AA35" s="19">
        <v>0.0</v>
      </c>
      <c r="AB35" s="19">
        <v>0.0</v>
      </c>
      <c r="AC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B36" si="11">E33-(E34+E35)</f>
        <v>81</v>
      </c>
      <c r="F36" s="13">
        <f t="shared" si="11"/>
        <v>45</v>
      </c>
      <c r="G36" s="13">
        <f t="shared" si="11"/>
        <v>41</v>
      </c>
      <c r="H36" s="13">
        <f t="shared" si="11"/>
        <v>84</v>
      </c>
      <c r="I36" s="13">
        <f t="shared" si="11"/>
        <v>69</v>
      </c>
      <c r="J36" s="13">
        <f t="shared" si="11"/>
        <v>67</v>
      </c>
      <c r="K36" s="13">
        <f t="shared" si="11"/>
        <v>71</v>
      </c>
      <c r="L36" s="13">
        <f t="shared" si="11"/>
        <v>53</v>
      </c>
      <c r="M36" s="13">
        <f t="shared" si="11"/>
        <v>52</v>
      </c>
      <c r="N36" s="13">
        <f t="shared" si="11"/>
        <v>54</v>
      </c>
      <c r="O36" s="13">
        <f t="shared" si="11"/>
        <v>65</v>
      </c>
      <c r="P36" s="13">
        <f t="shared" si="11"/>
        <v>61</v>
      </c>
      <c r="Q36" s="13">
        <f t="shared" si="11"/>
        <v>65</v>
      </c>
      <c r="R36" s="13">
        <f t="shared" si="11"/>
        <v>67</v>
      </c>
      <c r="S36" s="13">
        <f t="shared" si="11"/>
        <v>63</v>
      </c>
      <c r="T36" s="13">
        <f t="shared" si="11"/>
        <v>80</v>
      </c>
      <c r="U36" s="13">
        <f t="shared" si="11"/>
        <v>81</v>
      </c>
      <c r="V36" s="13">
        <f t="shared" si="11"/>
        <v>65</v>
      </c>
      <c r="W36" s="13">
        <f t="shared" si="11"/>
        <v>46</v>
      </c>
      <c r="X36" s="13">
        <f t="shared" si="11"/>
        <v>62</v>
      </c>
      <c r="Y36" s="13">
        <f t="shared" si="11"/>
        <v>61</v>
      </c>
      <c r="Z36" s="13">
        <f t="shared" si="11"/>
        <v>62</v>
      </c>
      <c r="AA36" s="13">
        <f t="shared" si="11"/>
        <v>47</v>
      </c>
      <c r="AB36" s="13">
        <f t="shared" si="11"/>
        <v>44</v>
      </c>
      <c r="AC36" s="13">
        <f t="shared" si="10"/>
        <v>1486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8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77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2.0</v>
      </c>
      <c r="R39" s="19">
        <v>0.0</v>
      </c>
      <c r="S39" s="19">
        <v>0.0</v>
      </c>
      <c r="T39" s="19">
        <v>0.0</v>
      </c>
      <c r="U39" s="19">
        <v>1.0</v>
      </c>
      <c r="V39" s="19">
        <v>0.0</v>
      </c>
      <c r="W39" s="19">
        <v>1.0</v>
      </c>
      <c r="X39" s="19">
        <v>0.0</v>
      </c>
      <c r="Y39" s="19">
        <v>0.0</v>
      </c>
      <c r="Z39" s="19">
        <v>0.0</v>
      </c>
      <c r="AA39" s="19">
        <v>1.0</v>
      </c>
      <c r="AB39" s="19">
        <v>0.0</v>
      </c>
      <c r="AC39" s="13">
        <f t="shared" ref="AC39:AC41" si="12">SUM(E39:AB39)</f>
        <v>6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1.0</v>
      </c>
      <c r="N40" s="19">
        <v>1.0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4.0</v>
      </c>
      <c r="V40" s="19">
        <v>0.0</v>
      </c>
      <c r="W40" s="19">
        <v>2.0</v>
      </c>
      <c r="X40" s="19">
        <v>0.0</v>
      </c>
      <c r="Y40" s="19">
        <v>0.0</v>
      </c>
      <c r="Z40" s="19">
        <v>0.0</v>
      </c>
      <c r="AA40" s="19">
        <v>1.0</v>
      </c>
      <c r="AB40" s="19">
        <v>0.0</v>
      </c>
      <c r="AC40" s="13">
        <f t="shared" si="12"/>
        <v>9</v>
      </c>
    </row>
    <row r="41" ht="12.75" customHeight="1">
      <c r="A41" s="41"/>
      <c r="B41" s="44"/>
      <c r="C41" s="28"/>
      <c r="D41" s="13" t="s">
        <v>14</v>
      </c>
      <c r="E41" s="13">
        <f t="shared" ref="E41:AB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2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5</v>
      </c>
      <c r="V41" s="13">
        <f t="shared" si="13"/>
        <v>0</v>
      </c>
      <c r="W41" s="13">
        <f t="shared" si="13"/>
        <v>3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2</v>
      </c>
      <c r="AB41" s="13">
        <f t="shared" si="13"/>
        <v>0</v>
      </c>
      <c r="AC41" s="13">
        <f t="shared" si="12"/>
        <v>15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8"/>
      <c r="O42" s="19"/>
      <c r="P42" s="68"/>
      <c r="Q42" s="19"/>
      <c r="R42" s="68"/>
      <c r="S42" s="19"/>
      <c r="T42" s="68"/>
      <c r="U42" s="19"/>
      <c r="V42" s="68"/>
      <c r="W42" s="19"/>
      <c r="X42" s="68"/>
      <c r="Y42" s="19"/>
      <c r="Z42" s="19"/>
      <c r="AA42" s="68"/>
      <c r="AB42" s="19"/>
      <c r="AC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69"/>
      <c r="Q43" s="13"/>
      <c r="R43" s="69"/>
      <c r="S43" s="13"/>
      <c r="T43" s="69"/>
      <c r="U43" s="13"/>
      <c r="V43" s="69"/>
      <c r="W43" s="13"/>
      <c r="X43" s="69"/>
      <c r="Y43" s="13"/>
      <c r="Z43" s="13"/>
      <c r="AA43" s="69"/>
      <c r="AB43" s="13"/>
      <c r="AC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8"/>
      <c r="O44" s="19"/>
      <c r="P44" s="68"/>
      <c r="Q44" s="19"/>
      <c r="R44" s="68"/>
      <c r="S44" s="19"/>
      <c r="T44" s="68"/>
      <c r="U44" s="19"/>
      <c r="V44" s="68"/>
      <c r="W44" s="19"/>
      <c r="X44" s="68"/>
      <c r="Y44" s="19"/>
      <c r="Z44" s="19"/>
      <c r="AA44" s="68"/>
      <c r="AB44" s="19"/>
      <c r="AC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10.0</v>
      </c>
      <c r="F45" s="19">
        <v>3.0</v>
      </c>
      <c r="G45" s="19">
        <v>10.0</v>
      </c>
      <c r="H45" s="19">
        <v>8.0</v>
      </c>
      <c r="I45" s="19">
        <v>5.0</v>
      </c>
      <c r="J45" s="19">
        <v>6.0</v>
      </c>
      <c r="K45" s="19">
        <v>2.0</v>
      </c>
      <c r="L45" s="19">
        <v>7.0</v>
      </c>
      <c r="M45" s="19">
        <v>5.0</v>
      </c>
      <c r="N45" s="19">
        <v>10.0</v>
      </c>
      <c r="O45" s="19">
        <v>7.0</v>
      </c>
      <c r="P45" s="19">
        <v>7.0</v>
      </c>
      <c r="Q45" s="19">
        <v>9.0</v>
      </c>
      <c r="R45" s="19">
        <v>5.0</v>
      </c>
      <c r="S45" s="19">
        <v>5.0</v>
      </c>
      <c r="T45" s="19">
        <v>1.0</v>
      </c>
      <c r="U45" s="19">
        <v>2.0</v>
      </c>
      <c r="V45" s="19">
        <v>3.0</v>
      </c>
      <c r="W45" s="19">
        <v>11.0</v>
      </c>
      <c r="X45" s="19">
        <v>4.0</v>
      </c>
      <c r="Y45" s="19">
        <v>19.0</v>
      </c>
      <c r="Z45" s="19">
        <v>10.0</v>
      </c>
      <c r="AA45" s="19">
        <v>2.0</v>
      </c>
      <c r="AB45" s="19">
        <v>7.0</v>
      </c>
      <c r="AC45" s="13">
        <f t="shared" ref="AC45:AC52" si="14">SUM(E45:AB45)</f>
        <v>158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17.0</v>
      </c>
      <c r="F46" s="19">
        <v>12.0</v>
      </c>
      <c r="G46" s="19">
        <v>28.0</v>
      </c>
      <c r="H46" s="19">
        <v>84.0</v>
      </c>
      <c r="I46" s="19">
        <v>16.0</v>
      </c>
      <c r="J46" s="19">
        <v>14.0</v>
      </c>
      <c r="K46" s="19">
        <v>24.0</v>
      </c>
      <c r="L46" s="19">
        <v>33.0</v>
      </c>
      <c r="M46" s="19">
        <v>13.0</v>
      </c>
      <c r="N46" s="19">
        <v>24.0</v>
      </c>
      <c r="O46" s="19">
        <v>27.0</v>
      </c>
      <c r="P46" s="19">
        <v>24.0</v>
      </c>
      <c r="Q46" s="19">
        <v>12.0</v>
      </c>
      <c r="R46" s="19">
        <v>17.0</v>
      </c>
      <c r="S46" s="19">
        <v>27.0</v>
      </c>
      <c r="T46" s="19">
        <v>1.0</v>
      </c>
      <c r="U46" s="19">
        <v>2.0</v>
      </c>
      <c r="V46" s="19">
        <v>13.0</v>
      </c>
      <c r="W46" s="19">
        <v>12.0</v>
      </c>
      <c r="X46" s="19">
        <v>7.0</v>
      </c>
      <c r="Y46" s="19">
        <v>62.0</v>
      </c>
      <c r="Z46" s="19">
        <v>21.0</v>
      </c>
      <c r="AA46" s="19">
        <v>43.0</v>
      </c>
      <c r="AB46" s="19">
        <v>35.0</v>
      </c>
      <c r="AC46" s="13">
        <f t="shared" si="14"/>
        <v>568</v>
      </c>
    </row>
    <row r="47" ht="12.75" customHeight="1">
      <c r="A47" s="18"/>
      <c r="B47" s="55">
        <v>2.0</v>
      </c>
      <c r="C47" s="50" t="s">
        <v>41</v>
      </c>
      <c r="D47" s="16"/>
      <c r="E47" s="19">
        <v>3.0</v>
      </c>
      <c r="F47" s="19">
        <v>0.0</v>
      </c>
      <c r="G47" s="19">
        <v>3.0</v>
      </c>
      <c r="H47" s="19">
        <v>0.0</v>
      </c>
      <c r="I47" s="19">
        <v>3.0</v>
      </c>
      <c r="J47" s="19">
        <v>0.0</v>
      </c>
      <c r="K47" s="19">
        <v>0.0</v>
      </c>
      <c r="L47" s="19">
        <v>1.0</v>
      </c>
      <c r="M47" s="19">
        <v>1.0</v>
      </c>
      <c r="N47" s="19">
        <v>0.0</v>
      </c>
      <c r="O47" s="19">
        <v>6.0</v>
      </c>
      <c r="P47" s="19">
        <v>4.0</v>
      </c>
      <c r="Q47" s="19">
        <v>1.0</v>
      </c>
      <c r="R47" s="19">
        <v>0.0</v>
      </c>
      <c r="S47" s="19">
        <v>0.0</v>
      </c>
      <c r="T47" s="19">
        <v>0.0</v>
      </c>
      <c r="U47" s="19">
        <v>0.0</v>
      </c>
      <c r="V47" s="19">
        <v>0.0</v>
      </c>
      <c r="W47" s="19">
        <v>0.0</v>
      </c>
      <c r="X47" s="19">
        <v>0.0</v>
      </c>
      <c r="Y47" s="19">
        <v>3.0</v>
      </c>
      <c r="Z47" s="19">
        <v>2.0</v>
      </c>
      <c r="AA47" s="19">
        <v>0.0</v>
      </c>
      <c r="AB47" s="19">
        <v>2.0</v>
      </c>
      <c r="AC47" s="13">
        <f t="shared" si="14"/>
        <v>29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1.0</v>
      </c>
      <c r="G48" s="19">
        <v>3.0</v>
      </c>
      <c r="H48" s="19">
        <v>0.0</v>
      </c>
      <c r="I48" s="19">
        <v>0.0</v>
      </c>
      <c r="J48" s="19">
        <v>1.0</v>
      </c>
      <c r="K48" s="19">
        <v>1.0</v>
      </c>
      <c r="L48" s="19">
        <v>0.0</v>
      </c>
      <c r="M48" s="19">
        <v>0.0</v>
      </c>
      <c r="N48" s="19">
        <v>0.0</v>
      </c>
      <c r="O48" s="19">
        <v>0.0</v>
      </c>
      <c r="P48" s="19">
        <v>1.0</v>
      </c>
      <c r="Q48" s="19">
        <v>2.0</v>
      </c>
      <c r="R48" s="19">
        <v>1.0</v>
      </c>
      <c r="S48" s="19">
        <v>0.0</v>
      </c>
      <c r="T48" s="19">
        <v>0.0</v>
      </c>
      <c r="U48" s="19">
        <v>0.0</v>
      </c>
      <c r="V48" s="19">
        <v>2.0</v>
      </c>
      <c r="W48" s="19">
        <v>2.0</v>
      </c>
      <c r="X48" s="19">
        <v>0.0</v>
      </c>
      <c r="Y48" s="19">
        <v>0.0</v>
      </c>
      <c r="Z48" s="19">
        <v>0.0</v>
      </c>
      <c r="AA48" s="19">
        <v>0.0</v>
      </c>
      <c r="AB48" s="19">
        <v>1.0</v>
      </c>
      <c r="AC48" s="13">
        <f t="shared" si="14"/>
        <v>16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0.0</v>
      </c>
      <c r="G49" s="19">
        <v>0.0</v>
      </c>
      <c r="H49" s="19">
        <v>1.0</v>
      </c>
      <c r="I49" s="19">
        <v>1.0</v>
      </c>
      <c r="J49" s="19">
        <v>0.0</v>
      </c>
      <c r="K49" s="19">
        <v>0.0</v>
      </c>
      <c r="L49" s="19">
        <v>1.0</v>
      </c>
      <c r="M49" s="19">
        <v>0.0</v>
      </c>
      <c r="N49" s="19">
        <v>0.0</v>
      </c>
      <c r="O49" s="19">
        <v>2.0</v>
      </c>
      <c r="P49" s="19">
        <v>2.0</v>
      </c>
      <c r="Q49" s="19">
        <v>4.0</v>
      </c>
      <c r="R49" s="19">
        <v>1.0</v>
      </c>
      <c r="S49" s="19">
        <v>6.0</v>
      </c>
      <c r="T49" s="19">
        <v>1.0</v>
      </c>
      <c r="U49" s="19">
        <v>0.0</v>
      </c>
      <c r="V49" s="19">
        <v>0.0</v>
      </c>
      <c r="W49" s="19">
        <v>2.0</v>
      </c>
      <c r="X49" s="19">
        <v>0.0</v>
      </c>
      <c r="Y49" s="19">
        <v>1.0</v>
      </c>
      <c r="Z49" s="19">
        <v>1.0</v>
      </c>
      <c r="AA49" s="19">
        <v>0.0</v>
      </c>
      <c r="AB49" s="19">
        <v>1.0</v>
      </c>
      <c r="AC49" s="13">
        <f t="shared" si="14"/>
        <v>25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0.0</v>
      </c>
      <c r="G50" s="19">
        <v>3.0</v>
      </c>
      <c r="H50" s="19">
        <v>0.0</v>
      </c>
      <c r="I50" s="19">
        <v>1.0</v>
      </c>
      <c r="J50" s="19">
        <v>1.0</v>
      </c>
      <c r="K50" s="19">
        <v>0.0</v>
      </c>
      <c r="L50" s="19">
        <v>1.0</v>
      </c>
      <c r="M50" s="19">
        <v>2.0</v>
      </c>
      <c r="N50" s="19">
        <v>1.0</v>
      </c>
      <c r="O50" s="19">
        <v>1.0</v>
      </c>
      <c r="P50" s="19">
        <v>1.0</v>
      </c>
      <c r="Q50" s="19">
        <v>0.0</v>
      </c>
      <c r="R50" s="19">
        <v>0.0</v>
      </c>
      <c r="S50" s="19">
        <v>2.0</v>
      </c>
      <c r="T50" s="19">
        <v>0.0</v>
      </c>
      <c r="U50" s="19">
        <v>0.0</v>
      </c>
      <c r="V50" s="19">
        <v>0.0</v>
      </c>
      <c r="W50" s="19">
        <v>0.0</v>
      </c>
      <c r="X50" s="19">
        <v>0.0</v>
      </c>
      <c r="Y50" s="19">
        <v>0.0</v>
      </c>
      <c r="Z50" s="19">
        <v>0.0</v>
      </c>
      <c r="AA50" s="19">
        <v>0.0</v>
      </c>
      <c r="AB50" s="19">
        <v>0.0</v>
      </c>
      <c r="AC50" s="13">
        <f t="shared" si="14"/>
        <v>14</v>
      </c>
    </row>
    <row r="51" ht="12.75" customHeight="1">
      <c r="A51" s="18"/>
      <c r="B51" s="55">
        <v>6.0</v>
      </c>
      <c r="C51" s="50" t="s">
        <v>45</v>
      </c>
      <c r="D51" s="16"/>
      <c r="E51" s="19">
        <v>2.0</v>
      </c>
      <c r="F51" s="19">
        <v>1.0</v>
      </c>
      <c r="G51" s="19">
        <v>0.0</v>
      </c>
      <c r="H51" s="19">
        <v>1.0</v>
      </c>
      <c r="I51" s="19">
        <v>2.0</v>
      </c>
      <c r="J51" s="19">
        <v>0.0</v>
      </c>
      <c r="K51" s="19">
        <v>0.0</v>
      </c>
      <c r="L51" s="19">
        <v>0.0</v>
      </c>
      <c r="M51" s="19">
        <v>1.0</v>
      </c>
      <c r="N51" s="19">
        <v>1.0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9">
        <v>0.0</v>
      </c>
      <c r="Y51" s="19">
        <v>5.0</v>
      </c>
      <c r="Z51" s="19">
        <v>0.0</v>
      </c>
      <c r="AA51" s="19">
        <v>0.0</v>
      </c>
      <c r="AB51" s="19">
        <v>1.0</v>
      </c>
      <c r="AC51" s="13">
        <f t="shared" si="14"/>
        <v>14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1.0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1.0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1.0</v>
      </c>
      <c r="Y52" s="19">
        <v>0.0</v>
      </c>
      <c r="Z52" s="19">
        <v>0.0</v>
      </c>
      <c r="AA52" s="19">
        <v>0.0</v>
      </c>
      <c r="AB52" s="19">
        <v>0.0</v>
      </c>
      <c r="AC52" s="13">
        <f t="shared" si="14"/>
        <v>3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79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79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C55" si="15">SUM(E45:E54)</f>
        <v>35</v>
      </c>
      <c r="F55" s="13">
        <f t="shared" si="15"/>
        <v>18</v>
      </c>
      <c r="G55" s="13">
        <f t="shared" si="15"/>
        <v>47</v>
      </c>
      <c r="H55" s="13">
        <f t="shared" si="15"/>
        <v>94</v>
      </c>
      <c r="I55" s="13">
        <f t="shared" si="15"/>
        <v>28</v>
      </c>
      <c r="J55" s="13">
        <f t="shared" si="15"/>
        <v>22</v>
      </c>
      <c r="K55" s="13">
        <f t="shared" si="15"/>
        <v>27</v>
      </c>
      <c r="L55" s="13">
        <f t="shared" si="15"/>
        <v>43</v>
      </c>
      <c r="M55" s="13">
        <f t="shared" si="15"/>
        <v>22</v>
      </c>
      <c r="N55" s="13">
        <f t="shared" si="15"/>
        <v>36</v>
      </c>
      <c r="O55" s="13">
        <f t="shared" si="15"/>
        <v>43</v>
      </c>
      <c r="P55" s="13">
        <f t="shared" si="15"/>
        <v>40</v>
      </c>
      <c r="Q55" s="13">
        <f t="shared" si="15"/>
        <v>28</v>
      </c>
      <c r="R55" s="13">
        <f t="shared" si="15"/>
        <v>24</v>
      </c>
      <c r="S55" s="13">
        <f t="shared" si="15"/>
        <v>40</v>
      </c>
      <c r="T55" s="13">
        <f t="shared" si="15"/>
        <v>3</v>
      </c>
      <c r="U55" s="13">
        <f t="shared" si="15"/>
        <v>4</v>
      </c>
      <c r="V55" s="13">
        <f t="shared" si="15"/>
        <v>18</v>
      </c>
      <c r="W55" s="13">
        <f t="shared" si="15"/>
        <v>27</v>
      </c>
      <c r="X55" s="13">
        <f t="shared" si="15"/>
        <v>12</v>
      </c>
      <c r="Y55" s="13">
        <f t="shared" si="15"/>
        <v>90</v>
      </c>
      <c r="Z55" s="13">
        <f t="shared" si="15"/>
        <v>34</v>
      </c>
      <c r="AA55" s="13">
        <f t="shared" si="15"/>
        <v>45</v>
      </c>
      <c r="AB55" s="13">
        <f t="shared" si="15"/>
        <v>47</v>
      </c>
      <c r="AC55" s="13">
        <f t="shared" si="15"/>
        <v>827</v>
      </c>
    </row>
    <row r="56" ht="12.75" customHeight="1">
      <c r="A56" s="45"/>
      <c r="B56" s="44"/>
      <c r="C56" s="44"/>
      <c r="D56" s="44"/>
      <c r="E56" s="44"/>
      <c r="AC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7.0</v>
      </c>
      <c r="F57" s="19">
        <v>7.0</v>
      </c>
      <c r="G57" s="19">
        <v>2.0</v>
      </c>
      <c r="H57" s="19">
        <v>2.0</v>
      </c>
      <c r="I57" s="19">
        <v>3.0</v>
      </c>
      <c r="J57" s="19">
        <v>9.0</v>
      </c>
      <c r="K57" s="19">
        <v>8.0</v>
      </c>
      <c r="L57" s="19">
        <v>8.0</v>
      </c>
      <c r="M57" s="19">
        <v>4.0</v>
      </c>
      <c r="N57" s="19">
        <v>7.0</v>
      </c>
      <c r="O57" s="19">
        <v>7.0</v>
      </c>
      <c r="P57" s="19">
        <v>4.0</v>
      </c>
      <c r="Q57" s="19">
        <v>20.0</v>
      </c>
      <c r="R57" s="19">
        <v>14.0</v>
      </c>
      <c r="S57" s="19">
        <v>6.0</v>
      </c>
      <c r="T57" s="19">
        <v>18.0</v>
      </c>
      <c r="U57" s="19">
        <v>25.0</v>
      </c>
      <c r="V57" s="19">
        <v>1.0</v>
      </c>
      <c r="W57" s="19">
        <v>15.0</v>
      </c>
      <c r="X57" s="19">
        <v>5.0</v>
      </c>
      <c r="Y57" s="19">
        <v>9.0</v>
      </c>
      <c r="Z57" s="19">
        <v>30.0</v>
      </c>
      <c r="AA57" s="19">
        <v>9.0</v>
      </c>
      <c r="AB57" s="19">
        <v>10.0</v>
      </c>
      <c r="AC57" s="13">
        <f t="shared" ref="AC57:AC64" si="16">SUM(E57:AB57)</f>
        <v>230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9.0</v>
      </c>
      <c r="F58" s="19">
        <v>23.0</v>
      </c>
      <c r="G58" s="19">
        <v>2.0</v>
      </c>
      <c r="H58" s="19">
        <v>4.0</v>
      </c>
      <c r="I58" s="19">
        <v>20.0</v>
      </c>
      <c r="J58" s="19">
        <v>33.0</v>
      </c>
      <c r="K58" s="19">
        <v>5.0</v>
      </c>
      <c r="L58" s="19">
        <v>1.0</v>
      </c>
      <c r="M58" s="19">
        <v>8.0</v>
      </c>
      <c r="N58" s="19">
        <v>6.0</v>
      </c>
      <c r="O58" s="19">
        <v>10.0</v>
      </c>
      <c r="P58" s="19">
        <v>18.0</v>
      </c>
      <c r="Q58" s="19">
        <v>13.0</v>
      </c>
      <c r="R58" s="19">
        <v>21.0</v>
      </c>
      <c r="S58" s="19">
        <v>4.0</v>
      </c>
      <c r="T58" s="19">
        <v>20.0</v>
      </c>
      <c r="U58" s="19">
        <v>12.0</v>
      </c>
      <c r="V58" s="19">
        <v>8.0</v>
      </c>
      <c r="W58" s="19">
        <v>29.0</v>
      </c>
      <c r="X58" s="19">
        <v>14.0</v>
      </c>
      <c r="Y58" s="19">
        <v>8.0</v>
      </c>
      <c r="Z58" s="19">
        <v>5.0</v>
      </c>
      <c r="AA58" s="19">
        <v>19.0</v>
      </c>
      <c r="AB58" s="19">
        <v>4.0</v>
      </c>
      <c r="AC58" s="13">
        <f t="shared" si="16"/>
        <v>296</v>
      </c>
    </row>
    <row r="59" ht="12.75" customHeight="1">
      <c r="A59" s="18"/>
      <c r="B59" s="55">
        <v>2.0</v>
      </c>
      <c r="C59" s="50" t="s">
        <v>50</v>
      </c>
      <c r="D59" s="56"/>
      <c r="E59" s="19">
        <v>3.0</v>
      </c>
      <c r="F59" s="19">
        <v>1.0</v>
      </c>
      <c r="G59" s="19">
        <v>4.0</v>
      </c>
      <c r="H59" s="19">
        <v>2.0</v>
      </c>
      <c r="I59" s="19">
        <v>2.0</v>
      </c>
      <c r="J59" s="19">
        <v>1.0</v>
      </c>
      <c r="K59" s="19">
        <v>1.0</v>
      </c>
      <c r="L59" s="19">
        <v>1.0</v>
      </c>
      <c r="M59" s="19">
        <v>2.0</v>
      </c>
      <c r="N59" s="19">
        <v>1.0</v>
      </c>
      <c r="O59" s="19">
        <v>3.0</v>
      </c>
      <c r="P59" s="19">
        <v>7.0</v>
      </c>
      <c r="Q59" s="19">
        <v>7.0</v>
      </c>
      <c r="R59" s="19">
        <v>6.0</v>
      </c>
      <c r="S59" s="19">
        <v>0.0</v>
      </c>
      <c r="T59" s="19">
        <v>9.0</v>
      </c>
      <c r="U59" s="19">
        <v>3.0</v>
      </c>
      <c r="V59" s="19">
        <v>1.0</v>
      </c>
      <c r="W59" s="19">
        <v>2.0</v>
      </c>
      <c r="X59" s="19">
        <v>3.0</v>
      </c>
      <c r="Y59" s="19">
        <v>7.0</v>
      </c>
      <c r="Z59" s="19">
        <v>1.0</v>
      </c>
      <c r="AA59" s="19">
        <v>2.0</v>
      </c>
      <c r="AB59" s="19">
        <v>4.0</v>
      </c>
      <c r="AC59" s="13">
        <f t="shared" si="16"/>
        <v>73</v>
      </c>
    </row>
    <row r="60" ht="12.75" customHeight="1">
      <c r="A60" s="18"/>
      <c r="B60" s="55">
        <v>3.0</v>
      </c>
      <c r="C60" s="50" t="s">
        <v>51</v>
      </c>
      <c r="D60" s="56"/>
      <c r="E60" s="19">
        <v>1.0</v>
      </c>
      <c r="F60" s="19">
        <v>0.0</v>
      </c>
      <c r="G60" s="19">
        <v>1.0</v>
      </c>
      <c r="H60" s="19">
        <v>0.0</v>
      </c>
      <c r="I60" s="19">
        <v>1.0</v>
      </c>
      <c r="J60" s="19">
        <v>0.0</v>
      </c>
      <c r="K60" s="19">
        <v>0.0</v>
      </c>
      <c r="L60" s="19">
        <v>0.0</v>
      </c>
      <c r="M60" s="19">
        <v>0.0</v>
      </c>
      <c r="N60" s="19">
        <v>2.0</v>
      </c>
      <c r="O60" s="19">
        <v>2.0</v>
      </c>
      <c r="P60" s="19">
        <v>6.0</v>
      </c>
      <c r="Q60" s="19">
        <v>1.0</v>
      </c>
      <c r="R60" s="19">
        <v>0.0</v>
      </c>
      <c r="S60" s="19">
        <v>1.0</v>
      </c>
      <c r="T60" s="19">
        <v>1.0</v>
      </c>
      <c r="U60" s="19">
        <v>2.0</v>
      </c>
      <c r="V60" s="19">
        <v>1.0</v>
      </c>
      <c r="W60" s="19">
        <v>1.0</v>
      </c>
      <c r="X60" s="19">
        <v>0.0</v>
      </c>
      <c r="Y60" s="19">
        <v>4.0</v>
      </c>
      <c r="Z60" s="19">
        <v>1.0</v>
      </c>
      <c r="AA60" s="19">
        <v>1.0</v>
      </c>
      <c r="AB60" s="19">
        <v>1.0</v>
      </c>
      <c r="AC60" s="13">
        <f t="shared" si="16"/>
        <v>27</v>
      </c>
    </row>
    <row r="61" ht="12.75" customHeight="1">
      <c r="A61" s="18"/>
      <c r="B61" s="55">
        <v>4.0</v>
      </c>
      <c r="C61" s="50" t="s">
        <v>52</v>
      </c>
      <c r="D61" s="56"/>
      <c r="E61" s="19">
        <v>1.0</v>
      </c>
      <c r="F61" s="19">
        <v>4.0</v>
      </c>
      <c r="G61" s="19">
        <v>3.0</v>
      </c>
      <c r="H61" s="19">
        <v>0.0</v>
      </c>
      <c r="I61" s="19">
        <v>4.0</v>
      </c>
      <c r="J61" s="19">
        <v>1.0</v>
      </c>
      <c r="K61" s="19">
        <v>1.0</v>
      </c>
      <c r="L61" s="19">
        <v>2.0</v>
      </c>
      <c r="M61" s="19">
        <v>0.0</v>
      </c>
      <c r="N61" s="19">
        <v>1.0</v>
      </c>
      <c r="O61" s="19">
        <v>2.0</v>
      </c>
      <c r="P61" s="19">
        <v>1.0</v>
      </c>
      <c r="Q61" s="19">
        <v>1.0</v>
      </c>
      <c r="R61" s="19">
        <v>2.0</v>
      </c>
      <c r="S61" s="19">
        <v>4.0</v>
      </c>
      <c r="T61" s="19">
        <v>3.0</v>
      </c>
      <c r="U61" s="19">
        <v>3.0</v>
      </c>
      <c r="V61" s="19">
        <v>3.0</v>
      </c>
      <c r="W61" s="19">
        <v>3.0</v>
      </c>
      <c r="X61" s="19">
        <v>0.0</v>
      </c>
      <c r="Y61" s="19">
        <v>3.0</v>
      </c>
      <c r="Z61" s="19">
        <v>0.0</v>
      </c>
      <c r="AA61" s="19">
        <v>0.0</v>
      </c>
      <c r="AB61" s="19">
        <v>3.0</v>
      </c>
      <c r="AC61" s="13">
        <f t="shared" si="16"/>
        <v>45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1.0</v>
      </c>
      <c r="H62" s="19">
        <v>0.0</v>
      </c>
      <c r="I62" s="19">
        <v>0.0</v>
      </c>
      <c r="J62" s="19">
        <v>0.0</v>
      </c>
      <c r="K62" s="19">
        <v>0.0</v>
      </c>
      <c r="L62" s="19">
        <v>1.0</v>
      </c>
      <c r="M62" s="19">
        <v>0.0</v>
      </c>
      <c r="N62" s="19">
        <v>1.0</v>
      </c>
      <c r="O62" s="19">
        <v>1.0</v>
      </c>
      <c r="P62" s="19">
        <v>0.0</v>
      </c>
      <c r="Q62" s="19">
        <v>0.0</v>
      </c>
      <c r="R62" s="19">
        <v>1.0</v>
      </c>
      <c r="S62" s="19">
        <v>2.0</v>
      </c>
      <c r="T62" s="19">
        <v>0.0</v>
      </c>
      <c r="U62" s="19">
        <v>1.0</v>
      </c>
      <c r="V62" s="19">
        <v>1.0</v>
      </c>
      <c r="W62" s="19">
        <v>0.0</v>
      </c>
      <c r="X62" s="19">
        <v>0.0</v>
      </c>
      <c r="Y62" s="19">
        <v>0.0</v>
      </c>
      <c r="Z62" s="19">
        <v>2.0</v>
      </c>
      <c r="AA62" s="19">
        <v>0.0</v>
      </c>
      <c r="AB62" s="19">
        <v>0.0</v>
      </c>
      <c r="AC62" s="13">
        <f t="shared" si="16"/>
        <v>11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0.0</v>
      </c>
      <c r="G63" s="19">
        <v>2.0</v>
      </c>
      <c r="H63" s="19">
        <v>0.0</v>
      </c>
      <c r="I63" s="19">
        <v>0.0</v>
      </c>
      <c r="J63" s="19">
        <v>0.0</v>
      </c>
      <c r="K63" s="19">
        <v>1.0</v>
      </c>
      <c r="L63" s="19">
        <v>1.0</v>
      </c>
      <c r="M63" s="19">
        <v>0.0</v>
      </c>
      <c r="N63" s="19">
        <v>1.0</v>
      </c>
      <c r="O63" s="19">
        <v>1.0</v>
      </c>
      <c r="P63" s="19">
        <v>1.0</v>
      </c>
      <c r="Q63" s="19">
        <v>1.0</v>
      </c>
      <c r="R63" s="19">
        <v>0.0</v>
      </c>
      <c r="S63" s="19">
        <v>0.0</v>
      </c>
      <c r="T63" s="19">
        <v>3.0</v>
      </c>
      <c r="U63" s="19">
        <v>2.0</v>
      </c>
      <c r="V63" s="19">
        <v>0.0</v>
      </c>
      <c r="W63" s="19">
        <v>1.0</v>
      </c>
      <c r="X63" s="19">
        <v>0.0</v>
      </c>
      <c r="Y63" s="19">
        <v>2.0</v>
      </c>
      <c r="Z63" s="19">
        <v>2.0</v>
      </c>
      <c r="AA63" s="19">
        <v>5.0</v>
      </c>
      <c r="AB63" s="19">
        <v>0.0</v>
      </c>
      <c r="AC63" s="13">
        <f t="shared" si="16"/>
        <v>23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2.0</v>
      </c>
      <c r="G64" s="19">
        <v>0.0</v>
      </c>
      <c r="H64" s="19">
        <v>1.0</v>
      </c>
      <c r="I64" s="19">
        <v>0.0</v>
      </c>
      <c r="J64" s="19">
        <v>0.0</v>
      </c>
      <c r="K64" s="19">
        <v>0.0</v>
      </c>
      <c r="L64" s="19">
        <v>0.0</v>
      </c>
      <c r="M64" s="19">
        <v>1.0</v>
      </c>
      <c r="N64" s="19">
        <v>0.0</v>
      </c>
      <c r="O64" s="19">
        <v>0.0</v>
      </c>
      <c r="P64" s="19">
        <v>1.0</v>
      </c>
      <c r="Q64" s="19">
        <v>0.0</v>
      </c>
      <c r="R64" s="19">
        <v>0.0</v>
      </c>
      <c r="S64" s="19">
        <v>0.0</v>
      </c>
      <c r="T64" s="19">
        <v>0.0</v>
      </c>
      <c r="U64" s="19">
        <v>0.0</v>
      </c>
      <c r="V64" s="19">
        <v>0.0</v>
      </c>
      <c r="W64" s="19">
        <v>0.0</v>
      </c>
      <c r="X64" s="19">
        <v>0.0</v>
      </c>
      <c r="Y64" s="19">
        <v>0.0</v>
      </c>
      <c r="Z64" s="19">
        <v>2.0</v>
      </c>
      <c r="AA64" s="19">
        <v>1.0</v>
      </c>
      <c r="AB64" s="19">
        <v>3.0</v>
      </c>
      <c r="AC64" s="13">
        <f t="shared" si="16"/>
        <v>11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79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79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C67" si="17">SUM(E57:E66)</f>
        <v>21</v>
      </c>
      <c r="F67" s="13">
        <f t="shared" si="17"/>
        <v>37</v>
      </c>
      <c r="G67" s="13">
        <f t="shared" si="17"/>
        <v>15</v>
      </c>
      <c r="H67" s="13">
        <f t="shared" si="17"/>
        <v>9</v>
      </c>
      <c r="I67" s="13">
        <f t="shared" si="17"/>
        <v>30</v>
      </c>
      <c r="J67" s="13">
        <f t="shared" si="17"/>
        <v>44</v>
      </c>
      <c r="K67" s="13">
        <f t="shared" si="17"/>
        <v>16</v>
      </c>
      <c r="L67" s="13">
        <f t="shared" si="17"/>
        <v>14</v>
      </c>
      <c r="M67" s="13">
        <f t="shared" si="17"/>
        <v>15</v>
      </c>
      <c r="N67" s="13">
        <f t="shared" si="17"/>
        <v>19</v>
      </c>
      <c r="O67" s="13">
        <f t="shared" si="17"/>
        <v>26</v>
      </c>
      <c r="P67" s="13">
        <f t="shared" si="17"/>
        <v>38</v>
      </c>
      <c r="Q67" s="13">
        <f t="shared" si="17"/>
        <v>43</v>
      </c>
      <c r="R67" s="13">
        <f t="shared" si="17"/>
        <v>44</v>
      </c>
      <c r="S67" s="13">
        <f t="shared" si="17"/>
        <v>17</v>
      </c>
      <c r="T67" s="13">
        <f t="shared" si="17"/>
        <v>54</v>
      </c>
      <c r="U67" s="13">
        <f t="shared" si="17"/>
        <v>48</v>
      </c>
      <c r="V67" s="13">
        <f t="shared" si="17"/>
        <v>15</v>
      </c>
      <c r="W67" s="13">
        <f t="shared" si="17"/>
        <v>51</v>
      </c>
      <c r="X67" s="13">
        <f t="shared" si="17"/>
        <v>22</v>
      </c>
      <c r="Y67" s="13">
        <f t="shared" si="17"/>
        <v>33</v>
      </c>
      <c r="Z67" s="13">
        <f t="shared" si="17"/>
        <v>43</v>
      </c>
      <c r="AA67" s="13">
        <f t="shared" si="17"/>
        <v>37</v>
      </c>
      <c r="AB67" s="13">
        <f t="shared" si="17"/>
        <v>25</v>
      </c>
      <c r="AC67" s="13">
        <f t="shared" si="17"/>
        <v>716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7.0</v>
      </c>
      <c r="F69" s="19">
        <v>7.0</v>
      </c>
      <c r="G69" s="19">
        <v>5.0</v>
      </c>
      <c r="H69" s="19">
        <v>1.0</v>
      </c>
      <c r="I69" s="19">
        <v>13.0</v>
      </c>
      <c r="J69" s="19">
        <v>17.0</v>
      </c>
      <c r="K69" s="19">
        <v>29.0</v>
      </c>
      <c r="L69" s="19">
        <v>5.0</v>
      </c>
      <c r="M69" s="19">
        <v>8.0</v>
      </c>
      <c r="N69" s="19">
        <v>9.0</v>
      </c>
      <c r="O69" s="19">
        <v>13.0</v>
      </c>
      <c r="P69" s="19">
        <v>11.0</v>
      </c>
      <c r="Q69" s="19">
        <v>12.0</v>
      </c>
      <c r="R69" s="19">
        <v>9.0</v>
      </c>
      <c r="S69" s="19">
        <v>6.0</v>
      </c>
      <c r="T69" s="19">
        <v>9.0</v>
      </c>
      <c r="U69" s="19">
        <v>11.0</v>
      </c>
      <c r="V69" s="19">
        <v>9.0</v>
      </c>
      <c r="W69" s="19">
        <v>11.0</v>
      </c>
      <c r="X69" s="19">
        <v>20.0</v>
      </c>
      <c r="Y69" s="19">
        <v>15.0</v>
      </c>
      <c r="Z69" s="19">
        <v>23.0</v>
      </c>
      <c r="AA69" s="19">
        <v>6.0</v>
      </c>
      <c r="AB69" s="19">
        <v>6.0</v>
      </c>
      <c r="AC69" s="13">
        <f t="shared" ref="AC69:AC76" si="18">SUM(E69:AB69)</f>
        <v>262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6.0</v>
      </c>
      <c r="F70" s="19">
        <v>11.0</v>
      </c>
      <c r="G70" s="19">
        <v>3.0</v>
      </c>
      <c r="H70" s="19">
        <v>2.0</v>
      </c>
      <c r="I70" s="19">
        <v>7.0</v>
      </c>
      <c r="J70" s="19">
        <v>37.0</v>
      </c>
      <c r="K70" s="19">
        <v>77.0</v>
      </c>
      <c r="L70" s="19">
        <v>8.0</v>
      </c>
      <c r="M70" s="19">
        <v>6.0</v>
      </c>
      <c r="N70" s="19">
        <v>13.0</v>
      </c>
      <c r="O70" s="19">
        <v>11.0</v>
      </c>
      <c r="P70" s="19">
        <v>7.0</v>
      </c>
      <c r="Q70" s="19">
        <v>5.0</v>
      </c>
      <c r="R70" s="19">
        <v>12.0</v>
      </c>
      <c r="S70" s="19">
        <v>2.0</v>
      </c>
      <c r="T70" s="19">
        <v>21.0</v>
      </c>
      <c r="U70" s="19">
        <v>12.0</v>
      </c>
      <c r="V70" s="19">
        <v>12.0</v>
      </c>
      <c r="W70" s="19">
        <v>10.0</v>
      </c>
      <c r="X70" s="19">
        <v>60.0</v>
      </c>
      <c r="Y70" s="19">
        <v>11.0</v>
      </c>
      <c r="Z70" s="19">
        <v>57.0</v>
      </c>
      <c r="AA70" s="19">
        <v>5.0</v>
      </c>
      <c r="AB70" s="19">
        <v>7.0</v>
      </c>
      <c r="AC70" s="13">
        <f t="shared" si="18"/>
        <v>402</v>
      </c>
    </row>
    <row r="71" ht="12.75" customHeight="1">
      <c r="A71" s="18"/>
      <c r="B71" s="55">
        <v>2.0</v>
      </c>
      <c r="C71" s="50" t="s">
        <v>58</v>
      </c>
      <c r="D71" s="57"/>
      <c r="E71" s="19">
        <v>7.0</v>
      </c>
      <c r="F71" s="19">
        <v>3.0</v>
      </c>
      <c r="G71" s="19">
        <v>1.0</v>
      </c>
      <c r="H71" s="19">
        <v>2.0</v>
      </c>
      <c r="I71" s="19">
        <v>1.0</v>
      </c>
      <c r="J71" s="19">
        <v>2.0</v>
      </c>
      <c r="K71" s="19">
        <v>0.0</v>
      </c>
      <c r="L71" s="19">
        <v>1.0</v>
      </c>
      <c r="M71" s="19">
        <v>0.0</v>
      </c>
      <c r="N71" s="19">
        <v>4.0</v>
      </c>
      <c r="O71" s="19">
        <v>6.0</v>
      </c>
      <c r="P71" s="19">
        <v>2.0</v>
      </c>
      <c r="Q71" s="19">
        <v>5.0</v>
      </c>
      <c r="R71" s="19">
        <v>2.0</v>
      </c>
      <c r="S71" s="19">
        <v>2.0</v>
      </c>
      <c r="T71" s="19">
        <v>8.0</v>
      </c>
      <c r="U71" s="19">
        <v>4.0</v>
      </c>
      <c r="V71" s="19">
        <v>6.0</v>
      </c>
      <c r="W71" s="19">
        <v>2.0</v>
      </c>
      <c r="X71" s="19">
        <v>4.0</v>
      </c>
      <c r="Y71" s="19">
        <v>1.0</v>
      </c>
      <c r="Z71" s="19">
        <v>2.0</v>
      </c>
      <c r="AA71" s="19">
        <v>2.0</v>
      </c>
      <c r="AB71" s="19">
        <v>1.0</v>
      </c>
      <c r="AC71" s="13">
        <f t="shared" si="18"/>
        <v>68</v>
      </c>
    </row>
    <row r="72" ht="12.75" customHeight="1">
      <c r="A72" s="18"/>
      <c r="B72" s="55">
        <v>3.0</v>
      </c>
      <c r="C72" s="50" t="s">
        <v>59</v>
      </c>
      <c r="D72" s="57"/>
      <c r="E72" s="19">
        <v>1.0</v>
      </c>
      <c r="F72" s="19">
        <v>1.0</v>
      </c>
      <c r="G72" s="19">
        <v>3.0</v>
      </c>
      <c r="H72" s="19">
        <v>1.0</v>
      </c>
      <c r="I72" s="19">
        <v>6.0</v>
      </c>
      <c r="J72" s="19">
        <v>10.0</v>
      </c>
      <c r="K72" s="19">
        <v>3.0</v>
      </c>
      <c r="L72" s="19">
        <v>1.0</v>
      </c>
      <c r="M72" s="19">
        <v>11.0</v>
      </c>
      <c r="N72" s="19">
        <v>6.0</v>
      </c>
      <c r="O72" s="19">
        <v>2.0</v>
      </c>
      <c r="P72" s="19">
        <v>6.0</v>
      </c>
      <c r="Q72" s="19">
        <v>9.0</v>
      </c>
      <c r="R72" s="19">
        <v>5.0</v>
      </c>
      <c r="S72" s="19">
        <v>2.0</v>
      </c>
      <c r="T72" s="19">
        <v>1.0</v>
      </c>
      <c r="U72" s="19">
        <v>5.0</v>
      </c>
      <c r="V72" s="19">
        <v>1.0</v>
      </c>
      <c r="W72" s="19">
        <v>2.0</v>
      </c>
      <c r="X72" s="19">
        <v>4.0</v>
      </c>
      <c r="Y72" s="19">
        <v>1.0</v>
      </c>
      <c r="Z72" s="19">
        <v>1.0</v>
      </c>
      <c r="AA72" s="19">
        <v>2.0</v>
      </c>
      <c r="AB72" s="19">
        <v>4.0</v>
      </c>
      <c r="AC72" s="13">
        <f t="shared" si="18"/>
        <v>88</v>
      </c>
    </row>
    <row r="73" ht="12.75" customHeight="1">
      <c r="A73" s="18"/>
      <c r="B73" s="55">
        <v>4.0</v>
      </c>
      <c r="C73" s="50" t="s">
        <v>60</v>
      </c>
      <c r="D73" s="57"/>
      <c r="E73" s="19">
        <v>3.0</v>
      </c>
      <c r="F73" s="19">
        <v>0.0</v>
      </c>
      <c r="G73" s="19">
        <v>0.0</v>
      </c>
      <c r="H73" s="19">
        <v>1.0</v>
      </c>
      <c r="I73" s="19">
        <v>0.0</v>
      </c>
      <c r="J73" s="19">
        <v>0.0</v>
      </c>
      <c r="K73" s="19">
        <v>0.0</v>
      </c>
      <c r="L73" s="19">
        <v>0.0</v>
      </c>
      <c r="M73" s="19">
        <v>1.0</v>
      </c>
      <c r="N73" s="19">
        <v>0.0</v>
      </c>
      <c r="O73" s="19">
        <v>1.0</v>
      </c>
      <c r="P73" s="19">
        <v>1.0</v>
      </c>
      <c r="Q73" s="19">
        <v>1.0</v>
      </c>
      <c r="R73" s="19">
        <v>0.0</v>
      </c>
      <c r="S73" s="19">
        <v>1.0</v>
      </c>
      <c r="T73" s="19">
        <v>1.0</v>
      </c>
      <c r="U73" s="19">
        <v>2.0</v>
      </c>
      <c r="V73" s="19">
        <v>0.0</v>
      </c>
      <c r="W73" s="19">
        <v>0.0</v>
      </c>
      <c r="X73" s="19">
        <v>1.0</v>
      </c>
      <c r="Y73" s="19">
        <v>2.0</v>
      </c>
      <c r="Z73" s="19">
        <v>0.0</v>
      </c>
      <c r="AA73" s="19">
        <v>0.0</v>
      </c>
      <c r="AB73" s="19">
        <v>0.0</v>
      </c>
      <c r="AC73" s="13">
        <f t="shared" si="18"/>
        <v>15</v>
      </c>
    </row>
    <row r="74" ht="12.75" customHeight="1">
      <c r="A74" s="18"/>
      <c r="B74" s="55">
        <v>5.0</v>
      </c>
      <c r="C74" s="50" t="s">
        <v>61</v>
      </c>
      <c r="D74" s="57"/>
      <c r="E74" s="19">
        <v>1.0</v>
      </c>
      <c r="F74" s="19">
        <v>7.0</v>
      </c>
      <c r="G74" s="19">
        <v>4.0</v>
      </c>
      <c r="H74" s="19">
        <v>2.0</v>
      </c>
      <c r="I74" s="19">
        <v>4.0</v>
      </c>
      <c r="J74" s="19">
        <v>4.0</v>
      </c>
      <c r="K74" s="19">
        <v>2.0</v>
      </c>
      <c r="L74" s="19">
        <v>2.0</v>
      </c>
      <c r="M74" s="19">
        <v>8.0</v>
      </c>
      <c r="N74" s="19">
        <v>6.0</v>
      </c>
      <c r="O74" s="19">
        <v>1.0</v>
      </c>
      <c r="P74" s="19">
        <v>1.0</v>
      </c>
      <c r="Q74" s="19">
        <v>1.0</v>
      </c>
      <c r="R74" s="19">
        <v>1.0</v>
      </c>
      <c r="S74" s="19">
        <v>6.0</v>
      </c>
      <c r="T74" s="19">
        <v>4.0</v>
      </c>
      <c r="U74" s="19">
        <v>3.0</v>
      </c>
      <c r="V74" s="19">
        <v>4.0</v>
      </c>
      <c r="W74" s="19">
        <v>1.0</v>
      </c>
      <c r="X74" s="19">
        <v>1.0</v>
      </c>
      <c r="Y74" s="19">
        <v>2.0</v>
      </c>
      <c r="Z74" s="19">
        <v>6.0</v>
      </c>
      <c r="AA74" s="19">
        <v>4.0</v>
      </c>
      <c r="AB74" s="19">
        <v>5.0</v>
      </c>
      <c r="AC74" s="13">
        <f t="shared" si="18"/>
        <v>80</v>
      </c>
    </row>
    <row r="75" ht="12.75" customHeight="1">
      <c r="A75" s="18"/>
      <c r="B75" s="55">
        <v>6.0</v>
      </c>
      <c r="C75" s="50" t="s">
        <v>62</v>
      </c>
      <c r="D75" s="57"/>
      <c r="E75" s="19">
        <v>6.0</v>
      </c>
      <c r="F75" s="19">
        <v>1.0</v>
      </c>
      <c r="G75" s="19">
        <v>0.0</v>
      </c>
      <c r="H75" s="19">
        <v>2.0</v>
      </c>
      <c r="I75" s="19">
        <v>1.0</v>
      </c>
      <c r="J75" s="19">
        <v>3.0</v>
      </c>
      <c r="K75" s="19">
        <v>0.0</v>
      </c>
      <c r="L75" s="19">
        <v>2.0</v>
      </c>
      <c r="M75" s="19">
        <v>1.0</v>
      </c>
      <c r="N75" s="19">
        <v>2.0</v>
      </c>
      <c r="O75" s="19">
        <v>2.0</v>
      </c>
      <c r="P75" s="19">
        <v>3.0</v>
      </c>
      <c r="Q75" s="19">
        <v>1.0</v>
      </c>
      <c r="R75" s="19">
        <v>2.0</v>
      </c>
      <c r="S75" s="19">
        <v>2.0</v>
      </c>
      <c r="T75" s="19">
        <v>2.0</v>
      </c>
      <c r="U75" s="19">
        <v>5.0</v>
      </c>
      <c r="V75" s="19">
        <v>1.0</v>
      </c>
      <c r="W75" s="19">
        <v>1.0</v>
      </c>
      <c r="X75" s="19">
        <v>1.0</v>
      </c>
      <c r="Y75" s="19">
        <v>1.0</v>
      </c>
      <c r="Z75" s="19">
        <v>0.0</v>
      </c>
      <c r="AA75" s="19">
        <v>0.0</v>
      </c>
      <c r="AB75" s="19">
        <v>0.0</v>
      </c>
      <c r="AC75" s="13">
        <f t="shared" si="18"/>
        <v>39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0.0</v>
      </c>
      <c r="G76" s="19">
        <v>1.0</v>
      </c>
      <c r="H76" s="19">
        <v>0.0</v>
      </c>
      <c r="I76" s="19">
        <v>1.0</v>
      </c>
      <c r="J76" s="19">
        <v>0.0</v>
      </c>
      <c r="K76" s="19">
        <v>1.0</v>
      </c>
      <c r="L76" s="19">
        <v>0.0</v>
      </c>
      <c r="M76" s="19">
        <v>1.0</v>
      </c>
      <c r="N76" s="19">
        <v>1.0</v>
      </c>
      <c r="O76" s="19">
        <v>1.0</v>
      </c>
      <c r="P76" s="19">
        <v>0.0</v>
      </c>
      <c r="Q76" s="19">
        <v>0.0</v>
      </c>
      <c r="R76" s="19">
        <v>0.0</v>
      </c>
      <c r="S76" s="19">
        <v>0.0</v>
      </c>
      <c r="T76" s="19">
        <v>0.0</v>
      </c>
      <c r="U76" s="19">
        <v>0.0</v>
      </c>
      <c r="V76" s="19">
        <v>1.0</v>
      </c>
      <c r="W76" s="19">
        <v>0.0</v>
      </c>
      <c r="X76" s="19">
        <v>0.0</v>
      </c>
      <c r="Y76" s="19">
        <v>0.0</v>
      </c>
      <c r="Z76" s="19">
        <v>2.0</v>
      </c>
      <c r="AA76" s="19">
        <v>1.0</v>
      </c>
      <c r="AB76" s="19">
        <v>0.0</v>
      </c>
      <c r="AC76" s="13">
        <f t="shared" si="18"/>
        <v>10</v>
      </c>
    </row>
    <row r="77" ht="12.75" customHeight="1">
      <c r="A77" s="18"/>
      <c r="B77" s="71"/>
      <c r="C77" s="72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79"/>
    </row>
    <row r="78" ht="12.75" customHeight="1">
      <c r="A78" s="18"/>
      <c r="B78" s="71"/>
      <c r="C78" s="72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79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C79" si="19">SUM(E69:E78)</f>
        <v>31</v>
      </c>
      <c r="F79" s="13">
        <f t="shared" si="19"/>
        <v>30</v>
      </c>
      <c r="G79" s="13">
        <f t="shared" si="19"/>
        <v>17</v>
      </c>
      <c r="H79" s="13">
        <f t="shared" si="19"/>
        <v>11</v>
      </c>
      <c r="I79" s="13">
        <f t="shared" si="19"/>
        <v>33</v>
      </c>
      <c r="J79" s="13">
        <f t="shared" si="19"/>
        <v>73</v>
      </c>
      <c r="K79" s="13">
        <f t="shared" si="19"/>
        <v>112</v>
      </c>
      <c r="L79" s="13">
        <f t="shared" si="19"/>
        <v>19</v>
      </c>
      <c r="M79" s="13">
        <f t="shared" si="19"/>
        <v>36</v>
      </c>
      <c r="N79" s="13">
        <f t="shared" si="19"/>
        <v>41</v>
      </c>
      <c r="O79" s="13">
        <f t="shared" si="19"/>
        <v>37</v>
      </c>
      <c r="P79" s="13">
        <f t="shared" si="19"/>
        <v>31</v>
      </c>
      <c r="Q79" s="13">
        <f t="shared" si="19"/>
        <v>34</v>
      </c>
      <c r="R79" s="13">
        <f t="shared" si="19"/>
        <v>31</v>
      </c>
      <c r="S79" s="13">
        <f t="shared" si="19"/>
        <v>21</v>
      </c>
      <c r="T79" s="13">
        <f t="shared" si="19"/>
        <v>46</v>
      </c>
      <c r="U79" s="13">
        <f t="shared" si="19"/>
        <v>42</v>
      </c>
      <c r="V79" s="13">
        <f t="shared" si="19"/>
        <v>34</v>
      </c>
      <c r="W79" s="13">
        <f t="shared" si="19"/>
        <v>27</v>
      </c>
      <c r="X79" s="13">
        <f t="shared" si="19"/>
        <v>91</v>
      </c>
      <c r="Y79" s="13">
        <f t="shared" si="19"/>
        <v>33</v>
      </c>
      <c r="Z79" s="13">
        <f t="shared" si="19"/>
        <v>91</v>
      </c>
      <c r="AA79" s="13">
        <f t="shared" si="19"/>
        <v>20</v>
      </c>
      <c r="AB79" s="13">
        <f t="shared" si="19"/>
        <v>23</v>
      </c>
      <c r="AC79" s="13">
        <f t="shared" si="19"/>
        <v>964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2.0</v>
      </c>
      <c r="F81" s="19">
        <v>3.0</v>
      </c>
      <c r="G81" s="19">
        <v>0.0</v>
      </c>
      <c r="H81" s="19">
        <v>3.0</v>
      </c>
      <c r="I81" s="19">
        <v>2.0</v>
      </c>
      <c r="J81" s="19">
        <v>1.0</v>
      </c>
      <c r="K81" s="19">
        <v>4.0</v>
      </c>
      <c r="L81" s="19">
        <v>0.0</v>
      </c>
      <c r="M81" s="19">
        <v>1.0</v>
      </c>
      <c r="N81" s="19">
        <v>9.0</v>
      </c>
      <c r="O81" s="19">
        <v>5.0</v>
      </c>
      <c r="P81" s="19">
        <v>5.0</v>
      </c>
      <c r="Q81" s="19">
        <v>1.0</v>
      </c>
      <c r="R81" s="19">
        <v>1.0</v>
      </c>
      <c r="S81" s="19">
        <v>2.0</v>
      </c>
      <c r="T81" s="19">
        <v>5.0</v>
      </c>
      <c r="U81" s="19">
        <v>4.0</v>
      </c>
      <c r="V81" s="19">
        <v>1.0</v>
      </c>
      <c r="W81" s="19">
        <v>2.0</v>
      </c>
      <c r="X81" s="19">
        <v>2.0</v>
      </c>
      <c r="Y81" s="19">
        <v>1.0</v>
      </c>
      <c r="Z81" s="19">
        <v>0.0</v>
      </c>
      <c r="AA81" s="19">
        <v>0.0</v>
      </c>
      <c r="AB81" s="19">
        <v>1.0</v>
      </c>
      <c r="AC81" s="13">
        <f t="shared" ref="AC81:AC88" si="20">SUM(E81:AB81)</f>
        <v>55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9.0</v>
      </c>
      <c r="F82" s="19">
        <v>0.0</v>
      </c>
      <c r="G82" s="19">
        <v>2.0</v>
      </c>
      <c r="H82" s="19">
        <v>21.0</v>
      </c>
      <c r="I82" s="19">
        <v>19.0</v>
      </c>
      <c r="J82" s="19">
        <v>1.0</v>
      </c>
      <c r="K82" s="19">
        <v>2.0</v>
      </c>
      <c r="L82" s="19">
        <v>11.0</v>
      </c>
      <c r="M82" s="19">
        <v>18.0</v>
      </c>
      <c r="N82" s="19">
        <v>19.0</v>
      </c>
      <c r="O82" s="19">
        <v>16.0</v>
      </c>
      <c r="P82" s="19">
        <v>17.0</v>
      </c>
      <c r="Q82" s="19">
        <v>5.0</v>
      </c>
      <c r="R82" s="19">
        <v>4.0</v>
      </c>
      <c r="S82" s="19">
        <v>5.0</v>
      </c>
      <c r="T82" s="19">
        <v>2.0</v>
      </c>
      <c r="U82" s="19">
        <v>4.0</v>
      </c>
      <c r="V82" s="19">
        <v>3.0</v>
      </c>
      <c r="W82" s="19">
        <v>5.0</v>
      </c>
      <c r="X82" s="19">
        <v>1.0</v>
      </c>
      <c r="Y82" s="19">
        <v>2.0</v>
      </c>
      <c r="Z82" s="19">
        <v>4.0</v>
      </c>
      <c r="AA82" s="19">
        <v>4.0</v>
      </c>
      <c r="AB82" s="19">
        <v>10.0</v>
      </c>
      <c r="AC82" s="13">
        <f t="shared" si="20"/>
        <v>184</v>
      </c>
    </row>
    <row r="83" ht="12.75" customHeight="1">
      <c r="A83" s="18"/>
      <c r="B83" s="55">
        <v>2.0</v>
      </c>
      <c r="C83" s="50" t="s">
        <v>66</v>
      </c>
      <c r="D83" s="57"/>
      <c r="E83" s="19">
        <v>5.0</v>
      </c>
      <c r="F83" s="19">
        <v>11.0</v>
      </c>
      <c r="G83" s="19">
        <v>4.0</v>
      </c>
      <c r="H83" s="19">
        <v>1.0</v>
      </c>
      <c r="I83" s="19">
        <v>1.0</v>
      </c>
      <c r="J83" s="19">
        <v>1.0</v>
      </c>
      <c r="K83" s="19">
        <v>4.0</v>
      </c>
      <c r="L83" s="19">
        <v>3.0</v>
      </c>
      <c r="M83" s="19">
        <v>9.0</v>
      </c>
      <c r="N83" s="19">
        <v>3.0</v>
      </c>
      <c r="O83" s="19">
        <v>7.0</v>
      </c>
      <c r="P83" s="19">
        <v>5.0</v>
      </c>
      <c r="Q83" s="19">
        <v>5.0</v>
      </c>
      <c r="R83" s="19">
        <v>1.0</v>
      </c>
      <c r="S83" s="19">
        <v>6.0</v>
      </c>
      <c r="T83" s="19">
        <v>0.0</v>
      </c>
      <c r="U83" s="19">
        <v>2.0</v>
      </c>
      <c r="V83" s="19">
        <v>5.0</v>
      </c>
      <c r="W83" s="19">
        <v>5.0</v>
      </c>
      <c r="X83" s="19">
        <v>4.0</v>
      </c>
      <c r="Y83" s="19">
        <v>0.0</v>
      </c>
      <c r="Z83" s="19">
        <v>0.0</v>
      </c>
      <c r="AA83" s="19">
        <v>3.0</v>
      </c>
      <c r="AB83" s="19">
        <v>3.0</v>
      </c>
      <c r="AC83" s="13">
        <f t="shared" si="20"/>
        <v>88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19">
        <v>0.0</v>
      </c>
      <c r="L84" s="19">
        <v>0.0</v>
      </c>
      <c r="M84" s="19">
        <v>0.0</v>
      </c>
      <c r="N84" s="19">
        <v>0.0</v>
      </c>
      <c r="O84" s="19">
        <v>1.0</v>
      </c>
      <c r="P84" s="19">
        <v>0.0</v>
      </c>
      <c r="Q84" s="19">
        <v>0.0</v>
      </c>
      <c r="R84" s="19">
        <v>0.0</v>
      </c>
      <c r="S84" s="19">
        <v>0.0</v>
      </c>
      <c r="T84" s="19">
        <v>0.0</v>
      </c>
      <c r="U84" s="19">
        <v>0.0</v>
      </c>
      <c r="V84" s="19">
        <v>0.0</v>
      </c>
      <c r="W84" s="19">
        <v>0.0</v>
      </c>
      <c r="X84" s="19">
        <v>1.0</v>
      </c>
      <c r="Y84" s="19">
        <v>0.0</v>
      </c>
      <c r="Z84" s="19">
        <v>0.0</v>
      </c>
      <c r="AA84" s="19">
        <v>0.0</v>
      </c>
      <c r="AB84" s="19">
        <v>0.0</v>
      </c>
      <c r="AC84" s="13">
        <f t="shared" si="20"/>
        <v>2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0.0</v>
      </c>
      <c r="G85" s="19">
        <v>0.0</v>
      </c>
      <c r="H85" s="19">
        <v>3.0</v>
      </c>
      <c r="I85" s="19">
        <v>2.0</v>
      </c>
      <c r="J85" s="19">
        <v>0.0</v>
      </c>
      <c r="K85" s="19">
        <v>0.0</v>
      </c>
      <c r="L85" s="19">
        <v>1.0</v>
      </c>
      <c r="M85" s="19">
        <v>0.0</v>
      </c>
      <c r="N85" s="19">
        <v>0.0</v>
      </c>
      <c r="O85" s="19">
        <v>1.0</v>
      </c>
      <c r="P85" s="19">
        <v>1.0</v>
      </c>
      <c r="Q85" s="19">
        <v>0.0</v>
      </c>
      <c r="R85" s="19">
        <v>0.0</v>
      </c>
      <c r="S85" s="19">
        <v>0.0</v>
      </c>
      <c r="T85" s="19">
        <v>0.0</v>
      </c>
      <c r="U85" s="19">
        <v>1.0</v>
      </c>
      <c r="V85" s="19">
        <v>0.0</v>
      </c>
      <c r="W85" s="19">
        <v>0.0</v>
      </c>
      <c r="X85" s="19">
        <v>1.0</v>
      </c>
      <c r="Y85" s="19">
        <v>0.0</v>
      </c>
      <c r="Z85" s="19">
        <v>1.0</v>
      </c>
      <c r="AA85" s="19">
        <v>2.0</v>
      </c>
      <c r="AB85" s="19">
        <v>2.0</v>
      </c>
      <c r="AC85" s="13">
        <f t="shared" si="20"/>
        <v>15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1.0</v>
      </c>
      <c r="M86" s="19">
        <v>3.0</v>
      </c>
      <c r="N86" s="19">
        <v>0.0</v>
      </c>
      <c r="O86" s="19">
        <v>0.0</v>
      </c>
      <c r="P86" s="19">
        <v>3.0</v>
      </c>
      <c r="Q86" s="19">
        <v>0.0</v>
      </c>
      <c r="R86" s="19">
        <v>0.0</v>
      </c>
      <c r="S86" s="19">
        <v>0.0</v>
      </c>
      <c r="T86" s="19">
        <v>0.0</v>
      </c>
      <c r="U86" s="19">
        <v>0.0</v>
      </c>
      <c r="V86" s="19">
        <v>1.0</v>
      </c>
      <c r="W86" s="19">
        <v>0.0</v>
      </c>
      <c r="X86" s="19">
        <v>0.0</v>
      </c>
      <c r="Y86" s="19">
        <v>0.0</v>
      </c>
      <c r="Z86" s="19">
        <v>0.0</v>
      </c>
      <c r="AA86" s="19">
        <v>1.0</v>
      </c>
      <c r="AB86" s="19">
        <v>1.0</v>
      </c>
      <c r="AC86" s="13">
        <f t="shared" si="20"/>
        <v>10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1.0</v>
      </c>
      <c r="G87" s="19">
        <v>0.0</v>
      </c>
      <c r="H87" s="19">
        <v>0.0</v>
      </c>
      <c r="I87" s="19">
        <v>1.0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2.0</v>
      </c>
      <c r="T87" s="19">
        <v>0.0</v>
      </c>
      <c r="U87" s="19">
        <v>0.0</v>
      </c>
      <c r="V87" s="19">
        <v>1.0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3">
        <f t="shared" si="20"/>
        <v>5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1.0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3">
        <f t="shared" si="20"/>
        <v>1</v>
      </c>
    </row>
    <row r="89" ht="12.75" customHeight="1">
      <c r="A89" s="18"/>
      <c r="B89" s="71"/>
      <c r="C89" s="72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79"/>
    </row>
    <row r="90" ht="12.75" customHeight="1">
      <c r="A90" s="18"/>
      <c r="B90" s="71"/>
      <c r="C90" s="72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79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C91" si="21">SUM(E81:E90)</f>
        <v>16</v>
      </c>
      <c r="F91" s="13">
        <f t="shared" si="21"/>
        <v>15</v>
      </c>
      <c r="G91" s="13">
        <f t="shared" si="21"/>
        <v>6</v>
      </c>
      <c r="H91" s="13">
        <f t="shared" si="21"/>
        <v>28</v>
      </c>
      <c r="I91" s="13">
        <f t="shared" si="21"/>
        <v>25</v>
      </c>
      <c r="J91" s="13">
        <f t="shared" si="21"/>
        <v>3</v>
      </c>
      <c r="K91" s="13">
        <f t="shared" si="21"/>
        <v>10</v>
      </c>
      <c r="L91" s="13">
        <f t="shared" si="21"/>
        <v>16</v>
      </c>
      <c r="M91" s="13">
        <f t="shared" si="21"/>
        <v>31</v>
      </c>
      <c r="N91" s="13">
        <f t="shared" si="21"/>
        <v>31</v>
      </c>
      <c r="O91" s="13">
        <f t="shared" si="21"/>
        <v>30</v>
      </c>
      <c r="P91" s="13">
        <f t="shared" si="21"/>
        <v>31</v>
      </c>
      <c r="Q91" s="13">
        <f t="shared" si="21"/>
        <v>12</v>
      </c>
      <c r="R91" s="13">
        <f t="shared" si="21"/>
        <v>6</v>
      </c>
      <c r="S91" s="13">
        <f t="shared" si="21"/>
        <v>15</v>
      </c>
      <c r="T91" s="13">
        <f t="shared" si="21"/>
        <v>7</v>
      </c>
      <c r="U91" s="13">
        <f t="shared" si="21"/>
        <v>11</v>
      </c>
      <c r="V91" s="13">
        <f t="shared" si="21"/>
        <v>11</v>
      </c>
      <c r="W91" s="13">
        <f t="shared" si="21"/>
        <v>12</v>
      </c>
      <c r="X91" s="13">
        <f t="shared" si="21"/>
        <v>9</v>
      </c>
      <c r="Y91" s="13">
        <f t="shared" si="21"/>
        <v>3</v>
      </c>
      <c r="Z91" s="13">
        <f t="shared" si="21"/>
        <v>5</v>
      </c>
      <c r="AA91" s="13">
        <f t="shared" si="21"/>
        <v>10</v>
      </c>
      <c r="AB91" s="13">
        <f t="shared" si="21"/>
        <v>17</v>
      </c>
      <c r="AC91" s="13">
        <f t="shared" si="21"/>
        <v>360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1.0</v>
      </c>
      <c r="G93" s="19">
        <v>1.0</v>
      </c>
      <c r="H93" s="19">
        <v>0.0</v>
      </c>
      <c r="I93" s="19">
        <v>0.0</v>
      </c>
      <c r="J93" s="19">
        <v>2.0</v>
      </c>
      <c r="K93" s="19">
        <v>1.0</v>
      </c>
      <c r="L93" s="19">
        <v>0.0</v>
      </c>
      <c r="M93" s="19">
        <v>3.0</v>
      </c>
      <c r="N93" s="19">
        <v>5.0</v>
      </c>
      <c r="O93" s="19">
        <v>0.0</v>
      </c>
      <c r="P93" s="19">
        <v>0.0</v>
      </c>
      <c r="Q93" s="19">
        <v>2.0</v>
      </c>
      <c r="R93" s="19">
        <v>3.0</v>
      </c>
      <c r="S93" s="19">
        <v>1.0</v>
      </c>
      <c r="T93" s="19">
        <v>0.0</v>
      </c>
      <c r="U93" s="19">
        <v>1.0</v>
      </c>
      <c r="V93" s="19">
        <v>0.0</v>
      </c>
      <c r="W93" s="19">
        <v>1.0</v>
      </c>
      <c r="X93" s="19">
        <v>0.0</v>
      </c>
      <c r="Y93" s="19">
        <v>1.0</v>
      </c>
      <c r="Z93" s="19">
        <v>0.0</v>
      </c>
      <c r="AA93" s="19">
        <v>0.0</v>
      </c>
      <c r="AB93" s="19">
        <v>0.0</v>
      </c>
      <c r="AC93" s="13">
        <f t="shared" ref="AC93:AC100" si="22">SUM(E93:AB93)</f>
        <v>22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0.0</v>
      </c>
      <c r="F94" s="19">
        <v>0.0</v>
      </c>
      <c r="G94" s="19">
        <v>1.0</v>
      </c>
      <c r="H94" s="19">
        <v>0.0</v>
      </c>
      <c r="I94" s="19">
        <v>0.0</v>
      </c>
      <c r="J94" s="19">
        <v>0.0</v>
      </c>
      <c r="K94" s="19">
        <v>2.0</v>
      </c>
      <c r="L94" s="19">
        <v>0.0</v>
      </c>
      <c r="M94" s="19">
        <v>1.0</v>
      </c>
      <c r="N94" s="19">
        <v>2.0</v>
      </c>
      <c r="O94" s="19">
        <v>0.0</v>
      </c>
      <c r="P94" s="19">
        <v>2.0</v>
      </c>
      <c r="Q94" s="19">
        <v>0.0</v>
      </c>
      <c r="R94" s="19">
        <v>3.0</v>
      </c>
      <c r="S94" s="19">
        <v>0.0</v>
      </c>
      <c r="T94" s="19">
        <v>0.0</v>
      </c>
      <c r="U94" s="19">
        <v>6.0</v>
      </c>
      <c r="V94" s="19">
        <v>1.0</v>
      </c>
      <c r="W94" s="19">
        <v>0.0</v>
      </c>
      <c r="X94" s="19">
        <v>0.0</v>
      </c>
      <c r="Y94" s="19">
        <v>0.0</v>
      </c>
      <c r="Z94" s="19">
        <v>0.0</v>
      </c>
      <c r="AA94" s="19">
        <v>0.0</v>
      </c>
      <c r="AB94" s="19">
        <v>0.0</v>
      </c>
      <c r="AC94" s="13">
        <f t="shared" si="22"/>
        <v>18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9.0</v>
      </c>
      <c r="H95" s="19">
        <v>0.0</v>
      </c>
      <c r="I95" s="19">
        <v>0.0</v>
      </c>
      <c r="J95" s="19">
        <v>0.0</v>
      </c>
      <c r="K95" s="19">
        <v>2.0</v>
      </c>
      <c r="L95" s="19">
        <v>0.0</v>
      </c>
      <c r="M95" s="19">
        <v>6.0</v>
      </c>
      <c r="N95" s="19">
        <v>6.0</v>
      </c>
      <c r="O95" s="19">
        <v>22.0</v>
      </c>
      <c r="P95" s="19">
        <v>9.0</v>
      </c>
      <c r="Q95" s="19">
        <v>14.0</v>
      </c>
      <c r="R95" s="19">
        <v>45.0</v>
      </c>
      <c r="S95" s="19">
        <v>0.0</v>
      </c>
      <c r="T95" s="19">
        <v>13.0</v>
      </c>
      <c r="U95" s="19">
        <v>0.0</v>
      </c>
      <c r="V95" s="19">
        <v>0.0</v>
      </c>
      <c r="W95" s="19">
        <v>2.0</v>
      </c>
      <c r="X95" s="19">
        <v>1.0</v>
      </c>
      <c r="Y95" s="19">
        <v>0.0</v>
      </c>
      <c r="Z95" s="19">
        <v>0.0</v>
      </c>
      <c r="AA95" s="19">
        <v>0.0</v>
      </c>
      <c r="AB95" s="19">
        <v>1.0</v>
      </c>
      <c r="AC95" s="13">
        <f t="shared" si="22"/>
        <v>130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1.0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1.0</v>
      </c>
      <c r="R96" s="19">
        <v>0.0</v>
      </c>
      <c r="S96" s="19">
        <v>0.0</v>
      </c>
      <c r="T96" s="19">
        <v>1.0</v>
      </c>
      <c r="U96" s="19">
        <v>1.0</v>
      </c>
      <c r="V96" s="19">
        <v>0.0</v>
      </c>
      <c r="W96" s="19">
        <v>0.0</v>
      </c>
      <c r="X96" s="19">
        <v>1.0</v>
      </c>
      <c r="Y96" s="19">
        <v>0.0</v>
      </c>
      <c r="Z96" s="19">
        <v>0.0</v>
      </c>
      <c r="AA96" s="19">
        <v>0.0</v>
      </c>
      <c r="AB96" s="19">
        <v>0.0</v>
      </c>
      <c r="AC96" s="13">
        <f t="shared" si="22"/>
        <v>5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2.0</v>
      </c>
      <c r="L97" s="19">
        <v>0.0</v>
      </c>
      <c r="M97" s="19">
        <v>0.0</v>
      </c>
      <c r="N97" s="19">
        <v>10.0</v>
      </c>
      <c r="O97" s="19">
        <v>0.0</v>
      </c>
      <c r="P97" s="19">
        <v>2.0</v>
      </c>
      <c r="Q97" s="19">
        <v>0.0</v>
      </c>
      <c r="R97" s="19">
        <v>0.0</v>
      </c>
      <c r="S97" s="19">
        <v>0.0</v>
      </c>
      <c r="T97" s="19">
        <v>0.0</v>
      </c>
      <c r="U97" s="19">
        <v>0.0</v>
      </c>
      <c r="V97" s="19">
        <v>1.0</v>
      </c>
      <c r="W97" s="19">
        <v>0.0</v>
      </c>
      <c r="X97" s="19">
        <v>0.0</v>
      </c>
      <c r="Y97" s="19">
        <v>1.0</v>
      </c>
      <c r="Z97" s="19">
        <v>0.0</v>
      </c>
      <c r="AA97" s="19">
        <v>0.0</v>
      </c>
      <c r="AB97" s="19">
        <v>0.0</v>
      </c>
      <c r="AC97" s="13">
        <f t="shared" si="22"/>
        <v>16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1.0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1.0</v>
      </c>
      <c r="Q98" s="19">
        <v>0.0</v>
      </c>
      <c r="R98" s="19">
        <v>1.0</v>
      </c>
      <c r="S98" s="19">
        <v>1.0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3">
        <f t="shared" si="22"/>
        <v>4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1.0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3">
        <f t="shared" si="22"/>
        <v>1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3">
        <f t="shared" si="22"/>
        <v>0</v>
      </c>
    </row>
    <row r="101" ht="12.75" customHeight="1">
      <c r="A101" s="18"/>
      <c r="B101" s="71"/>
      <c r="C101" s="72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79"/>
    </row>
    <row r="102" ht="12.75" customHeight="1">
      <c r="A102" s="18"/>
      <c r="B102" s="71"/>
      <c r="C102" s="72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79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C103" si="23">SUM(E93:E102)</f>
        <v>0</v>
      </c>
      <c r="F103" s="13">
        <f t="shared" si="23"/>
        <v>1</v>
      </c>
      <c r="G103" s="13">
        <f t="shared" si="23"/>
        <v>13</v>
      </c>
      <c r="H103" s="13">
        <f t="shared" si="23"/>
        <v>0</v>
      </c>
      <c r="I103" s="13">
        <f t="shared" si="23"/>
        <v>1</v>
      </c>
      <c r="J103" s="13">
        <f t="shared" si="23"/>
        <v>2</v>
      </c>
      <c r="K103" s="13">
        <f t="shared" si="23"/>
        <v>7</v>
      </c>
      <c r="L103" s="13">
        <f t="shared" si="23"/>
        <v>0</v>
      </c>
      <c r="M103" s="13">
        <f t="shared" si="23"/>
        <v>10</v>
      </c>
      <c r="N103" s="13">
        <f t="shared" si="23"/>
        <v>23</v>
      </c>
      <c r="O103" s="13">
        <f t="shared" si="23"/>
        <v>22</v>
      </c>
      <c r="P103" s="13">
        <f t="shared" si="23"/>
        <v>14</v>
      </c>
      <c r="Q103" s="13">
        <f t="shared" si="23"/>
        <v>17</v>
      </c>
      <c r="R103" s="13">
        <f t="shared" si="23"/>
        <v>52</v>
      </c>
      <c r="S103" s="13">
        <f t="shared" si="23"/>
        <v>2</v>
      </c>
      <c r="T103" s="13">
        <f t="shared" si="23"/>
        <v>14</v>
      </c>
      <c r="U103" s="13">
        <f t="shared" si="23"/>
        <v>8</v>
      </c>
      <c r="V103" s="13">
        <f t="shared" si="23"/>
        <v>2</v>
      </c>
      <c r="W103" s="13">
        <f t="shared" si="23"/>
        <v>3</v>
      </c>
      <c r="X103" s="13">
        <f t="shared" si="23"/>
        <v>2</v>
      </c>
      <c r="Y103" s="13">
        <f t="shared" si="23"/>
        <v>2</v>
      </c>
      <c r="Z103" s="13">
        <f t="shared" si="23"/>
        <v>0</v>
      </c>
      <c r="AA103" s="13">
        <f t="shared" si="23"/>
        <v>0</v>
      </c>
      <c r="AB103" s="13">
        <f t="shared" si="23"/>
        <v>1</v>
      </c>
      <c r="AC103" s="13">
        <f t="shared" si="23"/>
        <v>196</v>
      </c>
    </row>
    <row r="104" ht="12.75" customHeight="1">
      <c r="A104" s="45"/>
      <c r="B104" s="44"/>
      <c r="C104" s="44"/>
      <c r="D104" s="44"/>
      <c r="E104" s="44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1.0</v>
      </c>
      <c r="F105" s="19">
        <v>0.0</v>
      </c>
      <c r="G105" s="19">
        <v>1.0</v>
      </c>
      <c r="H105" s="19">
        <v>1.0</v>
      </c>
      <c r="I105" s="19">
        <v>1.0</v>
      </c>
      <c r="J105" s="19">
        <v>1.0</v>
      </c>
      <c r="K105" s="19">
        <v>1.0</v>
      </c>
      <c r="L105" s="19">
        <v>2.0</v>
      </c>
      <c r="M105" s="19">
        <v>4.0</v>
      </c>
      <c r="N105" s="19">
        <v>3.0</v>
      </c>
      <c r="O105" s="19">
        <v>0.0</v>
      </c>
      <c r="P105" s="19">
        <v>2.0</v>
      </c>
      <c r="Q105" s="19">
        <v>3.0</v>
      </c>
      <c r="R105" s="19">
        <v>1.0</v>
      </c>
      <c r="S105" s="19">
        <v>2.0</v>
      </c>
      <c r="T105" s="19">
        <v>0.0</v>
      </c>
      <c r="U105" s="19">
        <v>2.0</v>
      </c>
      <c r="V105" s="19">
        <v>0.0</v>
      </c>
      <c r="W105" s="19">
        <v>3.0</v>
      </c>
      <c r="X105" s="19">
        <v>0.0</v>
      </c>
      <c r="Y105" s="19">
        <v>1.0</v>
      </c>
      <c r="Z105" s="19">
        <v>1.0</v>
      </c>
      <c r="AA105" s="19">
        <v>1.0</v>
      </c>
      <c r="AB105" s="19">
        <v>5.0</v>
      </c>
      <c r="AC105" s="13">
        <f t="shared" ref="AC105:AC112" si="24">SUM(E105:AB105)</f>
        <v>36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3.0</v>
      </c>
      <c r="I106" s="19">
        <v>0.0</v>
      </c>
      <c r="J106" s="19">
        <v>0.0</v>
      </c>
      <c r="K106" s="19">
        <v>2.0</v>
      </c>
      <c r="L106" s="19">
        <v>1.0</v>
      </c>
      <c r="M106" s="19">
        <v>0.0</v>
      </c>
      <c r="N106" s="19">
        <v>0.0</v>
      </c>
      <c r="O106" s="19">
        <v>0.0</v>
      </c>
      <c r="P106" s="19">
        <v>2.0</v>
      </c>
      <c r="Q106" s="19">
        <v>0.0</v>
      </c>
      <c r="R106" s="19">
        <v>0.0</v>
      </c>
      <c r="S106" s="19">
        <v>0.0</v>
      </c>
      <c r="T106" s="19">
        <v>1.0</v>
      </c>
      <c r="U106" s="19">
        <v>0.0</v>
      </c>
      <c r="V106" s="19">
        <v>1.0</v>
      </c>
      <c r="W106" s="19">
        <v>0.0</v>
      </c>
      <c r="X106" s="19">
        <v>1.0</v>
      </c>
      <c r="Y106" s="19">
        <v>0.0</v>
      </c>
      <c r="Z106" s="19">
        <v>0.0</v>
      </c>
      <c r="AA106" s="19">
        <v>1.0</v>
      </c>
      <c r="AB106" s="19">
        <v>0.0</v>
      </c>
      <c r="AC106" s="13">
        <f t="shared" si="24"/>
        <v>12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1.0</v>
      </c>
      <c r="O107" s="19">
        <v>0.0</v>
      </c>
      <c r="P107" s="19">
        <v>0.0</v>
      </c>
      <c r="Q107" s="19">
        <v>1.0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1.0</v>
      </c>
      <c r="AC107" s="13">
        <f t="shared" si="24"/>
        <v>3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1.0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1.0</v>
      </c>
      <c r="AB108" s="19">
        <v>0.0</v>
      </c>
      <c r="AC108" s="13">
        <f t="shared" si="24"/>
        <v>2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1.0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1.0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1.0</v>
      </c>
      <c r="AC109" s="13">
        <f t="shared" si="24"/>
        <v>3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1.0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1.0</v>
      </c>
      <c r="AB110" s="19">
        <v>0.0</v>
      </c>
      <c r="AC110" s="13">
        <f t="shared" si="24"/>
        <v>2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1.0</v>
      </c>
      <c r="H111" s="19">
        <v>0.0</v>
      </c>
      <c r="I111" s="19">
        <v>0.0</v>
      </c>
      <c r="J111" s="19">
        <v>0.0</v>
      </c>
      <c r="K111" s="19">
        <v>1.0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1.0</v>
      </c>
      <c r="Y111" s="19">
        <v>0.0</v>
      </c>
      <c r="Z111" s="19">
        <v>0.0</v>
      </c>
      <c r="AA111" s="19">
        <v>0.0</v>
      </c>
      <c r="AB111" s="19">
        <v>0.0</v>
      </c>
      <c r="AC111" s="13">
        <f t="shared" si="24"/>
        <v>3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3">
        <f t="shared" si="24"/>
        <v>0</v>
      </c>
    </row>
    <row r="113" ht="12.75" customHeight="1">
      <c r="A113" s="18"/>
      <c r="B113" s="71"/>
      <c r="C113" s="72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79"/>
    </row>
    <row r="114" ht="12.75" customHeight="1">
      <c r="A114" s="18"/>
      <c r="B114" s="71"/>
      <c r="C114" s="72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79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C115" si="25">SUM(E105:E114)</f>
        <v>1</v>
      </c>
      <c r="F115" s="13">
        <f t="shared" si="25"/>
        <v>0</v>
      </c>
      <c r="G115" s="13">
        <f t="shared" si="25"/>
        <v>2</v>
      </c>
      <c r="H115" s="13">
        <f t="shared" si="25"/>
        <v>4</v>
      </c>
      <c r="I115" s="13">
        <f t="shared" si="25"/>
        <v>2</v>
      </c>
      <c r="J115" s="13">
        <f t="shared" si="25"/>
        <v>1</v>
      </c>
      <c r="K115" s="13">
        <f t="shared" si="25"/>
        <v>4</v>
      </c>
      <c r="L115" s="13">
        <f t="shared" si="25"/>
        <v>3</v>
      </c>
      <c r="M115" s="13">
        <f t="shared" si="25"/>
        <v>4</v>
      </c>
      <c r="N115" s="13">
        <f t="shared" si="25"/>
        <v>5</v>
      </c>
      <c r="O115" s="13">
        <f t="shared" si="25"/>
        <v>1</v>
      </c>
      <c r="P115" s="13">
        <f t="shared" si="25"/>
        <v>4</v>
      </c>
      <c r="Q115" s="13">
        <f t="shared" si="25"/>
        <v>4</v>
      </c>
      <c r="R115" s="13">
        <f t="shared" si="25"/>
        <v>1</v>
      </c>
      <c r="S115" s="13">
        <f t="shared" si="25"/>
        <v>2</v>
      </c>
      <c r="T115" s="13">
        <f t="shared" si="25"/>
        <v>2</v>
      </c>
      <c r="U115" s="13">
        <f t="shared" si="25"/>
        <v>2</v>
      </c>
      <c r="V115" s="13">
        <f t="shared" si="25"/>
        <v>1</v>
      </c>
      <c r="W115" s="13">
        <f t="shared" si="25"/>
        <v>3</v>
      </c>
      <c r="X115" s="13">
        <f t="shared" si="25"/>
        <v>2</v>
      </c>
      <c r="Y115" s="13">
        <f t="shared" si="25"/>
        <v>1</v>
      </c>
      <c r="Z115" s="13">
        <f t="shared" si="25"/>
        <v>1</v>
      </c>
      <c r="AA115" s="13">
        <f t="shared" si="25"/>
        <v>4</v>
      </c>
      <c r="AB115" s="13">
        <f t="shared" si="25"/>
        <v>7</v>
      </c>
      <c r="AC115" s="13">
        <f t="shared" si="25"/>
        <v>61</v>
      </c>
    </row>
    <row r="116" ht="12.75" customHeight="1">
      <c r="A116" s="24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AC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1.0</v>
      </c>
      <c r="G117" s="19">
        <v>0.0</v>
      </c>
      <c r="H117" s="19">
        <v>1.0</v>
      </c>
      <c r="I117" s="19">
        <v>1.0</v>
      </c>
      <c r="J117" s="19">
        <v>0.0</v>
      </c>
      <c r="K117" s="19">
        <v>0.0</v>
      </c>
      <c r="L117" s="19">
        <v>0.0</v>
      </c>
      <c r="M117" s="19">
        <v>1.0</v>
      </c>
      <c r="N117" s="19">
        <v>0.0</v>
      </c>
      <c r="O117" s="19">
        <v>0.0</v>
      </c>
      <c r="P117" s="19">
        <v>0.0</v>
      </c>
      <c r="Q117" s="19">
        <v>1.0</v>
      </c>
      <c r="R117" s="19">
        <v>1.0</v>
      </c>
      <c r="S117" s="19">
        <v>1.0</v>
      </c>
      <c r="T117" s="19">
        <v>0.0</v>
      </c>
      <c r="U117" s="19">
        <v>0.0</v>
      </c>
      <c r="V117" s="19">
        <v>2.0</v>
      </c>
      <c r="W117" s="19">
        <v>0.0</v>
      </c>
      <c r="X117" s="19">
        <v>0.0</v>
      </c>
      <c r="Y117" s="19">
        <v>2.0</v>
      </c>
      <c r="Z117" s="19">
        <v>0.0</v>
      </c>
      <c r="AA117" s="19">
        <v>1.0</v>
      </c>
      <c r="AB117" s="19">
        <v>0.0</v>
      </c>
      <c r="AC117" s="13">
        <f t="shared" ref="AC117:AC120" si="26">SUM(E117:AB117)</f>
        <v>13</v>
      </c>
      <c r="AD117" s="5"/>
      <c r="AE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1.0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3">
        <f t="shared" si="26"/>
        <v>1</v>
      </c>
      <c r="AD118" s="5"/>
      <c r="AE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1.0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  <c r="AC119" s="13">
        <f t="shared" si="26"/>
        <v>1</v>
      </c>
      <c r="AD119" s="5"/>
      <c r="AE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1.0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1.0</v>
      </c>
      <c r="AB120" s="19">
        <v>0.0</v>
      </c>
      <c r="AC120" s="13">
        <f t="shared" si="26"/>
        <v>2</v>
      </c>
      <c r="AD120" s="5"/>
      <c r="AE120" s="5"/>
    </row>
    <row r="121" ht="12.75" customHeight="1">
      <c r="A121" s="18"/>
      <c r="B121" s="71"/>
      <c r="C121" s="72"/>
      <c r="D121" s="7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79"/>
      <c r="AD121" s="5"/>
      <c r="AE121" s="5"/>
    </row>
    <row r="122" ht="12.75" customHeight="1">
      <c r="A122" s="18"/>
      <c r="B122" s="71"/>
      <c r="C122" s="72"/>
      <c r="D122" s="7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79"/>
      <c r="AD122" s="5"/>
      <c r="AE122" s="5"/>
    </row>
    <row r="123" ht="12.75" customHeight="1">
      <c r="A123" s="18"/>
      <c r="B123" s="71"/>
      <c r="C123" s="72"/>
      <c r="D123" s="7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79"/>
      <c r="AD123" s="5"/>
      <c r="AE123" s="5"/>
    </row>
    <row r="124" ht="12.75" customHeight="1">
      <c r="A124" s="18"/>
      <c r="B124" s="71"/>
      <c r="C124" s="72"/>
      <c r="D124" s="7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79"/>
      <c r="AD124" s="5"/>
      <c r="AE124" s="5"/>
    </row>
    <row r="125" ht="12.75" customHeight="1">
      <c r="A125" s="18"/>
      <c r="B125" s="71"/>
      <c r="C125" s="72"/>
      <c r="D125" s="7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79"/>
      <c r="AD125" s="5"/>
      <c r="AE125" s="5"/>
    </row>
    <row r="126" ht="12.75" customHeight="1">
      <c r="A126" s="18"/>
      <c r="B126" s="71"/>
      <c r="C126" s="72"/>
      <c r="D126" s="7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79"/>
      <c r="AD126" s="5"/>
      <c r="AE126" s="5"/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C127" si="27">SUM(E117:E126)</f>
        <v>1</v>
      </c>
      <c r="F127" s="13">
        <f t="shared" si="27"/>
        <v>1</v>
      </c>
      <c r="G127" s="13">
        <f t="shared" si="27"/>
        <v>1</v>
      </c>
      <c r="H127" s="13">
        <f t="shared" si="27"/>
        <v>1</v>
      </c>
      <c r="I127" s="13">
        <f t="shared" si="27"/>
        <v>2</v>
      </c>
      <c r="J127" s="13">
        <f t="shared" si="27"/>
        <v>0</v>
      </c>
      <c r="K127" s="13">
        <f t="shared" si="27"/>
        <v>0</v>
      </c>
      <c r="L127" s="13">
        <f t="shared" si="27"/>
        <v>0</v>
      </c>
      <c r="M127" s="13">
        <f t="shared" si="27"/>
        <v>1</v>
      </c>
      <c r="N127" s="13">
        <f t="shared" si="27"/>
        <v>0</v>
      </c>
      <c r="O127" s="13">
        <f t="shared" si="27"/>
        <v>1</v>
      </c>
      <c r="P127" s="13">
        <f t="shared" si="27"/>
        <v>0</v>
      </c>
      <c r="Q127" s="13">
        <f t="shared" si="27"/>
        <v>1</v>
      </c>
      <c r="R127" s="13">
        <f t="shared" si="27"/>
        <v>1</v>
      </c>
      <c r="S127" s="13">
        <f t="shared" si="27"/>
        <v>1</v>
      </c>
      <c r="T127" s="13">
        <f t="shared" si="27"/>
        <v>0</v>
      </c>
      <c r="U127" s="13">
        <f t="shared" si="27"/>
        <v>0</v>
      </c>
      <c r="V127" s="13">
        <f t="shared" si="27"/>
        <v>2</v>
      </c>
      <c r="W127" s="13">
        <f t="shared" si="27"/>
        <v>0</v>
      </c>
      <c r="X127" s="13">
        <f t="shared" si="27"/>
        <v>0</v>
      </c>
      <c r="Y127" s="13">
        <f t="shared" si="27"/>
        <v>2</v>
      </c>
      <c r="Z127" s="13">
        <f t="shared" si="27"/>
        <v>0</v>
      </c>
      <c r="AA127" s="13">
        <f t="shared" si="27"/>
        <v>2</v>
      </c>
      <c r="AB127" s="13">
        <f t="shared" si="27"/>
        <v>0</v>
      </c>
      <c r="AC127" s="13">
        <f t="shared" si="27"/>
        <v>17</v>
      </c>
      <c r="AD127" s="5"/>
      <c r="AE127" s="5"/>
    </row>
    <row r="128" ht="12.75" customHeight="1">
      <c r="A128" s="24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5"/>
      <c r="AE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3.0</v>
      </c>
      <c r="G129" s="19">
        <v>0.0</v>
      </c>
      <c r="H129" s="19">
        <v>0.0</v>
      </c>
      <c r="I129" s="19">
        <v>0.0</v>
      </c>
      <c r="J129" s="19">
        <v>1.0</v>
      </c>
      <c r="K129" s="19">
        <v>1.0</v>
      </c>
      <c r="L129" s="19">
        <v>2.0</v>
      </c>
      <c r="M129" s="19">
        <v>1.0</v>
      </c>
      <c r="N129" s="19">
        <v>5.0</v>
      </c>
      <c r="O129" s="19">
        <v>3.0</v>
      </c>
      <c r="P129" s="19">
        <v>2.0</v>
      </c>
      <c r="Q129" s="19">
        <v>1.0</v>
      </c>
      <c r="R129" s="19">
        <v>1.0</v>
      </c>
      <c r="S129" s="19">
        <v>1.0</v>
      </c>
      <c r="T129" s="19">
        <v>0.0</v>
      </c>
      <c r="U129" s="19">
        <v>1.0</v>
      </c>
      <c r="V129" s="19">
        <v>2.0</v>
      </c>
      <c r="W129" s="19">
        <v>0.0</v>
      </c>
      <c r="X129" s="19">
        <v>0.0</v>
      </c>
      <c r="Y129" s="19">
        <v>1.0</v>
      </c>
      <c r="Z129" s="19">
        <v>0.0</v>
      </c>
      <c r="AA129" s="19">
        <v>0.0</v>
      </c>
      <c r="AB129" s="19">
        <v>0.0</v>
      </c>
      <c r="AC129" s="13">
        <f t="shared" ref="AC129:AC136" si="28">SUM(E129:AB129)</f>
        <v>26</v>
      </c>
      <c r="AD129" s="5"/>
      <c r="AE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0.0</v>
      </c>
      <c r="F130" s="19">
        <v>2.0</v>
      </c>
      <c r="G130" s="19">
        <v>0.0</v>
      </c>
      <c r="H130" s="19">
        <v>0.0</v>
      </c>
      <c r="I130" s="19">
        <v>0.0</v>
      </c>
      <c r="J130" s="19">
        <v>0.0</v>
      </c>
      <c r="K130" s="19">
        <v>1.0</v>
      </c>
      <c r="L130" s="19">
        <v>0.0</v>
      </c>
      <c r="M130" s="19">
        <v>3.0</v>
      </c>
      <c r="N130" s="19">
        <v>2.0</v>
      </c>
      <c r="O130" s="19">
        <v>7.0</v>
      </c>
      <c r="P130" s="19">
        <v>2.0</v>
      </c>
      <c r="Q130" s="19">
        <v>0.0</v>
      </c>
      <c r="R130" s="19">
        <v>2.0</v>
      </c>
      <c r="S130" s="19">
        <v>0.0</v>
      </c>
      <c r="T130" s="19">
        <v>0.0</v>
      </c>
      <c r="U130" s="19">
        <v>0.0</v>
      </c>
      <c r="V130" s="19">
        <v>0.0</v>
      </c>
      <c r="W130" s="19">
        <v>0.0</v>
      </c>
      <c r="X130" s="19">
        <v>0.0</v>
      </c>
      <c r="Y130" s="19">
        <v>0.0</v>
      </c>
      <c r="Z130" s="19">
        <v>0.0</v>
      </c>
      <c r="AA130" s="19">
        <v>0.0</v>
      </c>
      <c r="AB130" s="19">
        <v>0.0</v>
      </c>
      <c r="AC130" s="13">
        <f t="shared" si="28"/>
        <v>19</v>
      </c>
      <c r="AD130" s="1"/>
      <c r="AE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0.0</v>
      </c>
      <c r="H131" s="19">
        <v>0.0</v>
      </c>
      <c r="I131" s="19">
        <v>1.0</v>
      </c>
      <c r="J131" s="19">
        <v>0.0</v>
      </c>
      <c r="K131" s="19">
        <v>0.0</v>
      </c>
      <c r="L131" s="19">
        <v>0.0</v>
      </c>
      <c r="M131" s="19">
        <v>1.0</v>
      </c>
      <c r="N131" s="19">
        <v>2.0</v>
      </c>
      <c r="O131" s="19">
        <v>5.0</v>
      </c>
      <c r="P131" s="19">
        <v>0.0</v>
      </c>
      <c r="Q131" s="19">
        <v>0.0</v>
      </c>
      <c r="R131" s="19">
        <v>2.0</v>
      </c>
      <c r="S131" s="19">
        <v>0.0</v>
      </c>
      <c r="T131" s="19">
        <v>0.0</v>
      </c>
      <c r="U131" s="19">
        <v>0.0</v>
      </c>
      <c r="V131" s="19">
        <v>0.0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1.0</v>
      </c>
      <c r="AB131" s="19">
        <v>0.0</v>
      </c>
      <c r="AC131" s="13">
        <f t="shared" si="28"/>
        <v>12</v>
      </c>
      <c r="AD131" s="52"/>
      <c r="AE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1.0</v>
      </c>
      <c r="G132" s="19">
        <v>0.0</v>
      </c>
      <c r="H132" s="19">
        <v>0.0</v>
      </c>
      <c r="I132" s="19">
        <v>1.0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3">
        <f t="shared" si="28"/>
        <v>2</v>
      </c>
      <c r="AD132" s="5"/>
      <c r="AE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1.0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3">
        <f t="shared" si="28"/>
        <v>1</v>
      </c>
      <c r="AD133" s="5"/>
      <c r="AE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2.0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3">
        <f t="shared" si="28"/>
        <v>2</v>
      </c>
      <c r="AD134" s="5"/>
      <c r="AE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1.0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3">
        <f t="shared" si="28"/>
        <v>1</v>
      </c>
      <c r="AD135" s="5"/>
      <c r="AE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3">
        <f t="shared" si="28"/>
        <v>0</v>
      </c>
      <c r="AD136" s="5"/>
      <c r="AE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79"/>
      <c r="AD137" s="5"/>
      <c r="AE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79"/>
      <c r="AD138" s="5"/>
      <c r="AE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C139" si="29">SUM(E129:E138)</f>
        <v>1</v>
      </c>
      <c r="F139" s="13">
        <f t="shared" si="29"/>
        <v>6</v>
      </c>
      <c r="G139" s="13">
        <f t="shared" si="29"/>
        <v>0</v>
      </c>
      <c r="H139" s="13">
        <f t="shared" si="29"/>
        <v>0</v>
      </c>
      <c r="I139" s="13">
        <f t="shared" si="29"/>
        <v>2</v>
      </c>
      <c r="J139" s="13">
        <f t="shared" si="29"/>
        <v>1</v>
      </c>
      <c r="K139" s="13">
        <f t="shared" si="29"/>
        <v>2</v>
      </c>
      <c r="L139" s="13">
        <f t="shared" si="29"/>
        <v>3</v>
      </c>
      <c r="M139" s="13">
        <f t="shared" si="29"/>
        <v>5</v>
      </c>
      <c r="N139" s="13">
        <f t="shared" si="29"/>
        <v>9</v>
      </c>
      <c r="O139" s="13">
        <f t="shared" si="29"/>
        <v>15</v>
      </c>
      <c r="P139" s="13">
        <f t="shared" si="29"/>
        <v>6</v>
      </c>
      <c r="Q139" s="13">
        <f t="shared" si="29"/>
        <v>1</v>
      </c>
      <c r="R139" s="13">
        <f t="shared" si="29"/>
        <v>5</v>
      </c>
      <c r="S139" s="13">
        <f t="shared" si="29"/>
        <v>2</v>
      </c>
      <c r="T139" s="13">
        <f t="shared" si="29"/>
        <v>0</v>
      </c>
      <c r="U139" s="13">
        <f t="shared" si="29"/>
        <v>1</v>
      </c>
      <c r="V139" s="13">
        <f t="shared" si="29"/>
        <v>2</v>
      </c>
      <c r="W139" s="13">
        <f t="shared" si="29"/>
        <v>0</v>
      </c>
      <c r="X139" s="13">
        <f t="shared" si="29"/>
        <v>0</v>
      </c>
      <c r="Y139" s="13">
        <f t="shared" si="29"/>
        <v>1</v>
      </c>
      <c r="Z139" s="13">
        <f t="shared" si="29"/>
        <v>0</v>
      </c>
      <c r="AA139" s="13">
        <f t="shared" si="29"/>
        <v>1</v>
      </c>
      <c r="AB139" s="13">
        <f t="shared" si="29"/>
        <v>0</v>
      </c>
      <c r="AC139" s="13">
        <f t="shared" si="29"/>
        <v>63</v>
      </c>
      <c r="AD139" s="5"/>
      <c r="AE139" s="5"/>
    </row>
    <row r="140" ht="12.75" customHeight="1">
      <c r="A140" s="24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5"/>
      <c r="AE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1.0</v>
      </c>
      <c r="G141" s="19">
        <v>1.0</v>
      </c>
      <c r="H141" s="19">
        <v>0.0</v>
      </c>
      <c r="I141" s="19">
        <v>1.0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1.0</v>
      </c>
      <c r="AB141" s="19">
        <v>1.0</v>
      </c>
      <c r="AC141" s="13">
        <f t="shared" ref="AC141:AC148" si="30">SUM(E141:AB141)</f>
        <v>5</v>
      </c>
      <c r="AD141" s="1"/>
      <c r="AE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3">
        <f t="shared" si="30"/>
        <v>0</v>
      </c>
      <c r="AD142" s="52"/>
      <c r="AE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3">
        <f t="shared" si="30"/>
        <v>0</v>
      </c>
      <c r="AD143" s="5"/>
      <c r="AE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3">
        <f t="shared" si="30"/>
        <v>0</v>
      </c>
      <c r="AD144" s="5"/>
      <c r="AE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3">
        <f t="shared" si="30"/>
        <v>0</v>
      </c>
      <c r="AD145" s="5"/>
      <c r="AE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3">
        <f t="shared" si="30"/>
        <v>0</v>
      </c>
      <c r="AD146" s="5"/>
      <c r="AE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3">
        <f t="shared" si="30"/>
        <v>0</v>
      </c>
      <c r="AD147" s="5"/>
      <c r="AE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3">
        <f t="shared" si="30"/>
        <v>0</v>
      </c>
      <c r="AD148" s="5"/>
      <c r="AE148" s="5"/>
    </row>
    <row r="149" ht="12.75" customHeight="1">
      <c r="A149" s="18"/>
      <c r="B149" s="71"/>
      <c r="C149" s="72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79"/>
      <c r="AD149" s="5"/>
      <c r="AE149" s="5"/>
    </row>
    <row r="150" ht="12.75" customHeight="1">
      <c r="A150" s="18"/>
      <c r="B150" s="71"/>
      <c r="C150" s="72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79"/>
      <c r="AD150" s="5"/>
      <c r="AE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>SUM(E141:E150)</f>
        <v>0</v>
      </c>
      <c r="F151" s="13">
        <f t="shared" ref="F151:AC151" si="31">SUM(F141:F148)</f>
        <v>1</v>
      </c>
      <c r="G151" s="13">
        <f t="shared" si="31"/>
        <v>1</v>
      </c>
      <c r="H151" s="13">
        <f t="shared" si="31"/>
        <v>0</v>
      </c>
      <c r="I151" s="13">
        <f t="shared" si="31"/>
        <v>1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1</v>
      </c>
      <c r="AB151" s="13">
        <f t="shared" si="31"/>
        <v>1</v>
      </c>
      <c r="AC151" s="13">
        <f t="shared" si="31"/>
        <v>5</v>
      </c>
      <c r="AD151" s="1"/>
      <c r="AE151" s="1"/>
    </row>
    <row r="152" ht="12.75" customHeight="1">
      <c r="A152" s="24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13"/>
      <c r="AD152" s="52"/>
      <c r="AE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2.0</v>
      </c>
      <c r="J153" s="19">
        <v>0.0</v>
      </c>
      <c r="K153" s="19">
        <v>0.0</v>
      </c>
      <c r="L153" s="19">
        <v>2.0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3">
        <f t="shared" ref="AC153:AC157" si="32">SUM(E153:AB153)</f>
        <v>4</v>
      </c>
      <c r="AD153" s="5"/>
      <c r="AE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1.0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1.0</v>
      </c>
      <c r="AC154" s="13">
        <f t="shared" si="32"/>
        <v>2</v>
      </c>
      <c r="AD154" s="5"/>
      <c r="AE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1.0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1.0</v>
      </c>
      <c r="AA155" s="19">
        <v>0.0</v>
      </c>
      <c r="AB155" s="19">
        <v>0.0</v>
      </c>
      <c r="AC155" s="13">
        <f t="shared" si="32"/>
        <v>2</v>
      </c>
      <c r="AD155" s="5"/>
      <c r="AE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3">
        <f t="shared" si="32"/>
        <v>0</v>
      </c>
      <c r="AD156" s="5"/>
      <c r="AE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1.0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3">
        <f t="shared" si="32"/>
        <v>1</v>
      </c>
      <c r="AD157" s="5"/>
      <c r="AE157" s="5"/>
    </row>
    <row r="158" ht="12.75" customHeight="1">
      <c r="A158" s="18"/>
      <c r="B158" s="71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79"/>
      <c r="AD158" s="5"/>
      <c r="AE158" s="5"/>
    </row>
    <row r="159" ht="12.75" customHeight="1">
      <c r="A159" s="18"/>
      <c r="B159" s="71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79"/>
      <c r="AD159" s="5"/>
      <c r="AE159" s="5"/>
    </row>
    <row r="160" ht="12.75" customHeight="1">
      <c r="A160" s="18"/>
      <c r="B160" s="71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79"/>
      <c r="AD160" s="5"/>
      <c r="AE160" s="5"/>
    </row>
    <row r="161" ht="12.75" customHeight="1">
      <c r="A161" s="18"/>
      <c r="B161" s="71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79"/>
      <c r="AD161" s="5"/>
      <c r="AE161" s="5"/>
    </row>
    <row r="162" ht="12.75" customHeight="1">
      <c r="A162" s="18"/>
      <c r="B162" s="71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79"/>
      <c r="AD162" s="5"/>
      <c r="AE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>SUM(E153:E162)</f>
        <v>0</v>
      </c>
      <c r="F163" s="13">
        <f t="shared" ref="F163:AC163" si="33">SUM(F153:F157)</f>
        <v>0</v>
      </c>
      <c r="G163" s="13">
        <f t="shared" si="33"/>
        <v>0</v>
      </c>
      <c r="H163" s="13">
        <f t="shared" si="33"/>
        <v>0</v>
      </c>
      <c r="I163" s="13">
        <f t="shared" si="33"/>
        <v>2</v>
      </c>
      <c r="J163" s="13">
        <f t="shared" si="33"/>
        <v>0</v>
      </c>
      <c r="K163" s="13">
        <f t="shared" si="33"/>
        <v>0</v>
      </c>
      <c r="L163" s="13">
        <f t="shared" si="33"/>
        <v>2</v>
      </c>
      <c r="M163" s="13">
        <f t="shared" si="33"/>
        <v>1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1</v>
      </c>
      <c r="W163" s="13">
        <f t="shared" si="33"/>
        <v>1</v>
      </c>
      <c r="X163" s="13">
        <f t="shared" si="33"/>
        <v>0</v>
      </c>
      <c r="Y163" s="13">
        <f t="shared" si="33"/>
        <v>0</v>
      </c>
      <c r="Z163" s="13">
        <f t="shared" si="33"/>
        <v>1</v>
      </c>
      <c r="AA163" s="13">
        <f t="shared" si="33"/>
        <v>0</v>
      </c>
      <c r="AB163" s="13">
        <f t="shared" si="33"/>
        <v>1</v>
      </c>
      <c r="AC163" s="13">
        <f t="shared" si="33"/>
        <v>9</v>
      </c>
      <c r="AD163" s="5"/>
      <c r="AE163" s="5"/>
    </row>
    <row r="164" ht="12.75" customHeight="1">
      <c r="A164" s="24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5"/>
      <c r="AE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1.0</v>
      </c>
      <c r="I165" s="19">
        <v>1.0</v>
      </c>
      <c r="J165" s="19">
        <v>1.0</v>
      </c>
      <c r="K165" s="19">
        <v>1.0</v>
      </c>
      <c r="L165" s="19">
        <v>0.0</v>
      </c>
      <c r="M165" s="19">
        <v>1.0</v>
      </c>
      <c r="N165" s="19">
        <v>0.0</v>
      </c>
      <c r="O165" s="19">
        <v>0.0</v>
      </c>
      <c r="P165" s="19">
        <v>0.0</v>
      </c>
      <c r="Q165" s="19">
        <v>1.0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1.0</v>
      </c>
      <c r="X165" s="19">
        <v>0.0</v>
      </c>
      <c r="Y165" s="19">
        <v>0.0</v>
      </c>
      <c r="Z165" s="19">
        <v>0.0</v>
      </c>
      <c r="AA165" s="19">
        <v>1.0</v>
      </c>
      <c r="AB165" s="19">
        <v>1.0</v>
      </c>
      <c r="AC165" s="13">
        <f t="shared" ref="AC165:AC172" si="34">SUM(E165:AB165)</f>
        <v>9</v>
      </c>
      <c r="AD165" s="1"/>
      <c r="AE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1.0</v>
      </c>
      <c r="F166" s="19">
        <v>0.0</v>
      </c>
      <c r="G166" s="19">
        <v>0.0</v>
      </c>
      <c r="H166" s="19">
        <v>0.0</v>
      </c>
      <c r="I166" s="19">
        <v>0.0</v>
      </c>
      <c r="J166" s="19">
        <v>1.0</v>
      </c>
      <c r="K166" s="19">
        <v>0.0</v>
      </c>
      <c r="L166" s="19">
        <v>1.0</v>
      </c>
      <c r="M166" s="19">
        <v>0.0</v>
      </c>
      <c r="N166" s="19">
        <v>0.0</v>
      </c>
      <c r="O166" s="19">
        <v>0.0</v>
      </c>
      <c r="P166" s="19">
        <v>0.0</v>
      </c>
      <c r="Q166" s="19">
        <v>1.0</v>
      </c>
      <c r="R166" s="19">
        <v>0.0</v>
      </c>
      <c r="S166" s="19">
        <v>0.0</v>
      </c>
      <c r="T166" s="19">
        <v>1.0</v>
      </c>
      <c r="U166" s="19">
        <v>1.0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3">
        <f t="shared" si="34"/>
        <v>6</v>
      </c>
      <c r="AD166" s="52"/>
      <c r="AE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1.0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1.0</v>
      </c>
      <c r="AB167" s="19">
        <v>1.0</v>
      </c>
      <c r="AC167" s="13">
        <f t="shared" si="34"/>
        <v>3</v>
      </c>
      <c r="AD167" s="5"/>
      <c r="AE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3">
        <f t="shared" si="34"/>
        <v>0</v>
      </c>
      <c r="AD168" s="5"/>
      <c r="AE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1.0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1.0</v>
      </c>
      <c r="AB169" s="19">
        <v>0.0</v>
      </c>
      <c r="AC169" s="13">
        <f t="shared" si="34"/>
        <v>2</v>
      </c>
      <c r="AD169" s="5"/>
      <c r="AE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3">
        <f t="shared" si="34"/>
        <v>0</v>
      </c>
      <c r="AD170" s="5"/>
      <c r="AE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3">
        <f t="shared" si="34"/>
        <v>0</v>
      </c>
      <c r="AD171" s="5"/>
      <c r="AE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1.0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1.0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3">
        <f t="shared" si="34"/>
        <v>2</v>
      </c>
      <c r="AD172" s="5"/>
      <c r="AE172" s="5"/>
    </row>
    <row r="173" ht="12.75" customHeight="1">
      <c r="A173" s="18"/>
      <c r="B173" s="71"/>
      <c r="C173" s="72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5"/>
      <c r="AE173" s="5"/>
    </row>
    <row r="174" ht="12.75" customHeight="1">
      <c r="A174" s="18"/>
      <c r="B174" s="71"/>
      <c r="C174" s="72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79"/>
      <c r="AD174" s="5"/>
      <c r="AE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C175" si="35">SUM(E165:E174)</f>
        <v>1</v>
      </c>
      <c r="F175" s="13">
        <f t="shared" si="35"/>
        <v>0</v>
      </c>
      <c r="G175" s="13">
        <f t="shared" si="35"/>
        <v>0</v>
      </c>
      <c r="H175" s="13">
        <f t="shared" si="35"/>
        <v>1</v>
      </c>
      <c r="I175" s="13">
        <f t="shared" si="35"/>
        <v>3</v>
      </c>
      <c r="J175" s="13">
        <f t="shared" si="35"/>
        <v>2</v>
      </c>
      <c r="K175" s="13">
        <f t="shared" si="35"/>
        <v>1</v>
      </c>
      <c r="L175" s="13">
        <f t="shared" si="35"/>
        <v>1</v>
      </c>
      <c r="M175" s="13">
        <f t="shared" si="35"/>
        <v>2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2</v>
      </c>
      <c r="R175" s="13">
        <f t="shared" si="35"/>
        <v>0</v>
      </c>
      <c r="S175" s="13">
        <f t="shared" si="35"/>
        <v>0</v>
      </c>
      <c r="T175" s="13">
        <f t="shared" si="35"/>
        <v>1</v>
      </c>
      <c r="U175" s="13">
        <f t="shared" si="35"/>
        <v>1</v>
      </c>
      <c r="V175" s="13">
        <f t="shared" si="35"/>
        <v>1</v>
      </c>
      <c r="W175" s="13">
        <f t="shared" si="35"/>
        <v>1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 t="shared" si="35"/>
        <v>3</v>
      </c>
      <c r="AB175" s="13">
        <f t="shared" si="35"/>
        <v>2</v>
      </c>
      <c r="AC175" s="13">
        <f t="shared" si="35"/>
        <v>22</v>
      </c>
      <c r="AD175" s="5"/>
      <c r="AE175" s="5"/>
    </row>
    <row r="176" ht="12.75" customHeight="1">
      <c r="A176" s="24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1"/>
      <c r="AE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2.0</v>
      </c>
      <c r="F177" s="19">
        <v>1.0</v>
      </c>
      <c r="G177" s="19">
        <v>1.0</v>
      </c>
      <c r="H177" s="19">
        <v>0.0</v>
      </c>
      <c r="I177" s="19">
        <v>0.0</v>
      </c>
      <c r="J177" s="19">
        <v>2.0</v>
      </c>
      <c r="K177" s="19">
        <v>0.0</v>
      </c>
      <c r="L177" s="19">
        <v>3.0</v>
      </c>
      <c r="M177" s="19">
        <v>2.0</v>
      </c>
      <c r="N177" s="19">
        <v>0.0</v>
      </c>
      <c r="O177" s="19">
        <v>0.0</v>
      </c>
      <c r="P177" s="19">
        <v>1.0</v>
      </c>
      <c r="Q177" s="19">
        <v>0.0</v>
      </c>
      <c r="R177" s="19">
        <v>0.0</v>
      </c>
      <c r="S177" s="19">
        <v>2.0</v>
      </c>
      <c r="T177" s="19">
        <v>1.0</v>
      </c>
      <c r="U177" s="19">
        <v>1.0</v>
      </c>
      <c r="V177" s="19">
        <v>1.0</v>
      </c>
      <c r="W177" s="19">
        <v>1.0</v>
      </c>
      <c r="X177" s="19">
        <v>0.0</v>
      </c>
      <c r="Y177" s="19">
        <v>0.0</v>
      </c>
      <c r="Z177" s="19">
        <v>2.0</v>
      </c>
      <c r="AA177" s="19">
        <v>1.0</v>
      </c>
      <c r="AB177" s="19">
        <v>0.0</v>
      </c>
      <c r="AC177" s="13">
        <f t="shared" ref="AC177:AC184" si="36">SUM(E177:AB177)</f>
        <v>21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3.0</v>
      </c>
      <c r="P178" s="19">
        <v>1.0</v>
      </c>
      <c r="Q178" s="19">
        <v>0.0</v>
      </c>
      <c r="R178" s="19">
        <v>0.0</v>
      </c>
      <c r="S178" s="19">
        <v>0.0</v>
      </c>
      <c r="T178" s="19">
        <v>1.0</v>
      </c>
      <c r="U178" s="19">
        <v>1.0</v>
      </c>
      <c r="V178" s="19">
        <v>0.0</v>
      </c>
      <c r="W178" s="19">
        <v>0.0</v>
      </c>
      <c r="X178" s="19">
        <v>0.0</v>
      </c>
      <c r="Y178" s="19">
        <v>1.0</v>
      </c>
      <c r="Z178" s="19">
        <v>0.0</v>
      </c>
      <c r="AA178" s="19">
        <v>1.0</v>
      </c>
      <c r="AB178" s="19">
        <v>0.0</v>
      </c>
      <c r="AC178" s="13">
        <f t="shared" si="36"/>
        <v>8</v>
      </c>
      <c r="AD178" s="5"/>
      <c r="AE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1.0</v>
      </c>
      <c r="K179" s="19">
        <v>0.0</v>
      </c>
      <c r="L179" s="19">
        <v>1.0</v>
      </c>
      <c r="M179" s="19">
        <v>4.0</v>
      </c>
      <c r="N179" s="19">
        <v>1.0</v>
      </c>
      <c r="O179" s="19">
        <v>0.0</v>
      </c>
      <c r="P179" s="19">
        <v>0.0</v>
      </c>
      <c r="Q179" s="19">
        <v>0.0</v>
      </c>
      <c r="R179" s="19">
        <v>1.0</v>
      </c>
      <c r="S179" s="19">
        <v>0.0</v>
      </c>
      <c r="T179" s="19">
        <v>1.0</v>
      </c>
      <c r="U179" s="19">
        <v>0.0</v>
      </c>
      <c r="V179" s="19">
        <v>1.0</v>
      </c>
      <c r="W179" s="19">
        <v>0.0</v>
      </c>
      <c r="X179" s="19">
        <v>0.0</v>
      </c>
      <c r="Y179" s="19">
        <v>0.0</v>
      </c>
      <c r="Z179" s="19">
        <v>0.0</v>
      </c>
      <c r="AA179" s="19">
        <v>0.0</v>
      </c>
      <c r="AB179" s="19">
        <v>0.0</v>
      </c>
      <c r="AC179" s="13">
        <f t="shared" si="36"/>
        <v>10</v>
      </c>
      <c r="AD179" s="5"/>
      <c r="AE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1.0</v>
      </c>
      <c r="K180" s="19">
        <v>0.0</v>
      </c>
      <c r="L180" s="19">
        <v>0.0</v>
      </c>
      <c r="M180" s="19">
        <v>1.0</v>
      </c>
      <c r="N180" s="19">
        <v>1.0</v>
      </c>
      <c r="O180" s="19">
        <v>0.0</v>
      </c>
      <c r="P180" s="19">
        <v>0.0</v>
      </c>
      <c r="Q180" s="19">
        <v>0.0</v>
      </c>
      <c r="R180" s="19">
        <v>1.0</v>
      </c>
      <c r="S180" s="19">
        <v>0.0</v>
      </c>
      <c r="T180" s="19">
        <v>0.0</v>
      </c>
      <c r="U180" s="19">
        <v>1.0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0.0</v>
      </c>
      <c r="AC180" s="13">
        <f t="shared" si="36"/>
        <v>5</v>
      </c>
      <c r="AD180" s="5"/>
      <c r="AE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1.0</v>
      </c>
      <c r="N181" s="19">
        <v>0.0</v>
      </c>
      <c r="O181" s="19">
        <v>1.0</v>
      </c>
      <c r="P181" s="19">
        <v>1.0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3">
        <f t="shared" si="36"/>
        <v>3</v>
      </c>
      <c r="AD181" s="5"/>
      <c r="AE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1.0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3">
        <f t="shared" si="36"/>
        <v>1</v>
      </c>
      <c r="AD182" s="5"/>
      <c r="AE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1.0</v>
      </c>
      <c r="L183" s="19">
        <v>0.0</v>
      </c>
      <c r="M183" s="19">
        <v>0.0</v>
      </c>
      <c r="N183" s="19">
        <v>1.0</v>
      </c>
      <c r="O183" s="19">
        <v>1.0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3">
        <f t="shared" si="36"/>
        <v>3</v>
      </c>
      <c r="AD183" s="5"/>
      <c r="AE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1.0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3">
        <f t="shared" si="36"/>
        <v>1</v>
      </c>
      <c r="AD184" s="5"/>
      <c r="AE184" s="5"/>
    </row>
    <row r="185" ht="12.75" customHeight="1">
      <c r="A185" s="18"/>
      <c r="B185" s="71"/>
      <c r="C185" s="72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79"/>
      <c r="AD185" s="5"/>
      <c r="AE185" s="5"/>
    </row>
    <row r="186" ht="12.75" customHeight="1">
      <c r="A186" s="18"/>
      <c r="B186" s="71"/>
      <c r="C186" s="72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79"/>
      <c r="AD186" s="5"/>
      <c r="AE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C187" si="37">SUM(E177:E186)</f>
        <v>2</v>
      </c>
      <c r="F187" s="13">
        <f t="shared" si="37"/>
        <v>1</v>
      </c>
      <c r="G187" s="13">
        <f t="shared" si="37"/>
        <v>1</v>
      </c>
      <c r="H187" s="13">
        <f t="shared" si="37"/>
        <v>0</v>
      </c>
      <c r="I187" s="13">
        <f t="shared" si="37"/>
        <v>0</v>
      </c>
      <c r="J187" s="13">
        <f t="shared" si="37"/>
        <v>4</v>
      </c>
      <c r="K187" s="13">
        <f t="shared" si="37"/>
        <v>1</v>
      </c>
      <c r="L187" s="13">
        <f t="shared" si="37"/>
        <v>4</v>
      </c>
      <c r="M187" s="13">
        <f t="shared" si="37"/>
        <v>8</v>
      </c>
      <c r="N187" s="13">
        <f t="shared" si="37"/>
        <v>3</v>
      </c>
      <c r="O187" s="13">
        <f t="shared" si="37"/>
        <v>5</v>
      </c>
      <c r="P187" s="13">
        <f t="shared" si="37"/>
        <v>3</v>
      </c>
      <c r="Q187" s="13">
        <f t="shared" si="37"/>
        <v>0</v>
      </c>
      <c r="R187" s="13">
        <f t="shared" si="37"/>
        <v>2</v>
      </c>
      <c r="S187" s="13">
        <f t="shared" si="37"/>
        <v>3</v>
      </c>
      <c r="T187" s="13">
        <f t="shared" si="37"/>
        <v>3</v>
      </c>
      <c r="U187" s="13">
        <f t="shared" si="37"/>
        <v>4</v>
      </c>
      <c r="V187" s="13">
        <f t="shared" si="37"/>
        <v>2</v>
      </c>
      <c r="W187" s="13">
        <f t="shared" si="37"/>
        <v>1</v>
      </c>
      <c r="X187" s="13">
        <f t="shared" si="37"/>
        <v>0</v>
      </c>
      <c r="Y187" s="13">
        <f t="shared" si="37"/>
        <v>1</v>
      </c>
      <c r="Z187" s="13">
        <f t="shared" si="37"/>
        <v>2</v>
      </c>
      <c r="AA187" s="13">
        <f t="shared" si="37"/>
        <v>2</v>
      </c>
      <c r="AB187" s="13">
        <f t="shared" si="37"/>
        <v>0</v>
      </c>
      <c r="AC187" s="13">
        <f t="shared" si="37"/>
        <v>52</v>
      </c>
      <c r="AD187" s="1"/>
      <c r="AE187" s="1"/>
    </row>
    <row r="188" ht="12.75" customHeight="1">
      <c r="A188" s="24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AC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1.0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3">
        <f t="shared" ref="AC189:AC196" si="38">SUM(E189:AB189)</f>
        <v>1</v>
      </c>
      <c r="AD189" s="5"/>
      <c r="AE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1.0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3">
        <f t="shared" si="38"/>
        <v>1</v>
      </c>
      <c r="AD190" s="5"/>
      <c r="AE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1.0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3">
        <f t="shared" si="38"/>
        <v>1</v>
      </c>
      <c r="AD191" s="5"/>
      <c r="AE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3">
        <f t="shared" si="38"/>
        <v>0</v>
      </c>
      <c r="AD192" s="5"/>
      <c r="AE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3">
        <f t="shared" si="38"/>
        <v>0</v>
      </c>
      <c r="AD193" s="5"/>
      <c r="AE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3">
        <f t="shared" si="38"/>
        <v>0</v>
      </c>
      <c r="AD194" s="5"/>
      <c r="AE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3">
        <f t="shared" si="38"/>
        <v>0</v>
      </c>
      <c r="AD195" s="5"/>
      <c r="AE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1.0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3">
        <f t="shared" si="38"/>
        <v>1</v>
      </c>
      <c r="AD196" s="1"/>
      <c r="AE196" s="1"/>
    </row>
    <row r="197" ht="12.75" customHeight="1">
      <c r="A197" s="18"/>
      <c r="B197" s="71"/>
      <c r="C197" s="72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9"/>
      <c r="AD197" s="1"/>
      <c r="AE197" s="1"/>
    </row>
    <row r="198" ht="12.75" customHeight="1">
      <c r="A198" s="18"/>
      <c r="B198" s="71"/>
      <c r="C198" s="72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79"/>
      <c r="AD198" s="1"/>
      <c r="AE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C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1</v>
      </c>
      <c r="I199" s="13">
        <f t="shared" si="39"/>
        <v>1</v>
      </c>
      <c r="J199" s="13">
        <f t="shared" si="39"/>
        <v>0</v>
      </c>
      <c r="K199" s="13">
        <f t="shared" si="39"/>
        <v>1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1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4</v>
      </c>
      <c r="AD199" s="52"/>
      <c r="AE199" s="52"/>
    </row>
    <row r="200" ht="12.75" customHeight="1">
      <c r="A200" s="24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5"/>
      <c r="AE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4.0</v>
      </c>
      <c r="F201" s="19">
        <v>4.0</v>
      </c>
      <c r="G201" s="19">
        <v>4.0</v>
      </c>
      <c r="H201" s="19">
        <v>0.0</v>
      </c>
      <c r="I201" s="19">
        <v>9.0</v>
      </c>
      <c r="J201" s="19">
        <v>3.0</v>
      </c>
      <c r="K201" s="19">
        <v>5.0</v>
      </c>
      <c r="L201" s="19">
        <v>6.0</v>
      </c>
      <c r="M201" s="19">
        <v>6.0</v>
      </c>
      <c r="N201" s="19">
        <v>12.0</v>
      </c>
      <c r="O201" s="19">
        <v>7.0</v>
      </c>
      <c r="P201" s="19">
        <v>10.0</v>
      </c>
      <c r="Q201" s="19">
        <v>2.0</v>
      </c>
      <c r="R201" s="19">
        <v>2.0</v>
      </c>
      <c r="S201" s="19">
        <v>10.0</v>
      </c>
      <c r="T201" s="19">
        <v>4.0</v>
      </c>
      <c r="U201" s="19">
        <v>6.0</v>
      </c>
      <c r="V201" s="19">
        <v>16.0</v>
      </c>
      <c r="W201" s="19">
        <v>4.0</v>
      </c>
      <c r="X201" s="19">
        <v>6.0</v>
      </c>
      <c r="Y201" s="19">
        <v>6.0</v>
      </c>
      <c r="Z201" s="19">
        <v>6.0</v>
      </c>
      <c r="AA201" s="19">
        <v>15.0</v>
      </c>
      <c r="AB201" s="19">
        <v>20.0</v>
      </c>
      <c r="AC201" s="13">
        <f t="shared" ref="AC201:AC208" si="40">SUM(E201:AB201)</f>
        <v>167</v>
      </c>
      <c r="AD201" s="5"/>
      <c r="AE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18.0</v>
      </c>
      <c r="F202" s="19">
        <v>19.0</v>
      </c>
      <c r="G202" s="19">
        <v>10.0</v>
      </c>
      <c r="H202" s="19">
        <v>11.0</v>
      </c>
      <c r="I202" s="19">
        <v>9.0</v>
      </c>
      <c r="J202" s="19">
        <v>16.0</v>
      </c>
      <c r="K202" s="19">
        <v>4.0</v>
      </c>
      <c r="L202" s="19">
        <v>6.0</v>
      </c>
      <c r="M202" s="19">
        <v>10.0</v>
      </c>
      <c r="N202" s="19">
        <v>9.0</v>
      </c>
      <c r="O202" s="19">
        <v>3.0</v>
      </c>
      <c r="P202" s="19">
        <v>3.0</v>
      </c>
      <c r="Q202" s="19">
        <v>13.0</v>
      </c>
      <c r="R202" s="19">
        <v>2.0</v>
      </c>
      <c r="S202" s="19">
        <v>6.0</v>
      </c>
      <c r="T202" s="19">
        <v>38.0</v>
      </c>
      <c r="U202" s="19">
        <v>10.0</v>
      </c>
      <c r="V202" s="19">
        <v>13.0</v>
      </c>
      <c r="W202" s="19">
        <v>4.0</v>
      </c>
      <c r="X202" s="19">
        <v>3.0</v>
      </c>
      <c r="Y202" s="19">
        <v>8.0</v>
      </c>
      <c r="Z202" s="19">
        <v>2.0</v>
      </c>
      <c r="AA202" s="19">
        <v>13.0</v>
      </c>
      <c r="AB202" s="19">
        <v>11.0</v>
      </c>
      <c r="AC202" s="13">
        <f t="shared" si="40"/>
        <v>241</v>
      </c>
      <c r="AD202" s="5"/>
      <c r="AE202" s="5"/>
    </row>
    <row r="203" ht="12.75" customHeight="1">
      <c r="A203" s="18"/>
      <c r="B203" s="55">
        <v>2.0</v>
      </c>
      <c r="C203" s="50" t="s">
        <v>149</v>
      </c>
      <c r="D203" s="57"/>
      <c r="E203" s="19">
        <v>1.0</v>
      </c>
      <c r="F203" s="19">
        <v>0.0</v>
      </c>
      <c r="G203" s="19">
        <v>1.0</v>
      </c>
      <c r="H203" s="19">
        <v>1.0</v>
      </c>
      <c r="I203" s="19">
        <v>4.0</v>
      </c>
      <c r="J203" s="19">
        <v>3.0</v>
      </c>
      <c r="K203" s="19">
        <v>0.0</v>
      </c>
      <c r="L203" s="19">
        <v>3.0</v>
      </c>
      <c r="M203" s="19">
        <v>3.0</v>
      </c>
      <c r="N203" s="19">
        <v>2.0</v>
      </c>
      <c r="O203" s="19">
        <v>0.0</v>
      </c>
      <c r="P203" s="19">
        <v>2.0</v>
      </c>
      <c r="Q203" s="19">
        <v>4.0</v>
      </c>
      <c r="R203" s="19">
        <v>8.0</v>
      </c>
      <c r="S203" s="19">
        <v>3.0</v>
      </c>
      <c r="T203" s="19">
        <v>3.0</v>
      </c>
      <c r="U203" s="19">
        <v>4.0</v>
      </c>
      <c r="V203" s="19">
        <v>20.0</v>
      </c>
      <c r="W203" s="19">
        <v>5.0</v>
      </c>
      <c r="X203" s="19">
        <v>0.0</v>
      </c>
      <c r="Y203" s="19">
        <v>11.0</v>
      </c>
      <c r="Z203" s="19">
        <v>1.0</v>
      </c>
      <c r="AA203" s="19">
        <v>16.0</v>
      </c>
      <c r="AB203" s="19">
        <v>43.0</v>
      </c>
      <c r="AC203" s="13">
        <f t="shared" si="40"/>
        <v>138</v>
      </c>
      <c r="AD203" s="5"/>
      <c r="AE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19">
        <v>3.0</v>
      </c>
      <c r="H204" s="19">
        <v>0.0</v>
      </c>
      <c r="I204" s="19">
        <v>3.0</v>
      </c>
      <c r="J204" s="19">
        <v>0.0</v>
      </c>
      <c r="K204" s="19">
        <v>3.0</v>
      </c>
      <c r="L204" s="19">
        <v>1.0</v>
      </c>
      <c r="M204" s="19">
        <v>3.0</v>
      </c>
      <c r="N204" s="19">
        <v>1.0</v>
      </c>
      <c r="O204" s="19">
        <v>0.0</v>
      </c>
      <c r="P204" s="19">
        <v>1.0</v>
      </c>
      <c r="Q204" s="19">
        <v>1.0</v>
      </c>
      <c r="R204" s="19">
        <v>0.0</v>
      </c>
      <c r="S204" s="19">
        <v>0.0</v>
      </c>
      <c r="T204" s="19">
        <v>5.0</v>
      </c>
      <c r="U204" s="19">
        <v>0.0</v>
      </c>
      <c r="V204" s="19">
        <v>1.0</v>
      </c>
      <c r="W204" s="19">
        <v>1.0</v>
      </c>
      <c r="X204" s="19">
        <v>0.0</v>
      </c>
      <c r="Y204" s="19">
        <v>2.0</v>
      </c>
      <c r="Z204" s="19">
        <v>1.0</v>
      </c>
      <c r="AA204" s="19">
        <v>2.0</v>
      </c>
      <c r="AB204" s="19">
        <v>3.0</v>
      </c>
      <c r="AC204" s="13">
        <f t="shared" si="40"/>
        <v>31</v>
      </c>
      <c r="AD204" s="5"/>
      <c r="AE204" s="5"/>
    </row>
    <row r="205" ht="12.75" customHeight="1">
      <c r="A205" s="18"/>
      <c r="B205" s="55">
        <v>4.0</v>
      </c>
      <c r="C205" s="50" t="s">
        <v>151</v>
      </c>
      <c r="D205" s="57"/>
      <c r="E205" s="19">
        <v>1.0</v>
      </c>
      <c r="F205" s="19">
        <v>0.0</v>
      </c>
      <c r="G205" s="19">
        <v>3.0</v>
      </c>
      <c r="H205" s="19">
        <v>0.0</v>
      </c>
      <c r="I205" s="19">
        <v>1.0</v>
      </c>
      <c r="J205" s="19">
        <v>2.0</v>
      </c>
      <c r="K205" s="19">
        <v>1.0</v>
      </c>
      <c r="L205" s="19">
        <v>1.0</v>
      </c>
      <c r="M205" s="19">
        <v>4.0</v>
      </c>
      <c r="N205" s="19">
        <v>0.0</v>
      </c>
      <c r="O205" s="19">
        <v>1.0</v>
      </c>
      <c r="P205" s="19">
        <v>1.0</v>
      </c>
      <c r="Q205" s="19">
        <v>2.0</v>
      </c>
      <c r="R205" s="19">
        <v>1.0</v>
      </c>
      <c r="S205" s="19">
        <v>2.0</v>
      </c>
      <c r="T205" s="19">
        <v>0.0</v>
      </c>
      <c r="U205" s="19">
        <v>2.0</v>
      </c>
      <c r="V205" s="19">
        <v>2.0</v>
      </c>
      <c r="W205" s="19">
        <v>1.0</v>
      </c>
      <c r="X205" s="19">
        <v>0.0</v>
      </c>
      <c r="Y205" s="19">
        <v>1.0</v>
      </c>
      <c r="Z205" s="19">
        <v>0.0</v>
      </c>
      <c r="AA205" s="19">
        <v>2.0</v>
      </c>
      <c r="AB205" s="19">
        <v>0.0</v>
      </c>
      <c r="AC205" s="13">
        <f t="shared" si="40"/>
        <v>28</v>
      </c>
      <c r="AD205" s="5"/>
      <c r="AE205" s="5"/>
    </row>
    <row r="206" ht="12.75" customHeight="1">
      <c r="A206" s="18"/>
      <c r="B206" s="55">
        <v>5.0</v>
      </c>
      <c r="C206" s="50" t="s">
        <v>152</v>
      </c>
      <c r="D206" s="57"/>
      <c r="E206" s="19">
        <v>1.0</v>
      </c>
      <c r="F206" s="19">
        <v>0.0</v>
      </c>
      <c r="G206" s="19">
        <v>0.0</v>
      </c>
      <c r="H206" s="19">
        <v>0.0</v>
      </c>
      <c r="I206" s="19">
        <v>2.0</v>
      </c>
      <c r="J206" s="19">
        <v>0.0</v>
      </c>
      <c r="K206" s="19">
        <v>1.0</v>
      </c>
      <c r="L206" s="19">
        <v>1.0</v>
      </c>
      <c r="M206" s="19">
        <v>3.0</v>
      </c>
      <c r="N206" s="19">
        <v>1.0</v>
      </c>
      <c r="O206" s="19">
        <v>0.0</v>
      </c>
      <c r="P206" s="19">
        <v>2.0</v>
      </c>
      <c r="Q206" s="19">
        <v>0.0</v>
      </c>
      <c r="R206" s="19">
        <v>1.0</v>
      </c>
      <c r="S206" s="19">
        <v>1.0</v>
      </c>
      <c r="T206" s="19">
        <v>0.0</v>
      </c>
      <c r="U206" s="19">
        <v>1.0</v>
      </c>
      <c r="V206" s="19">
        <v>0.0</v>
      </c>
      <c r="W206" s="19">
        <v>1.0</v>
      </c>
      <c r="X206" s="19">
        <v>0.0</v>
      </c>
      <c r="Y206" s="19">
        <v>0.0</v>
      </c>
      <c r="Z206" s="19">
        <v>0.0</v>
      </c>
      <c r="AA206" s="19">
        <v>2.0</v>
      </c>
      <c r="AB206" s="19">
        <v>1.0</v>
      </c>
      <c r="AC206" s="13">
        <f t="shared" si="40"/>
        <v>18</v>
      </c>
      <c r="AD206" s="5"/>
      <c r="AE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3.0</v>
      </c>
      <c r="H207" s="19">
        <v>0.0</v>
      </c>
      <c r="I207" s="19">
        <v>3.0</v>
      </c>
      <c r="J207" s="19">
        <v>0.0</v>
      </c>
      <c r="K207" s="19">
        <v>0.0</v>
      </c>
      <c r="L207" s="19">
        <v>5.0</v>
      </c>
      <c r="M207" s="19">
        <v>2.0</v>
      </c>
      <c r="N207" s="19">
        <v>2.0</v>
      </c>
      <c r="O207" s="19">
        <v>0.0</v>
      </c>
      <c r="P207" s="19">
        <v>2.0</v>
      </c>
      <c r="Q207" s="19">
        <v>1.0</v>
      </c>
      <c r="R207" s="19">
        <v>0.0</v>
      </c>
      <c r="S207" s="19">
        <v>1.0</v>
      </c>
      <c r="T207" s="19">
        <v>0.0</v>
      </c>
      <c r="U207" s="19">
        <v>0.0</v>
      </c>
      <c r="V207" s="19">
        <v>1.0</v>
      </c>
      <c r="W207" s="19">
        <v>1.0</v>
      </c>
      <c r="X207" s="19">
        <v>0.0</v>
      </c>
      <c r="Y207" s="19">
        <v>5.0</v>
      </c>
      <c r="Z207" s="19">
        <v>0.0</v>
      </c>
      <c r="AA207" s="19">
        <v>0.0</v>
      </c>
      <c r="AB207" s="19">
        <v>2.0</v>
      </c>
      <c r="AC207" s="13">
        <f t="shared" si="40"/>
        <v>28</v>
      </c>
      <c r="AD207" s="1"/>
      <c r="AE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1.0</v>
      </c>
      <c r="H208" s="19">
        <v>0.0</v>
      </c>
      <c r="I208" s="19">
        <v>2.0</v>
      </c>
      <c r="J208" s="19">
        <v>3.0</v>
      </c>
      <c r="K208" s="19">
        <v>0.0</v>
      </c>
      <c r="L208" s="19">
        <v>0.0</v>
      </c>
      <c r="M208" s="19">
        <v>1.0</v>
      </c>
      <c r="N208" s="19">
        <v>0.0</v>
      </c>
      <c r="O208" s="19">
        <v>0.0</v>
      </c>
      <c r="P208" s="19">
        <v>0.0</v>
      </c>
      <c r="Q208" s="19">
        <v>0.0</v>
      </c>
      <c r="R208" s="19">
        <v>1.0</v>
      </c>
      <c r="S208" s="19">
        <v>1.0</v>
      </c>
      <c r="T208" s="19">
        <v>0.0</v>
      </c>
      <c r="U208" s="19">
        <v>0.0</v>
      </c>
      <c r="V208" s="19">
        <v>2.0</v>
      </c>
      <c r="W208" s="19">
        <v>2.0</v>
      </c>
      <c r="X208" s="19">
        <v>1.0</v>
      </c>
      <c r="Y208" s="19">
        <v>1.0</v>
      </c>
      <c r="Z208" s="19">
        <v>0.0</v>
      </c>
      <c r="AA208" s="19">
        <v>1.0</v>
      </c>
      <c r="AB208" s="19">
        <v>1.0</v>
      </c>
      <c r="AC208" s="13">
        <f t="shared" si="40"/>
        <v>17</v>
      </c>
      <c r="AD208" s="52"/>
      <c r="AE208" s="52"/>
    </row>
    <row r="209" ht="12.75" customHeight="1">
      <c r="A209" s="18"/>
      <c r="B209" s="71"/>
      <c r="C209" s="72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52"/>
      <c r="AE209" s="52"/>
    </row>
    <row r="210" ht="12.75" customHeight="1">
      <c r="A210" s="18"/>
      <c r="B210" s="71"/>
      <c r="C210" s="72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79"/>
      <c r="AD210" s="52"/>
      <c r="AE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C211" si="41">SUM(E201:E210)</f>
        <v>25</v>
      </c>
      <c r="F211" s="13">
        <f t="shared" si="41"/>
        <v>23</v>
      </c>
      <c r="G211" s="13">
        <f t="shared" si="41"/>
        <v>25</v>
      </c>
      <c r="H211" s="13">
        <f t="shared" si="41"/>
        <v>12</v>
      </c>
      <c r="I211" s="13">
        <f t="shared" si="41"/>
        <v>33</v>
      </c>
      <c r="J211" s="13">
        <f t="shared" si="41"/>
        <v>27</v>
      </c>
      <c r="K211" s="13">
        <f t="shared" si="41"/>
        <v>14</v>
      </c>
      <c r="L211" s="13">
        <f t="shared" si="41"/>
        <v>23</v>
      </c>
      <c r="M211" s="13">
        <f t="shared" si="41"/>
        <v>32</v>
      </c>
      <c r="N211" s="13">
        <f t="shared" si="41"/>
        <v>27</v>
      </c>
      <c r="O211" s="13">
        <f t="shared" si="41"/>
        <v>11</v>
      </c>
      <c r="P211" s="13">
        <f t="shared" si="41"/>
        <v>21</v>
      </c>
      <c r="Q211" s="13">
        <f t="shared" si="41"/>
        <v>23</v>
      </c>
      <c r="R211" s="13">
        <f t="shared" si="41"/>
        <v>15</v>
      </c>
      <c r="S211" s="13">
        <f t="shared" si="41"/>
        <v>24</v>
      </c>
      <c r="T211" s="13">
        <f t="shared" si="41"/>
        <v>50</v>
      </c>
      <c r="U211" s="13">
        <f t="shared" si="41"/>
        <v>23</v>
      </c>
      <c r="V211" s="13">
        <f t="shared" si="41"/>
        <v>55</v>
      </c>
      <c r="W211" s="13">
        <f t="shared" si="41"/>
        <v>19</v>
      </c>
      <c r="X211" s="13">
        <f t="shared" si="41"/>
        <v>10</v>
      </c>
      <c r="Y211" s="13">
        <f t="shared" si="41"/>
        <v>34</v>
      </c>
      <c r="Z211" s="13">
        <f t="shared" si="41"/>
        <v>10</v>
      </c>
      <c r="AA211" s="13">
        <f t="shared" si="41"/>
        <v>51</v>
      </c>
      <c r="AB211" s="13">
        <f t="shared" si="41"/>
        <v>81</v>
      </c>
      <c r="AC211" s="13">
        <f t="shared" si="41"/>
        <v>668</v>
      </c>
      <c r="AD211" s="5"/>
      <c r="AE211" s="5"/>
    </row>
    <row r="212" ht="12.75" customHeight="1">
      <c r="A212" s="24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5"/>
      <c r="AE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3.0</v>
      </c>
      <c r="F213" s="19">
        <v>2.0</v>
      </c>
      <c r="G213" s="19">
        <v>2.0</v>
      </c>
      <c r="H213" s="19">
        <v>0.0</v>
      </c>
      <c r="I213" s="19">
        <v>1.0</v>
      </c>
      <c r="J213" s="19">
        <v>1.0</v>
      </c>
      <c r="K213" s="19">
        <v>3.0</v>
      </c>
      <c r="L213" s="19">
        <v>0.0</v>
      </c>
      <c r="M213" s="19">
        <v>2.0</v>
      </c>
      <c r="N213" s="19">
        <v>5.0</v>
      </c>
      <c r="O213" s="19">
        <v>1.0</v>
      </c>
      <c r="P213" s="19">
        <v>2.0</v>
      </c>
      <c r="Q213" s="19">
        <v>2.0</v>
      </c>
      <c r="R213" s="19">
        <v>1.0</v>
      </c>
      <c r="S213" s="19">
        <v>4.0</v>
      </c>
      <c r="T213" s="19">
        <v>2.0</v>
      </c>
      <c r="U213" s="19">
        <v>2.0</v>
      </c>
      <c r="V213" s="19">
        <v>0.0</v>
      </c>
      <c r="W213" s="19">
        <v>1.0</v>
      </c>
      <c r="X213" s="19">
        <v>1.0</v>
      </c>
      <c r="Y213" s="19">
        <v>0.0</v>
      </c>
      <c r="Z213" s="19">
        <v>3.0</v>
      </c>
      <c r="AA213" s="19">
        <v>1.0</v>
      </c>
      <c r="AB213" s="19">
        <v>2.0</v>
      </c>
      <c r="AC213" s="13">
        <f t="shared" ref="AC213:AC220" si="42">SUM(E213:AB213)</f>
        <v>41</v>
      </c>
      <c r="AD213" s="5"/>
      <c r="AE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9.0</v>
      </c>
      <c r="F214" s="19">
        <v>1.0</v>
      </c>
      <c r="G214" s="19">
        <v>2.0</v>
      </c>
      <c r="H214" s="19">
        <v>2.0</v>
      </c>
      <c r="I214" s="19">
        <v>3.0</v>
      </c>
      <c r="J214" s="19">
        <v>2.0</v>
      </c>
      <c r="K214" s="19">
        <v>1.0</v>
      </c>
      <c r="L214" s="19">
        <v>1.0</v>
      </c>
      <c r="M214" s="19">
        <v>1.0</v>
      </c>
      <c r="N214" s="19">
        <v>4.0</v>
      </c>
      <c r="O214" s="19">
        <v>1.0</v>
      </c>
      <c r="P214" s="19">
        <v>2.0</v>
      </c>
      <c r="Q214" s="19">
        <v>0.0</v>
      </c>
      <c r="R214" s="19">
        <v>1.0</v>
      </c>
      <c r="S214" s="19">
        <v>14.0</v>
      </c>
      <c r="T214" s="19">
        <v>1.0</v>
      </c>
      <c r="U214" s="19">
        <v>4.0</v>
      </c>
      <c r="V214" s="19">
        <v>4.0</v>
      </c>
      <c r="W214" s="19">
        <v>10.0</v>
      </c>
      <c r="X214" s="19">
        <v>2.0</v>
      </c>
      <c r="Y214" s="19">
        <v>2.0</v>
      </c>
      <c r="Z214" s="19">
        <v>1.0</v>
      </c>
      <c r="AA214" s="19">
        <v>0.0</v>
      </c>
      <c r="AB214" s="19">
        <v>0.0</v>
      </c>
      <c r="AC214" s="13">
        <f t="shared" si="42"/>
        <v>68</v>
      </c>
      <c r="AD214" s="5"/>
      <c r="AE214" s="5"/>
    </row>
    <row r="215" ht="12.75" customHeight="1">
      <c r="A215" s="18"/>
      <c r="B215" s="55">
        <v>2.0</v>
      </c>
      <c r="C215" s="50" t="s">
        <v>158</v>
      </c>
      <c r="D215" s="56"/>
      <c r="E215" s="19">
        <v>0.0</v>
      </c>
      <c r="F215" s="19">
        <v>0.0</v>
      </c>
      <c r="G215" s="19">
        <v>0.0</v>
      </c>
      <c r="H215" s="19">
        <v>0.0</v>
      </c>
      <c r="I215" s="19">
        <v>1.0</v>
      </c>
      <c r="J215" s="19">
        <v>1.0</v>
      </c>
      <c r="K215" s="19">
        <v>1.0</v>
      </c>
      <c r="L215" s="19">
        <v>1.0</v>
      </c>
      <c r="M215" s="19">
        <v>3.0</v>
      </c>
      <c r="N215" s="19">
        <v>0.0</v>
      </c>
      <c r="O215" s="19">
        <v>0.0</v>
      </c>
      <c r="P215" s="19">
        <v>3.0</v>
      </c>
      <c r="Q215" s="19">
        <v>9.0</v>
      </c>
      <c r="R215" s="19">
        <v>13.0</v>
      </c>
      <c r="S215" s="19">
        <v>0.0</v>
      </c>
      <c r="T215" s="19">
        <v>0.0</v>
      </c>
      <c r="U215" s="19">
        <v>1.0</v>
      </c>
      <c r="V215" s="19">
        <v>2.0</v>
      </c>
      <c r="W215" s="19">
        <v>1.0</v>
      </c>
      <c r="X215" s="19">
        <v>0.0</v>
      </c>
      <c r="Y215" s="19">
        <v>1.0</v>
      </c>
      <c r="Z215" s="19">
        <v>0.0</v>
      </c>
      <c r="AA215" s="19">
        <v>0.0</v>
      </c>
      <c r="AB215" s="19">
        <v>0.0</v>
      </c>
      <c r="AC215" s="13">
        <f t="shared" si="42"/>
        <v>37</v>
      </c>
      <c r="AD215" s="5"/>
      <c r="AE215" s="5"/>
    </row>
    <row r="216" ht="12.75" customHeight="1">
      <c r="A216" s="18"/>
      <c r="B216" s="55">
        <v>3.0</v>
      </c>
      <c r="C216" s="61" t="s">
        <v>159</v>
      </c>
      <c r="E216" s="19">
        <v>1.0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1.0</v>
      </c>
      <c r="M216" s="19">
        <v>1.0</v>
      </c>
      <c r="N216" s="19">
        <v>1.0</v>
      </c>
      <c r="O216" s="19">
        <v>1.0</v>
      </c>
      <c r="P216" s="19">
        <v>0.0</v>
      </c>
      <c r="Q216" s="19">
        <v>1.0</v>
      </c>
      <c r="R216" s="19">
        <v>0.0</v>
      </c>
      <c r="S216" s="19">
        <v>0.0</v>
      </c>
      <c r="T216" s="19">
        <v>0.0</v>
      </c>
      <c r="U216" s="19">
        <v>0.0</v>
      </c>
      <c r="V216" s="19">
        <v>1.0</v>
      </c>
      <c r="W216" s="19">
        <v>0.0</v>
      </c>
      <c r="X216" s="19">
        <v>0.0</v>
      </c>
      <c r="Y216" s="19">
        <v>0.0</v>
      </c>
      <c r="Z216" s="19">
        <v>0.0</v>
      </c>
      <c r="AA216" s="19">
        <v>0.0</v>
      </c>
      <c r="AB216" s="19">
        <v>0.0</v>
      </c>
      <c r="AC216" s="13">
        <f t="shared" si="42"/>
        <v>7</v>
      </c>
      <c r="AD216" s="5"/>
      <c r="AE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1.0</v>
      </c>
      <c r="L217" s="19">
        <v>1.0</v>
      </c>
      <c r="M217" s="19">
        <v>1.0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1.0</v>
      </c>
      <c r="T217" s="19">
        <v>0.0</v>
      </c>
      <c r="U217" s="19">
        <v>0.0</v>
      </c>
      <c r="V217" s="19">
        <v>0.0</v>
      </c>
      <c r="W217" s="19">
        <v>0.0</v>
      </c>
      <c r="X217" s="19">
        <v>1.0</v>
      </c>
      <c r="Y217" s="19">
        <v>0.0</v>
      </c>
      <c r="Z217" s="19">
        <v>0.0</v>
      </c>
      <c r="AA217" s="19">
        <v>1.0</v>
      </c>
      <c r="AB217" s="19">
        <v>0.0</v>
      </c>
      <c r="AC217" s="13">
        <f t="shared" si="42"/>
        <v>6</v>
      </c>
      <c r="AD217" s="5"/>
      <c r="AE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1.0</v>
      </c>
      <c r="J218" s="19">
        <v>0.0</v>
      </c>
      <c r="K218" s="19">
        <v>0.0</v>
      </c>
      <c r="L218" s="19">
        <v>0.0</v>
      </c>
      <c r="M218" s="19">
        <v>0.0</v>
      </c>
      <c r="N218" s="19">
        <v>1.0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1.0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3">
        <f t="shared" si="42"/>
        <v>3</v>
      </c>
      <c r="AD218" s="1"/>
      <c r="AE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1.0</v>
      </c>
      <c r="K219" s="19">
        <v>0.0</v>
      </c>
      <c r="L219" s="19">
        <v>1.0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1.0</v>
      </c>
      <c r="U219" s="19">
        <v>0.0</v>
      </c>
      <c r="V219" s="19">
        <v>1.0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1.0</v>
      </c>
      <c r="AC219" s="13">
        <f t="shared" si="42"/>
        <v>5</v>
      </c>
      <c r="AD219" s="52"/>
      <c r="AE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1.0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1.0</v>
      </c>
      <c r="T220" s="19">
        <v>0.0</v>
      </c>
      <c r="U220" s="19">
        <v>0.0</v>
      </c>
      <c r="V220" s="19">
        <v>0.0</v>
      </c>
      <c r="W220" s="19">
        <v>1.0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3">
        <f t="shared" si="42"/>
        <v>3</v>
      </c>
      <c r="AD220" s="5"/>
      <c r="AE220" s="5"/>
    </row>
    <row r="221" ht="12.75" customHeight="1">
      <c r="A221" s="18"/>
      <c r="B221" s="71"/>
      <c r="C221" s="72"/>
      <c r="D221" s="7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5"/>
      <c r="AE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79"/>
      <c r="AD222" s="5"/>
      <c r="AE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C223" si="43">SUM(E213:E222)</f>
        <v>13</v>
      </c>
      <c r="F223" s="13">
        <f t="shared" si="43"/>
        <v>3</v>
      </c>
      <c r="G223" s="13">
        <f t="shared" si="43"/>
        <v>4</v>
      </c>
      <c r="H223" s="13">
        <f t="shared" si="43"/>
        <v>2</v>
      </c>
      <c r="I223" s="13">
        <f t="shared" si="43"/>
        <v>6</v>
      </c>
      <c r="J223" s="13">
        <f t="shared" si="43"/>
        <v>5</v>
      </c>
      <c r="K223" s="13">
        <f t="shared" si="43"/>
        <v>6</v>
      </c>
      <c r="L223" s="13">
        <f t="shared" si="43"/>
        <v>5</v>
      </c>
      <c r="M223" s="13">
        <f t="shared" si="43"/>
        <v>9</v>
      </c>
      <c r="N223" s="13">
        <f t="shared" si="43"/>
        <v>11</v>
      </c>
      <c r="O223" s="13">
        <f t="shared" si="43"/>
        <v>3</v>
      </c>
      <c r="P223" s="13">
        <f t="shared" si="43"/>
        <v>7</v>
      </c>
      <c r="Q223" s="13">
        <f t="shared" si="43"/>
        <v>12</v>
      </c>
      <c r="R223" s="13">
        <f t="shared" si="43"/>
        <v>15</v>
      </c>
      <c r="S223" s="13">
        <f t="shared" si="43"/>
        <v>20</v>
      </c>
      <c r="T223" s="13">
        <f t="shared" si="43"/>
        <v>4</v>
      </c>
      <c r="U223" s="13">
        <f t="shared" si="43"/>
        <v>8</v>
      </c>
      <c r="V223" s="13">
        <f t="shared" si="43"/>
        <v>8</v>
      </c>
      <c r="W223" s="13">
        <f t="shared" si="43"/>
        <v>13</v>
      </c>
      <c r="X223" s="13">
        <f t="shared" si="43"/>
        <v>4</v>
      </c>
      <c r="Y223" s="13">
        <f t="shared" si="43"/>
        <v>3</v>
      </c>
      <c r="Z223" s="13">
        <f t="shared" si="43"/>
        <v>4</v>
      </c>
      <c r="AA223" s="13">
        <f t="shared" si="43"/>
        <v>2</v>
      </c>
      <c r="AB223" s="13">
        <f t="shared" si="43"/>
        <v>3</v>
      </c>
      <c r="AC223" s="13">
        <f t="shared" si="43"/>
        <v>170</v>
      </c>
      <c r="AD223" s="5"/>
      <c r="AE223" s="5"/>
    </row>
    <row r="224" ht="12.75" customHeight="1">
      <c r="A224" s="24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5"/>
      <c r="AE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2.0</v>
      </c>
      <c r="L225" s="19">
        <v>0.0</v>
      </c>
      <c r="M225" s="19">
        <v>0.0</v>
      </c>
      <c r="N225" s="19">
        <v>2.0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2.0</v>
      </c>
      <c r="U225" s="19">
        <v>1.0</v>
      </c>
      <c r="V225" s="19">
        <v>0.0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0.0</v>
      </c>
      <c r="AC225" s="13">
        <f t="shared" ref="AC225:AC232" si="44">SUM(E225:AB225)</f>
        <v>7</v>
      </c>
      <c r="AD225" s="5"/>
      <c r="AE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2.0</v>
      </c>
      <c r="F226" s="19">
        <v>3.0</v>
      </c>
      <c r="G226" s="19">
        <v>0.0</v>
      </c>
      <c r="H226" s="19">
        <v>0.0</v>
      </c>
      <c r="I226" s="19">
        <v>0.0</v>
      </c>
      <c r="J226" s="19">
        <v>8.0</v>
      </c>
      <c r="K226" s="19">
        <v>1.0</v>
      </c>
      <c r="L226" s="19">
        <v>2.0</v>
      </c>
      <c r="M226" s="19">
        <v>1.0</v>
      </c>
      <c r="N226" s="19">
        <v>1.0</v>
      </c>
      <c r="O226" s="19">
        <v>1.0</v>
      </c>
      <c r="P226" s="19">
        <v>0.0</v>
      </c>
      <c r="Q226" s="19">
        <v>5.0</v>
      </c>
      <c r="R226" s="19">
        <v>0.0</v>
      </c>
      <c r="S226" s="19">
        <v>0.0</v>
      </c>
      <c r="T226" s="19">
        <v>0.0</v>
      </c>
      <c r="U226" s="19">
        <v>4.0</v>
      </c>
      <c r="V226" s="19">
        <v>1.0</v>
      </c>
      <c r="W226" s="19">
        <v>0.0</v>
      </c>
      <c r="X226" s="19">
        <v>0.0</v>
      </c>
      <c r="Y226" s="19">
        <v>0.0</v>
      </c>
      <c r="Z226" s="19">
        <v>0.0</v>
      </c>
      <c r="AA226" s="19">
        <v>1.0</v>
      </c>
      <c r="AB226" s="19">
        <v>0.0</v>
      </c>
      <c r="AC226" s="13">
        <f t="shared" si="44"/>
        <v>30</v>
      </c>
      <c r="AD226" s="5"/>
      <c r="AE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3">
        <f t="shared" si="44"/>
        <v>0</v>
      </c>
      <c r="AD227" s="5"/>
      <c r="AE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3">
        <f t="shared" si="44"/>
        <v>0</v>
      </c>
      <c r="AD228" s="5"/>
      <c r="AE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1.0</v>
      </c>
      <c r="Z229" s="19">
        <v>0.0</v>
      </c>
      <c r="AA229" s="19">
        <v>0.0</v>
      </c>
      <c r="AB229" s="19">
        <v>0.0</v>
      </c>
      <c r="AC229" s="13">
        <f t="shared" si="44"/>
        <v>1</v>
      </c>
      <c r="AD229" s="1"/>
      <c r="AE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3">
        <f t="shared" si="44"/>
        <v>0</v>
      </c>
      <c r="AD230" s="52"/>
      <c r="AE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3">
        <f t="shared" si="44"/>
        <v>0</v>
      </c>
      <c r="AD231" s="5"/>
      <c r="AE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1.0</v>
      </c>
      <c r="J232" s="19">
        <v>1.0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1.0</v>
      </c>
      <c r="W232" s="19">
        <v>1.0</v>
      </c>
      <c r="X232" s="19">
        <v>0.0</v>
      </c>
      <c r="Y232" s="19">
        <v>0.0</v>
      </c>
      <c r="Z232" s="19">
        <v>0.0</v>
      </c>
      <c r="AA232" s="19">
        <v>1.0</v>
      </c>
      <c r="AB232" s="19">
        <v>1.0</v>
      </c>
      <c r="AC232" s="13">
        <f t="shared" si="44"/>
        <v>6</v>
      </c>
      <c r="AD232" s="5"/>
      <c r="AE232" s="5"/>
    </row>
    <row r="233" ht="12.75" customHeight="1">
      <c r="A233" s="18"/>
      <c r="B233" s="71"/>
      <c r="C233" s="72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5"/>
      <c r="AE233" s="5"/>
    </row>
    <row r="234" ht="12.75" customHeight="1">
      <c r="A234" s="18"/>
      <c r="B234" s="71"/>
      <c r="C234" s="72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79"/>
      <c r="AD234" s="5"/>
      <c r="AE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C235" si="45">SUM(E225:E234)</f>
        <v>2</v>
      </c>
      <c r="F235" s="13">
        <f t="shared" si="45"/>
        <v>3</v>
      </c>
      <c r="G235" s="13">
        <f t="shared" si="45"/>
        <v>0</v>
      </c>
      <c r="H235" s="13">
        <f t="shared" si="45"/>
        <v>0</v>
      </c>
      <c r="I235" s="13">
        <f t="shared" si="45"/>
        <v>1</v>
      </c>
      <c r="J235" s="13">
        <f t="shared" si="45"/>
        <v>9</v>
      </c>
      <c r="K235" s="13">
        <f t="shared" si="45"/>
        <v>3</v>
      </c>
      <c r="L235" s="13">
        <f t="shared" si="45"/>
        <v>2</v>
      </c>
      <c r="M235" s="13">
        <f t="shared" si="45"/>
        <v>1</v>
      </c>
      <c r="N235" s="13">
        <f t="shared" si="45"/>
        <v>3</v>
      </c>
      <c r="O235" s="13">
        <f t="shared" si="45"/>
        <v>1</v>
      </c>
      <c r="P235" s="13">
        <f t="shared" si="45"/>
        <v>0</v>
      </c>
      <c r="Q235" s="13">
        <f t="shared" si="45"/>
        <v>5</v>
      </c>
      <c r="R235" s="13">
        <f t="shared" si="45"/>
        <v>0</v>
      </c>
      <c r="S235" s="13">
        <f t="shared" si="45"/>
        <v>0</v>
      </c>
      <c r="T235" s="13">
        <f t="shared" si="45"/>
        <v>2</v>
      </c>
      <c r="U235" s="13">
        <f t="shared" si="45"/>
        <v>5</v>
      </c>
      <c r="V235" s="13">
        <f t="shared" si="45"/>
        <v>2</v>
      </c>
      <c r="W235" s="13">
        <f t="shared" si="45"/>
        <v>1</v>
      </c>
      <c r="X235" s="13">
        <f t="shared" si="45"/>
        <v>0</v>
      </c>
      <c r="Y235" s="13">
        <f t="shared" si="45"/>
        <v>1</v>
      </c>
      <c r="Z235" s="13">
        <f t="shared" si="45"/>
        <v>0</v>
      </c>
      <c r="AA235" s="13">
        <f t="shared" si="45"/>
        <v>2</v>
      </c>
      <c r="AB235" s="13">
        <f t="shared" si="45"/>
        <v>1</v>
      </c>
      <c r="AC235" s="13">
        <f t="shared" si="45"/>
        <v>44</v>
      </c>
      <c r="AD235" s="5"/>
      <c r="AE235" s="5"/>
    </row>
    <row r="236" ht="12.75" customHeight="1">
      <c r="A236" s="24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5"/>
      <c r="AE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2.0</v>
      </c>
      <c r="F237" s="19">
        <v>0.0</v>
      </c>
      <c r="G237" s="19">
        <v>2.0</v>
      </c>
      <c r="H237" s="19">
        <v>0.0</v>
      </c>
      <c r="I237" s="19">
        <v>1.0</v>
      </c>
      <c r="J237" s="19">
        <v>0.0</v>
      </c>
      <c r="K237" s="19">
        <v>1.0</v>
      </c>
      <c r="L237" s="19">
        <v>0.0</v>
      </c>
      <c r="M237" s="19">
        <v>1.0</v>
      </c>
      <c r="N237" s="19">
        <v>0.0</v>
      </c>
      <c r="O237" s="19">
        <v>0.0</v>
      </c>
      <c r="P237" s="19">
        <v>1.0</v>
      </c>
      <c r="Q237" s="19">
        <v>1.0</v>
      </c>
      <c r="R237" s="19">
        <v>1.0</v>
      </c>
      <c r="S237" s="19">
        <v>1.0</v>
      </c>
      <c r="T237" s="19">
        <v>0.0</v>
      </c>
      <c r="U237" s="19">
        <v>0.0</v>
      </c>
      <c r="V237" s="19">
        <v>0.0</v>
      </c>
      <c r="W237" s="19">
        <v>2.0</v>
      </c>
      <c r="X237" s="19">
        <v>1.0</v>
      </c>
      <c r="Y237" s="19">
        <v>1.0</v>
      </c>
      <c r="Z237" s="19">
        <v>3.0</v>
      </c>
      <c r="AA237" s="19">
        <v>0.0</v>
      </c>
      <c r="AB237" s="19">
        <v>0.0</v>
      </c>
      <c r="AC237" s="13">
        <f t="shared" ref="AC237:AC244" si="46">SUM(E237:AB237)</f>
        <v>18</v>
      </c>
      <c r="AD237" s="5"/>
      <c r="AE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0.0</v>
      </c>
      <c r="G238" s="19">
        <v>0.0</v>
      </c>
      <c r="H238" s="19">
        <v>0.0</v>
      </c>
      <c r="I238" s="19">
        <v>1.0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2.0</v>
      </c>
      <c r="P238" s="19">
        <v>2.0</v>
      </c>
      <c r="Q238" s="19">
        <v>1.0</v>
      </c>
      <c r="R238" s="19">
        <v>0.0</v>
      </c>
      <c r="S238" s="19">
        <v>0.0</v>
      </c>
      <c r="T238" s="19">
        <v>0.0</v>
      </c>
      <c r="U238" s="19">
        <v>0.0</v>
      </c>
      <c r="V238" s="19">
        <v>0.0</v>
      </c>
      <c r="W238" s="19">
        <v>2.0</v>
      </c>
      <c r="X238" s="19">
        <v>0.0</v>
      </c>
      <c r="Y238" s="19">
        <v>0.0</v>
      </c>
      <c r="Z238" s="19">
        <v>0.0</v>
      </c>
      <c r="AA238" s="19">
        <v>0.0</v>
      </c>
      <c r="AB238" s="19">
        <v>1.0</v>
      </c>
      <c r="AC238" s="13">
        <f t="shared" si="46"/>
        <v>9</v>
      </c>
      <c r="AD238" s="5"/>
      <c r="AE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0.0</v>
      </c>
      <c r="G239" s="19">
        <v>0.0</v>
      </c>
      <c r="H239" s="19">
        <v>1.0</v>
      </c>
      <c r="I239" s="19">
        <v>2.0</v>
      </c>
      <c r="J239" s="19">
        <v>0.0</v>
      </c>
      <c r="K239" s="19">
        <v>0.0</v>
      </c>
      <c r="L239" s="19">
        <v>0.0</v>
      </c>
      <c r="M239" s="19">
        <v>0.0</v>
      </c>
      <c r="N239" s="19">
        <v>0.0</v>
      </c>
      <c r="O239" s="19">
        <v>0.0</v>
      </c>
      <c r="P239" s="19">
        <v>1.0</v>
      </c>
      <c r="Q239" s="19">
        <v>3.0</v>
      </c>
      <c r="R239" s="19">
        <v>0.0</v>
      </c>
      <c r="S239" s="19">
        <v>1.0</v>
      </c>
      <c r="T239" s="19">
        <v>0.0</v>
      </c>
      <c r="U239" s="19">
        <v>0.0</v>
      </c>
      <c r="V239" s="19">
        <v>0.0</v>
      </c>
      <c r="W239" s="19">
        <v>0.0</v>
      </c>
      <c r="X239" s="19">
        <v>0.0</v>
      </c>
      <c r="Y239" s="19">
        <v>1.0</v>
      </c>
      <c r="Z239" s="19">
        <v>0.0</v>
      </c>
      <c r="AA239" s="19">
        <v>0.0</v>
      </c>
      <c r="AB239" s="19">
        <v>0.0</v>
      </c>
      <c r="AC239" s="13">
        <f t="shared" si="46"/>
        <v>9</v>
      </c>
      <c r="AD239" s="5"/>
      <c r="AE239" s="5"/>
    </row>
    <row r="240" ht="12.75" customHeight="1">
      <c r="A240" s="18"/>
      <c r="B240" s="55">
        <v>3.0</v>
      </c>
      <c r="C240" s="50" t="s">
        <v>177</v>
      </c>
      <c r="D240" s="57"/>
      <c r="E240" s="19">
        <v>1.0</v>
      </c>
      <c r="F240" s="19">
        <v>1.0</v>
      </c>
      <c r="G240" s="19">
        <v>1.0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1.0</v>
      </c>
      <c r="O240" s="19">
        <v>1.0</v>
      </c>
      <c r="P240" s="19">
        <v>0.0</v>
      </c>
      <c r="Q240" s="19">
        <v>1.0</v>
      </c>
      <c r="R240" s="19">
        <v>0.0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1.0</v>
      </c>
      <c r="Z240" s="19">
        <v>0.0</v>
      </c>
      <c r="AA240" s="19">
        <v>0.0</v>
      </c>
      <c r="AB240" s="19">
        <v>0.0</v>
      </c>
      <c r="AC240" s="13">
        <f t="shared" si="46"/>
        <v>7</v>
      </c>
      <c r="AD240" s="1"/>
      <c r="AE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1.0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3">
        <f t="shared" si="46"/>
        <v>1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1.0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1.0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3">
        <f t="shared" si="46"/>
        <v>2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1.0</v>
      </c>
      <c r="J243" s="19">
        <v>0.0</v>
      </c>
      <c r="K243" s="19">
        <v>0.0</v>
      </c>
      <c r="L243" s="19">
        <v>1.0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1.0</v>
      </c>
      <c r="Z243" s="19">
        <v>0.0</v>
      </c>
      <c r="AA243" s="19">
        <v>2.0</v>
      </c>
      <c r="AB243" s="19">
        <v>0.0</v>
      </c>
      <c r="AC243" s="13">
        <f t="shared" si="46"/>
        <v>5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2.0</v>
      </c>
      <c r="F244" s="19">
        <v>0.0</v>
      </c>
      <c r="G244" s="19">
        <v>72.0</v>
      </c>
      <c r="H244" s="19">
        <v>16.0</v>
      </c>
      <c r="I244" s="19">
        <v>22.0</v>
      </c>
      <c r="J244" s="19">
        <v>3.0</v>
      </c>
      <c r="K244" s="19">
        <v>1.0</v>
      </c>
      <c r="L244" s="19">
        <v>1.0</v>
      </c>
      <c r="M244" s="19">
        <v>2.0</v>
      </c>
      <c r="N244" s="19">
        <v>1.0</v>
      </c>
      <c r="O244" s="19">
        <v>0.0</v>
      </c>
      <c r="P244" s="19">
        <v>5.0</v>
      </c>
      <c r="Q244" s="19">
        <v>20.0</v>
      </c>
      <c r="R244" s="19">
        <v>2.0</v>
      </c>
      <c r="S244" s="19">
        <v>1.0</v>
      </c>
      <c r="T244" s="19">
        <v>1.0</v>
      </c>
      <c r="U244" s="19">
        <v>0.0</v>
      </c>
      <c r="V244" s="19">
        <v>8.0</v>
      </c>
      <c r="W244" s="19">
        <v>2.0</v>
      </c>
      <c r="X244" s="19">
        <v>0.0</v>
      </c>
      <c r="Y244" s="19">
        <v>12.0</v>
      </c>
      <c r="Z244" s="19">
        <v>8.0</v>
      </c>
      <c r="AA244" s="19">
        <v>6.0</v>
      </c>
      <c r="AB244" s="19">
        <v>3.0</v>
      </c>
      <c r="AC244" s="13">
        <f t="shared" si="46"/>
        <v>188</v>
      </c>
    </row>
    <row r="245" ht="12.75" customHeight="1">
      <c r="A245" s="18"/>
      <c r="B245" s="71"/>
      <c r="C245" s="72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</row>
    <row r="246" ht="12.75" customHeight="1">
      <c r="A246" s="18"/>
      <c r="B246" s="71"/>
      <c r="C246" s="72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79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C247" si="47">SUM(E237:E246)</f>
        <v>5</v>
      </c>
      <c r="F247" s="13">
        <f t="shared" si="47"/>
        <v>1</v>
      </c>
      <c r="G247" s="13">
        <f t="shared" si="47"/>
        <v>76</v>
      </c>
      <c r="H247" s="13">
        <f t="shared" si="47"/>
        <v>17</v>
      </c>
      <c r="I247" s="13">
        <f t="shared" si="47"/>
        <v>28</v>
      </c>
      <c r="J247" s="13">
        <f t="shared" si="47"/>
        <v>3</v>
      </c>
      <c r="K247" s="13">
        <f t="shared" si="47"/>
        <v>2</v>
      </c>
      <c r="L247" s="13">
        <f t="shared" si="47"/>
        <v>2</v>
      </c>
      <c r="M247" s="13">
        <f t="shared" si="47"/>
        <v>3</v>
      </c>
      <c r="N247" s="13">
        <f t="shared" si="47"/>
        <v>2</v>
      </c>
      <c r="O247" s="13">
        <f t="shared" si="47"/>
        <v>3</v>
      </c>
      <c r="P247" s="13">
        <f t="shared" si="47"/>
        <v>9</v>
      </c>
      <c r="Q247" s="13">
        <f t="shared" si="47"/>
        <v>26</v>
      </c>
      <c r="R247" s="13">
        <f t="shared" si="47"/>
        <v>3</v>
      </c>
      <c r="S247" s="13">
        <f t="shared" si="47"/>
        <v>3</v>
      </c>
      <c r="T247" s="13">
        <f t="shared" si="47"/>
        <v>1</v>
      </c>
      <c r="U247" s="13">
        <f t="shared" si="47"/>
        <v>0</v>
      </c>
      <c r="V247" s="13">
        <f t="shared" si="47"/>
        <v>8</v>
      </c>
      <c r="W247" s="13">
        <f t="shared" si="47"/>
        <v>7</v>
      </c>
      <c r="X247" s="13">
        <f t="shared" si="47"/>
        <v>1</v>
      </c>
      <c r="Y247" s="13">
        <f t="shared" si="47"/>
        <v>16</v>
      </c>
      <c r="Z247" s="13">
        <f t="shared" si="47"/>
        <v>11</v>
      </c>
      <c r="AA247" s="13">
        <f t="shared" si="47"/>
        <v>8</v>
      </c>
      <c r="AB247" s="13">
        <f t="shared" si="47"/>
        <v>4</v>
      </c>
      <c r="AC247" s="13">
        <f t="shared" si="47"/>
        <v>239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1.0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1.0</v>
      </c>
      <c r="N249" s="19">
        <v>4.0</v>
      </c>
      <c r="O249" s="19">
        <v>2.0</v>
      </c>
      <c r="P249" s="19">
        <v>3.0</v>
      </c>
      <c r="Q249" s="19">
        <v>0.0</v>
      </c>
      <c r="R249" s="19">
        <v>0.0</v>
      </c>
      <c r="S249" s="19">
        <v>0.0</v>
      </c>
      <c r="T249" s="19">
        <v>1.0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9">
        <v>0.0</v>
      </c>
      <c r="AC249" s="13">
        <f t="shared" ref="AC249:AC255" si="48">SUM(E249:AB249)</f>
        <v>12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1.0</v>
      </c>
      <c r="N250" s="19">
        <v>1.0</v>
      </c>
      <c r="O250" s="19">
        <v>0.0</v>
      </c>
      <c r="P250" s="19">
        <v>1.0</v>
      </c>
      <c r="Q250" s="19">
        <v>1.0</v>
      </c>
      <c r="R250" s="19">
        <v>1.0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3">
        <f t="shared" si="48"/>
        <v>5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1.0</v>
      </c>
      <c r="Y251" s="19">
        <v>0.0</v>
      </c>
      <c r="Z251" s="19">
        <v>0.0</v>
      </c>
      <c r="AA251" s="19">
        <v>0.0</v>
      </c>
      <c r="AB251" s="19">
        <v>0.0</v>
      </c>
      <c r="AC251" s="13">
        <f t="shared" si="48"/>
        <v>1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1.0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3">
        <f t="shared" si="48"/>
        <v>1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1.0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3">
        <f t="shared" si="48"/>
        <v>1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1.0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3">
        <f t="shared" si="48"/>
        <v>1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1.0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3">
        <f t="shared" si="48"/>
        <v>1</v>
      </c>
    </row>
    <row r="256" ht="12.75" customHeight="1">
      <c r="A256" s="18"/>
      <c r="B256" s="71"/>
      <c r="C256" s="76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</row>
    <row r="257" ht="12.75" customHeight="1">
      <c r="A257" s="18"/>
      <c r="B257" s="71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79"/>
    </row>
    <row r="258" ht="12.75" customHeight="1">
      <c r="A258" s="18"/>
      <c r="B258" s="71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79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C259" si="49">SUM(E249:E258)</f>
        <v>1</v>
      </c>
      <c r="F259" s="13">
        <f t="shared" si="49"/>
        <v>0</v>
      </c>
      <c r="G259" s="13">
        <f t="shared" si="49"/>
        <v>1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4</v>
      </c>
      <c r="N259" s="13">
        <f t="shared" si="49"/>
        <v>5</v>
      </c>
      <c r="O259" s="13">
        <f t="shared" si="49"/>
        <v>3</v>
      </c>
      <c r="P259" s="13">
        <f t="shared" si="49"/>
        <v>4</v>
      </c>
      <c r="Q259" s="13">
        <f t="shared" si="49"/>
        <v>1</v>
      </c>
      <c r="R259" s="13">
        <f t="shared" si="49"/>
        <v>1</v>
      </c>
      <c r="S259" s="13">
        <f t="shared" si="49"/>
        <v>0</v>
      </c>
      <c r="T259" s="13">
        <f t="shared" si="49"/>
        <v>1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1</v>
      </c>
      <c r="Y259" s="13">
        <f t="shared" si="49"/>
        <v>0</v>
      </c>
      <c r="Z259" s="13">
        <f t="shared" si="49"/>
        <v>0</v>
      </c>
      <c r="AA259" s="13">
        <f t="shared" si="49"/>
        <v>0</v>
      </c>
      <c r="AB259" s="13">
        <f t="shared" si="49"/>
        <v>0</v>
      </c>
      <c r="AC259" s="13">
        <f t="shared" si="49"/>
        <v>22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B262" si="50">E55+E67+E79+E91+E103+E115+E127+E139+E151+E163+E175+E187+E199+E211+E223+E235+E247+E259</f>
        <v>155</v>
      </c>
      <c r="F262" s="19">
        <f t="shared" si="50"/>
        <v>140</v>
      </c>
      <c r="G262" s="19">
        <f t="shared" si="50"/>
        <v>209</v>
      </c>
      <c r="H262" s="19">
        <f t="shared" si="50"/>
        <v>180</v>
      </c>
      <c r="I262" s="19">
        <f t="shared" si="50"/>
        <v>198</v>
      </c>
      <c r="J262" s="19">
        <f t="shared" si="50"/>
        <v>196</v>
      </c>
      <c r="K262" s="19">
        <f t="shared" si="50"/>
        <v>206</v>
      </c>
      <c r="L262" s="19">
        <f t="shared" si="50"/>
        <v>137</v>
      </c>
      <c r="M262" s="19">
        <f t="shared" si="50"/>
        <v>184</v>
      </c>
      <c r="N262" s="19">
        <f t="shared" si="50"/>
        <v>215</v>
      </c>
      <c r="O262" s="19">
        <f t="shared" si="50"/>
        <v>201</v>
      </c>
      <c r="P262" s="19">
        <f t="shared" si="50"/>
        <v>208</v>
      </c>
      <c r="Q262" s="19">
        <f t="shared" si="50"/>
        <v>209</v>
      </c>
      <c r="R262" s="19">
        <f t="shared" si="50"/>
        <v>200</v>
      </c>
      <c r="S262" s="19">
        <f t="shared" si="50"/>
        <v>151</v>
      </c>
      <c r="T262" s="19">
        <f t="shared" si="50"/>
        <v>188</v>
      </c>
      <c r="U262" s="19">
        <f t="shared" si="50"/>
        <v>157</v>
      </c>
      <c r="V262" s="19">
        <f t="shared" si="50"/>
        <v>162</v>
      </c>
      <c r="W262" s="19">
        <f t="shared" si="50"/>
        <v>166</v>
      </c>
      <c r="X262" s="19">
        <f t="shared" si="50"/>
        <v>154</v>
      </c>
      <c r="Y262" s="19">
        <f t="shared" si="50"/>
        <v>220</v>
      </c>
      <c r="Z262" s="19">
        <f t="shared" si="50"/>
        <v>202</v>
      </c>
      <c r="AA262" s="19">
        <f t="shared" si="50"/>
        <v>188</v>
      </c>
      <c r="AB262" s="19">
        <f t="shared" si="50"/>
        <v>213</v>
      </c>
      <c r="AC262" s="13">
        <f t="shared" ref="AC262:AC264" si="51">SUM(E262:AB262)</f>
        <v>4439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26.0</v>
      </c>
      <c r="F263" s="19">
        <v>23.0</v>
      </c>
      <c r="G263" s="19">
        <v>14.0</v>
      </c>
      <c r="H263" s="19">
        <v>13.0</v>
      </c>
      <c r="I263" s="19">
        <v>12.0</v>
      </c>
      <c r="J263" s="19">
        <v>22.0</v>
      </c>
      <c r="K263" s="19">
        <v>11.0</v>
      </c>
      <c r="L263" s="19">
        <v>34.0</v>
      </c>
      <c r="M263" s="19">
        <v>26.0</v>
      </c>
      <c r="N263" s="19">
        <v>23.0</v>
      </c>
      <c r="O263" s="19">
        <v>28.0</v>
      </c>
      <c r="P263" s="19">
        <v>28.0</v>
      </c>
      <c r="Q263" s="19">
        <v>26.0</v>
      </c>
      <c r="R263" s="19">
        <v>25.0</v>
      </c>
      <c r="S263" s="19">
        <v>33.0</v>
      </c>
      <c r="T263" s="19">
        <v>14.0</v>
      </c>
      <c r="U263" s="19">
        <v>34.0</v>
      </c>
      <c r="V263" s="19">
        <v>48.0</v>
      </c>
      <c r="W263" s="19">
        <v>20.0</v>
      </c>
      <c r="X263" s="19">
        <v>25.0</v>
      </c>
      <c r="Y263" s="19">
        <v>9.0</v>
      </c>
      <c r="Z263" s="19">
        <v>23.0</v>
      </c>
      <c r="AA263" s="19">
        <v>13.0</v>
      </c>
      <c r="AB263" s="19">
        <v>19.0</v>
      </c>
      <c r="AC263" s="13">
        <f t="shared" si="51"/>
        <v>549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B264" si="52">SUM(E262:E263)</f>
        <v>181</v>
      </c>
      <c r="F264" s="13">
        <f t="shared" si="52"/>
        <v>163</v>
      </c>
      <c r="G264" s="13">
        <f t="shared" si="52"/>
        <v>223</v>
      </c>
      <c r="H264" s="13">
        <f t="shared" si="52"/>
        <v>193</v>
      </c>
      <c r="I264" s="13">
        <f t="shared" si="52"/>
        <v>210</v>
      </c>
      <c r="J264" s="13">
        <f t="shared" si="52"/>
        <v>218</v>
      </c>
      <c r="K264" s="13">
        <f t="shared" si="52"/>
        <v>217</v>
      </c>
      <c r="L264" s="13">
        <f t="shared" si="52"/>
        <v>171</v>
      </c>
      <c r="M264" s="13">
        <f t="shared" si="52"/>
        <v>210</v>
      </c>
      <c r="N264" s="13">
        <f t="shared" si="52"/>
        <v>238</v>
      </c>
      <c r="O264" s="13">
        <f t="shared" si="52"/>
        <v>229</v>
      </c>
      <c r="P264" s="13">
        <f t="shared" si="52"/>
        <v>236</v>
      </c>
      <c r="Q264" s="13">
        <f t="shared" si="52"/>
        <v>235</v>
      </c>
      <c r="R264" s="13">
        <f t="shared" si="52"/>
        <v>225</v>
      </c>
      <c r="S264" s="13">
        <f t="shared" si="52"/>
        <v>184</v>
      </c>
      <c r="T264" s="13">
        <f t="shared" si="52"/>
        <v>202</v>
      </c>
      <c r="U264" s="13">
        <f t="shared" si="52"/>
        <v>191</v>
      </c>
      <c r="V264" s="13">
        <f t="shared" si="52"/>
        <v>210</v>
      </c>
      <c r="W264" s="13">
        <f t="shared" si="52"/>
        <v>186</v>
      </c>
      <c r="X264" s="13">
        <f t="shared" si="52"/>
        <v>179</v>
      </c>
      <c r="Y264" s="13">
        <f t="shared" si="52"/>
        <v>229</v>
      </c>
      <c r="Z264" s="13">
        <f t="shared" si="52"/>
        <v>225</v>
      </c>
      <c r="AA264" s="13">
        <f t="shared" si="52"/>
        <v>201</v>
      </c>
      <c r="AB264" s="13">
        <f t="shared" si="52"/>
        <v>232</v>
      </c>
      <c r="AC264" s="13">
        <f t="shared" si="51"/>
        <v>4988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B12"/>
    <mergeCell ref="AC12:AC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T34">
    <cfRule type="expression" dxfId="0" priority="1">
      <formula>E34&lt;&gt;E64</formula>
    </cfRule>
  </conditionalFormatting>
  <conditionalFormatting sqref="E14:AB15">
    <cfRule type="containsBlanks" dxfId="1" priority="2">
      <formula>LEN(TRIM(E14))=0</formula>
    </cfRule>
  </conditionalFormatting>
  <conditionalFormatting sqref="E19:AB20">
    <cfRule type="containsBlanks" dxfId="1" priority="3">
      <formula>LEN(TRIM(E19))=0</formula>
    </cfRule>
  </conditionalFormatting>
  <conditionalFormatting sqref="E22:AB23 E25:AB26 E33:AB33 E35:AB35 E39:AB40">
    <cfRule type="containsBlanks" dxfId="1" priority="4">
      <formula>LEN(TRIM(E22))=0</formula>
    </cfRule>
  </conditionalFormatting>
  <conditionalFormatting sqref="E30:AB30">
    <cfRule type="expression" dxfId="0" priority="5">
      <formula>E30&lt;&gt;E47</formula>
    </cfRule>
  </conditionalFormatting>
  <conditionalFormatting sqref="E30:AB30">
    <cfRule type="expression" dxfId="0" priority="6">
      <formula>E30&lt;&gt;E34</formula>
    </cfRule>
  </conditionalFormatting>
  <conditionalFormatting sqref="E34:AB34">
    <cfRule type="expression" dxfId="2" priority="7">
      <formula>E30&lt;&gt;E34</formula>
    </cfRule>
  </conditionalFormatting>
  <conditionalFormatting sqref="E34:AB34">
    <cfRule type="expression" dxfId="3" priority="8">
      <formula>E30=E34</formula>
    </cfRule>
  </conditionalFormatting>
  <conditionalFormatting sqref="E34:AB34">
    <cfRule type="expression" dxfId="0" priority="9">
      <formula>E34&lt;&gt;E30</formula>
    </cfRule>
  </conditionalFormatting>
  <conditionalFormatting sqref="E45:AB54">
    <cfRule type="containsBlanks" dxfId="1" priority="10">
      <formula>LEN(TRIM(E45))=0</formula>
    </cfRule>
  </conditionalFormatting>
  <conditionalFormatting sqref="E57:AB66">
    <cfRule type="containsBlanks" dxfId="1" priority="11">
      <formula>LEN(TRIM(E57))=0</formula>
    </cfRule>
  </conditionalFormatting>
  <conditionalFormatting sqref="E69:AB78">
    <cfRule type="containsBlanks" dxfId="1" priority="12">
      <formula>LEN(TRIM(E69))=0</formula>
    </cfRule>
  </conditionalFormatting>
  <conditionalFormatting sqref="E81:AB90">
    <cfRule type="containsBlanks" dxfId="1" priority="13">
      <formula>LEN(TRIM(E81))=0</formula>
    </cfRule>
  </conditionalFormatting>
  <conditionalFormatting sqref="E93:AB102">
    <cfRule type="containsBlanks" dxfId="1" priority="14">
      <formula>LEN(TRIM(E93))=0</formula>
    </cfRule>
  </conditionalFormatting>
  <conditionalFormatting sqref="E105:AB114">
    <cfRule type="containsBlanks" dxfId="1" priority="15">
      <formula>LEN(TRIM(E105))=0</formula>
    </cfRule>
  </conditionalFormatting>
  <conditionalFormatting sqref="E117:AB126">
    <cfRule type="containsBlanks" dxfId="1" priority="16">
      <formula>LEN(TRIM(E117))=0</formula>
    </cfRule>
  </conditionalFormatting>
  <conditionalFormatting sqref="E129:AB138">
    <cfRule type="containsBlanks" dxfId="1" priority="17">
      <formula>LEN(TRIM(E129))=0</formula>
    </cfRule>
  </conditionalFormatting>
  <conditionalFormatting sqref="E141:AB150">
    <cfRule type="containsBlanks" dxfId="1" priority="18">
      <formula>LEN(TRIM(E141))=0</formula>
    </cfRule>
  </conditionalFormatting>
  <conditionalFormatting sqref="E153:AB162">
    <cfRule type="containsBlanks" dxfId="1" priority="19">
      <formula>LEN(TRIM(E153))=0</formula>
    </cfRule>
  </conditionalFormatting>
  <conditionalFormatting sqref="E165:AB172 E173:AC173 E174:AB174">
    <cfRule type="containsBlanks" dxfId="1" priority="20">
      <formula>LEN(TRIM(E165))=0</formula>
    </cfRule>
  </conditionalFormatting>
  <conditionalFormatting sqref="E177:AB186">
    <cfRule type="containsBlanks" dxfId="1" priority="21">
      <formula>LEN(TRIM(E177))=0</formula>
    </cfRule>
  </conditionalFormatting>
  <conditionalFormatting sqref="E189:AB196 E198:AB198">
    <cfRule type="containsBlanks" dxfId="1" priority="22">
      <formula>LEN(TRIM(E189))=0</formula>
    </cfRule>
  </conditionalFormatting>
  <conditionalFormatting sqref="E201:AB208 E210:AB210">
    <cfRule type="containsBlanks" dxfId="1" priority="23">
      <formula>LEN(TRIM(E201))=0</formula>
    </cfRule>
  </conditionalFormatting>
  <conditionalFormatting sqref="E213:AB220 E222:AB222">
    <cfRule type="containsBlanks" dxfId="1" priority="24">
      <formula>LEN(TRIM(E213))=0</formula>
    </cfRule>
  </conditionalFormatting>
  <conditionalFormatting sqref="E225:AB232 E234:AB234">
    <cfRule type="containsBlanks" dxfId="1" priority="25">
      <formula>LEN(TRIM(E225))=0</formula>
    </cfRule>
  </conditionalFormatting>
  <conditionalFormatting sqref="E237:AB244 E246:AB246">
    <cfRule type="containsBlanks" dxfId="1" priority="26">
      <formula>LEN(TRIM(E237))=0</formula>
    </cfRule>
  </conditionalFormatting>
  <conditionalFormatting sqref="E249:AB255 E257:AB258">
    <cfRule type="containsBlanks" dxfId="1" priority="27">
      <formula>LEN(TRIM(E249))=0</formula>
    </cfRule>
  </conditionalFormatting>
  <conditionalFormatting sqref="E262:AB263">
    <cfRule type="containsBlanks" dxfId="1" priority="28">
      <formula>LEN(TRIM(E262))=0</formula>
    </cfRule>
  </conditionalFormatting>
  <conditionalFormatting sqref="U34:AB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  <col customWidth="1" min="29" max="3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6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219</v>
      </c>
      <c r="Z13" s="13" t="s">
        <v>220</v>
      </c>
      <c r="AA13" s="13" t="s">
        <v>221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19">
        <v>139.0</v>
      </c>
      <c r="F14" s="19">
        <v>131.0</v>
      </c>
      <c r="G14" s="19">
        <v>139.0</v>
      </c>
      <c r="H14" s="19">
        <v>147.0</v>
      </c>
      <c r="I14" s="19">
        <v>121.0</v>
      </c>
      <c r="J14" s="19">
        <v>145.0</v>
      </c>
      <c r="K14" s="19">
        <v>129.0</v>
      </c>
      <c r="L14" s="19">
        <v>152.0</v>
      </c>
      <c r="M14" s="19">
        <v>140.0</v>
      </c>
      <c r="N14" s="19">
        <v>130.0</v>
      </c>
      <c r="O14" s="19">
        <v>146.0</v>
      </c>
      <c r="P14" s="19">
        <v>129.0</v>
      </c>
      <c r="Q14" s="19">
        <v>122.0</v>
      </c>
      <c r="R14" s="19">
        <v>147.0</v>
      </c>
      <c r="S14" s="19">
        <v>147.0</v>
      </c>
      <c r="T14" s="19">
        <v>143.0</v>
      </c>
      <c r="U14" s="19">
        <v>120.0</v>
      </c>
      <c r="V14" s="19">
        <v>121.0</v>
      </c>
      <c r="W14" s="19">
        <v>113.0</v>
      </c>
      <c r="X14" s="19">
        <v>132.0</v>
      </c>
      <c r="Y14" s="19">
        <v>133.0</v>
      </c>
      <c r="Z14" s="19">
        <v>145.0</v>
      </c>
      <c r="AA14" s="19">
        <v>135.0</v>
      </c>
      <c r="AB14" s="13">
        <f t="shared" ref="AB14:AB16" si="1">SUM(E14:AA14)</f>
        <v>3106</v>
      </c>
    </row>
    <row r="15" ht="12.75" customHeight="1">
      <c r="A15" s="18"/>
      <c r="B15" s="26"/>
      <c r="C15" s="27"/>
      <c r="D15" s="19" t="s">
        <v>13</v>
      </c>
      <c r="E15" s="19">
        <v>143.0</v>
      </c>
      <c r="F15" s="19">
        <v>156.0</v>
      </c>
      <c r="G15" s="19">
        <v>137.0</v>
      </c>
      <c r="H15" s="19">
        <v>150.0</v>
      </c>
      <c r="I15" s="19">
        <v>147.0</v>
      </c>
      <c r="J15" s="19">
        <v>148.0</v>
      </c>
      <c r="K15" s="19">
        <v>125.0</v>
      </c>
      <c r="L15" s="19">
        <v>136.0</v>
      </c>
      <c r="M15" s="19">
        <v>153.0</v>
      </c>
      <c r="N15" s="19">
        <v>136.0</v>
      </c>
      <c r="O15" s="19">
        <v>137.0</v>
      </c>
      <c r="P15" s="19">
        <v>143.0</v>
      </c>
      <c r="Q15" s="19">
        <v>131.0</v>
      </c>
      <c r="R15" s="19">
        <v>140.0</v>
      </c>
      <c r="S15" s="19">
        <v>144.0</v>
      </c>
      <c r="T15" s="19">
        <v>133.0</v>
      </c>
      <c r="U15" s="19">
        <v>130.0</v>
      </c>
      <c r="V15" s="19">
        <v>115.0</v>
      </c>
      <c r="W15" s="19">
        <v>115.0</v>
      </c>
      <c r="X15" s="19">
        <v>138.0</v>
      </c>
      <c r="Y15" s="19">
        <v>129.0</v>
      </c>
      <c r="Z15" s="19">
        <v>142.0</v>
      </c>
      <c r="AA15" s="19">
        <v>145.0</v>
      </c>
      <c r="AB15" s="13">
        <f t="shared" si="1"/>
        <v>3173</v>
      </c>
    </row>
    <row r="16" ht="12.75" customHeight="1">
      <c r="A16" s="25"/>
      <c r="B16" s="21"/>
      <c r="C16" s="28"/>
      <c r="D16" s="13" t="s">
        <v>14</v>
      </c>
      <c r="E16" s="13">
        <f t="shared" ref="E16:AA16" si="2">SUM(E14:E15)</f>
        <v>282</v>
      </c>
      <c r="F16" s="13">
        <f t="shared" si="2"/>
        <v>287</v>
      </c>
      <c r="G16" s="13">
        <f t="shared" si="2"/>
        <v>276</v>
      </c>
      <c r="H16" s="13">
        <f t="shared" si="2"/>
        <v>297</v>
      </c>
      <c r="I16" s="13">
        <f t="shared" si="2"/>
        <v>268</v>
      </c>
      <c r="J16" s="13">
        <f t="shared" si="2"/>
        <v>293</v>
      </c>
      <c r="K16" s="13">
        <f t="shared" si="2"/>
        <v>254</v>
      </c>
      <c r="L16" s="13">
        <f t="shared" si="2"/>
        <v>288</v>
      </c>
      <c r="M16" s="13">
        <f t="shared" si="2"/>
        <v>293</v>
      </c>
      <c r="N16" s="13">
        <f t="shared" si="2"/>
        <v>266</v>
      </c>
      <c r="O16" s="13">
        <f t="shared" si="2"/>
        <v>283</v>
      </c>
      <c r="P16" s="13">
        <f t="shared" si="2"/>
        <v>272</v>
      </c>
      <c r="Q16" s="13">
        <f t="shared" si="2"/>
        <v>253</v>
      </c>
      <c r="R16" s="13">
        <f t="shared" si="2"/>
        <v>287</v>
      </c>
      <c r="S16" s="13">
        <f t="shared" si="2"/>
        <v>291</v>
      </c>
      <c r="T16" s="13">
        <f t="shared" si="2"/>
        <v>276</v>
      </c>
      <c r="U16" s="13">
        <f t="shared" si="2"/>
        <v>250</v>
      </c>
      <c r="V16" s="13">
        <f t="shared" si="2"/>
        <v>236</v>
      </c>
      <c r="W16" s="13">
        <f t="shared" si="2"/>
        <v>228</v>
      </c>
      <c r="X16" s="13">
        <f t="shared" si="2"/>
        <v>270</v>
      </c>
      <c r="Y16" s="13">
        <f t="shared" si="2"/>
        <v>262</v>
      </c>
      <c r="Z16" s="13">
        <f t="shared" si="2"/>
        <v>287</v>
      </c>
      <c r="AA16" s="13">
        <f t="shared" si="2"/>
        <v>280</v>
      </c>
      <c r="AB16" s="13">
        <f t="shared" si="1"/>
        <v>6279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7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7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96.0</v>
      </c>
      <c r="F19" s="19">
        <v>104.0</v>
      </c>
      <c r="G19" s="19">
        <v>101.0</v>
      </c>
      <c r="H19" s="19">
        <v>128.0</v>
      </c>
      <c r="I19" s="19">
        <v>93.0</v>
      </c>
      <c r="J19" s="19">
        <v>103.0</v>
      </c>
      <c r="K19" s="19">
        <v>92.0</v>
      </c>
      <c r="L19" s="19">
        <v>105.0</v>
      </c>
      <c r="M19" s="19">
        <v>99.0</v>
      </c>
      <c r="N19" s="19">
        <v>86.0</v>
      </c>
      <c r="O19" s="19">
        <v>113.0</v>
      </c>
      <c r="P19" s="19">
        <v>104.0</v>
      </c>
      <c r="Q19" s="19">
        <v>94.0</v>
      </c>
      <c r="R19" s="19">
        <v>96.0</v>
      </c>
      <c r="S19" s="19">
        <v>110.0</v>
      </c>
      <c r="T19" s="19">
        <v>108.0</v>
      </c>
      <c r="U19" s="19">
        <v>91.0</v>
      </c>
      <c r="V19" s="19">
        <v>85.0</v>
      </c>
      <c r="W19" s="19">
        <v>78.0</v>
      </c>
      <c r="X19" s="19">
        <v>88.0</v>
      </c>
      <c r="Y19" s="19">
        <v>105.0</v>
      </c>
      <c r="Z19" s="19">
        <v>112.0</v>
      </c>
      <c r="AA19" s="19">
        <v>100.0</v>
      </c>
      <c r="AB19" s="13">
        <f t="shared" ref="AB19:AB30" si="3">SUM(E19:AA19)</f>
        <v>2291</v>
      </c>
    </row>
    <row r="20" ht="12.75" customHeight="1">
      <c r="A20" s="33"/>
      <c r="B20" s="27"/>
      <c r="C20" s="34"/>
      <c r="D20" s="19" t="s">
        <v>13</v>
      </c>
      <c r="E20" s="19">
        <v>111.0</v>
      </c>
      <c r="F20" s="19">
        <v>126.0</v>
      </c>
      <c r="G20" s="19">
        <v>110.0</v>
      </c>
      <c r="H20" s="19">
        <v>134.0</v>
      </c>
      <c r="I20" s="19">
        <v>122.0</v>
      </c>
      <c r="J20" s="19">
        <v>122.0</v>
      </c>
      <c r="K20" s="19">
        <v>94.0</v>
      </c>
      <c r="L20" s="19">
        <v>103.0</v>
      </c>
      <c r="M20" s="19">
        <v>115.0</v>
      </c>
      <c r="N20" s="19">
        <v>105.0</v>
      </c>
      <c r="O20" s="19">
        <v>108.0</v>
      </c>
      <c r="P20" s="19">
        <v>105.0</v>
      </c>
      <c r="Q20" s="19">
        <v>108.0</v>
      </c>
      <c r="R20" s="19">
        <v>108.0</v>
      </c>
      <c r="S20" s="19">
        <v>115.0</v>
      </c>
      <c r="T20" s="19">
        <v>110.0</v>
      </c>
      <c r="U20" s="19">
        <v>104.0</v>
      </c>
      <c r="V20" s="19">
        <v>88.0</v>
      </c>
      <c r="W20" s="19">
        <v>101.0</v>
      </c>
      <c r="X20" s="19">
        <v>114.0</v>
      </c>
      <c r="Y20" s="19">
        <v>114.0</v>
      </c>
      <c r="Z20" s="19">
        <v>118.0</v>
      </c>
      <c r="AA20" s="19">
        <v>107.0</v>
      </c>
      <c r="AB20" s="13">
        <f t="shared" si="3"/>
        <v>2542</v>
      </c>
    </row>
    <row r="21" ht="12.75" customHeight="1">
      <c r="A21" s="35"/>
      <c r="B21" s="28"/>
      <c r="C21" s="36"/>
      <c r="D21" s="13" t="s">
        <v>14</v>
      </c>
      <c r="E21" s="13">
        <f t="shared" ref="E21:AA21" si="4">SUM(E19:E20)</f>
        <v>207</v>
      </c>
      <c r="F21" s="13">
        <f t="shared" si="4"/>
        <v>230</v>
      </c>
      <c r="G21" s="13">
        <f t="shared" si="4"/>
        <v>211</v>
      </c>
      <c r="H21" s="13">
        <f t="shared" si="4"/>
        <v>262</v>
      </c>
      <c r="I21" s="13">
        <f t="shared" si="4"/>
        <v>215</v>
      </c>
      <c r="J21" s="13">
        <f t="shared" si="4"/>
        <v>225</v>
      </c>
      <c r="K21" s="13">
        <f t="shared" si="4"/>
        <v>186</v>
      </c>
      <c r="L21" s="13">
        <f t="shared" si="4"/>
        <v>208</v>
      </c>
      <c r="M21" s="13">
        <f t="shared" si="4"/>
        <v>214</v>
      </c>
      <c r="N21" s="13">
        <f t="shared" si="4"/>
        <v>191</v>
      </c>
      <c r="O21" s="13">
        <f t="shared" si="4"/>
        <v>221</v>
      </c>
      <c r="P21" s="13">
        <f t="shared" si="4"/>
        <v>209</v>
      </c>
      <c r="Q21" s="13">
        <f t="shared" si="4"/>
        <v>202</v>
      </c>
      <c r="R21" s="13">
        <f t="shared" si="4"/>
        <v>204</v>
      </c>
      <c r="S21" s="13">
        <f t="shared" si="4"/>
        <v>225</v>
      </c>
      <c r="T21" s="13">
        <f t="shared" si="4"/>
        <v>218</v>
      </c>
      <c r="U21" s="13">
        <f t="shared" si="4"/>
        <v>195</v>
      </c>
      <c r="V21" s="13">
        <f t="shared" si="4"/>
        <v>173</v>
      </c>
      <c r="W21" s="13">
        <f t="shared" si="4"/>
        <v>179</v>
      </c>
      <c r="X21" s="13">
        <f t="shared" si="4"/>
        <v>202</v>
      </c>
      <c r="Y21" s="13">
        <f t="shared" si="4"/>
        <v>219</v>
      </c>
      <c r="Z21" s="13">
        <f t="shared" si="4"/>
        <v>230</v>
      </c>
      <c r="AA21" s="13">
        <f t="shared" si="4"/>
        <v>207</v>
      </c>
      <c r="AB21" s="13">
        <f t="shared" si="3"/>
        <v>4833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/>
      <c r="U22" s="19"/>
      <c r="V22" s="19"/>
      <c r="W22" s="19"/>
      <c r="X22" s="19"/>
      <c r="Y22" s="19"/>
      <c r="Z22" s="19"/>
      <c r="AA22" s="19"/>
      <c r="AB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3.0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/>
      <c r="U23" s="19"/>
      <c r="V23" s="19"/>
      <c r="W23" s="19"/>
      <c r="X23" s="19"/>
      <c r="Y23" s="19"/>
      <c r="Z23" s="19"/>
      <c r="AA23" s="19"/>
      <c r="AB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A24" si="5">SUM(E22:E23)</f>
        <v>0</v>
      </c>
      <c r="F24" s="13">
        <f t="shared" si="5"/>
        <v>3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2.0</v>
      </c>
      <c r="H25" s="19">
        <v>0.0</v>
      </c>
      <c r="I25" s="19">
        <v>5.0</v>
      </c>
      <c r="J25" s="19">
        <v>0.0</v>
      </c>
      <c r="K25" s="19">
        <v>0.0</v>
      </c>
      <c r="L25" s="19">
        <v>1.0</v>
      </c>
      <c r="M25" s="19">
        <v>1.0</v>
      </c>
      <c r="N25" s="19">
        <v>1.0</v>
      </c>
      <c r="O25" s="19">
        <v>2.0</v>
      </c>
      <c r="P25" s="19">
        <v>0.0</v>
      </c>
      <c r="Q25" s="19">
        <v>1.0</v>
      </c>
      <c r="R25" s="19">
        <v>1.0</v>
      </c>
      <c r="S25" s="19">
        <v>2.0</v>
      </c>
      <c r="T25" s="19">
        <v>0.0</v>
      </c>
      <c r="U25" s="19">
        <v>0.0</v>
      </c>
      <c r="V25" s="19">
        <v>1.0</v>
      </c>
      <c r="W25" s="19">
        <v>0.0</v>
      </c>
      <c r="X25" s="19">
        <v>1.0</v>
      </c>
      <c r="Y25" s="19">
        <v>2.0</v>
      </c>
      <c r="Z25" s="19">
        <v>0.0</v>
      </c>
      <c r="AA25" s="19">
        <v>4.0</v>
      </c>
      <c r="AB25" s="13">
        <f t="shared" si="3"/>
        <v>24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1.0</v>
      </c>
      <c r="H26" s="19">
        <v>0.0</v>
      </c>
      <c r="I26" s="19">
        <v>6.0</v>
      </c>
      <c r="J26" s="19">
        <v>0.0</v>
      </c>
      <c r="K26" s="19">
        <v>0.0</v>
      </c>
      <c r="L26" s="19">
        <v>1.0</v>
      </c>
      <c r="M26" s="19">
        <v>0.0</v>
      </c>
      <c r="N26" s="19">
        <v>3.0</v>
      </c>
      <c r="O26" s="19">
        <v>3.0</v>
      </c>
      <c r="P26" s="19">
        <v>1.0</v>
      </c>
      <c r="Q26" s="19">
        <v>0.0</v>
      </c>
      <c r="R26" s="19">
        <v>0.0</v>
      </c>
      <c r="S26" s="19">
        <v>4.0</v>
      </c>
      <c r="T26" s="19">
        <v>0.0</v>
      </c>
      <c r="U26" s="19">
        <v>0.0</v>
      </c>
      <c r="V26" s="19">
        <v>1.0</v>
      </c>
      <c r="W26" s="19">
        <v>0.0</v>
      </c>
      <c r="X26" s="19">
        <v>1.0</v>
      </c>
      <c r="Y26" s="19">
        <v>2.0</v>
      </c>
      <c r="Z26" s="19">
        <v>0.0</v>
      </c>
      <c r="AA26" s="19">
        <v>3.0</v>
      </c>
      <c r="AB26" s="13">
        <f t="shared" si="3"/>
        <v>26</v>
      </c>
    </row>
    <row r="27" ht="12.75" customHeight="1">
      <c r="A27" s="35"/>
      <c r="B27" s="28"/>
      <c r="C27" s="36"/>
      <c r="D27" s="13" t="s">
        <v>14</v>
      </c>
      <c r="E27" s="13">
        <f t="shared" ref="E27:AA27" si="6">SUM(E25:E26)</f>
        <v>0</v>
      </c>
      <c r="F27" s="13">
        <f t="shared" si="6"/>
        <v>0</v>
      </c>
      <c r="G27" s="13">
        <f t="shared" si="6"/>
        <v>3</v>
      </c>
      <c r="H27" s="13">
        <f t="shared" si="6"/>
        <v>0</v>
      </c>
      <c r="I27" s="13">
        <f t="shared" si="6"/>
        <v>11</v>
      </c>
      <c r="J27" s="13">
        <f t="shared" si="6"/>
        <v>0</v>
      </c>
      <c r="K27" s="13">
        <f t="shared" si="6"/>
        <v>0</v>
      </c>
      <c r="L27" s="13">
        <f t="shared" si="6"/>
        <v>2</v>
      </c>
      <c r="M27" s="13">
        <f t="shared" si="6"/>
        <v>1</v>
      </c>
      <c r="N27" s="13">
        <f t="shared" si="6"/>
        <v>4</v>
      </c>
      <c r="O27" s="13">
        <f t="shared" si="6"/>
        <v>5</v>
      </c>
      <c r="P27" s="13">
        <f t="shared" si="6"/>
        <v>1</v>
      </c>
      <c r="Q27" s="13">
        <f t="shared" si="6"/>
        <v>1</v>
      </c>
      <c r="R27" s="13">
        <f t="shared" si="6"/>
        <v>1</v>
      </c>
      <c r="S27" s="13">
        <f t="shared" si="6"/>
        <v>6</v>
      </c>
      <c r="T27" s="13">
        <f t="shared" si="6"/>
        <v>0</v>
      </c>
      <c r="U27" s="13">
        <f t="shared" si="6"/>
        <v>0</v>
      </c>
      <c r="V27" s="13">
        <f t="shared" si="6"/>
        <v>2</v>
      </c>
      <c r="W27" s="13">
        <f t="shared" si="6"/>
        <v>0</v>
      </c>
      <c r="X27" s="13">
        <f t="shared" si="6"/>
        <v>2</v>
      </c>
      <c r="Y27" s="13">
        <f t="shared" si="6"/>
        <v>4</v>
      </c>
      <c r="Z27" s="13">
        <f t="shared" si="6"/>
        <v>0</v>
      </c>
      <c r="AA27" s="13">
        <f t="shared" si="6"/>
        <v>7</v>
      </c>
      <c r="AB27" s="13">
        <f t="shared" si="3"/>
        <v>50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A28" si="7">SUM(E19,E22,E25)</f>
        <v>96</v>
      </c>
      <c r="F28" s="13">
        <f t="shared" si="7"/>
        <v>104</v>
      </c>
      <c r="G28" s="13">
        <f t="shared" si="7"/>
        <v>103</v>
      </c>
      <c r="H28" s="13">
        <f t="shared" si="7"/>
        <v>128</v>
      </c>
      <c r="I28" s="13">
        <f t="shared" si="7"/>
        <v>98</v>
      </c>
      <c r="J28" s="13">
        <f t="shared" si="7"/>
        <v>103</v>
      </c>
      <c r="K28" s="13">
        <f t="shared" si="7"/>
        <v>92</v>
      </c>
      <c r="L28" s="13">
        <f t="shared" si="7"/>
        <v>106</v>
      </c>
      <c r="M28" s="13">
        <f t="shared" si="7"/>
        <v>100</v>
      </c>
      <c r="N28" s="13">
        <f t="shared" si="7"/>
        <v>87</v>
      </c>
      <c r="O28" s="13">
        <f t="shared" si="7"/>
        <v>115</v>
      </c>
      <c r="P28" s="13">
        <f t="shared" si="7"/>
        <v>104</v>
      </c>
      <c r="Q28" s="13">
        <f t="shared" si="7"/>
        <v>95</v>
      </c>
      <c r="R28" s="13">
        <f t="shared" si="7"/>
        <v>97</v>
      </c>
      <c r="S28" s="13">
        <f t="shared" si="7"/>
        <v>112</v>
      </c>
      <c r="T28" s="13">
        <f t="shared" si="7"/>
        <v>108</v>
      </c>
      <c r="U28" s="13">
        <f t="shared" si="7"/>
        <v>91</v>
      </c>
      <c r="V28" s="13">
        <f t="shared" si="7"/>
        <v>86</v>
      </c>
      <c r="W28" s="13">
        <f t="shared" si="7"/>
        <v>78</v>
      </c>
      <c r="X28" s="13">
        <f t="shared" si="7"/>
        <v>89</v>
      </c>
      <c r="Y28" s="13">
        <f t="shared" si="7"/>
        <v>107</v>
      </c>
      <c r="Z28" s="13">
        <f t="shared" si="7"/>
        <v>112</v>
      </c>
      <c r="AA28" s="13">
        <f t="shared" si="7"/>
        <v>104</v>
      </c>
      <c r="AB28" s="13">
        <f t="shared" si="3"/>
        <v>2315</v>
      </c>
    </row>
    <row r="29" ht="12.75" customHeight="1">
      <c r="A29" s="35"/>
      <c r="B29" s="27"/>
      <c r="C29" s="34"/>
      <c r="D29" s="13" t="s">
        <v>13</v>
      </c>
      <c r="E29" s="13">
        <f t="shared" ref="E29:AA29" si="8">SUM(E20,E23,E26)</f>
        <v>111</v>
      </c>
      <c r="F29" s="13">
        <f t="shared" si="8"/>
        <v>129</v>
      </c>
      <c r="G29" s="13">
        <f t="shared" si="8"/>
        <v>111</v>
      </c>
      <c r="H29" s="13">
        <f t="shared" si="8"/>
        <v>134</v>
      </c>
      <c r="I29" s="13">
        <f t="shared" si="8"/>
        <v>128</v>
      </c>
      <c r="J29" s="13">
        <f t="shared" si="8"/>
        <v>122</v>
      </c>
      <c r="K29" s="13">
        <f t="shared" si="8"/>
        <v>94</v>
      </c>
      <c r="L29" s="13">
        <f t="shared" si="8"/>
        <v>104</v>
      </c>
      <c r="M29" s="13">
        <f t="shared" si="8"/>
        <v>115</v>
      </c>
      <c r="N29" s="13">
        <f t="shared" si="8"/>
        <v>108</v>
      </c>
      <c r="O29" s="13">
        <f t="shared" si="8"/>
        <v>111</v>
      </c>
      <c r="P29" s="13">
        <f t="shared" si="8"/>
        <v>106</v>
      </c>
      <c r="Q29" s="13">
        <f t="shared" si="8"/>
        <v>108</v>
      </c>
      <c r="R29" s="13">
        <f t="shared" si="8"/>
        <v>108</v>
      </c>
      <c r="S29" s="13">
        <f t="shared" si="8"/>
        <v>119</v>
      </c>
      <c r="T29" s="13">
        <f t="shared" si="8"/>
        <v>110</v>
      </c>
      <c r="U29" s="13">
        <f t="shared" si="8"/>
        <v>104</v>
      </c>
      <c r="V29" s="13">
        <f t="shared" si="8"/>
        <v>89</v>
      </c>
      <c r="W29" s="13">
        <f t="shared" si="8"/>
        <v>101</v>
      </c>
      <c r="X29" s="13">
        <f t="shared" si="8"/>
        <v>115</v>
      </c>
      <c r="Y29" s="13">
        <f t="shared" si="8"/>
        <v>116</v>
      </c>
      <c r="Z29" s="13">
        <f t="shared" si="8"/>
        <v>118</v>
      </c>
      <c r="AA29" s="13">
        <f t="shared" si="8"/>
        <v>110</v>
      </c>
      <c r="AB29" s="13">
        <f t="shared" si="3"/>
        <v>2571</v>
      </c>
    </row>
    <row r="30" ht="12.75" customHeight="1">
      <c r="A30" s="35"/>
      <c r="B30" s="28"/>
      <c r="C30" s="36"/>
      <c r="D30" s="13" t="s">
        <v>14</v>
      </c>
      <c r="E30" s="13">
        <f t="shared" ref="E30:AA30" si="9">SUM(E28:E29)</f>
        <v>207</v>
      </c>
      <c r="F30" s="13">
        <f t="shared" si="9"/>
        <v>233</v>
      </c>
      <c r="G30" s="13">
        <f t="shared" si="9"/>
        <v>214</v>
      </c>
      <c r="H30" s="13">
        <f t="shared" si="9"/>
        <v>262</v>
      </c>
      <c r="I30" s="13">
        <f t="shared" si="9"/>
        <v>226</v>
      </c>
      <c r="J30" s="13">
        <f t="shared" si="9"/>
        <v>225</v>
      </c>
      <c r="K30" s="13">
        <f t="shared" si="9"/>
        <v>186</v>
      </c>
      <c r="L30" s="13">
        <f t="shared" si="9"/>
        <v>210</v>
      </c>
      <c r="M30" s="13">
        <f t="shared" si="9"/>
        <v>215</v>
      </c>
      <c r="N30" s="13">
        <f t="shared" si="9"/>
        <v>195</v>
      </c>
      <c r="O30" s="13">
        <f t="shared" si="9"/>
        <v>226</v>
      </c>
      <c r="P30" s="13">
        <f t="shared" si="9"/>
        <v>210</v>
      </c>
      <c r="Q30" s="13">
        <f t="shared" si="9"/>
        <v>203</v>
      </c>
      <c r="R30" s="13">
        <f t="shared" si="9"/>
        <v>205</v>
      </c>
      <c r="S30" s="13">
        <f t="shared" si="9"/>
        <v>231</v>
      </c>
      <c r="T30" s="13">
        <f t="shared" si="9"/>
        <v>218</v>
      </c>
      <c r="U30" s="13">
        <f t="shared" si="9"/>
        <v>195</v>
      </c>
      <c r="V30" s="13">
        <f t="shared" si="9"/>
        <v>175</v>
      </c>
      <c r="W30" s="13">
        <f t="shared" si="9"/>
        <v>179</v>
      </c>
      <c r="X30" s="13">
        <f t="shared" si="9"/>
        <v>204</v>
      </c>
      <c r="Y30" s="13">
        <f t="shared" si="9"/>
        <v>223</v>
      </c>
      <c r="Z30" s="13">
        <f t="shared" si="9"/>
        <v>230</v>
      </c>
      <c r="AA30" s="13">
        <f t="shared" si="9"/>
        <v>214</v>
      </c>
      <c r="AB30" s="13">
        <f t="shared" si="3"/>
        <v>4886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7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77"/>
    </row>
    <row r="33" ht="12.75" customHeight="1">
      <c r="A33" s="19">
        <v>1.0</v>
      </c>
      <c r="B33" s="20" t="s">
        <v>27</v>
      </c>
      <c r="C33" s="15"/>
      <c r="D33" s="16"/>
      <c r="E33" s="19">
        <v>288.0</v>
      </c>
      <c r="F33" s="19">
        <v>283.0</v>
      </c>
      <c r="G33" s="19">
        <v>282.0</v>
      </c>
      <c r="H33" s="19">
        <v>303.0</v>
      </c>
      <c r="I33" s="19">
        <v>274.0</v>
      </c>
      <c r="J33" s="19">
        <v>299.0</v>
      </c>
      <c r="K33" s="19">
        <v>260.0</v>
      </c>
      <c r="L33" s="19">
        <v>294.0</v>
      </c>
      <c r="M33" s="19">
        <v>309.0</v>
      </c>
      <c r="N33" s="19">
        <v>272.0</v>
      </c>
      <c r="O33" s="19">
        <v>289.0</v>
      </c>
      <c r="P33" s="19">
        <v>278.0</v>
      </c>
      <c r="Q33" s="19">
        <v>259.0</v>
      </c>
      <c r="R33" s="19">
        <v>293.0</v>
      </c>
      <c r="S33" s="19">
        <v>298.0</v>
      </c>
      <c r="T33" s="19">
        <v>282.0</v>
      </c>
      <c r="U33" s="19">
        <v>255.0</v>
      </c>
      <c r="V33" s="19">
        <v>241.0</v>
      </c>
      <c r="W33" s="19">
        <v>243.0</v>
      </c>
      <c r="X33" s="19">
        <v>276.0</v>
      </c>
      <c r="Y33" s="19">
        <v>268.0</v>
      </c>
      <c r="Z33" s="19">
        <v>293.0</v>
      </c>
      <c r="AA33" s="19">
        <v>255.0</v>
      </c>
      <c r="AB33" s="13">
        <f t="shared" ref="AB33:AB36" si="10">SUM(E33:AA33)</f>
        <v>6394</v>
      </c>
    </row>
    <row r="34" ht="12.75" customHeight="1">
      <c r="A34" s="19">
        <v>2.0</v>
      </c>
      <c r="B34" s="20" t="s">
        <v>28</v>
      </c>
      <c r="C34" s="15"/>
      <c r="D34" s="16"/>
      <c r="E34" s="13">
        <v>207.0</v>
      </c>
      <c r="F34" s="13">
        <v>233.0</v>
      </c>
      <c r="G34" s="13">
        <v>214.0</v>
      </c>
      <c r="H34" s="13">
        <v>262.0</v>
      </c>
      <c r="I34" s="13">
        <v>226.0</v>
      </c>
      <c r="J34" s="13">
        <v>225.0</v>
      </c>
      <c r="K34" s="13">
        <v>186.0</v>
      </c>
      <c r="L34" s="13">
        <v>210.0</v>
      </c>
      <c r="M34" s="13">
        <v>215.0</v>
      </c>
      <c r="N34" s="13">
        <v>195.0</v>
      </c>
      <c r="O34" s="13">
        <v>226.0</v>
      </c>
      <c r="P34" s="13">
        <v>210.0</v>
      </c>
      <c r="Q34" s="13">
        <v>203.0</v>
      </c>
      <c r="R34" s="13">
        <v>205.0</v>
      </c>
      <c r="S34" s="13">
        <v>231.0</v>
      </c>
      <c r="T34" s="13">
        <v>218.0</v>
      </c>
      <c r="U34" s="13">
        <v>195.0</v>
      </c>
      <c r="V34" s="13">
        <v>175.0</v>
      </c>
      <c r="W34" s="13">
        <v>179.0</v>
      </c>
      <c r="X34" s="13">
        <v>204.0</v>
      </c>
      <c r="Y34" s="13">
        <v>223.0</v>
      </c>
      <c r="Z34" s="13">
        <v>230.0</v>
      </c>
      <c r="AA34" s="13">
        <v>214.0</v>
      </c>
      <c r="AB34" s="13">
        <f t="shared" si="10"/>
        <v>4886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1.0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2.0</v>
      </c>
      <c r="V35" s="19">
        <v>0.0</v>
      </c>
      <c r="W35" s="19">
        <v>1.0</v>
      </c>
      <c r="X35" s="19">
        <v>0.0</v>
      </c>
      <c r="Y35" s="19">
        <v>0.0</v>
      </c>
      <c r="Z35" s="19">
        <v>0.0</v>
      </c>
      <c r="AA35" s="19">
        <v>0.0</v>
      </c>
      <c r="AB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A36" si="11">E33-(E34+E35)</f>
        <v>81</v>
      </c>
      <c r="F36" s="13">
        <f t="shared" si="11"/>
        <v>50</v>
      </c>
      <c r="G36" s="13">
        <f t="shared" si="11"/>
        <v>68</v>
      </c>
      <c r="H36" s="13">
        <f t="shared" si="11"/>
        <v>41</v>
      </c>
      <c r="I36" s="13">
        <f t="shared" si="11"/>
        <v>48</v>
      </c>
      <c r="J36" s="13">
        <f t="shared" si="11"/>
        <v>74</v>
      </c>
      <c r="K36" s="13">
        <f t="shared" si="11"/>
        <v>73</v>
      </c>
      <c r="L36" s="13">
        <f t="shared" si="11"/>
        <v>84</v>
      </c>
      <c r="M36" s="13">
        <f t="shared" si="11"/>
        <v>94</v>
      </c>
      <c r="N36" s="13">
        <f t="shared" si="11"/>
        <v>77</v>
      </c>
      <c r="O36" s="13">
        <f t="shared" si="11"/>
        <v>63</v>
      </c>
      <c r="P36" s="13">
        <f t="shared" si="11"/>
        <v>68</v>
      </c>
      <c r="Q36" s="13">
        <f t="shared" si="11"/>
        <v>56</v>
      </c>
      <c r="R36" s="13">
        <f t="shared" si="11"/>
        <v>88</v>
      </c>
      <c r="S36" s="13">
        <f t="shared" si="11"/>
        <v>67</v>
      </c>
      <c r="T36" s="13">
        <f t="shared" si="11"/>
        <v>64</v>
      </c>
      <c r="U36" s="13">
        <f t="shared" si="11"/>
        <v>58</v>
      </c>
      <c r="V36" s="13">
        <f t="shared" si="11"/>
        <v>66</v>
      </c>
      <c r="W36" s="13">
        <f t="shared" si="11"/>
        <v>63</v>
      </c>
      <c r="X36" s="13">
        <f t="shared" si="11"/>
        <v>72</v>
      </c>
      <c r="Y36" s="13">
        <f t="shared" si="11"/>
        <v>45</v>
      </c>
      <c r="Z36" s="13">
        <f t="shared" si="11"/>
        <v>63</v>
      </c>
      <c r="AA36" s="13">
        <f t="shared" si="11"/>
        <v>41</v>
      </c>
      <c r="AB36" s="13">
        <f t="shared" si="10"/>
        <v>1504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8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77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>
        <v>1.0</v>
      </c>
      <c r="R39" s="19"/>
      <c r="S39" s="19"/>
      <c r="T39" s="19">
        <v>0.0</v>
      </c>
      <c r="U39" s="19">
        <v>0.0</v>
      </c>
      <c r="V39" s="19">
        <v>1.0</v>
      </c>
      <c r="W39" s="19">
        <v>0.0</v>
      </c>
      <c r="X39" s="19">
        <v>0.0</v>
      </c>
      <c r="Y39" s="19">
        <v>0.0</v>
      </c>
      <c r="Z39" s="19">
        <v>0.0</v>
      </c>
      <c r="AA39" s="19">
        <v>1.0</v>
      </c>
      <c r="AB39" s="13">
        <f t="shared" ref="AB39:AB41" si="12">SUM(E39:AA39)</f>
        <v>3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>
        <v>0.0</v>
      </c>
      <c r="U40" s="19">
        <v>0.0</v>
      </c>
      <c r="V40" s="19">
        <v>1.0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AA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1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2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1</v>
      </c>
      <c r="AB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8"/>
      <c r="O42" s="19"/>
      <c r="P42" s="68"/>
      <c r="Q42" s="19"/>
      <c r="R42" s="68"/>
      <c r="S42" s="19"/>
      <c r="T42" s="68"/>
      <c r="U42" s="19"/>
      <c r="V42" s="68"/>
      <c r="W42" s="19"/>
      <c r="X42" s="68"/>
      <c r="Y42" s="19"/>
      <c r="Z42" s="68"/>
      <c r="AA42" s="19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69"/>
      <c r="Q43" s="13"/>
      <c r="R43" s="69"/>
      <c r="S43" s="13"/>
      <c r="T43" s="69"/>
      <c r="U43" s="13"/>
      <c r="V43" s="69"/>
      <c r="W43" s="13"/>
      <c r="X43" s="69"/>
      <c r="Y43" s="13"/>
      <c r="Z43" s="69"/>
      <c r="AA43" s="13"/>
      <c r="A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8"/>
      <c r="O44" s="19"/>
      <c r="P44" s="68"/>
      <c r="Q44" s="19"/>
      <c r="R44" s="68"/>
      <c r="S44" s="19"/>
      <c r="T44" s="68"/>
      <c r="U44" s="19"/>
      <c r="V44" s="68"/>
      <c r="W44" s="19"/>
      <c r="X44" s="68"/>
      <c r="Y44" s="19"/>
      <c r="Z44" s="68"/>
      <c r="AA44" s="19"/>
      <c r="AB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20.0</v>
      </c>
      <c r="F45" s="19">
        <v>2.0</v>
      </c>
      <c r="G45" s="19">
        <v>10.0</v>
      </c>
      <c r="H45" s="19">
        <v>9.0</v>
      </c>
      <c r="I45" s="19">
        <v>3.0</v>
      </c>
      <c r="J45" s="19">
        <v>7.0</v>
      </c>
      <c r="K45" s="19">
        <v>3.0</v>
      </c>
      <c r="L45" s="19">
        <v>6.0</v>
      </c>
      <c r="M45" s="19">
        <v>10.0</v>
      </c>
      <c r="N45" s="19">
        <v>10.0</v>
      </c>
      <c r="O45" s="19">
        <v>2.0</v>
      </c>
      <c r="P45" s="19">
        <v>0.0</v>
      </c>
      <c r="Q45" s="19">
        <v>4.0</v>
      </c>
      <c r="R45" s="19">
        <v>11.0</v>
      </c>
      <c r="S45" s="19">
        <v>5.0</v>
      </c>
      <c r="T45" s="19">
        <v>7.0</v>
      </c>
      <c r="U45" s="19">
        <v>4.0</v>
      </c>
      <c r="V45" s="19">
        <v>1.0</v>
      </c>
      <c r="W45" s="19">
        <v>3.0</v>
      </c>
      <c r="X45" s="19">
        <v>6.0</v>
      </c>
      <c r="Y45" s="19">
        <v>6.0</v>
      </c>
      <c r="Z45" s="19">
        <v>4.0</v>
      </c>
      <c r="AA45" s="19">
        <v>2.0</v>
      </c>
      <c r="AB45" s="13">
        <f t="shared" ref="AB45:AB52" si="14">SUM(E45:AA45)</f>
        <v>135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41.0</v>
      </c>
      <c r="F46" s="19">
        <v>21.0</v>
      </c>
      <c r="G46" s="19">
        <v>27.0</v>
      </c>
      <c r="H46" s="19">
        <v>29.0</v>
      </c>
      <c r="I46" s="19">
        <v>16.0</v>
      </c>
      <c r="J46" s="19">
        <v>22.0</v>
      </c>
      <c r="K46" s="19">
        <v>15.0</v>
      </c>
      <c r="L46" s="19">
        <v>20.0</v>
      </c>
      <c r="M46" s="19">
        <v>15.0</v>
      </c>
      <c r="N46" s="19">
        <v>32.0</v>
      </c>
      <c r="O46" s="19">
        <v>15.0</v>
      </c>
      <c r="P46" s="19">
        <v>10.0</v>
      </c>
      <c r="Q46" s="19">
        <v>3.0</v>
      </c>
      <c r="R46" s="19">
        <v>28.0</v>
      </c>
      <c r="S46" s="19">
        <v>40.0</v>
      </c>
      <c r="T46" s="19">
        <v>32.0</v>
      </c>
      <c r="U46" s="19">
        <v>17.0</v>
      </c>
      <c r="V46" s="19">
        <v>6.0</v>
      </c>
      <c r="W46" s="19">
        <v>10.0</v>
      </c>
      <c r="X46" s="19">
        <v>19.0</v>
      </c>
      <c r="Y46" s="19">
        <v>11.0</v>
      </c>
      <c r="Z46" s="19">
        <v>20.0</v>
      </c>
      <c r="AA46" s="19">
        <v>16.0</v>
      </c>
      <c r="AB46" s="13">
        <f t="shared" si="14"/>
        <v>465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3.0</v>
      </c>
      <c r="G47" s="19">
        <v>1.0</v>
      </c>
      <c r="H47" s="19">
        <v>1.0</v>
      </c>
      <c r="I47" s="19">
        <v>0.0</v>
      </c>
      <c r="J47" s="19">
        <v>0.0</v>
      </c>
      <c r="K47" s="19">
        <v>3.0</v>
      </c>
      <c r="L47" s="19">
        <v>1.0</v>
      </c>
      <c r="M47" s="19">
        <v>4.0</v>
      </c>
      <c r="N47" s="19">
        <v>6.0</v>
      </c>
      <c r="O47" s="19">
        <v>0.0</v>
      </c>
      <c r="P47" s="19">
        <v>0.0</v>
      </c>
      <c r="Q47" s="19">
        <v>1.0</v>
      </c>
      <c r="R47" s="19">
        <v>3.0</v>
      </c>
      <c r="S47" s="19">
        <v>1.0</v>
      </c>
      <c r="T47" s="19">
        <v>0.0</v>
      </c>
      <c r="U47" s="19">
        <v>0.0</v>
      </c>
      <c r="V47" s="19">
        <v>1.0</v>
      </c>
      <c r="W47" s="19">
        <v>1.0</v>
      </c>
      <c r="X47" s="19">
        <v>0.0</v>
      </c>
      <c r="Y47" s="19">
        <v>0.0</v>
      </c>
      <c r="Z47" s="19">
        <v>2.0</v>
      </c>
      <c r="AA47" s="19">
        <v>2.0</v>
      </c>
      <c r="AB47" s="13">
        <f t="shared" si="14"/>
        <v>30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0.0</v>
      </c>
      <c r="H48" s="19">
        <v>0.0</v>
      </c>
      <c r="I48" s="19">
        <v>0.0</v>
      </c>
      <c r="J48" s="19">
        <v>4.0</v>
      </c>
      <c r="K48" s="19">
        <v>2.0</v>
      </c>
      <c r="L48" s="19">
        <v>2.0</v>
      </c>
      <c r="M48" s="19">
        <v>0.0</v>
      </c>
      <c r="N48" s="19">
        <v>1.0</v>
      </c>
      <c r="O48" s="19">
        <v>0.0</v>
      </c>
      <c r="P48" s="19">
        <v>1.0</v>
      </c>
      <c r="Q48" s="19">
        <v>1.0</v>
      </c>
      <c r="R48" s="19">
        <v>4.0</v>
      </c>
      <c r="S48" s="19">
        <v>0.0</v>
      </c>
      <c r="T48" s="19">
        <v>2.0</v>
      </c>
      <c r="U48" s="19">
        <v>1.0</v>
      </c>
      <c r="V48" s="19">
        <v>0.0</v>
      </c>
      <c r="W48" s="19">
        <v>2.0</v>
      </c>
      <c r="X48" s="19">
        <v>0.0</v>
      </c>
      <c r="Y48" s="19">
        <v>0.0</v>
      </c>
      <c r="Z48" s="19">
        <v>1.0</v>
      </c>
      <c r="AA48" s="19">
        <v>1.0</v>
      </c>
      <c r="AB48" s="13">
        <f t="shared" si="14"/>
        <v>23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19">
        <v>2.0</v>
      </c>
      <c r="L49" s="19">
        <v>3.0</v>
      </c>
      <c r="M49" s="19">
        <v>4.0</v>
      </c>
      <c r="N49" s="19">
        <v>2.0</v>
      </c>
      <c r="O49" s="19">
        <v>0.0</v>
      </c>
      <c r="P49" s="19">
        <v>1.0</v>
      </c>
      <c r="Q49" s="19">
        <v>1.0</v>
      </c>
      <c r="R49" s="19">
        <v>3.0</v>
      </c>
      <c r="S49" s="19">
        <v>2.0</v>
      </c>
      <c r="T49" s="19">
        <v>2.0</v>
      </c>
      <c r="U49" s="19">
        <v>2.0</v>
      </c>
      <c r="V49" s="19">
        <v>3.0</v>
      </c>
      <c r="W49" s="19">
        <v>1.0</v>
      </c>
      <c r="X49" s="19">
        <v>0.0</v>
      </c>
      <c r="Y49" s="19">
        <v>7.0</v>
      </c>
      <c r="Z49" s="19">
        <v>4.0</v>
      </c>
      <c r="AA49" s="19">
        <v>0.0</v>
      </c>
      <c r="AB49" s="13">
        <f t="shared" si="14"/>
        <v>37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0.0</v>
      </c>
      <c r="G50" s="19">
        <v>0.0</v>
      </c>
      <c r="H50" s="19">
        <v>0.0</v>
      </c>
      <c r="I50" s="19">
        <v>0.0</v>
      </c>
      <c r="J50" s="19">
        <v>1.0</v>
      </c>
      <c r="K50" s="19">
        <v>0.0</v>
      </c>
      <c r="L50" s="19">
        <v>2.0</v>
      </c>
      <c r="M50" s="19">
        <v>1.0</v>
      </c>
      <c r="N50" s="19">
        <v>2.0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1.0</v>
      </c>
      <c r="V50" s="19">
        <v>0.0</v>
      </c>
      <c r="W50" s="19">
        <v>0.0</v>
      </c>
      <c r="X50" s="19">
        <v>1.0</v>
      </c>
      <c r="Y50" s="19">
        <v>1.0</v>
      </c>
      <c r="Z50" s="19">
        <v>1.0</v>
      </c>
      <c r="AA50" s="19">
        <v>1.0</v>
      </c>
      <c r="AB50" s="13">
        <f t="shared" si="14"/>
        <v>12</v>
      </c>
    </row>
    <row r="51" ht="12.75" customHeight="1">
      <c r="A51" s="18"/>
      <c r="B51" s="55">
        <v>6.0</v>
      </c>
      <c r="C51" s="50" t="s">
        <v>45</v>
      </c>
      <c r="D51" s="16"/>
      <c r="E51" s="19">
        <v>2.0</v>
      </c>
      <c r="F51" s="19">
        <v>1.0</v>
      </c>
      <c r="G51" s="19">
        <v>4.0</v>
      </c>
      <c r="H51" s="19">
        <v>3.0</v>
      </c>
      <c r="I51" s="19">
        <v>0.0</v>
      </c>
      <c r="J51" s="19">
        <v>0.0</v>
      </c>
      <c r="K51" s="19">
        <v>1.0</v>
      </c>
      <c r="L51" s="19">
        <v>2.0</v>
      </c>
      <c r="M51" s="19">
        <v>4.0</v>
      </c>
      <c r="N51" s="19">
        <v>4.0</v>
      </c>
      <c r="O51" s="19">
        <v>0.0</v>
      </c>
      <c r="P51" s="19">
        <v>0.0</v>
      </c>
      <c r="Q51" s="19">
        <v>0.0</v>
      </c>
      <c r="R51" s="19">
        <v>3.0</v>
      </c>
      <c r="S51" s="19">
        <v>1.0</v>
      </c>
      <c r="T51" s="19">
        <v>0.0</v>
      </c>
      <c r="U51" s="19">
        <v>0.0</v>
      </c>
      <c r="V51" s="19">
        <v>0.0</v>
      </c>
      <c r="W51" s="19">
        <v>0.0</v>
      </c>
      <c r="X51" s="19">
        <v>1.0</v>
      </c>
      <c r="Y51" s="19">
        <v>2.0</v>
      </c>
      <c r="Z51" s="19">
        <v>2.0</v>
      </c>
      <c r="AA51" s="19">
        <v>2.0</v>
      </c>
      <c r="AB51" s="13">
        <f t="shared" si="14"/>
        <v>32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3.0</v>
      </c>
      <c r="I52" s="19">
        <v>1.0</v>
      </c>
      <c r="J52" s="19">
        <v>0.0</v>
      </c>
      <c r="K52" s="19">
        <v>0.0</v>
      </c>
      <c r="L52" s="19">
        <v>1.0</v>
      </c>
      <c r="M52" s="19">
        <v>1.0</v>
      </c>
      <c r="N52" s="19">
        <v>1.0</v>
      </c>
      <c r="O52" s="19">
        <v>0.0</v>
      </c>
      <c r="P52" s="19">
        <v>0.0</v>
      </c>
      <c r="Q52" s="19">
        <v>0.0</v>
      </c>
      <c r="R52" s="19">
        <v>0.0</v>
      </c>
      <c r="S52" s="19">
        <v>2.0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1.0</v>
      </c>
      <c r="AB52" s="13">
        <f t="shared" si="14"/>
        <v>10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79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79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B55" si="15">SUM(E45:E54)</f>
        <v>65</v>
      </c>
      <c r="F55" s="13">
        <f t="shared" si="15"/>
        <v>27</v>
      </c>
      <c r="G55" s="13">
        <f t="shared" si="15"/>
        <v>42</v>
      </c>
      <c r="H55" s="13">
        <f t="shared" si="15"/>
        <v>45</v>
      </c>
      <c r="I55" s="13">
        <f t="shared" si="15"/>
        <v>20</v>
      </c>
      <c r="J55" s="13">
        <f t="shared" si="15"/>
        <v>34</v>
      </c>
      <c r="K55" s="13">
        <f t="shared" si="15"/>
        <v>26</v>
      </c>
      <c r="L55" s="13">
        <f t="shared" si="15"/>
        <v>37</v>
      </c>
      <c r="M55" s="13">
        <f t="shared" si="15"/>
        <v>39</v>
      </c>
      <c r="N55" s="13">
        <f t="shared" si="15"/>
        <v>58</v>
      </c>
      <c r="O55" s="13">
        <f t="shared" si="15"/>
        <v>17</v>
      </c>
      <c r="P55" s="13">
        <f t="shared" si="15"/>
        <v>12</v>
      </c>
      <c r="Q55" s="13">
        <f t="shared" si="15"/>
        <v>10</v>
      </c>
      <c r="R55" s="13">
        <f t="shared" si="15"/>
        <v>52</v>
      </c>
      <c r="S55" s="13">
        <f t="shared" si="15"/>
        <v>51</v>
      </c>
      <c r="T55" s="13">
        <f t="shared" si="15"/>
        <v>43</v>
      </c>
      <c r="U55" s="13">
        <f t="shared" si="15"/>
        <v>25</v>
      </c>
      <c r="V55" s="13">
        <f t="shared" si="15"/>
        <v>11</v>
      </c>
      <c r="W55" s="13">
        <f t="shared" si="15"/>
        <v>17</v>
      </c>
      <c r="X55" s="13">
        <f t="shared" si="15"/>
        <v>27</v>
      </c>
      <c r="Y55" s="13">
        <f t="shared" si="15"/>
        <v>27</v>
      </c>
      <c r="Z55" s="13">
        <f t="shared" si="15"/>
        <v>34</v>
      </c>
      <c r="AA55" s="13">
        <f t="shared" si="15"/>
        <v>25</v>
      </c>
      <c r="AB55" s="13">
        <f t="shared" si="15"/>
        <v>744</v>
      </c>
    </row>
    <row r="56" ht="12.75" customHeight="1">
      <c r="A56" s="45"/>
      <c r="B56" s="44"/>
      <c r="C56" s="44"/>
      <c r="D56" s="44"/>
      <c r="E56" s="44"/>
      <c r="AB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11.0</v>
      </c>
      <c r="F57" s="19">
        <v>0.0</v>
      </c>
      <c r="G57" s="19">
        <v>6.0</v>
      </c>
      <c r="H57" s="19">
        <v>10.0</v>
      </c>
      <c r="I57" s="19">
        <v>11.0</v>
      </c>
      <c r="J57" s="19">
        <v>15.0</v>
      </c>
      <c r="K57" s="19">
        <v>9.0</v>
      </c>
      <c r="L57" s="19">
        <v>5.0</v>
      </c>
      <c r="M57" s="19">
        <v>7.0</v>
      </c>
      <c r="N57" s="19">
        <v>7.0</v>
      </c>
      <c r="O57" s="19">
        <v>13.0</v>
      </c>
      <c r="P57" s="19">
        <v>4.0</v>
      </c>
      <c r="Q57" s="19">
        <v>5.0</v>
      </c>
      <c r="R57" s="19">
        <v>10.0</v>
      </c>
      <c r="S57" s="19">
        <v>5.0</v>
      </c>
      <c r="T57" s="19">
        <v>4.0</v>
      </c>
      <c r="U57" s="19">
        <v>4.0</v>
      </c>
      <c r="V57" s="19">
        <v>1.0</v>
      </c>
      <c r="W57" s="19">
        <v>4.0</v>
      </c>
      <c r="X57" s="19">
        <v>10.0</v>
      </c>
      <c r="Y57" s="19">
        <v>6.0</v>
      </c>
      <c r="Z57" s="19">
        <v>3.0</v>
      </c>
      <c r="AA57" s="19">
        <v>6.0</v>
      </c>
      <c r="AB57" s="13">
        <f t="shared" ref="AB57:AB64" si="16">SUM(E57:AA57)</f>
        <v>156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4.0</v>
      </c>
      <c r="F58" s="19">
        <v>7.0</v>
      </c>
      <c r="G58" s="19">
        <v>2.0</v>
      </c>
      <c r="H58" s="19">
        <v>4.0</v>
      </c>
      <c r="I58" s="19">
        <v>11.0</v>
      </c>
      <c r="J58" s="19">
        <v>7.0</v>
      </c>
      <c r="K58" s="19">
        <v>5.0</v>
      </c>
      <c r="L58" s="19">
        <v>36.0</v>
      </c>
      <c r="M58" s="19">
        <v>15.0</v>
      </c>
      <c r="N58" s="19">
        <v>12.0</v>
      </c>
      <c r="O58" s="19">
        <v>22.0</v>
      </c>
      <c r="P58" s="19">
        <v>11.0</v>
      </c>
      <c r="Q58" s="19">
        <v>4.0</v>
      </c>
      <c r="R58" s="19">
        <v>27.0</v>
      </c>
      <c r="S58" s="19">
        <v>2.0</v>
      </c>
      <c r="T58" s="19">
        <v>4.0</v>
      </c>
      <c r="U58" s="19">
        <v>0.0</v>
      </c>
      <c r="V58" s="19">
        <v>12.0</v>
      </c>
      <c r="W58" s="19">
        <v>28.0</v>
      </c>
      <c r="X58" s="19">
        <v>21.0</v>
      </c>
      <c r="Y58" s="19">
        <v>18.0</v>
      </c>
      <c r="Z58" s="19">
        <v>1.0</v>
      </c>
      <c r="AA58" s="19">
        <v>9.0</v>
      </c>
      <c r="AB58" s="13">
        <f t="shared" si="16"/>
        <v>262</v>
      </c>
    </row>
    <row r="59" ht="12.75" customHeight="1">
      <c r="A59" s="18"/>
      <c r="B59" s="55">
        <v>2.0</v>
      </c>
      <c r="C59" s="50" t="s">
        <v>50</v>
      </c>
      <c r="D59" s="56"/>
      <c r="E59" s="19">
        <v>1.0</v>
      </c>
      <c r="F59" s="19">
        <v>1.0</v>
      </c>
      <c r="G59" s="19">
        <v>0.0</v>
      </c>
      <c r="H59" s="19">
        <v>0.0</v>
      </c>
      <c r="I59" s="19">
        <v>1.0</v>
      </c>
      <c r="J59" s="19">
        <v>3.0</v>
      </c>
      <c r="K59" s="19">
        <v>2.0</v>
      </c>
      <c r="L59" s="19">
        <v>6.0</v>
      </c>
      <c r="M59" s="19">
        <v>3.0</v>
      </c>
      <c r="N59" s="19">
        <v>1.0</v>
      </c>
      <c r="O59" s="19">
        <v>2.0</v>
      </c>
      <c r="P59" s="19">
        <v>2.0</v>
      </c>
      <c r="Q59" s="19">
        <v>0.0</v>
      </c>
      <c r="R59" s="19">
        <v>2.0</v>
      </c>
      <c r="S59" s="19">
        <v>0.0</v>
      </c>
      <c r="T59" s="19">
        <v>1.0</v>
      </c>
      <c r="U59" s="19">
        <v>0.0</v>
      </c>
      <c r="V59" s="19">
        <v>1.0</v>
      </c>
      <c r="W59" s="19">
        <v>1.0</v>
      </c>
      <c r="X59" s="19">
        <v>2.0</v>
      </c>
      <c r="Y59" s="19">
        <v>3.0</v>
      </c>
      <c r="Z59" s="19">
        <v>6.0</v>
      </c>
      <c r="AA59" s="19">
        <v>1.0</v>
      </c>
      <c r="AB59" s="13">
        <f t="shared" si="16"/>
        <v>39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0.0</v>
      </c>
      <c r="G60" s="19">
        <v>1.0</v>
      </c>
      <c r="H60" s="19">
        <v>0.0</v>
      </c>
      <c r="I60" s="19">
        <v>0.0</v>
      </c>
      <c r="J60" s="19">
        <v>1.0</v>
      </c>
      <c r="K60" s="19">
        <v>1.0</v>
      </c>
      <c r="L60" s="19">
        <v>0.0</v>
      </c>
      <c r="M60" s="19">
        <v>0.0</v>
      </c>
      <c r="N60" s="19">
        <v>1.0</v>
      </c>
      <c r="O60" s="19">
        <v>0.0</v>
      </c>
      <c r="P60" s="19">
        <v>0.0</v>
      </c>
      <c r="Q60" s="19">
        <v>0.0</v>
      </c>
      <c r="R60" s="19">
        <v>2.0</v>
      </c>
      <c r="S60" s="19">
        <v>0.0</v>
      </c>
      <c r="T60" s="19">
        <v>0.0</v>
      </c>
      <c r="U60" s="19">
        <v>2.0</v>
      </c>
      <c r="V60" s="19">
        <v>1.0</v>
      </c>
      <c r="W60" s="19">
        <v>1.0</v>
      </c>
      <c r="X60" s="19">
        <v>1.0</v>
      </c>
      <c r="Y60" s="19">
        <v>2.0</v>
      </c>
      <c r="Z60" s="19">
        <v>1.0</v>
      </c>
      <c r="AA60" s="19">
        <v>1.0</v>
      </c>
      <c r="AB60" s="13">
        <f t="shared" si="16"/>
        <v>15</v>
      </c>
    </row>
    <row r="61" ht="12.75" customHeight="1">
      <c r="A61" s="18"/>
      <c r="B61" s="55">
        <v>4.0</v>
      </c>
      <c r="C61" s="50" t="s">
        <v>52</v>
      </c>
      <c r="D61" s="56"/>
      <c r="E61" s="19">
        <v>9.0</v>
      </c>
      <c r="F61" s="19">
        <v>0.0</v>
      </c>
      <c r="G61" s="19">
        <v>7.0</v>
      </c>
      <c r="H61" s="19">
        <v>3.0</v>
      </c>
      <c r="I61" s="19">
        <v>2.0</v>
      </c>
      <c r="J61" s="19">
        <v>3.0</v>
      </c>
      <c r="K61" s="19">
        <v>0.0</v>
      </c>
      <c r="L61" s="19">
        <v>0.0</v>
      </c>
      <c r="M61" s="19">
        <v>1.0</v>
      </c>
      <c r="N61" s="19">
        <v>0.0</v>
      </c>
      <c r="O61" s="19">
        <v>1.0</v>
      </c>
      <c r="P61" s="19">
        <v>2.0</v>
      </c>
      <c r="Q61" s="19">
        <v>1.0</v>
      </c>
      <c r="R61" s="19">
        <v>1.0</v>
      </c>
      <c r="S61" s="19">
        <v>3.0</v>
      </c>
      <c r="T61" s="19">
        <v>3.0</v>
      </c>
      <c r="U61" s="19">
        <v>2.0</v>
      </c>
      <c r="V61" s="19">
        <v>2.0</v>
      </c>
      <c r="W61" s="19">
        <v>2.0</v>
      </c>
      <c r="X61" s="19">
        <v>4.0</v>
      </c>
      <c r="Y61" s="19">
        <v>0.0</v>
      </c>
      <c r="Z61" s="19">
        <v>2.0</v>
      </c>
      <c r="AA61" s="19">
        <v>4.0</v>
      </c>
      <c r="AB61" s="13">
        <f t="shared" si="16"/>
        <v>52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1.0</v>
      </c>
      <c r="H62" s="19">
        <v>1.0</v>
      </c>
      <c r="I62" s="19">
        <v>0.0</v>
      </c>
      <c r="J62" s="19">
        <v>1.0</v>
      </c>
      <c r="K62" s="19">
        <v>0.0</v>
      </c>
      <c r="L62" s="19">
        <v>3.0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1.0</v>
      </c>
      <c r="S62" s="19">
        <v>0.0</v>
      </c>
      <c r="T62" s="19">
        <v>0.0</v>
      </c>
      <c r="U62" s="19">
        <v>1.0</v>
      </c>
      <c r="V62" s="19">
        <v>0.0</v>
      </c>
      <c r="W62" s="19">
        <v>0.0</v>
      </c>
      <c r="X62" s="19">
        <v>0.0</v>
      </c>
      <c r="Y62" s="19">
        <v>0.0</v>
      </c>
      <c r="Z62" s="19">
        <v>2.0</v>
      </c>
      <c r="AA62" s="19">
        <v>3.0</v>
      </c>
      <c r="AB62" s="13">
        <f t="shared" si="16"/>
        <v>13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2.0</v>
      </c>
      <c r="G63" s="19">
        <v>0.0</v>
      </c>
      <c r="H63" s="19">
        <v>1.0</v>
      </c>
      <c r="I63" s="19">
        <v>0.0</v>
      </c>
      <c r="J63" s="19">
        <v>3.0</v>
      </c>
      <c r="K63" s="19">
        <v>0.0</v>
      </c>
      <c r="L63" s="19">
        <v>2.0</v>
      </c>
      <c r="M63" s="19">
        <v>2.0</v>
      </c>
      <c r="N63" s="19">
        <v>2.0</v>
      </c>
      <c r="O63" s="19">
        <v>1.0</v>
      </c>
      <c r="P63" s="19">
        <v>0.0</v>
      </c>
      <c r="Q63" s="19">
        <v>1.0</v>
      </c>
      <c r="R63" s="19">
        <v>0.0</v>
      </c>
      <c r="S63" s="19">
        <v>1.0</v>
      </c>
      <c r="T63" s="19">
        <v>0.0</v>
      </c>
      <c r="U63" s="19">
        <v>3.0</v>
      </c>
      <c r="V63" s="19">
        <v>1.0</v>
      </c>
      <c r="W63" s="19">
        <v>1.0</v>
      </c>
      <c r="X63" s="19">
        <v>1.0</v>
      </c>
      <c r="Y63" s="19">
        <v>0.0</v>
      </c>
      <c r="Z63" s="19">
        <v>1.0</v>
      </c>
      <c r="AA63" s="19">
        <v>1.0</v>
      </c>
      <c r="AB63" s="13">
        <f t="shared" si="16"/>
        <v>23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3.0</v>
      </c>
      <c r="I64" s="19">
        <v>0.0</v>
      </c>
      <c r="J64" s="19">
        <v>0.0</v>
      </c>
      <c r="K64" s="19">
        <v>1.0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0.0</v>
      </c>
      <c r="U64" s="19">
        <v>0.0</v>
      </c>
      <c r="V64" s="19">
        <v>0.0</v>
      </c>
      <c r="W64" s="19">
        <v>0.0</v>
      </c>
      <c r="X64" s="19">
        <v>0.0</v>
      </c>
      <c r="Y64" s="19">
        <v>0.0</v>
      </c>
      <c r="Z64" s="19">
        <v>0.0</v>
      </c>
      <c r="AA64" s="19">
        <v>0.0</v>
      </c>
      <c r="AB64" s="13">
        <f t="shared" si="16"/>
        <v>4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79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79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B67" si="17">SUM(E57:E66)</f>
        <v>25</v>
      </c>
      <c r="F67" s="13">
        <f t="shared" si="17"/>
        <v>10</v>
      </c>
      <c r="G67" s="13">
        <f t="shared" si="17"/>
        <v>17</v>
      </c>
      <c r="H67" s="13">
        <f t="shared" si="17"/>
        <v>22</v>
      </c>
      <c r="I67" s="13">
        <f t="shared" si="17"/>
        <v>25</v>
      </c>
      <c r="J67" s="13">
        <f t="shared" si="17"/>
        <v>33</v>
      </c>
      <c r="K67" s="13">
        <f t="shared" si="17"/>
        <v>18</v>
      </c>
      <c r="L67" s="13">
        <f t="shared" si="17"/>
        <v>52</v>
      </c>
      <c r="M67" s="13">
        <f t="shared" si="17"/>
        <v>28</v>
      </c>
      <c r="N67" s="13">
        <f t="shared" si="17"/>
        <v>23</v>
      </c>
      <c r="O67" s="13">
        <f t="shared" si="17"/>
        <v>39</v>
      </c>
      <c r="P67" s="13">
        <f t="shared" si="17"/>
        <v>19</v>
      </c>
      <c r="Q67" s="13">
        <f t="shared" si="17"/>
        <v>11</v>
      </c>
      <c r="R67" s="13">
        <f t="shared" si="17"/>
        <v>43</v>
      </c>
      <c r="S67" s="13">
        <f t="shared" si="17"/>
        <v>11</v>
      </c>
      <c r="T67" s="13">
        <f t="shared" si="17"/>
        <v>12</v>
      </c>
      <c r="U67" s="13">
        <f t="shared" si="17"/>
        <v>12</v>
      </c>
      <c r="V67" s="13">
        <f t="shared" si="17"/>
        <v>18</v>
      </c>
      <c r="W67" s="13">
        <f t="shared" si="17"/>
        <v>37</v>
      </c>
      <c r="X67" s="13">
        <f t="shared" si="17"/>
        <v>39</v>
      </c>
      <c r="Y67" s="13">
        <f t="shared" si="17"/>
        <v>29</v>
      </c>
      <c r="Z67" s="13">
        <f t="shared" si="17"/>
        <v>16</v>
      </c>
      <c r="AA67" s="13">
        <f t="shared" si="17"/>
        <v>25</v>
      </c>
      <c r="AB67" s="13">
        <f t="shared" si="17"/>
        <v>564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14.0</v>
      </c>
      <c r="F69" s="19">
        <v>1.0</v>
      </c>
      <c r="G69" s="19">
        <v>13.0</v>
      </c>
      <c r="H69" s="19">
        <v>17.0</v>
      </c>
      <c r="I69" s="19">
        <v>21.0</v>
      </c>
      <c r="J69" s="19">
        <v>11.0</v>
      </c>
      <c r="K69" s="19">
        <v>13.0</v>
      </c>
      <c r="L69" s="19">
        <v>9.0</v>
      </c>
      <c r="M69" s="19">
        <v>15.0</v>
      </c>
      <c r="N69" s="19">
        <v>10.0</v>
      </c>
      <c r="O69" s="19">
        <v>30.0</v>
      </c>
      <c r="P69" s="19">
        <v>19.0</v>
      </c>
      <c r="Q69" s="19">
        <v>18.0</v>
      </c>
      <c r="R69" s="19">
        <v>17.0</v>
      </c>
      <c r="S69" s="19">
        <v>8.0</v>
      </c>
      <c r="T69" s="19">
        <v>10.0</v>
      </c>
      <c r="U69" s="19">
        <v>10.0</v>
      </c>
      <c r="V69" s="19">
        <v>20.0</v>
      </c>
      <c r="W69" s="19">
        <v>9.0</v>
      </c>
      <c r="X69" s="19">
        <v>9.0</v>
      </c>
      <c r="Y69" s="19">
        <v>16.0</v>
      </c>
      <c r="Z69" s="19">
        <v>23.0</v>
      </c>
      <c r="AA69" s="19">
        <v>16.0</v>
      </c>
      <c r="AB69" s="13">
        <f t="shared" ref="AB69:AB76" si="18">SUM(E69:AA69)</f>
        <v>329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14.0</v>
      </c>
      <c r="F70" s="19">
        <v>8.0</v>
      </c>
      <c r="G70" s="19">
        <v>3.0</v>
      </c>
      <c r="H70" s="19">
        <v>11.0</v>
      </c>
      <c r="I70" s="19">
        <v>15.0</v>
      </c>
      <c r="J70" s="19">
        <v>9.0</v>
      </c>
      <c r="K70" s="19">
        <v>9.0</v>
      </c>
      <c r="L70" s="19">
        <v>8.0</v>
      </c>
      <c r="M70" s="19">
        <v>12.0</v>
      </c>
      <c r="N70" s="19">
        <v>8.0</v>
      </c>
      <c r="O70" s="19">
        <v>23.0</v>
      </c>
      <c r="P70" s="19">
        <v>19.0</v>
      </c>
      <c r="Q70" s="19">
        <v>19.0</v>
      </c>
      <c r="R70" s="19">
        <v>5.0</v>
      </c>
      <c r="S70" s="19">
        <v>14.0</v>
      </c>
      <c r="T70" s="19">
        <v>8.0</v>
      </c>
      <c r="U70" s="19">
        <v>8.0</v>
      </c>
      <c r="V70" s="19">
        <v>22.0</v>
      </c>
      <c r="W70" s="19">
        <v>26.0</v>
      </c>
      <c r="X70" s="19">
        <v>29.0</v>
      </c>
      <c r="Y70" s="19">
        <v>60.0</v>
      </c>
      <c r="Z70" s="19">
        <v>30.0</v>
      </c>
      <c r="AA70" s="19">
        <v>36.0</v>
      </c>
      <c r="AB70" s="13">
        <f t="shared" si="18"/>
        <v>396</v>
      </c>
    </row>
    <row r="71" ht="12.75" customHeight="1">
      <c r="A71" s="18"/>
      <c r="B71" s="55">
        <v>2.0</v>
      </c>
      <c r="C71" s="50" t="s">
        <v>58</v>
      </c>
      <c r="D71" s="57"/>
      <c r="E71" s="19">
        <v>6.0</v>
      </c>
      <c r="F71" s="19">
        <v>1.0</v>
      </c>
      <c r="G71" s="19">
        <v>4.0</v>
      </c>
      <c r="H71" s="19">
        <v>4.0</v>
      </c>
      <c r="I71" s="19">
        <v>5.0</v>
      </c>
      <c r="J71" s="19">
        <v>4.0</v>
      </c>
      <c r="K71" s="19">
        <v>4.0</v>
      </c>
      <c r="L71" s="19">
        <v>4.0</v>
      </c>
      <c r="M71" s="19">
        <v>1.0</v>
      </c>
      <c r="N71" s="19">
        <v>4.0</v>
      </c>
      <c r="O71" s="19">
        <v>4.0</v>
      </c>
      <c r="P71" s="19">
        <v>5.0</v>
      </c>
      <c r="Q71" s="19">
        <v>2.0</v>
      </c>
      <c r="R71" s="19">
        <v>3.0</v>
      </c>
      <c r="S71" s="19">
        <v>2.0</v>
      </c>
      <c r="T71" s="19">
        <v>6.0</v>
      </c>
      <c r="U71" s="19">
        <v>3.0</v>
      </c>
      <c r="V71" s="19">
        <v>3.0</v>
      </c>
      <c r="W71" s="19">
        <v>2.0</v>
      </c>
      <c r="X71" s="19">
        <v>2.0</v>
      </c>
      <c r="Y71" s="19">
        <v>0.0</v>
      </c>
      <c r="Z71" s="19">
        <v>2.0</v>
      </c>
      <c r="AA71" s="19">
        <v>6.0</v>
      </c>
      <c r="AB71" s="13">
        <f t="shared" si="18"/>
        <v>77</v>
      </c>
    </row>
    <row r="72" ht="12.75" customHeight="1">
      <c r="A72" s="18"/>
      <c r="B72" s="55">
        <v>3.0</v>
      </c>
      <c r="C72" s="50" t="s">
        <v>59</v>
      </c>
      <c r="D72" s="57"/>
      <c r="E72" s="19">
        <v>1.0</v>
      </c>
      <c r="F72" s="19">
        <v>5.0</v>
      </c>
      <c r="G72" s="19">
        <v>3.0</v>
      </c>
      <c r="H72" s="19">
        <v>3.0</v>
      </c>
      <c r="I72" s="19">
        <v>4.0</v>
      </c>
      <c r="J72" s="19">
        <v>4.0</v>
      </c>
      <c r="K72" s="19">
        <v>2.0</v>
      </c>
      <c r="L72" s="19">
        <v>1.0</v>
      </c>
      <c r="M72" s="19">
        <v>3.0</v>
      </c>
      <c r="N72" s="19">
        <v>5.0</v>
      </c>
      <c r="O72" s="19">
        <v>8.0</v>
      </c>
      <c r="P72" s="19">
        <v>7.0</v>
      </c>
      <c r="Q72" s="19">
        <v>4.0</v>
      </c>
      <c r="R72" s="19">
        <v>3.0</v>
      </c>
      <c r="S72" s="19">
        <v>6.0</v>
      </c>
      <c r="T72" s="19">
        <v>6.0</v>
      </c>
      <c r="U72" s="19">
        <v>2.0</v>
      </c>
      <c r="V72" s="19">
        <v>2.0</v>
      </c>
      <c r="W72" s="19">
        <v>3.0</v>
      </c>
      <c r="X72" s="19">
        <v>5.0</v>
      </c>
      <c r="Y72" s="19">
        <v>3.0</v>
      </c>
      <c r="Z72" s="19">
        <v>11.0</v>
      </c>
      <c r="AA72" s="19">
        <v>5.0</v>
      </c>
      <c r="AB72" s="13">
        <f t="shared" si="18"/>
        <v>96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1.0</v>
      </c>
      <c r="G73" s="19">
        <v>1.0</v>
      </c>
      <c r="H73" s="19">
        <v>0.0</v>
      </c>
      <c r="I73" s="19">
        <v>1.0</v>
      </c>
      <c r="J73" s="19">
        <v>0.0</v>
      </c>
      <c r="K73" s="19">
        <v>1.0</v>
      </c>
      <c r="L73" s="19">
        <v>1.0</v>
      </c>
      <c r="M73" s="19">
        <v>0.0</v>
      </c>
      <c r="N73" s="19">
        <v>0.0</v>
      </c>
      <c r="O73" s="19">
        <v>0.0</v>
      </c>
      <c r="P73" s="19">
        <v>1.0</v>
      </c>
      <c r="Q73" s="19">
        <v>0.0</v>
      </c>
      <c r="R73" s="19">
        <v>1.0</v>
      </c>
      <c r="S73" s="19">
        <v>0.0</v>
      </c>
      <c r="T73" s="19">
        <v>1.0</v>
      </c>
      <c r="U73" s="19">
        <v>4.0</v>
      </c>
      <c r="V73" s="19">
        <v>1.0</v>
      </c>
      <c r="W73" s="19">
        <v>0.0</v>
      </c>
      <c r="X73" s="19">
        <v>0.0</v>
      </c>
      <c r="Y73" s="19">
        <v>1.0</v>
      </c>
      <c r="Z73" s="19">
        <v>1.0</v>
      </c>
      <c r="AA73" s="19">
        <v>1.0</v>
      </c>
      <c r="AB73" s="13">
        <f t="shared" si="18"/>
        <v>16</v>
      </c>
    </row>
    <row r="74" ht="12.75" customHeight="1">
      <c r="A74" s="18"/>
      <c r="B74" s="55">
        <v>5.0</v>
      </c>
      <c r="C74" s="50" t="s">
        <v>61</v>
      </c>
      <c r="D74" s="57"/>
      <c r="E74" s="19">
        <v>5.0</v>
      </c>
      <c r="F74" s="19">
        <v>2.0</v>
      </c>
      <c r="G74" s="19">
        <v>6.0</v>
      </c>
      <c r="H74" s="19">
        <v>11.0</v>
      </c>
      <c r="I74" s="19">
        <v>7.0</v>
      </c>
      <c r="J74" s="19">
        <v>4.0</v>
      </c>
      <c r="K74" s="19">
        <v>8.0</v>
      </c>
      <c r="L74" s="19">
        <v>4.0</v>
      </c>
      <c r="M74" s="19">
        <v>10.0</v>
      </c>
      <c r="N74" s="19">
        <v>2.0</v>
      </c>
      <c r="O74" s="19">
        <v>4.0</v>
      </c>
      <c r="P74" s="19">
        <v>6.0</v>
      </c>
      <c r="Q74" s="19">
        <v>2.0</v>
      </c>
      <c r="R74" s="19">
        <v>0.0</v>
      </c>
      <c r="S74" s="19">
        <v>4.0</v>
      </c>
      <c r="T74" s="19">
        <v>1.0</v>
      </c>
      <c r="U74" s="19">
        <v>4.0</v>
      </c>
      <c r="V74" s="19">
        <v>0.0</v>
      </c>
      <c r="W74" s="19">
        <v>2.0</v>
      </c>
      <c r="X74" s="19">
        <v>6.0</v>
      </c>
      <c r="Y74" s="19">
        <v>3.0</v>
      </c>
      <c r="Z74" s="19">
        <v>3.0</v>
      </c>
      <c r="AA74" s="19">
        <v>6.0</v>
      </c>
      <c r="AB74" s="13">
        <f t="shared" si="18"/>
        <v>100</v>
      </c>
    </row>
    <row r="75" ht="12.75" customHeight="1">
      <c r="A75" s="18"/>
      <c r="B75" s="55">
        <v>6.0</v>
      </c>
      <c r="C75" s="50" t="s">
        <v>62</v>
      </c>
      <c r="D75" s="57"/>
      <c r="E75" s="19">
        <v>2.0</v>
      </c>
      <c r="F75" s="19">
        <v>2.0</v>
      </c>
      <c r="G75" s="19">
        <v>4.0</v>
      </c>
      <c r="H75" s="19">
        <v>11.0</v>
      </c>
      <c r="I75" s="19">
        <v>6.0</v>
      </c>
      <c r="J75" s="19">
        <v>1.0</v>
      </c>
      <c r="K75" s="19">
        <v>5.0</v>
      </c>
      <c r="L75" s="19">
        <v>0.0</v>
      </c>
      <c r="M75" s="19">
        <v>1.0</v>
      </c>
      <c r="N75" s="19">
        <v>1.0</v>
      </c>
      <c r="O75" s="19">
        <v>17.0</v>
      </c>
      <c r="P75" s="19">
        <v>3.0</v>
      </c>
      <c r="Q75" s="19">
        <v>2.0</v>
      </c>
      <c r="R75" s="19">
        <v>0.0</v>
      </c>
      <c r="S75" s="19">
        <v>2.0</v>
      </c>
      <c r="T75" s="19">
        <v>1.0</v>
      </c>
      <c r="U75" s="19">
        <v>5.0</v>
      </c>
      <c r="V75" s="19">
        <v>0.0</v>
      </c>
      <c r="W75" s="19">
        <v>2.0</v>
      </c>
      <c r="X75" s="19">
        <v>1.0</v>
      </c>
      <c r="Y75" s="19">
        <v>1.0</v>
      </c>
      <c r="Z75" s="19">
        <v>3.0</v>
      </c>
      <c r="AA75" s="19">
        <v>4.0</v>
      </c>
      <c r="AB75" s="13">
        <f t="shared" si="18"/>
        <v>74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0.0</v>
      </c>
      <c r="G76" s="19">
        <v>0.0</v>
      </c>
      <c r="H76" s="19">
        <v>1.0</v>
      </c>
      <c r="I76" s="19">
        <v>1.0</v>
      </c>
      <c r="J76" s="19">
        <v>1.0</v>
      </c>
      <c r="K76" s="19">
        <v>2.0</v>
      </c>
      <c r="L76" s="19">
        <v>0.0</v>
      </c>
      <c r="M76" s="19">
        <v>1.0</v>
      </c>
      <c r="N76" s="19">
        <v>0.0</v>
      </c>
      <c r="O76" s="19">
        <v>0.0</v>
      </c>
      <c r="P76" s="19">
        <v>1.0</v>
      </c>
      <c r="Q76" s="19">
        <v>0.0</v>
      </c>
      <c r="R76" s="19">
        <v>1.0</v>
      </c>
      <c r="S76" s="19">
        <v>0.0</v>
      </c>
      <c r="T76" s="19">
        <v>0.0</v>
      </c>
      <c r="U76" s="19">
        <v>0.0</v>
      </c>
      <c r="V76" s="19">
        <v>0.0</v>
      </c>
      <c r="W76" s="19">
        <v>0.0</v>
      </c>
      <c r="X76" s="19">
        <v>0.0</v>
      </c>
      <c r="Y76" s="19">
        <v>0.0</v>
      </c>
      <c r="Z76" s="19">
        <v>0.0</v>
      </c>
      <c r="AA76" s="19">
        <v>4.0</v>
      </c>
      <c r="AB76" s="13">
        <f t="shared" si="18"/>
        <v>12</v>
      </c>
    </row>
    <row r="77" ht="12.75" customHeight="1">
      <c r="A77" s="18"/>
      <c r="B77" s="71"/>
      <c r="C77" s="72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79"/>
    </row>
    <row r="78" ht="12.75" customHeight="1">
      <c r="A78" s="18"/>
      <c r="B78" s="71"/>
      <c r="C78" s="72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79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B79" si="19">SUM(E69:E78)</f>
        <v>42</v>
      </c>
      <c r="F79" s="13">
        <f t="shared" si="19"/>
        <v>20</v>
      </c>
      <c r="G79" s="13">
        <f t="shared" si="19"/>
        <v>34</v>
      </c>
      <c r="H79" s="13">
        <f t="shared" si="19"/>
        <v>58</v>
      </c>
      <c r="I79" s="13">
        <f t="shared" si="19"/>
        <v>60</v>
      </c>
      <c r="J79" s="13">
        <f t="shared" si="19"/>
        <v>34</v>
      </c>
      <c r="K79" s="13">
        <f t="shared" si="19"/>
        <v>44</v>
      </c>
      <c r="L79" s="13">
        <f t="shared" si="19"/>
        <v>27</v>
      </c>
      <c r="M79" s="13">
        <f t="shared" si="19"/>
        <v>43</v>
      </c>
      <c r="N79" s="13">
        <f t="shared" si="19"/>
        <v>30</v>
      </c>
      <c r="O79" s="13">
        <f t="shared" si="19"/>
        <v>86</v>
      </c>
      <c r="P79" s="13">
        <f t="shared" si="19"/>
        <v>61</v>
      </c>
      <c r="Q79" s="13">
        <f t="shared" si="19"/>
        <v>47</v>
      </c>
      <c r="R79" s="13">
        <f t="shared" si="19"/>
        <v>30</v>
      </c>
      <c r="S79" s="13">
        <f t="shared" si="19"/>
        <v>36</v>
      </c>
      <c r="T79" s="13">
        <f t="shared" si="19"/>
        <v>33</v>
      </c>
      <c r="U79" s="13">
        <f t="shared" si="19"/>
        <v>36</v>
      </c>
      <c r="V79" s="13">
        <f t="shared" si="19"/>
        <v>48</v>
      </c>
      <c r="W79" s="13">
        <f t="shared" si="19"/>
        <v>44</v>
      </c>
      <c r="X79" s="13">
        <f t="shared" si="19"/>
        <v>52</v>
      </c>
      <c r="Y79" s="13">
        <f t="shared" si="19"/>
        <v>84</v>
      </c>
      <c r="Z79" s="13">
        <f t="shared" si="19"/>
        <v>73</v>
      </c>
      <c r="AA79" s="13">
        <f t="shared" si="19"/>
        <v>78</v>
      </c>
      <c r="AB79" s="13">
        <f t="shared" si="19"/>
        <v>1100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2.0</v>
      </c>
      <c r="F81" s="19">
        <v>9.0</v>
      </c>
      <c r="G81" s="19">
        <v>5.0</v>
      </c>
      <c r="H81" s="19">
        <v>2.0</v>
      </c>
      <c r="I81" s="19">
        <v>5.0</v>
      </c>
      <c r="J81" s="19">
        <v>2.0</v>
      </c>
      <c r="K81" s="19">
        <v>0.0</v>
      </c>
      <c r="L81" s="19">
        <v>5.0</v>
      </c>
      <c r="M81" s="19">
        <v>3.0</v>
      </c>
      <c r="N81" s="19">
        <v>2.0</v>
      </c>
      <c r="O81" s="19">
        <v>4.0</v>
      </c>
      <c r="P81" s="19">
        <v>4.0</v>
      </c>
      <c r="Q81" s="19">
        <v>3.0</v>
      </c>
      <c r="R81" s="19">
        <v>2.0</v>
      </c>
      <c r="S81" s="19">
        <v>1.0</v>
      </c>
      <c r="T81" s="19">
        <v>2.0</v>
      </c>
      <c r="U81" s="19">
        <v>1.0</v>
      </c>
      <c r="V81" s="19">
        <v>2.0</v>
      </c>
      <c r="W81" s="19">
        <v>5.0</v>
      </c>
      <c r="X81" s="19">
        <v>3.0</v>
      </c>
      <c r="Y81" s="19">
        <v>4.0</v>
      </c>
      <c r="Z81" s="19">
        <v>1.0</v>
      </c>
      <c r="AA81" s="19">
        <v>3.0</v>
      </c>
      <c r="AB81" s="13">
        <f t="shared" ref="AB81:AB88" si="20">SUM(E81:AA81)</f>
        <v>70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8.0</v>
      </c>
      <c r="F82" s="19">
        <v>133.0</v>
      </c>
      <c r="G82" s="19">
        <v>49.0</v>
      </c>
      <c r="H82" s="19">
        <v>2.0</v>
      </c>
      <c r="I82" s="19">
        <v>9.0</v>
      </c>
      <c r="J82" s="19">
        <v>3.0</v>
      </c>
      <c r="K82" s="19">
        <v>13.0</v>
      </c>
      <c r="L82" s="19">
        <v>7.0</v>
      </c>
      <c r="M82" s="19">
        <v>2.0</v>
      </c>
      <c r="N82" s="19">
        <v>7.0</v>
      </c>
      <c r="O82" s="19">
        <v>4.0</v>
      </c>
      <c r="P82" s="19">
        <v>11.0</v>
      </c>
      <c r="Q82" s="19">
        <v>2.0</v>
      </c>
      <c r="R82" s="19">
        <v>2.0</v>
      </c>
      <c r="S82" s="19">
        <v>3.0</v>
      </c>
      <c r="T82" s="19">
        <v>3.0</v>
      </c>
      <c r="U82" s="19">
        <v>0.0</v>
      </c>
      <c r="V82" s="19">
        <v>1.0</v>
      </c>
      <c r="W82" s="19">
        <v>17.0</v>
      </c>
      <c r="X82" s="19">
        <v>2.0</v>
      </c>
      <c r="Y82" s="19">
        <v>2.0</v>
      </c>
      <c r="Z82" s="19">
        <v>3.0</v>
      </c>
      <c r="AA82" s="19">
        <v>7.0</v>
      </c>
      <c r="AB82" s="13">
        <f t="shared" si="20"/>
        <v>290</v>
      </c>
    </row>
    <row r="83" ht="12.75" customHeight="1">
      <c r="A83" s="18"/>
      <c r="B83" s="55">
        <v>2.0</v>
      </c>
      <c r="C83" s="50" t="s">
        <v>66</v>
      </c>
      <c r="D83" s="57"/>
      <c r="E83" s="19">
        <v>3.0</v>
      </c>
      <c r="F83" s="19">
        <v>1.0</v>
      </c>
      <c r="G83" s="19">
        <v>7.0</v>
      </c>
      <c r="H83" s="19">
        <v>14.0</v>
      </c>
      <c r="I83" s="19">
        <v>7.0</v>
      </c>
      <c r="J83" s="19">
        <v>5.0</v>
      </c>
      <c r="K83" s="19">
        <v>14.0</v>
      </c>
      <c r="L83" s="19">
        <v>9.0</v>
      </c>
      <c r="M83" s="19">
        <v>12.0</v>
      </c>
      <c r="N83" s="19">
        <v>3.0</v>
      </c>
      <c r="O83" s="19">
        <v>4.0</v>
      </c>
      <c r="P83" s="19">
        <v>21.0</v>
      </c>
      <c r="Q83" s="19">
        <v>40.0</v>
      </c>
      <c r="R83" s="19">
        <v>4.0</v>
      </c>
      <c r="S83" s="19">
        <v>3.0</v>
      </c>
      <c r="T83" s="19">
        <v>3.0</v>
      </c>
      <c r="U83" s="19">
        <v>3.0</v>
      </c>
      <c r="V83" s="19">
        <v>1.0</v>
      </c>
      <c r="W83" s="19">
        <v>2.0</v>
      </c>
      <c r="X83" s="19">
        <v>7.0</v>
      </c>
      <c r="Y83" s="19">
        <v>7.0</v>
      </c>
      <c r="Z83" s="19">
        <v>2.0</v>
      </c>
      <c r="AA83" s="19">
        <v>9.0</v>
      </c>
      <c r="AB83" s="13">
        <f t="shared" si="20"/>
        <v>181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0.0</v>
      </c>
      <c r="G84" s="19">
        <v>3.0</v>
      </c>
      <c r="H84" s="19">
        <v>1.0</v>
      </c>
      <c r="I84" s="19">
        <v>0.0</v>
      </c>
      <c r="J84" s="19">
        <v>0.0</v>
      </c>
      <c r="K84" s="19">
        <v>1.0</v>
      </c>
      <c r="L84" s="19">
        <v>1.0</v>
      </c>
      <c r="M84" s="19">
        <v>0.0</v>
      </c>
      <c r="N84" s="19">
        <v>0.0</v>
      </c>
      <c r="O84" s="19">
        <v>0.0</v>
      </c>
      <c r="P84" s="19">
        <v>0.0</v>
      </c>
      <c r="Q84" s="19">
        <v>1.0</v>
      </c>
      <c r="R84" s="19">
        <v>0.0</v>
      </c>
      <c r="S84" s="19">
        <v>0.0</v>
      </c>
      <c r="T84" s="19">
        <v>0.0</v>
      </c>
      <c r="U84" s="19">
        <v>0.0</v>
      </c>
      <c r="V84" s="19">
        <v>0.0</v>
      </c>
      <c r="W84" s="19">
        <v>0.0</v>
      </c>
      <c r="X84" s="19">
        <v>0.0</v>
      </c>
      <c r="Y84" s="19">
        <v>0.0</v>
      </c>
      <c r="Z84" s="19">
        <v>0.0</v>
      </c>
      <c r="AA84" s="19">
        <v>2.0</v>
      </c>
      <c r="AB84" s="13">
        <f t="shared" si="20"/>
        <v>9</v>
      </c>
    </row>
    <row r="85" ht="12.75" customHeight="1">
      <c r="A85" s="18"/>
      <c r="B85" s="55">
        <v>4.0</v>
      </c>
      <c r="C85" s="50" t="s">
        <v>68</v>
      </c>
      <c r="D85" s="57"/>
      <c r="E85" s="19">
        <v>1.0</v>
      </c>
      <c r="F85" s="19">
        <v>0.0</v>
      </c>
      <c r="G85" s="19">
        <v>0.0</v>
      </c>
      <c r="H85" s="19">
        <v>1.0</v>
      </c>
      <c r="I85" s="19">
        <v>1.0</v>
      </c>
      <c r="J85" s="19">
        <v>1.0</v>
      </c>
      <c r="K85" s="19">
        <v>2.0</v>
      </c>
      <c r="L85" s="19">
        <v>0.0</v>
      </c>
      <c r="M85" s="19">
        <v>0.0</v>
      </c>
      <c r="N85" s="19">
        <v>0.0</v>
      </c>
      <c r="O85" s="19">
        <v>0.0</v>
      </c>
      <c r="P85" s="19">
        <v>1.0</v>
      </c>
      <c r="Q85" s="19">
        <v>1.0</v>
      </c>
      <c r="R85" s="19">
        <v>0.0</v>
      </c>
      <c r="S85" s="19">
        <v>0.0</v>
      </c>
      <c r="T85" s="19">
        <v>0.0</v>
      </c>
      <c r="U85" s="19">
        <v>1.0</v>
      </c>
      <c r="V85" s="19">
        <v>0.0</v>
      </c>
      <c r="W85" s="19">
        <v>0.0</v>
      </c>
      <c r="X85" s="19">
        <v>0.0</v>
      </c>
      <c r="Y85" s="19">
        <v>0.0</v>
      </c>
      <c r="Z85" s="19">
        <v>0.0</v>
      </c>
      <c r="AA85" s="19">
        <v>0.0</v>
      </c>
      <c r="AB85" s="13">
        <f t="shared" si="20"/>
        <v>9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0.0</v>
      </c>
      <c r="G86" s="19">
        <v>0.0</v>
      </c>
      <c r="H86" s="19">
        <v>4.0</v>
      </c>
      <c r="I86" s="19">
        <v>0.0</v>
      </c>
      <c r="J86" s="19">
        <v>1.0</v>
      </c>
      <c r="K86" s="19">
        <v>1.0</v>
      </c>
      <c r="L86" s="19">
        <v>1.0</v>
      </c>
      <c r="M86" s="19">
        <v>0.0</v>
      </c>
      <c r="N86" s="19">
        <v>1.0</v>
      </c>
      <c r="O86" s="19">
        <v>0.0</v>
      </c>
      <c r="P86" s="19">
        <v>0.0</v>
      </c>
      <c r="Q86" s="19">
        <v>0.0</v>
      </c>
      <c r="R86" s="19">
        <v>0.0</v>
      </c>
      <c r="S86" s="19">
        <v>0.0</v>
      </c>
      <c r="T86" s="19">
        <v>0.0</v>
      </c>
      <c r="U86" s="19">
        <v>0.0</v>
      </c>
      <c r="V86" s="19">
        <v>0.0</v>
      </c>
      <c r="W86" s="19">
        <v>0.0</v>
      </c>
      <c r="X86" s="19">
        <v>1.0</v>
      </c>
      <c r="Y86" s="19">
        <v>0.0</v>
      </c>
      <c r="Z86" s="19">
        <v>0.0</v>
      </c>
      <c r="AA86" s="19">
        <v>1.0</v>
      </c>
      <c r="AB86" s="13">
        <f t="shared" si="20"/>
        <v>10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1.0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1.0</v>
      </c>
      <c r="Z87" s="19">
        <v>0.0</v>
      </c>
      <c r="AA87" s="19">
        <v>0.0</v>
      </c>
      <c r="AB87" s="13">
        <f t="shared" si="20"/>
        <v>2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1.0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3">
        <f t="shared" si="20"/>
        <v>1</v>
      </c>
    </row>
    <row r="89" ht="12.75" customHeight="1">
      <c r="A89" s="18"/>
      <c r="B89" s="71"/>
      <c r="C89" s="72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79"/>
    </row>
    <row r="90" ht="12.75" customHeight="1">
      <c r="A90" s="18"/>
      <c r="B90" s="71"/>
      <c r="C90" s="72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79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B91" si="21">SUM(E81:E90)</f>
        <v>14</v>
      </c>
      <c r="F91" s="13">
        <f t="shared" si="21"/>
        <v>144</v>
      </c>
      <c r="G91" s="13">
        <f t="shared" si="21"/>
        <v>64</v>
      </c>
      <c r="H91" s="13">
        <f t="shared" si="21"/>
        <v>24</v>
      </c>
      <c r="I91" s="13">
        <f t="shared" si="21"/>
        <v>22</v>
      </c>
      <c r="J91" s="13">
        <f t="shared" si="21"/>
        <v>12</v>
      </c>
      <c r="K91" s="13">
        <f t="shared" si="21"/>
        <v>31</v>
      </c>
      <c r="L91" s="13">
        <f t="shared" si="21"/>
        <v>23</v>
      </c>
      <c r="M91" s="13">
        <f t="shared" si="21"/>
        <v>17</v>
      </c>
      <c r="N91" s="13">
        <f t="shared" si="21"/>
        <v>13</v>
      </c>
      <c r="O91" s="13">
        <f t="shared" si="21"/>
        <v>12</v>
      </c>
      <c r="P91" s="13">
        <f t="shared" si="21"/>
        <v>38</v>
      </c>
      <c r="Q91" s="13">
        <f t="shared" si="21"/>
        <v>47</v>
      </c>
      <c r="R91" s="13">
        <f t="shared" si="21"/>
        <v>8</v>
      </c>
      <c r="S91" s="13">
        <f t="shared" si="21"/>
        <v>7</v>
      </c>
      <c r="T91" s="13">
        <f t="shared" si="21"/>
        <v>8</v>
      </c>
      <c r="U91" s="13">
        <f t="shared" si="21"/>
        <v>5</v>
      </c>
      <c r="V91" s="13">
        <f t="shared" si="21"/>
        <v>4</v>
      </c>
      <c r="W91" s="13">
        <f t="shared" si="21"/>
        <v>24</v>
      </c>
      <c r="X91" s="13">
        <f t="shared" si="21"/>
        <v>13</v>
      </c>
      <c r="Y91" s="13">
        <f t="shared" si="21"/>
        <v>14</v>
      </c>
      <c r="Z91" s="13">
        <f t="shared" si="21"/>
        <v>6</v>
      </c>
      <c r="AA91" s="13">
        <f t="shared" si="21"/>
        <v>22</v>
      </c>
      <c r="AB91" s="13">
        <f t="shared" si="21"/>
        <v>572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1.0</v>
      </c>
      <c r="F93" s="19">
        <v>0.0</v>
      </c>
      <c r="G93" s="19">
        <v>1.0</v>
      </c>
      <c r="H93" s="19">
        <v>1.0</v>
      </c>
      <c r="I93" s="19">
        <v>0.0</v>
      </c>
      <c r="J93" s="19">
        <v>0.0</v>
      </c>
      <c r="K93" s="19">
        <v>2.0</v>
      </c>
      <c r="L93" s="19">
        <v>7.0</v>
      </c>
      <c r="M93" s="19">
        <v>11.0</v>
      </c>
      <c r="N93" s="19">
        <v>10.0</v>
      </c>
      <c r="O93" s="19">
        <v>0.0</v>
      </c>
      <c r="P93" s="19">
        <v>6.0</v>
      </c>
      <c r="Q93" s="19">
        <v>0.0</v>
      </c>
      <c r="R93" s="19">
        <v>1.0</v>
      </c>
      <c r="S93" s="19">
        <v>0.0</v>
      </c>
      <c r="T93" s="19">
        <v>0.0</v>
      </c>
      <c r="U93" s="19">
        <v>1.0</v>
      </c>
      <c r="V93" s="19">
        <v>2.0</v>
      </c>
      <c r="W93" s="19">
        <v>1.0</v>
      </c>
      <c r="X93" s="19">
        <v>1.0</v>
      </c>
      <c r="Y93" s="19">
        <v>0.0</v>
      </c>
      <c r="Z93" s="19">
        <v>1.0</v>
      </c>
      <c r="AA93" s="19">
        <v>0.0</v>
      </c>
      <c r="AB93" s="13">
        <f t="shared" ref="AB93:AB100" si="22">SUM(E93:AA93)</f>
        <v>46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2.0</v>
      </c>
      <c r="F94" s="19">
        <v>1.0</v>
      </c>
      <c r="G94" s="19">
        <v>3.0</v>
      </c>
      <c r="H94" s="19">
        <v>1.0</v>
      </c>
      <c r="I94" s="19">
        <v>0.0</v>
      </c>
      <c r="J94" s="19">
        <v>1.0</v>
      </c>
      <c r="K94" s="19">
        <v>1.0</v>
      </c>
      <c r="L94" s="19">
        <v>1.0</v>
      </c>
      <c r="M94" s="19">
        <v>2.0</v>
      </c>
      <c r="N94" s="19">
        <v>4.0</v>
      </c>
      <c r="O94" s="19">
        <v>0.0</v>
      </c>
      <c r="P94" s="19">
        <v>3.0</v>
      </c>
      <c r="Q94" s="19">
        <v>5.0</v>
      </c>
      <c r="R94" s="19">
        <v>0.0</v>
      </c>
      <c r="S94" s="19">
        <v>11.0</v>
      </c>
      <c r="T94" s="19">
        <v>5.0</v>
      </c>
      <c r="U94" s="19">
        <v>1.0</v>
      </c>
      <c r="V94" s="19">
        <v>3.0</v>
      </c>
      <c r="W94" s="19">
        <v>1.0</v>
      </c>
      <c r="X94" s="19">
        <v>1.0</v>
      </c>
      <c r="Y94" s="19">
        <v>0.0</v>
      </c>
      <c r="Z94" s="19">
        <v>0.0</v>
      </c>
      <c r="AA94" s="19">
        <v>1.0</v>
      </c>
      <c r="AB94" s="13">
        <f t="shared" si="22"/>
        <v>47</v>
      </c>
    </row>
    <row r="95" ht="12.75" customHeight="1">
      <c r="A95" s="18"/>
      <c r="B95" s="55">
        <v>2.0</v>
      </c>
      <c r="C95" s="50" t="s">
        <v>75</v>
      </c>
      <c r="D95" s="57"/>
      <c r="E95" s="19">
        <v>3.0</v>
      </c>
      <c r="F95" s="19">
        <v>0.0</v>
      </c>
      <c r="G95" s="19">
        <v>0.0</v>
      </c>
      <c r="H95" s="19">
        <v>1.0</v>
      </c>
      <c r="I95" s="19">
        <v>3.0</v>
      </c>
      <c r="J95" s="19">
        <v>0.0</v>
      </c>
      <c r="K95" s="19">
        <v>3.0</v>
      </c>
      <c r="L95" s="19">
        <v>0.0</v>
      </c>
      <c r="M95" s="19">
        <v>0.0</v>
      </c>
      <c r="N95" s="19">
        <v>1.0</v>
      </c>
      <c r="O95" s="19">
        <v>16.0</v>
      </c>
      <c r="P95" s="19">
        <v>0.0</v>
      </c>
      <c r="Q95" s="19">
        <v>0.0</v>
      </c>
      <c r="R95" s="19">
        <v>1.0</v>
      </c>
      <c r="S95" s="19">
        <v>0.0</v>
      </c>
      <c r="T95" s="19">
        <v>1.0</v>
      </c>
      <c r="U95" s="19">
        <v>4.0</v>
      </c>
      <c r="V95" s="19">
        <v>22.0</v>
      </c>
      <c r="W95" s="19">
        <v>15.0</v>
      </c>
      <c r="X95" s="19">
        <v>8.0</v>
      </c>
      <c r="Y95" s="19">
        <v>5.0</v>
      </c>
      <c r="Z95" s="19">
        <v>34.0</v>
      </c>
      <c r="AA95" s="19">
        <v>16.0</v>
      </c>
      <c r="AB95" s="13">
        <f t="shared" si="22"/>
        <v>133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1.0</v>
      </c>
      <c r="H96" s="19">
        <v>0.0</v>
      </c>
      <c r="I96" s="19">
        <v>1.0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1.0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1.0</v>
      </c>
      <c r="X96" s="19">
        <v>0.0</v>
      </c>
      <c r="Y96" s="19">
        <v>0.0</v>
      </c>
      <c r="Z96" s="19">
        <v>1.0</v>
      </c>
      <c r="AA96" s="19">
        <v>0.0</v>
      </c>
      <c r="AB96" s="13">
        <f t="shared" si="22"/>
        <v>5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0.0</v>
      </c>
      <c r="G97" s="19">
        <v>0.0</v>
      </c>
      <c r="H97" s="19">
        <v>1.0</v>
      </c>
      <c r="I97" s="19">
        <v>0.0</v>
      </c>
      <c r="J97" s="19">
        <v>1.0</v>
      </c>
      <c r="K97" s="19">
        <v>2.0</v>
      </c>
      <c r="L97" s="19">
        <v>0.0</v>
      </c>
      <c r="M97" s="19">
        <v>1.0</v>
      </c>
      <c r="N97" s="19">
        <v>1.0</v>
      </c>
      <c r="O97" s="19">
        <v>0.0</v>
      </c>
      <c r="P97" s="19">
        <v>5.0</v>
      </c>
      <c r="Q97" s="19">
        <v>0.0</v>
      </c>
      <c r="R97" s="19">
        <v>0.0</v>
      </c>
      <c r="S97" s="19">
        <v>0.0</v>
      </c>
      <c r="T97" s="19">
        <v>1.0</v>
      </c>
      <c r="U97" s="19">
        <v>0.0</v>
      </c>
      <c r="V97" s="19">
        <v>1.0</v>
      </c>
      <c r="W97" s="19">
        <v>0.0</v>
      </c>
      <c r="X97" s="19">
        <v>0.0</v>
      </c>
      <c r="Y97" s="19">
        <v>2.0</v>
      </c>
      <c r="Z97" s="19">
        <v>0.0</v>
      </c>
      <c r="AA97" s="19">
        <v>1.0</v>
      </c>
      <c r="AB97" s="13">
        <f t="shared" si="22"/>
        <v>16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1.0</v>
      </c>
      <c r="L98" s="19">
        <v>1.0</v>
      </c>
      <c r="M98" s="19">
        <v>1.0</v>
      </c>
      <c r="N98" s="19">
        <v>1.0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3">
        <f t="shared" si="22"/>
        <v>4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1.0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1.0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1.0</v>
      </c>
      <c r="Y99" s="19">
        <v>0.0</v>
      </c>
      <c r="Z99" s="19">
        <v>0.0</v>
      </c>
      <c r="AA99" s="19">
        <v>0.0</v>
      </c>
      <c r="AB99" s="13">
        <f t="shared" si="22"/>
        <v>3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1.0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1.0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3">
        <f t="shared" si="22"/>
        <v>2</v>
      </c>
    </row>
    <row r="101" ht="12.75" customHeight="1">
      <c r="A101" s="18"/>
      <c r="B101" s="71"/>
      <c r="C101" s="72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79"/>
    </row>
    <row r="102" ht="12.75" customHeight="1">
      <c r="A102" s="18"/>
      <c r="B102" s="71"/>
      <c r="C102" s="72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79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B103" si="23">SUM(E93:E102)</f>
        <v>6</v>
      </c>
      <c r="F103" s="13">
        <f t="shared" si="23"/>
        <v>2</v>
      </c>
      <c r="G103" s="13">
        <f t="shared" si="23"/>
        <v>5</v>
      </c>
      <c r="H103" s="13">
        <f t="shared" si="23"/>
        <v>5</v>
      </c>
      <c r="I103" s="13">
        <f t="shared" si="23"/>
        <v>4</v>
      </c>
      <c r="J103" s="13">
        <f t="shared" si="23"/>
        <v>2</v>
      </c>
      <c r="K103" s="13">
        <f t="shared" si="23"/>
        <v>9</v>
      </c>
      <c r="L103" s="13">
        <f t="shared" si="23"/>
        <v>9</v>
      </c>
      <c r="M103" s="13">
        <f t="shared" si="23"/>
        <v>15</v>
      </c>
      <c r="N103" s="13">
        <f t="shared" si="23"/>
        <v>17</v>
      </c>
      <c r="O103" s="13">
        <f t="shared" si="23"/>
        <v>16</v>
      </c>
      <c r="P103" s="13">
        <f t="shared" si="23"/>
        <v>16</v>
      </c>
      <c r="Q103" s="13">
        <f t="shared" si="23"/>
        <v>5</v>
      </c>
      <c r="R103" s="13">
        <f t="shared" si="23"/>
        <v>2</v>
      </c>
      <c r="S103" s="13">
        <f t="shared" si="23"/>
        <v>12</v>
      </c>
      <c r="T103" s="13">
        <f t="shared" si="23"/>
        <v>7</v>
      </c>
      <c r="U103" s="13">
        <f t="shared" si="23"/>
        <v>6</v>
      </c>
      <c r="V103" s="13">
        <f t="shared" si="23"/>
        <v>28</v>
      </c>
      <c r="W103" s="13">
        <f t="shared" si="23"/>
        <v>18</v>
      </c>
      <c r="X103" s="13">
        <f t="shared" si="23"/>
        <v>11</v>
      </c>
      <c r="Y103" s="13">
        <f t="shared" si="23"/>
        <v>7</v>
      </c>
      <c r="Z103" s="13">
        <f t="shared" si="23"/>
        <v>36</v>
      </c>
      <c r="AA103" s="13">
        <f t="shared" si="23"/>
        <v>18</v>
      </c>
      <c r="AB103" s="13">
        <f t="shared" si="23"/>
        <v>256</v>
      </c>
    </row>
    <row r="104" ht="12.75" customHeight="1">
      <c r="A104" s="45"/>
      <c r="B104" s="44"/>
      <c r="C104" s="44"/>
      <c r="D104" s="44"/>
      <c r="E104" s="44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3.0</v>
      </c>
      <c r="H105" s="19">
        <v>2.0</v>
      </c>
      <c r="I105" s="19">
        <v>2.0</v>
      </c>
      <c r="J105" s="19">
        <v>3.0</v>
      </c>
      <c r="K105" s="19">
        <v>1.0</v>
      </c>
      <c r="L105" s="19">
        <v>1.0</v>
      </c>
      <c r="M105" s="19">
        <v>3.0</v>
      </c>
      <c r="N105" s="19">
        <v>2.0</v>
      </c>
      <c r="O105" s="19">
        <v>0.0</v>
      </c>
      <c r="P105" s="19">
        <v>1.0</v>
      </c>
      <c r="Q105" s="19">
        <v>1.0</v>
      </c>
      <c r="R105" s="19">
        <v>0.0</v>
      </c>
      <c r="S105" s="19">
        <v>0.0</v>
      </c>
      <c r="T105" s="19">
        <v>1.0</v>
      </c>
      <c r="U105" s="19">
        <v>1.0</v>
      </c>
      <c r="V105" s="19">
        <v>0.0</v>
      </c>
      <c r="W105" s="19">
        <v>0.0</v>
      </c>
      <c r="X105" s="19">
        <v>1.0</v>
      </c>
      <c r="Y105" s="19">
        <v>1.0</v>
      </c>
      <c r="Z105" s="19">
        <v>0.0</v>
      </c>
      <c r="AA105" s="19">
        <v>2.0</v>
      </c>
      <c r="AB105" s="13">
        <f t="shared" ref="AB105:AB112" si="24">SUM(E105:AA105)</f>
        <v>25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1.0</v>
      </c>
      <c r="H106" s="19">
        <v>1.0</v>
      </c>
      <c r="I106" s="19">
        <v>1.0</v>
      </c>
      <c r="J106" s="19">
        <v>1.0</v>
      </c>
      <c r="K106" s="19">
        <v>0.0</v>
      </c>
      <c r="L106" s="19">
        <v>0.0</v>
      </c>
      <c r="M106" s="19">
        <v>0.0</v>
      </c>
      <c r="N106" s="19">
        <v>0.0</v>
      </c>
      <c r="O106" s="19">
        <v>1.0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3">
        <f t="shared" si="24"/>
        <v>5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1.0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3">
        <f t="shared" si="24"/>
        <v>1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3">
        <f t="shared" si="24"/>
        <v>0</v>
      </c>
    </row>
    <row r="113" ht="12.75" customHeight="1">
      <c r="A113" s="18"/>
      <c r="B113" s="71"/>
      <c r="C113" s="72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79"/>
    </row>
    <row r="114" ht="12.75" customHeight="1">
      <c r="A114" s="18"/>
      <c r="B114" s="71"/>
      <c r="C114" s="72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79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B115" si="25">SUM(E105:E114)</f>
        <v>0</v>
      </c>
      <c r="F115" s="13">
        <f t="shared" si="25"/>
        <v>0</v>
      </c>
      <c r="G115" s="13">
        <f t="shared" si="25"/>
        <v>4</v>
      </c>
      <c r="H115" s="13">
        <f t="shared" si="25"/>
        <v>3</v>
      </c>
      <c r="I115" s="13">
        <f t="shared" si="25"/>
        <v>4</v>
      </c>
      <c r="J115" s="13">
        <f t="shared" si="25"/>
        <v>4</v>
      </c>
      <c r="K115" s="13">
        <f t="shared" si="25"/>
        <v>1</v>
      </c>
      <c r="L115" s="13">
        <f t="shared" si="25"/>
        <v>1</v>
      </c>
      <c r="M115" s="13">
        <f t="shared" si="25"/>
        <v>3</v>
      </c>
      <c r="N115" s="13">
        <f t="shared" si="25"/>
        <v>2</v>
      </c>
      <c r="O115" s="13">
        <f t="shared" si="25"/>
        <v>1</v>
      </c>
      <c r="P115" s="13">
        <f t="shared" si="25"/>
        <v>1</v>
      </c>
      <c r="Q115" s="13">
        <f t="shared" si="25"/>
        <v>1</v>
      </c>
      <c r="R115" s="13">
        <f t="shared" si="25"/>
        <v>0</v>
      </c>
      <c r="S115" s="13">
        <f t="shared" si="25"/>
        <v>0</v>
      </c>
      <c r="T115" s="13">
        <f t="shared" si="25"/>
        <v>1</v>
      </c>
      <c r="U115" s="13">
        <f t="shared" si="25"/>
        <v>1</v>
      </c>
      <c r="V115" s="13">
        <f t="shared" si="25"/>
        <v>0</v>
      </c>
      <c r="W115" s="13">
        <f t="shared" si="25"/>
        <v>0</v>
      </c>
      <c r="X115" s="13">
        <f t="shared" si="25"/>
        <v>1</v>
      </c>
      <c r="Y115" s="13">
        <f t="shared" si="25"/>
        <v>1</v>
      </c>
      <c r="Z115" s="13">
        <f t="shared" si="25"/>
        <v>0</v>
      </c>
      <c r="AA115" s="13">
        <f t="shared" si="25"/>
        <v>2</v>
      </c>
      <c r="AB115" s="13">
        <f t="shared" si="25"/>
        <v>31</v>
      </c>
    </row>
    <row r="116" ht="12.75" customHeight="1">
      <c r="A116" s="24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AB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0.0</v>
      </c>
      <c r="G117" s="19">
        <v>0.0</v>
      </c>
      <c r="H117" s="19">
        <v>1.0</v>
      </c>
      <c r="I117" s="19">
        <v>0.0</v>
      </c>
      <c r="J117" s="19">
        <v>1.0</v>
      </c>
      <c r="K117" s="19">
        <v>0.0</v>
      </c>
      <c r="L117" s="19">
        <v>1.0</v>
      </c>
      <c r="M117" s="19">
        <v>0.0</v>
      </c>
      <c r="N117" s="19">
        <v>0.0</v>
      </c>
      <c r="O117" s="19">
        <v>1.0</v>
      </c>
      <c r="P117" s="19">
        <v>1.0</v>
      </c>
      <c r="Q117" s="19">
        <v>0.0</v>
      </c>
      <c r="R117" s="19">
        <v>1.0</v>
      </c>
      <c r="S117" s="19">
        <v>1.0</v>
      </c>
      <c r="T117" s="19">
        <v>4.0</v>
      </c>
      <c r="U117" s="19">
        <v>1.0</v>
      </c>
      <c r="V117" s="19">
        <v>2.0</v>
      </c>
      <c r="W117" s="19">
        <v>1.0</v>
      </c>
      <c r="X117" s="19">
        <v>0.0</v>
      </c>
      <c r="Y117" s="19">
        <v>0.0</v>
      </c>
      <c r="Z117" s="19">
        <v>0.0</v>
      </c>
      <c r="AA117" s="19">
        <v>0.0</v>
      </c>
      <c r="AB117" s="13">
        <f t="shared" ref="AB117:AB120" si="26">SUM(E117:AA117)</f>
        <v>16</v>
      </c>
      <c r="AC117" s="5"/>
      <c r="AD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1.0</v>
      </c>
      <c r="F118" s="19">
        <v>1.0</v>
      </c>
      <c r="G118" s="19">
        <v>1.0</v>
      </c>
      <c r="H118" s="19">
        <v>0.0</v>
      </c>
      <c r="I118" s="19">
        <v>0.0</v>
      </c>
      <c r="J118" s="19">
        <v>2.0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1.0</v>
      </c>
      <c r="R118" s="19">
        <v>0.0</v>
      </c>
      <c r="S118" s="19">
        <v>1.0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3">
        <f t="shared" si="26"/>
        <v>7</v>
      </c>
      <c r="AC118" s="5"/>
      <c r="AD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1.0</v>
      </c>
      <c r="M119" s="19">
        <v>1.0</v>
      </c>
      <c r="N119" s="19">
        <v>0.0</v>
      </c>
      <c r="O119" s="19">
        <v>0.0</v>
      </c>
      <c r="P119" s="19">
        <v>0.0</v>
      </c>
      <c r="Q119" s="19">
        <v>0.0</v>
      </c>
      <c r="R119" s="19">
        <v>1.0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3">
        <f t="shared" si="26"/>
        <v>3</v>
      </c>
      <c r="AC119" s="5"/>
      <c r="AD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1.0</v>
      </c>
      <c r="H120" s="19">
        <v>0.0</v>
      </c>
      <c r="I120" s="19">
        <v>0.0</v>
      </c>
      <c r="J120" s="19">
        <v>1.0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1.0</v>
      </c>
      <c r="AB120" s="13">
        <f t="shared" si="26"/>
        <v>3</v>
      </c>
      <c r="AC120" s="5"/>
      <c r="AD120" s="5"/>
    </row>
    <row r="121" ht="12.75" customHeight="1">
      <c r="A121" s="18"/>
      <c r="B121" s="71"/>
      <c r="C121" s="72"/>
      <c r="D121" s="7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79"/>
      <c r="AC121" s="5"/>
      <c r="AD121" s="5"/>
    </row>
    <row r="122" ht="12.75" customHeight="1">
      <c r="A122" s="18"/>
      <c r="B122" s="71"/>
      <c r="C122" s="72"/>
      <c r="D122" s="7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79"/>
      <c r="AC122" s="5"/>
      <c r="AD122" s="5"/>
    </row>
    <row r="123" ht="12.75" customHeight="1">
      <c r="A123" s="18"/>
      <c r="B123" s="71"/>
      <c r="C123" s="72"/>
      <c r="D123" s="7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79"/>
      <c r="AC123" s="5"/>
      <c r="AD123" s="5"/>
    </row>
    <row r="124" ht="12.75" customHeight="1">
      <c r="A124" s="18"/>
      <c r="B124" s="71"/>
      <c r="C124" s="72"/>
      <c r="D124" s="7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79"/>
      <c r="AC124" s="5"/>
      <c r="AD124" s="5"/>
    </row>
    <row r="125" ht="12.75" customHeight="1">
      <c r="A125" s="18"/>
      <c r="B125" s="71"/>
      <c r="C125" s="72"/>
      <c r="D125" s="7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79"/>
      <c r="AC125" s="5"/>
      <c r="AD125" s="5"/>
    </row>
    <row r="126" ht="12.75" customHeight="1">
      <c r="A126" s="18"/>
      <c r="B126" s="71"/>
      <c r="C126" s="72"/>
      <c r="D126" s="7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79"/>
      <c r="AC126" s="5"/>
      <c r="AD126" s="5"/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B127" si="27">SUM(E117:E126)</f>
        <v>2</v>
      </c>
      <c r="F127" s="13">
        <f t="shared" si="27"/>
        <v>1</v>
      </c>
      <c r="G127" s="13">
        <f t="shared" si="27"/>
        <v>2</v>
      </c>
      <c r="H127" s="13">
        <f t="shared" si="27"/>
        <v>1</v>
      </c>
      <c r="I127" s="13">
        <f t="shared" si="27"/>
        <v>0</v>
      </c>
      <c r="J127" s="13">
        <f t="shared" si="27"/>
        <v>4</v>
      </c>
      <c r="K127" s="13">
        <f t="shared" si="27"/>
        <v>0</v>
      </c>
      <c r="L127" s="13">
        <f t="shared" si="27"/>
        <v>2</v>
      </c>
      <c r="M127" s="13">
        <f t="shared" si="27"/>
        <v>1</v>
      </c>
      <c r="N127" s="13">
        <f t="shared" si="27"/>
        <v>0</v>
      </c>
      <c r="O127" s="13">
        <f t="shared" si="27"/>
        <v>1</v>
      </c>
      <c r="P127" s="13">
        <f t="shared" si="27"/>
        <v>1</v>
      </c>
      <c r="Q127" s="13">
        <f t="shared" si="27"/>
        <v>1</v>
      </c>
      <c r="R127" s="13">
        <f t="shared" si="27"/>
        <v>2</v>
      </c>
      <c r="S127" s="13">
        <f t="shared" si="27"/>
        <v>2</v>
      </c>
      <c r="T127" s="13">
        <f t="shared" si="27"/>
        <v>4</v>
      </c>
      <c r="U127" s="13">
        <f t="shared" si="27"/>
        <v>1</v>
      </c>
      <c r="V127" s="13">
        <f t="shared" si="27"/>
        <v>2</v>
      </c>
      <c r="W127" s="13">
        <f t="shared" si="27"/>
        <v>1</v>
      </c>
      <c r="X127" s="13">
        <f t="shared" si="27"/>
        <v>0</v>
      </c>
      <c r="Y127" s="13">
        <f t="shared" si="27"/>
        <v>0</v>
      </c>
      <c r="Z127" s="13">
        <f t="shared" si="27"/>
        <v>0</v>
      </c>
      <c r="AA127" s="13">
        <f t="shared" si="27"/>
        <v>1</v>
      </c>
      <c r="AB127" s="13">
        <f t="shared" si="27"/>
        <v>29</v>
      </c>
      <c r="AC127" s="5"/>
      <c r="AD127" s="5"/>
    </row>
    <row r="128" ht="12.75" customHeight="1">
      <c r="A128" s="24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5"/>
      <c r="AD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0.0</v>
      </c>
      <c r="I129" s="19">
        <v>0.0</v>
      </c>
      <c r="J129" s="19">
        <v>1.0</v>
      </c>
      <c r="K129" s="19">
        <v>1.0</v>
      </c>
      <c r="L129" s="19">
        <v>0.0</v>
      </c>
      <c r="M129" s="19">
        <v>1.0</v>
      </c>
      <c r="N129" s="19">
        <v>0.0</v>
      </c>
      <c r="O129" s="19">
        <v>0.0</v>
      </c>
      <c r="P129" s="19">
        <v>0.0</v>
      </c>
      <c r="Q129" s="19">
        <v>0.0</v>
      </c>
      <c r="R129" s="19">
        <v>1.0</v>
      </c>
      <c r="S129" s="19">
        <v>0.0</v>
      </c>
      <c r="T129" s="19">
        <v>1.0</v>
      </c>
      <c r="U129" s="19">
        <v>0.0</v>
      </c>
      <c r="V129" s="19">
        <v>0.0</v>
      </c>
      <c r="W129" s="19">
        <v>0.0</v>
      </c>
      <c r="X129" s="19">
        <v>1.0</v>
      </c>
      <c r="Y129" s="19">
        <v>0.0</v>
      </c>
      <c r="Z129" s="19">
        <v>0.0</v>
      </c>
      <c r="AA129" s="19">
        <v>1.0</v>
      </c>
      <c r="AB129" s="13">
        <f t="shared" ref="AB129:AB136" si="28">SUM(E129:AA129)</f>
        <v>7</v>
      </c>
      <c r="AC129" s="5"/>
      <c r="AD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2.0</v>
      </c>
      <c r="F130" s="19">
        <v>1.0</v>
      </c>
      <c r="G130" s="19">
        <v>0.0</v>
      </c>
      <c r="H130" s="19">
        <v>0.0</v>
      </c>
      <c r="I130" s="19">
        <v>3.0</v>
      </c>
      <c r="J130" s="19">
        <v>0.0</v>
      </c>
      <c r="K130" s="19">
        <v>0.0</v>
      </c>
      <c r="L130" s="19">
        <v>1.0</v>
      </c>
      <c r="M130" s="19">
        <v>0.0</v>
      </c>
      <c r="N130" s="19">
        <v>1.0</v>
      </c>
      <c r="O130" s="19">
        <v>0.0</v>
      </c>
      <c r="P130" s="19">
        <v>1.0</v>
      </c>
      <c r="Q130" s="19">
        <v>0.0</v>
      </c>
      <c r="R130" s="19">
        <v>0.0</v>
      </c>
      <c r="S130" s="19">
        <v>1.0</v>
      </c>
      <c r="T130" s="19">
        <v>0.0</v>
      </c>
      <c r="U130" s="19">
        <v>0.0</v>
      </c>
      <c r="V130" s="19">
        <v>0.0</v>
      </c>
      <c r="W130" s="19">
        <v>0.0</v>
      </c>
      <c r="X130" s="19">
        <v>3.0</v>
      </c>
      <c r="Y130" s="19">
        <v>9.0</v>
      </c>
      <c r="Z130" s="19">
        <v>3.0</v>
      </c>
      <c r="AA130" s="19">
        <v>3.0</v>
      </c>
      <c r="AB130" s="13">
        <f t="shared" si="28"/>
        <v>28</v>
      </c>
      <c r="AC130" s="1"/>
      <c r="AD130" s="1"/>
    </row>
    <row r="131" ht="12.75" customHeight="1">
      <c r="A131" s="18"/>
      <c r="B131" s="55">
        <v>2.0</v>
      </c>
      <c r="C131" s="50" t="s">
        <v>98</v>
      </c>
      <c r="D131" s="56"/>
      <c r="E131" s="19">
        <v>1.0</v>
      </c>
      <c r="F131" s="19">
        <v>0.0</v>
      </c>
      <c r="G131" s="19">
        <v>1.0</v>
      </c>
      <c r="H131" s="19">
        <v>0.0</v>
      </c>
      <c r="I131" s="19">
        <v>1.0</v>
      </c>
      <c r="J131" s="19">
        <v>1.0</v>
      </c>
      <c r="K131" s="19">
        <v>2.0</v>
      </c>
      <c r="L131" s="19">
        <v>2.0</v>
      </c>
      <c r="M131" s="19">
        <v>0.0</v>
      </c>
      <c r="N131" s="19">
        <v>0.0</v>
      </c>
      <c r="O131" s="19">
        <v>1.0</v>
      </c>
      <c r="P131" s="19">
        <v>0.0</v>
      </c>
      <c r="Q131" s="19">
        <v>0.0</v>
      </c>
      <c r="R131" s="19">
        <v>1.0</v>
      </c>
      <c r="S131" s="19">
        <v>0.0</v>
      </c>
      <c r="T131" s="19">
        <v>0.0</v>
      </c>
      <c r="U131" s="19">
        <v>0.0</v>
      </c>
      <c r="V131" s="19">
        <v>1.0</v>
      </c>
      <c r="W131" s="19">
        <v>0.0</v>
      </c>
      <c r="X131" s="19">
        <v>0.0</v>
      </c>
      <c r="Y131" s="19">
        <v>0.0</v>
      </c>
      <c r="Z131" s="19">
        <v>1.0</v>
      </c>
      <c r="AA131" s="19">
        <v>1.0</v>
      </c>
      <c r="AB131" s="13">
        <f t="shared" si="28"/>
        <v>13</v>
      </c>
      <c r="AC131" s="52"/>
      <c r="AD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1.0</v>
      </c>
      <c r="S132" s="19">
        <v>0.0</v>
      </c>
      <c r="T132" s="19">
        <v>0.0</v>
      </c>
      <c r="U132" s="19">
        <v>0.0</v>
      </c>
      <c r="V132" s="19">
        <v>0.0</v>
      </c>
      <c r="W132" s="19">
        <v>1.0</v>
      </c>
      <c r="X132" s="19">
        <v>0.0</v>
      </c>
      <c r="Y132" s="19">
        <v>0.0</v>
      </c>
      <c r="Z132" s="19">
        <v>0.0</v>
      </c>
      <c r="AA132" s="19">
        <v>0.0</v>
      </c>
      <c r="AB132" s="13">
        <f t="shared" si="28"/>
        <v>2</v>
      </c>
      <c r="AC132" s="5"/>
      <c r="AD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2.0</v>
      </c>
      <c r="Y133" s="19">
        <v>0.0</v>
      </c>
      <c r="Z133" s="19">
        <v>0.0</v>
      </c>
      <c r="AA133" s="19">
        <v>0.0</v>
      </c>
      <c r="AB133" s="13">
        <f t="shared" si="28"/>
        <v>2</v>
      </c>
      <c r="AC133" s="5"/>
      <c r="AD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1.0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3">
        <f t="shared" si="28"/>
        <v>1</v>
      </c>
      <c r="AC134" s="5"/>
      <c r="AD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3">
        <f t="shared" si="28"/>
        <v>0</v>
      </c>
      <c r="AC135" s="5"/>
      <c r="AD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1.0</v>
      </c>
      <c r="Y136" s="19">
        <v>0.0</v>
      </c>
      <c r="Z136" s="19">
        <v>0.0</v>
      </c>
      <c r="AA136" s="19">
        <v>0.0</v>
      </c>
      <c r="AB136" s="13">
        <f t="shared" si="28"/>
        <v>1</v>
      </c>
      <c r="AC136" s="5"/>
      <c r="AD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79"/>
      <c r="AC137" s="5"/>
      <c r="AD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79"/>
      <c r="AC138" s="5"/>
      <c r="AD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B139" si="29">SUM(E129:E138)</f>
        <v>3</v>
      </c>
      <c r="F139" s="13">
        <f t="shared" si="29"/>
        <v>2</v>
      </c>
      <c r="G139" s="13">
        <f t="shared" si="29"/>
        <v>1</v>
      </c>
      <c r="H139" s="13">
        <f t="shared" si="29"/>
        <v>0</v>
      </c>
      <c r="I139" s="13">
        <f t="shared" si="29"/>
        <v>4</v>
      </c>
      <c r="J139" s="13">
        <f t="shared" si="29"/>
        <v>2</v>
      </c>
      <c r="K139" s="13">
        <f t="shared" si="29"/>
        <v>3</v>
      </c>
      <c r="L139" s="13">
        <f t="shared" si="29"/>
        <v>3</v>
      </c>
      <c r="M139" s="13">
        <f t="shared" si="29"/>
        <v>1</v>
      </c>
      <c r="N139" s="13">
        <f t="shared" si="29"/>
        <v>1</v>
      </c>
      <c r="O139" s="13">
        <f t="shared" si="29"/>
        <v>1</v>
      </c>
      <c r="P139" s="13">
        <f t="shared" si="29"/>
        <v>1</v>
      </c>
      <c r="Q139" s="13">
        <f t="shared" si="29"/>
        <v>0</v>
      </c>
      <c r="R139" s="13">
        <f t="shared" si="29"/>
        <v>3</v>
      </c>
      <c r="S139" s="13">
        <f t="shared" si="29"/>
        <v>1</v>
      </c>
      <c r="T139" s="13">
        <f t="shared" si="29"/>
        <v>1</v>
      </c>
      <c r="U139" s="13">
        <f t="shared" si="29"/>
        <v>0</v>
      </c>
      <c r="V139" s="13">
        <f t="shared" si="29"/>
        <v>1</v>
      </c>
      <c r="W139" s="13">
        <f t="shared" si="29"/>
        <v>1</v>
      </c>
      <c r="X139" s="13">
        <f t="shared" si="29"/>
        <v>7</v>
      </c>
      <c r="Y139" s="13">
        <f t="shared" si="29"/>
        <v>9</v>
      </c>
      <c r="Z139" s="13">
        <f t="shared" si="29"/>
        <v>4</v>
      </c>
      <c r="AA139" s="13">
        <f t="shared" si="29"/>
        <v>5</v>
      </c>
      <c r="AB139" s="13">
        <f t="shared" si="29"/>
        <v>54</v>
      </c>
      <c r="AC139" s="5"/>
      <c r="AD139" s="5"/>
    </row>
    <row r="140" ht="12.75" customHeight="1">
      <c r="A140" s="24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5"/>
      <c r="AD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3">
        <f t="shared" ref="AB141:AB148" si="30">SUM(E141:AA141)</f>
        <v>0</v>
      </c>
      <c r="AC141" s="1"/>
      <c r="AD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1.0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1.0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3">
        <f t="shared" si="30"/>
        <v>2</v>
      </c>
      <c r="AC142" s="52"/>
      <c r="AD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1.0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3">
        <f t="shared" si="30"/>
        <v>1</v>
      </c>
      <c r="AC143" s="5"/>
      <c r="AD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3">
        <f t="shared" si="30"/>
        <v>0</v>
      </c>
      <c r="AC144" s="5"/>
      <c r="AD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3">
        <f t="shared" si="30"/>
        <v>0</v>
      </c>
      <c r="AC145" s="5"/>
      <c r="AD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3">
        <f t="shared" si="30"/>
        <v>0</v>
      </c>
      <c r="AC146" s="5"/>
      <c r="AD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3">
        <f t="shared" si="30"/>
        <v>0</v>
      </c>
      <c r="AC147" s="5"/>
      <c r="AD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3">
        <f t="shared" si="30"/>
        <v>0</v>
      </c>
      <c r="AC148" s="5"/>
      <c r="AD148" s="5"/>
    </row>
    <row r="149" ht="12.75" customHeight="1">
      <c r="A149" s="18"/>
      <c r="B149" s="71"/>
      <c r="C149" s="72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79"/>
      <c r="AC149" s="5"/>
      <c r="AD149" s="5"/>
    </row>
    <row r="150" ht="12.75" customHeight="1">
      <c r="A150" s="18"/>
      <c r="B150" s="71"/>
      <c r="C150" s="72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79"/>
      <c r="AC150" s="5"/>
      <c r="AD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>SUM(E141:E150)</f>
        <v>0</v>
      </c>
      <c r="F151" s="13">
        <f t="shared" ref="F151:AA151" si="31">SUM(F141:F148)</f>
        <v>0</v>
      </c>
      <c r="G151" s="13">
        <f t="shared" si="31"/>
        <v>0</v>
      </c>
      <c r="H151" s="13">
        <f t="shared" si="31"/>
        <v>0</v>
      </c>
      <c r="I151" s="13">
        <f t="shared" si="31"/>
        <v>1</v>
      </c>
      <c r="J151" s="13">
        <f t="shared" si="31"/>
        <v>0</v>
      </c>
      <c r="K151" s="13">
        <f t="shared" si="31"/>
        <v>0</v>
      </c>
      <c r="L151" s="13">
        <f t="shared" si="31"/>
        <v>1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1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>SUM(E151:AA151)</f>
        <v>3</v>
      </c>
      <c r="AC151" s="1"/>
      <c r="AD151" s="1"/>
    </row>
    <row r="152" ht="12.75" customHeight="1">
      <c r="A152" s="24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13"/>
      <c r="AC152" s="52"/>
      <c r="AD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1.0</v>
      </c>
      <c r="M153" s="19">
        <v>0.0</v>
      </c>
      <c r="N153" s="19">
        <v>0.0</v>
      </c>
      <c r="O153" s="19">
        <v>0.0</v>
      </c>
      <c r="P153" s="19">
        <v>0.0</v>
      </c>
      <c r="Q153" s="19">
        <v>1.0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3">
        <f t="shared" ref="AB153:AB157" si="32">SUM(E153:AA153)</f>
        <v>2</v>
      </c>
      <c r="AC153" s="5"/>
      <c r="AD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1.0</v>
      </c>
      <c r="H154" s="19">
        <v>0.0</v>
      </c>
      <c r="I154" s="19">
        <v>0.0</v>
      </c>
      <c r="J154" s="19">
        <v>1.0</v>
      </c>
      <c r="K154" s="19">
        <v>1.0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3">
        <f t="shared" si="32"/>
        <v>3</v>
      </c>
      <c r="AC154" s="5"/>
      <c r="AD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1.0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2.0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3">
        <f t="shared" si="32"/>
        <v>3</v>
      </c>
      <c r="AC155" s="5"/>
      <c r="AD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1.0</v>
      </c>
      <c r="X156" s="19">
        <v>0.0</v>
      </c>
      <c r="Y156" s="19">
        <v>0.0</v>
      </c>
      <c r="Z156" s="19">
        <v>0.0</v>
      </c>
      <c r="AA156" s="19">
        <v>0.0</v>
      </c>
      <c r="AB156" s="13">
        <f t="shared" si="32"/>
        <v>1</v>
      </c>
      <c r="AC156" s="5"/>
      <c r="AD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/>
      <c r="U157" s="19"/>
      <c r="V157" s="19"/>
      <c r="W157" s="19"/>
      <c r="X157" s="19"/>
      <c r="Y157" s="19"/>
      <c r="Z157" s="19"/>
      <c r="AA157" s="19"/>
      <c r="AB157" s="13">
        <f t="shared" si="32"/>
        <v>0</v>
      </c>
      <c r="AC157" s="5"/>
      <c r="AD157" s="5"/>
    </row>
    <row r="158" ht="12.75" customHeight="1">
      <c r="A158" s="18"/>
      <c r="B158" s="71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79"/>
      <c r="AC158" s="5"/>
      <c r="AD158" s="5"/>
    </row>
    <row r="159" ht="12.75" customHeight="1">
      <c r="A159" s="18"/>
      <c r="B159" s="71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79"/>
      <c r="AC159" s="5"/>
      <c r="AD159" s="5"/>
    </row>
    <row r="160" ht="12.75" customHeight="1">
      <c r="A160" s="18"/>
      <c r="B160" s="71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79"/>
      <c r="AC160" s="5"/>
      <c r="AD160" s="5"/>
    </row>
    <row r="161" ht="12.75" customHeight="1">
      <c r="A161" s="18"/>
      <c r="B161" s="71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79"/>
      <c r="AC161" s="5"/>
      <c r="AD161" s="5"/>
    </row>
    <row r="162" ht="12.75" customHeight="1">
      <c r="A162" s="18"/>
      <c r="B162" s="71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79"/>
      <c r="AC162" s="5"/>
      <c r="AD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AB163" si="33">SUM(E153:E162)</f>
        <v>0</v>
      </c>
      <c r="F163" s="13">
        <f t="shared" si="33"/>
        <v>0</v>
      </c>
      <c r="G163" s="13">
        <f t="shared" si="33"/>
        <v>1</v>
      </c>
      <c r="H163" s="13">
        <f t="shared" si="33"/>
        <v>1</v>
      </c>
      <c r="I163" s="13">
        <f t="shared" si="33"/>
        <v>0</v>
      </c>
      <c r="J163" s="13">
        <f t="shared" si="33"/>
        <v>1</v>
      </c>
      <c r="K163" s="13">
        <f t="shared" si="33"/>
        <v>1</v>
      </c>
      <c r="L163" s="13">
        <f t="shared" si="33"/>
        <v>1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3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1</v>
      </c>
      <c r="X163" s="13">
        <f t="shared" si="33"/>
        <v>0</v>
      </c>
      <c r="Y163" s="13">
        <f t="shared" si="33"/>
        <v>0</v>
      </c>
      <c r="Z163" s="13">
        <f t="shared" si="33"/>
        <v>0</v>
      </c>
      <c r="AA163" s="13">
        <f t="shared" si="33"/>
        <v>0</v>
      </c>
      <c r="AB163" s="13">
        <f t="shared" si="33"/>
        <v>9</v>
      </c>
      <c r="AC163" s="5"/>
      <c r="AD163" s="5"/>
    </row>
    <row r="164" ht="12.75" customHeight="1">
      <c r="A164" s="24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5"/>
      <c r="AD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1.0</v>
      </c>
      <c r="L165" s="19">
        <v>0.0</v>
      </c>
      <c r="M165" s="19">
        <v>0.0</v>
      </c>
      <c r="N165" s="19">
        <v>1.0</v>
      </c>
      <c r="O165" s="19">
        <v>0.0</v>
      </c>
      <c r="P165" s="19">
        <v>0.0</v>
      </c>
      <c r="Q165" s="19">
        <v>1.0</v>
      </c>
      <c r="R165" s="19">
        <v>0.0</v>
      </c>
      <c r="S165" s="19">
        <v>0.0</v>
      </c>
      <c r="T165" s="19">
        <v>1.0</v>
      </c>
      <c r="U165" s="19">
        <v>0.0</v>
      </c>
      <c r="V165" s="19">
        <v>1.0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3">
        <f t="shared" ref="AB165:AB172" si="34">SUM(E165:AA165)</f>
        <v>5</v>
      </c>
      <c r="AC165" s="1"/>
      <c r="AD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2.0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1.0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3">
        <f t="shared" si="34"/>
        <v>3</v>
      </c>
      <c r="AC166" s="52"/>
      <c r="AD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1.0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1.0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3">
        <f t="shared" si="34"/>
        <v>2</v>
      </c>
      <c r="AC167" s="5"/>
      <c r="AD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1.0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3">
        <f t="shared" si="34"/>
        <v>1</v>
      </c>
      <c r="AC168" s="5"/>
      <c r="AD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1.0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3">
        <f t="shared" si="34"/>
        <v>1</v>
      </c>
      <c r="AC169" s="5"/>
      <c r="AD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1.0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3">
        <f t="shared" si="34"/>
        <v>1</v>
      </c>
      <c r="AC170" s="5"/>
      <c r="AD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3">
        <f t="shared" si="34"/>
        <v>0</v>
      </c>
      <c r="AC171" s="5"/>
      <c r="AD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1.0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3">
        <f t="shared" si="34"/>
        <v>1</v>
      </c>
      <c r="AC172" s="5"/>
      <c r="AD172" s="5"/>
    </row>
    <row r="173" ht="12.75" customHeight="1">
      <c r="A173" s="18"/>
      <c r="B173" s="71"/>
      <c r="C173" s="72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79"/>
      <c r="AC173" s="5"/>
      <c r="AD173" s="5"/>
    </row>
    <row r="174" ht="12.75" customHeight="1">
      <c r="A174" s="18"/>
      <c r="B174" s="71"/>
      <c r="C174" s="72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79"/>
      <c r="AC174" s="5"/>
      <c r="AD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B175" si="35">SUM(E165:E174)</f>
        <v>0</v>
      </c>
      <c r="F175" s="13">
        <f t="shared" si="35"/>
        <v>1</v>
      </c>
      <c r="G175" s="13">
        <f t="shared" si="35"/>
        <v>1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1</v>
      </c>
      <c r="L175" s="13">
        <f t="shared" si="35"/>
        <v>3</v>
      </c>
      <c r="M175" s="13">
        <f t="shared" si="35"/>
        <v>1</v>
      </c>
      <c r="N175" s="13">
        <f t="shared" si="35"/>
        <v>1</v>
      </c>
      <c r="O175" s="13">
        <f t="shared" si="35"/>
        <v>0</v>
      </c>
      <c r="P175" s="13">
        <f t="shared" si="35"/>
        <v>0</v>
      </c>
      <c r="Q175" s="13">
        <f t="shared" si="35"/>
        <v>1</v>
      </c>
      <c r="R175" s="13">
        <f t="shared" si="35"/>
        <v>0</v>
      </c>
      <c r="S175" s="13">
        <f t="shared" si="35"/>
        <v>2</v>
      </c>
      <c r="T175" s="13">
        <f t="shared" si="35"/>
        <v>2</v>
      </c>
      <c r="U175" s="13">
        <f t="shared" si="35"/>
        <v>0</v>
      </c>
      <c r="V175" s="13">
        <f t="shared" si="35"/>
        <v>1</v>
      </c>
      <c r="W175" s="13">
        <f t="shared" si="35"/>
        <v>0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 t="shared" si="35"/>
        <v>14</v>
      </c>
      <c r="AC175" s="5"/>
      <c r="AD175" s="5"/>
    </row>
    <row r="176" ht="12.75" customHeight="1">
      <c r="A176" s="24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1"/>
      <c r="AD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2.0</v>
      </c>
      <c r="F177" s="19">
        <v>0.0</v>
      </c>
      <c r="G177" s="19">
        <v>0.0</v>
      </c>
      <c r="H177" s="19">
        <v>0.0</v>
      </c>
      <c r="I177" s="19">
        <v>1.0</v>
      </c>
      <c r="J177" s="19">
        <v>1.0</v>
      </c>
      <c r="K177" s="19">
        <v>0.0</v>
      </c>
      <c r="L177" s="19">
        <v>0.0</v>
      </c>
      <c r="M177" s="19">
        <v>0.0</v>
      </c>
      <c r="N177" s="19">
        <v>1.0</v>
      </c>
      <c r="O177" s="19">
        <v>2.0</v>
      </c>
      <c r="P177" s="19">
        <v>1.0</v>
      </c>
      <c r="Q177" s="19">
        <v>1.0</v>
      </c>
      <c r="R177" s="19">
        <v>1.0</v>
      </c>
      <c r="S177" s="19">
        <v>0.0</v>
      </c>
      <c r="T177" s="19">
        <v>1.0</v>
      </c>
      <c r="U177" s="19">
        <v>0.0</v>
      </c>
      <c r="V177" s="19">
        <v>2.0</v>
      </c>
      <c r="W177" s="19">
        <v>1.0</v>
      </c>
      <c r="X177" s="19">
        <v>1.0</v>
      </c>
      <c r="Y177" s="19">
        <v>0.0</v>
      </c>
      <c r="Z177" s="19">
        <v>0.0</v>
      </c>
      <c r="AA177" s="19">
        <v>0.0</v>
      </c>
      <c r="AB177" s="13">
        <f t="shared" ref="AB177:AB184" si="36">SUM(E177:AA177)</f>
        <v>15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2.0</v>
      </c>
      <c r="T178" s="19">
        <v>0.0</v>
      </c>
      <c r="U178" s="19">
        <v>0.0</v>
      </c>
      <c r="V178" s="19">
        <v>1.0</v>
      </c>
      <c r="W178" s="19">
        <v>0.0</v>
      </c>
      <c r="X178" s="19">
        <v>0.0</v>
      </c>
      <c r="Y178" s="19">
        <v>0.0</v>
      </c>
      <c r="Z178" s="19">
        <v>1.0</v>
      </c>
      <c r="AA178" s="19">
        <v>0.0</v>
      </c>
      <c r="AB178" s="13">
        <f t="shared" si="36"/>
        <v>4</v>
      </c>
      <c r="AC178" s="5"/>
      <c r="AD178" s="5"/>
    </row>
    <row r="179" ht="12.75" customHeight="1">
      <c r="A179" s="18"/>
      <c r="B179" s="55">
        <v>2.0</v>
      </c>
      <c r="C179" s="50" t="s">
        <v>131</v>
      </c>
      <c r="D179" s="57"/>
      <c r="E179" s="19">
        <v>1.0</v>
      </c>
      <c r="F179" s="19">
        <v>0.0</v>
      </c>
      <c r="G179" s="19">
        <v>0.0</v>
      </c>
      <c r="H179" s="19">
        <v>2.0</v>
      </c>
      <c r="I179" s="19">
        <v>1.0</v>
      </c>
      <c r="J179" s="19">
        <v>0.0</v>
      </c>
      <c r="K179" s="19">
        <v>2.0</v>
      </c>
      <c r="L179" s="19">
        <v>1.0</v>
      </c>
      <c r="M179" s="19">
        <v>0.0</v>
      </c>
      <c r="N179" s="19">
        <v>0.0</v>
      </c>
      <c r="O179" s="19">
        <v>1.0</v>
      </c>
      <c r="P179" s="19">
        <v>1.0</v>
      </c>
      <c r="Q179" s="19">
        <v>0.0</v>
      </c>
      <c r="R179" s="19">
        <v>1.0</v>
      </c>
      <c r="S179" s="19">
        <v>0.0</v>
      </c>
      <c r="T179" s="19">
        <v>0.0</v>
      </c>
      <c r="U179" s="19">
        <v>0.0</v>
      </c>
      <c r="V179" s="19">
        <v>0.0</v>
      </c>
      <c r="W179" s="19">
        <v>1.0</v>
      </c>
      <c r="X179" s="19">
        <v>2.0</v>
      </c>
      <c r="Y179" s="19">
        <v>0.0</v>
      </c>
      <c r="Z179" s="19">
        <v>1.0</v>
      </c>
      <c r="AA179" s="19">
        <v>1.0</v>
      </c>
      <c r="AB179" s="13">
        <f t="shared" si="36"/>
        <v>15</v>
      </c>
      <c r="AC179" s="5"/>
      <c r="AD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1.0</v>
      </c>
      <c r="I180" s="19">
        <v>0.0</v>
      </c>
      <c r="J180" s="19">
        <v>0.0</v>
      </c>
      <c r="K180" s="19">
        <v>0.0</v>
      </c>
      <c r="L180" s="19">
        <v>0.0</v>
      </c>
      <c r="M180" s="19">
        <v>1.0</v>
      </c>
      <c r="N180" s="19">
        <v>0.0</v>
      </c>
      <c r="O180" s="19">
        <v>0.0</v>
      </c>
      <c r="P180" s="19">
        <v>0.0</v>
      </c>
      <c r="Q180" s="19">
        <v>1.0</v>
      </c>
      <c r="R180" s="19">
        <v>0.0</v>
      </c>
      <c r="S180" s="19">
        <v>0.0</v>
      </c>
      <c r="T180" s="19">
        <v>0.0</v>
      </c>
      <c r="U180" s="19">
        <v>1.0</v>
      </c>
      <c r="V180" s="19">
        <v>1.0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3">
        <f t="shared" si="36"/>
        <v>5</v>
      </c>
      <c r="AC180" s="5"/>
      <c r="AD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1.0</v>
      </c>
      <c r="M181" s="19">
        <v>0.0</v>
      </c>
      <c r="N181" s="19">
        <v>0.0</v>
      </c>
      <c r="O181" s="19">
        <v>1.0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1.0</v>
      </c>
      <c r="Y181" s="19">
        <v>0.0</v>
      </c>
      <c r="Z181" s="19">
        <v>0.0</v>
      </c>
      <c r="AA181" s="19">
        <v>0.0</v>
      </c>
      <c r="AB181" s="13">
        <f t="shared" si="36"/>
        <v>3</v>
      </c>
      <c r="AC181" s="5"/>
      <c r="AD181" s="5"/>
    </row>
    <row r="182" ht="12.75" customHeight="1">
      <c r="A182" s="18"/>
      <c r="B182" s="55">
        <v>5.0</v>
      </c>
      <c r="C182" s="50" t="s">
        <v>134</v>
      </c>
      <c r="D182" s="57"/>
      <c r="E182" s="19">
        <v>1.0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1.0</v>
      </c>
      <c r="P182" s="19">
        <v>0.0</v>
      </c>
      <c r="Q182" s="19">
        <v>0.0</v>
      </c>
      <c r="R182" s="19">
        <v>0.0</v>
      </c>
      <c r="S182" s="19">
        <v>0.0</v>
      </c>
      <c r="T182" s="19">
        <v>1.0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3">
        <f t="shared" si="36"/>
        <v>3</v>
      </c>
      <c r="AC182" s="5"/>
      <c r="AD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3">
        <f t="shared" si="36"/>
        <v>0</v>
      </c>
      <c r="AC183" s="5"/>
      <c r="AD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3">
        <f t="shared" si="36"/>
        <v>0</v>
      </c>
      <c r="AC184" s="5"/>
      <c r="AD184" s="5"/>
    </row>
    <row r="185" ht="12.75" customHeight="1">
      <c r="A185" s="18"/>
      <c r="B185" s="71"/>
      <c r="C185" s="72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79"/>
      <c r="AC185" s="5"/>
      <c r="AD185" s="5"/>
    </row>
    <row r="186" ht="12.75" customHeight="1">
      <c r="A186" s="18"/>
      <c r="B186" s="71"/>
      <c r="C186" s="72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79"/>
      <c r="AC186" s="5"/>
      <c r="AD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B187" si="37">SUM(E177:E186)</f>
        <v>4</v>
      </c>
      <c r="F187" s="13">
        <f t="shared" si="37"/>
        <v>0</v>
      </c>
      <c r="G187" s="13">
        <f t="shared" si="37"/>
        <v>0</v>
      </c>
      <c r="H187" s="13">
        <f t="shared" si="37"/>
        <v>3</v>
      </c>
      <c r="I187" s="13">
        <f t="shared" si="37"/>
        <v>2</v>
      </c>
      <c r="J187" s="13">
        <f t="shared" si="37"/>
        <v>1</v>
      </c>
      <c r="K187" s="13">
        <f t="shared" si="37"/>
        <v>2</v>
      </c>
      <c r="L187" s="13">
        <f t="shared" si="37"/>
        <v>2</v>
      </c>
      <c r="M187" s="13">
        <f t="shared" si="37"/>
        <v>1</v>
      </c>
      <c r="N187" s="13">
        <f t="shared" si="37"/>
        <v>1</v>
      </c>
      <c r="O187" s="13">
        <f t="shared" si="37"/>
        <v>5</v>
      </c>
      <c r="P187" s="13">
        <f t="shared" si="37"/>
        <v>2</v>
      </c>
      <c r="Q187" s="13">
        <f t="shared" si="37"/>
        <v>2</v>
      </c>
      <c r="R187" s="13">
        <f t="shared" si="37"/>
        <v>2</v>
      </c>
      <c r="S187" s="13">
        <f t="shared" si="37"/>
        <v>2</v>
      </c>
      <c r="T187" s="13">
        <f t="shared" si="37"/>
        <v>2</v>
      </c>
      <c r="U187" s="13">
        <f t="shared" si="37"/>
        <v>1</v>
      </c>
      <c r="V187" s="13">
        <f t="shared" si="37"/>
        <v>4</v>
      </c>
      <c r="W187" s="13">
        <f t="shared" si="37"/>
        <v>2</v>
      </c>
      <c r="X187" s="13">
        <f t="shared" si="37"/>
        <v>4</v>
      </c>
      <c r="Y187" s="13">
        <f t="shared" si="37"/>
        <v>0</v>
      </c>
      <c r="Z187" s="13">
        <f t="shared" si="37"/>
        <v>2</v>
      </c>
      <c r="AA187" s="13">
        <f t="shared" si="37"/>
        <v>1</v>
      </c>
      <c r="AB187" s="13">
        <f t="shared" si="37"/>
        <v>45</v>
      </c>
      <c r="AC187" s="1"/>
      <c r="AD187" s="1"/>
    </row>
    <row r="188" ht="12.75" customHeight="1">
      <c r="A188" s="24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AB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1.0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3">
        <f t="shared" ref="AB189:AB196" si="38">SUM(E189:AA189)</f>
        <v>1</v>
      </c>
      <c r="AC189" s="5"/>
      <c r="AD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2.0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3">
        <f t="shared" si="38"/>
        <v>2</v>
      </c>
      <c r="AC190" s="5"/>
      <c r="AD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2.0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3">
        <f t="shared" si="38"/>
        <v>2</v>
      </c>
      <c r="AC191" s="5"/>
      <c r="AD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3">
        <f t="shared" si="38"/>
        <v>0</v>
      </c>
      <c r="AC192" s="5"/>
      <c r="AD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1.0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3">
        <f t="shared" si="38"/>
        <v>1</v>
      </c>
      <c r="AC193" s="5"/>
      <c r="AD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1.0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1.0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3">
        <f t="shared" si="38"/>
        <v>2</v>
      </c>
      <c r="AC194" s="5"/>
      <c r="AD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3">
        <f t="shared" si="38"/>
        <v>0</v>
      </c>
      <c r="AC195" s="5"/>
      <c r="AD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3">
        <f t="shared" si="38"/>
        <v>0</v>
      </c>
      <c r="AC196" s="1"/>
      <c r="AD196" s="1"/>
    </row>
    <row r="197" ht="12.75" customHeight="1">
      <c r="A197" s="18"/>
      <c r="B197" s="71"/>
      <c r="C197" s="72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79"/>
      <c r="AC197" s="1"/>
      <c r="AD197" s="1"/>
    </row>
    <row r="198" ht="12.75" customHeight="1">
      <c r="A198" s="18"/>
      <c r="B198" s="71"/>
      <c r="C198" s="72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79"/>
      <c r="AC198" s="1"/>
      <c r="AD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B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1</v>
      </c>
      <c r="K199" s="13">
        <f t="shared" si="39"/>
        <v>0</v>
      </c>
      <c r="L199" s="13">
        <f t="shared" si="39"/>
        <v>2</v>
      </c>
      <c r="M199" s="13">
        <f t="shared" si="39"/>
        <v>2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1</v>
      </c>
      <c r="V199" s="13">
        <f t="shared" si="39"/>
        <v>2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8</v>
      </c>
      <c r="AC199" s="52"/>
      <c r="AD199" s="52"/>
    </row>
    <row r="200" ht="12.75" customHeight="1">
      <c r="A200" s="24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5"/>
      <c r="AD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4.0</v>
      </c>
      <c r="F201" s="19">
        <v>2.0</v>
      </c>
      <c r="G201" s="19">
        <v>4.0</v>
      </c>
      <c r="H201" s="19">
        <v>8.0</v>
      </c>
      <c r="I201" s="19">
        <v>1.0</v>
      </c>
      <c r="J201" s="19">
        <v>7.0</v>
      </c>
      <c r="K201" s="19">
        <v>5.0</v>
      </c>
      <c r="L201" s="19">
        <v>4.0</v>
      </c>
      <c r="M201" s="19">
        <v>2.0</v>
      </c>
      <c r="N201" s="19">
        <v>2.0</v>
      </c>
      <c r="O201" s="19">
        <v>1.0</v>
      </c>
      <c r="P201" s="19">
        <v>3.0</v>
      </c>
      <c r="Q201" s="19">
        <v>9.0</v>
      </c>
      <c r="R201" s="19">
        <v>7.0</v>
      </c>
      <c r="S201" s="19">
        <v>2.0</v>
      </c>
      <c r="T201" s="19">
        <v>0.0</v>
      </c>
      <c r="U201" s="19">
        <v>2.0</v>
      </c>
      <c r="V201" s="19">
        <v>1.0</v>
      </c>
      <c r="W201" s="19">
        <v>3.0</v>
      </c>
      <c r="X201" s="19">
        <v>7.0</v>
      </c>
      <c r="Y201" s="19">
        <v>1.0</v>
      </c>
      <c r="Z201" s="19">
        <v>2.0</v>
      </c>
      <c r="AA201" s="19">
        <v>1.0</v>
      </c>
      <c r="AB201" s="13">
        <f t="shared" ref="AB201:AB208" si="40">SUM(E201:AA201)</f>
        <v>78</v>
      </c>
      <c r="AC201" s="5"/>
      <c r="AD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3.0</v>
      </c>
      <c r="F202" s="19">
        <v>4.0</v>
      </c>
      <c r="G202" s="19">
        <v>7.0</v>
      </c>
      <c r="H202" s="19">
        <v>7.0</v>
      </c>
      <c r="I202" s="19">
        <v>19.0</v>
      </c>
      <c r="J202" s="19">
        <v>14.0</v>
      </c>
      <c r="K202" s="19">
        <v>8.0</v>
      </c>
      <c r="L202" s="19">
        <v>4.0</v>
      </c>
      <c r="M202" s="19">
        <v>12.0</v>
      </c>
      <c r="N202" s="19">
        <v>12.0</v>
      </c>
      <c r="O202" s="19">
        <v>15.0</v>
      </c>
      <c r="P202" s="19">
        <v>13.0</v>
      </c>
      <c r="Q202" s="19">
        <v>11.0</v>
      </c>
      <c r="R202" s="19">
        <v>14.0</v>
      </c>
      <c r="S202" s="19">
        <v>3.0</v>
      </c>
      <c r="T202" s="19">
        <v>4.0</v>
      </c>
      <c r="U202" s="19">
        <v>2.0</v>
      </c>
      <c r="V202" s="19">
        <v>5.0</v>
      </c>
      <c r="W202" s="19">
        <v>1.0</v>
      </c>
      <c r="X202" s="19">
        <v>8.0</v>
      </c>
      <c r="Y202" s="19">
        <v>24.0</v>
      </c>
      <c r="Z202" s="19">
        <v>17.0</v>
      </c>
      <c r="AA202" s="19">
        <v>8.0</v>
      </c>
      <c r="AB202" s="13">
        <f t="shared" si="40"/>
        <v>215</v>
      </c>
      <c r="AC202" s="5"/>
      <c r="AD202" s="5"/>
    </row>
    <row r="203" ht="12.75" customHeight="1">
      <c r="A203" s="18"/>
      <c r="B203" s="55">
        <v>2.0</v>
      </c>
      <c r="C203" s="50" t="s">
        <v>149</v>
      </c>
      <c r="D203" s="57"/>
      <c r="E203" s="19">
        <v>0.0</v>
      </c>
      <c r="F203" s="19">
        <v>2.0</v>
      </c>
      <c r="G203" s="19">
        <v>2.0</v>
      </c>
      <c r="H203" s="19">
        <v>5.0</v>
      </c>
      <c r="I203" s="19">
        <v>1.0</v>
      </c>
      <c r="J203" s="19">
        <v>1.0</v>
      </c>
      <c r="K203" s="19">
        <v>1.0</v>
      </c>
      <c r="L203" s="19">
        <v>0.0</v>
      </c>
      <c r="M203" s="19">
        <v>0.0</v>
      </c>
      <c r="N203" s="19">
        <v>0.0</v>
      </c>
      <c r="O203" s="19">
        <v>0.0</v>
      </c>
      <c r="P203" s="19">
        <v>3.0</v>
      </c>
      <c r="Q203" s="19">
        <v>3.0</v>
      </c>
      <c r="R203" s="19">
        <v>4.0</v>
      </c>
      <c r="S203" s="19">
        <v>3.0</v>
      </c>
      <c r="T203" s="19">
        <v>0.0</v>
      </c>
      <c r="U203" s="19">
        <v>1.0</v>
      </c>
      <c r="V203" s="19">
        <v>0.0</v>
      </c>
      <c r="W203" s="19">
        <v>1.0</v>
      </c>
      <c r="X203" s="19">
        <v>1.0</v>
      </c>
      <c r="Y203" s="19">
        <v>1.0</v>
      </c>
      <c r="Z203" s="19">
        <v>2.0</v>
      </c>
      <c r="AA203" s="19">
        <v>1.0</v>
      </c>
      <c r="AB203" s="13">
        <f t="shared" si="40"/>
        <v>32</v>
      </c>
      <c r="AC203" s="5"/>
      <c r="AD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1.0</v>
      </c>
      <c r="G204" s="19">
        <v>1.0</v>
      </c>
      <c r="H204" s="19">
        <v>4.0</v>
      </c>
      <c r="I204" s="19">
        <v>0.0</v>
      </c>
      <c r="J204" s="19">
        <v>1.0</v>
      </c>
      <c r="K204" s="19">
        <v>4.0</v>
      </c>
      <c r="L204" s="19">
        <v>1.0</v>
      </c>
      <c r="M204" s="19">
        <v>0.0</v>
      </c>
      <c r="N204" s="19">
        <v>0.0</v>
      </c>
      <c r="O204" s="19">
        <v>0.0</v>
      </c>
      <c r="P204" s="19">
        <v>2.0</v>
      </c>
      <c r="Q204" s="19">
        <v>1.0</v>
      </c>
      <c r="R204" s="19">
        <v>1.0</v>
      </c>
      <c r="S204" s="19">
        <v>1.0</v>
      </c>
      <c r="T204" s="19">
        <v>0.0</v>
      </c>
      <c r="U204" s="19">
        <v>2.0</v>
      </c>
      <c r="V204" s="19">
        <v>2.0</v>
      </c>
      <c r="W204" s="19">
        <v>0.0</v>
      </c>
      <c r="X204" s="19">
        <v>0.0</v>
      </c>
      <c r="Y204" s="19">
        <v>0.0</v>
      </c>
      <c r="Z204" s="19">
        <v>1.0</v>
      </c>
      <c r="AA204" s="19">
        <v>0.0</v>
      </c>
      <c r="AB204" s="13">
        <f t="shared" si="40"/>
        <v>22</v>
      </c>
      <c r="AC204" s="5"/>
      <c r="AD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0.0</v>
      </c>
      <c r="G205" s="19">
        <v>0.0</v>
      </c>
      <c r="H205" s="19">
        <v>1.0</v>
      </c>
      <c r="I205" s="19">
        <v>0.0</v>
      </c>
      <c r="J205" s="19">
        <v>2.0</v>
      </c>
      <c r="K205" s="19">
        <v>0.0</v>
      </c>
      <c r="L205" s="19">
        <v>0.0</v>
      </c>
      <c r="M205" s="19">
        <v>1.0</v>
      </c>
      <c r="N205" s="19">
        <v>0.0</v>
      </c>
      <c r="O205" s="19">
        <v>0.0</v>
      </c>
      <c r="P205" s="19">
        <v>0.0</v>
      </c>
      <c r="Q205" s="19">
        <v>0.0</v>
      </c>
      <c r="R205" s="19">
        <v>1.0</v>
      </c>
      <c r="S205" s="19">
        <v>0.0</v>
      </c>
      <c r="T205" s="19">
        <v>0.0</v>
      </c>
      <c r="U205" s="19">
        <v>0.0</v>
      </c>
      <c r="V205" s="19">
        <v>0.0</v>
      </c>
      <c r="W205" s="19">
        <v>0.0</v>
      </c>
      <c r="X205" s="19">
        <v>0.0</v>
      </c>
      <c r="Y205" s="19">
        <v>0.0</v>
      </c>
      <c r="Z205" s="19">
        <v>0.0</v>
      </c>
      <c r="AA205" s="19">
        <v>1.0</v>
      </c>
      <c r="AB205" s="13">
        <f t="shared" si="40"/>
        <v>6</v>
      </c>
      <c r="AC205" s="5"/>
      <c r="AD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1.0</v>
      </c>
      <c r="I206" s="19">
        <v>1.0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1.0</v>
      </c>
      <c r="Q206" s="19">
        <v>0.0</v>
      </c>
      <c r="R206" s="19">
        <v>1.0</v>
      </c>
      <c r="S206" s="19">
        <v>0.0</v>
      </c>
      <c r="T206" s="19">
        <v>1.0</v>
      </c>
      <c r="U206" s="19">
        <v>0.0</v>
      </c>
      <c r="V206" s="19">
        <v>0.0</v>
      </c>
      <c r="W206" s="19">
        <v>0.0</v>
      </c>
      <c r="X206" s="19">
        <v>0.0</v>
      </c>
      <c r="Y206" s="19">
        <v>1.0</v>
      </c>
      <c r="Z206" s="19">
        <v>1.0</v>
      </c>
      <c r="AA206" s="19">
        <v>0.0</v>
      </c>
      <c r="AB206" s="13">
        <f t="shared" si="40"/>
        <v>7</v>
      </c>
      <c r="AC206" s="5"/>
      <c r="AD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1.0</v>
      </c>
      <c r="G207" s="19">
        <v>0.0</v>
      </c>
      <c r="H207" s="19">
        <v>3.0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1.0</v>
      </c>
      <c r="Q207" s="19">
        <v>1.0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3">
        <f t="shared" si="40"/>
        <v>6</v>
      </c>
      <c r="AC207" s="1"/>
      <c r="AD207" s="1"/>
    </row>
    <row r="208" ht="12.75" customHeight="1">
      <c r="A208" s="18"/>
      <c r="B208" s="55">
        <v>7.0</v>
      </c>
      <c r="C208" s="50" t="s">
        <v>154</v>
      </c>
      <c r="D208" s="57"/>
      <c r="E208" s="19">
        <v>1.0</v>
      </c>
      <c r="F208" s="19">
        <v>0.0</v>
      </c>
      <c r="G208" s="19">
        <v>1.0</v>
      </c>
      <c r="H208" s="19">
        <v>2.0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2.0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9">
        <v>1.0</v>
      </c>
      <c r="Y208" s="19">
        <v>1.0</v>
      </c>
      <c r="Z208" s="19">
        <v>0.0</v>
      </c>
      <c r="AA208" s="19">
        <v>0.0</v>
      </c>
      <c r="AB208" s="13">
        <f t="shared" si="40"/>
        <v>8</v>
      </c>
      <c r="AC208" s="52"/>
      <c r="AD208" s="52"/>
    </row>
    <row r="209" ht="12.75" customHeight="1">
      <c r="A209" s="18"/>
      <c r="B209" s="71"/>
      <c r="C209" s="72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79"/>
      <c r="AC209" s="52"/>
      <c r="AD209" s="52"/>
    </row>
    <row r="210" ht="12.75" customHeight="1">
      <c r="A210" s="18"/>
      <c r="B210" s="71"/>
      <c r="C210" s="72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79"/>
      <c r="AC210" s="52"/>
      <c r="AD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B211" si="41">SUM(E201:E210)</f>
        <v>8</v>
      </c>
      <c r="F211" s="13">
        <f t="shared" si="41"/>
        <v>10</v>
      </c>
      <c r="G211" s="13">
        <f t="shared" si="41"/>
        <v>15</v>
      </c>
      <c r="H211" s="13">
        <f t="shared" si="41"/>
        <v>31</v>
      </c>
      <c r="I211" s="13">
        <f t="shared" si="41"/>
        <v>22</v>
      </c>
      <c r="J211" s="13">
        <f t="shared" si="41"/>
        <v>25</v>
      </c>
      <c r="K211" s="13">
        <f t="shared" si="41"/>
        <v>18</v>
      </c>
      <c r="L211" s="13">
        <f t="shared" si="41"/>
        <v>9</v>
      </c>
      <c r="M211" s="13">
        <f t="shared" si="41"/>
        <v>15</v>
      </c>
      <c r="N211" s="13">
        <f t="shared" si="41"/>
        <v>14</v>
      </c>
      <c r="O211" s="13">
        <f t="shared" si="41"/>
        <v>16</v>
      </c>
      <c r="P211" s="13">
        <f t="shared" si="41"/>
        <v>23</v>
      </c>
      <c r="Q211" s="13">
        <f t="shared" si="41"/>
        <v>27</v>
      </c>
      <c r="R211" s="13">
        <f t="shared" si="41"/>
        <v>28</v>
      </c>
      <c r="S211" s="13">
        <f t="shared" si="41"/>
        <v>9</v>
      </c>
      <c r="T211" s="13">
        <f t="shared" si="41"/>
        <v>5</v>
      </c>
      <c r="U211" s="13">
        <f t="shared" si="41"/>
        <v>7</v>
      </c>
      <c r="V211" s="13">
        <f t="shared" si="41"/>
        <v>8</v>
      </c>
      <c r="W211" s="13">
        <f t="shared" si="41"/>
        <v>5</v>
      </c>
      <c r="X211" s="13">
        <f t="shared" si="41"/>
        <v>17</v>
      </c>
      <c r="Y211" s="13">
        <f t="shared" si="41"/>
        <v>28</v>
      </c>
      <c r="Z211" s="13">
        <f t="shared" si="41"/>
        <v>23</v>
      </c>
      <c r="AA211" s="13">
        <f t="shared" si="41"/>
        <v>11</v>
      </c>
      <c r="AB211" s="13">
        <f t="shared" si="41"/>
        <v>374</v>
      </c>
      <c r="AC211" s="5"/>
      <c r="AD211" s="5"/>
    </row>
    <row r="212" ht="12.75" customHeight="1">
      <c r="A212" s="24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5"/>
      <c r="AD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5.0</v>
      </c>
      <c r="F213" s="19">
        <v>0.0</v>
      </c>
      <c r="G213" s="19">
        <v>0.0</v>
      </c>
      <c r="H213" s="19">
        <v>2.0</v>
      </c>
      <c r="I213" s="19">
        <v>1.0</v>
      </c>
      <c r="J213" s="19">
        <v>3.0</v>
      </c>
      <c r="K213" s="19">
        <v>3.0</v>
      </c>
      <c r="L213" s="19">
        <v>0.0</v>
      </c>
      <c r="M213" s="19">
        <v>4.0</v>
      </c>
      <c r="N213" s="19">
        <v>1.0</v>
      </c>
      <c r="O213" s="19">
        <v>2.0</v>
      </c>
      <c r="P213" s="19">
        <v>3.0</v>
      </c>
      <c r="Q213" s="19">
        <v>2.0</v>
      </c>
      <c r="R213" s="19">
        <v>1.0</v>
      </c>
      <c r="S213" s="19">
        <v>1.0</v>
      </c>
      <c r="T213" s="19">
        <v>2.0</v>
      </c>
      <c r="U213" s="19">
        <v>0.0</v>
      </c>
      <c r="V213" s="19">
        <v>1.0</v>
      </c>
      <c r="W213" s="19">
        <v>1.0</v>
      </c>
      <c r="X213" s="19">
        <v>4.0</v>
      </c>
      <c r="Y213" s="19">
        <v>2.0</v>
      </c>
      <c r="Z213" s="19">
        <v>3.0</v>
      </c>
      <c r="AA213" s="19">
        <v>2.0</v>
      </c>
      <c r="AB213" s="13">
        <f t="shared" ref="AB213:AB220" si="42">SUM(E213:AA213)</f>
        <v>43</v>
      </c>
      <c r="AC213" s="5"/>
      <c r="AD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2.0</v>
      </c>
      <c r="F214" s="19">
        <v>0.0</v>
      </c>
      <c r="G214" s="19">
        <v>2.0</v>
      </c>
      <c r="H214" s="19">
        <v>2.0</v>
      </c>
      <c r="I214" s="19">
        <v>7.0</v>
      </c>
      <c r="J214" s="19">
        <v>3.0</v>
      </c>
      <c r="K214" s="19">
        <v>1.0</v>
      </c>
      <c r="L214" s="19">
        <v>3.0</v>
      </c>
      <c r="M214" s="19">
        <v>3.0</v>
      </c>
      <c r="N214" s="19">
        <v>2.0</v>
      </c>
      <c r="O214" s="19">
        <v>1.0</v>
      </c>
      <c r="P214" s="19">
        <v>2.0</v>
      </c>
      <c r="Q214" s="19">
        <v>1.0</v>
      </c>
      <c r="R214" s="19">
        <v>3.0</v>
      </c>
      <c r="S214" s="19">
        <v>1.0</v>
      </c>
      <c r="T214" s="19">
        <v>0.0</v>
      </c>
      <c r="U214" s="19">
        <v>1.0</v>
      </c>
      <c r="V214" s="19">
        <v>0.0</v>
      </c>
      <c r="W214" s="19">
        <v>0.0</v>
      </c>
      <c r="X214" s="19">
        <v>1.0</v>
      </c>
      <c r="Y214" s="19">
        <v>0.0</v>
      </c>
      <c r="Z214" s="19">
        <v>2.0</v>
      </c>
      <c r="AA214" s="19">
        <v>0.0</v>
      </c>
      <c r="AB214" s="13">
        <f t="shared" si="42"/>
        <v>37</v>
      </c>
      <c r="AC214" s="5"/>
      <c r="AD214" s="5"/>
    </row>
    <row r="215" ht="12.75" customHeight="1">
      <c r="A215" s="18"/>
      <c r="B215" s="55">
        <v>2.0</v>
      </c>
      <c r="C215" s="50" t="s">
        <v>158</v>
      </c>
      <c r="D215" s="56"/>
      <c r="E215" s="19">
        <v>4.0</v>
      </c>
      <c r="F215" s="19">
        <v>2.0</v>
      </c>
      <c r="G215" s="19">
        <v>2.0</v>
      </c>
      <c r="H215" s="19">
        <v>1.0</v>
      </c>
      <c r="I215" s="19">
        <v>1.0</v>
      </c>
      <c r="J215" s="19">
        <v>2.0</v>
      </c>
      <c r="K215" s="19">
        <v>0.0</v>
      </c>
      <c r="L215" s="19">
        <v>0.0</v>
      </c>
      <c r="M215" s="19">
        <v>0.0</v>
      </c>
      <c r="N215" s="19">
        <v>1.0</v>
      </c>
      <c r="O215" s="19">
        <v>0.0</v>
      </c>
      <c r="P215" s="19">
        <v>2.0</v>
      </c>
      <c r="Q215" s="19">
        <v>1.0</v>
      </c>
      <c r="R215" s="19">
        <v>1.0</v>
      </c>
      <c r="S215" s="19">
        <v>1.0</v>
      </c>
      <c r="T215" s="19">
        <v>0.0</v>
      </c>
      <c r="U215" s="19">
        <v>0.0</v>
      </c>
      <c r="V215" s="19">
        <v>0.0</v>
      </c>
      <c r="W215" s="19">
        <v>1.0</v>
      </c>
      <c r="X215" s="19">
        <v>0.0</v>
      </c>
      <c r="Y215" s="19">
        <v>2.0</v>
      </c>
      <c r="Z215" s="19">
        <v>0.0</v>
      </c>
      <c r="AA215" s="19">
        <v>2.0</v>
      </c>
      <c r="AB215" s="13">
        <f t="shared" si="42"/>
        <v>23</v>
      </c>
      <c r="AC215" s="5"/>
      <c r="AD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1.0</v>
      </c>
      <c r="K216" s="19">
        <v>0.0</v>
      </c>
      <c r="L216" s="19">
        <v>0.0</v>
      </c>
      <c r="M216" s="19">
        <v>1.0</v>
      </c>
      <c r="N216" s="19">
        <v>1.0</v>
      </c>
      <c r="O216" s="19">
        <v>0.0</v>
      </c>
      <c r="P216" s="19">
        <v>0.0</v>
      </c>
      <c r="Q216" s="19">
        <v>0.0</v>
      </c>
      <c r="R216" s="19">
        <v>2.0</v>
      </c>
      <c r="S216" s="19">
        <v>2.0</v>
      </c>
      <c r="T216" s="19">
        <v>1.0</v>
      </c>
      <c r="U216" s="19">
        <v>0.0</v>
      </c>
      <c r="V216" s="19">
        <v>0.0</v>
      </c>
      <c r="W216" s="19">
        <v>0.0</v>
      </c>
      <c r="X216" s="19">
        <v>0.0</v>
      </c>
      <c r="Y216" s="19">
        <v>0.0</v>
      </c>
      <c r="Z216" s="19">
        <v>1.0</v>
      </c>
      <c r="AA216" s="19">
        <v>1.0</v>
      </c>
      <c r="AB216" s="13">
        <f t="shared" si="42"/>
        <v>10</v>
      </c>
      <c r="AC216" s="5"/>
      <c r="AD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1.0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1.0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1.0</v>
      </c>
      <c r="AA217" s="19">
        <v>0.0</v>
      </c>
      <c r="AB217" s="13">
        <f t="shared" si="42"/>
        <v>3</v>
      </c>
      <c r="AC217" s="5"/>
      <c r="AD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1.0</v>
      </c>
      <c r="N218" s="19">
        <v>1.0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3">
        <f t="shared" si="42"/>
        <v>2</v>
      </c>
      <c r="AC218" s="1"/>
      <c r="AD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1.0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2.0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1.0</v>
      </c>
      <c r="W219" s="19">
        <v>1.0</v>
      </c>
      <c r="X219" s="19">
        <v>0.0</v>
      </c>
      <c r="Y219" s="19">
        <v>0.0</v>
      </c>
      <c r="Z219" s="19">
        <v>3.0</v>
      </c>
      <c r="AA219" s="19">
        <v>0.0</v>
      </c>
      <c r="AB219" s="13">
        <f t="shared" si="42"/>
        <v>8</v>
      </c>
      <c r="AC219" s="52"/>
      <c r="AD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1.0</v>
      </c>
      <c r="I220" s="19">
        <v>0.0</v>
      </c>
      <c r="J220" s="19">
        <v>0.0</v>
      </c>
      <c r="K220" s="19">
        <v>0.0</v>
      </c>
      <c r="L220" s="19">
        <v>0.0</v>
      </c>
      <c r="M220" s="19">
        <v>1.0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1.0</v>
      </c>
      <c r="Y220" s="19">
        <v>0.0</v>
      </c>
      <c r="Z220" s="19">
        <v>0.0</v>
      </c>
      <c r="AA220" s="19">
        <v>0.0</v>
      </c>
      <c r="AB220" s="13">
        <f t="shared" si="42"/>
        <v>3</v>
      </c>
      <c r="AC220" s="5"/>
      <c r="AD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79"/>
      <c r="AC221" s="5"/>
      <c r="AD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79"/>
      <c r="AC222" s="5"/>
      <c r="AD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B223" si="43">SUM(E213:E222)</f>
        <v>11</v>
      </c>
      <c r="F223" s="13">
        <f t="shared" si="43"/>
        <v>2</v>
      </c>
      <c r="G223" s="13">
        <f t="shared" si="43"/>
        <v>5</v>
      </c>
      <c r="H223" s="13">
        <f t="shared" si="43"/>
        <v>6</v>
      </c>
      <c r="I223" s="13">
        <f t="shared" si="43"/>
        <v>10</v>
      </c>
      <c r="J223" s="13">
        <f t="shared" si="43"/>
        <v>9</v>
      </c>
      <c r="K223" s="13">
        <f t="shared" si="43"/>
        <v>4</v>
      </c>
      <c r="L223" s="13">
        <f t="shared" si="43"/>
        <v>3</v>
      </c>
      <c r="M223" s="13">
        <f t="shared" si="43"/>
        <v>12</v>
      </c>
      <c r="N223" s="13">
        <f t="shared" si="43"/>
        <v>6</v>
      </c>
      <c r="O223" s="13">
        <f t="shared" si="43"/>
        <v>3</v>
      </c>
      <c r="P223" s="13">
        <f t="shared" si="43"/>
        <v>7</v>
      </c>
      <c r="Q223" s="13">
        <f t="shared" si="43"/>
        <v>4</v>
      </c>
      <c r="R223" s="13">
        <f t="shared" si="43"/>
        <v>8</v>
      </c>
      <c r="S223" s="13">
        <f t="shared" si="43"/>
        <v>5</v>
      </c>
      <c r="T223" s="13">
        <f t="shared" si="43"/>
        <v>3</v>
      </c>
      <c r="U223" s="13">
        <f t="shared" si="43"/>
        <v>1</v>
      </c>
      <c r="V223" s="13">
        <f t="shared" si="43"/>
        <v>2</v>
      </c>
      <c r="W223" s="13">
        <f t="shared" si="43"/>
        <v>3</v>
      </c>
      <c r="X223" s="13">
        <f t="shared" si="43"/>
        <v>6</v>
      </c>
      <c r="Y223" s="13">
        <f t="shared" si="43"/>
        <v>4</v>
      </c>
      <c r="Z223" s="13">
        <f t="shared" si="43"/>
        <v>10</v>
      </c>
      <c r="AA223" s="13">
        <f t="shared" si="43"/>
        <v>5</v>
      </c>
      <c r="AB223" s="13">
        <f t="shared" si="43"/>
        <v>129</v>
      </c>
      <c r="AC223" s="5"/>
      <c r="AD223" s="5"/>
    </row>
    <row r="224" ht="12.75" customHeight="1">
      <c r="A224" s="24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5"/>
      <c r="AD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1.0</v>
      </c>
      <c r="F225" s="19">
        <v>0.0</v>
      </c>
      <c r="G225" s="19">
        <v>0.0</v>
      </c>
      <c r="H225" s="19">
        <v>0.0</v>
      </c>
      <c r="I225" s="19">
        <v>0.0</v>
      </c>
      <c r="J225" s="19">
        <v>1.0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1.0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0.0</v>
      </c>
      <c r="Y225" s="19">
        <v>0.0</v>
      </c>
      <c r="Z225" s="19">
        <v>1.0</v>
      </c>
      <c r="AA225" s="19">
        <v>1.0</v>
      </c>
      <c r="AB225" s="13">
        <f t="shared" ref="AB225:AB232" si="44">SUM(E225:AA225)</f>
        <v>5</v>
      </c>
      <c r="AC225" s="5"/>
      <c r="AD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3.0</v>
      </c>
      <c r="F226" s="19">
        <v>0.0</v>
      </c>
      <c r="G226" s="19">
        <v>0.0</v>
      </c>
      <c r="H226" s="19">
        <v>0.0</v>
      </c>
      <c r="I226" s="19">
        <v>5.0</v>
      </c>
      <c r="J226" s="19">
        <v>0.0</v>
      </c>
      <c r="K226" s="19">
        <v>9.0</v>
      </c>
      <c r="L226" s="19">
        <v>1.0</v>
      </c>
      <c r="M226" s="19">
        <v>4.0</v>
      </c>
      <c r="N226" s="19">
        <v>4.0</v>
      </c>
      <c r="O226" s="19">
        <v>0.0</v>
      </c>
      <c r="P226" s="19">
        <v>0.0</v>
      </c>
      <c r="Q226" s="19">
        <v>0.0</v>
      </c>
      <c r="R226" s="19">
        <v>0.0</v>
      </c>
      <c r="S226" s="19">
        <v>2.0</v>
      </c>
      <c r="T226" s="19">
        <v>1.0</v>
      </c>
      <c r="U226" s="19">
        <v>0.0</v>
      </c>
      <c r="V226" s="19">
        <v>0.0</v>
      </c>
      <c r="W226" s="19">
        <v>0.0</v>
      </c>
      <c r="X226" s="19">
        <v>0.0</v>
      </c>
      <c r="Y226" s="19">
        <v>2.0</v>
      </c>
      <c r="Z226" s="19">
        <v>0.0</v>
      </c>
      <c r="AA226" s="19">
        <v>0.0</v>
      </c>
      <c r="AB226" s="13">
        <f t="shared" si="44"/>
        <v>31</v>
      </c>
      <c r="AC226" s="5"/>
      <c r="AD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1.0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1.0</v>
      </c>
      <c r="X227" s="19">
        <v>0.0</v>
      </c>
      <c r="Y227" s="19">
        <v>0.0</v>
      </c>
      <c r="Z227" s="19">
        <v>0.0</v>
      </c>
      <c r="AA227" s="19">
        <v>0.0</v>
      </c>
      <c r="AB227" s="13">
        <f t="shared" si="44"/>
        <v>2</v>
      </c>
      <c r="AC227" s="5"/>
      <c r="AD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1.0</v>
      </c>
      <c r="I228" s="19">
        <v>1.0</v>
      </c>
      <c r="J228" s="19">
        <v>0.0</v>
      </c>
      <c r="K228" s="19">
        <v>1.0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3">
        <f t="shared" si="44"/>
        <v>3</v>
      </c>
      <c r="AC228" s="5"/>
      <c r="AD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1.0</v>
      </c>
      <c r="Y229" s="19">
        <v>0.0</v>
      </c>
      <c r="Z229" s="19">
        <v>0.0</v>
      </c>
      <c r="AA229" s="19">
        <v>1.0</v>
      </c>
      <c r="AB229" s="13">
        <f t="shared" si="44"/>
        <v>2</v>
      </c>
      <c r="AC229" s="1"/>
      <c r="AD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3">
        <f t="shared" si="44"/>
        <v>0</v>
      </c>
      <c r="AC230" s="52"/>
      <c r="AD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1.0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3">
        <f t="shared" si="44"/>
        <v>1</v>
      </c>
      <c r="AC231" s="5"/>
      <c r="AD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2.0</v>
      </c>
      <c r="M232" s="19">
        <v>1.0</v>
      </c>
      <c r="N232" s="19">
        <v>1.0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1.0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0.0</v>
      </c>
      <c r="AB232" s="13">
        <f t="shared" si="44"/>
        <v>5</v>
      </c>
      <c r="AC232" s="5"/>
      <c r="AD232" s="5"/>
    </row>
    <row r="233" ht="12.75" customHeight="1">
      <c r="A233" s="18"/>
      <c r="B233" s="71"/>
      <c r="C233" s="72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79"/>
      <c r="AC233" s="5"/>
      <c r="AD233" s="5"/>
    </row>
    <row r="234" ht="12.75" customHeight="1">
      <c r="A234" s="18"/>
      <c r="B234" s="71"/>
      <c r="C234" s="72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79"/>
      <c r="AC234" s="5"/>
      <c r="AD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B235" si="45">SUM(E225:E234)</f>
        <v>4</v>
      </c>
      <c r="F235" s="13">
        <f t="shared" si="45"/>
        <v>0</v>
      </c>
      <c r="G235" s="13">
        <f t="shared" si="45"/>
        <v>0</v>
      </c>
      <c r="H235" s="13">
        <f t="shared" si="45"/>
        <v>1</v>
      </c>
      <c r="I235" s="13">
        <f t="shared" si="45"/>
        <v>6</v>
      </c>
      <c r="J235" s="13">
        <f t="shared" si="45"/>
        <v>1</v>
      </c>
      <c r="K235" s="13">
        <f t="shared" si="45"/>
        <v>10</v>
      </c>
      <c r="L235" s="13">
        <f t="shared" si="45"/>
        <v>3</v>
      </c>
      <c r="M235" s="13">
        <f t="shared" si="45"/>
        <v>5</v>
      </c>
      <c r="N235" s="13">
        <f t="shared" si="45"/>
        <v>5</v>
      </c>
      <c r="O235" s="13">
        <f t="shared" si="45"/>
        <v>0</v>
      </c>
      <c r="P235" s="13">
        <f t="shared" si="45"/>
        <v>1</v>
      </c>
      <c r="Q235" s="13">
        <f t="shared" si="45"/>
        <v>1</v>
      </c>
      <c r="R235" s="13">
        <f t="shared" si="45"/>
        <v>0</v>
      </c>
      <c r="S235" s="13">
        <f t="shared" si="45"/>
        <v>2</v>
      </c>
      <c r="T235" s="13">
        <f t="shared" si="45"/>
        <v>1</v>
      </c>
      <c r="U235" s="13">
        <f t="shared" si="45"/>
        <v>0</v>
      </c>
      <c r="V235" s="13">
        <f t="shared" si="45"/>
        <v>2</v>
      </c>
      <c r="W235" s="13">
        <f t="shared" si="45"/>
        <v>1</v>
      </c>
      <c r="X235" s="13">
        <f t="shared" si="45"/>
        <v>1</v>
      </c>
      <c r="Y235" s="13">
        <f t="shared" si="45"/>
        <v>2</v>
      </c>
      <c r="Z235" s="13">
        <f t="shared" si="45"/>
        <v>1</v>
      </c>
      <c r="AA235" s="13">
        <f t="shared" si="45"/>
        <v>2</v>
      </c>
      <c r="AB235" s="13">
        <f t="shared" si="45"/>
        <v>49</v>
      </c>
      <c r="AC235" s="5"/>
      <c r="AD235" s="5"/>
    </row>
    <row r="236" ht="12.75" customHeight="1">
      <c r="A236" s="24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5"/>
      <c r="AD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1.0</v>
      </c>
      <c r="F237" s="19">
        <v>0.0</v>
      </c>
      <c r="G237" s="19">
        <v>0.0</v>
      </c>
      <c r="H237" s="19">
        <v>1.0</v>
      </c>
      <c r="I237" s="19">
        <v>1.0</v>
      </c>
      <c r="J237" s="19">
        <v>0.0</v>
      </c>
      <c r="K237" s="19">
        <v>1.0</v>
      </c>
      <c r="L237" s="19">
        <v>2.0</v>
      </c>
      <c r="M237" s="19">
        <v>0.0</v>
      </c>
      <c r="N237" s="19">
        <v>0.0</v>
      </c>
      <c r="O237" s="19">
        <v>0.0</v>
      </c>
      <c r="P237" s="19">
        <v>1.0</v>
      </c>
      <c r="Q237" s="19">
        <v>0.0</v>
      </c>
      <c r="R237" s="19">
        <v>1.0</v>
      </c>
      <c r="S237" s="19">
        <v>3.0</v>
      </c>
      <c r="T237" s="19">
        <v>5.0</v>
      </c>
      <c r="U237" s="19">
        <v>1.0</v>
      </c>
      <c r="V237" s="19">
        <v>1.0</v>
      </c>
      <c r="W237" s="19">
        <v>0.0</v>
      </c>
      <c r="X237" s="19">
        <v>0.0</v>
      </c>
      <c r="Y237" s="19">
        <v>0.0</v>
      </c>
      <c r="Z237" s="19">
        <v>1.0</v>
      </c>
      <c r="AA237" s="19">
        <v>0.0</v>
      </c>
      <c r="AB237" s="13">
        <f t="shared" ref="AB237:AB244" si="46">SUM(E237:AA237)</f>
        <v>19</v>
      </c>
      <c r="AC237" s="5"/>
      <c r="AD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0.0</v>
      </c>
      <c r="G238" s="19">
        <v>0.0</v>
      </c>
      <c r="H238" s="19">
        <v>0.0</v>
      </c>
      <c r="I238" s="19">
        <v>1.0</v>
      </c>
      <c r="J238" s="19">
        <v>1.0</v>
      </c>
      <c r="K238" s="19">
        <v>1.0</v>
      </c>
      <c r="L238" s="19">
        <v>3.0</v>
      </c>
      <c r="M238" s="19">
        <v>1.0</v>
      </c>
      <c r="N238" s="19">
        <v>0.0</v>
      </c>
      <c r="O238" s="19">
        <v>0.0</v>
      </c>
      <c r="P238" s="19">
        <v>1.0</v>
      </c>
      <c r="Q238" s="19">
        <v>0.0</v>
      </c>
      <c r="R238" s="19">
        <v>1.0</v>
      </c>
      <c r="S238" s="19">
        <v>2.0</v>
      </c>
      <c r="T238" s="19">
        <v>3.0</v>
      </c>
      <c r="U238" s="19">
        <v>2.0</v>
      </c>
      <c r="V238" s="19">
        <v>0.0</v>
      </c>
      <c r="W238" s="19">
        <v>0.0</v>
      </c>
      <c r="X238" s="19">
        <v>0.0</v>
      </c>
      <c r="Y238" s="19">
        <v>0.0</v>
      </c>
      <c r="Z238" s="19">
        <v>1.0</v>
      </c>
      <c r="AA238" s="19">
        <v>0.0</v>
      </c>
      <c r="AB238" s="13">
        <f t="shared" si="46"/>
        <v>17</v>
      </c>
      <c r="AC238" s="5"/>
      <c r="AD238" s="5"/>
    </row>
    <row r="239" ht="12.75" customHeight="1">
      <c r="A239" s="18"/>
      <c r="B239" s="55">
        <v>2.0</v>
      </c>
      <c r="C239" s="50" t="s">
        <v>176</v>
      </c>
      <c r="D239" s="57"/>
      <c r="E239" s="19">
        <v>1.0</v>
      </c>
      <c r="F239" s="19">
        <v>1.0</v>
      </c>
      <c r="G239" s="19">
        <v>0.0</v>
      </c>
      <c r="H239" s="19">
        <v>2.0</v>
      </c>
      <c r="I239" s="19">
        <v>1.0</v>
      </c>
      <c r="J239" s="19">
        <v>0.0</v>
      </c>
      <c r="K239" s="19">
        <v>0.0</v>
      </c>
      <c r="L239" s="19">
        <v>5.0</v>
      </c>
      <c r="M239" s="19">
        <v>2.0</v>
      </c>
      <c r="N239" s="19">
        <v>1.0</v>
      </c>
      <c r="O239" s="19">
        <v>0.0</v>
      </c>
      <c r="P239" s="19">
        <v>0.0</v>
      </c>
      <c r="Q239" s="19">
        <v>0.0</v>
      </c>
      <c r="R239" s="19">
        <v>1.0</v>
      </c>
      <c r="S239" s="19">
        <v>4.0</v>
      </c>
      <c r="T239" s="19">
        <v>2.0</v>
      </c>
      <c r="U239" s="19">
        <v>1.0</v>
      </c>
      <c r="V239" s="19">
        <v>0.0</v>
      </c>
      <c r="W239" s="19">
        <v>0.0</v>
      </c>
      <c r="X239" s="19">
        <v>0.0</v>
      </c>
      <c r="Y239" s="19">
        <v>0.0</v>
      </c>
      <c r="Z239" s="19">
        <v>0.0</v>
      </c>
      <c r="AA239" s="19">
        <v>0.0</v>
      </c>
      <c r="AB239" s="13">
        <f t="shared" si="46"/>
        <v>21</v>
      </c>
      <c r="AC239" s="5"/>
      <c r="AD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2.0</v>
      </c>
      <c r="J240" s="19">
        <v>0.0</v>
      </c>
      <c r="K240" s="19">
        <v>0.0</v>
      </c>
      <c r="L240" s="19">
        <v>0.0</v>
      </c>
      <c r="M240" s="19">
        <v>2.0</v>
      </c>
      <c r="N240" s="19">
        <v>0.0</v>
      </c>
      <c r="O240" s="19">
        <v>1.0</v>
      </c>
      <c r="P240" s="19">
        <v>0.0</v>
      </c>
      <c r="Q240" s="19">
        <v>0.0</v>
      </c>
      <c r="R240" s="19">
        <v>1.0</v>
      </c>
      <c r="S240" s="19">
        <v>1.0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1.0</v>
      </c>
      <c r="AA240" s="19">
        <v>0.0</v>
      </c>
      <c r="AB240" s="13">
        <f t="shared" si="46"/>
        <v>8</v>
      </c>
      <c r="AC240" s="1"/>
      <c r="AD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1.0</v>
      </c>
      <c r="V241" s="19">
        <v>0.0</v>
      </c>
      <c r="W241" s="19">
        <v>1.0</v>
      </c>
      <c r="X241" s="19">
        <v>0.0</v>
      </c>
      <c r="Y241" s="19">
        <v>0.0</v>
      </c>
      <c r="Z241" s="19">
        <v>0.0</v>
      </c>
      <c r="AA241" s="19">
        <v>0.0</v>
      </c>
      <c r="AB241" s="13">
        <f t="shared" si="46"/>
        <v>2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1.0</v>
      </c>
      <c r="O242" s="19">
        <v>1.0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3">
        <f t="shared" si="46"/>
        <v>2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3.0</v>
      </c>
      <c r="F244" s="19">
        <v>3.0</v>
      </c>
      <c r="G244" s="19">
        <v>0.0</v>
      </c>
      <c r="H244" s="19">
        <v>0.0</v>
      </c>
      <c r="I244" s="19">
        <v>30.0</v>
      </c>
      <c r="J244" s="19">
        <v>38.0</v>
      </c>
      <c r="K244" s="19">
        <v>1.0</v>
      </c>
      <c r="L244" s="19">
        <v>3.0</v>
      </c>
      <c r="M244" s="19">
        <v>1.0</v>
      </c>
      <c r="N244" s="19">
        <v>3.0</v>
      </c>
      <c r="O244" s="19">
        <v>2.0</v>
      </c>
      <c r="P244" s="19">
        <v>0.0</v>
      </c>
      <c r="Q244" s="19">
        <v>0.0</v>
      </c>
      <c r="R244" s="19">
        <v>6.0</v>
      </c>
      <c r="S244" s="19">
        <v>66.0</v>
      </c>
      <c r="T244" s="19">
        <v>77.0</v>
      </c>
      <c r="U244" s="19">
        <v>80.0</v>
      </c>
      <c r="V244" s="19">
        <v>33.0</v>
      </c>
      <c r="W244" s="19">
        <v>0.0</v>
      </c>
      <c r="X244" s="19">
        <v>1.0</v>
      </c>
      <c r="Y244" s="19">
        <v>0.0</v>
      </c>
      <c r="Z244" s="19">
        <v>2.0</v>
      </c>
      <c r="AA244" s="19">
        <v>1.0</v>
      </c>
      <c r="AB244" s="13">
        <f t="shared" si="46"/>
        <v>350</v>
      </c>
    </row>
    <row r="245" ht="12.75" customHeight="1">
      <c r="A245" s="18"/>
      <c r="B245" s="71"/>
      <c r="C245" s="72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79"/>
    </row>
    <row r="246" ht="12.75" customHeight="1">
      <c r="A246" s="18"/>
      <c r="B246" s="71"/>
      <c r="C246" s="72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79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B247" si="47">SUM(E237:E246)</f>
        <v>5</v>
      </c>
      <c r="F247" s="13">
        <f t="shared" si="47"/>
        <v>4</v>
      </c>
      <c r="G247" s="13">
        <f t="shared" si="47"/>
        <v>0</v>
      </c>
      <c r="H247" s="13">
        <f t="shared" si="47"/>
        <v>3</v>
      </c>
      <c r="I247" s="13">
        <f t="shared" si="47"/>
        <v>35</v>
      </c>
      <c r="J247" s="13">
        <f t="shared" si="47"/>
        <v>39</v>
      </c>
      <c r="K247" s="13">
        <f t="shared" si="47"/>
        <v>3</v>
      </c>
      <c r="L247" s="13">
        <f t="shared" si="47"/>
        <v>13</v>
      </c>
      <c r="M247" s="13">
        <f t="shared" si="47"/>
        <v>6</v>
      </c>
      <c r="N247" s="13">
        <f t="shared" si="47"/>
        <v>5</v>
      </c>
      <c r="O247" s="13">
        <f t="shared" si="47"/>
        <v>4</v>
      </c>
      <c r="P247" s="13">
        <f t="shared" si="47"/>
        <v>2</v>
      </c>
      <c r="Q247" s="13">
        <f t="shared" si="47"/>
        <v>0</v>
      </c>
      <c r="R247" s="13">
        <f t="shared" si="47"/>
        <v>10</v>
      </c>
      <c r="S247" s="13">
        <f t="shared" si="47"/>
        <v>76</v>
      </c>
      <c r="T247" s="13">
        <f t="shared" si="47"/>
        <v>87</v>
      </c>
      <c r="U247" s="13">
        <f t="shared" si="47"/>
        <v>85</v>
      </c>
      <c r="V247" s="13">
        <f t="shared" si="47"/>
        <v>34</v>
      </c>
      <c r="W247" s="13">
        <f t="shared" si="47"/>
        <v>1</v>
      </c>
      <c r="X247" s="13">
        <f t="shared" si="47"/>
        <v>1</v>
      </c>
      <c r="Y247" s="13">
        <f t="shared" si="47"/>
        <v>0</v>
      </c>
      <c r="Z247" s="13">
        <f t="shared" si="47"/>
        <v>5</v>
      </c>
      <c r="AA247" s="13">
        <f t="shared" si="47"/>
        <v>1</v>
      </c>
      <c r="AB247" s="13">
        <f t="shared" si="47"/>
        <v>419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1.0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1.0</v>
      </c>
      <c r="S249" s="19">
        <v>0.0</v>
      </c>
      <c r="T249" s="19"/>
      <c r="U249" s="19"/>
      <c r="V249" s="19"/>
      <c r="W249" s="19"/>
      <c r="X249" s="19"/>
      <c r="Y249" s="19"/>
      <c r="Z249" s="19"/>
      <c r="AA249" s="19"/>
      <c r="AB249" s="13">
        <f t="shared" ref="AB249:AB255" si="48">SUM(E249:AA249)</f>
        <v>2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1.0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1.0</v>
      </c>
      <c r="Q250" s="19">
        <v>0.0</v>
      </c>
      <c r="R250" s="19">
        <v>0.0</v>
      </c>
      <c r="S250" s="19">
        <v>1.0</v>
      </c>
      <c r="T250" s="19"/>
      <c r="U250" s="19"/>
      <c r="V250" s="19"/>
      <c r="W250" s="19"/>
      <c r="X250" s="19"/>
      <c r="Y250" s="19"/>
      <c r="Z250" s="19"/>
      <c r="AA250" s="19"/>
      <c r="AB250" s="13">
        <f t="shared" si="48"/>
        <v>3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1.0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/>
      <c r="U251" s="19"/>
      <c r="V251" s="19"/>
      <c r="W251" s="19"/>
      <c r="X251" s="19"/>
      <c r="Y251" s="19"/>
      <c r="Z251" s="19"/>
      <c r="AA251" s="19"/>
      <c r="AB251" s="13">
        <f t="shared" si="48"/>
        <v>1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/>
      <c r="U252" s="19"/>
      <c r="V252" s="19"/>
      <c r="W252" s="19"/>
      <c r="X252" s="19"/>
      <c r="Y252" s="19"/>
      <c r="Z252" s="19"/>
      <c r="AA252" s="19"/>
      <c r="AB252" s="13">
        <f t="shared" si="48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/>
      <c r="U253" s="19"/>
      <c r="V253" s="19"/>
      <c r="W253" s="19"/>
      <c r="X253" s="19"/>
      <c r="Y253" s="19"/>
      <c r="Z253" s="19"/>
      <c r="AA253" s="19"/>
      <c r="AB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/>
      <c r="U254" s="19"/>
      <c r="V254" s="19"/>
      <c r="W254" s="19"/>
      <c r="X254" s="19"/>
      <c r="Y254" s="19"/>
      <c r="Z254" s="19"/>
      <c r="AA254" s="19"/>
      <c r="AB254" s="13">
        <f t="shared" si="48"/>
        <v>0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/>
      <c r="U255" s="19"/>
      <c r="V255" s="19"/>
      <c r="W255" s="19"/>
      <c r="X255" s="19"/>
      <c r="Y255" s="19"/>
      <c r="Z255" s="19"/>
      <c r="AA255" s="19"/>
      <c r="AB255" s="13">
        <f t="shared" si="48"/>
        <v>0</v>
      </c>
    </row>
    <row r="256" ht="12.75" customHeight="1">
      <c r="A256" s="18"/>
      <c r="B256" s="71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79"/>
    </row>
    <row r="257" ht="12.75" customHeight="1">
      <c r="A257" s="18"/>
      <c r="B257" s="71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79"/>
    </row>
    <row r="258" ht="12.75" customHeight="1">
      <c r="A258" s="18"/>
      <c r="B258" s="71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79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B259" si="49">SUM(E249:E258)</f>
        <v>0</v>
      </c>
      <c r="F259" s="13">
        <f t="shared" si="49"/>
        <v>0</v>
      </c>
      <c r="G259" s="13">
        <f t="shared" si="49"/>
        <v>2</v>
      </c>
      <c r="H259" s="13">
        <f t="shared" si="49"/>
        <v>1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1</v>
      </c>
      <c r="Q259" s="13">
        <f t="shared" si="49"/>
        <v>0</v>
      </c>
      <c r="R259" s="13">
        <f t="shared" si="49"/>
        <v>1</v>
      </c>
      <c r="S259" s="13">
        <f t="shared" si="49"/>
        <v>1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0</v>
      </c>
      <c r="AA259" s="13">
        <f t="shared" si="49"/>
        <v>0</v>
      </c>
      <c r="AB259" s="13">
        <f t="shared" si="49"/>
        <v>6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A262" si="50">E55+E67+E79+E91+E103+E115+E127+E139+E151+E163+E175+E187+E199+E211+E223+E235+E247+E259</f>
        <v>189</v>
      </c>
      <c r="F262" s="19">
        <f t="shared" si="50"/>
        <v>223</v>
      </c>
      <c r="G262" s="19">
        <f t="shared" si="50"/>
        <v>193</v>
      </c>
      <c r="H262" s="19">
        <f t="shared" si="50"/>
        <v>204</v>
      </c>
      <c r="I262" s="19">
        <f t="shared" si="50"/>
        <v>215</v>
      </c>
      <c r="J262" s="19">
        <f t="shared" si="50"/>
        <v>202</v>
      </c>
      <c r="K262" s="19">
        <f t="shared" si="50"/>
        <v>171</v>
      </c>
      <c r="L262" s="19">
        <f t="shared" si="50"/>
        <v>191</v>
      </c>
      <c r="M262" s="19">
        <f t="shared" si="50"/>
        <v>189</v>
      </c>
      <c r="N262" s="19">
        <f t="shared" si="50"/>
        <v>176</v>
      </c>
      <c r="O262" s="19">
        <f t="shared" si="50"/>
        <v>201</v>
      </c>
      <c r="P262" s="19">
        <f t="shared" si="50"/>
        <v>185</v>
      </c>
      <c r="Q262" s="19">
        <f t="shared" si="50"/>
        <v>160</v>
      </c>
      <c r="R262" s="19">
        <f t="shared" si="50"/>
        <v>189</v>
      </c>
      <c r="S262" s="19">
        <f t="shared" si="50"/>
        <v>217</v>
      </c>
      <c r="T262" s="19">
        <f t="shared" si="50"/>
        <v>209</v>
      </c>
      <c r="U262" s="19">
        <f t="shared" si="50"/>
        <v>182</v>
      </c>
      <c r="V262" s="19">
        <f t="shared" si="50"/>
        <v>165</v>
      </c>
      <c r="W262" s="19">
        <f t="shared" si="50"/>
        <v>155</v>
      </c>
      <c r="X262" s="19">
        <f t="shared" si="50"/>
        <v>179</v>
      </c>
      <c r="Y262" s="19">
        <f t="shared" si="50"/>
        <v>205</v>
      </c>
      <c r="Z262" s="19">
        <f t="shared" si="50"/>
        <v>210</v>
      </c>
      <c r="AA262" s="19">
        <f t="shared" si="50"/>
        <v>196</v>
      </c>
      <c r="AB262" s="13">
        <f t="shared" ref="AB262:AB264" si="51">SUM(E262:AA262)</f>
        <v>4406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18.0</v>
      </c>
      <c r="F263" s="19">
        <v>10.0</v>
      </c>
      <c r="G263" s="19">
        <v>21.0</v>
      </c>
      <c r="H263" s="19">
        <v>58.0</v>
      </c>
      <c r="I263" s="19">
        <v>11.0</v>
      </c>
      <c r="J263" s="19">
        <v>23.0</v>
      </c>
      <c r="K263" s="19">
        <v>15.0</v>
      </c>
      <c r="L263" s="19">
        <v>19.0</v>
      </c>
      <c r="M263" s="19">
        <v>26.0</v>
      </c>
      <c r="N263" s="19">
        <v>19.0</v>
      </c>
      <c r="O263" s="19">
        <v>25.0</v>
      </c>
      <c r="P263" s="19">
        <v>25.0</v>
      </c>
      <c r="Q263" s="19">
        <v>43.0</v>
      </c>
      <c r="R263" s="19">
        <v>16.0</v>
      </c>
      <c r="S263" s="19">
        <v>14.0</v>
      </c>
      <c r="T263" s="19">
        <v>9.0</v>
      </c>
      <c r="U263" s="19">
        <v>13.0</v>
      </c>
      <c r="V263" s="19">
        <v>10.0</v>
      </c>
      <c r="W263" s="19">
        <v>24.0</v>
      </c>
      <c r="X263" s="19">
        <v>25.0</v>
      </c>
      <c r="Y263" s="19">
        <v>18.0</v>
      </c>
      <c r="Z263" s="19">
        <v>20.0</v>
      </c>
      <c r="AA263" s="19">
        <v>18.0</v>
      </c>
      <c r="AB263" s="13">
        <f t="shared" si="51"/>
        <v>480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A264" si="52">SUM(E262:E263)</f>
        <v>207</v>
      </c>
      <c r="F264" s="13">
        <f t="shared" si="52"/>
        <v>233</v>
      </c>
      <c r="G264" s="13">
        <f t="shared" si="52"/>
        <v>214</v>
      </c>
      <c r="H264" s="13">
        <f t="shared" si="52"/>
        <v>262</v>
      </c>
      <c r="I264" s="13">
        <f t="shared" si="52"/>
        <v>226</v>
      </c>
      <c r="J264" s="13">
        <f t="shared" si="52"/>
        <v>225</v>
      </c>
      <c r="K264" s="13">
        <f t="shared" si="52"/>
        <v>186</v>
      </c>
      <c r="L264" s="13">
        <f t="shared" si="52"/>
        <v>210</v>
      </c>
      <c r="M264" s="13">
        <f t="shared" si="52"/>
        <v>215</v>
      </c>
      <c r="N264" s="13">
        <f t="shared" si="52"/>
        <v>195</v>
      </c>
      <c r="O264" s="13">
        <f t="shared" si="52"/>
        <v>226</v>
      </c>
      <c r="P264" s="13">
        <f t="shared" si="52"/>
        <v>210</v>
      </c>
      <c r="Q264" s="13">
        <f t="shared" si="52"/>
        <v>203</v>
      </c>
      <c r="R264" s="13">
        <f t="shared" si="52"/>
        <v>205</v>
      </c>
      <c r="S264" s="13">
        <f t="shared" si="52"/>
        <v>231</v>
      </c>
      <c r="T264" s="13">
        <f t="shared" si="52"/>
        <v>218</v>
      </c>
      <c r="U264" s="13">
        <f t="shared" si="52"/>
        <v>195</v>
      </c>
      <c r="V264" s="13">
        <f t="shared" si="52"/>
        <v>175</v>
      </c>
      <c r="W264" s="13">
        <f t="shared" si="52"/>
        <v>179</v>
      </c>
      <c r="X264" s="13">
        <f t="shared" si="52"/>
        <v>204</v>
      </c>
      <c r="Y264" s="13">
        <f t="shared" si="52"/>
        <v>223</v>
      </c>
      <c r="Z264" s="13">
        <f t="shared" si="52"/>
        <v>230</v>
      </c>
      <c r="AA264" s="13">
        <f t="shared" si="52"/>
        <v>214</v>
      </c>
      <c r="AB264" s="13">
        <f t="shared" si="51"/>
        <v>4886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T34">
    <cfRule type="expression" dxfId="0" priority="1">
      <formula>E34&lt;&gt;E64</formula>
    </cfRule>
  </conditionalFormatting>
  <conditionalFormatting sqref="E14:AA15">
    <cfRule type="containsBlanks" dxfId="1" priority="2">
      <formula>LEN(TRIM(E14))=0</formula>
    </cfRule>
  </conditionalFormatting>
  <conditionalFormatting sqref="E19:AA20">
    <cfRule type="containsBlanks" dxfId="1" priority="3">
      <formula>LEN(TRIM(E19))=0</formula>
    </cfRule>
  </conditionalFormatting>
  <conditionalFormatting sqref="E22:AA23 E25:AA26 E33:AA33 E35:AA35 E39:AA40">
    <cfRule type="containsBlanks" dxfId="1" priority="4">
      <formula>LEN(TRIM(E22))=0</formula>
    </cfRule>
  </conditionalFormatting>
  <conditionalFormatting sqref="E30:AA30">
    <cfRule type="expression" dxfId="0" priority="5">
      <formula>E30&lt;&gt;E47</formula>
    </cfRule>
  </conditionalFormatting>
  <conditionalFormatting sqref="E30:AA30">
    <cfRule type="expression" dxfId="0" priority="6">
      <formula>E30&lt;&gt;E34</formula>
    </cfRule>
  </conditionalFormatting>
  <conditionalFormatting sqref="E34:AA34">
    <cfRule type="expression" dxfId="2" priority="7">
      <formula>E30&lt;&gt;E34</formula>
    </cfRule>
  </conditionalFormatting>
  <conditionalFormatting sqref="E34:AA34">
    <cfRule type="expression" dxfId="3" priority="8">
      <formula>E30=E34</formula>
    </cfRule>
  </conditionalFormatting>
  <conditionalFormatting sqref="E34:AA34">
    <cfRule type="expression" dxfId="0" priority="9">
      <formula>E34&lt;&gt;E30</formula>
    </cfRule>
  </conditionalFormatting>
  <conditionalFormatting sqref="E45:AA54">
    <cfRule type="containsBlanks" dxfId="1" priority="10">
      <formula>LEN(TRIM(E45))=0</formula>
    </cfRule>
  </conditionalFormatting>
  <conditionalFormatting sqref="E57:AA66">
    <cfRule type="containsBlanks" dxfId="1" priority="11">
      <formula>LEN(TRIM(E57))=0</formula>
    </cfRule>
  </conditionalFormatting>
  <conditionalFormatting sqref="E69:AA78">
    <cfRule type="containsBlanks" dxfId="1" priority="12">
      <formula>LEN(TRIM(E69))=0</formula>
    </cfRule>
  </conditionalFormatting>
  <conditionalFormatting sqref="E81:AA90">
    <cfRule type="containsBlanks" dxfId="1" priority="13">
      <formula>LEN(TRIM(E81))=0</formula>
    </cfRule>
  </conditionalFormatting>
  <conditionalFormatting sqref="E93:AA102">
    <cfRule type="containsBlanks" dxfId="1" priority="14">
      <formula>LEN(TRIM(E93))=0</formula>
    </cfRule>
  </conditionalFormatting>
  <conditionalFormatting sqref="E105:AA114">
    <cfRule type="containsBlanks" dxfId="1" priority="15">
      <formula>LEN(TRIM(E105))=0</formula>
    </cfRule>
  </conditionalFormatting>
  <conditionalFormatting sqref="E117:AA126">
    <cfRule type="containsBlanks" dxfId="1" priority="16">
      <formula>LEN(TRIM(E117))=0</formula>
    </cfRule>
  </conditionalFormatting>
  <conditionalFormatting sqref="E129:AA138">
    <cfRule type="containsBlanks" dxfId="1" priority="17">
      <formula>LEN(TRIM(E129))=0</formula>
    </cfRule>
  </conditionalFormatting>
  <conditionalFormatting sqref="E141:AA150">
    <cfRule type="containsBlanks" dxfId="1" priority="18">
      <formula>LEN(TRIM(E141))=0</formula>
    </cfRule>
  </conditionalFormatting>
  <conditionalFormatting sqref="E153:AA162">
    <cfRule type="containsBlanks" dxfId="1" priority="19">
      <formula>LEN(TRIM(E153))=0</formula>
    </cfRule>
  </conditionalFormatting>
  <conditionalFormatting sqref="E165:AA174">
    <cfRule type="containsBlanks" dxfId="1" priority="20">
      <formula>LEN(TRIM(E165))=0</formula>
    </cfRule>
  </conditionalFormatting>
  <conditionalFormatting sqref="E177:AA186">
    <cfRule type="containsBlanks" dxfId="1" priority="21">
      <formula>LEN(TRIM(E177))=0</formula>
    </cfRule>
  </conditionalFormatting>
  <conditionalFormatting sqref="E189:AA198">
    <cfRule type="containsBlanks" dxfId="1" priority="22">
      <formula>LEN(TRIM(E189))=0</formula>
    </cfRule>
  </conditionalFormatting>
  <conditionalFormatting sqref="E201:AA210">
    <cfRule type="containsBlanks" dxfId="1" priority="23">
      <formula>LEN(TRIM(E201))=0</formula>
    </cfRule>
  </conditionalFormatting>
  <conditionalFormatting sqref="E213:AA222">
    <cfRule type="containsBlanks" dxfId="1" priority="24">
      <formula>LEN(TRIM(E213))=0</formula>
    </cfRule>
  </conditionalFormatting>
  <conditionalFormatting sqref="E225:AA234">
    <cfRule type="containsBlanks" dxfId="1" priority="25">
      <formula>LEN(TRIM(E225))=0</formula>
    </cfRule>
  </conditionalFormatting>
  <conditionalFormatting sqref="E237:AA246">
    <cfRule type="containsBlanks" dxfId="1" priority="26">
      <formula>LEN(TRIM(E237))=0</formula>
    </cfRule>
  </conditionalFormatting>
  <conditionalFormatting sqref="E249:AA258">
    <cfRule type="containsBlanks" dxfId="1" priority="27">
      <formula>LEN(TRIM(E249))=0</formula>
    </cfRule>
  </conditionalFormatting>
  <conditionalFormatting sqref="E262:AA263">
    <cfRule type="containsBlanks" dxfId="1" priority="28">
      <formula>LEN(TRIM(E262))=0</formula>
    </cfRule>
  </conditionalFormatting>
  <conditionalFormatting sqref="U34:AA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250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6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36"/>
    </row>
    <row r="14" ht="12.75" customHeight="1">
      <c r="A14" s="18"/>
      <c r="B14" s="22" t="s">
        <v>11</v>
      </c>
      <c r="C14" s="23"/>
      <c r="D14" s="19" t="s">
        <v>12</v>
      </c>
      <c r="E14" s="19">
        <v>151.0</v>
      </c>
      <c r="F14" s="19">
        <v>137.0</v>
      </c>
      <c r="G14" s="19">
        <v>138.0</v>
      </c>
      <c r="H14" s="19">
        <v>147.0</v>
      </c>
      <c r="I14" s="19">
        <v>148.0</v>
      </c>
      <c r="J14" s="19">
        <v>147.0</v>
      </c>
      <c r="K14" s="19">
        <v>144.0</v>
      </c>
      <c r="L14" s="19">
        <v>126.0</v>
      </c>
      <c r="M14" s="19">
        <v>145.0</v>
      </c>
      <c r="N14" s="19">
        <v>153.0</v>
      </c>
      <c r="O14" s="19">
        <v>152.0</v>
      </c>
      <c r="P14" s="19">
        <v>108.0</v>
      </c>
      <c r="Q14" s="19">
        <v>139.0</v>
      </c>
      <c r="R14" s="19">
        <v>106.0</v>
      </c>
      <c r="S14" s="19">
        <v>135.0</v>
      </c>
      <c r="T14" s="19">
        <v>127.0</v>
      </c>
      <c r="U14" s="19">
        <v>101.0</v>
      </c>
      <c r="V14" s="19">
        <v>119.0</v>
      </c>
      <c r="W14" s="19">
        <v>119.0</v>
      </c>
      <c r="X14" s="13">
        <f t="shared" ref="X14:X16" si="1">SUM(E14:W14)</f>
        <v>2542</v>
      </c>
    </row>
    <row r="15" ht="12.75" customHeight="1">
      <c r="A15" s="18"/>
      <c r="B15" s="26"/>
      <c r="C15" s="27"/>
      <c r="D15" s="19" t="s">
        <v>13</v>
      </c>
      <c r="E15" s="19">
        <v>142.0</v>
      </c>
      <c r="F15" s="19">
        <v>156.0</v>
      </c>
      <c r="G15" s="19">
        <v>150.0</v>
      </c>
      <c r="H15" s="19">
        <v>146.0</v>
      </c>
      <c r="I15" s="19">
        <v>136.0</v>
      </c>
      <c r="J15" s="19">
        <v>150.0</v>
      </c>
      <c r="K15" s="19">
        <v>151.0</v>
      </c>
      <c r="L15" s="19">
        <v>126.0</v>
      </c>
      <c r="M15" s="19">
        <v>148.0</v>
      </c>
      <c r="N15" s="19">
        <v>143.0</v>
      </c>
      <c r="O15" s="19">
        <v>134.0</v>
      </c>
      <c r="P15" s="19">
        <v>106.0</v>
      </c>
      <c r="Q15" s="19">
        <v>141.0</v>
      </c>
      <c r="R15" s="19">
        <v>110.0</v>
      </c>
      <c r="S15" s="19">
        <v>135.0</v>
      </c>
      <c r="T15" s="19">
        <v>140.0</v>
      </c>
      <c r="U15" s="19">
        <v>108.0</v>
      </c>
      <c r="V15" s="19">
        <v>110.0</v>
      </c>
      <c r="W15" s="19">
        <v>124.0</v>
      </c>
      <c r="X15" s="13">
        <f t="shared" si="1"/>
        <v>2556</v>
      </c>
    </row>
    <row r="16" ht="12.75" customHeight="1">
      <c r="A16" s="25"/>
      <c r="B16" s="21"/>
      <c r="C16" s="28"/>
      <c r="D16" s="13" t="s">
        <v>14</v>
      </c>
      <c r="E16" s="13">
        <f t="shared" ref="E16:W16" si="2">SUM(E14:E15)</f>
        <v>293</v>
      </c>
      <c r="F16" s="13">
        <f t="shared" si="2"/>
        <v>293</v>
      </c>
      <c r="G16" s="13">
        <f t="shared" si="2"/>
        <v>288</v>
      </c>
      <c r="H16" s="13">
        <f t="shared" si="2"/>
        <v>293</v>
      </c>
      <c r="I16" s="13">
        <f t="shared" si="2"/>
        <v>284</v>
      </c>
      <c r="J16" s="13">
        <f t="shared" si="2"/>
        <v>297</v>
      </c>
      <c r="K16" s="13">
        <f t="shared" si="2"/>
        <v>295</v>
      </c>
      <c r="L16" s="13">
        <f t="shared" si="2"/>
        <v>252</v>
      </c>
      <c r="M16" s="13">
        <f t="shared" si="2"/>
        <v>293</v>
      </c>
      <c r="N16" s="13">
        <f t="shared" si="2"/>
        <v>296</v>
      </c>
      <c r="O16" s="13">
        <f t="shared" si="2"/>
        <v>286</v>
      </c>
      <c r="P16" s="13">
        <f t="shared" si="2"/>
        <v>214</v>
      </c>
      <c r="Q16" s="13">
        <f t="shared" si="2"/>
        <v>280</v>
      </c>
      <c r="R16" s="13">
        <f t="shared" si="2"/>
        <v>216</v>
      </c>
      <c r="S16" s="13">
        <f t="shared" si="2"/>
        <v>270</v>
      </c>
      <c r="T16" s="13">
        <f t="shared" si="2"/>
        <v>267</v>
      </c>
      <c r="U16" s="13">
        <f t="shared" si="2"/>
        <v>209</v>
      </c>
      <c r="V16" s="13">
        <f t="shared" si="2"/>
        <v>229</v>
      </c>
      <c r="W16" s="13">
        <f t="shared" si="2"/>
        <v>243</v>
      </c>
      <c r="X16" s="13">
        <f t="shared" si="1"/>
        <v>5098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7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7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112.0</v>
      </c>
      <c r="F19" s="19">
        <v>126.0</v>
      </c>
      <c r="G19" s="19">
        <v>106.0</v>
      </c>
      <c r="H19" s="19">
        <v>112.0</v>
      </c>
      <c r="I19" s="19">
        <v>104.0</v>
      </c>
      <c r="J19" s="19">
        <v>100.0</v>
      </c>
      <c r="K19" s="19">
        <v>104.0</v>
      </c>
      <c r="L19" s="19">
        <v>91.0</v>
      </c>
      <c r="M19" s="19">
        <v>119.0</v>
      </c>
      <c r="N19" s="19">
        <v>105.0</v>
      </c>
      <c r="O19" s="19">
        <v>108.0</v>
      </c>
      <c r="P19" s="19">
        <v>97.0</v>
      </c>
      <c r="Q19" s="19">
        <v>106.0</v>
      </c>
      <c r="R19" s="19">
        <v>74.0</v>
      </c>
      <c r="S19" s="19">
        <v>97.0</v>
      </c>
      <c r="T19" s="19">
        <v>98.0</v>
      </c>
      <c r="U19" s="19">
        <v>84.0</v>
      </c>
      <c r="V19" s="19">
        <v>89.0</v>
      </c>
      <c r="W19" s="19">
        <v>95.0</v>
      </c>
      <c r="X19" s="13">
        <f t="shared" ref="X19:X30" si="3">SUM(E19:W19)</f>
        <v>1927</v>
      </c>
    </row>
    <row r="20" ht="12.75" customHeight="1">
      <c r="A20" s="33"/>
      <c r="B20" s="27"/>
      <c r="C20" s="34"/>
      <c r="D20" s="19" t="s">
        <v>13</v>
      </c>
      <c r="E20" s="19">
        <v>106.0</v>
      </c>
      <c r="F20" s="19">
        <v>105.0</v>
      </c>
      <c r="G20" s="19">
        <v>126.0</v>
      </c>
      <c r="H20" s="19">
        <v>119.0</v>
      </c>
      <c r="I20" s="19">
        <v>106.0</v>
      </c>
      <c r="J20" s="19">
        <v>124.0</v>
      </c>
      <c r="K20" s="19">
        <v>119.0</v>
      </c>
      <c r="L20" s="19">
        <v>104.0</v>
      </c>
      <c r="M20" s="19">
        <v>111.0</v>
      </c>
      <c r="N20" s="19">
        <v>109.0</v>
      </c>
      <c r="O20" s="19">
        <v>95.0</v>
      </c>
      <c r="P20" s="19">
        <v>86.0</v>
      </c>
      <c r="Q20" s="19">
        <v>112.0</v>
      </c>
      <c r="R20" s="19">
        <v>77.0</v>
      </c>
      <c r="S20" s="19">
        <v>110.0</v>
      </c>
      <c r="T20" s="19">
        <v>107.0</v>
      </c>
      <c r="U20" s="19">
        <v>89.0</v>
      </c>
      <c r="V20" s="19">
        <v>87.0</v>
      </c>
      <c r="W20" s="19">
        <v>87.0</v>
      </c>
      <c r="X20" s="13">
        <f t="shared" si="3"/>
        <v>1979</v>
      </c>
    </row>
    <row r="21" ht="12.75" customHeight="1">
      <c r="A21" s="35"/>
      <c r="B21" s="28"/>
      <c r="C21" s="36"/>
      <c r="D21" s="13" t="s">
        <v>14</v>
      </c>
      <c r="E21" s="13">
        <f t="shared" ref="E21:W21" si="4">SUM(E19:E20)</f>
        <v>218</v>
      </c>
      <c r="F21" s="13">
        <f t="shared" si="4"/>
        <v>231</v>
      </c>
      <c r="G21" s="13">
        <f t="shared" si="4"/>
        <v>232</v>
      </c>
      <c r="H21" s="13">
        <f t="shared" si="4"/>
        <v>231</v>
      </c>
      <c r="I21" s="13">
        <f t="shared" si="4"/>
        <v>210</v>
      </c>
      <c r="J21" s="13">
        <f t="shared" si="4"/>
        <v>224</v>
      </c>
      <c r="K21" s="13">
        <f t="shared" si="4"/>
        <v>223</v>
      </c>
      <c r="L21" s="13">
        <f t="shared" si="4"/>
        <v>195</v>
      </c>
      <c r="M21" s="13">
        <f t="shared" si="4"/>
        <v>230</v>
      </c>
      <c r="N21" s="13">
        <f t="shared" si="4"/>
        <v>214</v>
      </c>
      <c r="O21" s="13">
        <f t="shared" si="4"/>
        <v>203</v>
      </c>
      <c r="P21" s="13">
        <f t="shared" si="4"/>
        <v>183</v>
      </c>
      <c r="Q21" s="13">
        <f t="shared" si="4"/>
        <v>218</v>
      </c>
      <c r="R21" s="13">
        <f t="shared" si="4"/>
        <v>151</v>
      </c>
      <c r="S21" s="13">
        <f t="shared" si="4"/>
        <v>207</v>
      </c>
      <c r="T21" s="13">
        <f t="shared" si="4"/>
        <v>205</v>
      </c>
      <c r="U21" s="13">
        <f t="shared" si="4"/>
        <v>173</v>
      </c>
      <c r="V21" s="13">
        <f t="shared" si="4"/>
        <v>176</v>
      </c>
      <c r="W21" s="13">
        <f t="shared" si="4"/>
        <v>182</v>
      </c>
      <c r="X21" s="13">
        <f t="shared" si="3"/>
        <v>3906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W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0.0</v>
      </c>
      <c r="H25" s="19">
        <v>0.0</v>
      </c>
      <c r="I25" s="19">
        <v>1.0</v>
      </c>
      <c r="J25" s="19">
        <v>2.0</v>
      </c>
      <c r="K25" s="19">
        <v>1.0</v>
      </c>
      <c r="L25" s="19">
        <v>0.0</v>
      </c>
      <c r="M25" s="19">
        <v>2.0</v>
      </c>
      <c r="N25" s="19">
        <v>1.0</v>
      </c>
      <c r="O25" s="19">
        <v>3.0</v>
      </c>
      <c r="P25" s="19">
        <v>0.0</v>
      </c>
      <c r="Q25" s="19">
        <v>1.0</v>
      </c>
      <c r="R25" s="19">
        <v>12.0</v>
      </c>
      <c r="S25" s="19">
        <v>2.0</v>
      </c>
      <c r="T25" s="19">
        <v>0.0</v>
      </c>
      <c r="U25" s="19">
        <v>11.0</v>
      </c>
      <c r="V25" s="19">
        <v>3.0</v>
      </c>
      <c r="W25" s="19">
        <v>1.0</v>
      </c>
      <c r="X25" s="13">
        <f t="shared" si="3"/>
        <v>41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0.0</v>
      </c>
      <c r="H26" s="19">
        <v>5.0</v>
      </c>
      <c r="I26" s="19">
        <v>0.0</v>
      </c>
      <c r="J26" s="19">
        <v>1.0</v>
      </c>
      <c r="K26" s="19">
        <v>1.0</v>
      </c>
      <c r="L26" s="19">
        <v>0.0</v>
      </c>
      <c r="M26" s="19">
        <v>1.0</v>
      </c>
      <c r="N26" s="19">
        <v>3.0</v>
      </c>
      <c r="O26" s="19">
        <v>2.0</v>
      </c>
      <c r="P26" s="19">
        <v>2.0</v>
      </c>
      <c r="Q26" s="19">
        <v>1.0</v>
      </c>
      <c r="R26" s="19">
        <v>12.0</v>
      </c>
      <c r="S26" s="19">
        <v>1.0</v>
      </c>
      <c r="T26" s="19">
        <v>0.0</v>
      </c>
      <c r="U26" s="19">
        <v>14.0</v>
      </c>
      <c r="V26" s="19">
        <v>2.0</v>
      </c>
      <c r="W26" s="19">
        <v>3.0</v>
      </c>
      <c r="X26" s="13">
        <f t="shared" si="3"/>
        <v>49</v>
      </c>
    </row>
    <row r="27" ht="12.75" customHeight="1">
      <c r="A27" s="35"/>
      <c r="B27" s="28"/>
      <c r="C27" s="36"/>
      <c r="D27" s="13" t="s">
        <v>14</v>
      </c>
      <c r="E27" s="13">
        <f t="shared" ref="E27:W27" si="6">SUM(E25:E26)</f>
        <v>2</v>
      </c>
      <c r="F27" s="13">
        <f t="shared" si="6"/>
        <v>0</v>
      </c>
      <c r="G27" s="13">
        <f t="shared" si="6"/>
        <v>0</v>
      </c>
      <c r="H27" s="13">
        <f t="shared" si="6"/>
        <v>5</v>
      </c>
      <c r="I27" s="13">
        <f t="shared" si="6"/>
        <v>1</v>
      </c>
      <c r="J27" s="13">
        <f t="shared" si="6"/>
        <v>3</v>
      </c>
      <c r="K27" s="13">
        <f t="shared" si="6"/>
        <v>2</v>
      </c>
      <c r="L27" s="13">
        <f t="shared" si="6"/>
        <v>0</v>
      </c>
      <c r="M27" s="13">
        <f t="shared" si="6"/>
        <v>3</v>
      </c>
      <c r="N27" s="13">
        <f t="shared" si="6"/>
        <v>4</v>
      </c>
      <c r="O27" s="13">
        <f t="shared" si="6"/>
        <v>5</v>
      </c>
      <c r="P27" s="13">
        <f t="shared" si="6"/>
        <v>2</v>
      </c>
      <c r="Q27" s="13">
        <f t="shared" si="6"/>
        <v>2</v>
      </c>
      <c r="R27" s="13">
        <f t="shared" si="6"/>
        <v>24</v>
      </c>
      <c r="S27" s="13">
        <f t="shared" si="6"/>
        <v>3</v>
      </c>
      <c r="T27" s="13">
        <f t="shared" si="6"/>
        <v>0</v>
      </c>
      <c r="U27" s="13">
        <f t="shared" si="6"/>
        <v>25</v>
      </c>
      <c r="V27" s="13">
        <f t="shared" si="6"/>
        <v>5</v>
      </c>
      <c r="W27" s="13">
        <f t="shared" si="6"/>
        <v>4</v>
      </c>
      <c r="X27" s="13">
        <f t="shared" si="3"/>
        <v>90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W28" si="7">SUM(E19,E22,E25)</f>
        <v>113</v>
      </c>
      <c r="F28" s="13">
        <f t="shared" si="7"/>
        <v>126</v>
      </c>
      <c r="G28" s="13">
        <f t="shared" si="7"/>
        <v>106</v>
      </c>
      <c r="H28" s="13">
        <f t="shared" si="7"/>
        <v>112</v>
      </c>
      <c r="I28" s="13">
        <f t="shared" si="7"/>
        <v>105</v>
      </c>
      <c r="J28" s="13">
        <f t="shared" si="7"/>
        <v>102</v>
      </c>
      <c r="K28" s="13">
        <f t="shared" si="7"/>
        <v>105</v>
      </c>
      <c r="L28" s="13">
        <f t="shared" si="7"/>
        <v>91</v>
      </c>
      <c r="M28" s="13">
        <f t="shared" si="7"/>
        <v>121</v>
      </c>
      <c r="N28" s="13">
        <f t="shared" si="7"/>
        <v>106</v>
      </c>
      <c r="O28" s="13">
        <f t="shared" si="7"/>
        <v>111</v>
      </c>
      <c r="P28" s="13">
        <f t="shared" si="7"/>
        <v>97</v>
      </c>
      <c r="Q28" s="13">
        <f t="shared" si="7"/>
        <v>107</v>
      </c>
      <c r="R28" s="13">
        <f t="shared" si="7"/>
        <v>86</v>
      </c>
      <c r="S28" s="13">
        <f t="shared" si="7"/>
        <v>99</v>
      </c>
      <c r="T28" s="13">
        <f t="shared" si="7"/>
        <v>98</v>
      </c>
      <c r="U28" s="13">
        <f t="shared" si="7"/>
        <v>95</v>
      </c>
      <c r="V28" s="13">
        <f t="shared" si="7"/>
        <v>92</v>
      </c>
      <c r="W28" s="13">
        <f t="shared" si="7"/>
        <v>96</v>
      </c>
      <c r="X28" s="13">
        <f t="shared" si="3"/>
        <v>1968</v>
      </c>
    </row>
    <row r="29" ht="12.75" customHeight="1">
      <c r="A29" s="35"/>
      <c r="B29" s="27"/>
      <c r="C29" s="34"/>
      <c r="D29" s="13" t="s">
        <v>13</v>
      </c>
      <c r="E29" s="13">
        <f t="shared" ref="E29:W29" si="8">SUM(E20,E23,E26)</f>
        <v>107</v>
      </c>
      <c r="F29" s="13">
        <f t="shared" si="8"/>
        <v>105</v>
      </c>
      <c r="G29" s="13">
        <f t="shared" si="8"/>
        <v>126</v>
      </c>
      <c r="H29" s="13">
        <f t="shared" si="8"/>
        <v>124</v>
      </c>
      <c r="I29" s="13">
        <f t="shared" si="8"/>
        <v>106</v>
      </c>
      <c r="J29" s="13">
        <f t="shared" si="8"/>
        <v>125</v>
      </c>
      <c r="K29" s="13">
        <f t="shared" si="8"/>
        <v>120</v>
      </c>
      <c r="L29" s="13">
        <f t="shared" si="8"/>
        <v>104</v>
      </c>
      <c r="M29" s="13">
        <f t="shared" si="8"/>
        <v>112</v>
      </c>
      <c r="N29" s="13">
        <f t="shared" si="8"/>
        <v>112</v>
      </c>
      <c r="O29" s="13">
        <f t="shared" si="8"/>
        <v>97</v>
      </c>
      <c r="P29" s="13">
        <f t="shared" si="8"/>
        <v>88</v>
      </c>
      <c r="Q29" s="13">
        <f t="shared" si="8"/>
        <v>113</v>
      </c>
      <c r="R29" s="13">
        <f t="shared" si="8"/>
        <v>89</v>
      </c>
      <c r="S29" s="13">
        <f t="shared" si="8"/>
        <v>111</v>
      </c>
      <c r="T29" s="13">
        <f t="shared" si="8"/>
        <v>107</v>
      </c>
      <c r="U29" s="13">
        <f t="shared" si="8"/>
        <v>103</v>
      </c>
      <c r="V29" s="13">
        <f t="shared" si="8"/>
        <v>89</v>
      </c>
      <c r="W29" s="13">
        <f t="shared" si="8"/>
        <v>90</v>
      </c>
      <c r="X29" s="13">
        <f t="shared" si="3"/>
        <v>2028</v>
      </c>
    </row>
    <row r="30" ht="12.75" customHeight="1">
      <c r="A30" s="35"/>
      <c r="B30" s="28"/>
      <c r="C30" s="36"/>
      <c r="D30" s="13" t="s">
        <v>14</v>
      </c>
      <c r="E30" s="13">
        <f t="shared" ref="E30:W30" si="9">SUM(E28:E29)</f>
        <v>220</v>
      </c>
      <c r="F30" s="13">
        <f t="shared" si="9"/>
        <v>231</v>
      </c>
      <c r="G30" s="13">
        <f t="shared" si="9"/>
        <v>232</v>
      </c>
      <c r="H30" s="13">
        <f t="shared" si="9"/>
        <v>236</v>
      </c>
      <c r="I30" s="13">
        <f t="shared" si="9"/>
        <v>211</v>
      </c>
      <c r="J30" s="13">
        <f t="shared" si="9"/>
        <v>227</v>
      </c>
      <c r="K30" s="13">
        <f t="shared" si="9"/>
        <v>225</v>
      </c>
      <c r="L30" s="13">
        <f t="shared" si="9"/>
        <v>195</v>
      </c>
      <c r="M30" s="13">
        <f t="shared" si="9"/>
        <v>233</v>
      </c>
      <c r="N30" s="13">
        <f t="shared" si="9"/>
        <v>218</v>
      </c>
      <c r="O30" s="13">
        <f t="shared" si="9"/>
        <v>208</v>
      </c>
      <c r="P30" s="13">
        <f t="shared" si="9"/>
        <v>185</v>
      </c>
      <c r="Q30" s="13">
        <f t="shared" si="9"/>
        <v>220</v>
      </c>
      <c r="R30" s="13">
        <f t="shared" si="9"/>
        <v>175</v>
      </c>
      <c r="S30" s="13">
        <f t="shared" si="9"/>
        <v>210</v>
      </c>
      <c r="T30" s="13">
        <f t="shared" si="9"/>
        <v>205</v>
      </c>
      <c r="U30" s="13">
        <f t="shared" si="9"/>
        <v>198</v>
      </c>
      <c r="V30" s="13">
        <f t="shared" si="9"/>
        <v>181</v>
      </c>
      <c r="W30" s="13">
        <f t="shared" si="9"/>
        <v>186</v>
      </c>
      <c r="X30" s="13">
        <f t="shared" si="3"/>
        <v>3996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7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77"/>
    </row>
    <row r="33" ht="12.75" customHeight="1">
      <c r="A33" s="19">
        <v>1.0</v>
      </c>
      <c r="B33" s="20" t="s">
        <v>27</v>
      </c>
      <c r="C33" s="15"/>
      <c r="D33" s="16"/>
      <c r="E33" s="19">
        <v>300.0</v>
      </c>
      <c r="F33" s="19">
        <v>299.0</v>
      </c>
      <c r="G33" s="19">
        <v>295.0</v>
      </c>
      <c r="H33" s="19">
        <v>299.0</v>
      </c>
      <c r="I33" s="19">
        <v>290.0</v>
      </c>
      <c r="J33" s="19">
        <v>303.0</v>
      </c>
      <c r="K33" s="19">
        <v>301.0</v>
      </c>
      <c r="L33" s="19">
        <v>258.0</v>
      </c>
      <c r="M33" s="19">
        <v>299.0</v>
      </c>
      <c r="N33" s="19">
        <v>302.0</v>
      </c>
      <c r="O33" s="19">
        <v>292.0</v>
      </c>
      <c r="P33" s="19">
        <v>219.0</v>
      </c>
      <c r="Q33" s="19">
        <v>286.0</v>
      </c>
      <c r="R33" s="19">
        <v>221.0</v>
      </c>
      <c r="S33" s="19">
        <v>276.0</v>
      </c>
      <c r="T33" s="19">
        <v>273.0</v>
      </c>
      <c r="U33" s="19">
        <v>214.0</v>
      </c>
      <c r="V33" s="19">
        <v>244.0</v>
      </c>
      <c r="W33" s="19">
        <v>248.0</v>
      </c>
      <c r="X33" s="13">
        <f t="shared" ref="X33:X36" si="10">SUM(E33:W33)</f>
        <v>5219</v>
      </c>
    </row>
    <row r="34" ht="12.75" customHeight="1">
      <c r="A34" s="19">
        <v>2.0</v>
      </c>
      <c r="B34" s="20" t="s">
        <v>28</v>
      </c>
      <c r="C34" s="15"/>
      <c r="D34" s="16"/>
      <c r="E34" s="13">
        <v>220.0</v>
      </c>
      <c r="F34" s="13">
        <v>231.0</v>
      </c>
      <c r="G34" s="13">
        <v>232.0</v>
      </c>
      <c r="H34" s="13">
        <v>236.0</v>
      </c>
      <c r="I34" s="13">
        <v>211.0</v>
      </c>
      <c r="J34" s="13">
        <v>227.0</v>
      </c>
      <c r="K34" s="13">
        <v>225.0</v>
      </c>
      <c r="L34" s="13">
        <v>195.0</v>
      </c>
      <c r="M34" s="13">
        <v>233.0</v>
      </c>
      <c r="N34" s="13">
        <v>218.0</v>
      </c>
      <c r="O34" s="13">
        <v>208.0</v>
      </c>
      <c r="P34" s="13">
        <v>185.0</v>
      </c>
      <c r="Q34" s="13">
        <v>220.0</v>
      </c>
      <c r="R34" s="13">
        <v>175.0</v>
      </c>
      <c r="S34" s="13">
        <v>210.0</v>
      </c>
      <c r="T34" s="13">
        <v>205.0</v>
      </c>
      <c r="U34" s="13">
        <v>198.0</v>
      </c>
      <c r="V34" s="13">
        <v>181.0</v>
      </c>
      <c r="W34" s="13">
        <v>186.0</v>
      </c>
      <c r="X34" s="13">
        <f t="shared" si="10"/>
        <v>3996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1.0</v>
      </c>
      <c r="I35" s="19">
        <v>0.0</v>
      </c>
      <c r="J35" s="19">
        <v>0.0</v>
      </c>
      <c r="K35" s="19">
        <v>0.0</v>
      </c>
      <c r="L35" s="19">
        <v>0.0</v>
      </c>
      <c r="M35" s="19">
        <v>4.0</v>
      </c>
      <c r="N35" s="19">
        <v>0.0</v>
      </c>
      <c r="O35" s="19">
        <v>1.0</v>
      </c>
      <c r="P35" s="19">
        <v>0.0</v>
      </c>
      <c r="Q35" s="19">
        <v>0.0</v>
      </c>
      <c r="R35" s="19">
        <v>0.0</v>
      </c>
      <c r="S35" s="19">
        <v>0.0</v>
      </c>
      <c r="T35" s="19"/>
      <c r="U35" s="19"/>
      <c r="V35" s="19"/>
      <c r="W35" s="19"/>
      <c r="X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W36" si="11">E33-(E34+E35)</f>
        <v>80</v>
      </c>
      <c r="F36" s="13">
        <f t="shared" si="11"/>
        <v>67</v>
      </c>
      <c r="G36" s="13">
        <f t="shared" si="11"/>
        <v>63</v>
      </c>
      <c r="H36" s="13">
        <f t="shared" si="11"/>
        <v>62</v>
      </c>
      <c r="I36" s="13">
        <f t="shared" si="11"/>
        <v>79</v>
      </c>
      <c r="J36" s="13">
        <f t="shared" si="11"/>
        <v>76</v>
      </c>
      <c r="K36" s="13">
        <f t="shared" si="11"/>
        <v>76</v>
      </c>
      <c r="L36" s="13">
        <f t="shared" si="11"/>
        <v>63</v>
      </c>
      <c r="M36" s="13">
        <f t="shared" si="11"/>
        <v>62</v>
      </c>
      <c r="N36" s="13">
        <f t="shared" si="11"/>
        <v>84</v>
      </c>
      <c r="O36" s="13">
        <f t="shared" si="11"/>
        <v>83</v>
      </c>
      <c r="P36" s="13">
        <f t="shared" si="11"/>
        <v>34</v>
      </c>
      <c r="Q36" s="13">
        <f t="shared" si="11"/>
        <v>66</v>
      </c>
      <c r="R36" s="13">
        <f t="shared" si="11"/>
        <v>46</v>
      </c>
      <c r="S36" s="13">
        <f t="shared" si="11"/>
        <v>66</v>
      </c>
      <c r="T36" s="13">
        <f t="shared" si="11"/>
        <v>68</v>
      </c>
      <c r="U36" s="13">
        <f t="shared" si="11"/>
        <v>16</v>
      </c>
      <c r="V36" s="13">
        <f t="shared" si="11"/>
        <v>63</v>
      </c>
      <c r="W36" s="13">
        <f t="shared" si="11"/>
        <v>62</v>
      </c>
      <c r="X36" s="13">
        <f t="shared" si="10"/>
        <v>1216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8"/>
      <c r="O37" s="70"/>
      <c r="P37" s="70"/>
      <c r="Q37" s="70"/>
      <c r="R37" s="70"/>
      <c r="S37" s="70"/>
      <c r="T37" s="70"/>
      <c r="U37" s="70"/>
      <c r="V37" s="70"/>
      <c r="W37" s="70"/>
      <c r="X37" s="7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77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5.0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/>
      <c r="U39" s="19"/>
      <c r="V39" s="19">
        <v>4.0</v>
      </c>
      <c r="W39" s="19"/>
      <c r="X39" s="13">
        <f t="shared" ref="X39:X41" si="12">SUM(E39:W39)</f>
        <v>9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5.0</v>
      </c>
      <c r="H40" s="19">
        <v>5.0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2.0</v>
      </c>
      <c r="Q40" s="19">
        <v>0.0</v>
      </c>
      <c r="R40" s="19">
        <v>2.0</v>
      </c>
      <c r="S40" s="19">
        <v>0.0</v>
      </c>
      <c r="T40" s="19"/>
      <c r="U40" s="19"/>
      <c r="V40" s="19">
        <v>2.0</v>
      </c>
      <c r="W40" s="19"/>
      <c r="X40" s="13">
        <f t="shared" si="12"/>
        <v>16</v>
      </c>
    </row>
    <row r="41" ht="12.75" customHeight="1">
      <c r="A41" s="41"/>
      <c r="B41" s="44"/>
      <c r="C41" s="28"/>
      <c r="D41" s="13" t="s">
        <v>14</v>
      </c>
      <c r="E41" s="13">
        <f t="shared" ref="E41:W41" si="13">SUM(E39:E40)</f>
        <v>0</v>
      </c>
      <c r="F41" s="13">
        <f t="shared" si="13"/>
        <v>0</v>
      </c>
      <c r="G41" s="13">
        <f t="shared" si="13"/>
        <v>10</v>
      </c>
      <c r="H41" s="13">
        <f t="shared" si="13"/>
        <v>5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2</v>
      </c>
      <c r="Q41" s="13">
        <f t="shared" si="13"/>
        <v>0</v>
      </c>
      <c r="R41" s="13">
        <f t="shared" si="13"/>
        <v>2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6</v>
      </c>
      <c r="W41" s="13">
        <f t="shared" si="13"/>
        <v>0</v>
      </c>
      <c r="X41" s="13">
        <f t="shared" si="12"/>
        <v>25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8"/>
      <c r="O42" s="19"/>
      <c r="P42" s="68"/>
      <c r="Q42" s="19"/>
      <c r="R42" s="68"/>
      <c r="S42" s="19"/>
      <c r="T42" s="68"/>
      <c r="U42" s="19"/>
      <c r="V42" s="68"/>
      <c r="W42" s="19"/>
      <c r="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69"/>
      <c r="Q43" s="13"/>
      <c r="R43" s="69"/>
      <c r="S43" s="13"/>
      <c r="T43" s="69"/>
      <c r="U43" s="13"/>
      <c r="V43" s="69"/>
      <c r="W43" s="13"/>
      <c r="X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8"/>
      <c r="O44" s="19"/>
      <c r="P44" s="68"/>
      <c r="Q44" s="19"/>
      <c r="R44" s="68"/>
      <c r="S44" s="19"/>
      <c r="T44" s="68"/>
      <c r="U44" s="19"/>
      <c r="V44" s="68"/>
      <c r="W44" s="19"/>
      <c r="X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6.0</v>
      </c>
      <c r="F45" s="19">
        <v>11.0</v>
      </c>
      <c r="G45" s="19">
        <v>8.0</v>
      </c>
      <c r="H45" s="19">
        <v>9.0</v>
      </c>
      <c r="I45" s="19">
        <v>6.0</v>
      </c>
      <c r="J45" s="19">
        <v>6.0</v>
      </c>
      <c r="K45" s="19">
        <v>4.0</v>
      </c>
      <c r="L45" s="19">
        <v>9.0</v>
      </c>
      <c r="M45" s="19">
        <v>12.0</v>
      </c>
      <c r="N45" s="19">
        <v>8.0</v>
      </c>
      <c r="O45" s="19">
        <v>10.0</v>
      </c>
      <c r="P45" s="19">
        <v>0.0</v>
      </c>
      <c r="Q45" s="19">
        <v>13.0</v>
      </c>
      <c r="R45" s="19">
        <v>2.0</v>
      </c>
      <c r="S45" s="19">
        <v>13.0</v>
      </c>
      <c r="T45" s="19">
        <v>3.0</v>
      </c>
      <c r="U45" s="19">
        <v>3.0</v>
      </c>
      <c r="V45" s="19">
        <v>2.0</v>
      </c>
      <c r="W45" s="19">
        <v>2.0</v>
      </c>
      <c r="X45" s="13">
        <f t="shared" ref="X45:X52" si="14">SUM(E45:W45)</f>
        <v>127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22.0</v>
      </c>
      <c r="F46" s="19">
        <v>44.0</v>
      </c>
      <c r="G46" s="19">
        <v>39.0</v>
      </c>
      <c r="H46" s="19">
        <v>23.0</v>
      </c>
      <c r="I46" s="19">
        <v>16.0</v>
      </c>
      <c r="J46" s="19">
        <v>34.0</v>
      </c>
      <c r="K46" s="19">
        <v>14.0</v>
      </c>
      <c r="L46" s="19">
        <v>30.0</v>
      </c>
      <c r="M46" s="19">
        <v>32.0</v>
      </c>
      <c r="N46" s="19">
        <v>35.0</v>
      </c>
      <c r="O46" s="19">
        <v>26.0</v>
      </c>
      <c r="P46" s="19">
        <v>3.0</v>
      </c>
      <c r="Q46" s="19">
        <v>26.0</v>
      </c>
      <c r="R46" s="19">
        <v>20.0</v>
      </c>
      <c r="S46" s="19">
        <v>21.0</v>
      </c>
      <c r="T46" s="19">
        <v>31.0</v>
      </c>
      <c r="U46" s="19">
        <v>7.0</v>
      </c>
      <c r="V46" s="19">
        <v>17.0</v>
      </c>
      <c r="W46" s="19">
        <v>7.0</v>
      </c>
      <c r="X46" s="13">
        <f t="shared" si="14"/>
        <v>447</v>
      </c>
    </row>
    <row r="47" ht="12.75" customHeight="1">
      <c r="A47" s="18"/>
      <c r="B47" s="55">
        <v>2.0</v>
      </c>
      <c r="C47" s="50" t="s">
        <v>41</v>
      </c>
      <c r="D47" s="16"/>
      <c r="E47" s="19">
        <v>4.0</v>
      </c>
      <c r="F47" s="19">
        <v>1.0</v>
      </c>
      <c r="G47" s="19">
        <v>1.0</v>
      </c>
      <c r="H47" s="19">
        <v>4.0</v>
      </c>
      <c r="I47" s="19">
        <v>2.0</v>
      </c>
      <c r="J47" s="19">
        <v>6.0</v>
      </c>
      <c r="K47" s="19">
        <v>1.0</v>
      </c>
      <c r="L47" s="19">
        <v>3.0</v>
      </c>
      <c r="M47" s="19">
        <v>3.0</v>
      </c>
      <c r="N47" s="19">
        <v>1.0</v>
      </c>
      <c r="O47" s="19">
        <v>2.0</v>
      </c>
      <c r="P47" s="19">
        <v>0.0</v>
      </c>
      <c r="Q47" s="19">
        <v>3.0</v>
      </c>
      <c r="R47" s="19">
        <v>1.0</v>
      </c>
      <c r="S47" s="19">
        <v>7.0</v>
      </c>
      <c r="T47" s="19">
        <v>2.0</v>
      </c>
      <c r="U47" s="19">
        <v>0.0</v>
      </c>
      <c r="V47" s="19">
        <v>1.0</v>
      </c>
      <c r="W47" s="19">
        <v>0.0</v>
      </c>
      <c r="X47" s="13">
        <f t="shared" si="14"/>
        <v>42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12.0</v>
      </c>
      <c r="G48" s="19">
        <v>2.0</v>
      </c>
      <c r="H48" s="19">
        <v>0.0</v>
      </c>
      <c r="I48" s="19">
        <v>1.0</v>
      </c>
      <c r="J48" s="19">
        <v>1.0</v>
      </c>
      <c r="K48" s="19">
        <v>0.0</v>
      </c>
      <c r="L48" s="19">
        <v>1.0</v>
      </c>
      <c r="M48" s="19">
        <v>2.0</v>
      </c>
      <c r="N48" s="19">
        <v>0.0</v>
      </c>
      <c r="O48" s="19">
        <v>3.0</v>
      </c>
      <c r="P48" s="19">
        <v>0.0</v>
      </c>
      <c r="Q48" s="19">
        <v>1.0</v>
      </c>
      <c r="R48" s="19">
        <v>1.0</v>
      </c>
      <c r="S48" s="19">
        <v>1.0</v>
      </c>
      <c r="T48" s="19">
        <v>1.0</v>
      </c>
      <c r="U48" s="19">
        <v>0.0</v>
      </c>
      <c r="V48" s="19">
        <v>1.0</v>
      </c>
      <c r="W48" s="19">
        <v>0.0</v>
      </c>
      <c r="X48" s="13">
        <f t="shared" si="14"/>
        <v>28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1.0</v>
      </c>
      <c r="H49" s="19">
        <v>1.0</v>
      </c>
      <c r="I49" s="19">
        <v>0.0</v>
      </c>
      <c r="J49" s="19">
        <v>0.0</v>
      </c>
      <c r="K49" s="19">
        <v>1.0</v>
      </c>
      <c r="L49" s="19">
        <v>1.0</v>
      </c>
      <c r="M49" s="19">
        <v>3.0</v>
      </c>
      <c r="N49" s="19">
        <v>1.0</v>
      </c>
      <c r="O49" s="19">
        <v>2.0</v>
      </c>
      <c r="P49" s="19">
        <v>0.0</v>
      </c>
      <c r="Q49" s="19">
        <v>1.0</v>
      </c>
      <c r="R49" s="19">
        <v>1.0</v>
      </c>
      <c r="S49" s="19">
        <v>0.0</v>
      </c>
      <c r="T49" s="19">
        <v>4.0</v>
      </c>
      <c r="U49" s="19">
        <v>0.0</v>
      </c>
      <c r="V49" s="19">
        <v>0.0</v>
      </c>
      <c r="W49" s="19">
        <v>1.0</v>
      </c>
      <c r="X49" s="13">
        <f t="shared" si="14"/>
        <v>17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2.0</v>
      </c>
      <c r="I50" s="19">
        <v>1.0</v>
      </c>
      <c r="J50" s="19">
        <v>0.0</v>
      </c>
      <c r="K50" s="19">
        <v>2.0</v>
      </c>
      <c r="L50" s="19">
        <v>0.0</v>
      </c>
      <c r="M50" s="19">
        <v>3.0</v>
      </c>
      <c r="N50" s="19">
        <v>1.0</v>
      </c>
      <c r="O50" s="19">
        <v>1.0</v>
      </c>
      <c r="P50" s="19">
        <v>0.0</v>
      </c>
      <c r="Q50" s="19">
        <v>1.0</v>
      </c>
      <c r="R50" s="19">
        <v>0.0</v>
      </c>
      <c r="S50" s="19">
        <v>0.0</v>
      </c>
      <c r="T50" s="19">
        <v>1.0</v>
      </c>
      <c r="U50" s="19">
        <v>0.0</v>
      </c>
      <c r="V50" s="19">
        <v>0.0</v>
      </c>
      <c r="W50" s="19">
        <v>1.0</v>
      </c>
      <c r="X50" s="13">
        <f t="shared" si="14"/>
        <v>13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1.0</v>
      </c>
      <c r="G51" s="19">
        <v>0.0</v>
      </c>
      <c r="H51" s="19">
        <v>1.0</v>
      </c>
      <c r="I51" s="19">
        <v>1.0</v>
      </c>
      <c r="J51" s="19">
        <v>1.0</v>
      </c>
      <c r="K51" s="19">
        <v>0.0</v>
      </c>
      <c r="L51" s="19">
        <v>0.0</v>
      </c>
      <c r="M51" s="19">
        <v>0.0</v>
      </c>
      <c r="N51" s="19">
        <v>2.0</v>
      </c>
      <c r="O51" s="19">
        <v>3.0</v>
      </c>
      <c r="P51" s="19">
        <v>0.0</v>
      </c>
      <c r="Q51" s="19">
        <v>3.0</v>
      </c>
      <c r="R51" s="19">
        <v>4.0</v>
      </c>
      <c r="S51" s="19">
        <v>1.0</v>
      </c>
      <c r="T51" s="19">
        <v>2.0</v>
      </c>
      <c r="U51" s="19">
        <v>0.0</v>
      </c>
      <c r="V51" s="19">
        <v>1.0</v>
      </c>
      <c r="W51" s="19">
        <v>0.0</v>
      </c>
      <c r="X51" s="13">
        <f t="shared" si="14"/>
        <v>21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1.0</v>
      </c>
      <c r="I52" s="19">
        <v>1.0</v>
      </c>
      <c r="J52" s="19">
        <v>0.0</v>
      </c>
      <c r="K52" s="19">
        <v>1.0</v>
      </c>
      <c r="L52" s="19">
        <v>1.0</v>
      </c>
      <c r="M52" s="19">
        <v>0.0</v>
      </c>
      <c r="N52" s="19">
        <v>1.0</v>
      </c>
      <c r="O52" s="19">
        <v>0.0</v>
      </c>
      <c r="P52" s="19">
        <v>0.0</v>
      </c>
      <c r="Q52" s="19">
        <v>1.0</v>
      </c>
      <c r="R52" s="19">
        <v>0.0</v>
      </c>
      <c r="S52" s="19">
        <v>0.0</v>
      </c>
      <c r="T52" s="19">
        <v>0.0</v>
      </c>
      <c r="U52" s="19">
        <v>0.0</v>
      </c>
      <c r="V52" s="19">
        <v>1.0</v>
      </c>
      <c r="W52" s="19">
        <v>0.0</v>
      </c>
      <c r="X52" s="13">
        <f t="shared" si="14"/>
        <v>7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79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79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X55" si="15">SUM(E45:E54)</f>
        <v>34</v>
      </c>
      <c r="F55" s="13">
        <f t="shared" si="15"/>
        <v>69</v>
      </c>
      <c r="G55" s="13">
        <f t="shared" si="15"/>
        <v>51</v>
      </c>
      <c r="H55" s="13">
        <f t="shared" si="15"/>
        <v>41</v>
      </c>
      <c r="I55" s="13">
        <f t="shared" si="15"/>
        <v>28</v>
      </c>
      <c r="J55" s="13">
        <f t="shared" si="15"/>
        <v>48</v>
      </c>
      <c r="K55" s="13">
        <f t="shared" si="15"/>
        <v>23</v>
      </c>
      <c r="L55" s="13">
        <f t="shared" si="15"/>
        <v>45</v>
      </c>
      <c r="M55" s="13">
        <f t="shared" si="15"/>
        <v>55</v>
      </c>
      <c r="N55" s="13">
        <f t="shared" si="15"/>
        <v>49</v>
      </c>
      <c r="O55" s="13">
        <f t="shared" si="15"/>
        <v>47</v>
      </c>
      <c r="P55" s="13">
        <f t="shared" si="15"/>
        <v>3</v>
      </c>
      <c r="Q55" s="13">
        <f t="shared" si="15"/>
        <v>49</v>
      </c>
      <c r="R55" s="13">
        <f t="shared" si="15"/>
        <v>29</v>
      </c>
      <c r="S55" s="13">
        <f t="shared" si="15"/>
        <v>43</v>
      </c>
      <c r="T55" s="13">
        <f t="shared" si="15"/>
        <v>44</v>
      </c>
      <c r="U55" s="13">
        <f t="shared" si="15"/>
        <v>10</v>
      </c>
      <c r="V55" s="13">
        <f t="shared" si="15"/>
        <v>23</v>
      </c>
      <c r="W55" s="13">
        <f t="shared" si="15"/>
        <v>11</v>
      </c>
      <c r="X55" s="13">
        <f t="shared" si="15"/>
        <v>702</v>
      </c>
    </row>
    <row r="56" ht="12.75" customHeight="1">
      <c r="A56" s="45"/>
      <c r="B56" s="44"/>
      <c r="C56" s="44"/>
      <c r="D56" s="44"/>
      <c r="E56" s="44"/>
      <c r="X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6.0</v>
      </c>
      <c r="F57" s="19">
        <v>13.0</v>
      </c>
      <c r="G57" s="19">
        <v>16.0</v>
      </c>
      <c r="H57" s="19">
        <v>7.0</v>
      </c>
      <c r="I57" s="19">
        <v>10.0</v>
      </c>
      <c r="J57" s="19">
        <v>16.0</v>
      </c>
      <c r="K57" s="19">
        <v>15.0</v>
      </c>
      <c r="L57" s="19">
        <v>16.0</v>
      </c>
      <c r="M57" s="19">
        <v>19.0</v>
      </c>
      <c r="N57" s="19">
        <v>8.0</v>
      </c>
      <c r="O57" s="19">
        <v>16.0</v>
      </c>
      <c r="P57" s="19">
        <v>9.0</v>
      </c>
      <c r="Q57" s="19">
        <v>9.0</v>
      </c>
      <c r="R57" s="19">
        <v>7.0</v>
      </c>
      <c r="S57" s="19">
        <v>13.0</v>
      </c>
      <c r="T57" s="19">
        <v>17.0</v>
      </c>
      <c r="U57" s="19">
        <v>13.0</v>
      </c>
      <c r="V57" s="19">
        <v>12.0</v>
      </c>
      <c r="W57" s="19">
        <v>8.0</v>
      </c>
      <c r="X57" s="13">
        <f t="shared" ref="X57:X64" si="16">SUM(E57:W57)</f>
        <v>230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17.0</v>
      </c>
      <c r="F58" s="19">
        <v>23.0</v>
      </c>
      <c r="G58" s="19">
        <v>15.0</v>
      </c>
      <c r="H58" s="19">
        <v>11.0</v>
      </c>
      <c r="I58" s="19">
        <v>15.0</v>
      </c>
      <c r="J58" s="19">
        <v>24.0</v>
      </c>
      <c r="K58" s="19">
        <v>34.0</v>
      </c>
      <c r="L58" s="19">
        <v>4.0</v>
      </c>
      <c r="M58" s="19">
        <v>18.0</v>
      </c>
      <c r="N58" s="19">
        <v>21.0</v>
      </c>
      <c r="O58" s="19">
        <v>16.0</v>
      </c>
      <c r="P58" s="19">
        <v>6.0</v>
      </c>
      <c r="Q58" s="19">
        <v>7.0</v>
      </c>
      <c r="R58" s="19">
        <v>6.0</v>
      </c>
      <c r="S58" s="19">
        <v>5.0</v>
      </c>
      <c r="T58" s="19">
        <v>8.0</v>
      </c>
      <c r="U58" s="19">
        <v>19.0</v>
      </c>
      <c r="V58" s="19">
        <v>7.0</v>
      </c>
      <c r="W58" s="19">
        <v>7.0</v>
      </c>
      <c r="X58" s="13">
        <f t="shared" si="16"/>
        <v>263</v>
      </c>
    </row>
    <row r="59" ht="12.75" customHeight="1">
      <c r="A59" s="18"/>
      <c r="B59" s="55">
        <v>2.0</v>
      </c>
      <c r="C59" s="50" t="s">
        <v>50</v>
      </c>
      <c r="D59" s="56"/>
      <c r="E59" s="19">
        <v>3.0</v>
      </c>
      <c r="F59" s="19">
        <v>3.0</v>
      </c>
      <c r="G59" s="19">
        <v>3.0</v>
      </c>
      <c r="H59" s="19">
        <v>3.0</v>
      </c>
      <c r="I59" s="19">
        <v>6.0</v>
      </c>
      <c r="J59" s="19">
        <v>5.0</v>
      </c>
      <c r="K59" s="19">
        <v>7.0</v>
      </c>
      <c r="L59" s="19">
        <v>6.0</v>
      </c>
      <c r="M59" s="19">
        <v>9.0</v>
      </c>
      <c r="N59" s="19">
        <v>3.0</v>
      </c>
      <c r="O59" s="19">
        <v>6.0</v>
      </c>
      <c r="P59" s="19">
        <v>0.0</v>
      </c>
      <c r="Q59" s="19">
        <v>4.0</v>
      </c>
      <c r="R59" s="19">
        <v>3.0</v>
      </c>
      <c r="S59" s="19">
        <v>3.0</v>
      </c>
      <c r="T59" s="19">
        <v>3.0</v>
      </c>
      <c r="U59" s="19">
        <v>4.0</v>
      </c>
      <c r="V59" s="19">
        <v>3.0</v>
      </c>
      <c r="W59" s="19">
        <v>3.0</v>
      </c>
      <c r="X59" s="13">
        <f t="shared" si="16"/>
        <v>77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6.0</v>
      </c>
      <c r="G60" s="19">
        <v>2.0</v>
      </c>
      <c r="H60" s="19">
        <v>1.0</v>
      </c>
      <c r="I60" s="19">
        <v>0.0</v>
      </c>
      <c r="J60" s="19">
        <v>2.0</v>
      </c>
      <c r="K60" s="19">
        <v>2.0</v>
      </c>
      <c r="L60" s="19">
        <v>1.0</v>
      </c>
      <c r="M60" s="19">
        <v>3.0</v>
      </c>
      <c r="N60" s="19">
        <v>2.0</v>
      </c>
      <c r="O60" s="19">
        <v>2.0</v>
      </c>
      <c r="P60" s="19">
        <v>0.0</v>
      </c>
      <c r="Q60" s="19">
        <v>4.0</v>
      </c>
      <c r="R60" s="19">
        <v>0.0</v>
      </c>
      <c r="S60" s="19">
        <v>1.0</v>
      </c>
      <c r="T60" s="19">
        <v>1.0</v>
      </c>
      <c r="U60" s="19">
        <v>2.0</v>
      </c>
      <c r="V60" s="19">
        <v>0.0</v>
      </c>
      <c r="W60" s="19">
        <v>1.0</v>
      </c>
      <c r="X60" s="13">
        <f t="shared" si="16"/>
        <v>30</v>
      </c>
    </row>
    <row r="61" ht="12.75" customHeight="1">
      <c r="A61" s="18"/>
      <c r="B61" s="55">
        <v>4.0</v>
      </c>
      <c r="C61" s="50" t="s">
        <v>52</v>
      </c>
      <c r="D61" s="56"/>
      <c r="E61" s="19">
        <v>4.0</v>
      </c>
      <c r="F61" s="19">
        <v>3.0</v>
      </c>
      <c r="G61" s="19">
        <v>1.0</v>
      </c>
      <c r="H61" s="19">
        <v>3.0</v>
      </c>
      <c r="I61" s="19">
        <v>2.0</v>
      </c>
      <c r="J61" s="19">
        <v>2.0</v>
      </c>
      <c r="K61" s="19">
        <v>3.0</v>
      </c>
      <c r="L61" s="19">
        <v>3.0</v>
      </c>
      <c r="M61" s="19">
        <v>1.0</v>
      </c>
      <c r="N61" s="19">
        <v>1.0</v>
      </c>
      <c r="O61" s="19">
        <v>1.0</v>
      </c>
      <c r="P61" s="19">
        <v>0.0</v>
      </c>
      <c r="Q61" s="19">
        <v>3.0</v>
      </c>
      <c r="R61" s="19">
        <v>1.0</v>
      </c>
      <c r="S61" s="19">
        <v>3.0</v>
      </c>
      <c r="T61" s="19">
        <v>1.0</v>
      </c>
      <c r="U61" s="19">
        <v>1.0</v>
      </c>
      <c r="V61" s="19">
        <v>0.0</v>
      </c>
      <c r="W61" s="19">
        <v>0.0</v>
      </c>
      <c r="X61" s="13">
        <f t="shared" si="16"/>
        <v>33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1.0</v>
      </c>
      <c r="O62" s="19">
        <v>0.0</v>
      </c>
      <c r="P62" s="19">
        <v>0.0</v>
      </c>
      <c r="Q62" s="19">
        <v>1.0</v>
      </c>
      <c r="R62" s="19">
        <v>0.0</v>
      </c>
      <c r="S62" s="19">
        <v>0.0</v>
      </c>
      <c r="T62" s="19">
        <v>0.0</v>
      </c>
      <c r="U62" s="19">
        <v>0.0</v>
      </c>
      <c r="V62" s="19">
        <v>1.0</v>
      </c>
      <c r="W62" s="19">
        <v>0.0</v>
      </c>
      <c r="X62" s="13">
        <f t="shared" si="16"/>
        <v>3</v>
      </c>
    </row>
    <row r="63" ht="12.75" customHeight="1">
      <c r="A63" s="18"/>
      <c r="B63" s="55">
        <v>6.0</v>
      </c>
      <c r="C63" s="50" t="s">
        <v>54</v>
      </c>
      <c r="D63" s="57"/>
      <c r="E63" s="19">
        <v>2.0</v>
      </c>
      <c r="F63" s="19">
        <v>2.0</v>
      </c>
      <c r="G63" s="19">
        <v>2.0</v>
      </c>
      <c r="H63" s="19">
        <v>2.0</v>
      </c>
      <c r="I63" s="19">
        <v>0.0</v>
      </c>
      <c r="J63" s="19">
        <v>1.0</v>
      </c>
      <c r="K63" s="19">
        <v>1.0</v>
      </c>
      <c r="L63" s="19">
        <v>5.0</v>
      </c>
      <c r="M63" s="19">
        <v>0.0</v>
      </c>
      <c r="N63" s="19">
        <v>0.0</v>
      </c>
      <c r="O63" s="19">
        <v>1.0</v>
      </c>
      <c r="P63" s="19">
        <v>1.0</v>
      </c>
      <c r="Q63" s="19">
        <v>2.0</v>
      </c>
      <c r="R63" s="19">
        <v>0.0</v>
      </c>
      <c r="S63" s="19">
        <v>1.0</v>
      </c>
      <c r="T63" s="19">
        <v>2.0</v>
      </c>
      <c r="U63" s="19">
        <v>1.0</v>
      </c>
      <c r="V63" s="19">
        <v>0.0</v>
      </c>
      <c r="W63" s="19">
        <v>0.0</v>
      </c>
      <c r="X63" s="13">
        <f t="shared" si="16"/>
        <v>23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1.0</v>
      </c>
      <c r="I64" s="19">
        <v>0.0</v>
      </c>
      <c r="J64" s="19">
        <v>0.0</v>
      </c>
      <c r="K64" s="19">
        <v>1.0</v>
      </c>
      <c r="L64" s="19">
        <v>0.0</v>
      </c>
      <c r="M64" s="19">
        <v>1.0</v>
      </c>
      <c r="N64" s="19">
        <v>1.0</v>
      </c>
      <c r="O64" s="19">
        <v>1.0</v>
      </c>
      <c r="P64" s="19">
        <v>0.0</v>
      </c>
      <c r="Q64" s="19">
        <v>1.0</v>
      </c>
      <c r="R64" s="19">
        <v>0.0</v>
      </c>
      <c r="S64" s="19">
        <v>0.0</v>
      </c>
      <c r="T64" s="19">
        <v>0.0</v>
      </c>
      <c r="U64" s="19">
        <v>0.0</v>
      </c>
      <c r="V64" s="19">
        <v>0.0</v>
      </c>
      <c r="W64" s="19">
        <v>1.0</v>
      </c>
      <c r="X64" s="13">
        <f t="shared" si="16"/>
        <v>7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79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79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X67" si="17">SUM(E57:E66)</f>
        <v>32</v>
      </c>
      <c r="F67" s="13">
        <f t="shared" si="17"/>
        <v>50</v>
      </c>
      <c r="G67" s="13">
        <f t="shared" si="17"/>
        <v>39</v>
      </c>
      <c r="H67" s="13">
        <f t="shared" si="17"/>
        <v>28</v>
      </c>
      <c r="I67" s="13">
        <f t="shared" si="17"/>
        <v>33</v>
      </c>
      <c r="J67" s="13">
        <f t="shared" si="17"/>
        <v>50</v>
      </c>
      <c r="K67" s="13">
        <f t="shared" si="17"/>
        <v>63</v>
      </c>
      <c r="L67" s="13">
        <f t="shared" si="17"/>
        <v>35</v>
      </c>
      <c r="M67" s="13">
        <f t="shared" si="17"/>
        <v>51</v>
      </c>
      <c r="N67" s="13">
        <f t="shared" si="17"/>
        <v>37</v>
      </c>
      <c r="O67" s="13">
        <f t="shared" si="17"/>
        <v>43</v>
      </c>
      <c r="P67" s="13">
        <f t="shared" si="17"/>
        <v>16</v>
      </c>
      <c r="Q67" s="13">
        <f t="shared" si="17"/>
        <v>31</v>
      </c>
      <c r="R67" s="13">
        <f t="shared" si="17"/>
        <v>17</v>
      </c>
      <c r="S67" s="13">
        <f t="shared" si="17"/>
        <v>26</v>
      </c>
      <c r="T67" s="13">
        <f t="shared" si="17"/>
        <v>32</v>
      </c>
      <c r="U67" s="13">
        <f t="shared" si="17"/>
        <v>40</v>
      </c>
      <c r="V67" s="13">
        <f t="shared" si="17"/>
        <v>23</v>
      </c>
      <c r="W67" s="13">
        <f t="shared" si="17"/>
        <v>20</v>
      </c>
      <c r="X67" s="13">
        <f t="shared" si="17"/>
        <v>666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9.0</v>
      </c>
      <c r="F69" s="19">
        <v>6.0</v>
      </c>
      <c r="G69" s="19">
        <v>9.0</v>
      </c>
      <c r="H69" s="19">
        <v>6.0</v>
      </c>
      <c r="I69" s="19">
        <v>23.0</v>
      </c>
      <c r="J69" s="19">
        <v>10.0</v>
      </c>
      <c r="K69" s="19">
        <v>10.0</v>
      </c>
      <c r="L69" s="19">
        <v>15.0</v>
      </c>
      <c r="M69" s="19">
        <v>12.0</v>
      </c>
      <c r="N69" s="19">
        <v>10.0</v>
      </c>
      <c r="O69" s="19">
        <v>9.0</v>
      </c>
      <c r="P69" s="19">
        <v>38.0</v>
      </c>
      <c r="Q69" s="19">
        <v>12.0</v>
      </c>
      <c r="R69" s="19">
        <v>11.0</v>
      </c>
      <c r="S69" s="19">
        <v>13.0</v>
      </c>
      <c r="T69" s="19">
        <v>7.0</v>
      </c>
      <c r="U69" s="19">
        <v>18.0</v>
      </c>
      <c r="V69" s="19">
        <v>11.0</v>
      </c>
      <c r="W69" s="19">
        <v>9.0</v>
      </c>
      <c r="X69" s="13">
        <f t="shared" ref="X69:X76" si="18">SUM(E69:W69)</f>
        <v>238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9.0</v>
      </c>
      <c r="F70" s="19">
        <v>7.0</v>
      </c>
      <c r="G70" s="19">
        <v>7.0</v>
      </c>
      <c r="H70" s="19">
        <v>5.0</v>
      </c>
      <c r="I70" s="19">
        <v>25.0</v>
      </c>
      <c r="J70" s="19">
        <v>23.0</v>
      </c>
      <c r="K70" s="19">
        <v>12.0</v>
      </c>
      <c r="L70" s="19">
        <v>8.0</v>
      </c>
      <c r="M70" s="19">
        <v>11.0</v>
      </c>
      <c r="N70" s="19">
        <v>5.0</v>
      </c>
      <c r="O70" s="19">
        <v>4.0</v>
      </c>
      <c r="P70" s="19">
        <v>11.0</v>
      </c>
      <c r="Q70" s="19">
        <v>9.0</v>
      </c>
      <c r="R70" s="19">
        <v>19.0</v>
      </c>
      <c r="S70" s="19">
        <v>10.0</v>
      </c>
      <c r="T70" s="19">
        <v>4.0</v>
      </c>
      <c r="U70" s="19">
        <v>7.0</v>
      </c>
      <c r="V70" s="19">
        <v>3.0</v>
      </c>
      <c r="W70" s="19">
        <v>3.0</v>
      </c>
      <c r="X70" s="13">
        <f t="shared" si="18"/>
        <v>182</v>
      </c>
    </row>
    <row r="71" ht="12.75" customHeight="1">
      <c r="A71" s="18"/>
      <c r="B71" s="55">
        <v>2.0</v>
      </c>
      <c r="C71" s="50" t="s">
        <v>58</v>
      </c>
      <c r="D71" s="57"/>
      <c r="E71" s="19">
        <v>0.0</v>
      </c>
      <c r="F71" s="19">
        <v>1.0</v>
      </c>
      <c r="G71" s="19">
        <v>2.0</v>
      </c>
      <c r="H71" s="19">
        <v>2.0</v>
      </c>
      <c r="I71" s="19">
        <v>1.0</v>
      </c>
      <c r="J71" s="19">
        <v>4.0</v>
      </c>
      <c r="K71" s="19">
        <v>3.0</v>
      </c>
      <c r="L71" s="19">
        <v>4.0</v>
      </c>
      <c r="M71" s="19">
        <v>0.0</v>
      </c>
      <c r="N71" s="19">
        <v>1.0</v>
      </c>
      <c r="O71" s="19">
        <v>2.0</v>
      </c>
      <c r="P71" s="19">
        <v>3.0</v>
      </c>
      <c r="Q71" s="19">
        <v>1.0</v>
      </c>
      <c r="R71" s="19">
        <v>2.0</v>
      </c>
      <c r="S71" s="19">
        <v>3.0</v>
      </c>
      <c r="T71" s="19">
        <v>1.0</v>
      </c>
      <c r="U71" s="19">
        <v>4.0</v>
      </c>
      <c r="V71" s="19">
        <v>1.0</v>
      </c>
      <c r="W71" s="19">
        <v>5.0</v>
      </c>
      <c r="X71" s="13">
        <f t="shared" si="18"/>
        <v>40</v>
      </c>
    </row>
    <row r="72" ht="12.75" customHeight="1">
      <c r="A72" s="18"/>
      <c r="B72" s="55">
        <v>3.0</v>
      </c>
      <c r="C72" s="50" t="s">
        <v>59</v>
      </c>
      <c r="D72" s="57"/>
      <c r="E72" s="19">
        <v>16.0</v>
      </c>
      <c r="F72" s="19">
        <v>30.0</v>
      </c>
      <c r="G72" s="19">
        <v>35.0</v>
      </c>
      <c r="H72" s="19">
        <v>2.0</v>
      </c>
      <c r="I72" s="19">
        <v>24.0</v>
      </c>
      <c r="J72" s="19">
        <v>18.0</v>
      </c>
      <c r="K72" s="19">
        <v>15.0</v>
      </c>
      <c r="L72" s="19">
        <v>18.0</v>
      </c>
      <c r="M72" s="19">
        <v>19.0</v>
      </c>
      <c r="N72" s="19">
        <v>50.0</v>
      </c>
      <c r="O72" s="19">
        <v>31.0</v>
      </c>
      <c r="P72" s="19">
        <v>79.0</v>
      </c>
      <c r="Q72" s="19">
        <v>42.0</v>
      </c>
      <c r="R72" s="19">
        <v>32.0</v>
      </c>
      <c r="S72" s="19">
        <v>38.0</v>
      </c>
      <c r="T72" s="19">
        <v>25.0</v>
      </c>
      <c r="U72" s="19">
        <v>36.0</v>
      </c>
      <c r="V72" s="19">
        <v>33.0</v>
      </c>
      <c r="W72" s="19">
        <v>30.0</v>
      </c>
      <c r="X72" s="13">
        <f t="shared" si="18"/>
        <v>573</v>
      </c>
    </row>
    <row r="73" ht="12.75" customHeight="1">
      <c r="A73" s="18"/>
      <c r="B73" s="55">
        <v>4.0</v>
      </c>
      <c r="C73" s="50" t="s">
        <v>60</v>
      </c>
      <c r="D73" s="57"/>
      <c r="E73" s="19">
        <v>1.0</v>
      </c>
      <c r="F73" s="19">
        <v>0.0</v>
      </c>
      <c r="G73" s="19">
        <v>0.0</v>
      </c>
      <c r="H73" s="19">
        <v>1.0</v>
      </c>
      <c r="I73" s="19">
        <v>0.0</v>
      </c>
      <c r="J73" s="19">
        <v>4.0</v>
      </c>
      <c r="K73" s="19">
        <v>3.0</v>
      </c>
      <c r="L73" s="19">
        <v>0.0</v>
      </c>
      <c r="M73" s="19">
        <v>0.0</v>
      </c>
      <c r="N73" s="19">
        <v>1.0</v>
      </c>
      <c r="O73" s="19">
        <v>0.0</v>
      </c>
      <c r="P73" s="19">
        <v>1.0</v>
      </c>
      <c r="Q73" s="19">
        <v>0.0</v>
      </c>
      <c r="R73" s="19">
        <v>1.0</v>
      </c>
      <c r="S73" s="19">
        <v>1.0</v>
      </c>
      <c r="T73" s="19">
        <v>1.0</v>
      </c>
      <c r="U73" s="19">
        <v>0.0</v>
      </c>
      <c r="V73" s="19">
        <v>2.0</v>
      </c>
      <c r="W73" s="19">
        <v>1.0</v>
      </c>
      <c r="X73" s="13">
        <f t="shared" si="18"/>
        <v>17</v>
      </c>
    </row>
    <row r="74" ht="12.75" customHeight="1">
      <c r="A74" s="18"/>
      <c r="B74" s="55">
        <v>5.0</v>
      </c>
      <c r="C74" s="50" t="s">
        <v>61</v>
      </c>
      <c r="D74" s="57"/>
      <c r="E74" s="19">
        <v>5.0</v>
      </c>
      <c r="F74" s="19">
        <v>3.0</v>
      </c>
      <c r="G74" s="19">
        <v>3.0</v>
      </c>
      <c r="H74" s="19">
        <v>7.0</v>
      </c>
      <c r="I74" s="19">
        <v>8.0</v>
      </c>
      <c r="J74" s="19">
        <v>7.0</v>
      </c>
      <c r="K74" s="19">
        <v>3.0</v>
      </c>
      <c r="L74" s="19">
        <v>5.0</v>
      </c>
      <c r="M74" s="19">
        <v>5.0</v>
      </c>
      <c r="N74" s="19">
        <v>5.0</v>
      </c>
      <c r="O74" s="19">
        <v>5.0</v>
      </c>
      <c r="P74" s="19">
        <v>2.0</v>
      </c>
      <c r="Q74" s="19">
        <v>8.0</v>
      </c>
      <c r="R74" s="19">
        <v>1.0</v>
      </c>
      <c r="S74" s="19">
        <v>4.0</v>
      </c>
      <c r="T74" s="19">
        <v>3.0</v>
      </c>
      <c r="U74" s="19">
        <v>3.0</v>
      </c>
      <c r="V74" s="19">
        <v>0.0</v>
      </c>
      <c r="W74" s="19">
        <v>2.0</v>
      </c>
      <c r="X74" s="13">
        <f t="shared" si="18"/>
        <v>79</v>
      </c>
    </row>
    <row r="75" ht="12.75" customHeight="1">
      <c r="A75" s="18"/>
      <c r="B75" s="55">
        <v>6.0</v>
      </c>
      <c r="C75" s="50" t="s">
        <v>62</v>
      </c>
      <c r="D75" s="57"/>
      <c r="E75" s="19">
        <v>1.0</v>
      </c>
      <c r="F75" s="19">
        <v>1.0</v>
      </c>
      <c r="G75" s="19">
        <v>0.0</v>
      </c>
      <c r="H75" s="19">
        <v>1.0</v>
      </c>
      <c r="I75" s="19">
        <v>2.0</v>
      </c>
      <c r="J75" s="19">
        <v>4.0</v>
      </c>
      <c r="K75" s="19">
        <v>3.0</v>
      </c>
      <c r="L75" s="19">
        <v>1.0</v>
      </c>
      <c r="M75" s="19">
        <v>0.0</v>
      </c>
      <c r="N75" s="19">
        <v>1.0</v>
      </c>
      <c r="O75" s="19">
        <v>1.0</v>
      </c>
      <c r="P75" s="19">
        <v>0.0</v>
      </c>
      <c r="Q75" s="19">
        <v>2.0</v>
      </c>
      <c r="R75" s="19">
        <v>0.0</v>
      </c>
      <c r="S75" s="19">
        <v>2.0</v>
      </c>
      <c r="T75" s="19">
        <v>1.0</v>
      </c>
      <c r="U75" s="19">
        <v>1.0</v>
      </c>
      <c r="V75" s="19">
        <v>3.0</v>
      </c>
      <c r="W75" s="19">
        <v>1.0</v>
      </c>
      <c r="X75" s="13">
        <f t="shared" si="18"/>
        <v>25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1.0</v>
      </c>
      <c r="G76" s="19">
        <v>2.0</v>
      </c>
      <c r="H76" s="19">
        <v>2.0</v>
      </c>
      <c r="I76" s="19">
        <v>3.0</v>
      </c>
      <c r="J76" s="19">
        <v>0.0</v>
      </c>
      <c r="K76" s="19">
        <v>22.0</v>
      </c>
      <c r="L76" s="19">
        <v>1.0</v>
      </c>
      <c r="M76" s="19">
        <v>0.0</v>
      </c>
      <c r="N76" s="19">
        <v>0.0</v>
      </c>
      <c r="O76" s="19">
        <v>1.0</v>
      </c>
      <c r="P76" s="19">
        <v>0.0</v>
      </c>
      <c r="Q76" s="19">
        <v>1.0</v>
      </c>
      <c r="R76" s="19">
        <v>0.0</v>
      </c>
      <c r="S76" s="19">
        <v>0.0</v>
      </c>
      <c r="T76" s="19">
        <v>1.0</v>
      </c>
      <c r="U76" s="19">
        <v>1.0</v>
      </c>
      <c r="V76" s="19">
        <v>1.0</v>
      </c>
      <c r="W76" s="19">
        <v>0.0</v>
      </c>
      <c r="X76" s="13">
        <f t="shared" si="18"/>
        <v>36</v>
      </c>
    </row>
    <row r="77" ht="12.75" customHeight="1">
      <c r="A77" s="18"/>
      <c r="B77" s="71"/>
      <c r="C77" s="72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79"/>
    </row>
    <row r="78" ht="12.75" customHeight="1">
      <c r="A78" s="18"/>
      <c r="B78" s="71"/>
      <c r="C78" s="72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79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X79" si="19">SUM(E69:E78)</f>
        <v>41</v>
      </c>
      <c r="F79" s="13">
        <f t="shared" si="19"/>
        <v>49</v>
      </c>
      <c r="G79" s="13">
        <f t="shared" si="19"/>
        <v>58</v>
      </c>
      <c r="H79" s="13">
        <f t="shared" si="19"/>
        <v>26</v>
      </c>
      <c r="I79" s="13">
        <f t="shared" si="19"/>
        <v>86</v>
      </c>
      <c r="J79" s="13">
        <f t="shared" si="19"/>
        <v>70</v>
      </c>
      <c r="K79" s="13">
        <f t="shared" si="19"/>
        <v>71</v>
      </c>
      <c r="L79" s="13">
        <f t="shared" si="19"/>
        <v>52</v>
      </c>
      <c r="M79" s="13">
        <f t="shared" si="19"/>
        <v>47</v>
      </c>
      <c r="N79" s="13">
        <f t="shared" si="19"/>
        <v>73</v>
      </c>
      <c r="O79" s="13">
        <f t="shared" si="19"/>
        <v>53</v>
      </c>
      <c r="P79" s="13">
        <f t="shared" si="19"/>
        <v>134</v>
      </c>
      <c r="Q79" s="13">
        <f t="shared" si="19"/>
        <v>75</v>
      </c>
      <c r="R79" s="13">
        <f t="shared" si="19"/>
        <v>66</v>
      </c>
      <c r="S79" s="13">
        <f t="shared" si="19"/>
        <v>71</v>
      </c>
      <c r="T79" s="13">
        <f t="shared" si="19"/>
        <v>43</v>
      </c>
      <c r="U79" s="13">
        <f t="shared" si="19"/>
        <v>70</v>
      </c>
      <c r="V79" s="13">
        <f t="shared" si="19"/>
        <v>54</v>
      </c>
      <c r="W79" s="13">
        <f t="shared" si="19"/>
        <v>51</v>
      </c>
      <c r="X79" s="13">
        <f t="shared" si="19"/>
        <v>1190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4.0</v>
      </c>
      <c r="F81" s="19">
        <v>0.0</v>
      </c>
      <c r="G81" s="19">
        <v>2.0</v>
      </c>
      <c r="H81" s="19">
        <v>2.0</v>
      </c>
      <c r="I81" s="19">
        <v>1.0</v>
      </c>
      <c r="J81" s="19">
        <v>1.0</v>
      </c>
      <c r="K81" s="19">
        <v>3.0</v>
      </c>
      <c r="L81" s="19">
        <v>4.0</v>
      </c>
      <c r="M81" s="19">
        <v>1.0</v>
      </c>
      <c r="N81" s="19">
        <v>1.0</v>
      </c>
      <c r="O81" s="19">
        <v>2.0</v>
      </c>
      <c r="P81" s="19">
        <v>3.0</v>
      </c>
      <c r="Q81" s="19">
        <v>5.0</v>
      </c>
      <c r="R81" s="19">
        <v>3.0</v>
      </c>
      <c r="S81" s="19">
        <v>2.0</v>
      </c>
      <c r="T81" s="19">
        <v>3.0</v>
      </c>
      <c r="U81" s="19">
        <v>2.0</v>
      </c>
      <c r="V81" s="19">
        <v>2.0</v>
      </c>
      <c r="W81" s="19">
        <v>5.0</v>
      </c>
      <c r="X81" s="13">
        <f t="shared" ref="X81:X88" si="20">SUM(E81:W81)</f>
        <v>46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13.0</v>
      </c>
      <c r="F82" s="19">
        <v>7.0</v>
      </c>
      <c r="G82" s="19">
        <v>3.0</v>
      </c>
      <c r="H82" s="19">
        <v>4.0</v>
      </c>
      <c r="I82" s="19">
        <v>3.0</v>
      </c>
      <c r="J82" s="19">
        <v>0.0</v>
      </c>
      <c r="K82" s="19">
        <v>1.0</v>
      </c>
      <c r="L82" s="19">
        <v>0.0</v>
      </c>
      <c r="M82" s="19">
        <v>2.0</v>
      </c>
      <c r="N82" s="19">
        <v>4.0</v>
      </c>
      <c r="O82" s="19">
        <v>2.0</v>
      </c>
      <c r="P82" s="19">
        <v>0.0</v>
      </c>
      <c r="Q82" s="19">
        <v>4.0</v>
      </c>
      <c r="R82" s="19">
        <v>4.0</v>
      </c>
      <c r="S82" s="19">
        <v>3.0</v>
      </c>
      <c r="T82" s="19">
        <v>6.0</v>
      </c>
      <c r="U82" s="19">
        <v>25.0</v>
      </c>
      <c r="V82" s="19">
        <v>48.0</v>
      </c>
      <c r="W82" s="19">
        <v>27.0</v>
      </c>
      <c r="X82" s="13">
        <f t="shared" si="20"/>
        <v>156</v>
      </c>
    </row>
    <row r="83" ht="12.75" customHeight="1">
      <c r="A83" s="18"/>
      <c r="B83" s="55">
        <v>2.0</v>
      </c>
      <c r="C83" s="50" t="s">
        <v>66</v>
      </c>
      <c r="D83" s="57"/>
      <c r="E83" s="19">
        <v>5.0</v>
      </c>
      <c r="F83" s="19">
        <v>2.0</v>
      </c>
      <c r="G83" s="19">
        <v>3.0</v>
      </c>
      <c r="H83" s="19">
        <v>1.0</v>
      </c>
      <c r="I83" s="19">
        <v>3.0</v>
      </c>
      <c r="J83" s="19">
        <v>2.0</v>
      </c>
      <c r="K83" s="19">
        <v>3.0</v>
      </c>
      <c r="L83" s="19">
        <v>3.0</v>
      </c>
      <c r="M83" s="19">
        <v>5.0</v>
      </c>
      <c r="N83" s="19">
        <v>3.0</v>
      </c>
      <c r="O83" s="19">
        <v>1.0</v>
      </c>
      <c r="P83" s="19">
        <v>0.0</v>
      </c>
      <c r="Q83" s="19">
        <v>3.0</v>
      </c>
      <c r="R83" s="19">
        <v>4.0</v>
      </c>
      <c r="S83" s="19">
        <v>4.0</v>
      </c>
      <c r="T83" s="19">
        <v>7.0</v>
      </c>
      <c r="U83" s="19">
        <v>5.0</v>
      </c>
      <c r="V83" s="19">
        <v>5.0</v>
      </c>
      <c r="W83" s="19">
        <v>1.0</v>
      </c>
      <c r="X83" s="13">
        <f t="shared" si="20"/>
        <v>60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19">
        <v>0.0</v>
      </c>
      <c r="L84" s="19">
        <v>2.0</v>
      </c>
      <c r="M84" s="19">
        <v>0.0</v>
      </c>
      <c r="N84" s="19">
        <v>0.0</v>
      </c>
      <c r="O84" s="19">
        <v>1.0</v>
      </c>
      <c r="P84" s="19">
        <v>0.0</v>
      </c>
      <c r="Q84" s="19">
        <v>2.0</v>
      </c>
      <c r="R84" s="19">
        <v>0.0</v>
      </c>
      <c r="S84" s="19">
        <v>0.0</v>
      </c>
      <c r="T84" s="19">
        <v>0.0</v>
      </c>
      <c r="U84" s="19">
        <v>0.0</v>
      </c>
      <c r="V84" s="19">
        <v>0.0</v>
      </c>
      <c r="W84" s="19">
        <v>3.0</v>
      </c>
      <c r="X84" s="13">
        <f t="shared" si="20"/>
        <v>8</v>
      </c>
    </row>
    <row r="85" ht="12.75" customHeight="1">
      <c r="A85" s="18"/>
      <c r="B85" s="55">
        <v>4.0</v>
      </c>
      <c r="C85" s="50" t="s">
        <v>68</v>
      </c>
      <c r="D85" s="57"/>
      <c r="E85" s="19">
        <v>1.0</v>
      </c>
      <c r="F85" s="19">
        <v>0.0</v>
      </c>
      <c r="G85" s="19">
        <v>0.0</v>
      </c>
      <c r="H85" s="19">
        <v>0.0</v>
      </c>
      <c r="I85" s="19">
        <v>0.0</v>
      </c>
      <c r="J85" s="19">
        <v>0.0</v>
      </c>
      <c r="K85" s="19">
        <v>0.0</v>
      </c>
      <c r="L85" s="19">
        <v>0.0</v>
      </c>
      <c r="M85" s="19">
        <v>0.0</v>
      </c>
      <c r="N85" s="19">
        <v>0.0</v>
      </c>
      <c r="O85" s="19">
        <v>0.0</v>
      </c>
      <c r="P85" s="19">
        <v>0.0</v>
      </c>
      <c r="Q85" s="19">
        <v>0.0</v>
      </c>
      <c r="R85" s="19">
        <v>2.0</v>
      </c>
      <c r="S85" s="19">
        <v>0.0</v>
      </c>
      <c r="T85" s="19">
        <v>0.0</v>
      </c>
      <c r="U85" s="19">
        <v>2.0</v>
      </c>
      <c r="V85" s="19">
        <v>1.0</v>
      </c>
      <c r="W85" s="19">
        <v>0.0</v>
      </c>
      <c r="X85" s="13">
        <f t="shared" si="20"/>
        <v>6</v>
      </c>
    </row>
    <row r="86" ht="12.75" customHeight="1">
      <c r="A86" s="18"/>
      <c r="B86" s="55">
        <v>5.0</v>
      </c>
      <c r="C86" s="50" t="s">
        <v>69</v>
      </c>
      <c r="D86" s="57"/>
      <c r="E86" s="19">
        <v>1.0</v>
      </c>
      <c r="F86" s="19">
        <v>0.0</v>
      </c>
      <c r="G86" s="19">
        <v>0.0</v>
      </c>
      <c r="H86" s="19">
        <v>1.0</v>
      </c>
      <c r="I86" s="19">
        <v>0.0</v>
      </c>
      <c r="J86" s="19">
        <v>0.0</v>
      </c>
      <c r="K86" s="19">
        <v>0.0</v>
      </c>
      <c r="L86" s="19">
        <v>0.0</v>
      </c>
      <c r="M86" s="19">
        <v>0.0</v>
      </c>
      <c r="N86" s="19">
        <v>1.0</v>
      </c>
      <c r="O86" s="19">
        <v>0.0</v>
      </c>
      <c r="P86" s="19">
        <v>0.0</v>
      </c>
      <c r="Q86" s="19">
        <v>1.0</v>
      </c>
      <c r="R86" s="19">
        <v>0.0</v>
      </c>
      <c r="S86" s="19">
        <v>1.0</v>
      </c>
      <c r="T86" s="19">
        <v>2.0</v>
      </c>
      <c r="U86" s="19">
        <v>1.0</v>
      </c>
      <c r="V86" s="19">
        <v>1.0</v>
      </c>
      <c r="W86" s="19">
        <v>1.0</v>
      </c>
      <c r="X86" s="13">
        <f t="shared" si="20"/>
        <v>10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1.0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3">
        <f t="shared" si="20"/>
        <v>1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3">
        <f t="shared" si="20"/>
        <v>0</v>
      </c>
    </row>
    <row r="89" ht="12.75" customHeight="1">
      <c r="A89" s="18"/>
      <c r="B89" s="71"/>
      <c r="C89" s="72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79"/>
    </row>
    <row r="90" ht="12.75" customHeight="1">
      <c r="A90" s="18"/>
      <c r="B90" s="71"/>
      <c r="C90" s="72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79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X91" si="21">SUM(E81:E90)</f>
        <v>24</v>
      </c>
      <c r="F91" s="13">
        <f t="shared" si="21"/>
        <v>9</v>
      </c>
      <c r="G91" s="13">
        <f t="shared" si="21"/>
        <v>8</v>
      </c>
      <c r="H91" s="13">
        <f t="shared" si="21"/>
        <v>8</v>
      </c>
      <c r="I91" s="13">
        <f t="shared" si="21"/>
        <v>7</v>
      </c>
      <c r="J91" s="13">
        <f t="shared" si="21"/>
        <v>3</v>
      </c>
      <c r="K91" s="13">
        <f t="shared" si="21"/>
        <v>8</v>
      </c>
      <c r="L91" s="13">
        <f t="shared" si="21"/>
        <v>9</v>
      </c>
      <c r="M91" s="13">
        <f t="shared" si="21"/>
        <v>8</v>
      </c>
      <c r="N91" s="13">
        <f t="shared" si="21"/>
        <v>9</v>
      </c>
      <c r="O91" s="13">
        <f t="shared" si="21"/>
        <v>6</v>
      </c>
      <c r="P91" s="13">
        <f t="shared" si="21"/>
        <v>3</v>
      </c>
      <c r="Q91" s="13">
        <f t="shared" si="21"/>
        <v>15</v>
      </c>
      <c r="R91" s="13">
        <f t="shared" si="21"/>
        <v>13</v>
      </c>
      <c r="S91" s="13">
        <f t="shared" si="21"/>
        <v>10</v>
      </c>
      <c r="T91" s="13">
        <f t="shared" si="21"/>
        <v>18</v>
      </c>
      <c r="U91" s="13">
        <f t="shared" si="21"/>
        <v>35</v>
      </c>
      <c r="V91" s="13">
        <f t="shared" si="21"/>
        <v>57</v>
      </c>
      <c r="W91" s="13">
        <f t="shared" si="21"/>
        <v>37</v>
      </c>
      <c r="X91" s="13">
        <f t="shared" si="21"/>
        <v>287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1.0</v>
      </c>
      <c r="F93" s="19">
        <v>0.0</v>
      </c>
      <c r="G93" s="19">
        <v>2.0</v>
      </c>
      <c r="H93" s="19">
        <v>0.0</v>
      </c>
      <c r="I93" s="19">
        <v>0.0</v>
      </c>
      <c r="J93" s="19">
        <v>1.0</v>
      </c>
      <c r="K93" s="19">
        <v>0.0</v>
      </c>
      <c r="L93" s="19">
        <v>4.0</v>
      </c>
      <c r="M93" s="19">
        <v>1.0</v>
      </c>
      <c r="N93" s="19">
        <v>0.0</v>
      </c>
      <c r="O93" s="19">
        <v>0.0</v>
      </c>
      <c r="P93" s="19">
        <v>0.0</v>
      </c>
      <c r="Q93" s="19">
        <v>1.0</v>
      </c>
      <c r="R93" s="19">
        <v>0.0</v>
      </c>
      <c r="S93" s="19">
        <v>2.0</v>
      </c>
      <c r="T93" s="19">
        <v>0.0</v>
      </c>
      <c r="U93" s="19">
        <v>0.0</v>
      </c>
      <c r="V93" s="19">
        <v>0.0</v>
      </c>
      <c r="W93" s="19">
        <v>0.0</v>
      </c>
      <c r="X93" s="13">
        <f t="shared" ref="X93:X100" si="22">SUM(E93:W93)</f>
        <v>12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1.0</v>
      </c>
      <c r="F94" s="19">
        <v>1.0</v>
      </c>
      <c r="G94" s="19">
        <v>0.0</v>
      </c>
      <c r="H94" s="19">
        <v>1.0</v>
      </c>
      <c r="I94" s="19">
        <v>0.0</v>
      </c>
      <c r="J94" s="19">
        <v>3.0</v>
      </c>
      <c r="K94" s="19">
        <v>0.0</v>
      </c>
      <c r="L94" s="19">
        <v>0.0</v>
      </c>
      <c r="M94" s="19">
        <v>0.0</v>
      </c>
      <c r="N94" s="19">
        <v>0.0</v>
      </c>
      <c r="O94" s="19">
        <v>0.0</v>
      </c>
      <c r="P94" s="19">
        <v>0.0</v>
      </c>
      <c r="Q94" s="19">
        <v>0.0</v>
      </c>
      <c r="R94" s="19">
        <v>1.0</v>
      </c>
      <c r="S94" s="19">
        <v>1.0</v>
      </c>
      <c r="T94" s="19">
        <v>1.0</v>
      </c>
      <c r="U94" s="19">
        <v>0.0</v>
      </c>
      <c r="V94" s="19">
        <v>0.0</v>
      </c>
      <c r="W94" s="19">
        <v>0.0</v>
      </c>
      <c r="X94" s="13">
        <f t="shared" si="22"/>
        <v>9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9">
        <v>0.0</v>
      </c>
      <c r="T95" s="19">
        <v>0.0</v>
      </c>
      <c r="U95" s="19">
        <v>0.0</v>
      </c>
      <c r="V95" s="19">
        <v>0.0</v>
      </c>
      <c r="W95" s="19">
        <v>0.0</v>
      </c>
      <c r="X95" s="13">
        <f t="shared" si="22"/>
        <v>0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3">
        <f t="shared" si="22"/>
        <v>0</v>
      </c>
    </row>
    <row r="97" ht="12.75" customHeight="1">
      <c r="A97" s="18"/>
      <c r="B97" s="55">
        <v>4.0</v>
      </c>
      <c r="C97" s="50" t="s">
        <v>77</v>
      </c>
      <c r="D97" s="57"/>
      <c r="E97" s="19">
        <v>4.0</v>
      </c>
      <c r="F97" s="19">
        <v>1.0</v>
      </c>
      <c r="G97" s="19">
        <v>0.0</v>
      </c>
      <c r="H97" s="19">
        <v>4.0</v>
      </c>
      <c r="I97" s="19">
        <v>0.0</v>
      </c>
      <c r="J97" s="19">
        <v>0.0</v>
      </c>
      <c r="K97" s="19">
        <v>2.0</v>
      </c>
      <c r="L97" s="19">
        <v>0.0</v>
      </c>
      <c r="M97" s="19">
        <v>1.0</v>
      </c>
      <c r="N97" s="19">
        <v>1.0</v>
      </c>
      <c r="O97" s="19">
        <v>0.0</v>
      </c>
      <c r="P97" s="19">
        <v>1.0</v>
      </c>
      <c r="Q97" s="19">
        <v>0.0</v>
      </c>
      <c r="R97" s="19">
        <v>0.0</v>
      </c>
      <c r="S97" s="19">
        <v>1.0</v>
      </c>
      <c r="T97" s="19">
        <v>0.0</v>
      </c>
      <c r="U97" s="19">
        <v>0.0</v>
      </c>
      <c r="V97" s="19">
        <v>0.0</v>
      </c>
      <c r="W97" s="19">
        <v>0.0</v>
      </c>
      <c r="X97" s="13">
        <f t="shared" si="22"/>
        <v>15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1.0</v>
      </c>
      <c r="G98" s="19">
        <v>0.0</v>
      </c>
      <c r="H98" s="19">
        <v>0.0</v>
      </c>
      <c r="I98" s="19">
        <v>0.0</v>
      </c>
      <c r="J98" s="19">
        <v>0.0</v>
      </c>
      <c r="K98" s="19">
        <v>1.0</v>
      </c>
      <c r="L98" s="19">
        <v>0.0</v>
      </c>
      <c r="M98" s="19">
        <v>4.0</v>
      </c>
      <c r="N98" s="19">
        <v>2.0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1.0</v>
      </c>
      <c r="U98" s="19">
        <v>0.0</v>
      </c>
      <c r="V98" s="19">
        <v>0.0</v>
      </c>
      <c r="W98" s="19">
        <v>0.0</v>
      </c>
      <c r="X98" s="13">
        <f t="shared" si="22"/>
        <v>9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1.0</v>
      </c>
      <c r="H99" s="19">
        <v>0.0</v>
      </c>
      <c r="I99" s="19">
        <v>0.0</v>
      </c>
      <c r="J99" s="19">
        <v>1.0</v>
      </c>
      <c r="K99" s="19">
        <v>0.0</v>
      </c>
      <c r="L99" s="19">
        <v>0.0</v>
      </c>
      <c r="M99" s="19">
        <v>1.0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3">
        <f t="shared" si="22"/>
        <v>3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1.0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3">
        <f t="shared" si="22"/>
        <v>1</v>
      </c>
    </row>
    <row r="101" ht="12.75" customHeight="1">
      <c r="A101" s="18"/>
      <c r="B101" s="71"/>
      <c r="C101" s="72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79"/>
    </row>
    <row r="102" ht="12.75" customHeight="1">
      <c r="A102" s="18"/>
      <c r="B102" s="71"/>
      <c r="C102" s="72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79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X103" si="23">SUM(E93:E102)</f>
        <v>6</v>
      </c>
      <c r="F103" s="13">
        <f t="shared" si="23"/>
        <v>3</v>
      </c>
      <c r="G103" s="13">
        <f t="shared" si="23"/>
        <v>4</v>
      </c>
      <c r="H103" s="13">
        <f t="shared" si="23"/>
        <v>5</v>
      </c>
      <c r="I103" s="13">
        <f t="shared" si="23"/>
        <v>0</v>
      </c>
      <c r="J103" s="13">
        <f t="shared" si="23"/>
        <v>5</v>
      </c>
      <c r="K103" s="13">
        <f t="shared" si="23"/>
        <v>3</v>
      </c>
      <c r="L103" s="13">
        <f t="shared" si="23"/>
        <v>4</v>
      </c>
      <c r="M103" s="13">
        <f t="shared" si="23"/>
        <v>7</v>
      </c>
      <c r="N103" s="13">
        <f t="shared" si="23"/>
        <v>3</v>
      </c>
      <c r="O103" s="13">
        <f t="shared" si="23"/>
        <v>0</v>
      </c>
      <c r="P103" s="13">
        <f t="shared" si="23"/>
        <v>1</v>
      </c>
      <c r="Q103" s="13">
        <f t="shared" si="23"/>
        <v>1</v>
      </c>
      <c r="R103" s="13">
        <f t="shared" si="23"/>
        <v>1</v>
      </c>
      <c r="S103" s="13">
        <f t="shared" si="23"/>
        <v>4</v>
      </c>
      <c r="T103" s="13">
        <f t="shared" si="23"/>
        <v>2</v>
      </c>
      <c r="U103" s="13">
        <f t="shared" si="23"/>
        <v>0</v>
      </c>
      <c r="V103" s="13">
        <f t="shared" si="23"/>
        <v>0</v>
      </c>
      <c r="W103" s="13">
        <f t="shared" si="23"/>
        <v>0</v>
      </c>
      <c r="X103" s="13">
        <f t="shared" si="23"/>
        <v>49</v>
      </c>
    </row>
    <row r="104" ht="12.75" customHeight="1">
      <c r="A104" s="45"/>
      <c r="B104" s="44"/>
      <c r="C104" s="44"/>
      <c r="D104" s="44"/>
      <c r="E104" s="44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1.0</v>
      </c>
      <c r="P105" s="19">
        <v>1.0</v>
      </c>
      <c r="Q105" s="19">
        <v>0.0</v>
      </c>
      <c r="R105" s="19">
        <v>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0.0</v>
      </c>
      <c r="X105" s="13">
        <f t="shared" ref="X105:X112" si="24">SUM(E105:W105)</f>
        <v>2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1.0</v>
      </c>
      <c r="J106" s="19">
        <v>1.0</v>
      </c>
      <c r="K106" s="19">
        <v>0.0</v>
      </c>
      <c r="L106" s="19">
        <v>0.0</v>
      </c>
      <c r="M106" s="19">
        <v>0.0</v>
      </c>
      <c r="N106" s="19">
        <v>2.0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3">
        <f t="shared" si="24"/>
        <v>4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1.0</v>
      </c>
      <c r="U107" s="19">
        <v>0.0</v>
      </c>
      <c r="V107" s="19">
        <v>0.0</v>
      </c>
      <c r="W107" s="19">
        <v>0.0</v>
      </c>
      <c r="X107" s="13">
        <f t="shared" si="24"/>
        <v>1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1.0</v>
      </c>
      <c r="P111" s="19">
        <v>0.0</v>
      </c>
      <c r="Q111" s="19">
        <v>1.0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3">
        <f t="shared" si="24"/>
        <v>2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1.0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3">
        <f t="shared" si="24"/>
        <v>1</v>
      </c>
    </row>
    <row r="113" ht="12.75" customHeight="1">
      <c r="A113" s="18"/>
      <c r="B113" s="71"/>
      <c r="C113" s="72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79"/>
    </row>
    <row r="114" ht="12.75" customHeight="1">
      <c r="A114" s="18"/>
      <c r="B114" s="71"/>
      <c r="C114" s="72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79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X115" si="25">SUM(E105:E114)</f>
        <v>0</v>
      </c>
      <c r="F115" s="13">
        <f t="shared" si="25"/>
        <v>1</v>
      </c>
      <c r="G115" s="13">
        <f t="shared" si="25"/>
        <v>0</v>
      </c>
      <c r="H115" s="13">
        <f t="shared" si="25"/>
        <v>0</v>
      </c>
      <c r="I115" s="13">
        <f t="shared" si="25"/>
        <v>1</v>
      </c>
      <c r="J115" s="13">
        <f t="shared" si="25"/>
        <v>1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2</v>
      </c>
      <c r="O115" s="13">
        <f t="shared" si="25"/>
        <v>2</v>
      </c>
      <c r="P115" s="13">
        <f t="shared" si="25"/>
        <v>1</v>
      </c>
      <c r="Q115" s="13">
        <f t="shared" si="25"/>
        <v>1</v>
      </c>
      <c r="R115" s="13">
        <f t="shared" si="25"/>
        <v>0</v>
      </c>
      <c r="S115" s="13">
        <f t="shared" si="25"/>
        <v>0</v>
      </c>
      <c r="T115" s="13">
        <f t="shared" si="25"/>
        <v>1</v>
      </c>
      <c r="U115" s="13">
        <f t="shared" si="25"/>
        <v>0</v>
      </c>
      <c r="V115" s="13">
        <f t="shared" si="25"/>
        <v>0</v>
      </c>
      <c r="W115" s="13">
        <f t="shared" si="25"/>
        <v>0</v>
      </c>
      <c r="X115" s="13">
        <f t="shared" si="25"/>
        <v>10</v>
      </c>
    </row>
    <row r="116" ht="12.75" customHeight="1">
      <c r="A116" s="24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X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1.0</v>
      </c>
      <c r="G117" s="19">
        <v>0.0</v>
      </c>
      <c r="H117" s="19">
        <v>1.0</v>
      </c>
      <c r="I117" s="19">
        <v>0.0</v>
      </c>
      <c r="J117" s="19">
        <v>1.0</v>
      </c>
      <c r="K117" s="19">
        <v>2.0</v>
      </c>
      <c r="L117" s="19">
        <v>1.0</v>
      </c>
      <c r="M117" s="19">
        <v>0.0</v>
      </c>
      <c r="N117" s="19">
        <v>0.0</v>
      </c>
      <c r="O117" s="19">
        <v>0.0</v>
      </c>
      <c r="P117" s="19">
        <v>2.0</v>
      </c>
      <c r="Q117" s="19">
        <v>1.0</v>
      </c>
      <c r="R117" s="19">
        <v>0.0</v>
      </c>
      <c r="S117" s="19">
        <v>1.0</v>
      </c>
      <c r="T117" s="19">
        <v>1.0</v>
      </c>
      <c r="U117" s="19">
        <v>2.0</v>
      </c>
      <c r="V117" s="19">
        <v>0.0</v>
      </c>
      <c r="W117" s="19">
        <v>1.0</v>
      </c>
      <c r="X117" s="13">
        <f t="shared" ref="X117:X120" si="26">SUM(E117:W117)</f>
        <v>14</v>
      </c>
      <c r="Y117" s="5"/>
      <c r="Z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1.0</v>
      </c>
      <c r="F118" s="19">
        <v>1.0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3">
        <f t="shared" si="26"/>
        <v>2</v>
      </c>
      <c r="Y118" s="5"/>
      <c r="Z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1.0</v>
      </c>
      <c r="Q119" s="19">
        <v>0.0</v>
      </c>
      <c r="R119" s="19">
        <v>0.0</v>
      </c>
      <c r="S119" s="19">
        <v>0.0</v>
      </c>
      <c r="T119" s="19">
        <v>1.0</v>
      </c>
      <c r="U119" s="19">
        <v>0.0</v>
      </c>
      <c r="V119" s="19">
        <v>0.0</v>
      </c>
      <c r="W119" s="19">
        <v>0.0</v>
      </c>
      <c r="X119" s="13">
        <f t="shared" si="26"/>
        <v>2</v>
      </c>
      <c r="Y119" s="5"/>
      <c r="Z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1.0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3">
        <f t="shared" si="26"/>
        <v>1</v>
      </c>
      <c r="Y120" s="5"/>
      <c r="Z120" s="5"/>
    </row>
    <row r="121" ht="12.75" customHeight="1">
      <c r="A121" s="18"/>
      <c r="B121" s="71"/>
      <c r="C121" s="72"/>
      <c r="D121" s="7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79"/>
      <c r="Y121" s="5"/>
      <c r="Z121" s="5"/>
    </row>
    <row r="122" ht="12.75" customHeight="1">
      <c r="A122" s="18"/>
      <c r="B122" s="71"/>
      <c r="C122" s="72"/>
      <c r="D122" s="7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79"/>
      <c r="Y122" s="5"/>
      <c r="Z122" s="5"/>
    </row>
    <row r="123" ht="12.75" customHeight="1">
      <c r="A123" s="18"/>
      <c r="B123" s="71"/>
      <c r="C123" s="72"/>
      <c r="D123" s="7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79"/>
      <c r="Y123" s="5"/>
      <c r="Z123" s="5"/>
    </row>
    <row r="124" ht="12.75" customHeight="1">
      <c r="A124" s="18"/>
      <c r="B124" s="71"/>
      <c r="C124" s="72"/>
      <c r="D124" s="7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79"/>
      <c r="Y124" s="5"/>
      <c r="Z124" s="5"/>
    </row>
    <row r="125" ht="12.75" customHeight="1">
      <c r="A125" s="18"/>
      <c r="B125" s="71"/>
      <c r="C125" s="72"/>
      <c r="D125" s="7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79"/>
      <c r="Y125" s="5"/>
      <c r="Z125" s="5"/>
    </row>
    <row r="126" ht="12.75" customHeight="1">
      <c r="A126" s="18"/>
      <c r="B126" s="71"/>
      <c r="C126" s="72"/>
      <c r="D126" s="7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79"/>
      <c r="Y126" s="5"/>
      <c r="Z126" s="5"/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X127" si="27">SUM(E117:E126)</f>
        <v>1</v>
      </c>
      <c r="F127" s="13">
        <f t="shared" si="27"/>
        <v>2</v>
      </c>
      <c r="G127" s="13">
        <f t="shared" si="27"/>
        <v>1</v>
      </c>
      <c r="H127" s="13">
        <f t="shared" si="27"/>
        <v>1</v>
      </c>
      <c r="I127" s="13">
        <f t="shared" si="27"/>
        <v>0</v>
      </c>
      <c r="J127" s="13">
        <f t="shared" si="27"/>
        <v>1</v>
      </c>
      <c r="K127" s="13">
        <f t="shared" si="27"/>
        <v>2</v>
      </c>
      <c r="L127" s="13">
        <f t="shared" si="27"/>
        <v>1</v>
      </c>
      <c r="M127" s="13">
        <f t="shared" si="27"/>
        <v>0</v>
      </c>
      <c r="N127" s="13">
        <f t="shared" si="27"/>
        <v>0</v>
      </c>
      <c r="O127" s="13">
        <f t="shared" si="27"/>
        <v>0</v>
      </c>
      <c r="P127" s="13">
        <f t="shared" si="27"/>
        <v>3</v>
      </c>
      <c r="Q127" s="13">
        <f t="shared" si="27"/>
        <v>1</v>
      </c>
      <c r="R127" s="13">
        <f t="shared" si="27"/>
        <v>0</v>
      </c>
      <c r="S127" s="13">
        <f t="shared" si="27"/>
        <v>1</v>
      </c>
      <c r="T127" s="13">
        <f t="shared" si="27"/>
        <v>2</v>
      </c>
      <c r="U127" s="13">
        <f t="shared" si="27"/>
        <v>2</v>
      </c>
      <c r="V127" s="13">
        <f t="shared" si="27"/>
        <v>0</v>
      </c>
      <c r="W127" s="13">
        <f t="shared" si="27"/>
        <v>1</v>
      </c>
      <c r="X127" s="13">
        <f t="shared" si="27"/>
        <v>19</v>
      </c>
      <c r="Y127" s="5"/>
      <c r="Z127" s="5"/>
    </row>
    <row r="128" ht="12.75" customHeight="1">
      <c r="A128" s="24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5"/>
      <c r="Z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3.0</v>
      </c>
      <c r="G129" s="19">
        <v>0.0</v>
      </c>
      <c r="H129" s="19">
        <v>0.0</v>
      </c>
      <c r="I129" s="19">
        <v>0.0</v>
      </c>
      <c r="J129" s="19">
        <v>0.0</v>
      </c>
      <c r="K129" s="19">
        <v>0.0</v>
      </c>
      <c r="L129" s="19">
        <v>3.0</v>
      </c>
      <c r="M129" s="19">
        <v>0.0</v>
      </c>
      <c r="N129" s="19">
        <v>1.0</v>
      </c>
      <c r="O129" s="19">
        <v>0.0</v>
      </c>
      <c r="P129" s="19">
        <v>0.0</v>
      </c>
      <c r="Q129" s="19">
        <v>1.0</v>
      </c>
      <c r="R129" s="19">
        <v>0.0</v>
      </c>
      <c r="S129" s="19">
        <v>0.0</v>
      </c>
      <c r="T129" s="19">
        <v>0.0</v>
      </c>
      <c r="U129" s="19">
        <v>0.0</v>
      </c>
      <c r="V129" s="19">
        <v>0.0</v>
      </c>
      <c r="W129" s="19">
        <v>0.0</v>
      </c>
      <c r="X129" s="13">
        <f t="shared" ref="X129:X136" si="28">SUM(E129:W129)</f>
        <v>9</v>
      </c>
      <c r="Y129" s="5"/>
      <c r="Z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2.0</v>
      </c>
      <c r="F130" s="19">
        <v>0.0</v>
      </c>
      <c r="G130" s="19">
        <v>0.0</v>
      </c>
      <c r="H130" s="19">
        <v>0.0</v>
      </c>
      <c r="I130" s="19">
        <v>1.0</v>
      </c>
      <c r="J130" s="19">
        <v>1.0</v>
      </c>
      <c r="K130" s="19">
        <v>0.0</v>
      </c>
      <c r="L130" s="19">
        <v>2.0</v>
      </c>
      <c r="M130" s="19">
        <v>1.0</v>
      </c>
      <c r="N130" s="19">
        <v>1.0</v>
      </c>
      <c r="O130" s="19">
        <v>0.0</v>
      </c>
      <c r="P130" s="19">
        <v>0.0</v>
      </c>
      <c r="Q130" s="19">
        <v>1.0</v>
      </c>
      <c r="R130" s="19">
        <v>2.0</v>
      </c>
      <c r="S130" s="19">
        <v>0.0</v>
      </c>
      <c r="T130" s="19">
        <v>0.0</v>
      </c>
      <c r="U130" s="19">
        <v>0.0</v>
      </c>
      <c r="V130" s="19">
        <v>0.0</v>
      </c>
      <c r="W130" s="19">
        <v>1.0</v>
      </c>
      <c r="X130" s="13">
        <f t="shared" si="28"/>
        <v>12</v>
      </c>
      <c r="Y130" s="1"/>
      <c r="Z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1.0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0.0</v>
      </c>
      <c r="X131" s="13">
        <f t="shared" si="28"/>
        <v>1</v>
      </c>
      <c r="Y131" s="52"/>
      <c r="Z131" s="52"/>
    </row>
    <row r="132" ht="12.75" customHeight="1">
      <c r="A132" s="18"/>
      <c r="B132" s="55">
        <v>3.0</v>
      </c>
      <c r="C132" s="50" t="s">
        <v>99</v>
      </c>
      <c r="D132" s="56"/>
      <c r="E132" s="19">
        <v>1.0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3">
        <f t="shared" si="28"/>
        <v>1</v>
      </c>
      <c r="Y132" s="5"/>
      <c r="Z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3">
        <f t="shared" si="28"/>
        <v>0</v>
      </c>
      <c r="Y133" s="5"/>
      <c r="Z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3">
        <f t="shared" si="28"/>
        <v>0</v>
      </c>
      <c r="Y134" s="5"/>
      <c r="Z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1.0</v>
      </c>
      <c r="U135" s="19">
        <v>0.0</v>
      </c>
      <c r="V135" s="19">
        <v>0.0</v>
      </c>
      <c r="W135" s="19">
        <v>0.0</v>
      </c>
      <c r="X135" s="13">
        <f t="shared" si="28"/>
        <v>1</v>
      </c>
      <c r="Y135" s="5"/>
      <c r="Z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3">
        <f t="shared" si="28"/>
        <v>0</v>
      </c>
      <c r="Y136" s="5"/>
      <c r="Z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79"/>
      <c r="Y137" s="5"/>
      <c r="Z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79"/>
      <c r="Y138" s="5"/>
      <c r="Z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X139" si="29">SUM(E129:E138)</f>
        <v>4</v>
      </c>
      <c r="F139" s="13">
        <f t="shared" si="29"/>
        <v>3</v>
      </c>
      <c r="G139" s="13">
        <f t="shared" si="29"/>
        <v>0</v>
      </c>
      <c r="H139" s="13">
        <f t="shared" si="29"/>
        <v>0</v>
      </c>
      <c r="I139" s="13">
        <f t="shared" si="29"/>
        <v>1</v>
      </c>
      <c r="J139" s="13">
        <f t="shared" si="29"/>
        <v>1</v>
      </c>
      <c r="K139" s="13">
        <f t="shared" si="29"/>
        <v>0</v>
      </c>
      <c r="L139" s="13">
        <f t="shared" si="29"/>
        <v>5</v>
      </c>
      <c r="M139" s="13">
        <f t="shared" si="29"/>
        <v>1</v>
      </c>
      <c r="N139" s="13">
        <f t="shared" si="29"/>
        <v>2</v>
      </c>
      <c r="O139" s="13">
        <f t="shared" si="29"/>
        <v>1</v>
      </c>
      <c r="P139" s="13">
        <f t="shared" si="29"/>
        <v>0</v>
      </c>
      <c r="Q139" s="13">
        <f t="shared" si="29"/>
        <v>2</v>
      </c>
      <c r="R139" s="13">
        <f t="shared" si="29"/>
        <v>2</v>
      </c>
      <c r="S139" s="13">
        <f t="shared" si="29"/>
        <v>0</v>
      </c>
      <c r="T139" s="13">
        <f t="shared" si="29"/>
        <v>1</v>
      </c>
      <c r="U139" s="13">
        <f t="shared" si="29"/>
        <v>0</v>
      </c>
      <c r="V139" s="13">
        <f t="shared" si="29"/>
        <v>0</v>
      </c>
      <c r="W139" s="13">
        <f t="shared" si="29"/>
        <v>1</v>
      </c>
      <c r="X139" s="13">
        <f t="shared" si="29"/>
        <v>24</v>
      </c>
      <c r="Y139" s="5"/>
      <c r="Z139" s="5"/>
    </row>
    <row r="140" ht="12.75" customHeight="1">
      <c r="A140" s="24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5"/>
      <c r="Z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/>
      <c r="U141" s="19"/>
      <c r="V141" s="19"/>
      <c r="W141" s="19"/>
      <c r="X141" s="13">
        <f t="shared" ref="X141:X148" si="30">SUM(E141:W141)</f>
        <v>0</v>
      </c>
      <c r="Y141" s="1"/>
      <c r="Z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/>
      <c r="U142" s="19"/>
      <c r="V142" s="19"/>
      <c r="W142" s="19"/>
      <c r="X142" s="13">
        <f t="shared" si="30"/>
        <v>0</v>
      </c>
      <c r="Y142" s="52"/>
      <c r="Z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/>
      <c r="U143" s="19"/>
      <c r="V143" s="19"/>
      <c r="W143" s="19"/>
      <c r="X143" s="13">
        <f t="shared" si="30"/>
        <v>0</v>
      </c>
      <c r="Y143" s="5"/>
      <c r="Z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/>
      <c r="U144" s="19"/>
      <c r="V144" s="19"/>
      <c r="W144" s="19"/>
      <c r="X144" s="13">
        <f t="shared" si="30"/>
        <v>0</v>
      </c>
      <c r="Y144" s="5"/>
      <c r="Z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/>
      <c r="U145" s="19"/>
      <c r="V145" s="19"/>
      <c r="W145" s="19"/>
      <c r="X145" s="13">
        <f t="shared" si="30"/>
        <v>0</v>
      </c>
      <c r="Y145" s="5"/>
      <c r="Z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/>
      <c r="U146" s="19"/>
      <c r="V146" s="19"/>
      <c r="W146" s="19"/>
      <c r="X146" s="13">
        <f t="shared" si="30"/>
        <v>0</v>
      </c>
      <c r="Y146" s="5"/>
      <c r="Z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/>
      <c r="U147" s="19"/>
      <c r="V147" s="19"/>
      <c r="W147" s="19"/>
      <c r="X147" s="13">
        <f t="shared" si="30"/>
        <v>0</v>
      </c>
      <c r="Y147" s="5"/>
      <c r="Z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/>
      <c r="U148" s="19"/>
      <c r="V148" s="19"/>
      <c r="W148" s="19"/>
      <c r="X148" s="13">
        <f t="shared" si="30"/>
        <v>0</v>
      </c>
      <c r="Y148" s="5"/>
      <c r="Z148" s="5"/>
    </row>
    <row r="149" ht="12.75" customHeight="1">
      <c r="A149" s="18"/>
      <c r="B149" s="71"/>
      <c r="C149" s="72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79"/>
      <c r="Y149" s="5"/>
      <c r="Z149" s="5"/>
    </row>
    <row r="150" ht="12.75" customHeight="1">
      <c r="A150" s="18"/>
      <c r="B150" s="71"/>
      <c r="C150" s="72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79"/>
      <c r="Y150" s="5"/>
      <c r="Z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X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"/>
      <c r="Z151" s="1"/>
    </row>
    <row r="152" ht="12.75" customHeight="1">
      <c r="A152" s="24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13"/>
      <c r="Y152" s="52"/>
      <c r="Z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1.0</v>
      </c>
      <c r="M153" s="19">
        <v>0.0</v>
      </c>
      <c r="N153" s="19">
        <v>0.0</v>
      </c>
      <c r="O153" s="19">
        <v>0.0</v>
      </c>
      <c r="P153" s="19">
        <v>1.0</v>
      </c>
      <c r="Q153" s="19">
        <v>0.0</v>
      </c>
      <c r="R153" s="19">
        <v>0.0</v>
      </c>
      <c r="S153" s="19">
        <v>0.0</v>
      </c>
      <c r="T153" s="19"/>
      <c r="U153" s="19"/>
      <c r="V153" s="19"/>
      <c r="W153" s="19"/>
      <c r="X153" s="13">
        <f t="shared" ref="X153:X157" si="32">SUM(E153:W153)</f>
        <v>2</v>
      </c>
      <c r="Y153" s="5"/>
      <c r="Z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1.0</v>
      </c>
      <c r="O154" s="19">
        <v>1.0</v>
      </c>
      <c r="P154" s="19">
        <v>0.0</v>
      </c>
      <c r="Q154" s="19">
        <v>0.0</v>
      </c>
      <c r="R154" s="19">
        <v>1.0</v>
      </c>
      <c r="S154" s="19">
        <v>0.0</v>
      </c>
      <c r="T154" s="19"/>
      <c r="U154" s="19"/>
      <c r="V154" s="19"/>
      <c r="W154" s="19"/>
      <c r="X154" s="13">
        <f t="shared" si="32"/>
        <v>3</v>
      </c>
      <c r="Y154" s="5"/>
      <c r="Z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1.0</v>
      </c>
      <c r="U155" s="19"/>
      <c r="V155" s="19"/>
      <c r="W155" s="19"/>
      <c r="X155" s="13">
        <f t="shared" si="32"/>
        <v>1</v>
      </c>
      <c r="Y155" s="5"/>
      <c r="Z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/>
      <c r="U156" s="19"/>
      <c r="V156" s="19"/>
      <c r="W156" s="19"/>
      <c r="X156" s="13">
        <f t="shared" si="32"/>
        <v>0</v>
      </c>
      <c r="Y156" s="5"/>
      <c r="Z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/>
      <c r="U157" s="19"/>
      <c r="V157" s="19"/>
      <c r="W157" s="19"/>
      <c r="X157" s="13">
        <f t="shared" si="32"/>
        <v>0</v>
      </c>
      <c r="Y157" s="5"/>
      <c r="Z157" s="5"/>
    </row>
    <row r="158" ht="12.75" customHeight="1">
      <c r="A158" s="18"/>
      <c r="B158" s="71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79"/>
      <c r="Y158" s="5"/>
      <c r="Z158" s="5"/>
    </row>
    <row r="159" ht="12.75" customHeight="1">
      <c r="A159" s="18"/>
      <c r="B159" s="71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79"/>
      <c r="Y159" s="5"/>
      <c r="Z159" s="5"/>
    </row>
    <row r="160" ht="12.75" customHeight="1">
      <c r="A160" s="18"/>
      <c r="B160" s="71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79"/>
      <c r="Y160" s="5"/>
      <c r="Z160" s="5"/>
    </row>
    <row r="161" ht="12.75" customHeight="1">
      <c r="A161" s="18"/>
      <c r="B161" s="71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79"/>
      <c r="Y161" s="5"/>
      <c r="Z161" s="5"/>
    </row>
    <row r="162" ht="12.75" customHeight="1">
      <c r="A162" s="18"/>
      <c r="B162" s="71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79"/>
      <c r="Y162" s="5"/>
      <c r="Z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X163" si="33">SUM(E153:E162)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0</v>
      </c>
      <c r="L163" s="13">
        <f t="shared" si="33"/>
        <v>1</v>
      </c>
      <c r="M163" s="13">
        <f t="shared" si="33"/>
        <v>0</v>
      </c>
      <c r="N163" s="13">
        <f t="shared" si="33"/>
        <v>1</v>
      </c>
      <c r="O163" s="13">
        <f t="shared" si="33"/>
        <v>1</v>
      </c>
      <c r="P163" s="13">
        <f t="shared" si="33"/>
        <v>1</v>
      </c>
      <c r="Q163" s="13">
        <f t="shared" si="33"/>
        <v>0</v>
      </c>
      <c r="R163" s="13">
        <f t="shared" si="33"/>
        <v>1</v>
      </c>
      <c r="S163" s="13">
        <f t="shared" si="33"/>
        <v>0</v>
      </c>
      <c r="T163" s="13">
        <f t="shared" si="33"/>
        <v>1</v>
      </c>
      <c r="U163" s="13">
        <f t="shared" si="33"/>
        <v>0</v>
      </c>
      <c r="V163" s="13">
        <f t="shared" si="33"/>
        <v>0</v>
      </c>
      <c r="W163" s="13">
        <f t="shared" si="33"/>
        <v>0</v>
      </c>
      <c r="X163" s="13">
        <f t="shared" si="33"/>
        <v>6</v>
      </c>
      <c r="Y163" s="5"/>
      <c r="Z163" s="5"/>
    </row>
    <row r="164" ht="12.75" customHeight="1">
      <c r="A164" s="24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5"/>
      <c r="Z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1.0</v>
      </c>
      <c r="G165" s="19">
        <v>0.0</v>
      </c>
      <c r="H165" s="19">
        <v>0.0</v>
      </c>
      <c r="I165" s="19">
        <v>0.0</v>
      </c>
      <c r="J165" s="19">
        <v>1.0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1.0</v>
      </c>
      <c r="R165" s="19">
        <v>0.0</v>
      </c>
      <c r="S165" s="19">
        <v>0.0</v>
      </c>
      <c r="T165" s="19">
        <v>1.0</v>
      </c>
      <c r="U165" s="19">
        <v>0.0</v>
      </c>
      <c r="V165" s="19">
        <v>2.0</v>
      </c>
      <c r="W165" s="19">
        <v>0.0</v>
      </c>
      <c r="X165" s="13">
        <f t="shared" ref="X165:X172" si="34">SUM(E165:W165)</f>
        <v>6</v>
      </c>
      <c r="Y165" s="1"/>
      <c r="Z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1.0</v>
      </c>
      <c r="R166" s="19">
        <v>0.0</v>
      </c>
      <c r="S166" s="19">
        <v>0.0</v>
      </c>
      <c r="T166" s="19">
        <v>1.0</v>
      </c>
      <c r="U166" s="19">
        <v>0.0</v>
      </c>
      <c r="V166" s="19">
        <v>0.0</v>
      </c>
      <c r="W166" s="19">
        <v>0.0</v>
      </c>
      <c r="X166" s="13">
        <f t="shared" si="34"/>
        <v>2</v>
      </c>
      <c r="Y166" s="52"/>
      <c r="Z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3">
        <f t="shared" si="34"/>
        <v>0</v>
      </c>
      <c r="Y167" s="5"/>
      <c r="Z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3">
        <f t="shared" si="34"/>
        <v>0</v>
      </c>
      <c r="Y168" s="5"/>
      <c r="Z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3">
        <f t="shared" si="34"/>
        <v>0</v>
      </c>
      <c r="Y169" s="5"/>
      <c r="Z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3">
        <f t="shared" si="34"/>
        <v>0</v>
      </c>
      <c r="Y170" s="5"/>
      <c r="Z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3">
        <f t="shared" si="34"/>
        <v>0</v>
      </c>
      <c r="Y171" s="5"/>
      <c r="Z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3">
        <f t="shared" si="34"/>
        <v>0</v>
      </c>
      <c r="Y172" s="5"/>
      <c r="Z172" s="5"/>
    </row>
    <row r="173" ht="12.75" customHeight="1">
      <c r="A173" s="18"/>
      <c r="B173" s="71"/>
      <c r="C173" s="72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79"/>
      <c r="Y173" s="5"/>
      <c r="Z173" s="5"/>
    </row>
    <row r="174" ht="12.75" customHeight="1">
      <c r="A174" s="18"/>
      <c r="B174" s="71"/>
      <c r="C174" s="72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79"/>
      <c r="Y174" s="5"/>
      <c r="Z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X175" si="35">SUM(E165:E174)</f>
        <v>0</v>
      </c>
      <c r="F175" s="13">
        <f t="shared" si="35"/>
        <v>1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1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2</v>
      </c>
      <c r="R175" s="13">
        <f t="shared" si="35"/>
        <v>0</v>
      </c>
      <c r="S175" s="13">
        <f t="shared" si="35"/>
        <v>0</v>
      </c>
      <c r="T175" s="13">
        <f t="shared" si="35"/>
        <v>2</v>
      </c>
      <c r="U175" s="13">
        <f t="shared" si="35"/>
        <v>0</v>
      </c>
      <c r="V175" s="13">
        <f t="shared" si="35"/>
        <v>2</v>
      </c>
      <c r="W175" s="13">
        <f t="shared" si="35"/>
        <v>0</v>
      </c>
      <c r="X175" s="13">
        <f t="shared" si="35"/>
        <v>8</v>
      </c>
      <c r="Y175" s="5"/>
      <c r="Z175" s="5"/>
    </row>
    <row r="176" ht="12.75" customHeight="1">
      <c r="A176" s="24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1"/>
      <c r="Z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3.0</v>
      </c>
      <c r="J177" s="19">
        <v>1.0</v>
      </c>
      <c r="K177" s="19">
        <v>0.0</v>
      </c>
      <c r="L177" s="19">
        <v>1.0</v>
      </c>
      <c r="M177" s="19">
        <v>1.0</v>
      </c>
      <c r="N177" s="19">
        <v>1.0</v>
      </c>
      <c r="O177" s="19">
        <v>0.0</v>
      </c>
      <c r="P177" s="19">
        <v>1.0</v>
      </c>
      <c r="Q177" s="19">
        <v>0.0</v>
      </c>
      <c r="R177" s="19">
        <v>0.0</v>
      </c>
      <c r="S177" s="19">
        <v>1.0</v>
      </c>
      <c r="T177" s="19">
        <v>0.0</v>
      </c>
      <c r="U177" s="19">
        <v>0.0</v>
      </c>
      <c r="V177" s="19">
        <v>0.0</v>
      </c>
      <c r="W177" s="19">
        <v>0.0</v>
      </c>
      <c r="X177" s="13">
        <f t="shared" ref="X177:X184" si="36">SUM(E177:W177)</f>
        <v>9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1.0</v>
      </c>
      <c r="F178" s="19">
        <v>0.0</v>
      </c>
      <c r="G178" s="19">
        <v>0.0</v>
      </c>
      <c r="H178" s="19">
        <v>0.0</v>
      </c>
      <c r="I178" s="19">
        <v>0.0</v>
      </c>
      <c r="J178" s="19">
        <v>1.0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1.0</v>
      </c>
      <c r="S178" s="19">
        <v>0.0</v>
      </c>
      <c r="T178" s="19">
        <v>0.0</v>
      </c>
      <c r="U178" s="19">
        <v>0.0</v>
      </c>
      <c r="V178" s="19">
        <v>0.0</v>
      </c>
      <c r="W178" s="19">
        <v>0.0</v>
      </c>
      <c r="X178" s="13">
        <f t="shared" si="36"/>
        <v>3</v>
      </c>
      <c r="Y178" s="5"/>
      <c r="Z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1.0</v>
      </c>
      <c r="G179" s="19">
        <v>1.0</v>
      </c>
      <c r="H179" s="19">
        <v>0.0</v>
      </c>
      <c r="I179" s="19">
        <v>0.0</v>
      </c>
      <c r="J179" s="19">
        <v>1.0</v>
      </c>
      <c r="K179" s="19">
        <v>1.0</v>
      </c>
      <c r="L179" s="19">
        <v>0.0</v>
      </c>
      <c r="M179" s="19">
        <v>2.0</v>
      </c>
      <c r="N179" s="19">
        <v>1.0</v>
      </c>
      <c r="O179" s="19">
        <v>0.0</v>
      </c>
      <c r="P179" s="19">
        <v>0.0</v>
      </c>
      <c r="Q179" s="19">
        <v>0.0</v>
      </c>
      <c r="R179" s="19">
        <v>1.0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3">
        <f t="shared" si="36"/>
        <v>8</v>
      </c>
      <c r="Y179" s="5"/>
      <c r="Z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1.0</v>
      </c>
      <c r="I180" s="19">
        <v>0.0</v>
      </c>
      <c r="J180" s="19">
        <v>1.0</v>
      </c>
      <c r="K180" s="19">
        <v>0.0</v>
      </c>
      <c r="L180" s="19">
        <v>0.0</v>
      </c>
      <c r="M180" s="19">
        <v>0.0</v>
      </c>
      <c r="N180" s="19">
        <v>0.0</v>
      </c>
      <c r="O180" s="19">
        <v>1.0</v>
      </c>
      <c r="P180" s="19">
        <v>0.0</v>
      </c>
      <c r="Q180" s="19">
        <v>1.0</v>
      </c>
      <c r="R180" s="19">
        <v>0.0</v>
      </c>
      <c r="S180" s="19">
        <v>0.0</v>
      </c>
      <c r="T180" s="19">
        <v>2.0</v>
      </c>
      <c r="U180" s="19">
        <v>0.0</v>
      </c>
      <c r="V180" s="19">
        <v>0.0</v>
      </c>
      <c r="W180" s="19">
        <v>0.0</v>
      </c>
      <c r="X180" s="13">
        <f t="shared" si="36"/>
        <v>6</v>
      </c>
      <c r="Y180" s="5"/>
      <c r="Z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1.0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3">
        <f t="shared" si="36"/>
        <v>1</v>
      </c>
      <c r="Y181" s="5"/>
      <c r="Z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1.0</v>
      </c>
      <c r="M182" s="19">
        <v>0.0</v>
      </c>
      <c r="N182" s="19">
        <v>1.0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1.0</v>
      </c>
      <c r="U182" s="19">
        <v>0.0</v>
      </c>
      <c r="V182" s="19">
        <v>0.0</v>
      </c>
      <c r="W182" s="19">
        <v>0.0</v>
      </c>
      <c r="X182" s="13">
        <f t="shared" si="36"/>
        <v>3</v>
      </c>
      <c r="Y182" s="5"/>
      <c r="Z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1.0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3">
        <f t="shared" si="36"/>
        <v>1</v>
      </c>
      <c r="Y183" s="5"/>
      <c r="Z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3">
        <f t="shared" si="36"/>
        <v>0</v>
      </c>
      <c r="Y184" s="5"/>
      <c r="Z184" s="5"/>
    </row>
    <row r="185" ht="12.75" customHeight="1">
      <c r="A185" s="18"/>
      <c r="B185" s="71"/>
      <c r="C185" s="72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79"/>
      <c r="Y185" s="5"/>
      <c r="Z185" s="5"/>
    </row>
    <row r="186" ht="12.75" customHeight="1">
      <c r="A186" s="18"/>
      <c r="B186" s="71"/>
      <c r="C186" s="72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79"/>
      <c r="Y186" s="5"/>
      <c r="Z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X187" si="37">SUM(E177:E186)</f>
        <v>1</v>
      </c>
      <c r="F187" s="13">
        <f t="shared" si="37"/>
        <v>1</v>
      </c>
      <c r="G187" s="13">
        <f t="shared" si="37"/>
        <v>1</v>
      </c>
      <c r="H187" s="13">
        <f t="shared" si="37"/>
        <v>1</v>
      </c>
      <c r="I187" s="13">
        <f t="shared" si="37"/>
        <v>3</v>
      </c>
      <c r="J187" s="13">
        <f t="shared" si="37"/>
        <v>4</v>
      </c>
      <c r="K187" s="13">
        <f t="shared" si="37"/>
        <v>1</v>
      </c>
      <c r="L187" s="13">
        <f t="shared" si="37"/>
        <v>2</v>
      </c>
      <c r="M187" s="13">
        <f t="shared" si="37"/>
        <v>3</v>
      </c>
      <c r="N187" s="13">
        <f t="shared" si="37"/>
        <v>3</v>
      </c>
      <c r="O187" s="13">
        <f t="shared" si="37"/>
        <v>2</v>
      </c>
      <c r="P187" s="13">
        <f t="shared" si="37"/>
        <v>1</v>
      </c>
      <c r="Q187" s="13">
        <f t="shared" si="37"/>
        <v>1</v>
      </c>
      <c r="R187" s="13">
        <f t="shared" si="37"/>
        <v>3</v>
      </c>
      <c r="S187" s="13">
        <f t="shared" si="37"/>
        <v>1</v>
      </c>
      <c r="T187" s="13">
        <f t="shared" si="37"/>
        <v>3</v>
      </c>
      <c r="U187" s="13">
        <f t="shared" si="37"/>
        <v>0</v>
      </c>
      <c r="V187" s="13">
        <f t="shared" si="37"/>
        <v>0</v>
      </c>
      <c r="W187" s="13">
        <f t="shared" si="37"/>
        <v>0</v>
      </c>
      <c r="X187" s="13">
        <f t="shared" si="37"/>
        <v>31</v>
      </c>
      <c r="Y187" s="1"/>
      <c r="Z187" s="1"/>
    </row>
    <row r="188" ht="12.75" customHeight="1">
      <c r="A188" s="24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X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1.0</v>
      </c>
      <c r="J189" s="19">
        <v>0.0</v>
      </c>
      <c r="K189" s="19">
        <v>1.0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/>
      <c r="U189" s="19"/>
      <c r="V189" s="19"/>
      <c r="W189" s="19">
        <v>1.0</v>
      </c>
      <c r="X189" s="13">
        <f t="shared" ref="X189:X196" si="38">SUM(E189:W189)</f>
        <v>3</v>
      </c>
      <c r="Y189" s="5"/>
      <c r="Z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1.0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1.0</v>
      </c>
      <c r="R190" s="19">
        <v>0.0</v>
      </c>
      <c r="S190" s="19">
        <v>0.0</v>
      </c>
      <c r="T190" s="19"/>
      <c r="U190" s="19"/>
      <c r="V190" s="19"/>
      <c r="W190" s="19"/>
      <c r="X190" s="13">
        <f t="shared" si="38"/>
        <v>2</v>
      </c>
      <c r="Y190" s="5"/>
      <c r="Z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/>
      <c r="U191" s="19"/>
      <c r="V191" s="19"/>
      <c r="W191" s="19"/>
      <c r="X191" s="13">
        <f t="shared" si="38"/>
        <v>0</v>
      </c>
      <c r="Y191" s="5"/>
      <c r="Z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/>
      <c r="U192" s="19"/>
      <c r="V192" s="19"/>
      <c r="W192" s="19"/>
      <c r="X192" s="13">
        <f t="shared" si="38"/>
        <v>0</v>
      </c>
      <c r="Y192" s="5"/>
      <c r="Z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/>
      <c r="U193" s="19"/>
      <c r="V193" s="19"/>
      <c r="W193" s="19"/>
      <c r="X193" s="13">
        <f t="shared" si="38"/>
        <v>0</v>
      </c>
      <c r="Y193" s="5"/>
      <c r="Z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1.0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/>
      <c r="U194" s="19"/>
      <c r="V194" s="19"/>
      <c r="W194" s="19"/>
      <c r="X194" s="13">
        <f t="shared" si="38"/>
        <v>1</v>
      </c>
      <c r="Y194" s="5"/>
      <c r="Z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/>
      <c r="U195" s="19"/>
      <c r="V195" s="19"/>
      <c r="W195" s="19"/>
      <c r="X195" s="13">
        <f t="shared" si="38"/>
        <v>0</v>
      </c>
      <c r="Y195" s="5"/>
      <c r="Z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/>
      <c r="U196" s="19"/>
      <c r="V196" s="19"/>
      <c r="W196" s="19"/>
      <c r="X196" s="13">
        <f t="shared" si="38"/>
        <v>0</v>
      </c>
      <c r="Y196" s="1"/>
      <c r="Z196" s="1"/>
    </row>
    <row r="197" ht="12.75" customHeight="1">
      <c r="A197" s="18"/>
      <c r="B197" s="71"/>
      <c r="C197" s="72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79"/>
      <c r="Y197" s="1"/>
      <c r="Z197" s="1"/>
    </row>
    <row r="198" ht="12.75" customHeight="1">
      <c r="A198" s="18"/>
      <c r="B198" s="71"/>
      <c r="C198" s="72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79"/>
      <c r="Y198" s="1"/>
      <c r="Z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X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3</v>
      </c>
      <c r="J199" s="13">
        <f t="shared" si="39"/>
        <v>0</v>
      </c>
      <c r="K199" s="13">
        <f t="shared" si="39"/>
        <v>1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1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1</v>
      </c>
      <c r="X199" s="13">
        <f t="shared" si="39"/>
        <v>6</v>
      </c>
      <c r="Y199" s="52"/>
      <c r="Z199" s="52"/>
    </row>
    <row r="200" ht="12.75" customHeight="1">
      <c r="A200" s="24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5"/>
      <c r="Z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8.0</v>
      </c>
      <c r="F201" s="19">
        <v>1.0</v>
      </c>
      <c r="G201" s="19">
        <v>2.0</v>
      </c>
      <c r="H201" s="19">
        <v>12.0</v>
      </c>
      <c r="I201" s="19">
        <v>4.0</v>
      </c>
      <c r="J201" s="19">
        <v>1.0</v>
      </c>
      <c r="K201" s="19">
        <v>4.0</v>
      </c>
      <c r="L201" s="19">
        <v>5.0</v>
      </c>
      <c r="M201" s="19">
        <v>5.0</v>
      </c>
      <c r="N201" s="19">
        <v>2.0</v>
      </c>
      <c r="O201" s="19">
        <v>5.0</v>
      </c>
      <c r="P201" s="19">
        <v>1.0</v>
      </c>
      <c r="Q201" s="19">
        <v>1.0</v>
      </c>
      <c r="R201" s="19">
        <v>0.0</v>
      </c>
      <c r="S201" s="19">
        <v>2.0</v>
      </c>
      <c r="T201" s="19">
        <v>3.0</v>
      </c>
      <c r="U201" s="19">
        <v>3.0</v>
      </c>
      <c r="V201" s="19">
        <v>3.0</v>
      </c>
      <c r="W201" s="19">
        <v>9.0</v>
      </c>
      <c r="X201" s="13">
        <f t="shared" ref="X201:X208" si="40">SUM(E201:W201)</f>
        <v>71</v>
      </c>
      <c r="Y201" s="5"/>
      <c r="Z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11.0</v>
      </c>
      <c r="F202" s="19">
        <v>4.0</v>
      </c>
      <c r="G202" s="19">
        <v>41.0</v>
      </c>
      <c r="H202" s="19">
        <v>82.0</v>
      </c>
      <c r="I202" s="19">
        <v>13.0</v>
      </c>
      <c r="J202" s="19">
        <v>3.0</v>
      </c>
      <c r="K202" s="19">
        <v>4.0</v>
      </c>
      <c r="L202" s="19">
        <v>4.0</v>
      </c>
      <c r="M202" s="19">
        <v>7.0</v>
      </c>
      <c r="N202" s="19">
        <v>6.0</v>
      </c>
      <c r="O202" s="19">
        <v>4.0</v>
      </c>
      <c r="P202" s="19">
        <v>2.0</v>
      </c>
      <c r="Q202" s="19">
        <v>4.0</v>
      </c>
      <c r="R202" s="19">
        <v>5.0</v>
      </c>
      <c r="S202" s="19">
        <v>5.0</v>
      </c>
      <c r="T202" s="19">
        <v>12.0</v>
      </c>
      <c r="U202" s="19">
        <v>2.0</v>
      </c>
      <c r="V202" s="19">
        <v>6.0</v>
      </c>
      <c r="W202" s="19">
        <v>4.0</v>
      </c>
      <c r="X202" s="13">
        <f t="shared" si="40"/>
        <v>219</v>
      </c>
      <c r="Y202" s="5"/>
      <c r="Z202" s="5"/>
    </row>
    <row r="203" ht="12.75" customHeight="1">
      <c r="A203" s="18"/>
      <c r="B203" s="55">
        <v>2.0</v>
      </c>
      <c r="C203" s="50" t="s">
        <v>149</v>
      </c>
      <c r="D203" s="57"/>
      <c r="E203" s="19">
        <v>2.0</v>
      </c>
      <c r="F203" s="19">
        <v>3.0</v>
      </c>
      <c r="G203" s="19">
        <v>1.0</v>
      </c>
      <c r="H203" s="19">
        <v>2.0</v>
      </c>
      <c r="I203" s="19">
        <v>0.0</v>
      </c>
      <c r="J203" s="19">
        <v>1.0</v>
      </c>
      <c r="K203" s="19">
        <v>0.0</v>
      </c>
      <c r="L203" s="19">
        <v>0.0</v>
      </c>
      <c r="M203" s="19">
        <v>0.0</v>
      </c>
      <c r="N203" s="19">
        <v>1.0</v>
      </c>
      <c r="O203" s="19">
        <v>4.0</v>
      </c>
      <c r="P203" s="19">
        <v>0.0</v>
      </c>
      <c r="Q203" s="19">
        <v>0.0</v>
      </c>
      <c r="R203" s="19">
        <v>0.0</v>
      </c>
      <c r="S203" s="19">
        <v>3.0</v>
      </c>
      <c r="T203" s="19">
        <v>12.0</v>
      </c>
      <c r="U203" s="19">
        <v>2.0</v>
      </c>
      <c r="V203" s="19">
        <v>0.0</v>
      </c>
      <c r="W203" s="19">
        <v>12.0</v>
      </c>
      <c r="X203" s="13">
        <f t="shared" si="40"/>
        <v>43</v>
      </c>
      <c r="Y203" s="5"/>
      <c r="Z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1.0</v>
      </c>
      <c r="G204" s="19">
        <v>0.0</v>
      </c>
      <c r="H204" s="19">
        <v>0.0</v>
      </c>
      <c r="I204" s="19">
        <v>0.0</v>
      </c>
      <c r="J204" s="19">
        <v>0.0</v>
      </c>
      <c r="K204" s="19">
        <v>1.0</v>
      </c>
      <c r="L204" s="19">
        <v>1.0</v>
      </c>
      <c r="M204" s="19">
        <v>0.0</v>
      </c>
      <c r="N204" s="19">
        <v>1.0</v>
      </c>
      <c r="O204" s="19">
        <v>2.0</v>
      </c>
      <c r="P204" s="19">
        <v>1.0</v>
      </c>
      <c r="Q204" s="19">
        <v>0.0</v>
      </c>
      <c r="R204" s="19">
        <v>1.0</v>
      </c>
      <c r="S204" s="19">
        <v>1.0</v>
      </c>
      <c r="T204" s="19">
        <v>2.0</v>
      </c>
      <c r="U204" s="19">
        <v>0.0</v>
      </c>
      <c r="V204" s="19">
        <v>1.0</v>
      </c>
      <c r="W204" s="19">
        <v>2.0</v>
      </c>
      <c r="X204" s="13">
        <f t="shared" si="40"/>
        <v>14</v>
      </c>
      <c r="Y204" s="5"/>
      <c r="Z204" s="5"/>
    </row>
    <row r="205" ht="12.75" customHeight="1">
      <c r="A205" s="18"/>
      <c r="B205" s="55">
        <v>4.0</v>
      </c>
      <c r="C205" s="50" t="s">
        <v>151</v>
      </c>
      <c r="D205" s="57"/>
      <c r="E205" s="19">
        <v>31.0</v>
      </c>
      <c r="F205" s="19">
        <v>3.0</v>
      </c>
      <c r="G205" s="19">
        <v>3.0</v>
      </c>
      <c r="H205" s="19">
        <v>2.0</v>
      </c>
      <c r="I205" s="19">
        <v>0.0</v>
      </c>
      <c r="J205" s="19">
        <v>1.0</v>
      </c>
      <c r="K205" s="19">
        <v>1.0</v>
      </c>
      <c r="L205" s="19">
        <v>1.0</v>
      </c>
      <c r="M205" s="19">
        <v>6.0</v>
      </c>
      <c r="N205" s="19">
        <v>4.0</v>
      </c>
      <c r="O205" s="19">
        <v>0.0</v>
      </c>
      <c r="P205" s="19">
        <v>0.0</v>
      </c>
      <c r="Q205" s="19">
        <v>1.0</v>
      </c>
      <c r="R205" s="19">
        <v>0.0</v>
      </c>
      <c r="S205" s="19">
        <v>0.0</v>
      </c>
      <c r="T205" s="19">
        <v>1.0</v>
      </c>
      <c r="U205" s="19">
        <v>1.0</v>
      </c>
      <c r="V205" s="19">
        <v>0.0</v>
      </c>
      <c r="W205" s="19">
        <v>0.0</v>
      </c>
      <c r="X205" s="13">
        <f t="shared" si="40"/>
        <v>55</v>
      </c>
      <c r="Y205" s="5"/>
      <c r="Z205" s="5"/>
    </row>
    <row r="206" ht="12.75" customHeight="1">
      <c r="A206" s="18"/>
      <c r="B206" s="55">
        <v>5.0</v>
      </c>
      <c r="C206" s="50" t="s">
        <v>152</v>
      </c>
      <c r="D206" s="57"/>
      <c r="E206" s="19">
        <v>1.0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1.0</v>
      </c>
      <c r="L206" s="19">
        <v>0.0</v>
      </c>
      <c r="M206" s="19">
        <v>1.0</v>
      </c>
      <c r="N206" s="19">
        <v>1.0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1.0</v>
      </c>
      <c r="X206" s="13">
        <f t="shared" si="40"/>
        <v>5</v>
      </c>
      <c r="Y206" s="5"/>
      <c r="Z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1.0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2.0</v>
      </c>
      <c r="X207" s="13">
        <f t="shared" si="40"/>
        <v>3</v>
      </c>
      <c r="Y207" s="1"/>
      <c r="Z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1.0</v>
      </c>
      <c r="J208" s="19">
        <v>0.0</v>
      </c>
      <c r="K208" s="19">
        <v>0.0</v>
      </c>
      <c r="L208" s="19">
        <v>0.0</v>
      </c>
      <c r="M208" s="19">
        <v>0.0</v>
      </c>
      <c r="N208" s="19">
        <v>1.0</v>
      </c>
      <c r="O208" s="19">
        <v>0.0</v>
      </c>
      <c r="P208" s="19">
        <v>0.0</v>
      </c>
      <c r="Q208" s="19">
        <v>2.0</v>
      </c>
      <c r="R208" s="19">
        <v>0.0</v>
      </c>
      <c r="S208" s="19">
        <v>0.0</v>
      </c>
      <c r="T208" s="19">
        <v>0.0</v>
      </c>
      <c r="U208" s="19">
        <v>1.0</v>
      </c>
      <c r="V208" s="19">
        <v>1.0</v>
      </c>
      <c r="W208" s="19">
        <v>0.0</v>
      </c>
      <c r="X208" s="13">
        <f t="shared" si="40"/>
        <v>6</v>
      </c>
      <c r="Y208" s="52"/>
      <c r="Z208" s="52"/>
    </row>
    <row r="209" ht="12.75" customHeight="1">
      <c r="A209" s="18"/>
      <c r="B209" s="71"/>
      <c r="C209" s="72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79"/>
      <c r="Y209" s="52"/>
      <c r="Z209" s="52"/>
    </row>
    <row r="210" ht="12.75" customHeight="1">
      <c r="A210" s="18"/>
      <c r="B210" s="71"/>
      <c r="C210" s="72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79"/>
      <c r="Y210" s="52"/>
      <c r="Z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X211" si="41">SUM(E201:E210)</f>
        <v>53</v>
      </c>
      <c r="F211" s="13">
        <f t="shared" si="41"/>
        <v>12</v>
      </c>
      <c r="G211" s="13">
        <f t="shared" si="41"/>
        <v>47</v>
      </c>
      <c r="H211" s="13">
        <f t="shared" si="41"/>
        <v>98</v>
      </c>
      <c r="I211" s="13">
        <f t="shared" si="41"/>
        <v>18</v>
      </c>
      <c r="J211" s="13">
        <f t="shared" si="41"/>
        <v>6</v>
      </c>
      <c r="K211" s="13">
        <f t="shared" si="41"/>
        <v>11</v>
      </c>
      <c r="L211" s="13">
        <f t="shared" si="41"/>
        <v>11</v>
      </c>
      <c r="M211" s="13">
        <f t="shared" si="41"/>
        <v>19</v>
      </c>
      <c r="N211" s="13">
        <f t="shared" si="41"/>
        <v>17</v>
      </c>
      <c r="O211" s="13">
        <f t="shared" si="41"/>
        <v>15</v>
      </c>
      <c r="P211" s="13">
        <f t="shared" si="41"/>
        <v>4</v>
      </c>
      <c r="Q211" s="13">
        <f t="shared" si="41"/>
        <v>8</v>
      </c>
      <c r="R211" s="13">
        <f t="shared" si="41"/>
        <v>6</v>
      </c>
      <c r="S211" s="13">
        <f t="shared" si="41"/>
        <v>11</v>
      </c>
      <c r="T211" s="13">
        <f t="shared" si="41"/>
        <v>30</v>
      </c>
      <c r="U211" s="13">
        <f t="shared" si="41"/>
        <v>9</v>
      </c>
      <c r="V211" s="13">
        <f t="shared" si="41"/>
        <v>11</v>
      </c>
      <c r="W211" s="13">
        <f t="shared" si="41"/>
        <v>30</v>
      </c>
      <c r="X211" s="13">
        <f t="shared" si="41"/>
        <v>416</v>
      </c>
      <c r="Y211" s="5"/>
      <c r="Z211" s="5"/>
    </row>
    <row r="212" ht="12.75" customHeight="1">
      <c r="A212" s="24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5"/>
      <c r="Z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2.0</v>
      </c>
      <c r="F213" s="19">
        <v>1.0</v>
      </c>
      <c r="G213" s="19">
        <v>1.0</v>
      </c>
      <c r="H213" s="19">
        <v>3.0</v>
      </c>
      <c r="I213" s="19">
        <v>1.0</v>
      </c>
      <c r="J213" s="19">
        <v>0.0</v>
      </c>
      <c r="K213" s="19">
        <v>1.0</v>
      </c>
      <c r="L213" s="19">
        <v>0.0</v>
      </c>
      <c r="M213" s="19">
        <v>2.0</v>
      </c>
      <c r="N213" s="19">
        <v>0.0</v>
      </c>
      <c r="O213" s="19">
        <v>1.0</v>
      </c>
      <c r="P213" s="19">
        <v>1.0</v>
      </c>
      <c r="Q213" s="19">
        <v>7.0</v>
      </c>
      <c r="R213" s="19">
        <v>3.0</v>
      </c>
      <c r="S213" s="19">
        <v>3.0</v>
      </c>
      <c r="T213" s="19">
        <v>3.0</v>
      </c>
      <c r="U213" s="19">
        <v>7.0</v>
      </c>
      <c r="V213" s="19">
        <v>0.0</v>
      </c>
      <c r="W213" s="19">
        <v>0.0</v>
      </c>
      <c r="X213" s="13">
        <f t="shared" ref="X213:X220" si="42">SUM(E213:W213)</f>
        <v>36</v>
      </c>
      <c r="Y213" s="5"/>
      <c r="Z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1.0</v>
      </c>
      <c r="F214" s="19">
        <v>0.0</v>
      </c>
      <c r="G214" s="19">
        <v>0.0</v>
      </c>
      <c r="H214" s="19">
        <v>1.0</v>
      </c>
      <c r="I214" s="19">
        <v>0.0</v>
      </c>
      <c r="J214" s="19">
        <v>0.0</v>
      </c>
      <c r="K214" s="19">
        <v>1.0</v>
      </c>
      <c r="L214" s="19">
        <v>2.0</v>
      </c>
      <c r="M214" s="19">
        <v>2.0</v>
      </c>
      <c r="N214" s="19">
        <v>1.0</v>
      </c>
      <c r="O214" s="19">
        <v>0.0</v>
      </c>
      <c r="P214" s="19">
        <v>0.0</v>
      </c>
      <c r="Q214" s="19">
        <v>4.0</v>
      </c>
      <c r="R214" s="19">
        <v>0.0</v>
      </c>
      <c r="S214" s="19">
        <v>0.0</v>
      </c>
      <c r="T214" s="19">
        <v>1.0</v>
      </c>
      <c r="U214" s="19">
        <v>1.0</v>
      </c>
      <c r="V214" s="19">
        <v>0.0</v>
      </c>
      <c r="W214" s="19">
        <v>0.0</v>
      </c>
      <c r="X214" s="13">
        <f t="shared" si="42"/>
        <v>14</v>
      </c>
      <c r="Y214" s="5"/>
      <c r="Z214" s="5"/>
    </row>
    <row r="215" ht="12.75" customHeight="1">
      <c r="A215" s="18"/>
      <c r="B215" s="55">
        <v>2.0</v>
      </c>
      <c r="C215" s="50" t="s">
        <v>158</v>
      </c>
      <c r="D215" s="56"/>
      <c r="E215" s="19">
        <v>0.0</v>
      </c>
      <c r="F215" s="19">
        <v>1.0</v>
      </c>
      <c r="G215" s="19">
        <v>3.0</v>
      </c>
      <c r="H215" s="19">
        <v>0.0</v>
      </c>
      <c r="I215" s="19">
        <v>1.0</v>
      </c>
      <c r="J215" s="19">
        <v>0.0</v>
      </c>
      <c r="K215" s="19">
        <v>1.0</v>
      </c>
      <c r="L215" s="19">
        <v>0.0</v>
      </c>
      <c r="M215" s="19">
        <v>0.0</v>
      </c>
      <c r="N215" s="19">
        <v>1.0</v>
      </c>
      <c r="O215" s="19">
        <v>1.0</v>
      </c>
      <c r="P215" s="19">
        <v>0.0</v>
      </c>
      <c r="Q215" s="19">
        <v>0.0</v>
      </c>
      <c r="R215" s="19">
        <v>1.0</v>
      </c>
      <c r="S215" s="19">
        <v>1.0</v>
      </c>
      <c r="T215" s="19">
        <v>1.0</v>
      </c>
      <c r="U215" s="19">
        <v>1.0</v>
      </c>
      <c r="V215" s="19">
        <v>0.0</v>
      </c>
      <c r="W215" s="19">
        <v>0.0</v>
      </c>
      <c r="X215" s="13">
        <f t="shared" si="42"/>
        <v>12</v>
      </c>
      <c r="Y215" s="5"/>
      <c r="Z215" s="5"/>
    </row>
    <row r="216" ht="12.75" customHeight="1">
      <c r="A216" s="18"/>
      <c r="B216" s="55">
        <v>3.0</v>
      </c>
      <c r="C216" s="61" t="s">
        <v>159</v>
      </c>
      <c r="E216" s="19">
        <v>1.0</v>
      </c>
      <c r="F216" s="19">
        <v>0.0</v>
      </c>
      <c r="G216" s="19">
        <v>0.0</v>
      </c>
      <c r="H216" s="19">
        <v>0.0</v>
      </c>
      <c r="I216" s="19">
        <v>0.0</v>
      </c>
      <c r="J216" s="19">
        <v>1.0</v>
      </c>
      <c r="K216" s="19">
        <v>2.0</v>
      </c>
      <c r="L216" s="19">
        <v>0.0</v>
      </c>
      <c r="M216" s="19">
        <v>1.0</v>
      </c>
      <c r="N216" s="19">
        <v>0.0</v>
      </c>
      <c r="O216" s="19">
        <v>0.0</v>
      </c>
      <c r="P216" s="19">
        <v>0.0</v>
      </c>
      <c r="Q216" s="19">
        <v>1.0</v>
      </c>
      <c r="R216" s="19">
        <v>1.0</v>
      </c>
      <c r="S216" s="19">
        <v>0.0</v>
      </c>
      <c r="T216" s="19">
        <v>0.0</v>
      </c>
      <c r="U216" s="19">
        <v>0.0</v>
      </c>
      <c r="V216" s="19">
        <v>0.0</v>
      </c>
      <c r="W216" s="19">
        <v>0.0</v>
      </c>
      <c r="X216" s="13">
        <f t="shared" si="42"/>
        <v>7</v>
      </c>
      <c r="Y216" s="5"/>
      <c r="Z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1.0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1.0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3">
        <f t="shared" si="42"/>
        <v>2</v>
      </c>
      <c r="Y217" s="5"/>
      <c r="Z217" s="5"/>
    </row>
    <row r="218" ht="12.75" customHeight="1">
      <c r="A218" s="18"/>
      <c r="B218" s="55">
        <v>5.0</v>
      </c>
      <c r="C218" s="50" t="s">
        <v>161</v>
      </c>
      <c r="D218" s="56"/>
      <c r="E218" s="19">
        <v>1.0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3">
        <f t="shared" si="42"/>
        <v>1</v>
      </c>
      <c r="Y218" s="1"/>
      <c r="Z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1.0</v>
      </c>
      <c r="G219" s="19">
        <v>1.0</v>
      </c>
      <c r="H219" s="19">
        <v>1.0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1.0</v>
      </c>
      <c r="P219" s="19">
        <v>0.0</v>
      </c>
      <c r="Q219" s="19">
        <v>0.0</v>
      </c>
      <c r="R219" s="19">
        <v>0.0</v>
      </c>
      <c r="S219" s="19">
        <v>0.0</v>
      </c>
      <c r="T219" s="19">
        <v>1.0</v>
      </c>
      <c r="U219" s="19">
        <v>0.0</v>
      </c>
      <c r="V219" s="19">
        <v>0.0</v>
      </c>
      <c r="W219" s="19">
        <v>0.0</v>
      </c>
      <c r="X219" s="13">
        <f t="shared" si="42"/>
        <v>5</v>
      </c>
      <c r="Y219" s="52"/>
      <c r="Z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1.0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3">
        <f t="shared" si="42"/>
        <v>1</v>
      </c>
      <c r="Y220" s="5"/>
      <c r="Z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79"/>
      <c r="Y221" s="5"/>
      <c r="Z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79"/>
      <c r="Y222" s="5"/>
      <c r="Z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X223" si="43">SUM(E213:E222)</f>
        <v>5</v>
      </c>
      <c r="F223" s="13">
        <f t="shared" si="43"/>
        <v>4</v>
      </c>
      <c r="G223" s="13">
        <f t="shared" si="43"/>
        <v>5</v>
      </c>
      <c r="H223" s="13">
        <f t="shared" si="43"/>
        <v>5</v>
      </c>
      <c r="I223" s="13">
        <f t="shared" si="43"/>
        <v>2</v>
      </c>
      <c r="J223" s="13">
        <f t="shared" si="43"/>
        <v>1</v>
      </c>
      <c r="K223" s="13">
        <f t="shared" si="43"/>
        <v>6</v>
      </c>
      <c r="L223" s="13">
        <f t="shared" si="43"/>
        <v>2</v>
      </c>
      <c r="M223" s="13">
        <f t="shared" si="43"/>
        <v>5</v>
      </c>
      <c r="N223" s="13">
        <f t="shared" si="43"/>
        <v>2</v>
      </c>
      <c r="O223" s="13">
        <f t="shared" si="43"/>
        <v>3</v>
      </c>
      <c r="P223" s="13">
        <f t="shared" si="43"/>
        <v>1</v>
      </c>
      <c r="Q223" s="13">
        <f t="shared" si="43"/>
        <v>13</v>
      </c>
      <c r="R223" s="13">
        <f t="shared" si="43"/>
        <v>5</v>
      </c>
      <c r="S223" s="13">
        <f t="shared" si="43"/>
        <v>4</v>
      </c>
      <c r="T223" s="13">
        <f t="shared" si="43"/>
        <v>6</v>
      </c>
      <c r="U223" s="13">
        <f t="shared" si="43"/>
        <v>9</v>
      </c>
      <c r="V223" s="13">
        <f t="shared" si="43"/>
        <v>0</v>
      </c>
      <c r="W223" s="13">
        <f t="shared" si="43"/>
        <v>0</v>
      </c>
      <c r="X223" s="13">
        <f t="shared" si="43"/>
        <v>78</v>
      </c>
      <c r="Y223" s="5"/>
      <c r="Z223" s="5"/>
    </row>
    <row r="224" ht="12.75" customHeight="1">
      <c r="A224" s="24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5"/>
      <c r="Z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1.0</v>
      </c>
      <c r="J225" s="19">
        <v>0.0</v>
      </c>
      <c r="K225" s="19">
        <v>1.0</v>
      </c>
      <c r="L225" s="19">
        <v>0.0</v>
      </c>
      <c r="M225" s="19">
        <v>1.0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2.0</v>
      </c>
      <c r="T225" s="19">
        <v>0.0</v>
      </c>
      <c r="U225" s="19">
        <v>0.0</v>
      </c>
      <c r="V225" s="19">
        <v>0.0</v>
      </c>
      <c r="W225" s="19">
        <v>0.0</v>
      </c>
      <c r="X225" s="13">
        <f t="shared" ref="X225:X232" si="44">SUM(E225:W225)</f>
        <v>5</v>
      </c>
      <c r="Y225" s="5"/>
      <c r="Z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0.0</v>
      </c>
      <c r="H226" s="19">
        <v>0.0</v>
      </c>
      <c r="I226" s="19">
        <v>1.0</v>
      </c>
      <c r="J226" s="19">
        <v>0.0</v>
      </c>
      <c r="K226" s="19">
        <v>2.0</v>
      </c>
      <c r="L226" s="19">
        <v>0.0</v>
      </c>
      <c r="M226" s="19">
        <v>0.0</v>
      </c>
      <c r="N226" s="19">
        <v>0.0</v>
      </c>
      <c r="O226" s="19">
        <v>1.0</v>
      </c>
      <c r="P226" s="19">
        <v>0.0</v>
      </c>
      <c r="Q226" s="19">
        <v>0.0</v>
      </c>
      <c r="R226" s="19">
        <v>1.0</v>
      </c>
      <c r="S226" s="19">
        <v>0.0</v>
      </c>
      <c r="T226" s="19">
        <v>0.0</v>
      </c>
      <c r="U226" s="19">
        <v>2.0</v>
      </c>
      <c r="V226" s="19">
        <v>0.0</v>
      </c>
      <c r="W226" s="19">
        <v>0.0</v>
      </c>
      <c r="X226" s="13">
        <f t="shared" si="44"/>
        <v>7</v>
      </c>
      <c r="Y226" s="5"/>
      <c r="Z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3">
        <f t="shared" si="44"/>
        <v>0</v>
      </c>
      <c r="Y227" s="5"/>
      <c r="Z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1.0</v>
      </c>
      <c r="T228" s="19">
        <v>0.0</v>
      </c>
      <c r="U228" s="19">
        <v>0.0</v>
      </c>
      <c r="V228" s="19">
        <v>1.0</v>
      </c>
      <c r="W228" s="19">
        <v>0.0</v>
      </c>
      <c r="X228" s="13">
        <f t="shared" si="44"/>
        <v>2</v>
      </c>
      <c r="Y228" s="5"/>
      <c r="Z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1.0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3">
        <f t="shared" si="44"/>
        <v>1</v>
      </c>
      <c r="Y229" s="1"/>
      <c r="Z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1.0</v>
      </c>
      <c r="X230" s="13">
        <f t="shared" si="44"/>
        <v>1</v>
      </c>
      <c r="Y230" s="52"/>
      <c r="Z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3">
        <f t="shared" si="44"/>
        <v>0</v>
      </c>
      <c r="Y231" s="5"/>
      <c r="Z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1.0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1.0</v>
      </c>
      <c r="U232" s="19">
        <v>0.0</v>
      </c>
      <c r="V232" s="19">
        <v>0.0</v>
      </c>
      <c r="W232" s="19">
        <v>0.0</v>
      </c>
      <c r="X232" s="13">
        <f t="shared" si="44"/>
        <v>2</v>
      </c>
      <c r="Y232" s="5"/>
      <c r="Z232" s="5"/>
    </row>
    <row r="233" ht="12.75" customHeight="1">
      <c r="A233" s="18"/>
      <c r="B233" s="71"/>
      <c r="C233" s="72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79"/>
      <c r="Y233" s="5"/>
      <c r="Z233" s="5"/>
    </row>
    <row r="234" ht="12.75" customHeight="1">
      <c r="A234" s="18"/>
      <c r="B234" s="71"/>
      <c r="C234" s="72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79"/>
      <c r="Y234" s="5"/>
      <c r="Z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X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2</v>
      </c>
      <c r="J235" s="13">
        <f t="shared" si="45"/>
        <v>0</v>
      </c>
      <c r="K235" s="13">
        <f t="shared" si="45"/>
        <v>4</v>
      </c>
      <c r="L235" s="13">
        <f t="shared" si="45"/>
        <v>0</v>
      </c>
      <c r="M235" s="13">
        <f t="shared" si="45"/>
        <v>1</v>
      </c>
      <c r="N235" s="13">
        <f t="shared" si="45"/>
        <v>0</v>
      </c>
      <c r="O235" s="13">
        <f t="shared" si="45"/>
        <v>2</v>
      </c>
      <c r="P235" s="13">
        <f t="shared" si="45"/>
        <v>0</v>
      </c>
      <c r="Q235" s="13">
        <f t="shared" si="45"/>
        <v>0</v>
      </c>
      <c r="R235" s="13">
        <f t="shared" si="45"/>
        <v>1</v>
      </c>
      <c r="S235" s="13">
        <f t="shared" si="45"/>
        <v>3</v>
      </c>
      <c r="T235" s="13">
        <f t="shared" si="45"/>
        <v>1</v>
      </c>
      <c r="U235" s="13">
        <f t="shared" si="45"/>
        <v>2</v>
      </c>
      <c r="V235" s="13">
        <f t="shared" si="45"/>
        <v>1</v>
      </c>
      <c r="W235" s="13">
        <f t="shared" si="45"/>
        <v>1</v>
      </c>
      <c r="X235" s="13">
        <f t="shared" si="45"/>
        <v>18</v>
      </c>
      <c r="Y235" s="5"/>
      <c r="Z235" s="5"/>
    </row>
    <row r="236" ht="12.75" customHeight="1">
      <c r="A236" s="24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5"/>
      <c r="Z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3.0</v>
      </c>
      <c r="F237" s="19">
        <v>2.0</v>
      </c>
      <c r="G237" s="19">
        <v>0.0</v>
      </c>
      <c r="H237" s="19">
        <v>0.0</v>
      </c>
      <c r="I237" s="19">
        <v>1.0</v>
      </c>
      <c r="J237" s="19">
        <v>1.0</v>
      </c>
      <c r="K237" s="19">
        <v>0.0</v>
      </c>
      <c r="L237" s="19">
        <v>2.0</v>
      </c>
      <c r="M237" s="19">
        <v>1.0</v>
      </c>
      <c r="N237" s="19">
        <v>1.0</v>
      </c>
      <c r="O237" s="19">
        <v>1.0</v>
      </c>
      <c r="P237" s="19">
        <v>1.0</v>
      </c>
      <c r="Q237" s="19">
        <v>0.0</v>
      </c>
      <c r="R237" s="19">
        <v>0.0</v>
      </c>
      <c r="S237" s="19">
        <v>1.0</v>
      </c>
      <c r="T237" s="19">
        <v>0.0</v>
      </c>
      <c r="U237" s="19">
        <v>0.0</v>
      </c>
      <c r="V237" s="19">
        <v>0.0</v>
      </c>
      <c r="W237" s="19">
        <v>1.0</v>
      </c>
      <c r="X237" s="13">
        <f t="shared" ref="X237:X244" si="46">SUM(E237:W237)</f>
        <v>15</v>
      </c>
      <c r="Y237" s="5"/>
      <c r="Z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3.0</v>
      </c>
      <c r="F238" s="19">
        <v>5.0</v>
      </c>
      <c r="G238" s="19">
        <v>0.0</v>
      </c>
      <c r="H238" s="19">
        <v>1.0</v>
      </c>
      <c r="I238" s="19">
        <v>0.0</v>
      </c>
      <c r="J238" s="19">
        <v>0.0</v>
      </c>
      <c r="K238" s="19">
        <v>1.0</v>
      </c>
      <c r="L238" s="19">
        <v>0.0</v>
      </c>
      <c r="M238" s="19">
        <v>1.0</v>
      </c>
      <c r="N238" s="19">
        <v>1.0</v>
      </c>
      <c r="O238" s="19">
        <v>0.0</v>
      </c>
      <c r="P238" s="19">
        <v>0.0</v>
      </c>
      <c r="Q238" s="19">
        <v>0.0</v>
      </c>
      <c r="R238" s="19">
        <v>0.0</v>
      </c>
      <c r="S238" s="19">
        <v>0.0</v>
      </c>
      <c r="T238" s="19">
        <v>0.0</v>
      </c>
      <c r="U238" s="19">
        <v>0.0</v>
      </c>
      <c r="V238" s="19">
        <v>0.0</v>
      </c>
      <c r="W238" s="19">
        <v>0.0</v>
      </c>
      <c r="X238" s="13">
        <f t="shared" si="46"/>
        <v>12</v>
      </c>
      <c r="Y238" s="5"/>
      <c r="Z238" s="5"/>
    </row>
    <row r="239" ht="12.75" customHeight="1">
      <c r="A239" s="18"/>
      <c r="B239" s="55">
        <v>2.0</v>
      </c>
      <c r="C239" s="50" t="s">
        <v>176</v>
      </c>
      <c r="D239" s="57"/>
      <c r="E239" s="19">
        <v>1.0</v>
      </c>
      <c r="F239" s="19">
        <v>1.0</v>
      </c>
      <c r="G239" s="19">
        <v>0.0</v>
      </c>
      <c r="H239" s="19">
        <v>0.0</v>
      </c>
      <c r="I239" s="19">
        <v>2.0</v>
      </c>
      <c r="J239" s="19">
        <v>0.0</v>
      </c>
      <c r="K239" s="19">
        <v>0.0</v>
      </c>
      <c r="L239" s="19">
        <v>1.0</v>
      </c>
      <c r="M239" s="19">
        <v>1.0</v>
      </c>
      <c r="N239" s="19">
        <v>0.0</v>
      </c>
      <c r="O239" s="19">
        <v>0.0</v>
      </c>
      <c r="P239" s="19">
        <v>0.0</v>
      </c>
      <c r="Q239" s="19">
        <v>0.0</v>
      </c>
      <c r="R239" s="19">
        <v>3.0</v>
      </c>
      <c r="S239" s="19">
        <v>0.0</v>
      </c>
      <c r="T239" s="19">
        <v>0.0</v>
      </c>
      <c r="U239" s="19">
        <v>1.0</v>
      </c>
      <c r="V239" s="19">
        <v>0.0</v>
      </c>
      <c r="W239" s="19">
        <v>3.0</v>
      </c>
      <c r="X239" s="13">
        <f t="shared" si="46"/>
        <v>13</v>
      </c>
      <c r="Y239" s="5"/>
      <c r="Z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1.0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1.0</v>
      </c>
      <c r="T240" s="19">
        <v>0.0</v>
      </c>
      <c r="U240" s="19">
        <v>0.0</v>
      </c>
      <c r="V240" s="19">
        <v>0.0</v>
      </c>
      <c r="W240" s="19">
        <v>0.0</v>
      </c>
      <c r="X240" s="13">
        <f t="shared" si="46"/>
        <v>2</v>
      </c>
      <c r="Y240" s="1"/>
      <c r="Z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1.0</v>
      </c>
      <c r="J241" s="19">
        <v>0.0</v>
      </c>
      <c r="K241" s="19">
        <v>0.0</v>
      </c>
      <c r="L241" s="19">
        <v>0.0</v>
      </c>
      <c r="M241" s="19">
        <v>0.0</v>
      </c>
      <c r="N241" s="19">
        <v>1.0</v>
      </c>
      <c r="O241" s="19">
        <v>0.0</v>
      </c>
      <c r="P241" s="19">
        <v>0.0</v>
      </c>
      <c r="Q241" s="19">
        <v>0.0</v>
      </c>
      <c r="R241" s="19">
        <v>0.0</v>
      </c>
      <c r="S241" s="19">
        <v>3.0</v>
      </c>
      <c r="T241" s="19">
        <v>0.0</v>
      </c>
      <c r="U241" s="19">
        <v>0.0</v>
      </c>
      <c r="V241" s="19">
        <v>0.0</v>
      </c>
      <c r="W241" s="19">
        <v>0.0</v>
      </c>
      <c r="X241" s="13">
        <f t="shared" si="46"/>
        <v>5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1.0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1.0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3">
        <f t="shared" si="46"/>
        <v>2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1.0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3">
        <f t="shared" si="46"/>
        <v>1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2.0</v>
      </c>
      <c r="G244" s="19">
        <v>0.0</v>
      </c>
      <c r="H244" s="19">
        <v>1.0</v>
      </c>
      <c r="I244" s="19">
        <v>0.0</v>
      </c>
      <c r="J244" s="19">
        <v>0.0</v>
      </c>
      <c r="K244" s="19">
        <v>0.0</v>
      </c>
      <c r="L244" s="19">
        <v>2.0</v>
      </c>
      <c r="M244" s="19">
        <v>3.0</v>
      </c>
      <c r="N244" s="19">
        <v>0.0</v>
      </c>
      <c r="O244" s="19">
        <v>0.0</v>
      </c>
      <c r="P244" s="19">
        <v>0.0</v>
      </c>
      <c r="Q244" s="19">
        <v>0.0</v>
      </c>
      <c r="R244" s="19">
        <v>3.0</v>
      </c>
      <c r="S244" s="19">
        <v>1.0</v>
      </c>
      <c r="T244" s="19">
        <v>2.0</v>
      </c>
      <c r="U244" s="19">
        <v>1.0</v>
      </c>
      <c r="V244" s="19">
        <v>0.0</v>
      </c>
      <c r="W244" s="19">
        <v>0.0</v>
      </c>
      <c r="X244" s="13">
        <f t="shared" si="46"/>
        <v>15</v>
      </c>
    </row>
    <row r="245" ht="12.75" customHeight="1">
      <c r="A245" s="18"/>
      <c r="B245" s="71"/>
      <c r="C245" s="72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79"/>
    </row>
    <row r="246" ht="12.75" customHeight="1">
      <c r="A246" s="18"/>
      <c r="B246" s="71"/>
      <c r="C246" s="72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79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X247" si="47">SUM(E237:E246)</f>
        <v>7</v>
      </c>
      <c r="F247" s="13">
        <f t="shared" si="47"/>
        <v>11</v>
      </c>
      <c r="G247" s="13">
        <f t="shared" si="47"/>
        <v>0</v>
      </c>
      <c r="H247" s="13">
        <f t="shared" si="47"/>
        <v>2</v>
      </c>
      <c r="I247" s="13">
        <f t="shared" si="47"/>
        <v>4</v>
      </c>
      <c r="J247" s="13">
        <f t="shared" si="47"/>
        <v>1</v>
      </c>
      <c r="K247" s="13">
        <f t="shared" si="47"/>
        <v>1</v>
      </c>
      <c r="L247" s="13">
        <f t="shared" si="47"/>
        <v>6</v>
      </c>
      <c r="M247" s="13">
        <f t="shared" si="47"/>
        <v>7</v>
      </c>
      <c r="N247" s="13">
        <f t="shared" si="47"/>
        <v>4</v>
      </c>
      <c r="O247" s="13">
        <f t="shared" si="47"/>
        <v>1</v>
      </c>
      <c r="P247" s="13">
        <f t="shared" si="47"/>
        <v>1</v>
      </c>
      <c r="Q247" s="13">
        <f t="shared" si="47"/>
        <v>0</v>
      </c>
      <c r="R247" s="13">
        <f t="shared" si="47"/>
        <v>6</v>
      </c>
      <c r="S247" s="13">
        <f t="shared" si="47"/>
        <v>6</v>
      </c>
      <c r="T247" s="13">
        <f t="shared" si="47"/>
        <v>2</v>
      </c>
      <c r="U247" s="13">
        <f t="shared" si="47"/>
        <v>2</v>
      </c>
      <c r="V247" s="13">
        <f t="shared" si="47"/>
        <v>0</v>
      </c>
      <c r="W247" s="13">
        <f t="shared" si="47"/>
        <v>4</v>
      </c>
      <c r="X247" s="13">
        <f t="shared" si="47"/>
        <v>65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1.0</v>
      </c>
      <c r="G249" s="19">
        <v>0.0</v>
      </c>
      <c r="H249" s="19">
        <v>0.0</v>
      </c>
      <c r="I249" s="19">
        <v>1.0</v>
      </c>
      <c r="J249" s="19">
        <v>1.0</v>
      </c>
      <c r="K249" s="19">
        <v>0.0</v>
      </c>
      <c r="L249" s="19">
        <v>0.0</v>
      </c>
      <c r="M249" s="19">
        <v>0.0</v>
      </c>
      <c r="N249" s="19">
        <v>0.0</v>
      </c>
      <c r="O249" s="19">
        <v>1.0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3">
        <f t="shared" ref="X249:X255" si="48">SUM(E249:W249)</f>
        <v>4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2.0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2.0</v>
      </c>
      <c r="P250" s="19">
        <v>0.0</v>
      </c>
      <c r="Q250" s="19">
        <v>1.0</v>
      </c>
      <c r="R250" s="19">
        <v>1.0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3">
        <f t="shared" si="48"/>
        <v>6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2.0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1.0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3">
        <f t="shared" si="48"/>
        <v>3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3">
        <f t="shared" si="48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1.0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1.0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3">
        <f t="shared" si="48"/>
        <v>2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1.0</v>
      </c>
      <c r="X255" s="13">
        <f t="shared" si="48"/>
        <v>1</v>
      </c>
    </row>
    <row r="256" ht="12.75" customHeight="1">
      <c r="A256" s="18"/>
      <c r="B256" s="71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79"/>
    </row>
    <row r="257" ht="12.75" customHeight="1">
      <c r="A257" s="18"/>
      <c r="B257" s="71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79"/>
    </row>
    <row r="258" ht="12.75" customHeight="1">
      <c r="A258" s="18"/>
      <c r="B258" s="71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79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X259" si="49">SUM(E249:E258)</f>
        <v>2</v>
      </c>
      <c r="F259" s="13">
        <f t="shared" si="49"/>
        <v>3</v>
      </c>
      <c r="G259" s="13">
        <f t="shared" si="49"/>
        <v>0</v>
      </c>
      <c r="H259" s="13">
        <f t="shared" si="49"/>
        <v>0</v>
      </c>
      <c r="I259" s="13">
        <f t="shared" si="49"/>
        <v>2</v>
      </c>
      <c r="J259" s="13">
        <f t="shared" si="49"/>
        <v>1</v>
      </c>
      <c r="K259" s="13">
        <f t="shared" si="49"/>
        <v>1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4</v>
      </c>
      <c r="P259" s="13">
        <f t="shared" si="49"/>
        <v>0</v>
      </c>
      <c r="Q259" s="13">
        <f t="shared" si="49"/>
        <v>1</v>
      </c>
      <c r="R259" s="13">
        <f t="shared" si="49"/>
        <v>1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0</v>
      </c>
      <c r="W259" s="13">
        <f t="shared" si="49"/>
        <v>1</v>
      </c>
      <c r="X259" s="13">
        <f t="shared" si="49"/>
        <v>16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W262" si="50">E55+E67+E79+E91+E103+E115+E127+E139+E151+E163+E175+E187+E199+E211+E223+E235+E247+E259</f>
        <v>210</v>
      </c>
      <c r="F262" s="19">
        <f t="shared" si="50"/>
        <v>218</v>
      </c>
      <c r="G262" s="19">
        <f t="shared" si="50"/>
        <v>214</v>
      </c>
      <c r="H262" s="19">
        <f t="shared" si="50"/>
        <v>215</v>
      </c>
      <c r="I262" s="19">
        <f t="shared" si="50"/>
        <v>190</v>
      </c>
      <c r="J262" s="19">
        <f t="shared" si="50"/>
        <v>193</v>
      </c>
      <c r="K262" s="19">
        <f t="shared" si="50"/>
        <v>195</v>
      </c>
      <c r="L262" s="19">
        <f t="shared" si="50"/>
        <v>173</v>
      </c>
      <c r="M262" s="19">
        <f t="shared" si="50"/>
        <v>204</v>
      </c>
      <c r="N262" s="19">
        <f t="shared" si="50"/>
        <v>202</v>
      </c>
      <c r="O262" s="19">
        <f t="shared" si="50"/>
        <v>180</v>
      </c>
      <c r="P262" s="19">
        <f t="shared" si="50"/>
        <v>169</v>
      </c>
      <c r="Q262" s="19">
        <f t="shared" si="50"/>
        <v>201</v>
      </c>
      <c r="R262" s="19">
        <f t="shared" si="50"/>
        <v>151</v>
      </c>
      <c r="S262" s="19">
        <f t="shared" si="50"/>
        <v>180</v>
      </c>
      <c r="T262" s="19">
        <f t="shared" si="50"/>
        <v>188</v>
      </c>
      <c r="U262" s="19">
        <f t="shared" si="50"/>
        <v>179</v>
      </c>
      <c r="V262" s="19">
        <f t="shared" si="50"/>
        <v>171</v>
      </c>
      <c r="W262" s="19">
        <f t="shared" si="50"/>
        <v>158</v>
      </c>
      <c r="X262" s="13">
        <f t="shared" ref="X262:X264" si="51">SUM(E262:W262)</f>
        <v>3591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10.0</v>
      </c>
      <c r="F263" s="19">
        <v>13.0</v>
      </c>
      <c r="G263" s="19">
        <v>18.0</v>
      </c>
      <c r="H263" s="19">
        <v>21.0</v>
      </c>
      <c r="I263" s="19">
        <v>21.0</v>
      </c>
      <c r="J263" s="19">
        <v>34.0</v>
      </c>
      <c r="K263" s="19">
        <v>30.0</v>
      </c>
      <c r="L263" s="19">
        <v>22.0</v>
      </c>
      <c r="M263" s="19">
        <v>29.0</v>
      </c>
      <c r="N263" s="19">
        <v>16.0</v>
      </c>
      <c r="O263" s="19">
        <v>28.0</v>
      </c>
      <c r="P263" s="19">
        <v>16.0</v>
      </c>
      <c r="Q263" s="19">
        <v>19.0</v>
      </c>
      <c r="R263" s="19">
        <v>24.0</v>
      </c>
      <c r="S263" s="19">
        <v>30.0</v>
      </c>
      <c r="T263" s="19">
        <v>17.0</v>
      </c>
      <c r="U263" s="19">
        <v>19.0</v>
      </c>
      <c r="V263" s="19">
        <v>10.0</v>
      </c>
      <c r="W263" s="19">
        <v>28.0</v>
      </c>
      <c r="X263" s="13">
        <f t="shared" si="51"/>
        <v>405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W264" si="52">SUM(E262:E263)</f>
        <v>220</v>
      </c>
      <c r="F264" s="13">
        <f t="shared" si="52"/>
        <v>231</v>
      </c>
      <c r="G264" s="13">
        <f t="shared" si="52"/>
        <v>232</v>
      </c>
      <c r="H264" s="13">
        <f t="shared" si="52"/>
        <v>236</v>
      </c>
      <c r="I264" s="13">
        <f t="shared" si="52"/>
        <v>211</v>
      </c>
      <c r="J264" s="13">
        <f t="shared" si="52"/>
        <v>227</v>
      </c>
      <c r="K264" s="13">
        <f t="shared" si="52"/>
        <v>225</v>
      </c>
      <c r="L264" s="13">
        <f t="shared" si="52"/>
        <v>195</v>
      </c>
      <c r="M264" s="13">
        <f t="shared" si="52"/>
        <v>233</v>
      </c>
      <c r="N264" s="13">
        <f t="shared" si="52"/>
        <v>218</v>
      </c>
      <c r="O264" s="13">
        <f t="shared" si="52"/>
        <v>208</v>
      </c>
      <c r="P264" s="13">
        <f t="shared" si="52"/>
        <v>185</v>
      </c>
      <c r="Q264" s="13">
        <f t="shared" si="52"/>
        <v>220</v>
      </c>
      <c r="R264" s="13">
        <f t="shared" si="52"/>
        <v>175</v>
      </c>
      <c r="S264" s="13">
        <f t="shared" si="52"/>
        <v>210</v>
      </c>
      <c r="T264" s="13">
        <f t="shared" si="52"/>
        <v>205</v>
      </c>
      <c r="U264" s="13">
        <f t="shared" si="52"/>
        <v>198</v>
      </c>
      <c r="V264" s="13">
        <f t="shared" si="52"/>
        <v>181</v>
      </c>
      <c r="W264" s="13">
        <f t="shared" si="52"/>
        <v>186</v>
      </c>
      <c r="X264" s="13">
        <f t="shared" si="51"/>
        <v>3996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T34">
    <cfRule type="expression" dxfId="0" priority="1">
      <formula>E34&lt;&gt;E64</formula>
    </cfRule>
  </conditionalFormatting>
  <conditionalFormatting sqref="E14:W15">
    <cfRule type="containsBlanks" dxfId="1" priority="2">
      <formula>LEN(TRIM(E14))=0</formula>
    </cfRule>
  </conditionalFormatting>
  <conditionalFormatting sqref="E19:W20">
    <cfRule type="containsBlanks" dxfId="1" priority="3">
      <formula>LEN(TRIM(E19))=0</formula>
    </cfRule>
  </conditionalFormatting>
  <conditionalFormatting sqref="E22:W23 E25:W26 E33:W33 E35:W35 E39:W40">
    <cfRule type="containsBlanks" dxfId="1" priority="4">
      <formula>LEN(TRIM(E22))=0</formula>
    </cfRule>
  </conditionalFormatting>
  <conditionalFormatting sqref="E30:W30">
    <cfRule type="expression" dxfId="0" priority="5">
      <formula>E30&lt;&gt;E47</formula>
    </cfRule>
  </conditionalFormatting>
  <conditionalFormatting sqref="E30:W30">
    <cfRule type="expression" dxfId="0" priority="6">
      <formula>E30&lt;&gt;E34</formula>
    </cfRule>
  </conditionalFormatting>
  <conditionalFormatting sqref="E34:W34">
    <cfRule type="expression" dxfId="2" priority="7">
      <formula>E30&lt;&gt;E34</formula>
    </cfRule>
  </conditionalFormatting>
  <conditionalFormatting sqref="E34:W34">
    <cfRule type="expression" dxfId="3" priority="8">
      <formula>E30=E34</formula>
    </cfRule>
  </conditionalFormatting>
  <conditionalFormatting sqref="E34:W34">
    <cfRule type="expression" dxfId="0" priority="9">
      <formula>E34&lt;&gt;E30</formula>
    </cfRule>
  </conditionalFormatting>
  <conditionalFormatting sqref="E45:W54">
    <cfRule type="containsBlanks" dxfId="1" priority="10">
      <formula>LEN(TRIM(E45))=0</formula>
    </cfRule>
  </conditionalFormatting>
  <conditionalFormatting sqref="E57:W66">
    <cfRule type="containsBlanks" dxfId="1" priority="11">
      <formula>LEN(TRIM(E57))=0</formula>
    </cfRule>
  </conditionalFormatting>
  <conditionalFormatting sqref="E69:W78">
    <cfRule type="containsBlanks" dxfId="1" priority="12">
      <formula>LEN(TRIM(E69))=0</formula>
    </cfRule>
  </conditionalFormatting>
  <conditionalFormatting sqref="E81:W90">
    <cfRule type="containsBlanks" dxfId="1" priority="13">
      <formula>LEN(TRIM(E81))=0</formula>
    </cfRule>
  </conditionalFormatting>
  <conditionalFormatting sqref="E93:W102">
    <cfRule type="containsBlanks" dxfId="1" priority="14">
      <formula>LEN(TRIM(E93))=0</formula>
    </cfRule>
  </conditionalFormatting>
  <conditionalFormatting sqref="E105:W114">
    <cfRule type="containsBlanks" dxfId="1" priority="15">
      <formula>LEN(TRIM(E105))=0</formula>
    </cfRule>
  </conditionalFormatting>
  <conditionalFormatting sqref="E117:W126">
    <cfRule type="containsBlanks" dxfId="1" priority="16">
      <formula>LEN(TRIM(E117))=0</formula>
    </cfRule>
  </conditionalFormatting>
  <conditionalFormatting sqref="E129:W138">
    <cfRule type="containsBlanks" dxfId="1" priority="17">
      <formula>LEN(TRIM(E129))=0</formula>
    </cfRule>
  </conditionalFormatting>
  <conditionalFormatting sqref="E141:W150">
    <cfRule type="containsBlanks" dxfId="1" priority="18">
      <formula>LEN(TRIM(E141))=0</formula>
    </cfRule>
  </conditionalFormatting>
  <conditionalFormatting sqref="E153:W162">
    <cfRule type="containsBlanks" dxfId="1" priority="19">
      <formula>LEN(TRIM(E153))=0</formula>
    </cfRule>
  </conditionalFormatting>
  <conditionalFormatting sqref="E165:W174">
    <cfRule type="containsBlanks" dxfId="1" priority="20">
      <formula>LEN(TRIM(E165))=0</formula>
    </cfRule>
  </conditionalFormatting>
  <conditionalFormatting sqref="E177:W186">
    <cfRule type="containsBlanks" dxfId="1" priority="21">
      <formula>LEN(TRIM(E177))=0</formula>
    </cfRule>
  </conditionalFormatting>
  <conditionalFormatting sqref="E189:W198">
    <cfRule type="containsBlanks" dxfId="1" priority="22">
      <formula>LEN(TRIM(E189))=0</formula>
    </cfRule>
  </conditionalFormatting>
  <conditionalFormatting sqref="E201:W210">
    <cfRule type="containsBlanks" dxfId="1" priority="23">
      <formula>LEN(TRIM(E201))=0</formula>
    </cfRule>
  </conditionalFormatting>
  <conditionalFormatting sqref="E213:W222">
    <cfRule type="containsBlanks" dxfId="1" priority="24">
      <formula>LEN(TRIM(E213))=0</formula>
    </cfRule>
  </conditionalFormatting>
  <conditionalFormatting sqref="E225:W234">
    <cfRule type="containsBlanks" dxfId="1" priority="25">
      <formula>LEN(TRIM(E225))=0</formula>
    </cfRule>
  </conditionalFormatting>
  <conditionalFormatting sqref="E237:W246">
    <cfRule type="containsBlanks" dxfId="1" priority="26">
      <formula>LEN(TRIM(E237))=0</formula>
    </cfRule>
  </conditionalFormatting>
  <conditionalFormatting sqref="E249:W258">
    <cfRule type="containsBlanks" dxfId="1" priority="27">
      <formula>LEN(TRIM(E249))=0</formula>
    </cfRule>
  </conditionalFormatting>
  <conditionalFormatting sqref="E262:W263">
    <cfRule type="containsBlanks" dxfId="1" priority="28">
      <formula>LEN(TRIM(E262))=0</formula>
    </cfRule>
  </conditionalFormatting>
  <conditionalFormatting sqref="U34:W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1" width="8.71"/>
    <col customWidth="1" min="42" max="42" width="13.29"/>
    <col customWidth="1" min="43" max="44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251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AB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6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219</v>
      </c>
      <c r="Z13" s="13" t="s">
        <v>220</v>
      </c>
      <c r="AA13" s="13" t="s">
        <v>221</v>
      </c>
      <c r="AB13" s="13" t="s">
        <v>222</v>
      </c>
      <c r="AC13" s="13" t="s">
        <v>223</v>
      </c>
      <c r="AD13" s="13" t="s">
        <v>224</v>
      </c>
      <c r="AE13" s="13" t="s">
        <v>225</v>
      </c>
      <c r="AF13" s="13" t="s">
        <v>226</v>
      </c>
      <c r="AG13" s="13" t="s">
        <v>227</v>
      </c>
      <c r="AH13" s="13" t="s">
        <v>228</v>
      </c>
      <c r="AI13" s="13" t="s">
        <v>229</v>
      </c>
      <c r="AJ13" s="13" t="s">
        <v>230</v>
      </c>
      <c r="AK13" s="13" t="s">
        <v>231</v>
      </c>
      <c r="AL13" s="13" t="s">
        <v>232</v>
      </c>
      <c r="AM13" s="13" t="s">
        <v>233</v>
      </c>
      <c r="AN13" s="13" t="s">
        <v>234</v>
      </c>
      <c r="AO13" s="13" t="s">
        <v>235</v>
      </c>
      <c r="AP13" s="36"/>
    </row>
    <row r="14" ht="12.75" customHeight="1">
      <c r="A14" s="18"/>
      <c r="B14" s="22" t="s">
        <v>11</v>
      </c>
      <c r="C14" s="23"/>
      <c r="D14" s="19" t="s">
        <v>12</v>
      </c>
      <c r="E14" s="19">
        <v>140.0</v>
      </c>
      <c r="F14" s="19">
        <v>142.0</v>
      </c>
      <c r="G14" s="19">
        <v>114.0</v>
      </c>
      <c r="H14" s="19">
        <v>129.0</v>
      </c>
      <c r="I14" s="19">
        <v>133.0</v>
      </c>
      <c r="J14" s="19">
        <v>103.0</v>
      </c>
      <c r="K14" s="19">
        <v>111.0</v>
      </c>
      <c r="L14" s="19">
        <v>97.0</v>
      </c>
      <c r="M14" s="19">
        <v>146.0</v>
      </c>
      <c r="N14" s="19">
        <v>140.0</v>
      </c>
      <c r="O14" s="19">
        <v>143.0</v>
      </c>
      <c r="P14" s="19">
        <v>89.0</v>
      </c>
      <c r="Q14" s="19">
        <v>139.0</v>
      </c>
      <c r="R14" s="19">
        <v>117.0</v>
      </c>
      <c r="S14" s="19">
        <v>137.0</v>
      </c>
      <c r="T14" s="19">
        <v>122.0</v>
      </c>
      <c r="U14" s="19">
        <v>123.0</v>
      </c>
      <c r="V14" s="19">
        <v>143.0</v>
      </c>
      <c r="W14" s="19">
        <v>142.0</v>
      </c>
      <c r="X14" s="19">
        <v>147.0</v>
      </c>
      <c r="Y14" s="19">
        <v>133.0</v>
      </c>
      <c r="Z14" s="19">
        <v>143.0</v>
      </c>
      <c r="AA14" s="19">
        <v>142.0</v>
      </c>
      <c r="AB14" s="19">
        <v>140.0</v>
      </c>
      <c r="AC14" s="19">
        <v>138.0</v>
      </c>
      <c r="AD14" s="19">
        <v>136.0</v>
      </c>
      <c r="AE14" s="19">
        <v>136.0</v>
      </c>
      <c r="AF14" s="19">
        <v>152.0</v>
      </c>
      <c r="AG14" s="19">
        <v>123.0</v>
      </c>
      <c r="AH14" s="19">
        <v>133.0</v>
      </c>
      <c r="AI14" s="19">
        <v>134.0</v>
      </c>
      <c r="AJ14" s="19">
        <v>143.0</v>
      </c>
      <c r="AK14" s="19">
        <v>135.0</v>
      </c>
      <c r="AL14" s="19">
        <v>127.0</v>
      </c>
      <c r="AM14" s="19">
        <v>143.0</v>
      </c>
      <c r="AN14" s="19">
        <v>119.0</v>
      </c>
      <c r="AO14" s="19">
        <v>124.0</v>
      </c>
      <c r="AP14" s="13">
        <f t="shared" ref="AP14:AP16" si="1">SUM(E14:AO14)</f>
        <v>4858</v>
      </c>
    </row>
    <row r="15" ht="12.75" customHeight="1">
      <c r="A15" s="18"/>
      <c r="B15" s="26"/>
      <c r="C15" s="27"/>
      <c r="D15" s="19" t="s">
        <v>13</v>
      </c>
      <c r="E15" s="19">
        <v>138.0</v>
      </c>
      <c r="F15" s="19">
        <v>140.0</v>
      </c>
      <c r="G15" s="19">
        <v>121.0</v>
      </c>
      <c r="H15" s="19">
        <v>126.0</v>
      </c>
      <c r="I15" s="19">
        <v>147.0</v>
      </c>
      <c r="J15" s="19">
        <v>118.0</v>
      </c>
      <c r="K15" s="19">
        <v>110.0</v>
      </c>
      <c r="L15" s="19">
        <v>103.0</v>
      </c>
      <c r="M15" s="19">
        <v>152.0</v>
      </c>
      <c r="N15" s="19">
        <v>153.0</v>
      </c>
      <c r="O15" s="19">
        <v>147.0</v>
      </c>
      <c r="P15" s="19">
        <v>113.0</v>
      </c>
      <c r="Q15" s="19">
        <v>137.0</v>
      </c>
      <c r="R15" s="19">
        <v>135.0</v>
      </c>
      <c r="S15" s="19">
        <v>134.0</v>
      </c>
      <c r="T15" s="19">
        <v>119.0</v>
      </c>
      <c r="U15" s="19">
        <v>133.0</v>
      </c>
      <c r="V15" s="19">
        <v>140.0</v>
      </c>
      <c r="W15" s="19">
        <v>138.0</v>
      </c>
      <c r="X15" s="19">
        <v>143.0</v>
      </c>
      <c r="Y15" s="19">
        <v>144.0</v>
      </c>
      <c r="Z15" s="19">
        <v>132.0</v>
      </c>
      <c r="AA15" s="19">
        <v>127.0</v>
      </c>
      <c r="AB15" s="19">
        <v>137.0</v>
      </c>
      <c r="AC15" s="19">
        <v>137.0</v>
      </c>
      <c r="AD15" s="19">
        <v>143.0</v>
      </c>
      <c r="AE15" s="19">
        <v>134.0</v>
      </c>
      <c r="AF15" s="19">
        <v>137.0</v>
      </c>
      <c r="AG15" s="19">
        <v>141.0</v>
      </c>
      <c r="AH15" s="19">
        <v>144.0</v>
      </c>
      <c r="AI15" s="19">
        <v>150.0</v>
      </c>
      <c r="AJ15" s="19">
        <v>143.0</v>
      </c>
      <c r="AK15" s="19">
        <v>132.0</v>
      </c>
      <c r="AL15" s="19">
        <v>117.0</v>
      </c>
      <c r="AM15" s="19">
        <v>154.0</v>
      </c>
      <c r="AN15" s="19">
        <v>129.0</v>
      </c>
      <c r="AO15" s="19">
        <v>121.0</v>
      </c>
      <c r="AP15" s="13">
        <f t="shared" si="1"/>
        <v>4969</v>
      </c>
    </row>
    <row r="16" ht="12.75" customHeight="1">
      <c r="A16" s="25"/>
      <c r="B16" s="21"/>
      <c r="C16" s="28"/>
      <c r="D16" s="13" t="s">
        <v>14</v>
      </c>
      <c r="E16" s="13">
        <f t="shared" ref="E16:AO16" si="2">SUM(E14:E15)</f>
        <v>278</v>
      </c>
      <c r="F16" s="13">
        <f t="shared" si="2"/>
        <v>282</v>
      </c>
      <c r="G16" s="13">
        <f t="shared" si="2"/>
        <v>235</v>
      </c>
      <c r="H16" s="13">
        <f t="shared" si="2"/>
        <v>255</v>
      </c>
      <c r="I16" s="13">
        <f t="shared" si="2"/>
        <v>280</v>
      </c>
      <c r="J16" s="13">
        <f t="shared" si="2"/>
        <v>221</v>
      </c>
      <c r="K16" s="13">
        <f t="shared" si="2"/>
        <v>221</v>
      </c>
      <c r="L16" s="13">
        <f t="shared" si="2"/>
        <v>200</v>
      </c>
      <c r="M16" s="13">
        <f t="shared" si="2"/>
        <v>298</v>
      </c>
      <c r="N16" s="13">
        <f t="shared" si="2"/>
        <v>293</v>
      </c>
      <c r="O16" s="13">
        <f t="shared" si="2"/>
        <v>290</v>
      </c>
      <c r="P16" s="13">
        <f t="shared" si="2"/>
        <v>202</v>
      </c>
      <c r="Q16" s="13">
        <f t="shared" si="2"/>
        <v>276</v>
      </c>
      <c r="R16" s="13">
        <f t="shared" si="2"/>
        <v>252</v>
      </c>
      <c r="S16" s="13">
        <f t="shared" si="2"/>
        <v>271</v>
      </c>
      <c r="T16" s="13">
        <f t="shared" si="2"/>
        <v>241</v>
      </c>
      <c r="U16" s="13">
        <f t="shared" si="2"/>
        <v>256</v>
      </c>
      <c r="V16" s="13">
        <f t="shared" si="2"/>
        <v>283</v>
      </c>
      <c r="W16" s="13">
        <f t="shared" si="2"/>
        <v>280</v>
      </c>
      <c r="X16" s="13">
        <f t="shared" si="2"/>
        <v>290</v>
      </c>
      <c r="Y16" s="13">
        <f t="shared" si="2"/>
        <v>277</v>
      </c>
      <c r="Z16" s="13">
        <f t="shared" si="2"/>
        <v>275</v>
      </c>
      <c r="AA16" s="13">
        <f t="shared" si="2"/>
        <v>269</v>
      </c>
      <c r="AB16" s="13">
        <f t="shared" si="2"/>
        <v>277</v>
      </c>
      <c r="AC16" s="13">
        <f t="shared" si="2"/>
        <v>275</v>
      </c>
      <c r="AD16" s="13">
        <f t="shared" si="2"/>
        <v>279</v>
      </c>
      <c r="AE16" s="13">
        <f t="shared" si="2"/>
        <v>270</v>
      </c>
      <c r="AF16" s="13">
        <f t="shared" si="2"/>
        <v>289</v>
      </c>
      <c r="AG16" s="13">
        <f t="shared" si="2"/>
        <v>264</v>
      </c>
      <c r="AH16" s="13">
        <f t="shared" si="2"/>
        <v>277</v>
      </c>
      <c r="AI16" s="13">
        <f t="shared" si="2"/>
        <v>284</v>
      </c>
      <c r="AJ16" s="13">
        <f t="shared" si="2"/>
        <v>286</v>
      </c>
      <c r="AK16" s="13">
        <f t="shared" si="2"/>
        <v>267</v>
      </c>
      <c r="AL16" s="13">
        <f t="shared" si="2"/>
        <v>244</v>
      </c>
      <c r="AM16" s="13">
        <f t="shared" si="2"/>
        <v>297</v>
      </c>
      <c r="AN16" s="13">
        <f t="shared" si="2"/>
        <v>248</v>
      </c>
      <c r="AO16" s="13">
        <f t="shared" si="2"/>
        <v>245</v>
      </c>
      <c r="AP16" s="13">
        <f t="shared" si="1"/>
        <v>9827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7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7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106.0</v>
      </c>
      <c r="F19" s="19">
        <v>100.0</v>
      </c>
      <c r="G19" s="19">
        <v>86.0</v>
      </c>
      <c r="H19" s="19">
        <v>104.0</v>
      </c>
      <c r="I19" s="19">
        <v>102.0</v>
      </c>
      <c r="J19" s="19">
        <v>79.0</v>
      </c>
      <c r="K19" s="19">
        <v>90.0</v>
      </c>
      <c r="L19" s="19">
        <v>74.0</v>
      </c>
      <c r="M19" s="19">
        <v>105.0</v>
      </c>
      <c r="N19" s="19">
        <v>109.0</v>
      </c>
      <c r="O19" s="19">
        <v>89.0</v>
      </c>
      <c r="P19" s="19">
        <v>75.0</v>
      </c>
      <c r="Q19" s="19">
        <v>107.0</v>
      </c>
      <c r="R19" s="19">
        <v>87.0</v>
      </c>
      <c r="S19" s="19">
        <v>110.0</v>
      </c>
      <c r="T19" s="19">
        <v>85.0</v>
      </c>
      <c r="U19" s="19">
        <v>91.0</v>
      </c>
      <c r="V19" s="19">
        <v>108.0</v>
      </c>
      <c r="W19" s="19">
        <v>95.0</v>
      </c>
      <c r="X19" s="19">
        <v>112.0</v>
      </c>
      <c r="Y19" s="19">
        <v>87.0</v>
      </c>
      <c r="Z19" s="19">
        <v>99.0</v>
      </c>
      <c r="AA19" s="19">
        <v>97.0</v>
      </c>
      <c r="AB19" s="19">
        <v>101.0</v>
      </c>
      <c r="AC19" s="19">
        <v>102.0</v>
      </c>
      <c r="AD19" s="19">
        <v>104.0</v>
      </c>
      <c r="AE19" s="19">
        <v>93.0</v>
      </c>
      <c r="AF19" s="19">
        <v>117.0</v>
      </c>
      <c r="AG19" s="19">
        <v>64.0</v>
      </c>
      <c r="AH19" s="19">
        <v>98.0</v>
      </c>
      <c r="AI19" s="19">
        <v>107.0</v>
      </c>
      <c r="AJ19" s="19">
        <v>113.0</v>
      </c>
      <c r="AK19" s="19">
        <v>105.0</v>
      </c>
      <c r="AL19" s="19">
        <v>89.0</v>
      </c>
      <c r="AM19" s="19">
        <v>103.0</v>
      </c>
      <c r="AN19" s="19">
        <v>98.0</v>
      </c>
      <c r="AO19" s="19">
        <v>104.0</v>
      </c>
      <c r="AP19" s="13">
        <f t="shared" ref="AP19:AP30" si="3">SUM(E19:AO19)</f>
        <v>3595</v>
      </c>
    </row>
    <row r="20" ht="12.75" customHeight="1">
      <c r="A20" s="33"/>
      <c r="B20" s="27"/>
      <c r="C20" s="34"/>
      <c r="D20" s="19" t="s">
        <v>13</v>
      </c>
      <c r="E20" s="19">
        <v>113.0</v>
      </c>
      <c r="F20" s="19">
        <v>107.0</v>
      </c>
      <c r="G20" s="19">
        <v>93.0</v>
      </c>
      <c r="H20" s="19">
        <v>104.0</v>
      </c>
      <c r="I20" s="19">
        <v>114.0</v>
      </c>
      <c r="J20" s="19">
        <v>94.0</v>
      </c>
      <c r="K20" s="19">
        <v>91.0</v>
      </c>
      <c r="L20" s="19">
        <v>83.0</v>
      </c>
      <c r="M20" s="19">
        <v>122.0</v>
      </c>
      <c r="N20" s="19">
        <v>121.0</v>
      </c>
      <c r="O20" s="19">
        <v>115.0</v>
      </c>
      <c r="P20" s="19">
        <v>101.0</v>
      </c>
      <c r="Q20" s="19">
        <v>113.0</v>
      </c>
      <c r="R20" s="19">
        <v>99.0</v>
      </c>
      <c r="S20" s="19">
        <v>102.0</v>
      </c>
      <c r="T20" s="19">
        <v>94.0</v>
      </c>
      <c r="U20" s="19">
        <v>95.0</v>
      </c>
      <c r="V20" s="19">
        <v>108.0</v>
      </c>
      <c r="W20" s="19">
        <v>109.0</v>
      </c>
      <c r="X20" s="19">
        <v>113.0</v>
      </c>
      <c r="Y20" s="19">
        <v>116.0</v>
      </c>
      <c r="Z20" s="19">
        <v>99.0</v>
      </c>
      <c r="AA20" s="19">
        <v>98.0</v>
      </c>
      <c r="AB20" s="19">
        <v>103.0</v>
      </c>
      <c r="AC20" s="19">
        <v>110.0</v>
      </c>
      <c r="AD20" s="19">
        <v>108.0</v>
      </c>
      <c r="AE20" s="19">
        <v>95.0</v>
      </c>
      <c r="AF20" s="19">
        <v>112.0</v>
      </c>
      <c r="AG20" s="19">
        <v>140.0</v>
      </c>
      <c r="AH20" s="19">
        <v>112.0</v>
      </c>
      <c r="AI20" s="19">
        <v>114.0</v>
      </c>
      <c r="AJ20" s="19">
        <v>117.0</v>
      </c>
      <c r="AK20" s="19">
        <v>92.0</v>
      </c>
      <c r="AL20" s="19">
        <v>92.0</v>
      </c>
      <c r="AM20" s="19">
        <v>107.0</v>
      </c>
      <c r="AN20" s="19">
        <v>106.0</v>
      </c>
      <c r="AO20" s="19">
        <v>104.0</v>
      </c>
      <c r="AP20" s="13">
        <f t="shared" si="3"/>
        <v>3916</v>
      </c>
    </row>
    <row r="21" ht="12.75" customHeight="1">
      <c r="A21" s="35"/>
      <c r="B21" s="28"/>
      <c r="C21" s="36"/>
      <c r="D21" s="13" t="s">
        <v>14</v>
      </c>
      <c r="E21" s="13">
        <f t="shared" ref="E21:AO21" si="4">SUM(E19:E20)</f>
        <v>219</v>
      </c>
      <c r="F21" s="13">
        <f t="shared" si="4"/>
        <v>207</v>
      </c>
      <c r="G21" s="13">
        <f t="shared" si="4"/>
        <v>179</v>
      </c>
      <c r="H21" s="13">
        <f t="shared" si="4"/>
        <v>208</v>
      </c>
      <c r="I21" s="13">
        <f t="shared" si="4"/>
        <v>216</v>
      </c>
      <c r="J21" s="13">
        <f t="shared" si="4"/>
        <v>173</v>
      </c>
      <c r="K21" s="13">
        <f t="shared" si="4"/>
        <v>181</v>
      </c>
      <c r="L21" s="13">
        <f t="shared" si="4"/>
        <v>157</v>
      </c>
      <c r="M21" s="13">
        <f t="shared" si="4"/>
        <v>227</v>
      </c>
      <c r="N21" s="13">
        <f t="shared" si="4"/>
        <v>230</v>
      </c>
      <c r="O21" s="13">
        <f t="shared" si="4"/>
        <v>204</v>
      </c>
      <c r="P21" s="13">
        <f t="shared" si="4"/>
        <v>176</v>
      </c>
      <c r="Q21" s="13">
        <f t="shared" si="4"/>
        <v>220</v>
      </c>
      <c r="R21" s="13">
        <f t="shared" si="4"/>
        <v>186</v>
      </c>
      <c r="S21" s="13">
        <f t="shared" si="4"/>
        <v>212</v>
      </c>
      <c r="T21" s="13">
        <f t="shared" si="4"/>
        <v>179</v>
      </c>
      <c r="U21" s="13">
        <f t="shared" si="4"/>
        <v>186</v>
      </c>
      <c r="V21" s="13">
        <f t="shared" si="4"/>
        <v>216</v>
      </c>
      <c r="W21" s="13">
        <f t="shared" si="4"/>
        <v>204</v>
      </c>
      <c r="X21" s="13">
        <f t="shared" si="4"/>
        <v>225</v>
      </c>
      <c r="Y21" s="13">
        <f t="shared" si="4"/>
        <v>203</v>
      </c>
      <c r="Z21" s="13">
        <f t="shared" si="4"/>
        <v>198</v>
      </c>
      <c r="AA21" s="13">
        <f t="shared" si="4"/>
        <v>195</v>
      </c>
      <c r="AB21" s="13">
        <f t="shared" si="4"/>
        <v>204</v>
      </c>
      <c r="AC21" s="13">
        <f t="shared" si="4"/>
        <v>212</v>
      </c>
      <c r="AD21" s="13">
        <f t="shared" si="4"/>
        <v>212</v>
      </c>
      <c r="AE21" s="13">
        <f t="shared" si="4"/>
        <v>188</v>
      </c>
      <c r="AF21" s="13">
        <f t="shared" si="4"/>
        <v>229</v>
      </c>
      <c r="AG21" s="13">
        <f t="shared" si="4"/>
        <v>204</v>
      </c>
      <c r="AH21" s="13">
        <f t="shared" si="4"/>
        <v>210</v>
      </c>
      <c r="AI21" s="13">
        <f t="shared" si="4"/>
        <v>221</v>
      </c>
      <c r="AJ21" s="13">
        <f t="shared" si="4"/>
        <v>230</v>
      </c>
      <c r="AK21" s="13">
        <f t="shared" si="4"/>
        <v>197</v>
      </c>
      <c r="AL21" s="13">
        <f t="shared" si="4"/>
        <v>181</v>
      </c>
      <c r="AM21" s="13">
        <f t="shared" si="4"/>
        <v>210</v>
      </c>
      <c r="AN21" s="13">
        <f t="shared" si="4"/>
        <v>204</v>
      </c>
      <c r="AO21" s="13">
        <f t="shared" si="4"/>
        <v>208</v>
      </c>
      <c r="AP21" s="13">
        <f t="shared" si="3"/>
        <v>7511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1.0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1.0</v>
      </c>
      <c r="V22" s="19">
        <v>0.0</v>
      </c>
      <c r="W22" s="19">
        <v>1.0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/>
      <c r="AJ22" s="19"/>
      <c r="AK22" s="19"/>
      <c r="AL22" s="19"/>
      <c r="AM22" s="19"/>
      <c r="AN22" s="19"/>
      <c r="AO22" s="19"/>
      <c r="AP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1.0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/>
      <c r="AJ23" s="19"/>
      <c r="AK23" s="19"/>
      <c r="AL23" s="19"/>
      <c r="AM23" s="19"/>
      <c r="AN23" s="19"/>
      <c r="AO23" s="19"/>
      <c r="AP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AO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1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2</v>
      </c>
      <c r="V24" s="13">
        <f t="shared" si="5"/>
        <v>0</v>
      </c>
      <c r="W24" s="13">
        <f t="shared" si="5"/>
        <v>1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3"/>
        <v>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2.0</v>
      </c>
      <c r="I25" s="19">
        <v>1.0</v>
      </c>
      <c r="J25" s="19">
        <v>1.0</v>
      </c>
      <c r="K25" s="19">
        <v>0.0</v>
      </c>
      <c r="L25" s="19">
        <v>1.0</v>
      </c>
      <c r="M25" s="19">
        <v>1.0</v>
      </c>
      <c r="N25" s="19">
        <v>1.0</v>
      </c>
      <c r="O25" s="19">
        <v>1.0</v>
      </c>
      <c r="P25" s="19">
        <v>0.0</v>
      </c>
      <c r="Q25" s="19">
        <v>1.0</v>
      </c>
      <c r="R25" s="19">
        <v>0.0</v>
      </c>
      <c r="S25" s="19">
        <v>0.0</v>
      </c>
      <c r="T25" s="19">
        <v>1.0</v>
      </c>
      <c r="U25" s="19">
        <v>0.0</v>
      </c>
      <c r="V25" s="19">
        <v>3.0</v>
      </c>
      <c r="W25" s="19">
        <v>0.0</v>
      </c>
      <c r="X25" s="19">
        <v>1.0</v>
      </c>
      <c r="Y25" s="19">
        <v>0.0</v>
      </c>
      <c r="Z25" s="19">
        <v>1.0</v>
      </c>
      <c r="AA25" s="19">
        <v>5.0</v>
      </c>
      <c r="AB25" s="19">
        <v>2.0</v>
      </c>
      <c r="AC25" s="19">
        <v>0.0</v>
      </c>
      <c r="AD25" s="19">
        <v>1.0</v>
      </c>
      <c r="AE25" s="19">
        <v>1.0</v>
      </c>
      <c r="AF25" s="19">
        <v>0.0</v>
      </c>
      <c r="AG25" s="19">
        <v>0.0</v>
      </c>
      <c r="AH25" s="19">
        <v>1.0</v>
      </c>
      <c r="AI25" s="19">
        <v>0.0</v>
      </c>
      <c r="AJ25" s="19">
        <v>2.0</v>
      </c>
      <c r="AK25" s="19">
        <v>0.0</v>
      </c>
      <c r="AL25" s="19">
        <v>0.0</v>
      </c>
      <c r="AM25" s="19">
        <v>0.0</v>
      </c>
      <c r="AN25" s="19">
        <v>0.0</v>
      </c>
      <c r="AO25" s="19">
        <v>0.0</v>
      </c>
      <c r="AP25" s="13">
        <f t="shared" si="3"/>
        <v>27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1.0</v>
      </c>
      <c r="J26" s="19">
        <v>0.0</v>
      </c>
      <c r="K26" s="19">
        <v>0.0</v>
      </c>
      <c r="L26" s="19">
        <v>0.0</v>
      </c>
      <c r="M26" s="19">
        <v>2.0</v>
      </c>
      <c r="N26" s="19">
        <v>3.0</v>
      </c>
      <c r="O26" s="19">
        <v>0.0</v>
      </c>
      <c r="P26" s="19">
        <v>0.0</v>
      </c>
      <c r="Q26" s="19">
        <v>1.0</v>
      </c>
      <c r="R26" s="19">
        <v>0.0</v>
      </c>
      <c r="S26" s="19">
        <v>2.0</v>
      </c>
      <c r="T26" s="19">
        <v>2.0</v>
      </c>
      <c r="U26" s="19">
        <v>0.0</v>
      </c>
      <c r="V26" s="19">
        <v>0.0</v>
      </c>
      <c r="W26" s="19">
        <v>1.0</v>
      </c>
      <c r="X26" s="19">
        <v>0.0</v>
      </c>
      <c r="Y26" s="19">
        <v>0.0</v>
      </c>
      <c r="Z26" s="19">
        <v>1.0</v>
      </c>
      <c r="AA26" s="19">
        <v>1.0</v>
      </c>
      <c r="AB26" s="19">
        <v>3.0</v>
      </c>
      <c r="AC26" s="19">
        <v>0.0</v>
      </c>
      <c r="AD26" s="19">
        <v>1.0</v>
      </c>
      <c r="AE26" s="19">
        <v>0.0</v>
      </c>
      <c r="AF26" s="19">
        <v>0.0</v>
      </c>
      <c r="AG26" s="19">
        <v>0.0</v>
      </c>
      <c r="AH26" s="19">
        <v>0.0</v>
      </c>
      <c r="AI26" s="19">
        <v>0.0</v>
      </c>
      <c r="AJ26" s="19">
        <v>1.0</v>
      </c>
      <c r="AK26" s="19">
        <v>1.0</v>
      </c>
      <c r="AL26" s="19">
        <v>0.0</v>
      </c>
      <c r="AM26" s="19">
        <v>3.0</v>
      </c>
      <c r="AN26" s="19">
        <v>0.0</v>
      </c>
      <c r="AO26" s="19">
        <v>0.0</v>
      </c>
      <c r="AP26" s="13">
        <f t="shared" si="3"/>
        <v>23</v>
      </c>
    </row>
    <row r="27" ht="12.75" customHeight="1">
      <c r="A27" s="35"/>
      <c r="B27" s="28"/>
      <c r="C27" s="36"/>
      <c r="D27" s="13" t="s">
        <v>14</v>
      </c>
      <c r="E27" s="13">
        <f t="shared" ref="E27:AO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2</v>
      </c>
      <c r="I27" s="13">
        <f t="shared" si="6"/>
        <v>2</v>
      </c>
      <c r="J27" s="13">
        <f t="shared" si="6"/>
        <v>1</v>
      </c>
      <c r="K27" s="13">
        <f t="shared" si="6"/>
        <v>0</v>
      </c>
      <c r="L27" s="13">
        <f t="shared" si="6"/>
        <v>1</v>
      </c>
      <c r="M27" s="13">
        <f t="shared" si="6"/>
        <v>3</v>
      </c>
      <c r="N27" s="13">
        <f t="shared" si="6"/>
        <v>4</v>
      </c>
      <c r="O27" s="13">
        <f t="shared" si="6"/>
        <v>1</v>
      </c>
      <c r="P27" s="13">
        <f t="shared" si="6"/>
        <v>0</v>
      </c>
      <c r="Q27" s="13">
        <f t="shared" si="6"/>
        <v>2</v>
      </c>
      <c r="R27" s="13">
        <f t="shared" si="6"/>
        <v>0</v>
      </c>
      <c r="S27" s="13">
        <f t="shared" si="6"/>
        <v>2</v>
      </c>
      <c r="T27" s="13">
        <f t="shared" si="6"/>
        <v>3</v>
      </c>
      <c r="U27" s="13">
        <f t="shared" si="6"/>
        <v>0</v>
      </c>
      <c r="V27" s="13">
        <f t="shared" si="6"/>
        <v>3</v>
      </c>
      <c r="W27" s="13">
        <f t="shared" si="6"/>
        <v>1</v>
      </c>
      <c r="X27" s="13">
        <f t="shared" si="6"/>
        <v>1</v>
      </c>
      <c r="Y27" s="13">
        <f t="shared" si="6"/>
        <v>0</v>
      </c>
      <c r="Z27" s="13">
        <f t="shared" si="6"/>
        <v>2</v>
      </c>
      <c r="AA27" s="13">
        <f t="shared" si="6"/>
        <v>6</v>
      </c>
      <c r="AB27" s="13">
        <f t="shared" si="6"/>
        <v>5</v>
      </c>
      <c r="AC27" s="13">
        <f t="shared" si="6"/>
        <v>0</v>
      </c>
      <c r="AD27" s="13">
        <f t="shared" si="6"/>
        <v>2</v>
      </c>
      <c r="AE27" s="13">
        <f t="shared" si="6"/>
        <v>1</v>
      </c>
      <c r="AF27" s="13">
        <f t="shared" si="6"/>
        <v>0</v>
      </c>
      <c r="AG27" s="13">
        <f t="shared" si="6"/>
        <v>0</v>
      </c>
      <c r="AH27" s="13">
        <f t="shared" si="6"/>
        <v>1</v>
      </c>
      <c r="AI27" s="13">
        <f t="shared" si="6"/>
        <v>0</v>
      </c>
      <c r="AJ27" s="13">
        <f t="shared" si="6"/>
        <v>3</v>
      </c>
      <c r="AK27" s="13">
        <f t="shared" si="6"/>
        <v>1</v>
      </c>
      <c r="AL27" s="13">
        <f t="shared" si="6"/>
        <v>0</v>
      </c>
      <c r="AM27" s="13">
        <f t="shared" si="6"/>
        <v>3</v>
      </c>
      <c r="AN27" s="13">
        <f t="shared" si="6"/>
        <v>0</v>
      </c>
      <c r="AO27" s="13">
        <f t="shared" si="6"/>
        <v>0</v>
      </c>
      <c r="AP27" s="13">
        <f t="shared" si="3"/>
        <v>50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O28" si="7">SUM(E19,E22,E25)</f>
        <v>106</v>
      </c>
      <c r="F28" s="13">
        <f t="shared" si="7"/>
        <v>100</v>
      </c>
      <c r="G28" s="13">
        <f t="shared" si="7"/>
        <v>86</v>
      </c>
      <c r="H28" s="13">
        <f t="shared" si="7"/>
        <v>106</v>
      </c>
      <c r="I28" s="13">
        <f t="shared" si="7"/>
        <v>103</v>
      </c>
      <c r="J28" s="13">
        <f t="shared" si="7"/>
        <v>80</v>
      </c>
      <c r="K28" s="13">
        <f t="shared" si="7"/>
        <v>90</v>
      </c>
      <c r="L28" s="13">
        <f t="shared" si="7"/>
        <v>76</v>
      </c>
      <c r="M28" s="13">
        <f t="shared" si="7"/>
        <v>106</v>
      </c>
      <c r="N28" s="13">
        <f t="shared" si="7"/>
        <v>110</v>
      </c>
      <c r="O28" s="13">
        <f t="shared" si="7"/>
        <v>90</v>
      </c>
      <c r="P28" s="13">
        <f t="shared" si="7"/>
        <v>75</v>
      </c>
      <c r="Q28" s="13">
        <f t="shared" si="7"/>
        <v>108</v>
      </c>
      <c r="R28" s="13">
        <f t="shared" si="7"/>
        <v>87</v>
      </c>
      <c r="S28" s="13">
        <f t="shared" si="7"/>
        <v>110</v>
      </c>
      <c r="T28" s="13">
        <f t="shared" si="7"/>
        <v>86</v>
      </c>
      <c r="U28" s="13">
        <f t="shared" si="7"/>
        <v>92</v>
      </c>
      <c r="V28" s="13">
        <f t="shared" si="7"/>
        <v>111</v>
      </c>
      <c r="W28" s="13">
        <f t="shared" si="7"/>
        <v>96</v>
      </c>
      <c r="X28" s="13">
        <f t="shared" si="7"/>
        <v>113</v>
      </c>
      <c r="Y28" s="13">
        <f t="shared" si="7"/>
        <v>87</v>
      </c>
      <c r="Z28" s="13">
        <f t="shared" si="7"/>
        <v>100</v>
      </c>
      <c r="AA28" s="13">
        <f t="shared" si="7"/>
        <v>102</v>
      </c>
      <c r="AB28" s="13">
        <f t="shared" si="7"/>
        <v>103</v>
      </c>
      <c r="AC28" s="13">
        <f t="shared" si="7"/>
        <v>102</v>
      </c>
      <c r="AD28" s="13">
        <f t="shared" si="7"/>
        <v>105</v>
      </c>
      <c r="AE28" s="13">
        <f t="shared" si="7"/>
        <v>94</v>
      </c>
      <c r="AF28" s="13">
        <f t="shared" si="7"/>
        <v>117</v>
      </c>
      <c r="AG28" s="13">
        <f t="shared" si="7"/>
        <v>64</v>
      </c>
      <c r="AH28" s="13">
        <f t="shared" si="7"/>
        <v>99</v>
      </c>
      <c r="AI28" s="13">
        <f t="shared" si="7"/>
        <v>107</v>
      </c>
      <c r="AJ28" s="13">
        <f t="shared" si="7"/>
        <v>115</v>
      </c>
      <c r="AK28" s="13">
        <f t="shared" si="7"/>
        <v>105</v>
      </c>
      <c r="AL28" s="13">
        <f t="shared" si="7"/>
        <v>89</v>
      </c>
      <c r="AM28" s="13">
        <f t="shared" si="7"/>
        <v>103</v>
      </c>
      <c r="AN28" s="13">
        <f t="shared" si="7"/>
        <v>98</v>
      </c>
      <c r="AO28" s="13">
        <f t="shared" si="7"/>
        <v>104</v>
      </c>
      <c r="AP28" s="13">
        <f t="shared" si="3"/>
        <v>3625</v>
      </c>
    </row>
    <row r="29" ht="12.75" customHeight="1">
      <c r="A29" s="35"/>
      <c r="B29" s="27"/>
      <c r="C29" s="34"/>
      <c r="D29" s="13" t="s">
        <v>13</v>
      </c>
      <c r="E29" s="13">
        <f t="shared" ref="E29:AO29" si="8">SUM(E20,E23,E26)</f>
        <v>113</v>
      </c>
      <c r="F29" s="13">
        <f t="shared" si="8"/>
        <v>107</v>
      </c>
      <c r="G29" s="13">
        <f t="shared" si="8"/>
        <v>93</v>
      </c>
      <c r="H29" s="13">
        <f t="shared" si="8"/>
        <v>104</v>
      </c>
      <c r="I29" s="13">
        <f t="shared" si="8"/>
        <v>115</v>
      </c>
      <c r="J29" s="13">
        <f t="shared" si="8"/>
        <v>94</v>
      </c>
      <c r="K29" s="13">
        <f t="shared" si="8"/>
        <v>91</v>
      </c>
      <c r="L29" s="13">
        <f t="shared" si="8"/>
        <v>83</v>
      </c>
      <c r="M29" s="13">
        <f t="shared" si="8"/>
        <v>124</v>
      </c>
      <c r="N29" s="13">
        <f t="shared" si="8"/>
        <v>124</v>
      </c>
      <c r="O29" s="13">
        <f t="shared" si="8"/>
        <v>115</v>
      </c>
      <c r="P29" s="13">
        <f t="shared" si="8"/>
        <v>101</v>
      </c>
      <c r="Q29" s="13">
        <f t="shared" si="8"/>
        <v>114</v>
      </c>
      <c r="R29" s="13">
        <f t="shared" si="8"/>
        <v>99</v>
      </c>
      <c r="S29" s="13">
        <f t="shared" si="8"/>
        <v>104</v>
      </c>
      <c r="T29" s="13">
        <f t="shared" si="8"/>
        <v>96</v>
      </c>
      <c r="U29" s="13">
        <f t="shared" si="8"/>
        <v>96</v>
      </c>
      <c r="V29" s="13">
        <f t="shared" si="8"/>
        <v>108</v>
      </c>
      <c r="W29" s="13">
        <f t="shared" si="8"/>
        <v>110</v>
      </c>
      <c r="X29" s="13">
        <f t="shared" si="8"/>
        <v>113</v>
      </c>
      <c r="Y29" s="13">
        <f t="shared" si="8"/>
        <v>116</v>
      </c>
      <c r="Z29" s="13">
        <f t="shared" si="8"/>
        <v>100</v>
      </c>
      <c r="AA29" s="13">
        <f t="shared" si="8"/>
        <v>99</v>
      </c>
      <c r="AB29" s="13">
        <f t="shared" si="8"/>
        <v>106</v>
      </c>
      <c r="AC29" s="13">
        <f t="shared" si="8"/>
        <v>110</v>
      </c>
      <c r="AD29" s="13">
        <f t="shared" si="8"/>
        <v>109</v>
      </c>
      <c r="AE29" s="13">
        <f t="shared" si="8"/>
        <v>95</v>
      </c>
      <c r="AF29" s="13">
        <f t="shared" si="8"/>
        <v>112</v>
      </c>
      <c r="AG29" s="13">
        <f t="shared" si="8"/>
        <v>140</v>
      </c>
      <c r="AH29" s="13">
        <f t="shared" si="8"/>
        <v>112</v>
      </c>
      <c r="AI29" s="13">
        <f t="shared" si="8"/>
        <v>114</v>
      </c>
      <c r="AJ29" s="13">
        <f t="shared" si="8"/>
        <v>118</v>
      </c>
      <c r="AK29" s="13">
        <f t="shared" si="8"/>
        <v>93</v>
      </c>
      <c r="AL29" s="13">
        <f t="shared" si="8"/>
        <v>92</v>
      </c>
      <c r="AM29" s="13">
        <f t="shared" si="8"/>
        <v>110</v>
      </c>
      <c r="AN29" s="13">
        <f t="shared" si="8"/>
        <v>106</v>
      </c>
      <c r="AO29" s="13">
        <f t="shared" si="8"/>
        <v>104</v>
      </c>
      <c r="AP29" s="13">
        <f t="shared" si="3"/>
        <v>3940</v>
      </c>
    </row>
    <row r="30" ht="12.75" customHeight="1">
      <c r="A30" s="35"/>
      <c r="B30" s="28"/>
      <c r="C30" s="36"/>
      <c r="D30" s="13" t="s">
        <v>14</v>
      </c>
      <c r="E30" s="13">
        <f t="shared" ref="E30:AO30" si="9">SUM(E28:E29)</f>
        <v>219</v>
      </c>
      <c r="F30" s="13">
        <f t="shared" si="9"/>
        <v>207</v>
      </c>
      <c r="G30" s="13">
        <f t="shared" si="9"/>
        <v>179</v>
      </c>
      <c r="H30" s="13">
        <f t="shared" si="9"/>
        <v>210</v>
      </c>
      <c r="I30" s="13">
        <f t="shared" si="9"/>
        <v>218</v>
      </c>
      <c r="J30" s="13">
        <f t="shared" si="9"/>
        <v>174</v>
      </c>
      <c r="K30" s="13">
        <f t="shared" si="9"/>
        <v>181</v>
      </c>
      <c r="L30" s="13">
        <f t="shared" si="9"/>
        <v>159</v>
      </c>
      <c r="M30" s="13">
        <f t="shared" si="9"/>
        <v>230</v>
      </c>
      <c r="N30" s="13">
        <f t="shared" si="9"/>
        <v>234</v>
      </c>
      <c r="O30" s="13">
        <f t="shared" si="9"/>
        <v>205</v>
      </c>
      <c r="P30" s="13">
        <f t="shared" si="9"/>
        <v>176</v>
      </c>
      <c r="Q30" s="13">
        <f t="shared" si="9"/>
        <v>222</v>
      </c>
      <c r="R30" s="13">
        <f t="shared" si="9"/>
        <v>186</v>
      </c>
      <c r="S30" s="13">
        <f t="shared" si="9"/>
        <v>214</v>
      </c>
      <c r="T30" s="13">
        <f t="shared" si="9"/>
        <v>182</v>
      </c>
      <c r="U30" s="13">
        <f t="shared" si="9"/>
        <v>188</v>
      </c>
      <c r="V30" s="13">
        <f t="shared" si="9"/>
        <v>219</v>
      </c>
      <c r="W30" s="13">
        <f t="shared" si="9"/>
        <v>206</v>
      </c>
      <c r="X30" s="13">
        <f t="shared" si="9"/>
        <v>226</v>
      </c>
      <c r="Y30" s="13">
        <f t="shared" si="9"/>
        <v>203</v>
      </c>
      <c r="Z30" s="13">
        <f t="shared" si="9"/>
        <v>200</v>
      </c>
      <c r="AA30" s="13">
        <f t="shared" si="9"/>
        <v>201</v>
      </c>
      <c r="AB30" s="13">
        <f t="shared" si="9"/>
        <v>209</v>
      </c>
      <c r="AC30" s="13">
        <f t="shared" si="9"/>
        <v>212</v>
      </c>
      <c r="AD30" s="13">
        <f t="shared" si="9"/>
        <v>214</v>
      </c>
      <c r="AE30" s="13">
        <f t="shared" si="9"/>
        <v>189</v>
      </c>
      <c r="AF30" s="13">
        <f t="shared" si="9"/>
        <v>229</v>
      </c>
      <c r="AG30" s="13">
        <f t="shared" si="9"/>
        <v>204</v>
      </c>
      <c r="AH30" s="13">
        <f t="shared" si="9"/>
        <v>211</v>
      </c>
      <c r="AI30" s="13">
        <f t="shared" si="9"/>
        <v>221</v>
      </c>
      <c r="AJ30" s="13">
        <f t="shared" si="9"/>
        <v>233</v>
      </c>
      <c r="AK30" s="13">
        <f t="shared" si="9"/>
        <v>198</v>
      </c>
      <c r="AL30" s="13">
        <f t="shared" si="9"/>
        <v>181</v>
      </c>
      <c r="AM30" s="13">
        <f t="shared" si="9"/>
        <v>213</v>
      </c>
      <c r="AN30" s="13">
        <f t="shared" si="9"/>
        <v>204</v>
      </c>
      <c r="AO30" s="13">
        <f t="shared" si="9"/>
        <v>208</v>
      </c>
      <c r="AP30" s="13">
        <f t="shared" si="3"/>
        <v>7565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7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77"/>
    </row>
    <row r="33" ht="12.75" customHeight="1">
      <c r="A33" s="19">
        <v>1.0</v>
      </c>
      <c r="B33" s="20" t="s">
        <v>27</v>
      </c>
      <c r="C33" s="15"/>
      <c r="D33" s="16"/>
      <c r="E33" s="19">
        <v>274.0</v>
      </c>
      <c r="F33" s="19">
        <v>288.0</v>
      </c>
      <c r="G33" s="19">
        <v>240.0</v>
      </c>
      <c r="H33" s="19">
        <v>261.0</v>
      </c>
      <c r="I33" s="19">
        <v>287.0</v>
      </c>
      <c r="J33" s="19">
        <v>226.0</v>
      </c>
      <c r="K33" s="19">
        <v>226.0</v>
      </c>
      <c r="L33" s="19">
        <v>205.0</v>
      </c>
      <c r="M33" s="19">
        <v>302.0</v>
      </c>
      <c r="N33" s="19">
        <v>299.0</v>
      </c>
      <c r="O33" s="19">
        <v>296.0</v>
      </c>
      <c r="P33" s="19">
        <v>208.0</v>
      </c>
      <c r="Q33" s="19">
        <v>282.0</v>
      </c>
      <c r="R33" s="19">
        <v>258.0</v>
      </c>
      <c r="S33" s="19">
        <v>277.0</v>
      </c>
      <c r="T33" s="19">
        <v>246.0</v>
      </c>
      <c r="U33" s="19">
        <v>252.0</v>
      </c>
      <c r="V33" s="19">
        <v>287.0</v>
      </c>
      <c r="W33" s="19">
        <v>286.0</v>
      </c>
      <c r="X33" s="19">
        <v>297.0</v>
      </c>
      <c r="Y33" s="19">
        <v>283.0</v>
      </c>
      <c r="Z33" s="19">
        <v>282.0</v>
      </c>
      <c r="AA33" s="19">
        <v>275.0</v>
      </c>
      <c r="AB33" s="19">
        <v>283.0</v>
      </c>
      <c r="AC33" s="19">
        <v>281.0</v>
      </c>
      <c r="AD33" s="19">
        <v>285.0</v>
      </c>
      <c r="AE33" s="19">
        <v>276.0</v>
      </c>
      <c r="AF33" s="19">
        <v>295.0</v>
      </c>
      <c r="AG33" s="19">
        <v>270.0</v>
      </c>
      <c r="AH33" s="19">
        <v>283.0</v>
      </c>
      <c r="AI33" s="19">
        <v>290.0</v>
      </c>
      <c r="AJ33" s="19">
        <v>293.0</v>
      </c>
      <c r="AK33" s="19">
        <v>273.0</v>
      </c>
      <c r="AL33" s="19">
        <v>249.0</v>
      </c>
      <c r="AM33" s="19">
        <v>303.0</v>
      </c>
      <c r="AN33" s="19">
        <v>253.0</v>
      </c>
      <c r="AO33" s="19">
        <v>250.0</v>
      </c>
      <c r="AP33" s="13">
        <f t="shared" ref="AP33:AP36" si="10">SUM(E33:AO33)</f>
        <v>10021</v>
      </c>
    </row>
    <row r="34" ht="12.75" customHeight="1">
      <c r="A34" s="19">
        <v>2.0</v>
      </c>
      <c r="B34" s="20" t="s">
        <v>28</v>
      </c>
      <c r="C34" s="15"/>
      <c r="D34" s="16"/>
      <c r="E34" s="13">
        <v>219.0</v>
      </c>
      <c r="F34" s="13">
        <v>207.0</v>
      </c>
      <c r="G34" s="13">
        <v>179.0</v>
      </c>
      <c r="H34" s="13">
        <v>210.0</v>
      </c>
      <c r="I34" s="13">
        <v>218.0</v>
      </c>
      <c r="J34" s="13">
        <v>174.0</v>
      </c>
      <c r="K34" s="13">
        <v>181.0</v>
      </c>
      <c r="L34" s="13">
        <v>159.0</v>
      </c>
      <c r="M34" s="13">
        <v>230.0</v>
      </c>
      <c r="N34" s="13">
        <v>234.0</v>
      </c>
      <c r="O34" s="13">
        <v>205.0</v>
      </c>
      <c r="P34" s="13">
        <v>176.0</v>
      </c>
      <c r="Q34" s="13">
        <v>222.0</v>
      </c>
      <c r="R34" s="13">
        <v>186.0</v>
      </c>
      <c r="S34" s="13">
        <v>214.0</v>
      </c>
      <c r="T34" s="13">
        <v>182.0</v>
      </c>
      <c r="U34" s="13">
        <v>188.0</v>
      </c>
      <c r="V34" s="13">
        <v>219.0</v>
      </c>
      <c r="W34" s="13">
        <v>206.0</v>
      </c>
      <c r="X34" s="13">
        <v>226.0</v>
      </c>
      <c r="Y34" s="13">
        <v>203.0</v>
      </c>
      <c r="Z34" s="13">
        <v>200.0</v>
      </c>
      <c r="AA34" s="13">
        <v>201.0</v>
      </c>
      <c r="AB34" s="13">
        <v>209.0</v>
      </c>
      <c r="AC34" s="13">
        <v>212.0</v>
      </c>
      <c r="AD34" s="13">
        <v>214.0</v>
      </c>
      <c r="AE34" s="13">
        <v>189.0</v>
      </c>
      <c r="AF34" s="13">
        <v>229.0</v>
      </c>
      <c r="AG34" s="13">
        <v>204.0</v>
      </c>
      <c r="AH34" s="13">
        <v>211.0</v>
      </c>
      <c r="AI34" s="13">
        <v>221.0</v>
      </c>
      <c r="AJ34" s="13">
        <v>233.0</v>
      </c>
      <c r="AK34" s="13">
        <v>198.0</v>
      </c>
      <c r="AL34" s="13">
        <v>181.0</v>
      </c>
      <c r="AM34" s="13">
        <v>213.0</v>
      </c>
      <c r="AN34" s="13">
        <v>204.0</v>
      </c>
      <c r="AO34" s="13">
        <v>208.0</v>
      </c>
      <c r="AP34" s="13">
        <f t="shared" si="10"/>
        <v>7565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2.0</v>
      </c>
      <c r="T35" s="19">
        <v>0.0</v>
      </c>
      <c r="U35" s="19">
        <v>2.0</v>
      </c>
      <c r="V35" s="19">
        <v>0.0</v>
      </c>
      <c r="W35" s="19">
        <v>2.0</v>
      </c>
      <c r="X35" s="19">
        <v>0.0</v>
      </c>
      <c r="Y35" s="19">
        <v>1.0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1.0</v>
      </c>
      <c r="AF35" s="19">
        <v>0.0</v>
      </c>
      <c r="AG35" s="19">
        <v>1.0</v>
      </c>
      <c r="AH35" s="19">
        <v>1.0</v>
      </c>
      <c r="AI35" s="19">
        <v>0.0</v>
      </c>
      <c r="AJ35" s="19">
        <v>1.0</v>
      </c>
      <c r="AK35" s="19">
        <v>0.0</v>
      </c>
      <c r="AL35" s="19">
        <v>1.0</v>
      </c>
      <c r="AM35" s="19">
        <v>0.0</v>
      </c>
      <c r="AN35" s="19">
        <v>0.0</v>
      </c>
      <c r="AO35" s="19">
        <v>0.0</v>
      </c>
      <c r="AP35" s="13">
        <f t="shared" si="10"/>
        <v>12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O36" si="11">E33-(E34+E35)</f>
        <v>55</v>
      </c>
      <c r="F36" s="13">
        <f t="shared" si="11"/>
        <v>81</v>
      </c>
      <c r="G36" s="13">
        <f t="shared" si="11"/>
        <v>61</v>
      </c>
      <c r="H36" s="13">
        <f t="shared" si="11"/>
        <v>51</v>
      </c>
      <c r="I36" s="13">
        <f t="shared" si="11"/>
        <v>69</v>
      </c>
      <c r="J36" s="13">
        <f t="shared" si="11"/>
        <v>52</v>
      </c>
      <c r="K36" s="13">
        <f t="shared" si="11"/>
        <v>45</v>
      </c>
      <c r="L36" s="13">
        <f t="shared" si="11"/>
        <v>46</v>
      </c>
      <c r="M36" s="13">
        <f t="shared" si="11"/>
        <v>72</v>
      </c>
      <c r="N36" s="13">
        <f t="shared" si="11"/>
        <v>65</v>
      </c>
      <c r="O36" s="13">
        <f t="shared" si="11"/>
        <v>91</v>
      </c>
      <c r="P36" s="13">
        <f t="shared" si="11"/>
        <v>32</v>
      </c>
      <c r="Q36" s="13">
        <f t="shared" si="11"/>
        <v>60</v>
      </c>
      <c r="R36" s="13">
        <f t="shared" si="11"/>
        <v>72</v>
      </c>
      <c r="S36" s="13">
        <f t="shared" si="11"/>
        <v>61</v>
      </c>
      <c r="T36" s="13">
        <f t="shared" si="11"/>
        <v>64</v>
      </c>
      <c r="U36" s="13">
        <f t="shared" si="11"/>
        <v>62</v>
      </c>
      <c r="V36" s="13">
        <f t="shared" si="11"/>
        <v>68</v>
      </c>
      <c r="W36" s="13">
        <f t="shared" si="11"/>
        <v>78</v>
      </c>
      <c r="X36" s="13">
        <f t="shared" si="11"/>
        <v>71</v>
      </c>
      <c r="Y36" s="13">
        <f t="shared" si="11"/>
        <v>79</v>
      </c>
      <c r="Z36" s="13">
        <f t="shared" si="11"/>
        <v>82</v>
      </c>
      <c r="AA36" s="13">
        <f t="shared" si="11"/>
        <v>74</v>
      </c>
      <c r="AB36" s="13">
        <f t="shared" si="11"/>
        <v>74</v>
      </c>
      <c r="AC36" s="13">
        <f t="shared" si="11"/>
        <v>69</v>
      </c>
      <c r="AD36" s="13">
        <f t="shared" si="11"/>
        <v>71</v>
      </c>
      <c r="AE36" s="13">
        <f t="shared" si="11"/>
        <v>86</v>
      </c>
      <c r="AF36" s="13">
        <f t="shared" si="11"/>
        <v>66</v>
      </c>
      <c r="AG36" s="13">
        <f t="shared" si="11"/>
        <v>65</v>
      </c>
      <c r="AH36" s="13">
        <f t="shared" si="11"/>
        <v>71</v>
      </c>
      <c r="AI36" s="13">
        <f t="shared" si="11"/>
        <v>69</v>
      </c>
      <c r="AJ36" s="13">
        <f t="shared" si="11"/>
        <v>59</v>
      </c>
      <c r="AK36" s="13">
        <f t="shared" si="11"/>
        <v>75</v>
      </c>
      <c r="AL36" s="13">
        <f t="shared" si="11"/>
        <v>67</v>
      </c>
      <c r="AM36" s="13">
        <f t="shared" si="11"/>
        <v>90</v>
      </c>
      <c r="AN36" s="13">
        <f t="shared" si="11"/>
        <v>49</v>
      </c>
      <c r="AO36" s="13">
        <f t="shared" si="11"/>
        <v>42</v>
      </c>
      <c r="AP36" s="13">
        <f t="shared" si="10"/>
        <v>2444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8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68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77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1.0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1.0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1.0</v>
      </c>
      <c r="AL39" s="19">
        <v>0.0</v>
      </c>
      <c r="AM39" s="19">
        <v>0.0</v>
      </c>
      <c r="AN39" s="19">
        <v>0.0</v>
      </c>
      <c r="AO39" s="19">
        <v>0.0</v>
      </c>
      <c r="AP39" s="13">
        <f t="shared" ref="AP39:AP41" si="12">SUM(E39:AO39)</f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1.0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AO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1</v>
      </c>
      <c r="AB41" s="13">
        <f t="shared" si="13"/>
        <v>0</v>
      </c>
      <c r="AC41" s="13">
        <f t="shared" si="13"/>
        <v>0</v>
      </c>
      <c r="AD41" s="13">
        <f t="shared" si="13"/>
        <v>1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1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8"/>
      <c r="O42" s="19"/>
      <c r="P42" s="68"/>
      <c r="Q42" s="19"/>
      <c r="R42" s="68"/>
      <c r="S42" s="19"/>
      <c r="T42" s="68"/>
      <c r="U42" s="19"/>
      <c r="V42" s="68"/>
      <c r="W42" s="19"/>
      <c r="X42" s="68"/>
      <c r="Y42" s="19"/>
      <c r="Z42" s="68"/>
      <c r="AA42" s="19"/>
      <c r="AB42" s="68"/>
      <c r="AC42" s="19"/>
      <c r="AD42" s="68"/>
      <c r="AE42" s="19"/>
      <c r="AF42" s="68"/>
      <c r="AG42" s="19"/>
      <c r="AH42" s="68"/>
      <c r="AI42" s="19"/>
      <c r="AJ42" s="68"/>
      <c r="AK42" s="19"/>
      <c r="AL42" s="68"/>
      <c r="AM42" s="19"/>
      <c r="AN42" s="68"/>
      <c r="AO42" s="19"/>
      <c r="AP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9"/>
      <c r="O43" s="13"/>
      <c r="P43" s="69"/>
      <c r="Q43" s="13"/>
      <c r="R43" s="69"/>
      <c r="S43" s="13"/>
      <c r="T43" s="69"/>
      <c r="U43" s="13"/>
      <c r="V43" s="69"/>
      <c r="W43" s="13"/>
      <c r="X43" s="69"/>
      <c r="Y43" s="13"/>
      <c r="Z43" s="69"/>
      <c r="AA43" s="13"/>
      <c r="AB43" s="69"/>
      <c r="AC43" s="13"/>
      <c r="AD43" s="69"/>
      <c r="AE43" s="13"/>
      <c r="AF43" s="69"/>
      <c r="AG43" s="13"/>
      <c r="AH43" s="69"/>
      <c r="AI43" s="13"/>
      <c r="AJ43" s="69"/>
      <c r="AK43" s="13"/>
      <c r="AL43" s="69"/>
      <c r="AM43" s="13"/>
      <c r="AN43" s="69"/>
      <c r="AO43" s="13"/>
      <c r="AP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8"/>
      <c r="O44" s="19"/>
      <c r="P44" s="68"/>
      <c r="Q44" s="19"/>
      <c r="R44" s="68"/>
      <c r="S44" s="19"/>
      <c r="T44" s="68"/>
      <c r="U44" s="19"/>
      <c r="V44" s="68"/>
      <c r="W44" s="19"/>
      <c r="X44" s="68"/>
      <c r="Y44" s="19"/>
      <c r="Z44" s="68"/>
      <c r="AA44" s="19"/>
      <c r="AB44" s="68"/>
      <c r="AC44" s="19"/>
      <c r="AD44" s="68"/>
      <c r="AE44" s="19"/>
      <c r="AF44" s="68"/>
      <c r="AG44" s="19"/>
      <c r="AH44" s="68"/>
      <c r="AI44" s="19"/>
      <c r="AJ44" s="68"/>
      <c r="AK44" s="19"/>
      <c r="AL44" s="68"/>
      <c r="AM44" s="19"/>
      <c r="AN44" s="68"/>
      <c r="AO44" s="19"/>
      <c r="AP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8.0</v>
      </c>
      <c r="F45" s="19">
        <v>4.0</v>
      </c>
      <c r="G45" s="19">
        <v>9.0</v>
      </c>
      <c r="H45" s="19">
        <v>4.0</v>
      </c>
      <c r="I45" s="19">
        <v>14.0</v>
      </c>
      <c r="J45" s="19">
        <v>8.0</v>
      </c>
      <c r="K45" s="19">
        <v>4.0</v>
      </c>
      <c r="L45" s="19">
        <v>9.0</v>
      </c>
      <c r="M45" s="19">
        <v>3.0</v>
      </c>
      <c r="N45" s="19">
        <v>4.0</v>
      </c>
      <c r="O45" s="19">
        <v>2.0</v>
      </c>
      <c r="P45" s="19">
        <v>3.0</v>
      </c>
      <c r="Q45" s="19">
        <v>4.0</v>
      </c>
      <c r="R45" s="19">
        <v>5.0</v>
      </c>
      <c r="S45" s="19">
        <v>2.0</v>
      </c>
      <c r="T45" s="19">
        <v>1.0</v>
      </c>
      <c r="U45" s="19">
        <v>3.0</v>
      </c>
      <c r="V45" s="19">
        <v>2.0</v>
      </c>
      <c r="W45" s="19">
        <v>2.0</v>
      </c>
      <c r="X45" s="19">
        <v>13.0</v>
      </c>
      <c r="Y45" s="19">
        <v>12.0</v>
      </c>
      <c r="Z45" s="19">
        <v>8.0</v>
      </c>
      <c r="AA45" s="19">
        <v>5.0</v>
      </c>
      <c r="AB45" s="19">
        <v>7.0</v>
      </c>
      <c r="AC45" s="19">
        <v>8.0</v>
      </c>
      <c r="AD45" s="19">
        <v>7.0</v>
      </c>
      <c r="AE45" s="19">
        <v>3.0</v>
      </c>
      <c r="AF45" s="19">
        <v>2.0</v>
      </c>
      <c r="AG45" s="19">
        <v>1.0</v>
      </c>
      <c r="AH45" s="19">
        <v>0.0</v>
      </c>
      <c r="AI45" s="19">
        <v>8.0</v>
      </c>
      <c r="AJ45" s="19">
        <v>4.0</v>
      </c>
      <c r="AK45" s="19">
        <v>1.0</v>
      </c>
      <c r="AL45" s="19">
        <v>3.0</v>
      </c>
      <c r="AM45" s="19">
        <v>4.0</v>
      </c>
      <c r="AN45" s="19">
        <v>3.0</v>
      </c>
      <c r="AO45" s="19">
        <v>5.0</v>
      </c>
      <c r="AP45" s="13">
        <f t="shared" ref="AP45:AP52" si="14">SUM(E45:AO45)</f>
        <v>185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36.0</v>
      </c>
      <c r="F46" s="19">
        <v>28.0</v>
      </c>
      <c r="G46" s="19">
        <v>10.0</v>
      </c>
      <c r="H46" s="19">
        <v>30.0</v>
      </c>
      <c r="I46" s="19">
        <v>29.0</v>
      </c>
      <c r="J46" s="19">
        <v>16.0</v>
      </c>
      <c r="K46" s="19">
        <v>21.0</v>
      </c>
      <c r="L46" s="19">
        <v>30.0</v>
      </c>
      <c r="M46" s="19">
        <v>5.0</v>
      </c>
      <c r="N46" s="19">
        <v>14.0</v>
      </c>
      <c r="O46" s="19">
        <v>7.0</v>
      </c>
      <c r="P46" s="19">
        <v>10.0</v>
      </c>
      <c r="Q46" s="19">
        <v>10.0</v>
      </c>
      <c r="R46" s="19">
        <v>10.0</v>
      </c>
      <c r="S46" s="19">
        <v>8.0</v>
      </c>
      <c r="T46" s="19">
        <v>5.0</v>
      </c>
      <c r="U46" s="19">
        <v>3.0</v>
      </c>
      <c r="V46" s="19">
        <v>3.0</v>
      </c>
      <c r="W46" s="19">
        <v>7.0</v>
      </c>
      <c r="X46" s="19">
        <v>9.0</v>
      </c>
      <c r="Y46" s="19">
        <v>21.0</v>
      </c>
      <c r="Z46" s="19">
        <v>10.0</v>
      </c>
      <c r="AA46" s="19">
        <v>9.0</v>
      </c>
      <c r="AB46" s="19">
        <v>17.0</v>
      </c>
      <c r="AC46" s="19">
        <v>11.0</v>
      </c>
      <c r="AD46" s="19">
        <v>17.0</v>
      </c>
      <c r="AE46" s="19">
        <v>10.0</v>
      </c>
      <c r="AF46" s="19">
        <v>20.0</v>
      </c>
      <c r="AG46" s="19">
        <v>17.0</v>
      </c>
      <c r="AH46" s="19">
        <v>3.0</v>
      </c>
      <c r="AI46" s="19">
        <v>41.0</v>
      </c>
      <c r="AJ46" s="19">
        <v>12.0</v>
      </c>
      <c r="AK46" s="19">
        <v>6.0</v>
      </c>
      <c r="AL46" s="19">
        <v>7.0</v>
      </c>
      <c r="AM46" s="19">
        <v>6.0</v>
      </c>
      <c r="AN46" s="19">
        <v>2.0</v>
      </c>
      <c r="AO46" s="19">
        <v>5.0</v>
      </c>
      <c r="AP46" s="13">
        <f t="shared" si="14"/>
        <v>505</v>
      </c>
    </row>
    <row r="47" ht="12.75" customHeight="1">
      <c r="A47" s="18"/>
      <c r="B47" s="55">
        <v>2.0</v>
      </c>
      <c r="C47" s="50" t="s">
        <v>41</v>
      </c>
      <c r="D47" s="16"/>
      <c r="E47" s="19">
        <v>5.0</v>
      </c>
      <c r="F47" s="19">
        <v>8.0</v>
      </c>
      <c r="G47" s="19">
        <v>1.0</v>
      </c>
      <c r="H47" s="19">
        <v>2.0</v>
      </c>
      <c r="I47" s="19">
        <v>0.0</v>
      </c>
      <c r="J47" s="19">
        <v>0.0</v>
      </c>
      <c r="K47" s="19">
        <v>1.0</v>
      </c>
      <c r="L47" s="19">
        <v>0.0</v>
      </c>
      <c r="M47" s="19">
        <v>0.0</v>
      </c>
      <c r="N47" s="19">
        <v>1.0</v>
      </c>
      <c r="O47" s="19">
        <v>0.0</v>
      </c>
      <c r="P47" s="19">
        <v>0.0</v>
      </c>
      <c r="Q47" s="19">
        <v>1.0</v>
      </c>
      <c r="R47" s="19">
        <v>0.0</v>
      </c>
      <c r="S47" s="19">
        <v>1.0</v>
      </c>
      <c r="T47" s="19">
        <v>2.0</v>
      </c>
      <c r="U47" s="19">
        <v>0.0</v>
      </c>
      <c r="V47" s="19">
        <v>0.0</v>
      </c>
      <c r="W47" s="19">
        <v>2.0</v>
      </c>
      <c r="X47" s="19">
        <v>0.0</v>
      </c>
      <c r="Y47" s="19">
        <v>1.0</v>
      </c>
      <c r="Z47" s="19">
        <v>1.0</v>
      </c>
      <c r="AA47" s="19">
        <v>0.0</v>
      </c>
      <c r="AB47" s="19">
        <v>1.0</v>
      </c>
      <c r="AC47" s="19">
        <v>2.0</v>
      </c>
      <c r="AD47" s="19">
        <v>2.0</v>
      </c>
      <c r="AE47" s="19">
        <v>12.0</v>
      </c>
      <c r="AF47" s="19">
        <v>1.0</v>
      </c>
      <c r="AG47" s="19">
        <v>0.0</v>
      </c>
      <c r="AH47" s="19">
        <v>1.0</v>
      </c>
      <c r="AI47" s="19">
        <v>1.0</v>
      </c>
      <c r="AJ47" s="19">
        <v>1.0</v>
      </c>
      <c r="AK47" s="19">
        <v>0.0</v>
      </c>
      <c r="AL47" s="19">
        <v>0.0</v>
      </c>
      <c r="AM47" s="19">
        <v>0.0</v>
      </c>
      <c r="AN47" s="19">
        <v>1.0</v>
      </c>
      <c r="AO47" s="19">
        <v>0.0</v>
      </c>
      <c r="AP47" s="13">
        <f t="shared" si="14"/>
        <v>48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0.0</v>
      </c>
      <c r="H48" s="19">
        <v>1.0</v>
      </c>
      <c r="I48" s="19">
        <v>1.0</v>
      </c>
      <c r="J48" s="19">
        <v>0.0</v>
      </c>
      <c r="K48" s="19">
        <v>1.0</v>
      </c>
      <c r="L48" s="19">
        <v>0.0</v>
      </c>
      <c r="M48" s="19">
        <v>0.0</v>
      </c>
      <c r="N48" s="19">
        <v>1.0</v>
      </c>
      <c r="O48" s="19">
        <v>0.0</v>
      </c>
      <c r="P48" s="19">
        <v>1.0</v>
      </c>
      <c r="Q48" s="19">
        <v>0.0</v>
      </c>
      <c r="R48" s="19">
        <v>1.0</v>
      </c>
      <c r="S48" s="19">
        <v>0.0</v>
      </c>
      <c r="T48" s="19">
        <v>0.0</v>
      </c>
      <c r="U48" s="19">
        <v>0.0</v>
      </c>
      <c r="V48" s="19">
        <v>2.0</v>
      </c>
      <c r="W48" s="19">
        <v>0.0</v>
      </c>
      <c r="X48" s="19">
        <v>0.0</v>
      </c>
      <c r="Y48" s="19">
        <v>2.0</v>
      </c>
      <c r="Z48" s="19">
        <v>0.0</v>
      </c>
      <c r="AA48" s="19">
        <v>1.0</v>
      </c>
      <c r="AB48" s="19">
        <v>1.0</v>
      </c>
      <c r="AC48" s="19">
        <v>0.0</v>
      </c>
      <c r="AD48" s="19">
        <v>0.0</v>
      </c>
      <c r="AE48" s="19">
        <v>0.0</v>
      </c>
      <c r="AF48" s="19">
        <v>3.0</v>
      </c>
      <c r="AG48" s="19">
        <v>0.0</v>
      </c>
      <c r="AH48" s="19">
        <v>0.0</v>
      </c>
      <c r="AI48" s="19">
        <v>0.0</v>
      </c>
      <c r="AJ48" s="19">
        <v>0.0</v>
      </c>
      <c r="AK48" s="19">
        <v>2.0</v>
      </c>
      <c r="AL48" s="19">
        <v>1.0</v>
      </c>
      <c r="AM48" s="19">
        <v>0.0</v>
      </c>
      <c r="AN48" s="19">
        <v>1.0</v>
      </c>
      <c r="AO48" s="19">
        <v>0.0</v>
      </c>
      <c r="AP48" s="13">
        <f t="shared" si="14"/>
        <v>20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1.0</v>
      </c>
      <c r="H49" s="19">
        <v>1.0</v>
      </c>
      <c r="I49" s="19">
        <v>0.0</v>
      </c>
      <c r="J49" s="19">
        <v>0.0</v>
      </c>
      <c r="K49" s="19">
        <v>1.0</v>
      </c>
      <c r="L49" s="19">
        <v>2.0</v>
      </c>
      <c r="M49" s="19">
        <v>0.0</v>
      </c>
      <c r="N49" s="19">
        <v>1.0</v>
      </c>
      <c r="O49" s="19">
        <v>0.0</v>
      </c>
      <c r="P49" s="19">
        <v>1.0</v>
      </c>
      <c r="Q49" s="19">
        <v>0.0</v>
      </c>
      <c r="R49" s="19">
        <v>1.0</v>
      </c>
      <c r="S49" s="19">
        <v>0.0</v>
      </c>
      <c r="T49" s="19">
        <v>0.0</v>
      </c>
      <c r="U49" s="19">
        <v>0.0</v>
      </c>
      <c r="V49" s="19">
        <v>0.0</v>
      </c>
      <c r="W49" s="19">
        <v>1.0</v>
      </c>
      <c r="X49" s="19">
        <v>2.0</v>
      </c>
      <c r="Y49" s="19">
        <v>1.0</v>
      </c>
      <c r="Z49" s="19">
        <v>15.0</v>
      </c>
      <c r="AA49" s="19">
        <v>16.0</v>
      </c>
      <c r="AB49" s="19">
        <v>1.0</v>
      </c>
      <c r="AC49" s="19">
        <v>4.0</v>
      </c>
      <c r="AD49" s="19">
        <v>1.0</v>
      </c>
      <c r="AE49" s="19">
        <v>0.0</v>
      </c>
      <c r="AF49" s="19">
        <v>0.0</v>
      </c>
      <c r="AG49" s="19">
        <v>2.0</v>
      </c>
      <c r="AH49" s="19">
        <v>1.0</v>
      </c>
      <c r="AI49" s="19">
        <v>1.0</v>
      </c>
      <c r="AJ49" s="19">
        <v>4.0</v>
      </c>
      <c r="AK49" s="19">
        <v>1.0</v>
      </c>
      <c r="AL49" s="19">
        <v>0.0</v>
      </c>
      <c r="AM49" s="19">
        <v>0.0</v>
      </c>
      <c r="AN49" s="19">
        <v>0.0</v>
      </c>
      <c r="AO49" s="19">
        <v>1.0</v>
      </c>
      <c r="AP49" s="13">
        <f t="shared" si="14"/>
        <v>59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2.0</v>
      </c>
      <c r="L50" s="19">
        <v>0.0</v>
      </c>
      <c r="M50" s="19">
        <v>0.0</v>
      </c>
      <c r="N50" s="19">
        <v>0.0</v>
      </c>
      <c r="O50" s="19">
        <v>1.0</v>
      </c>
      <c r="P50" s="19">
        <v>0.0</v>
      </c>
      <c r="Q50" s="19">
        <v>0.0</v>
      </c>
      <c r="R50" s="19">
        <v>0.0</v>
      </c>
      <c r="S50" s="19">
        <v>1.0</v>
      </c>
      <c r="T50" s="19">
        <v>0.0</v>
      </c>
      <c r="U50" s="19">
        <v>0.0</v>
      </c>
      <c r="V50" s="19">
        <v>0.0</v>
      </c>
      <c r="W50" s="19">
        <v>1.0</v>
      </c>
      <c r="X50" s="19">
        <v>1.0</v>
      </c>
      <c r="Y50" s="19">
        <v>0.0</v>
      </c>
      <c r="Z50" s="19">
        <v>2.0</v>
      </c>
      <c r="AA50" s="19">
        <v>0.0</v>
      </c>
      <c r="AB50" s="19">
        <v>2.0</v>
      </c>
      <c r="AC50" s="19">
        <v>0.0</v>
      </c>
      <c r="AD50" s="19">
        <v>1.0</v>
      </c>
      <c r="AE50" s="19">
        <v>0.0</v>
      </c>
      <c r="AF50" s="19">
        <v>1.0</v>
      </c>
      <c r="AG50" s="19">
        <v>0.0</v>
      </c>
      <c r="AH50" s="19">
        <v>0.0</v>
      </c>
      <c r="AI50" s="19">
        <v>0.0</v>
      </c>
      <c r="AJ50" s="19">
        <v>0.0</v>
      </c>
      <c r="AK50" s="19">
        <v>0.0</v>
      </c>
      <c r="AL50" s="19">
        <v>0.0</v>
      </c>
      <c r="AM50" s="19">
        <v>1.0</v>
      </c>
      <c r="AN50" s="19">
        <v>1.0</v>
      </c>
      <c r="AO50" s="19">
        <v>0.0</v>
      </c>
      <c r="AP50" s="13">
        <f t="shared" si="14"/>
        <v>14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1.0</v>
      </c>
      <c r="G51" s="19">
        <v>0.0</v>
      </c>
      <c r="H51" s="19">
        <v>0.0</v>
      </c>
      <c r="I51" s="19">
        <v>1.0</v>
      </c>
      <c r="J51" s="19">
        <v>0.0</v>
      </c>
      <c r="K51" s="19">
        <v>0.0</v>
      </c>
      <c r="L51" s="19">
        <v>1.0</v>
      </c>
      <c r="M51" s="19">
        <v>0.0</v>
      </c>
      <c r="N51" s="19">
        <v>3.0</v>
      </c>
      <c r="O51" s="19">
        <v>0.0</v>
      </c>
      <c r="P51" s="19">
        <v>0.0</v>
      </c>
      <c r="Q51" s="19">
        <v>0.0</v>
      </c>
      <c r="R51" s="19">
        <v>0.0</v>
      </c>
      <c r="S51" s="19">
        <v>1.0</v>
      </c>
      <c r="T51" s="19">
        <v>1.0</v>
      </c>
      <c r="U51" s="19">
        <v>0.0</v>
      </c>
      <c r="V51" s="19">
        <v>0.0</v>
      </c>
      <c r="W51" s="19">
        <v>0.0</v>
      </c>
      <c r="X51" s="19">
        <v>7.0</v>
      </c>
      <c r="Y51" s="19">
        <v>3.0</v>
      </c>
      <c r="Z51" s="19">
        <v>1.0</v>
      </c>
      <c r="AA51" s="19">
        <v>0.0</v>
      </c>
      <c r="AB51" s="19">
        <v>1.0</v>
      </c>
      <c r="AC51" s="19">
        <v>1.0</v>
      </c>
      <c r="AD51" s="19">
        <v>0.0</v>
      </c>
      <c r="AE51" s="19">
        <v>1.0</v>
      </c>
      <c r="AF51" s="19">
        <v>0.0</v>
      </c>
      <c r="AG51" s="19">
        <v>0.0</v>
      </c>
      <c r="AH51" s="19">
        <v>0.0</v>
      </c>
      <c r="AI51" s="19">
        <v>0.0</v>
      </c>
      <c r="AJ51" s="19">
        <v>0.0</v>
      </c>
      <c r="AK51" s="19">
        <v>4.0</v>
      </c>
      <c r="AL51" s="19">
        <v>1.0</v>
      </c>
      <c r="AM51" s="19">
        <v>0.0</v>
      </c>
      <c r="AN51" s="19">
        <v>0.0</v>
      </c>
      <c r="AO51" s="19">
        <v>0.0</v>
      </c>
      <c r="AP51" s="13">
        <f t="shared" si="14"/>
        <v>28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1.0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3.0</v>
      </c>
      <c r="Y52" s="19">
        <v>0.0</v>
      </c>
      <c r="Z52" s="19">
        <v>0.0</v>
      </c>
      <c r="AA52" s="19">
        <v>1.0</v>
      </c>
      <c r="AB52" s="19">
        <v>0.0</v>
      </c>
      <c r="AC52" s="19">
        <v>1.0</v>
      </c>
      <c r="AD52" s="19">
        <v>1.0</v>
      </c>
      <c r="AE52" s="19">
        <v>0.0</v>
      </c>
      <c r="AF52" s="19">
        <v>0.0</v>
      </c>
      <c r="AG52" s="19">
        <v>0.0</v>
      </c>
      <c r="AH52" s="19">
        <v>0.0</v>
      </c>
      <c r="AI52" s="19">
        <v>0.0</v>
      </c>
      <c r="AJ52" s="19">
        <v>0.0</v>
      </c>
      <c r="AK52" s="19">
        <v>0.0</v>
      </c>
      <c r="AL52" s="19">
        <v>1.0</v>
      </c>
      <c r="AM52" s="19">
        <v>0.0</v>
      </c>
      <c r="AN52" s="19">
        <v>0.0</v>
      </c>
      <c r="AO52" s="19">
        <v>0.0</v>
      </c>
      <c r="AP52" s="13">
        <f t="shared" si="14"/>
        <v>8</v>
      </c>
    </row>
    <row r="53" ht="12.75" customHeight="1">
      <c r="A53" s="18"/>
      <c r="B53" s="71"/>
      <c r="C53" s="72"/>
      <c r="D53" s="7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79"/>
    </row>
    <row r="54" ht="12.75" customHeight="1">
      <c r="A54" s="18"/>
      <c r="B54" s="71"/>
      <c r="C54" s="72"/>
      <c r="D54" s="7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79"/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P55" si="15">SUM(E45:E54)</f>
        <v>51</v>
      </c>
      <c r="F55" s="13">
        <f t="shared" si="15"/>
        <v>41</v>
      </c>
      <c r="G55" s="13">
        <f t="shared" si="15"/>
        <v>21</v>
      </c>
      <c r="H55" s="13">
        <f t="shared" si="15"/>
        <v>38</v>
      </c>
      <c r="I55" s="13">
        <f t="shared" si="15"/>
        <v>45</v>
      </c>
      <c r="J55" s="13">
        <f t="shared" si="15"/>
        <v>24</v>
      </c>
      <c r="K55" s="13">
        <f t="shared" si="15"/>
        <v>30</v>
      </c>
      <c r="L55" s="13">
        <f t="shared" si="15"/>
        <v>42</v>
      </c>
      <c r="M55" s="13">
        <f t="shared" si="15"/>
        <v>9</v>
      </c>
      <c r="N55" s="13">
        <f t="shared" si="15"/>
        <v>24</v>
      </c>
      <c r="O55" s="13">
        <f t="shared" si="15"/>
        <v>10</v>
      </c>
      <c r="P55" s="13">
        <f t="shared" si="15"/>
        <v>15</v>
      </c>
      <c r="Q55" s="13">
        <f t="shared" si="15"/>
        <v>15</v>
      </c>
      <c r="R55" s="13">
        <f t="shared" si="15"/>
        <v>17</v>
      </c>
      <c r="S55" s="13">
        <f t="shared" si="15"/>
        <v>13</v>
      </c>
      <c r="T55" s="13">
        <f t="shared" si="15"/>
        <v>9</v>
      </c>
      <c r="U55" s="13">
        <f t="shared" si="15"/>
        <v>6</v>
      </c>
      <c r="V55" s="13">
        <f t="shared" si="15"/>
        <v>7</v>
      </c>
      <c r="W55" s="13">
        <f t="shared" si="15"/>
        <v>13</v>
      </c>
      <c r="X55" s="13">
        <f t="shared" si="15"/>
        <v>35</v>
      </c>
      <c r="Y55" s="13">
        <f t="shared" si="15"/>
        <v>40</v>
      </c>
      <c r="Z55" s="13">
        <f t="shared" si="15"/>
        <v>37</v>
      </c>
      <c r="AA55" s="13">
        <f t="shared" si="15"/>
        <v>32</v>
      </c>
      <c r="AB55" s="13">
        <f t="shared" si="15"/>
        <v>30</v>
      </c>
      <c r="AC55" s="13">
        <f t="shared" si="15"/>
        <v>27</v>
      </c>
      <c r="AD55" s="13">
        <f t="shared" si="15"/>
        <v>29</v>
      </c>
      <c r="AE55" s="13">
        <f t="shared" si="15"/>
        <v>26</v>
      </c>
      <c r="AF55" s="13">
        <f t="shared" si="15"/>
        <v>27</v>
      </c>
      <c r="AG55" s="13">
        <f t="shared" si="15"/>
        <v>20</v>
      </c>
      <c r="AH55" s="13">
        <f t="shared" si="15"/>
        <v>5</v>
      </c>
      <c r="AI55" s="13">
        <f t="shared" si="15"/>
        <v>51</v>
      </c>
      <c r="AJ55" s="13">
        <f t="shared" si="15"/>
        <v>21</v>
      </c>
      <c r="AK55" s="13">
        <f t="shared" si="15"/>
        <v>14</v>
      </c>
      <c r="AL55" s="13">
        <f t="shared" si="15"/>
        <v>13</v>
      </c>
      <c r="AM55" s="13">
        <f t="shared" si="15"/>
        <v>11</v>
      </c>
      <c r="AN55" s="13">
        <f t="shared" si="15"/>
        <v>8</v>
      </c>
      <c r="AO55" s="13">
        <f t="shared" si="15"/>
        <v>11</v>
      </c>
      <c r="AP55" s="13">
        <f t="shared" si="15"/>
        <v>867</v>
      </c>
    </row>
    <row r="56" ht="12.75" customHeight="1">
      <c r="A56" s="45"/>
      <c r="B56" s="44"/>
      <c r="C56" s="44"/>
      <c r="D56" s="44"/>
      <c r="E56" s="44"/>
      <c r="AP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11.0</v>
      </c>
      <c r="F57" s="19">
        <v>6.0</v>
      </c>
      <c r="G57" s="19">
        <v>8.0</v>
      </c>
      <c r="H57" s="19">
        <v>5.0</v>
      </c>
      <c r="I57" s="19">
        <v>7.0</v>
      </c>
      <c r="J57" s="19">
        <v>7.0</v>
      </c>
      <c r="K57" s="19">
        <v>9.0</v>
      </c>
      <c r="L57" s="19">
        <v>9.0</v>
      </c>
      <c r="M57" s="19">
        <v>6.0</v>
      </c>
      <c r="N57" s="19">
        <v>8.0</v>
      </c>
      <c r="O57" s="19">
        <v>17.0</v>
      </c>
      <c r="P57" s="19">
        <v>4.0</v>
      </c>
      <c r="Q57" s="19">
        <v>11.0</v>
      </c>
      <c r="R57" s="19">
        <v>3.0</v>
      </c>
      <c r="S57" s="19">
        <v>3.0</v>
      </c>
      <c r="T57" s="19">
        <v>10.0</v>
      </c>
      <c r="U57" s="19">
        <v>6.0</v>
      </c>
      <c r="V57" s="19">
        <v>7.0</v>
      </c>
      <c r="W57" s="19">
        <v>8.0</v>
      </c>
      <c r="X57" s="19">
        <v>12.0</v>
      </c>
      <c r="Y57" s="19">
        <v>8.0</v>
      </c>
      <c r="Z57" s="19">
        <v>14.0</v>
      </c>
      <c r="AA57" s="19">
        <v>14.0</v>
      </c>
      <c r="AB57" s="19">
        <v>7.0</v>
      </c>
      <c r="AC57" s="19">
        <v>9.0</v>
      </c>
      <c r="AD57" s="19">
        <v>13.0</v>
      </c>
      <c r="AE57" s="19">
        <v>8.0</v>
      </c>
      <c r="AF57" s="19">
        <v>11.0</v>
      </c>
      <c r="AG57" s="19">
        <v>7.0</v>
      </c>
      <c r="AH57" s="19">
        <v>1.0</v>
      </c>
      <c r="AI57" s="19">
        <v>4.0</v>
      </c>
      <c r="AJ57" s="19">
        <v>12.0</v>
      </c>
      <c r="AK57" s="19">
        <v>12.0</v>
      </c>
      <c r="AL57" s="19">
        <v>9.0</v>
      </c>
      <c r="AM57" s="19">
        <v>13.0</v>
      </c>
      <c r="AN57" s="19">
        <v>9.0</v>
      </c>
      <c r="AO57" s="19">
        <v>11.0</v>
      </c>
      <c r="AP57" s="13">
        <f t="shared" ref="AP57:AP64" si="16">SUM(E57:AO57)</f>
        <v>319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13.0</v>
      </c>
      <c r="F58" s="19">
        <v>11.0</v>
      </c>
      <c r="G58" s="19">
        <v>5.0</v>
      </c>
      <c r="H58" s="19">
        <v>9.0</v>
      </c>
      <c r="I58" s="19">
        <v>7.0</v>
      </c>
      <c r="J58" s="19">
        <v>19.0</v>
      </c>
      <c r="K58" s="19">
        <v>22.0</v>
      </c>
      <c r="L58" s="19">
        <v>36.0</v>
      </c>
      <c r="M58" s="19">
        <v>1.0</v>
      </c>
      <c r="N58" s="19">
        <v>7.0</v>
      </c>
      <c r="O58" s="19">
        <v>6.0</v>
      </c>
      <c r="P58" s="19">
        <v>9.0</v>
      </c>
      <c r="Q58" s="19">
        <v>104.0</v>
      </c>
      <c r="R58" s="19">
        <v>7.0</v>
      </c>
      <c r="S58" s="19">
        <v>3.0</v>
      </c>
      <c r="T58" s="19">
        <v>3.0</v>
      </c>
      <c r="U58" s="19">
        <v>3.0</v>
      </c>
      <c r="V58" s="19">
        <v>4.0</v>
      </c>
      <c r="W58" s="19">
        <v>13.0</v>
      </c>
      <c r="X58" s="19">
        <v>2.0</v>
      </c>
      <c r="Y58" s="19">
        <v>16.0</v>
      </c>
      <c r="Z58" s="19">
        <v>4.0</v>
      </c>
      <c r="AA58" s="19">
        <v>6.0</v>
      </c>
      <c r="AB58" s="19">
        <v>11.0</v>
      </c>
      <c r="AC58" s="19">
        <v>11.0</v>
      </c>
      <c r="AD58" s="19">
        <v>5.0</v>
      </c>
      <c r="AE58" s="19">
        <v>5.0</v>
      </c>
      <c r="AF58" s="19">
        <v>12.0</v>
      </c>
      <c r="AG58" s="19">
        <v>17.0</v>
      </c>
      <c r="AH58" s="19">
        <v>5.0</v>
      </c>
      <c r="AI58" s="19">
        <v>2.0</v>
      </c>
      <c r="AJ58" s="19">
        <v>8.0</v>
      </c>
      <c r="AK58" s="19">
        <v>9.0</v>
      </c>
      <c r="AL58" s="19">
        <v>4.0</v>
      </c>
      <c r="AM58" s="19">
        <v>2.0</v>
      </c>
      <c r="AN58" s="19">
        <v>2.0</v>
      </c>
      <c r="AO58" s="19">
        <v>6.0</v>
      </c>
      <c r="AP58" s="13">
        <f t="shared" si="16"/>
        <v>409</v>
      </c>
    </row>
    <row r="59" ht="12.75" customHeight="1">
      <c r="A59" s="18"/>
      <c r="B59" s="55">
        <v>2.0</v>
      </c>
      <c r="C59" s="50" t="s">
        <v>50</v>
      </c>
      <c r="D59" s="56"/>
      <c r="E59" s="19">
        <v>2.0</v>
      </c>
      <c r="F59" s="19">
        <v>2.0</v>
      </c>
      <c r="G59" s="19">
        <v>2.0</v>
      </c>
      <c r="H59" s="19">
        <v>2.0</v>
      </c>
      <c r="I59" s="19">
        <v>1.0</v>
      </c>
      <c r="J59" s="19">
        <v>2.0</v>
      </c>
      <c r="K59" s="19">
        <v>0.0</v>
      </c>
      <c r="L59" s="19">
        <v>1.0</v>
      </c>
      <c r="M59" s="19">
        <v>5.0</v>
      </c>
      <c r="N59" s="19">
        <v>2.0</v>
      </c>
      <c r="O59" s="19">
        <v>2.0</v>
      </c>
      <c r="P59" s="19">
        <v>2.0</v>
      </c>
      <c r="Q59" s="19">
        <v>2.0</v>
      </c>
      <c r="R59" s="19">
        <v>0.0</v>
      </c>
      <c r="S59" s="19">
        <v>1.0</v>
      </c>
      <c r="T59" s="19">
        <v>1.0</v>
      </c>
      <c r="U59" s="19">
        <v>0.0</v>
      </c>
      <c r="V59" s="19">
        <v>1.0</v>
      </c>
      <c r="W59" s="19">
        <v>2.0</v>
      </c>
      <c r="X59" s="19">
        <v>3.0</v>
      </c>
      <c r="Y59" s="19">
        <v>5.0</v>
      </c>
      <c r="Z59" s="19">
        <v>2.0</v>
      </c>
      <c r="AA59" s="19">
        <v>2.0</v>
      </c>
      <c r="AB59" s="19">
        <v>1.0</v>
      </c>
      <c r="AC59" s="19">
        <v>4.0</v>
      </c>
      <c r="AD59" s="19">
        <v>3.0</v>
      </c>
      <c r="AE59" s="19">
        <v>4.0</v>
      </c>
      <c r="AF59" s="19">
        <v>6.0</v>
      </c>
      <c r="AG59" s="19">
        <v>2.0</v>
      </c>
      <c r="AH59" s="19">
        <v>0.0</v>
      </c>
      <c r="AI59" s="19">
        <v>1.0</v>
      </c>
      <c r="AJ59" s="19">
        <v>1.0</v>
      </c>
      <c r="AK59" s="19">
        <v>2.0</v>
      </c>
      <c r="AL59" s="19">
        <v>2.0</v>
      </c>
      <c r="AM59" s="19">
        <v>2.0</v>
      </c>
      <c r="AN59" s="19">
        <v>0.0</v>
      </c>
      <c r="AO59" s="19">
        <v>3.0</v>
      </c>
      <c r="AP59" s="13">
        <f t="shared" si="16"/>
        <v>73</v>
      </c>
    </row>
    <row r="60" ht="12.75" customHeight="1">
      <c r="A60" s="18"/>
      <c r="B60" s="55">
        <v>3.0</v>
      </c>
      <c r="C60" s="50" t="s">
        <v>51</v>
      </c>
      <c r="D60" s="56"/>
      <c r="E60" s="19">
        <v>1.0</v>
      </c>
      <c r="F60" s="19">
        <v>0.0</v>
      </c>
      <c r="G60" s="19">
        <v>0.0</v>
      </c>
      <c r="H60" s="19">
        <v>1.0</v>
      </c>
      <c r="I60" s="19">
        <v>1.0</v>
      </c>
      <c r="J60" s="19">
        <v>1.0</v>
      </c>
      <c r="K60" s="19">
        <v>0.0</v>
      </c>
      <c r="L60" s="19">
        <v>1.0</v>
      </c>
      <c r="M60" s="19">
        <v>1.0</v>
      </c>
      <c r="N60" s="19">
        <v>1.0</v>
      </c>
      <c r="O60" s="19">
        <v>2.0</v>
      </c>
      <c r="P60" s="19">
        <v>0.0</v>
      </c>
      <c r="Q60" s="19">
        <v>2.0</v>
      </c>
      <c r="R60" s="19">
        <v>0.0</v>
      </c>
      <c r="S60" s="19">
        <v>2.0</v>
      </c>
      <c r="T60" s="19">
        <v>0.0</v>
      </c>
      <c r="U60" s="19">
        <v>1.0</v>
      </c>
      <c r="V60" s="19">
        <v>2.0</v>
      </c>
      <c r="W60" s="19">
        <v>0.0</v>
      </c>
      <c r="X60" s="19">
        <v>1.0</v>
      </c>
      <c r="Y60" s="19">
        <v>0.0</v>
      </c>
      <c r="Z60" s="19">
        <v>0.0</v>
      </c>
      <c r="AA60" s="19">
        <v>3.0</v>
      </c>
      <c r="AB60" s="19">
        <v>0.0</v>
      </c>
      <c r="AC60" s="19">
        <v>4.0</v>
      </c>
      <c r="AD60" s="19">
        <v>0.0</v>
      </c>
      <c r="AE60" s="19">
        <v>2.0</v>
      </c>
      <c r="AF60" s="19">
        <v>0.0</v>
      </c>
      <c r="AG60" s="19">
        <v>3.0</v>
      </c>
      <c r="AH60" s="19">
        <v>0.0</v>
      </c>
      <c r="AI60" s="19">
        <v>0.0</v>
      </c>
      <c r="AJ60" s="19">
        <v>2.0</v>
      </c>
      <c r="AK60" s="19">
        <v>2.0</v>
      </c>
      <c r="AL60" s="19">
        <v>2.0</v>
      </c>
      <c r="AM60" s="19">
        <v>1.0</v>
      </c>
      <c r="AN60" s="19">
        <v>0.0</v>
      </c>
      <c r="AO60" s="19">
        <v>0.0</v>
      </c>
      <c r="AP60" s="13">
        <f t="shared" si="16"/>
        <v>36</v>
      </c>
    </row>
    <row r="61" ht="12.75" customHeight="1">
      <c r="A61" s="18"/>
      <c r="B61" s="55">
        <v>4.0</v>
      </c>
      <c r="C61" s="50" t="s">
        <v>52</v>
      </c>
      <c r="D61" s="56"/>
      <c r="E61" s="19">
        <v>1.0</v>
      </c>
      <c r="F61" s="19">
        <v>1.0</v>
      </c>
      <c r="G61" s="19">
        <v>0.0</v>
      </c>
      <c r="H61" s="19">
        <v>1.0</v>
      </c>
      <c r="I61" s="19">
        <v>2.0</v>
      </c>
      <c r="J61" s="19">
        <v>7.0</v>
      </c>
      <c r="K61" s="19">
        <v>0.0</v>
      </c>
      <c r="L61" s="19">
        <v>2.0</v>
      </c>
      <c r="M61" s="19">
        <v>1.0</v>
      </c>
      <c r="N61" s="19">
        <v>5.0</v>
      </c>
      <c r="O61" s="19">
        <v>2.0</v>
      </c>
      <c r="P61" s="19">
        <v>0.0</v>
      </c>
      <c r="Q61" s="19">
        <v>1.0</v>
      </c>
      <c r="R61" s="19">
        <v>4.0</v>
      </c>
      <c r="S61" s="19">
        <v>1.0</v>
      </c>
      <c r="T61" s="19">
        <v>0.0</v>
      </c>
      <c r="U61" s="19">
        <v>3.0</v>
      </c>
      <c r="V61" s="19">
        <v>0.0</v>
      </c>
      <c r="W61" s="19">
        <v>3.0</v>
      </c>
      <c r="X61" s="19">
        <v>1.0</v>
      </c>
      <c r="Y61" s="19">
        <v>0.0</v>
      </c>
      <c r="Z61" s="19">
        <v>1.0</v>
      </c>
      <c r="AA61" s="19">
        <v>1.0</v>
      </c>
      <c r="AB61" s="19">
        <v>4.0</v>
      </c>
      <c r="AC61" s="19">
        <v>3.0</v>
      </c>
      <c r="AD61" s="19">
        <v>2.0</v>
      </c>
      <c r="AE61" s="19">
        <v>7.0</v>
      </c>
      <c r="AF61" s="19">
        <v>4.0</v>
      </c>
      <c r="AG61" s="19">
        <v>2.0</v>
      </c>
      <c r="AH61" s="19">
        <v>1.0</v>
      </c>
      <c r="AI61" s="19">
        <v>3.0</v>
      </c>
      <c r="AJ61" s="19">
        <v>7.0</v>
      </c>
      <c r="AK61" s="19">
        <v>6.0</v>
      </c>
      <c r="AL61" s="19">
        <v>2.0</v>
      </c>
      <c r="AM61" s="19">
        <v>5.0</v>
      </c>
      <c r="AN61" s="19">
        <v>5.0</v>
      </c>
      <c r="AO61" s="19">
        <v>2.0</v>
      </c>
      <c r="AP61" s="13">
        <f t="shared" si="16"/>
        <v>90</v>
      </c>
    </row>
    <row r="62" ht="12.75" customHeight="1">
      <c r="A62" s="18"/>
      <c r="B62" s="55">
        <v>5.0</v>
      </c>
      <c r="C62" s="50" t="s">
        <v>53</v>
      </c>
      <c r="D62" s="56"/>
      <c r="E62" s="19">
        <v>1.0</v>
      </c>
      <c r="F62" s="19">
        <v>0.0</v>
      </c>
      <c r="G62" s="19">
        <v>1.0</v>
      </c>
      <c r="H62" s="19">
        <v>0.0</v>
      </c>
      <c r="I62" s="19">
        <v>1.0</v>
      </c>
      <c r="J62" s="19">
        <v>0.0</v>
      </c>
      <c r="K62" s="19">
        <v>1.0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1.0</v>
      </c>
      <c r="S62" s="19">
        <v>0.0</v>
      </c>
      <c r="T62" s="19">
        <v>0.0</v>
      </c>
      <c r="U62" s="19">
        <v>0.0</v>
      </c>
      <c r="V62" s="19">
        <v>0.0</v>
      </c>
      <c r="W62" s="19">
        <v>0.0</v>
      </c>
      <c r="X62" s="19">
        <v>2.0</v>
      </c>
      <c r="Y62" s="19">
        <v>0.0</v>
      </c>
      <c r="Z62" s="19">
        <v>0.0</v>
      </c>
      <c r="AA62" s="19">
        <v>0.0</v>
      </c>
      <c r="AB62" s="19">
        <v>1.0</v>
      </c>
      <c r="AC62" s="19">
        <v>0.0</v>
      </c>
      <c r="AD62" s="19">
        <v>0.0</v>
      </c>
      <c r="AE62" s="19">
        <v>0.0</v>
      </c>
      <c r="AF62" s="19">
        <v>0.0</v>
      </c>
      <c r="AG62" s="19">
        <v>2.0</v>
      </c>
      <c r="AH62" s="19">
        <v>0.0</v>
      </c>
      <c r="AI62" s="19">
        <v>0.0</v>
      </c>
      <c r="AJ62" s="19">
        <v>0.0</v>
      </c>
      <c r="AK62" s="19">
        <v>0.0</v>
      </c>
      <c r="AL62" s="19">
        <v>0.0</v>
      </c>
      <c r="AM62" s="19">
        <v>0.0</v>
      </c>
      <c r="AN62" s="19">
        <v>1.0</v>
      </c>
      <c r="AO62" s="19">
        <v>0.0</v>
      </c>
      <c r="AP62" s="13">
        <f t="shared" si="16"/>
        <v>11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0.0</v>
      </c>
      <c r="G63" s="19">
        <v>1.0</v>
      </c>
      <c r="H63" s="19">
        <v>0.0</v>
      </c>
      <c r="I63" s="19">
        <v>0.0</v>
      </c>
      <c r="J63" s="19">
        <v>1.0</v>
      </c>
      <c r="K63" s="19">
        <v>0.0</v>
      </c>
      <c r="L63" s="19">
        <v>0.0</v>
      </c>
      <c r="M63" s="19">
        <v>1.0</v>
      </c>
      <c r="N63" s="19">
        <v>3.0</v>
      </c>
      <c r="O63" s="19">
        <v>2.0</v>
      </c>
      <c r="P63" s="19">
        <v>2.0</v>
      </c>
      <c r="Q63" s="19">
        <v>0.0</v>
      </c>
      <c r="R63" s="19">
        <v>0.0</v>
      </c>
      <c r="S63" s="19">
        <v>0.0</v>
      </c>
      <c r="T63" s="19">
        <v>0.0</v>
      </c>
      <c r="U63" s="19">
        <v>0.0</v>
      </c>
      <c r="V63" s="19">
        <v>1.0</v>
      </c>
      <c r="W63" s="19">
        <v>1.0</v>
      </c>
      <c r="X63" s="19">
        <v>2.0</v>
      </c>
      <c r="Y63" s="19">
        <v>1.0</v>
      </c>
      <c r="Z63" s="19">
        <v>0.0</v>
      </c>
      <c r="AA63" s="19">
        <v>1.0</v>
      </c>
      <c r="AB63" s="19">
        <v>1.0</v>
      </c>
      <c r="AC63" s="19">
        <v>1.0</v>
      </c>
      <c r="AD63" s="19">
        <v>0.0</v>
      </c>
      <c r="AE63" s="19">
        <v>0.0</v>
      </c>
      <c r="AF63" s="19">
        <v>1.0</v>
      </c>
      <c r="AG63" s="19">
        <v>0.0</v>
      </c>
      <c r="AH63" s="19">
        <v>1.0</v>
      </c>
      <c r="AI63" s="19">
        <v>0.0</v>
      </c>
      <c r="AJ63" s="19">
        <v>0.0</v>
      </c>
      <c r="AK63" s="19">
        <v>1.0</v>
      </c>
      <c r="AL63" s="19">
        <v>1.0</v>
      </c>
      <c r="AM63" s="19">
        <v>1.0</v>
      </c>
      <c r="AN63" s="19">
        <v>0.0</v>
      </c>
      <c r="AO63" s="19">
        <v>1.0</v>
      </c>
      <c r="AP63" s="13">
        <f t="shared" si="16"/>
        <v>24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1.0</v>
      </c>
      <c r="Q64" s="19">
        <v>0.0</v>
      </c>
      <c r="R64" s="19">
        <v>1.0</v>
      </c>
      <c r="S64" s="19">
        <v>0.0</v>
      </c>
      <c r="T64" s="19">
        <v>1.0</v>
      </c>
      <c r="U64" s="19">
        <v>0.0</v>
      </c>
      <c r="V64" s="19">
        <v>0.0</v>
      </c>
      <c r="W64" s="19">
        <v>2.0</v>
      </c>
      <c r="X64" s="19">
        <v>0.0</v>
      </c>
      <c r="Y64" s="19">
        <v>0.0</v>
      </c>
      <c r="Z64" s="19">
        <v>0.0</v>
      </c>
      <c r="AA64" s="19">
        <v>0.0</v>
      </c>
      <c r="AB64" s="19">
        <v>0.0</v>
      </c>
      <c r="AC64" s="19">
        <v>0.0</v>
      </c>
      <c r="AD64" s="19">
        <v>0.0</v>
      </c>
      <c r="AE64" s="19">
        <v>0.0</v>
      </c>
      <c r="AF64" s="19">
        <v>0.0</v>
      </c>
      <c r="AG64" s="19">
        <v>0.0</v>
      </c>
      <c r="AH64" s="19">
        <v>1.0</v>
      </c>
      <c r="AI64" s="19">
        <v>3.0</v>
      </c>
      <c r="AJ64" s="19">
        <v>1.0</v>
      </c>
      <c r="AK64" s="19">
        <v>1.0</v>
      </c>
      <c r="AL64" s="19">
        <v>2.0</v>
      </c>
      <c r="AM64" s="19">
        <v>0.0</v>
      </c>
      <c r="AN64" s="19">
        <v>1.0</v>
      </c>
      <c r="AO64" s="19">
        <v>1.0</v>
      </c>
      <c r="AP64" s="13">
        <f t="shared" si="16"/>
        <v>15</v>
      </c>
    </row>
    <row r="65" ht="12.75" customHeight="1">
      <c r="A65" s="18"/>
      <c r="B65" s="71"/>
      <c r="C65" s="72"/>
      <c r="D65" s="73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79"/>
    </row>
    <row r="66" ht="12.75" customHeight="1">
      <c r="A66" s="18"/>
      <c r="B66" s="71"/>
      <c r="C66" s="72"/>
      <c r="D66" s="73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79"/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P67" si="17">SUM(E57:E66)</f>
        <v>29</v>
      </c>
      <c r="F67" s="13">
        <f t="shared" si="17"/>
        <v>20</v>
      </c>
      <c r="G67" s="13">
        <f t="shared" si="17"/>
        <v>17</v>
      </c>
      <c r="H67" s="13">
        <f t="shared" si="17"/>
        <v>18</v>
      </c>
      <c r="I67" s="13">
        <f t="shared" si="17"/>
        <v>19</v>
      </c>
      <c r="J67" s="13">
        <f t="shared" si="17"/>
        <v>37</v>
      </c>
      <c r="K67" s="13">
        <f t="shared" si="17"/>
        <v>32</v>
      </c>
      <c r="L67" s="13">
        <f t="shared" si="17"/>
        <v>49</v>
      </c>
      <c r="M67" s="13">
        <f t="shared" si="17"/>
        <v>15</v>
      </c>
      <c r="N67" s="13">
        <f t="shared" si="17"/>
        <v>26</v>
      </c>
      <c r="O67" s="13">
        <f t="shared" si="17"/>
        <v>31</v>
      </c>
      <c r="P67" s="13">
        <f t="shared" si="17"/>
        <v>18</v>
      </c>
      <c r="Q67" s="13">
        <f t="shared" si="17"/>
        <v>120</v>
      </c>
      <c r="R67" s="13">
        <f t="shared" si="17"/>
        <v>16</v>
      </c>
      <c r="S67" s="13">
        <f t="shared" si="17"/>
        <v>10</v>
      </c>
      <c r="T67" s="13">
        <f t="shared" si="17"/>
        <v>15</v>
      </c>
      <c r="U67" s="13">
        <f t="shared" si="17"/>
        <v>13</v>
      </c>
      <c r="V67" s="13">
        <f t="shared" si="17"/>
        <v>15</v>
      </c>
      <c r="W67" s="13">
        <f t="shared" si="17"/>
        <v>29</v>
      </c>
      <c r="X67" s="13">
        <f t="shared" si="17"/>
        <v>23</v>
      </c>
      <c r="Y67" s="13">
        <f t="shared" si="17"/>
        <v>30</v>
      </c>
      <c r="Z67" s="13">
        <f t="shared" si="17"/>
        <v>21</v>
      </c>
      <c r="AA67" s="13">
        <f t="shared" si="17"/>
        <v>27</v>
      </c>
      <c r="AB67" s="13">
        <f t="shared" si="17"/>
        <v>25</v>
      </c>
      <c r="AC67" s="13">
        <f t="shared" si="17"/>
        <v>32</v>
      </c>
      <c r="AD67" s="13">
        <f t="shared" si="17"/>
        <v>23</v>
      </c>
      <c r="AE67" s="13">
        <f t="shared" si="17"/>
        <v>26</v>
      </c>
      <c r="AF67" s="13">
        <f t="shared" si="17"/>
        <v>34</v>
      </c>
      <c r="AG67" s="13">
        <f t="shared" si="17"/>
        <v>33</v>
      </c>
      <c r="AH67" s="13">
        <f t="shared" si="17"/>
        <v>9</v>
      </c>
      <c r="AI67" s="13">
        <f t="shared" si="17"/>
        <v>13</v>
      </c>
      <c r="AJ67" s="13">
        <f t="shared" si="17"/>
        <v>31</v>
      </c>
      <c r="AK67" s="13">
        <f t="shared" si="17"/>
        <v>33</v>
      </c>
      <c r="AL67" s="13">
        <f t="shared" si="17"/>
        <v>22</v>
      </c>
      <c r="AM67" s="13">
        <f t="shared" si="17"/>
        <v>24</v>
      </c>
      <c r="AN67" s="13">
        <f t="shared" si="17"/>
        <v>18</v>
      </c>
      <c r="AO67" s="13">
        <f t="shared" si="17"/>
        <v>24</v>
      </c>
      <c r="AP67" s="13">
        <f t="shared" si="17"/>
        <v>977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13.0</v>
      </c>
      <c r="F69" s="19">
        <v>10.0</v>
      </c>
      <c r="G69" s="19">
        <v>7.0</v>
      </c>
      <c r="H69" s="19">
        <v>10.0</v>
      </c>
      <c r="I69" s="19">
        <v>11.0</v>
      </c>
      <c r="J69" s="19">
        <v>7.0</v>
      </c>
      <c r="K69" s="19">
        <v>5.0</v>
      </c>
      <c r="L69" s="19">
        <v>9.0</v>
      </c>
      <c r="M69" s="19">
        <v>28.0</v>
      </c>
      <c r="N69" s="19">
        <v>20.0</v>
      </c>
      <c r="O69" s="19">
        <v>19.0</v>
      </c>
      <c r="P69" s="19">
        <v>13.0</v>
      </c>
      <c r="Q69" s="19">
        <v>6.0</v>
      </c>
      <c r="R69" s="19">
        <v>16.0</v>
      </c>
      <c r="S69" s="19">
        <v>9.0</v>
      </c>
      <c r="T69" s="19">
        <v>11.0</v>
      </c>
      <c r="U69" s="19">
        <v>16.0</v>
      </c>
      <c r="V69" s="19">
        <v>19.0</v>
      </c>
      <c r="W69" s="19">
        <v>5.0</v>
      </c>
      <c r="X69" s="19">
        <v>8.0</v>
      </c>
      <c r="Y69" s="19">
        <v>12.0</v>
      </c>
      <c r="Z69" s="19">
        <v>13.0</v>
      </c>
      <c r="AA69" s="19">
        <v>16.0</v>
      </c>
      <c r="AB69" s="19">
        <v>11.0</v>
      </c>
      <c r="AC69" s="19">
        <v>5.0</v>
      </c>
      <c r="AD69" s="19">
        <v>19.0</v>
      </c>
      <c r="AE69" s="19">
        <v>9.0</v>
      </c>
      <c r="AF69" s="19">
        <v>33.0</v>
      </c>
      <c r="AG69" s="19">
        <v>33.0</v>
      </c>
      <c r="AH69" s="19">
        <v>4.0</v>
      </c>
      <c r="AI69" s="19">
        <v>6.0</v>
      </c>
      <c r="AJ69" s="19">
        <v>14.0</v>
      </c>
      <c r="AK69" s="19">
        <v>20.0</v>
      </c>
      <c r="AL69" s="19">
        <v>11.0</v>
      </c>
      <c r="AM69" s="19">
        <v>25.0</v>
      </c>
      <c r="AN69" s="19">
        <v>27.0</v>
      </c>
      <c r="AO69" s="19">
        <v>22.0</v>
      </c>
      <c r="AP69" s="13">
        <f t="shared" ref="AP69:AP76" si="18">SUM(E69:AO69)</f>
        <v>522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8.0</v>
      </c>
      <c r="F70" s="19">
        <v>5.0</v>
      </c>
      <c r="G70" s="19">
        <v>7.0</v>
      </c>
      <c r="H70" s="19">
        <v>13.0</v>
      </c>
      <c r="I70" s="19">
        <v>11.0</v>
      </c>
      <c r="J70" s="19">
        <v>11.0</v>
      </c>
      <c r="K70" s="19">
        <v>5.0</v>
      </c>
      <c r="L70" s="19">
        <v>3.0</v>
      </c>
      <c r="M70" s="19">
        <v>10.0</v>
      </c>
      <c r="N70" s="19">
        <v>23.0</v>
      </c>
      <c r="O70" s="19">
        <v>12.0</v>
      </c>
      <c r="P70" s="19">
        <v>11.0</v>
      </c>
      <c r="Q70" s="19">
        <v>18.0</v>
      </c>
      <c r="R70" s="19">
        <v>18.0</v>
      </c>
      <c r="S70" s="19">
        <v>27.0</v>
      </c>
      <c r="T70" s="19">
        <v>20.0</v>
      </c>
      <c r="U70" s="19">
        <v>29.0</v>
      </c>
      <c r="V70" s="19">
        <v>16.0</v>
      </c>
      <c r="W70" s="19">
        <v>7.0</v>
      </c>
      <c r="X70" s="19">
        <v>9.0</v>
      </c>
      <c r="Y70" s="19">
        <v>5.0</v>
      </c>
      <c r="Z70" s="19">
        <v>4.0</v>
      </c>
      <c r="AA70" s="19">
        <v>8.0</v>
      </c>
      <c r="AB70" s="19">
        <v>9.0</v>
      </c>
      <c r="AC70" s="19">
        <v>7.0</v>
      </c>
      <c r="AD70" s="19">
        <v>7.0</v>
      </c>
      <c r="AE70" s="19">
        <v>13.0</v>
      </c>
      <c r="AF70" s="19">
        <v>24.0</v>
      </c>
      <c r="AG70" s="19">
        <v>25.0</v>
      </c>
      <c r="AH70" s="19">
        <v>11.0</v>
      </c>
      <c r="AI70" s="19">
        <v>5.0</v>
      </c>
      <c r="AJ70" s="19">
        <v>16.0</v>
      </c>
      <c r="AK70" s="19">
        <v>13.0</v>
      </c>
      <c r="AL70" s="19">
        <v>12.0</v>
      </c>
      <c r="AM70" s="19">
        <v>8.0</v>
      </c>
      <c r="AN70" s="19">
        <v>13.0</v>
      </c>
      <c r="AO70" s="19">
        <v>10.0</v>
      </c>
      <c r="AP70" s="13">
        <f t="shared" si="18"/>
        <v>453</v>
      </c>
    </row>
    <row r="71" ht="12.75" customHeight="1">
      <c r="A71" s="18"/>
      <c r="B71" s="55">
        <v>2.0</v>
      </c>
      <c r="C71" s="50" t="s">
        <v>58</v>
      </c>
      <c r="D71" s="57"/>
      <c r="E71" s="19">
        <v>6.0</v>
      </c>
      <c r="F71" s="19">
        <v>2.0</v>
      </c>
      <c r="G71" s="19">
        <v>0.0</v>
      </c>
      <c r="H71" s="19">
        <v>2.0</v>
      </c>
      <c r="I71" s="19">
        <v>6.0</v>
      </c>
      <c r="J71" s="19">
        <v>3.0</v>
      </c>
      <c r="K71" s="19">
        <v>5.0</v>
      </c>
      <c r="L71" s="19">
        <v>7.0</v>
      </c>
      <c r="M71" s="19">
        <v>2.0</v>
      </c>
      <c r="N71" s="19">
        <v>9.0</v>
      </c>
      <c r="O71" s="19">
        <v>11.0</v>
      </c>
      <c r="P71" s="19">
        <v>5.0</v>
      </c>
      <c r="Q71" s="19">
        <v>2.0</v>
      </c>
      <c r="R71" s="19">
        <v>1.0</v>
      </c>
      <c r="S71" s="19">
        <v>3.0</v>
      </c>
      <c r="T71" s="19">
        <v>1.0</v>
      </c>
      <c r="U71" s="19">
        <v>2.0</v>
      </c>
      <c r="V71" s="19">
        <v>1.0</v>
      </c>
      <c r="W71" s="19">
        <v>3.0</v>
      </c>
      <c r="X71" s="19">
        <v>1.0</v>
      </c>
      <c r="Y71" s="19">
        <v>2.0</v>
      </c>
      <c r="Z71" s="19">
        <v>1.0</v>
      </c>
      <c r="AA71" s="19">
        <v>1.0</v>
      </c>
      <c r="AB71" s="19">
        <v>3.0</v>
      </c>
      <c r="AC71" s="19">
        <v>0.0</v>
      </c>
      <c r="AD71" s="19">
        <v>3.0</v>
      </c>
      <c r="AE71" s="19">
        <v>2.0</v>
      </c>
      <c r="AF71" s="19">
        <v>4.0</v>
      </c>
      <c r="AG71" s="19">
        <v>4.0</v>
      </c>
      <c r="AH71" s="19">
        <v>5.0</v>
      </c>
      <c r="AI71" s="19">
        <v>6.0</v>
      </c>
      <c r="AJ71" s="19">
        <v>4.0</v>
      </c>
      <c r="AK71" s="19">
        <v>1.0</v>
      </c>
      <c r="AL71" s="19">
        <v>1.0</v>
      </c>
      <c r="AM71" s="19">
        <v>2.0</v>
      </c>
      <c r="AN71" s="19">
        <v>1.0</v>
      </c>
      <c r="AO71" s="19">
        <v>4.0</v>
      </c>
      <c r="AP71" s="13">
        <f t="shared" si="18"/>
        <v>116</v>
      </c>
    </row>
    <row r="72" ht="12.75" customHeight="1">
      <c r="A72" s="18"/>
      <c r="B72" s="55">
        <v>3.0</v>
      </c>
      <c r="C72" s="50" t="s">
        <v>59</v>
      </c>
      <c r="D72" s="57"/>
      <c r="E72" s="19">
        <v>24.0</v>
      </c>
      <c r="F72" s="19">
        <v>6.0</v>
      </c>
      <c r="G72" s="19">
        <v>4.0</v>
      </c>
      <c r="H72" s="19">
        <v>9.0</v>
      </c>
      <c r="I72" s="19">
        <v>7.0</v>
      </c>
      <c r="J72" s="19">
        <v>1.0</v>
      </c>
      <c r="K72" s="19">
        <v>23.0</v>
      </c>
      <c r="L72" s="19">
        <v>6.0</v>
      </c>
      <c r="M72" s="19">
        <v>59.0</v>
      </c>
      <c r="N72" s="19">
        <v>20.0</v>
      </c>
      <c r="O72" s="19">
        <v>5.0</v>
      </c>
      <c r="P72" s="19">
        <v>6.0</v>
      </c>
      <c r="Q72" s="19">
        <v>3.0</v>
      </c>
      <c r="R72" s="19">
        <v>3.0</v>
      </c>
      <c r="S72" s="19">
        <v>4.0</v>
      </c>
      <c r="T72" s="19">
        <v>4.0</v>
      </c>
      <c r="U72" s="19">
        <v>15.0</v>
      </c>
      <c r="V72" s="19">
        <v>10.0</v>
      </c>
      <c r="W72" s="19">
        <v>56.0</v>
      </c>
      <c r="X72" s="19">
        <v>8.0</v>
      </c>
      <c r="Y72" s="19">
        <v>12.0</v>
      </c>
      <c r="Z72" s="19">
        <v>29.0</v>
      </c>
      <c r="AA72" s="19">
        <v>11.0</v>
      </c>
      <c r="AB72" s="19">
        <v>4.0</v>
      </c>
      <c r="AC72" s="19">
        <v>10.0</v>
      </c>
      <c r="AD72" s="19">
        <v>50.0</v>
      </c>
      <c r="AE72" s="19">
        <v>18.0</v>
      </c>
      <c r="AF72" s="19">
        <v>13.0</v>
      </c>
      <c r="AG72" s="19">
        <v>6.0</v>
      </c>
      <c r="AH72" s="19">
        <v>1.0</v>
      </c>
      <c r="AI72" s="19">
        <v>9.0</v>
      </c>
      <c r="AJ72" s="19">
        <v>9.0</v>
      </c>
      <c r="AK72" s="19">
        <v>14.0</v>
      </c>
      <c r="AL72" s="19">
        <v>36.0</v>
      </c>
      <c r="AM72" s="19">
        <v>31.0</v>
      </c>
      <c r="AN72" s="19">
        <v>13.0</v>
      </c>
      <c r="AO72" s="19">
        <v>27.0</v>
      </c>
      <c r="AP72" s="13">
        <f t="shared" si="18"/>
        <v>566</v>
      </c>
    </row>
    <row r="73" ht="12.75" customHeight="1">
      <c r="A73" s="18"/>
      <c r="B73" s="55">
        <v>4.0</v>
      </c>
      <c r="C73" s="50" t="s">
        <v>60</v>
      </c>
      <c r="D73" s="57"/>
      <c r="E73" s="19">
        <v>1.0</v>
      </c>
      <c r="F73" s="19">
        <v>0.0</v>
      </c>
      <c r="G73" s="19">
        <v>0.0</v>
      </c>
      <c r="H73" s="19">
        <v>0.0</v>
      </c>
      <c r="I73" s="19">
        <v>0.0</v>
      </c>
      <c r="J73" s="19">
        <v>0.0</v>
      </c>
      <c r="K73" s="19">
        <v>2.0</v>
      </c>
      <c r="L73" s="19">
        <v>0.0</v>
      </c>
      <c r="M73" s="19">
        <v>4.0</v>
      </c>
      <c r="N73" s="19">
        <v>3.0</v>
      </c>
      <c r="O73" s="19">
        <v>2.0</v>
      </c>
      <c r="P73" s="19">
        <v>1.0</v>
      </c>
      <c r="Q73" s="19">
        <v>1.0</v>
      </c>
      <c r="R73" s="19">
        <v>0.0</v>
      </c>
      <c r="S73" s="19">
        <v>0.0</v>
      </c>
      <c r="T73" s="19">
        <v>1.0</v>
      </c>
      <c r="U73" s="19">
        <v>1.0</v>
      </c>
      <c r="V73" s="19">
        <v>1.0</v>
      </c>
      <c r="W73" s="19">
        <v>0.0</v>
      </c>
      <c r="X73" s="19">
        <v>1.0</v>
      </c>
      <c r="Y73" s="19">
        <v>1.0</v>
      </c>
      <c r="Z73" s="19">
        <v>0.0</v>
      </c>
      <c r="AA73" s="19">
        <v>1.0</v>
      </c>
      <c r="AB73" s="19">
        <v>1.0</v>
      </c>
      <c r="AC73" s="19">
        <v>0.0</v>
      </c>
      <c r="AD73" s="19">
        <v>2.0</v>
      </c>
      <c r="AE73" s="19">
        <v>0.0</v>
      </c>
      <c r="AF73" s="19">
        <v>0.0</v>
      </c>
      <c r="AG73" s="19">
        <v>2.0</v>
      </c>
      <c r="AH73" s="19">
        <v>0.0</v>
      </c>
      <c r="AI73" s="19">
        <v>0.0</v>
      </c>
      <c r="AJ73" s="19">
        <v>0.0</v>
      </c>
      <c r="AK73" s="19">
        <v>2.0</v>
      </c>
      <c r="AL73" s="19">
        <v>1.0</v>
      </c>
      <c r="AM73" s="19">
        <v>2.0</v>
      </c>
      <c r="AN73" s="19">
        <v>0.0</v>
      </c>
      <c r="AO73" s="19">
        <v>2.0</v>
      </c>
      <c r="AP73" s="13">
        <f t="shared" si="18"/>
        <v>32</v>
      </c>
    </row>
    <row r="74" ht="12.75" customHeight="1">
      <c r="A74" s="18"/>
      <c r="B74" s="55">
        <v>5.0</v>
      </c>
      <c r="C74" s="50" t="s">
        <v>61</v>
      </c>
      <c r="D74" s="57"/>
      <c r="E74" s="19">
        <v>3.0</v>
      </c>
      <c r="F74" s="19">
        <v>5.0</v>
      </c>
      <c r="G74" s="19">
        <v>0.0</v>
      </c>
      <c r="H74" s="19">
        <v>1.0</v>
      </c>
      <c r="I74" s="19">
        <v>2.0</v>
      </c>
      <c r="J74" s="19">
        <v>4.0</v>
      </c>
      <c r="K74" s="19">
        <v>0.0</v>
      </c>
      <c r="L74" s="19">
        <v>0.0</v>
      </c>
      <c r="M74" s="19">
        <v>9.0</v>
      </c>
      <c r="N74" s="19">
        <v>2.0</v>
      </c>
      <c r="O74" s="19">
        <v>1.0</v>
      </c>
      <c r="P74" s="19">
        <v>0.0</v>
      </c>
      <c r="Q74" s="19">
        <v>3.0</v>
      </c>
      <c r="R74" s="19">
        <v>4.0</v>
      </c>
      <c r="S74" s="19">
        <v>0.0</v>
      </c>
      <c r="T74" s="19">
        <v>4.0</v>
      </c>
      <c r="U74" s="19">
        <v>1.0</v>
      </c>
      <c r="V74" s="19">
        <v>1.0</v>
      </c>
      <c r="W74" s="19">
        <v>2.0</v>
      </c>
      <c r="X74" s="19">
        <v>2.0</v>
      </c>
      <c r="Y74" s="19">
        <v>3.0</v>
      </c>
      <c r="Z74" s="19">
        <v>1.0</v>
      </c>
      <c r="AA74" s="19">
        <v>1.0</v>
      </c>
      <c r="AB74" s="19">
        <v>5.0</v>
      </c>
      <c r="AC74" s="19">
        <v>2.0</v>
      </c>
      <c r="AD74" s="19">
        <v>5.0</v>
      </c>
      <c r="AE74" s="19">
        <v>3.0</v>
      </c>
      <c r="AF74" s="19">
        <v>7.0</v>
      </c>
      <c r="AG74" s="19">
        <v>0.0</v>
      </c>
      <c r="AH74" s="19">
        <v>4.0</v>
      </c>
      <c r="AI74" s="19">
        <v>4.0</v>
      </c>
      <c r="AJ74" s="19">
        <v>3.0</v>
      </c>
      <c r="AK74" s="19">
        <v>1.0</v>
      </c>
      <c r="AL74" s="19">
        <v>1.0</v>
      </c>
      <c r="AM74" s="19">
        <v>3.0</v>
      </c>
      <c r="AN74" s="19">
        <v>1.0</v>
      </c>
      <c r="AO74" s="19">
        <v>0.0</v>
      </c>
      <c r="AP74" s="13">
        <f t="shared" si="18"/>
        <v>88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1.0</v>
      </c>
      <c r="G75" s="19">
        <v>0.0</v>
      </c>
      <c r="H75" s="19">
        <v>0.0</v>
      </c>
      <c r="I75" s="19">
        <v>2.0</v>
      </c>
      <c r="J75" s="19">
        <v>1.0</v>
      </c>
      <c r="K75" s="19">
        <v>2.0</v>
      </c>
      <c r="L75" s="19">
        <v>0.0</v>
      </c>
      <c r="M75" s="19">
        <v>1.0</v>
      </c>
      <c r="N75" s="19">
        <v>1.0</v>
      </c>
      <c r="O75" s="19">
        <v>0.0</v>
      </c>
      <c r="P75" s="19">
        <v>1.0</v>
      </c>
      <c r="Q75" s="19">
        <v>1.0</v>
      </c>
      <c r="R75" s="19">
        <v>0.0</v>
      </c>
      <c r="S75" s="19">
        <v>0.0</v>
      </c>
      <c r="T75" s="19">
        <v>2.0</v>
      </c>
      <c r="U75" s="19">
        <v>1.0</v>
      </c>
      <c r="V75" s="19">
        <v>1.0</v>
      </c>
      <c r="W75" s="19">
        <v>0.0</v>
      </c>
      <c r="X75" s="19">
        <v>2.0</v>
      </c>
      <c r="Y75" s="19">
        <v>0.0</v>
      </c>
      <c r="Z75" s="19">
        <v>0.0</v>
      </c>
      <c r="AA75" s="19">
        <v>0.0</v>
      </c>
      <c r="AB75" s="19">
        <v>3.0</v>
      </c>
      <c r="AC75" s="19">
        <v>3.0</v>
      </c>
      <c r="AD75" s="19">
        <v>0.0</v>
      </c>
      <c r="AE75" s="19">
        <v>2.0</v>
      </c>
      <c r="AF75" s="19">
        <v>9.0</v>
      </c>
      <c r="AG75" s="19">
        <v>1.0</v>
      </c>
      <c r="AH75" s="19">
        <v>4.0</v>
      </c>
      <c r="AI75" s="19">
        <v>5.0</v>
      </c>
      <c r="AJ75" s="19">
        <v>4.0</v>
      </c>
      <c r="AK75" s="19">
        <v>1.0</v>
      </c>
      <c r="AL75" s="19">
        <v>1.0</v>
      </c>
      <c r="AM75" s="19">
        <v>5.0</v>
      </c>
      <c r="AN75" s="19">
        <v>2.0</v>
      </c>
      <c r="AO75" s="19">
        <v>5.0</v>
      </c>
      <c r="AP75" s="13">
        <f t="shared" si="18"/>
        <v>61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0.0</v>
      </c>
      <c r="M76" s="19">
        <v>1.0</v>
      </c>
      <c r="N76" s="19">
        <v>3.0</v>
      </c>
      <c r="O76" s="19">
        <v>3.0</v>
      </c>
      <c r="P76" s="19">
        <v>0.0</v>
      </c>
      <c r="Q76" s="19">
        <v>1.0</v>
      </c>
      <c r="R76" s="19">
        <v>0.0</v>
      </c>
      <c r="S76" s="19">
        <v>2.0</v>
      </c>
      <c r="T76" s="19">
        <v>1.0</v>
      </c>
      <c r="U76" s="19">
        <v>1.0</v>
      </c>
      <c r="V76" s="19">
        <v>6.0</v>
      </c>
      <c r="W76" s="19">
        <v>0.0</v>
      </c>
      <c r="X76" s="19">
        <v>1.0</v>
      </c>
      <c r="Y76" s="19">
        <v>0.0</v>
      </c>
      <c r="Z76" s="19">
        <v>0.0</v>
      </c>
      <c r="AA76" s="19">
        <v>2.0</v>
      </c>
      <c r="AB76" s="19">
        <v>1.0</v>
      </c>
      <c r="AC76" s="19">
        <v>1.0</v>
      </c>
      <c r="AD76" s="19">
        <v>3.0</v>
      </c>
      <c r="AE76" s="19">
        <v>0.0</v>
      </c>
      <c r="AF76" s="19">
        <v>1.0</v>
      </c>
      <c r="AG76" s="19">
        <v>0.0</v>
      </c>
      <c r="AH76" s="19">
        <v>0.0</v>
      </c>
      <c r="AI76" s="19">
        <v>1.0</v>
      </c>
      <c r="AJ76" s="19">
        <v>0.0</v>
      </c>
      <c r="AK76" s="19">
        <v>0.0</v>
      </c>
      <c r="AL76" s="19">
        <v>1.0</v>
      </c>
      <c r="AM76" s="19">
        <v>1.0</v>
      </c>
      <c r="AN76" s="19">
        <v>1.0</v>
      </c>
      <c r="AO76" s="19">
        <v>0.0</v>
      </c>
      <c r="AP76" s="13">
        <f t="shared" si="18"/>
        <v>31</v>
      </c>
    </row>
    <row r="77" ht="12.75" customHeight="1">
      <c r="A77" s="18"/>
      <c r="B77" s="71"/>
      <c r="C77" s="72"/>
      <c r="D77" s="7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79"/>
    </row>
    <row r="78" ht="12.75" customHeight="1">
      <c r="A78" s="18"/>
      <c r="B78" s="71"/>
      <c r="C78" s="72"/>
      <c r="D78" s="7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79"/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P79" si="19">SUM(E69:E78)</f>
        <v>55</v>
      </c>
      <c r="F79" s="13">
        <f t="shared" si="19"/>
        <v>29</v>
      </c>
      <c r="G79" s="13">
        <f t="shared" si="19"/>
        <v>18</v>
      </c>
      <c r="H79" s="13">
        <f t="shared" si="19"/>
        <v>35</v>
      </c>
      <c r="I79" s="13">
        <f t="shared" si="19"/>
        <v>39</v>
      </c>
      <c r="J79" s="13">
        <f t="shared" si="19"/>
        <v>27</v>
      </c>
      <c r="K79" s="13">
        <f t="shared" si="19"/>
        <v>42</v>
      </c>
      <c r="L79" s="13">
        <f t="shared" si="19"/>
        <v>25</v>
      </c>
      <c r="M79" s="13">
        <f t="shared" si="19"/>
        <v>114</v>
      </c>
      <c r="N79" s="13">
        <f t="shared" si="19"/>
        <v>81</v>
      </c>
      <c r="O79" s="13">
        <f t="shared" si="19"/>
        <v>53</v>
      </c>
      <c r="P79" s="13">
        <f t="shared" si="19"/>
        <v>37</v>
      </c>
      <c r="Q79" s="13">
        <f t="shared" si="19"/>
        <v>35</v>
      </c>
      <c r="R79" s="13">
        <f t="shared" si="19"/>
        <v>42</v>
      </c>
      <c r="S79" s="13">
        <f t="shared" si="19"/>
        <v>45</v>
      </c>
      <c r="T79" s="13">
        <f t="shared" si="19"/>
        <v>44</v>
      </c>
      <c r="U79" s="13">
        <f t="shared" si="19"/>
        <v>66</v>
      </c>
      <c r="V79" s="13">
        <f t="shared" si="19"/>
        <v>55</v>
      </c>
      <c r="W79" s="13">
        <f t="shared" si="19"/>
        <v>73</v>
      </c>
      <c r="X79" s="13">
        <f t="shared" si="19"/>
        <v>32</v>
      </c>
      <c r="Y79" s="13">
        <f t="shared" si="19"/>
        <v>35</v>
      </c>
      <c r="Z79" s="13">
        <f t="shared" si="19"/>
        <v>48</v>
      </c>
      <c r="AA79" s="13">
        <f t="shared" si="19"/>
        <v>40</v>
      </c>
      <c r="AB79" s="13">
        <f t="shared" si="19"/>
        <v>37</v>
      </c>
      <c r="AC79" s="13">
        <f t="shared" si="19"/>
        <v>28</v>
      </c>
      <c r="AD79" s="13">
        <f t="shared" si="19"/>
        <v>89</v>
      </c>
      <c r="AE79" s="13">
        <f t="shared" si="19"/>
        <v>47</v>
      </c>
      <c r="AF79" s="13">
        <f t="shared" si="19"/>
        <v>91</v>
      </c>
      <c r="AG79" s="13">
        <f t="shared" si="19"/>
        <v>71</v>
      </c>
      <c r="AH79" s="13">
        <f t="shared" si="19"/>
        <v>29</v>
      </c>
      <c r="AI79" s="13">
        <f t="shared" si="19"/>
        <v>36</v>
      </c>
      <c r="AJ79" s="13">
        <f t="shared" si="19"/>
        <v>50</v>
      </c>
      <c r="AK79" s="13">
        <f t="shared" si="19"/>
        <v>52</v>
      </c>
      <c r="AL79" s="13">
        <f t="shared" si="19"/>
        <v>64</v>
      </c>
      <c r="AM79" s="13">
        <f t="shared" si="19"/>
        <v>77</v>
      </c>
      <c r="AN79" s="13">
        <f t="shared" si="19"/>
        <v>58</v>
      </c>
      <c r="AO79" s="13">
        <f t="shared" si="19"/>
        <v>70</v>
      </c>
      <c r="AP79" s="13">
        <f t="shared" si="19"/>
        <v>1869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0.0</v>
      </c>
      <c r="F81" s="19">
        <v>6.0</v>
      </c>
      <c r="G81" s="19">
        <v>7.0</v>
      </c>
      <c r="H81" s="19">
        <v>4.0</v>
      </c>
      <c r="I81" s="19">
        <v>2.0</v>
      </c>
      <c r="J81" s="19">
        <v>5.0</v>
      </c>
      <c r="K81" s="19">
        <v>2.0</v>
      </c>
      <c r="L81" s="19">
        <v>3.0</v>
      </c>
      <c r="M81" s="19">
        <v>9.0</v>
      </c>
      <c r="N81" s="19">
        <v>7.0</v>
      </c>
      <c r="O81" s="19">
        <v>2.0</v>
      </c>
      <c r="P81" s="19">
        <v>7.0</v>
      </c>
      <c r="Q81" s="19">
        <v>2.0</v>
      </c>
      <c r="R81" s="19">
        <v>1.0</v>
      </c>
      <c r="S81" s="19">
        <v>7.0</v>
      </c>
      <c r="T81" s="19">
        <v>2.0</v>
      </c>
      <c r="U81" s="19">
        <v>0.0</v>
      </c>
      <c r="V81" s="19">
        <v>6.0</v>
      </c>
      <c r="W81" s="19">
        <v>1.0</v>
      </c>
      <c r="X81" s="19">
        <v>7.0</v>
      </c>
      <c r="Y81" s="19">
        <v>4.0</v>
      </c>
      <c r="Z81" s="19">
        <v>2.0</v>
      </c>
      <c r="AA81" s="19">
        <v>6.0</v>
      </c>
      <c r="AB81" s="19">
        <v>4.0</v>
      </c>
      <c r="AC81" s="19">
        <v>4.0</v>
      </c>
      <c r="AD81" s="19">
        <v>2.0</v>
      </c>
      <c r="AE81" s="19">
        <v>2.0</v>
      </c>
      <c r="AF81" s="19">
        <v>2.0</v>
      </c>
      <c r="AG81" s="19">
        <v>12.0</v>
      </c>
      <c r="AH81" s="19">
        <v>8.0</v>
      </c>
      <c r="AI81" s="19">
        <v>5.0</v>
      </c>
      <c r="AJ81" s="19">
        <v>14.0</v>
      </c>
      <c r="AK81" s="19">
        <v>3.0</v>
      </c>
      <c r="AL81" s="19">
        <v>9.0</v>
      </c>
      <c r="AM81" s="19">
        <v>8.0</v>
      </c>
      <c r="AN81" s="19">
        <v>9.0</v>
      </c>
      <c r="AO81" s="19">
        <v>2.0</v>
      </c>
      <c r="AP81" s="13">
        <f t="shared" ref="AP81:AP88" si="20">SUM(E81:AO81)</f>
        <v>176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5.0</v>
      </c>
      <c r="F82" s="19">
        <v>13.0</v>
      </c>
      <c r="G82" s="19">
        <v>70.0</v>
      </c>
      <c r="H82" s="19">
        <v>68.0</v>
      </c>
      <c r="I82" s="19">
        <v>42.0</v>
      </c>
      <c r="J82" s="19">
        <v>3.0</v>
      </c>
      <c r="K82" s="19">
        <v>6.0</v>
      </c>
      <c r="L82" s="19">
        <v>2.0</v>
      </c>
      <c r="M82" s="19">
        <v>4.0</v>
      </c>
      <c r="N82" s="19">
        <v>3.0</v>
      </c>
      <c r="O82" s="19">
        <v>2.0</v>
      </c>
      <c r="P82" s="19">
        <v>3.0</v>
      </c>
      <c r="Q82" s="19">
        <v>5.0</v>
      </c>
      <c r="R82" s="19">
        <v>4.0</v>
      </c>
      <c r="S82" s="19">
        <v>3.0</v>
      </c>
      <c r="T82" s="19">
        <v>3.0</v>
      </c>
      <c r="U82" s="19">
        <v>1.0</v>
      </c>
      <c r="V82" s="19">
        <v>2.0</v>
      </c>
      <c r="W82" s="19">
        <v>2.0</v>
      </c>
      <c r="X82" s="19">
        <v>1.0</v>
      </c>
      <c r="Y82" s="19">
        <v>2.0</v>
      </c>
      <c r="Z82" s="19">
        <v>0.0</v>
      </c>
      <c r="AA82" s="19">
        <v>1.0</v>
      </c>
      <c r="AB82" s="19">
        <v>8.0</v>
      </c>
      <c r="AC82" s="19">
        <v>31.0</v>
      </c>
      <c r="AD82" s="19">
        <v>4.0</v>
      </c>
      <c r="AE82" s="19">
        <v>3.0</v>
      </c>
      <c r="AF82" s="19">
        <v>6.0</v>
      </c>
      <c r="AG82" s="19">
        <v>11.0</v>
      </c>
      <c r="AH82" s="19">
        <v>11.0</v>
      </c>
      <c r="AI82" s="19">
        <v>12.0</v>
      </c>
      <c r="AJ82" s="19">
        <v>11.0</v>
      </c>
      <c r="AK82" s="19">
        <v>5.0</v>
      </c>
      <c r="AL82" s="19">
        <v>3.0</v>
      </c>
      <c r="AM82" s="19">
        <v>4.0</v>
      </c>
      <c r="AN82" s="19">
        <v>4.0</v>
      </c>
      <c r="AO82" s="19">
        <v>0.0</v>
      </c>
      <c r="AP82" s="13">
        <f t="shared" si="20"/>
        <v>358</v>
      </c>
    </row>
    <row r="83" ht="12.75" customHeight="1">
      <c r="A83" s="18"/>
      <c r="B83" s="55">
        <v>2.0</v>
      </c>
      <c r="C83" s="50" t="s">
        <v>66</v>
      </c>
      <c r="D83" s="57"/>
      <c r="E83" s="19">
        <v>9.0</v>
      </c>
      <c r="F83" s="19">
        <v>5.0</v>
      </c>
      <c r="G83" s="19">
        <v>6.0</v>
      </c>
      <c r="H83" s="19">
        <v>9.0</v>
      </c>
      <c r="I83" s="19">
        <v>6.0</v>
      </c>
      <c r="J83" s="19">
        <v>8.0</v>
      </c>
      <c r="K83" s="19">
        <v>4.0</v>
      </c>
      <c r="L83" s="19">
        <v>0.0</v>
      </c>
      <c r="M83" s="19">
        <v>8.0</v>
      </c>
      <c r="N83" s="19">
        <v>15.0</v>
      </c>
      <c r="O83" s="19">
        <v>8.0</v>
      </c>
      <c r="P83" s="19">
        <v>11.0</v>
      </c>
      <c r="Q83" s="19">
        <v>4.0</v>
      </c>
      <c r="R83" s="19">
        <v>12.0</v>
      </c>
      <c r="S83" s="19">
        <v>27.0</v>
      </c>
      <c r="T83" s="19">
        <v>16.0</v>
      </c>
      <c r="U83" s="19">
        <v>7.0</v>
      </c>
      <c r="V83" s="19">
        <v>17.0</v>
      </c>
      <c r="W83" s="19">
        <v>3.0</v>
      </c>
      <c r="X83" s="19">
        <v>20.0</v>
      </c>
      <c r="Y83" s="19">
        <v>13.0</v>
      </c>
      <c r="Z83" s="19">
        <v>9.0</v>
      </c>
      <c r="AA83" s="19">
        <v>20.0</v>
      </c>
      <c r="AB83" s="19">
        <v>10.0</v>
      </c>
      <c r="AC83" s="19">
        <v>8.0</v>
      </c>
      <c r="AD83" s="19">
        <v>8.0</v>
      </c>
      <c r="AE83" s="19">
        <v>19.0</v>
      </c>
      <c r="AF83" s="19">
        <v>9.0</v>
      </c>
      <c r="AG83" s="19">
        <v>11.0</v>
      </c>
      <c r="AH83" s="19">
        <v>49.0</v>
      </c>
      <c r="AI83" s="19">
        <v>30.0</v>
      </c>
      <c r="AJ83" s="19">
        <v>19.0</v>
      </c>
      <c r="AK83" s="19">
        <v>47.0</v>
      </c>
      <c r="AL83" s="19">
        <v>21.0</v>
      </c>
      <c r="AM83" s="19">
        <v>38.0</v>
      </c>
      <c r="AN83" s="19">
        <v>34.0</v>
      </c>
      <c r="AO83" s="19">
        <v>22.0</v>
      </c>
      <c r="AP83" s="13">
        <f t="shared" si="20"/>
        <v>562</v>
      </c>
    </row>
    <row r="84" ht="12.75" customHeight="1">
      <c r="A84" s="18"/>
      <c r="B84" s="55">
        <v>3.0</v>
      </c>
      <c r="C84" s="50" t="s">
        <v>67</v>
      </c>
      <c r="D84" s="57"/>
      <c r="E84" s="19">
        <v>1.0</v>
      </c>
      <c r="F84" s="19">
        <v>0.0</v>
      </c>
      <c r="G84" s="19">
        <v>1.0</v>
      </c>
      <c r="H84" s="19">
        <v>0.0</v>
      </c>
      <c r="I84" s="19">
        <v>1.0</v>
      </c>
      <c r="J84" s="19">
        <v>0.0</v>
      </c>
      <c r="K84" s="19">
        <v>0.0</v>
      </c>
      <c r="L84" s="19">
        <v>0.0</v>
      </c>
      <c r="M84" s="19">
        <v>0.0</v>
      </c>
      <c r="N84" s="19">
        <v>0.0</v>
      </c>
      <c r="O84" s="19">
        <v>0.0</v>
      </c>
      <c r="P84" s="19">
        <v>1.0</v>
      </c>
      <c r="Q84" s="19">
        <v>0.0</v>
      </c>
      <c r="R84" s="19">
        <v>0.0</v>
      </c>
      <c r="S84" s="19">
        <v>0.0</v>
      </c>
      <c r="T84" s="19">
        <v>0.0</v>
      </c>
      <c r="U84" s="19">
        <v>0.0</v>
      </c>
      <c r="V84" s="19">
        <v>0.0</v>
      </c>
      <c r="W84" s="19">
        <v>0.0</v>
      </c>
      <c r="X84" s="19">
        <v>0.0</v>
      </c>
      <c r="Y84" s="19">
        <v>1.0</v>
      </c>
      <c r="Z84" s="19">
        <v>0.0</v>
      </c>
      <c r="AA84" s="19">
        <v>0.0</v>
      </c>
      <c r="AB84" s="19">
        <v>1.0</v>
      </c>
      <c r="AC84" s="19">
        <v>1.0</v>
      </c>
      <c r="AD84" s="19">
        <v>0.0</v>
      </c>
      <c r="AE84" s="19">
        <v>0.0</v>
      </c>
      <c r="AF84" s="19">
        <v>1.0</v>
      </c>
      <c r="AG84" s="19">
        <v>3.0</v>
      </c>
      <c r="AH84" s="19">
        <v>2.0</v>
      </c>
      <c r="AI84" s="19">
        <v>1.0</v>
      </c>
      <c r="AJ84" s="19">
        <v>1.0</v>
      </c>
      <c r="AK84" s="19">
        <v>1.0</v>
      </c>
      <c r="AL84" s="19">
        <v>0.0</v>
      </c>
      <c r="AM84" s="19">
        <v>1.0</v>
      </c>
      <c r="AN84" s="19">
        <v>1.0</v>
      </c>
      <c r="AO84" s="19">
        <v>0.0</v>
      </c>
      <c r="AP84" s="13">
        <f t="shared" si="20"/>
        <v>18</v>
      </c>
    </row>
    <row r="85" ht="12.75" customHeight="1">
      <c r="A85" s="18"/>
      <c r="B85" s="55">
        <v>4.0</v>
      </c>
      <c r="C85" s="50" t="s">
        <v>68</v>
      </c>
      <c r="D85" s="57"/>
      <c r="E85" s="19">
        <v>1.0</v>
      </c>
      <c r="F85" s="19">
        <v>0.0</v>
      </c>
      <c r="G85" s="19">
        <v>1.0</v>
      </c>
      <c r="H85" s="19">
        <v>2.0</v>
      </c>
      <c r="I85" s="19">
        <v>0.0</v>
      </c>
      <c r="J85" s="19">
        <v>0.0</v>
      </c>
      <c r="K85" s="19">
        <v>1.0</v>
      </c>
      <c r="L85" s="19">
        <v>0.0</v>
      </c>
      <c r="M85" s="19">
        <v>0.0</v>
      </c>
      <c r="N85" s="19">
        <v>0.0</v>
      </c>
      <c r="O85" s="19">
        <v>1.0</v>
      </c>
      <c r="P85" s="19">
        <v>0.0</v>
      </c>
      <c r="Q85" s="19">
        <v>0.0</v>
      </c>
      <c r="R85" s="19">
        <v>0.0</v>
      </c>
      <c r="S85" s="19">
        <v>0.0</v>
      </c>
      <c r="T85" s="19">
        <v>0.0</v>
      </c>
      <c r="U85" s="19">
        <v>0.0</v>
      </c>
      <c r="V85" s="19">
        <v>0.0</v>
      </c>
      <c r="W85" s="19">
        <v>0.0</v>
      </c>
      <c r="X85" s="19">
        <v>0.0</v>
      </c>
      <c r="Y85" s="19">
        <v>0.0</v>
      </c>
      <c r="Z85" s="19">
        <v>0.0</v>
      </c>
      <c r="AA85" s="19">
        <v>0.0</v>
      </c>
      <c r="AB85" s="19">
        <v>0.0</v>
      </c>
      <c r="AC85" s="19">
        <v>1.0</v>
      </c>
      <c r="AD85" s="19">
        <v>1.0</v>
      </c>
      <c r="AE85" s="19">
        <v>0.0</v>
      </c>
      <c r="AF85" s="19">
        <v>1.0</v>
      </c>
      <c r="AG85" s="19">
        <v>1.0</v>
      </c>
      <c r="AH85" s="19">
        <v>1.0</v>
      </c>
      <c r="AI85" s="19">
        <v>0.0</v>
      </c>
      <c r="AJ85" s="19">
        <v>1.0</v>
      </c>
      <c r="AK85" s="19">
        <v>0.0</v>
      </c>
      <c r="AL85" s="19">
        <v>0.0</v>
      </c>
      <c r="AM85" s="19">
        <v>0.0</v>
      </c>
      <c r="AN85" s="19">
        <v>1.0</v>
      </c>
      <c r="AO85" s="19">
        <v>2.0</v>
      </c>
      <c r="AP85" s="13">
        <f t="shared" si="20"/>
        <v>15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0.0</v>
      </c>
      <c r="G86" s="19">
        <v>0.0</v>
      </c>
      <c r="H86" s="19">
        <v>0.0</v>
      </c>
      <c r="I86" s="19">
        <v>0.0</v>
      </c>
      <c r="J86" s="19">
        <v>1.0</v>
      </c>
      <c r="K86" s="19">
        <v>0.0</v>
      </c>
      <c r="L86" s="19">
        <v>1.0</v>
      </c>
      <c r="M86" s="19">
        <v>0.0</v>
      </c>
      <c r="N86" s="19">
        <v>1.0</v>
      </c>
      <c r="O86" s="19">
        <v>1.0</v>
      </c>
      <c r="P86" s="19">
        <v>3.0</v>
      </c>
      <c r="Q86" s="19">
        <v>0.0</v>
      </c>
      <c r="R86" s="19">
        <v>0.0</v>
      </c>
      <c r="S86" s="19">
        <v>1.0</v>
      </c>
      <c r="T86" s="19">
        <v>4.0</v>
      </c>
      <c r="U86" s="19">
        <v>2.0</v>
      </c>
      <c r="V86" s="19">
        <v>0.0</v>
      </c>
      <c r="W86" s="19">
        <v>0.0</v>
      </c>
      <c r="X86" s="19">
        <v>4.0</v>
      </c>
      <c r="Y86" s="19">
        <v>0.0</v>
      </c>
      <c r="Z86" s="19">
        <v>0.0</v>
      </c>
      <c r="AA86" s="19">
        <v>1.0</v>
      </c>
      <c r="AB86" s="19">
        <v>0.0</v>
      </c>
      <c r="AC86" s="19">
        <v>1.0</v>
      </c>
      <c r="AD86" s="19">
        <v>1.0</v>
      </c>
      <c r="AE86" s="19">
        <v>0.0</v>
      </c>
      <c r="AF86" s="19">
        <v>0.0</v>
      </c>
      <c r="AG86" s="19">
        <v>1.0</v>
      </c>
      <c r="AH86" s="19">
        <v>1.0</v>
      </c>
      <c r="AI86" s="19">
        <v>3.0</v>
      </c>
      <c r="AJ86" s="19">
        <v>1.0</v>
      </c>
      <c r="AK86" s="19">
        <v>0.0</v>
      </c>
      <c r="AL86" s="19">
        <v>0.0</v>
      </c>
      <c r="AM86" s="19">
        <v>0.0</v>
      </c>
      <c r="AN86" s="19">
        <v>4.0</v>
      </c>
      <c r="AO86" s="19">
        <v>0.0</v>
      </c>
      <c r="AP86" s="13">
        <f t="shared" si="20"/>
        <v>31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1.0</v>
      </c>
      <c r="H87" s="19">
        <v>0.0</v>
      </c>
      <c r="I87" s="19">
        <v>1.0</v>
      </c>
      <c r="J87" s="19">
        <v>0.0</v>
      </c>
      <c r="K87" s="19">
        <v>0.0</v>
      </c>
      <c r="L87" s="19">
        <v>0.0</v>
      </c>
      <c r="M87" s="19">
        <v>0.0</v>
      </c>
      <c r="N87" s="19">
        <v>1.0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5.0</v>
      </c>
      <c r="Y87" s="19">
        <v>0.0</v>
      </c>
      <c r="Z87" s="19">
        <v>1.0</v>
      </c>
      <c r="AA87" s="19">
        <v>0.0</v>
      </c>
      <c r="AB87" s="19">
        <v>0.0</v>
      </c>
      <c r="AC87" s="19">
        <v>0.0</v>
      </c>
      <c r="AD87" s="19">
        <v>1.0</v>
      </c>
      <c r="AE87" s="19">
        <v>0.0</v>
      </c>
      <c r="AF87" s="19">
        <v>0.0</v>
      </c>
      <c r="AG87" s="19">
        <v>0.0</v>
      </c>
      <c r="AH87" s="19">
        <v>0.0</v>
      </c>
      <c r="AI87" s="19">
        <v>0.0</v>
      </c>
      <c r="AJ87" s="19">
        <v>0.0</v>
      </c>
      <c r="AK87" s="19">
        <v>0.0</v>
      </c>
      <c r="AL87" s="19">
        <v>1.0</v>
      </c>
      <c r="AM87" s="19">
        <v>1.0</v>
      </c>
      <c r="AN87" s="19">
        <v>2.0</v>
      </c>
      <c r="AO87" s="19">
        <v>1.0</v>
      </c>
      <c r="AP87" s="13">
        <f t="shared" si="20"/>
        <v>15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1.0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1.0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9">
        <v>0.0</v>
      </c>
      <c r="AI88" s="19">
        <v>0.0</v>
      </c>
      <c r="AJ88" s="19">
        <v>0.0</v>
      </c>
      <c r="AK88" s="19">
        <v>0.0</v>
      </c>
      <c r="AL88" s="19">
        <v>0.0</v>
      </c>
      <c r="AM88" s="19">
        <v>0.0</v>
      </c>
      <c r="AN88" s="19">
        <v>0.0</v>
      </c>
      <c r="AO88" s="19">
        <v>0.0</v>
      </c>
      <c r="AP88" s="13">
        <f t="shared" si="20"/>
        <v>2</v>
      </c>
    </row>
    <row r="89" ht="12.75" customHeight="1">
      <c r="A89" s="18"/>
      <c r="B89" s="71"/>
      <c r="C89" s="72"/>
      <c r="D89" s="7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79"/>
    </row>
    <row r="90" ht="12.75" customHeight="1">
      <c r="A90" s="18"/>
      <c r="B90" s="71"/>
      <c r="C90" s="72"/>
      <c r="D90" s="7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79"/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P91" si="21">SUM(E81:E90)</f>
        <v>16</v>
      </c>
      <c r="F91" s="13">
        <f t="shared" si="21"/>
        <v>24</v>
      </c>
      <c r="G91" s="13">
        <f t="shared" si="21"/>
        <v>86</v>
      </c>
      <c r="H91" s="13">
        <f t="shared" si="21"/>
        <v>83</v>
      </c>
      <c r="I91" s="13">
        <f t="shared" si="21"/>
        <v>53</v>
      </c>
      <c r="J91" s="13">
        <f t="shared" si="21"/>
        <v>17</v>
      </c>
      <c r="K91" s="13">
        <f t="shared" si="21"/>
        <v>13</v>
      </c>
      <c r="L91" s="13">
        <f t="shared" si="21"/>
        <v>6</v>
      </c>
      <c r="M91" s="13">
        <f t="shared" si="21"/>
        <v>21</v>
      </c>
      <c r="N91" s="13">
        <f t="shared" si="21"/>
        <v>27</v>
      </c>
      <c r="O91" s="13">
        <f t="shared" si="21"/>
        <v>14</v>
      </c>
      <c r="P91" s="13">
        <f t="shared" si="21"/>
        <v>25</v>
      </c>
      <c r="Q91" s="13">
        <f t="shared" si="21"/>
        <v>11</v>
      </c>
      <c r="R91" s="13">
        <f t="shared" si="21"/>
        <v>17</v>
      </c>
      <c r="S91" s="13">
        <f t="shared" si="21"/>
        <v>39</v>
      </c>
      <c r="T91" s="13">
        <f t="shared" si="21"/>
        <v>25</v>
      </c>
      <c r="U91" s="13">
        <f t="shared" si="21"/>
        <v>10</v>
      </c>
      <c r="V91" s="13">
        <f t="shared" si="21"/>
        <v>25</v>
      </c>
      <c r="W91" s="13">
        <f t="shared" si="21"/>
        <v>6</v>
      </c>
      <c r="X91" s="13">
        <f t="shared" si="21"/>
        <v>37</v>
      </c>
      <c r="Y91" s="13">
        <f t="shared" si="21"/>
        <v>20</v>
      </c>
      <c r="Z91" s="13">
        <f t="shared" si="21"/>
        <v>12</v>
      </c>
      <c r="AA91" s="13">
        <f t="shared" si="21"/>
        <v>28</v>
      </c>
      <c r="AB91" s="13">
        <f t="shared" si="21"/>
        <v>23</v>
      </c>
      <c r="AC91" s="13">
        <f t="shared" si="21"/>
        <v>46</v>
      </c>
      <c r="AD91" s="13">
        <f t="shared" si="21"/>
        <v>17</v>
      </c>
      <c r="AE91" s="13">
        <f t="shared" si="21"/>
        <v>24</v>
      </c>
      <c r="AF91" s="13">
        <f t="shared" si="21"/>
        <v>19</v>
      </c>
      <c r="AG91" s="13">
        <f t="shared" si="21"/>
        <v>39</v>
      </c>
      <c r="AH91" s="13">
        <f t="shared" si="21"/>
        <v>72</v>
      </c>
      <c r="AI91" s="13">
        <f t="shared" si="21"/>
        <v>51</v>
      </c>
      <c r="AJ91" s="13">
        <f t="shared" si="21"/>
        <v>47</v>
      </c>
      <c r="AK91" s="13">
        <f t="shared" si="21"/>
        <v>56</v>
      </c>
      <c r="AL91" s="13">
        <f t="shared" si="21"/>
        <v>34</v>
      </c>
      <c r="AM91" s="13">
        <f t="shared" si="21"/>
        <v>52</v>
      </c>
      <c r="AN91" s="13">
        <f t="shared" si="21"/>
        <v>55</v>
      </c>
      <c r="AO91" s="13">
        <f t="shared" si="21"/>
        <v>27</v>
      </c>
      <c r="AP91" s="13">
        <f t="shared" si="21"/>
        <v>1177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1.0</v>
      </c>
      <c r="F93" s="19">
        <v>2.0</v>
      </c>
      <c r="G93" s="19">
        <v>0.0</v>
      </c>
      <c r="H93" s="19">
        <v>0.0</v>
      </c>
      <c r="I93" s="19">
        <v>1.0</v>
      </c>
      <c r="J93" s="19">
        <v>1.0</v>
      </c>
      <c r="K93" s="19">
        <v>0.0</v>
      </c>
      <c r="L93" s="19">
        <v>1.0</v>
      </c>
      <c r="M93" s="19">
        <v>0.0</v>
      </c>
      <c r="N93" s="19">
        <v>2.0</v>
      </c>
      <c r="O93" s="19">
        <v>1.0</v>
      </c>
      <c r="P93" s="19">
        <v>1.0</v>
      </c>
      <c r="Q93" s="19">
        <v>0.0</v>
      </c>
      <c r="R93" s="19">
        <v>0.0</v>
      </c>
      <c r="S93" s="19">
        <v>0.0</v>
      </c>
      <c r="T93" s="19">
        <v>0.0</v>
      </c>
      <c r="U93" s="19">
        <v>0.0</v>
      </c>
      <c r="V93" s="19">
        <v>0.0</v>
      </c>
      <c r="W93" s="19">
        <v>0.0</v>
      </c>
      <c r="X93" s="19">
        <v>2.0</v>
      </c>
      <c r="Y93" s="19">
        <v>2.0</v>
      </c>
      <c r="Z93" s="19">
        <v>1.0</v>
      </c>
      <c r="AA93" s="19">
        <v>1.0</v>
      </c>
      <c r="AB93" s="19">
        <v>1.0</v>
      </c>
      <c r="AC93" s="19">
        <v>1.0</v>
      </c>
      <c r="AD93" s="19">
        <v>2.0</v>
      </c>
      <c r="AE93" s="19">
        <v>3.0</v>
      </c>
      <c r="AF93" s="19">
        <v>4.0</v>
      </c>
      <c r="AG93" s="19">
        <v>1.0</v>
      </c>
      <c r="AH93" s="19">
        <v>0.0</v>
      </c>
      <c r="AI93" s="19">
        <v>0.0</v>
      </c>
      <c r="AJ93" s="19">
        <v>0.0</v>
      </c>
      <c r="AK93" s="19">
        <v>1.0</v>
      </c>
      <c r="AL93" s="19">
        <v>3.0</v>
      </c>
      <c r="AM93" s="19">
        <v>0.0</v>
      </c>
      <c r="AN93" s="19">
        <v>0.0</v>
      </c>
      <c r="AO93" s="19">
        <v>0.0</v>
      </c>
      <c r="AP93" s="13">
        <f t="shared" ref="AP93:AP100" si="22">SUM(E93:AO93)</f>
        <v>32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0.0</v>
      </c>
      <c r="F94" s="19">
        <v>2.0</v>
      </c>
      <c r="G94" s="19">
        <v>1.0</v>
      </c>
      <c r="H94" s="19">
        <v>0.0</v>
      </c>
      <c r="I94" s="19">
        <v>0.0</v>
      </c>
      <c r="J94" s="19">
        <v>2.0</v>
      </c>
      <c r="K94" s="19">
        <v>0.0</v>
      </c>
      <c r="L94" s="19">
        <v>1.0</v>
      </c>
      <c r="M94" s="19">
        <v>0.0</v>
      </c>
      <c r="N94" s="19">
        <v>0.0</v>
      </c>
      <c r="O94" s="19">
        <v>1.0</v>
      </c>
      <c r="P94" s="19">
        <v>0.0</v>
      </c>
      <c r="Q94" s="19">
        <v>0.0</v>
      </c>
      <c r="R94" s="19">
        <v>0.0</v>
      </c>
      <c r="S94" s="19">
        <v>1.0</v>
      </c>
      <c r="T94" s="19">
        <v>0.0</v>
      </c>
      <c r="U94" s="19">
        <v>0.0</v>
      </c>
      <c r="V94" s="19">
        <v>0.0</v>
      </c>
      <c r="W94" s="19">
        <v>0.0</v>
      </c>
      <c r="X94" s="19">
        <v>0.0</v>
      </c>
      <c r="Y94" s="19">
        <v>0.0</v>
      </c>
      <c r="Z94" s="19">
        <v>1.0</v>
      </c>
      <c r="AA94" s="19">
        <v>2.0</v>
      </c>
      <c r="AB94" s="19">
        <v>3.0</v>
      </c>
      <c r="AC94" s="19">
        <v>0.0</v>
      </c>
      <c r="AD94" s="19">
        <v>3.0</v>
      </c>
      <c r="AE94" s="19">
        <v>3.0</v>
      </c>
      <c r="AF94" s="19">
        <v>6.0</v>
      </c>
      <c r="AG94" s="19">
        <v>0.0</v>
      </c>
      <c r="AH94" s="19">
        <v>0.0</v>
      </c>
      <c r="AI94" s="19">
        <v>1.0</v>
      </c>
      <c r="AJ94" s="19">
        <v>0.0</v>
      </c>
      <c r="AK94" s="19">
        <v>0.0</v>
      </c>
      <c r="AL94" s="19">
        <v>0.0</v>
      </c>
      <c r="AM94" s="19">
        <v>0.0</v>
      </c>
      <c r="AN94" s="19">
        <v>1.0</v>
      </c>
      <c r="AO94" s="19">
        <v>0.0</v>
      </c>
      <c r="AP94" s="13">
        <f t="shared" si="22"/>
        <v>28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6.0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9">
        <v>0.0</v>
      </c>
      <c r="T95" s="19">
        <v>1.0</v>
      </c>
      <c r="U95" s="19">
        <v>0.0</v>
      </c>
      <c r="V95" s="19">
        <v>0.0</v>
      </c>
      <c r="W95" s="19">
        <v>0.0</v>
      </c>
      <c r="X95" s="19">
        <v>0.0</v>
      </c>
      <c r="Y95" s="19">
        <v>0.0</v>
      </c>
      <c r="Z95" s="19">
        <v>0.0</v>
      </c>
      <c r="AA95" s="19">
        <v>0.0</v>
      </c>
      <c r="AB95" s="19">
        <v>0.0</v>
      </c>
      <c r="AC95" s="19">
        <v>0.0</v>
      </c>
      <c r="AD95" s="19">
        <v>1.0</v>
      </c>
      <c r="AE95" s="19">
        <v>0.0</v>
      </c>
      <c r="AF95" s="19">
        <v>0.0</v>
      </c>
      <c r="AG95" s="19">
        <v>0.0</v>
      </c>
      <c r="AH95" s="19">
        <v>1.0</v>
      </c>
      <c r="AI95" s="19">
        <v>0.0</v>
      </c>
      <c r="AJ95" s="19">
        <v>0.0</v>
      </c>
      <c r="AK95" s="19">
        <v>0.0</v>
      </c>
      <c r="AL95" s="19">
        <v>0.0</v>
      </c>
      <c r="AM95" s="19">
        <v>1.0</v>
      </c>
      <c r="AN95" s="19">
        <v>1.0</v>
      </c>
      <c r="AO95" s="19">
        <v>0.0</v>
      </c>
      <c r="AP95" s="13">
        <f t="shared" si="22"/>
        <v>11</v>
      </c>
    </row>
    <row r="96" ht="12.75" customHeight="1">
      <c r="A96" s="18"/>
      <c r="B96" s="55">
        <v>3.0</v>
      </c>
      <c r="C96" s="50" t="s">
        <v>76</v>
      </c>
      <c r="D96" s="57"/>
      <c r="E96" s="19">
        <v>1.0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1.0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9">
        <v>1.0</v>
      </c>
      <c r="AF96" s="19">
        <v>0.0</v>
      </c>
      <c r="AG96" s="19">
        <v>0.0</v>
      </c>
      <c r="AH96" s="19">
        <v>0.0</v>
      </c>
      <c r="AI96" s="19">
        <v>0.0</v>
      </c>
      <c r="AJ96" s="19">
        <v>0.0</v>
      </c>
      <c r="AK96" s="19">
        <v>0.0</v>
      </c>
      <c r="AL96" s="19">
        <v>0.0</v>
      </c>
      <c r="AM96" s="19">
        <v>0.0</v>
      </c>
      <c r="AN96" s="19">
        <v>0.0</v>
      </c>
      <c r="AO96" s="19">
        <v>0.0</v>
      </c>
      <c r="AP96" s="13">
        <f t="shared" si="22"/>
        <v>3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1.0</v>
      </c>
      <c r="N97" s="19">
        <v>1.0</v>
      </c>
      <c r="O97" s="19">
        <v>1.0</v>
      </c>
      <c r="P97" s="19">
        <v>0.0</v>
      </c>
      <c r="Q97" s="19">
        <v>0.0</v>
      </c>
      <c r="R97" s="19">
        <v>1.0</v>
      </c>
      <c r="S97" s="19">
        <v>0.0</v>
      </c>
      <c r="T97" s="19">
        <v>0.0</v>
      </c>
      <c r="U97" s="19">
        <v>0.0</v>
      </c>
      <c r="V97" s="19">
        <v>0.0</v>
      </c>
      <c r="W97" s="19">
        <v>0.0</v>
      </c>
      <c r="X97" s="19">
        <v>1.0</v>
      </c>
      <c r="Y97" s="19">
        <v>0.0</v>
      </c>
      <c r="Z97" s="19">
        <v>1.0</v>
      </c>
      <c r="AA97" s="19">
        <v>0.0</v>
      </c>
      <c r="AB97" s="19">
        <v>0.0</v>
      </c>
      <c r="AC97" s="19">
        <v>0.0</v>
      </c>
      <c r="AD97" s="19">
        <v>0.0</v>
      </c>
      <c r="AE97" s="19">
        <v>0.0</v>
      </c>
      <c r="AF97" s="19">
        <v>1.0</v>
      </c>
      <c r="AG97" s="19">
        <v>0.0</v>
      </c>
      <c r="AH97" s="19">
        <v>0.0</v>
      </c>
      <c r="AI97" s="19">
        <v>0.0</v>
      </c>
      <c r="AJ97" s="19">
        <v>1.0</v>
      </c>
      <c r="AK97" s="19">
        <v>0.0</v>
      </c>
      <c r="AL97" s="19">
        <v>0.0</v>
      </c>
      <c r="AM97" s="19">
        <v>0.0</v>
      </c>
      <c r="AN97" s="19">
        <v>0.0</v>
      </c>
      <c r="AO97" s="19">
        <v>0.0</v>
      </c>
      <c r="AP97" s="13">
        <f t="shared" si="22"/>
        <v>8</v>
      </c>
    </row>
    <row r="98" ht="12.75" customHeight="1">
      <c r="A98" s="18"/>
      <c r="B98" s="55">
        <v>5.0</v>
      </c>
      <c r="C98" s="50" t="s">
        <v>78</v>
      </c>
      <c r="D98" s="57"/>
      <c r="E98" s="19">
        <v>1.0</v>
      </c>
      <c r="F98" s="19">
        <v>0.0</v>
      </c>
      <c r="G98" s="19">
        <v>0.0</v>
      </c>
      <c r="H98" s="19">
        <v>0.0</v>
      </c>
      <c r="I98" s="19">
        <v>1.0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1.0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1.0</v>
      </c>
      <c r="AC98" s="19">
        <v>0.0</v>
      </c>
      <c r="AD98" s="19">
        <v>0.0</v>
      </c>
      <c r="AE98" s="19">
        <v>0.0</v>
      </c>
      <c r="AF98" s="19">
        <v>0.0</v>
      </c>
      <c r="AG98" s="19">
        <v>0.0</v>
      </c>
      <c r="AH98" s="19">
        <v>0.0</v>
      </c>
      <c r="AI98" s="19">
        <v>0.0</v>
      </c>
      <c r="AJ98" s="19">
        <v>0.0</v>
      </c>
      <c r="AK98" s="19">
        <v>0.0</v>
      </c>
      <c r="AL98" s="19">
        <v>0.0</v>
      </c>
      <c r="AM98" s="19">
        <v>0.0</v>
      </c>
      <c r="AN98" s="19">
        <v>0.0</v>
      </c>
      <c r="AO98" s="19">
        <v>0.0</v>
      </c>
      <c r="AP98" s="13">
        <f t="shared" si="22"/>
        <v>4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1.0</v>
      </c>
      <c r="K99" s="19">
        <v>0.0</v>
      </c>
      <c r="L99" s="19">
        <v>0.0</v>
      </c>
      <c r="M99" s="19">
        <v>1.0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0.0</v>
      </c>
      <c r="AG99" s="19">
        <v>0.0</v>
      </c>
      <c r="AH99" s="19">
        <v>0.0</v>
      </c>
      <c r="AI99" s="19">
        <v>0.0</v>
      </c>
      <c r="AJ99" s="19">
        <v>0.0</v>
      </c>
      <c r="AK99" s="19">
        <v>0.0</v>
      </c>
      <c r="AL99" s="19">
        <v>0.0</v>
      </c>
      <c r="AM99" s="19">
        <v>0.0</v>
      </c>
      <c r="AN99" s="19">
        <v>0.0</v>
      </c>
      <c r="AO99" s="19">
        <v>0.0</v>
      </c>
      <c r="AP99" s="13">
        <f t="shared" si="22"/>
        <v>2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0.0</v>
      </c>
      <c r="AH100" s="19">
        <v>0.0</v>
      </c>
      <c r="AI100" s="19">
        <v>0.0</v>
      </c>
      <c r="AJ100" s="19">
        <v>0.0</v>
      </c>
      <c r="AK100" s="19">
        <v>1.0</v>
      </c>
      <c r="AL100" s="19">
        <v>0.0</v>
      </c>
      <c r="AM100" s="19">
        <v>0.0</v>
      </c>
      <c r="AN100" s="19">
        <v>0.0</v>
      </c>
      <c r="AO100" s="19">
        <v>0.0</v>
      </c>
      <c r="AP100" s="13">
        <f t="shared" si="22"/>
        <v>1</v>
      </c>
    </row>
    <row r="101" ht="12.75" customHeight="1">
      <c r="A101" s="18"/>
      <c r="B101" s="71"/>
      <c r="C101" s="72"/>
      <c r="D101" s="7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79"/>
    </row>
    <row r="102" ht="12.75" customHeight="1">
      <c r="A102" s="18"/>
      <c r="B102" s="71"/>
      <c r="C102" s="72"/>
      <c r="D102" s="7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79"/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P103" si="23">SUM(E93:E102)</f>
        <v>3</v>
      </c>
      <c r="F103" s="13">
        <f t="shared" si="23"/>
        <v>4</v>
      </c>
      <c r="G103" s="13">
        <f t="shared" si="23"/>
        <v>1</v>
      </c>
      <c r="H103" s="13">
        <f t="shared" si="23"/>
        <v>0</v>
      </c>
      <c r="I103" s="13">
        <f t="shared" si="23"/>
        <v>2</v>
      </c>
      <c r="J103" s="13">
        <f t="shared" si="23"/>
        <v>4</v>
      </c>
      <c r="K103" s="13">
        <f t="shared" si="23"/>
        <v>0</v>
      </c>
      <c r="L103" s="13">
        <f t="shared" si="23"/>
        <v>2</v>
      </c>
      <c r="M103" s="13">
        <f t="shared" si="23"/>
        <v>8</v>
      </c>
      <c r="N103" s="13">
        <f t="shared" si="23"/>
        <v>3</v>
      </c>
      <c r="O103" s="13">
        <f t="shared" si="23"/>
        <v>3</v>
      </c>
      <c r="P103" s="13">
        <f t="shared" si="23"/>
        <v>1</v>
      </c>
      <c r="Q103" s="13">
        <f t="shared" si="23"/>
        <v>0</v>
      </c>
      <c r="R103" s="13">
        <f t="shared" si="23"/>
        <v>1</v>
      </c>
      <c r="S103" s="13">
        <f t="shared" si="23"/>
        <v>1</v>
      </c>
      <c r="T103" s="13">
        <f t="shared" si="23"/>
        <v>2</v>
      </c>
      <c r="U103" s="13">
        <f t="shared" si="23"/>
        <v>0</v>
      </c>
      <c r="V103" s="13">
        <f t="shared" si="23"/>
        <v>1</v>
      </c>
      <c r="W103" s="13">
        <f t="shared" si="23"/>
        <v>0</v>
      </c>
      <c r="X103" s="13">
        <f t="shared" si="23"/>
        <v>3</v>
      </c>
      <c r="Y103" s="13">
        <f t="shared" si="23"/>
        <v>2</v>
      </c>
      <c r="Z103" s="13">
        <f t="shared" si="23"/>
        <v>3</v>
      </c>
      <c r="AA103" s="13">
        <f t="shared" si="23"/>
        <v>3</v>
      </c>
      <c r="AB103" s="13">
        <f t="shared" si="23"/>
        <v>5</v>
      </c>
      <c r="AC103" s="13">
        <f t="shared" si="23"/>
        <v>1</v>
      </c>
      <c r="AD103" s="13">
        <f t="shared" si="23"/>
        <v>6</v>
      </c>
      <c r="AE103" s="13">
        <f t="shared" si="23"/>
        <v>7</v>
      </c>
      <c r="AF103" s="13">
        <f t="shared" si="23"/>
        <v>11</v>
      </c>
      <c r="AG103" s="13">
        <f t="shared" si="23"/>
        <v>1</v>
      </c>
      <c r="AH103" s="13">
        <f t="shared" si="23"/>
        <v>1</v>
      </c>
      <c r="AI103" s="13">
        <f t="shared" si="23"/>
        <v>1</v>
      </c>
      <c r="AJ103" s="13">
        <f t="shared" si="23"/>
        <v>1</v>
      </c>
      <c r="AK103" s="13">
        <f t="shared" si="23"/>
        <v>2</v>
      </c>
      <c r="AL103" s="13">
        <f t="shared" si="23"/>
        <v>3</v>
      </c>
      <c r="AM103" s="13">
        <f t="shared" si="23"/>
        <v>1</v>
      </c>
      <c r="AN103" s="13">
        <f t="shared" si="23"/>
        <v>2</v>
      </c>
      <c r="AO103" s="13">
        <f t="shared" si="23"/>
        <v>0</v>
      </c>
      <c r="AP103" s="13">
        <f t="shared" si="23"/>
        <v>89</v>
      </c>
    </row>
    <row r="104" ht="12.75" customHeight="1">
      <c r="A104" s="45"/>
      <c r="B104" s="44"/>
      <c r="C104" s="44"/>
      <c r="D104" s="44"/>
      <c r="E104" s="44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  <c r="AK104" s="75"/>
      <c r="AL104" s="75"/>
      <c r="AM104" s="75"/>
      <c r="AN104" s="75"/>
      <c r="AO104" s="75"/>
      <c r="AP104" s="75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1.0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2.0</v>
      </c>
      <c r="P105" s="19">
        <v>0.0</v>
      </c>
      <c r="Q105" s="19">
        <v>1.0</v>
      </c>
      <c r="R105" s="19">
        <v>1.0</v>
      </c>
      <c r="S105" s="19">
        <v>0.0</v>
      </c>
      <c r="T105" s="19">
        <v>1.0</v>
      </c>
      <c r="U105" s="19">
        <v>0.0</v>
      </c>
      <c r="V105" s="19">
        <v>1.0</v>
      </c>
      <c r="W105" s="19">
        <v>0.0</v>
      </c>
      <c r="X105" s="19">
        <v>2.0</v>
      </c>
      <c r="Y105" s="19">
        <v>2.0</v>
      </c>
      <c r="Z105" s="19">
        <v>9.0</v>
      </c>
      <c r="AA105" s="19">
        <v>1.0</v>
      </c>
      <c r="AB105" s="19">
        <v>0.0</v>
      </c>
      <c r="AC105" s="19">
        <v>1.0</v>
      </c>
      <c r="AD105" s="19">
        <v>0.0</v>
      </c>
      <c r="AE105" s="19">
        <v>2.0</v>
      </c>
      <c r="AF105" s="19">
        <v>0.0</v>
      </c>
      <c r="AG105" s="19">
        <v>2.0</v>
      </c>
      <c r="AH105" s="19">
        <v>1.0</v>
      </c>
      <c r="AI105" s="19">
        <v>1.0</v>
      </c>
      <c r="AJ105" s="19">
        <v>1.0</v>
      </c>
      <c r="AK105" s="19">
        <v>0.0</v>
      </c>
      <c r="AL105" s="19">
        <v>0.0</v>
      </c>
      <c r="AM105" s="19">
        <v>0.0</v>
      </c>
      <c r="AN105" s="19">
        <v>0.0</v>
      </c>
      <c r="AO105" s="19">
        <v>3.0</v>
      </c>
      <c r="AP105" s="13">
        <f t="shared" ref="AP105:AP112" si="24">SUM(E105:AO105)</f>
        <v>32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1.0</v>
      </c>
      <c r="G106" s="19">
        <v>0.0</v>
      </c>
      <c r="H106" s="19">
        <v>0.0</v>
      </c>
      <c r="I106" s="19">
        <v>1.0</v>
      </c>
      <c r="J106" s="19">
        <v>0.0</v>
      </c>
      <c r="K106" s="19">
        <v>0.0</v>
      </c>
      <c r="L106" s="19">
        <v>0.0</v>
      </c>
      <c r="M106" s="19">
        <v>1.0</v>
      </c>
      <c r="N106" s="19">
        <v>0.0</v>
      </c>
      <c r="O106" s="19">
        <v>1.0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1.0</v>
      </c>
      <c r="X106" s="19">
        <v>1.0</v>
      </c>
      <c r="Y106" s="19">
        <v>0.0</v>
      </c>
      <c r="Z106" s="19">
        <v>1.0</v>
      </c>
      <c r="AA106" s="19">
        <v>2.0</v>
      </c>
      <c r="AB106" s="19">
        <v>0.0</v>
      </c>
      <c r="AC106" s="19">
        <v>0.0</v>
      </c>
      <c r="AD106" s="19">
        <v>1.0</v>
      </c>
      <c r="AE106" s="19">
        <v>1.0</v>
      </c>
      <c r="AF106" s="19">
        <v>0.0</v>
      </c>
      <c r="AG106" s="19">
        <v>0.0</v>
      </c>
      <c r="AH106" s="19">
        <v>0.0</v>
      </c>
      <c r="AI106" s="19">
        <v>0.0</v>
      </c>
      <c r="AJ106" s="19">
        <v>1.0</v>
      </c>
      <c r="AK106" s="19">
        <v>0.0</v>
      </c>
      <c r="AL106" s="19">
        <v>0.0</v>
      </c>
      <c r="AM106" s="19">
        <v>1.0</v>
      </c>
      <c r="AN106" s="19">
        <v>0.0</v>
      </c>
      <c r="AO106" s="19">
        <v>0.0</v>
      </c>
      <c r="AP106" s="13">
        <f t="shared" si="24"/>
        <v>13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1.0</v>
      </c>
      <c r="G107" s="19">
        <v>0.0</v>
      </c>
      <c r="H107" s="19">
        <v>0.0</v>
      </c>
      <c r="I107" s="19">
        <v>1.0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1.0</v>
      </c>
      <c r="X107" s="19">
        <v>0.0</v>
      </c>
      <c r="Y107" s="19">
        <v>1.0</v>
      </c>
      <c r="Z107" s="19">
        <v>0.0</v>
      </c>
      <c r="AA107" s="19">
        <v>0.0</v>
      </c>
      <c r="AB107" s="19">
        <v>1.0</v>
      </c>
      <c r="AC107" s="19">
        <v>0.0</v>
      </c>
      <c r="AD107" s="19">
        <v>0.0</v>
      </c>
      <c r="AE107" s="19">
        <v>0.0</v>
      </c>
      <c r="AF107" s="19">
        <v>0.0</v>
      </c>
      <c r="AG107" s="19">
        <v>0.0</v>
      </c>
      <c r="AH107" s="19">
        <v>0.0</v>
      </c>
      <c r="AI107" s="19">
        <v>0.0</v>
      </c>
      <c r="AJ107" s="19">
        <v>0.0</v>
      </c>
      <c r="AK107" s="19">
        <v>0.0</v>
      </c>
      <c r="AL107" s="19">
        <v>0.0</v>
      </c>
      <c r="AM107" s="19">
        <v>2.0</v>
      </c>
      <c r="AN107" s="19">
        <v>0.0</v>
      </c>
      <c r="AO107" s="19">
        <v>0.0</v>
      </c>
      <c r="AP107" s="13">
        <f t="shared" si="24"/>
        <v>7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1.0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1.0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0.0</v>
      </c>
      <c r="AJ108" s="19">
        <v>1.0</v>
      </c>
      <c r="AK108" s="19">
        <v>0.0</v>
      </c>
      <c r="AL108" s="19">
        <v>0.0</v>
      </c>
      <c r="AM108" s="19">
        <v>0.0</v>
      </c>
      <c r="AN108" s="19">
        <v>0.0</v>
      </c>
      <c r="AO108" s="19">
        <v>0.0</v>
      </c>
      <c r="AP108" s="13">
        <f t="shared" si="24"/>
        <v>3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1.0</v>
      </c>
      <c r="AF109" s="19">
        <v>0.0</v>
      </c>
      <c r="AG109" s="19">
        <v>0.0</v>
      </c>
      <c r="AH109" s="19">
        <v>0.0</v>
      </c>
      <c r="AI109" s="19">
        <v>0.0</v>
      </c>
      <c r="AJ109" s="19">
        <v>0.0</v>
      </c>
      <c r="AK109" s="19">
        <v>0.0</v>
      </c>
      <c r="AL109" s="19">
        <v>0.0</v>
      </c>
      <c r="AM109" s="19">
        <v>0.0</v>
      </c>
      <c r="AN109" s="19">
        <v>0.0</v>
      </c>
      <c r="AO109" s="19">
        <v>0.0</v>
      </c>
      <c r="AP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1.0</v>
      </c>
      <c r="AA110" s="19">
        <v>0.0</v>
      </c>
      <c r="AB110" s="19">
        <v>0.0</v>
      </c>
      <c r="AC110" s="19">
        <v>0.0</v>
      </c>
      <c r="AD110" s="19">
        <v>0.0</v>
      </c>
      <c r="AE110" s="19">
        <v>0.0</v>
      </c>
      <c r="AF110" s="19">
        <v>0.0</v>
      </c>
      <c r="AG110" s="19">
        <v>0.0</v>
      </c>
      <c r="AH110" s="19">
        <v>0.0</v>
      </c>
      <c r="AI110" s="19">
        <v>0.0</v>
      </c>
      <c r="AJ110" s="19">
        <v>0.0</v>
      </c>
      <c r="AK110" s="19">
        <v>0.0</v>
      </c>
      <c r="AL110" s="19">
        <v>0.0</v>
      </c>
      <c r="AM110" s="19">
        <v>0.0</v>
      </c>
      <c r="AN110" s="19">
        <v>1.0</v>
      </c>
      <c r="AO110" s="19">
        <v>0.0</v>
      </c>
      <c r="AP110" s="13">
        <f t="shared" si="24"/>
        <v>2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1.0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1.0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9">
        <v>0.0</v>
      </c>
      <c r="AG111" s="19">
        <v>0.0</v>
      </c>
      <c r="AH111" s="19">
        <v>0.0</v>
      </c>
      <c r="AI111" s="19">
        <v>0.0</v>
      </c>
      <c r="AJ111" s="19">
        <v>0.0</v>
      </c>
      <c r="AK111" s="19">
        <v>0.0</v>
      </c>
      <c r="AL111" s="19">
        <v>0.0</v>
      </c>
      <c r="AM111" s="19">
        <v>0.0</v>
      </c>
      <c r="AN111" s="19">
        <v>1.0</v>
      </c>
      <c r="AO111" s="19">
        <v>0.0</v>
      </c>
      <c r="AP111" s="13">
        <f t="shared" si="24"/>
        <v>3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1.0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1.0</v>
      </c>
      <c r="AE112" s="19">
        <v>0.0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9">
        <v>0.0</v>
      </c>
      <c r="AL112" s="19">
        <v>0.0</v>
      </c>
      <c r="AM112" s="19">
        <v>0.0</v>
      </c>
      <c r="AN112" s="19">
        <v>0.0</v>
      </c>
      <c r="AO112" s="19">
        <v>0.0</v>
      </c>
      <c r="AP112" s="13">
        <f t="shared" si="24"/>
        <v>2</v>
      </c>
    </row>
    <row r="113" ht="12.75" customHeight="1">
      <c r="A113" s="18"/>
      <c r="B113" s="71"/>
      <c r="C113" s="72"/>
      <c r="D113" s="7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79"/>
    </row>
    <row r="114" ht="12.75" customHeight="1">
      <c r="A114" s="18"/>
      <c r="B114" s="71"/>
      <c r="C114" s="72"/>
      <c r="D114" s="7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79"/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P115" si="25">SUM(E105:E114)</f>
        <v>0</v>
      </c>
      <c r="F115" s="13">
        <f t="shared" si="25"/>
        <v>3</v>
      </c>
      <c r="G115" s="13">
        <f t="shared" si="25"/>
        <v>0</v>
      </c>
      <c r="H115" s="13">
        <f t="shared" si="25"/>
        <v>0</v>
      </c>
      <c r="I115" s="13">
        <f t="shared" si="25"/>
        <v>2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1</v>
      </c>
      <c r="N115" s="13">
        <f t="shared" si="25"/>
        <v>1</v>
      </c>
      <c r="O115" s="13">
        <f t="shared" si="25"/>
        <v>4</v>
      </c>
      <c r="P115" s="13">
        <f t="shared" si="25"/>
        <v>0</v>
      </c>
      <c r="Q115" s="13">
        <f t="shared" si="25"/>
        <v>1</v>
      </c>
      <c r="R115" s="13">
        <f t="shared" si="25"/>
        <v>1</v>
      </c>
      <c r="S115" s="13">
        <f t="shared" si="25"/>
        <v>0</v>
      </c>
      <c r="T115" s="13">
        <f t="shared" si="25"/>
        <v>1</v>
      </c>
      <c r="U115" s="13">
        <f t="shared" si="25"/>
        <v>0</v>
      </c>
      <c r="V115" s="13">
        <f t="shared" si="25"/>
        <v>2</v>
      </c>
      <c r="W115" s="13">
        <f t="shared" si="25"/>
        <v>3</v>
      </c>
      <c r="X115" s="13">
        <f t="shared" si="25"/>
        <v>3</v>
      </c>
      <c r="Y115" s="13">
        <f t="shared" si="25"/>
        <v>4</v>
      </c>
      <c r="Z115" s="13">
        <f t="shared" si="25"/>
        <v>11</v>
      </c>
      <c r="AA115" s="13">
        <f t="shared" si="25"/>
        <v>3</v>
      </c>
      <c r="AB115" s="13">
        <f t="shared" si="25"/>
        <v>1</v>
      </c>
      <c r="AC115" s="13">
        <f t="shared" si="25"/>
        <v>1</v>
      </c>
      <c r="AD115" s="13">
        <f t="shared" si="25"/>
        <v>2</v>
      </c>
      <c r="AE115" s="13">
        <f t="shared" si="25"/>
        <v>4</v>
      </c>
      <c r="AF115" s="13">
        <f t="shared" si="25"/>
        <v>0</v>
      </c>
      <c r="AG115" s="13">
        <f t="shared" si="25"/>
        <v>2</v>
      </c>
      <c r="AH115" s="13">
        <f t="shared" si="25"/>
        <v>1</v>
      </c>
      <c r="AI115" s="13">
        <f t="shared" si="25"/>
        <v>1</v>
      </c>
      <c r="AJ115" s="13">
        <f t="shared" si="25"/>
        <v>3</v>
      </c>
      <c r="AK115" s="13">
        <f t="shared" si="25"/>
        <v>0</v>
      </c>
      <c r="AL115" s="13">
        <f t="shared" si="25"/>
        <v>0</v>
      </c>
      <c r="AM115" s="13">
        <f t="shared" si="25"/>
        <v>3</v>
      </c>
      <c r="AN115" s="13">
        <f t="shared" si="25"/>
        <v>2</v>
      </c>
      <c r="AO115" s="13">
        <f t="shared" si="25"/>
        <v>3</v>
      </c>
      <c r="AP115" s="13">
        <f t="shared" si="25"/>
        <v>63</v>
      </c>
    </row>
    <row r="116" ht="12.75" customHeight="1">
      <c r="A116" s="24"/>
      <c r="B116" s="15"/>
      <c r="C116" s="15"/>
      <c r="D116" s="15"/>
      <c r="E116" s="16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AB116" s="75"/>
      <c r="AC116" s="75"/>
      <c r="AD116" s="75"/>
      <c r="AE116" s="75"/>
      <c r="AF116" s="75"/>
      <c r="AG116" s="75"/>
      <c r="AH116" s="75"/>
      <c r="AI116" s="75"/>
      <c r="AJ116" s="75"/>
      <c r="AP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1.0</v>
      </c>
      <c r="G117" s="19">
        <v>1.0</v>
      </c>
      <c r="H117" s="19">
        <v>0.0</v>
      </c>
      <c r="I117" s="19">
        <v>1.0</v>
      </c>
      <c r="J117" s="19">
        <v>1.0</v>
      </c>
      <c r="K117" s="19">
        <v>1.0</v>
      </c>
      <c r="L117" s="19">
        <v>0.0</v>
      </c>
      <c r="M117" s="19">
        <v>1.0</v>
      </c>
      <c r="N117" s="19">
        <v>1.0</v>
      </c>
      <c r="O117" s="19">
        <v>0.0</v>
      </c>
      <c r="P117" s="19">
        <v>1.0</v>
      </c>
      <c r="Q117" s="19">
        <v>0.0</v>
      </c>
      <c r="R117" s="19">
        <v>1.0</v>
      </c>
      <c r="S117" s="19">
        <v>0.0</v>
      </c>
      <c r="T117" s="19">
        <v>0.0</v>
      </c>
      <c r="U117" s="19">
        <v>0.0</v>
      </c>
      <c r="V117" s="19">
        <v>0.0</v>
      </c>
      <c r="W117" s="19">
        <v>0.0</v>
      </c>
      <c r="X117" s="19">
        <v>0.0</v>
      </c>
      <c r="Y117" s="19">
        <v>1.0</v>
      </c>
      <c r="Z117" s="19">
        <v>0.0</v>
      </c>
      <c r="AA117" s="19">
        <v>1.0</v>
      </c>
      <c r="AB117" s="19">
        <v>0.0</v>
      </c>
      <c r="AC117" s="19">
        <v>0.0</v>
      </c>
      <c r="AD117" s="19">
        <v>0.0</v>
      </c>
      <c r="AE117" s="19">
        <v>0.0</v>
      </c>
      <c r="AF117" s="19">
        <v>1.0</v>
      </c>
      <c r="AG117" s="19">
        <v>0.0</v>
      </c>
      <c r="AH117" s="19">
        <v>2.0</v>
      </c>
      <c r="AI117" s="19">
        <v>0.0</v>
      </c>
      <c r="AJ117" s="19">
        <v>2.0</v>
      </c>
      <c r="AK117" s="19">
        <v>0.0</v>
      </c>
      <c r="AL117" s="19">
        <v>0.0</v>
      </c>
      <c r="AM117" s="19">
        <v>1.0</v>
      </c>
      <c r="AN117" s="19">
        <v>1.0</v>
      </c>
      <c r="AO117" s="19">
        <v>0.0</v>
      </c>
      <c r="AP117" s="13">
        <f t="shared" ref="AP117:AP120" si="26">SUM(E117:AO117)</f>
        <v>19</v>
      </c>
      <c r="AQ117" s="5"/>
      <c r="AR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4.0</v>
      </c>
      <c r="K118" s="19">
        <v>1.0</v>
      </c>
      <c r="L118" s="19">
        <v>0.0</v>
      </c>
      <c r="M118" s="19">
        <v>1.0</v>
      </c>
      <c r="N118" s="19">
        <v>0.0</v>
      </c>
      <c r="O118" s="19">
        <v>1.0</v>
      </c>
      <c r="P118" s="19">
        <v>0.0</v>
      </c>
      <c r="Q118" s="19">
        <v>1.0</v>
      </c>
      <c r="R118" s="19">
        <v>0.0</v>
      </c>
      <c r="S118" s="19">
        <v>0.0</v>
      </c>
      <c r="T118" s="19">
        <v>0.0</v>
      </c>
      <c r="U118" s="19">
        <v>2.0</v>
      </c>
      <c r="V118" s="19">
        <v>0.0</v>
      </c>
      <c r="W118" s="19">
        <v>3.0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1.0</v>
      </c>
      <c r="AE118" s="19">
        <v>0.0</v>
      </c>
      <c r="AF118" s="19">
        <v>0.0</v>
      </c>
      <c r="AG118" s="19">
        <v>0.0</v>
      </c>
      <c r="AH118" s="19">
        <v>0.0</v>
      </c>
      <c r="AI118" s="19">
        <v>0.0</v>
      </c>
      <c r="AJ118" s="19">
        <v>1.0</v>
      </c>
      <c r="AK118" s="19">
        <v>0.0</v>
      </c>
      <c r="AL118" s="19">
        <v>1.0</v>
      </c>
      <c r="AM118" s="19">
        <v>1.0</v>
      </c>
      <c r="AN118" s="19">
        <v>0.0</v>
      </c>
      <c r="AO118" s="19">
        <v>0.0</v>
      </c>
      <c r="AP118" s="13">
        <f t="shared" si="26"/>
        <v>17</v>
      </c>
      <c r="AQ118" s="5"/>
      <c r="AR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1.0</v>
      </c>
      <c r="K119" s="19">
        <v>0.0</v>
      </c>
      <c r="L119" s="19">
        <v>0.0</v>
      </c>
      <c r="M119" s="19">
        <v>0.0</v>
      </c>
      <c r="N119" s="19">
        <v>0.0</v>
      </c>
      <c r="O119" s="19">
        <v>1.0</v>
      </c>
      <c r="P119" s="19">
        <v>0.0</v>
      </c>
      <c r="Q119" s="19">
        <v>0.0</v>
      </c>
      <c r="R119" s="19">
        <v>0.0</v>
      </c>
      <c r="S119" s="19">
        <v>1.0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1.0</v>
      </c>
      <c r="AC119" s="19">
        <v>0.0</v>
      </c>
      <c r="AD119" s="19">
        <v>0.0</v>
      </c>
      <c r="AE119" s="19">
        <v>0.0</v>
      </c>
      <c r="AF119" s="19">
        <v>1.0</v>
      </c>
      <c r="AG119" s="19">
        <v>0.0</v>
      </c>
      <c r="AH119" s="19">
        <v>0.0</v>
      </c>
      <c r="AI119" s="19">
        <v>0.0</v>
      </c>
      <c r="AJ119" s="19">
        <v>0.0</v>
      </c>
      <c r="AK119" s="19">
        <v>1.0</v>
      </c>
      <c r="AL119" s="19">
        <v>0.0</v>
      </c>
      <c r="AM119" s="19">
        <v>0.0</v>
      </c>
      <c r="AN119" s="19">
        <v>0.0</v>
      </c>
      <c r="AO119" s="19">
        <v>0.0</v>
      </c>
      <c r="AP119" s="13">
        <f t="shared" si="26"/>
        <v>6</v>
      </c>
      <c r="AQ119" s="5"/>
      <c r="AR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9">
        <v>0.0</v>
      </c>
      <c r="AD120" s="19">
        <v>0.0</v>
      </c>
      <c r="AE120" s="19">
        <v>0.0</v>
      </c>
      <c r="AF120" s="19">
        <v>0.0</v>
      </c>
      <c r="AG120" s="19">
        <v>0.0</v>
      </c>
      <c r="AH120" s="19">
        <v>0.0</v>
      </c>
      <c r="AI120" s="19">
        <v>0.0</v>
      </c>
      <c r="AJ120" s="19">
        <v>0.0</v>
      </c>
      <c r="AK120" s="19">
        <v>0.0</v>
      </c>
      <c r="AL120" s="19">
        <v>1.0</v>
      </c>
      <c r="AM120" s="19">
        <v>0.0</v>
      </c>
      <c r="AN120" s="19">
        <v>0.0</v>
      </c>
      <c r="AO120" s="19">
        <v>0.0</v>
      </c>
      <c r="AP120" s="13">
        <f t="shared" si="26"/>
        <v>1</v>
      </c>
      <c r="AQ120" s="5"/>
      <c r="AR120" s="5"/>
    </row>
    <row r="121" ht="12.75" customHeight="1">
      <c r="A121" s="18"/>
      <c r="B121" s="71"/>
      <c r="C121" s="72"/>
      <c r="D121" s="7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79"/>
      <c r="AQ121" s="5"/>
      <c r="AR121" s="5"/>
    </row>
    <row r="122" ht="12.75" customHeight="1">
      <c r="A122" s="18"/>
      <c r="B122" s="71"/>
      <c r="C122" s="72"/>
      <c r="D122" s="7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79"/>
      <c r="AQ122" s="5"/>
      <c r="AR122" s="5"/>
    </row>
    <row r="123" ht="12.75" customHeight="1">
      <c r="A123" s="18"/>
      <c r="B123" s="71"/>
      <c r="C123" s="72"/>
      <c r="D123" s="7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79"/>
      <c r="AQ123" s="5"/>
      <c r="AR123" s="5"/>
    </row>
    <row r="124" ht="12.75" customHeight="1">
      <c r="A124" s="18"/>
      <c r="B124" s="71"/>
      <c r="C124" s="72"/>
      <c r="D124" s="7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79"/>
      <c r="AQ124" s="5"/>
      <c r="AR124" s="5"/>
    </row>
    <row r="125" ht="12.75" customHeight="1">
      <c r="A125" s="18"/>
      <c r="B125" s="71"/>
      <c r="C125" s="72"/>
      <c r="D125" s="7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79"/>
      <c r="AQ125" s="5"/>
      <c r="AR125" s="5"/>
    </row>
    <row r="126" ht="12.75" customHeight="1">
      <c r="A126" s="18"/>
      <c r="B126" s="71"/>
      <c r="C126" s="72"/>
      <c r="D126" s="7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79"/>
      <c r="AQ126" s="5"/>
      <c r="AR126" s="5"/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P127" si="27">SUM(E117:E126)</f>
        <v>1</v>
      </c>
      <c r="F127" s="13">
        <f t="shared" si="27"/>
        <v>1</v>
      </c>
      <c r="G127" s="13">
        <f t="shared" si="27"/>
        <v>1</v>
      </c>
      <c r="H127" s="13">
        <f t="shared" si="27"/>
        <v>0</v>
      </c>
      <c r="I127" s="13">
        <f t="shared" si="27"/>
        <v>1</v>
      </c>
      <c r="J127" s="13">
        <f t="shared" si="27"/>
        <v>6</v>
      </c>
      <c r="K127" s="13">
        <f t="shared" si="27"/>
        <v>2</v>
      </c>
      <c r="L127" s="13">
        <f t="shared" si="27"/>
        <v>0</v>
      </c>
      <c r="M127" s="13">
        <f t="shared" si="27"/>
        <v>2</v>
      </c>
      <c r="N127" s="13">
        <f t="shared" si="27"/>
        <v>1</v>
      </c>
      <c r="O127" s="13">
        <f t="shared" si="27"/>
        <v>2</v>
      </c>
      <c r="P127" s="13">
        <f t="shared" si="27"/>
        <v>1</v>
      </c>
      <c r="Q127" s="13">
        <f t="shared" si="27"/>
        <v>1</v>
      </c>
      <c r="R127" s="13">
        <f t="shared" si="27"/>
        <v>1</v>
      </c>
      <c r="S127" s="13">
        <f t="shared" si="27"/>
        <v>1</v>
      </c>
      <c r="T127" s="13">
        <f t="shared" si="27"/>
        <v>0</v>
      </c>
      <c r="U127" s="13">
        <f t="shared" si="27"/>
        <v>2</v>
      </c>
      <c r="V127" s="13">
        <f t="shared" si="27"/>
        <v>0</v>
      </c>
      <c r="W127" s="13">
        <f t="shared" si="27"/>
        <v>3</v>
      </c>
      <c r="X127" s="13">
        <f t="shared" si="27"/>
        <v>0</v>
      </c>
      <c r="Y127" s="13">
        <f t="shared" si="27"/>
        <v>1</v>
      </c>
      <c r="Z127" s="13">
        <f t="shared" si="27"/>
        <v>0</v>
      </c>
      <c r="AA127" s="13">
        <f t="shared" si="27"/>
        <v>1</v>
      </c>
      <c r="AB127" s="13">
        <f t="shared" si="27"/>
        <v>1</v>
      </c>
      <c r="AC127" s="13">
        <f t="shared" si="27"/>
        <v>0</v>
      </c>
      <c r="AD127" s="13">
        <f t="shared" si="27"/>
        <v>1</v>
      </c>
      <c r="AE127" s="13">
        <f t="shared" si="27"/>
        <v>0</v>
      </c>
      <c r="AF127" s="13">
        <f t="shared" si="27"/>
        <v>2</v>
      </c>
      <c r="AG127" s="13">
        <f t="shared" si="27"/>
        <v>0</v>
      </c>
      <c r="AH127" s="13">
        <f t="shared" si="27"/>
        <v>2</v>
      </c>
      <c r="AI127" s="13">
        <f t="shared" si="27"/>
        <v>0</v>
      </c>
      <c r="AJ127" s="13">
        <f t="shared" si="27"/>
        <v>3</v>
      </c>
      <c r="AK127" s="13">
        <f t="shared" si="27"/>
        <v>1</v>
      </c>
      <c r="AL127" s="13">
        <f t="shared" si="27"/>
        <v>2</v>
      </c>
      <c r="AM127" s="13">
        <f t="shared" si="27"/>
        <v>2</v>
      </c>
      <c r="AN127" s="13">
        <f t="shared" si="27"/>
        <v>1</v>
      </c>
      <c r="AO127" s="13">
        <f t="shared" si="27"/>
        <v>0</v>
      </c>
      <c r="AP127" s="13">
        <f t="shared" si="27"/>
        <v>43</v>
      </c>
      <c r="AQ127" s="5"/>
      <c r="AR127" s="5"/>
    </row>
    <row r="128" ht="12.75" customHeight="1">
      <c r="A128" s="24"/>
      <c r="B128" s="15"/>
      <c r="C128" s="15"/>
      <c r="D128" s="15"/>
      <c r="E128" s="16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75"/>
      <c r="AK128" s="75"/>
      <c r="AL128" s="75"/>
      <c r="AM128" s="75"/>
      <c r="AN128" s="75"/>
      <c r="AO128" s="75"/>
      <c r="AP128" s="75"/>
      <c r="AQ128" s="5"/>
      <c r="AR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1.0</v>
      </c>
      <c r="G129" s="19">
        <v>1.0</v>
      </c>
      <c r="H129" s="19">
        <v>0.0</v>
      </c>
      <c r="I129" s="19">
        <v>0.0</v>
      </c>
      <c r="J129" s="19">
        <v>0.0</v>
      </c>
      <c r="K129" s="19">
        <v>0.0</v>
      </c>
      <c r="L129" s="19">
        <v>0.0</v>
      </c>
      <c r="M129" s="19">
        <v>0.0</v>
      </c>
      <c r="N129" s="19">
        <v>3.0</v>
      </c>
      <c r="O129" s="19">
        <v>3.0</v>
      </c>
      <c r="P129" s="19">
        <v>1.0</v>
      </c>
      <c r="Q129" s="19">
        <v>2.0</v>
      </c>
      <c r="R129" s="19">
        <v>0.0</v>
      </c>
      <c r="S129" s="19">
        <v>1.0</v>
      </c>
      <c r="T129" s="19">
        <v>0.0</v>
      </c>
      <c r="U129" s="19">
        <v>0.0</v>
      </c>
      <c r="V129" s="19">
        <v>0.0</v>
      </c>
      <c r="W129" s="19">
        <v>2.0</v>
      </c>
      <c r="X129" s="19">
        <v>1.0</v>
      </c>
      <c r="Y129" s="19">
        <v>0.0</v>
      </c>
      <c r="Z129" s="19">
        <v>2.0</v>
      </c>
      <c r="AA129" s="19">
        <v>3.0</v>
      </c>
      <c r="AB129" s="19">
        <v>1.0</v>
      </c>
      <c r="AC129" s="19">
        <v>0.0</v>
      </c>
      <c r="AD129" s="19">
        <v>0.0</v>
      </c>
      <c r="AE129" s="19">
        <v>0.0</v>
      </c>
      <c r="AF129" s="19">
        <v>4.0</v>
      </c>
      <c r="AG129" s="19">
        <v>0.0</v>
      </c>
      <c r="AH129" s="19">
        <v>0.0</v>
      </c>
      <c r="AI129" s="19">
        <v>2.0</v>
      </c>
      <c r="AJ129" s="19">
        <v>0.0</v>
      </c>
      <c r="AK129" s="19">
        <v>1.0</v>
      </c>
      <c r="AL129" s="19">
        <v>0.0</v>
      </c>
      <c r="AM129" s="19">
        <v>1.0</v>
      </c>
      <c r="AN129" s="19">
        <v>0.0</v>
      </c>
      <c r="AO129" s="19">
        <v>0.0</v>
      </c>
      <c r="AP129" s="13">
        <f t="shared" ref="AP129:AP136" si="28">SUM(E129:AO129)</f>
        <v>29</v>
      </c>
      <c r="AQ129" s="5"/>
      <c r="AR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0.0</v>
      </c>
      <c r="F130" s="19">
        <v>2.0</v>
      </c>
      <c r="G130" s="19">
        <v>0.0</v>
      </c>
      <c r="H130" s="19">
        <v>0.0</v>
      </c>
      <c r="I130" s="19">
        <v>0.0</v>
      </c>
      <c r="J130" s="19">
        <v>0.0</v>
      </c>
      <c r="K130" s="19">
        <v>0.0</v>
      </c>
      <c r="L130" s="19">
        <v>0.0</v>
      </c>
      <c r="M130" s="19">
        <v>0.0</v>
      </c>
      <c r="N130" s="19">
        <v>1.0</v>
      </c>
      <c r="O130" s="19">
        <v>1.0</v>
      </c>
      <c r="P130" s="19">
        <v>1.0</v>
      </c>
      <c r="Q130" s="19">
        <v>0.0</v>
      </c>
      <c r="R130" s="19">
        <v>3.0</v>
      </c>
      <c r="S130" s="19">
        <v>0.0</v>
      </c>
      <c r="T130" s="19">
        <v>1.0</v>
      </c>
      <c r="U130" s="19">
        <v>1.0</v>
      </c>
      <c r="V130" s="19">
        <v>1.0</v>
      </c>
      <c r="W130" s="19">
        <v>3.0</v>
      </c>
      <c r="X130" s="19">
        <v>0.0</v>
      </c>
      <c r="Y130" s="19">
        <v>3.0</v>
      </c>
      <c r="Z130" s="19">
        <v>1.0</v>
      </c>
      <c r="AA130" s="19">
        <v>1.0</v>
      </c>
      <c r="AB130" s="19">
        <v>1.0</v>
      </c>
      <c r="AC130" s="19">
        <v>0.0</v>
      </c>
      <c r="AD130" s="19">
        <v>0.0</v>
      </c>
      <c r="AE130" s="19">
        <v>0.0</v>
      </c>
      <c r="AF130" s="19">
        <v>4.0</v>
      </c>
      <c r="AG130" s="19">
        <v>2.0</v>
      </c>
      <c r="AH130" s="19">
        <v>0.0</v>
      </c>
      <c r="AI130" s="19">
        <v>0.0</v>
      </c>
      <c r="AJ130" s="19">
        <v>1.0</v>
      </c>
      <c r="AK130" s="19">
        <v>0.0</v>
      </c>
      <c r="AL130" s="19">
        <v>1.0</v>
      </c>
      <c r="AM130" s="19">
        <v>0.0</v>
      </c>
      <c r="AN130" s="19">
        <v>0.0</v>
      </c>
      <c r="AO130" s="19">
        <v>2.0</v>
      </c>
      <c r="AP130" s="13">
        <f t="shared" si="28"/>
        <v>30</v>
      </c>
      <c r="AQ130" s="1"/>
      <c r="AR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1.0</v>
      </c>
      <c r="P131" s="19">
        <v>1.0</v>
      </c>
      <c r="Q131" s="19">
        <v>1.0</v>
      </c>
      <c r="R131" s="19">
        <v>1.0</v>
      </c>
      <c r="S131" s="19">
        <v>0.0</v>
      </c>
      <c r="T131" s="19">
        <v>3.0</v>
      </c>
      <c r="U131" s="19">
        <v>0.0</v>
      </c>
      <c r="V131" s="19">
        <v>2.0</v>
      </c>
      <c r="W131" s="19">
        <v>1.0</v>
      </c>
      <c r="X131" s="19">
        <v>0.0</v>
      </c>
      <c r="Y131" s="19">
        <v>1.0</v>
      </c>
      <c r="Z131" s="19">
        <v>0.0</v>
      </c>
      <c r="AA131" s="19">
        <v>2.0</v>
      </c>
      <c r="AB131" s="19">
        <v>4.0</v>
      </c>
      <c r="AC131" s="19">
        <v>0.0</v>
      </c>
      <c r="AD131" s="19">
        <v>3.0</v>
      </c>
      <c r="AE131" s="19">
        <v>0.0</v>
      </c>
      <c r="AF131" s="19">
        <v>3.0</v>
      </c>
      <c r="AG131" s="19">
        <v>0.0</v>
      </c>
      <c r="AH131" s="19">
        <v>0.0</v>
      </c>
      <c r="AI131" s="19">
        <v>2.0</v>
      </c>
      <c r="AJ131" s="19">
        <v>1.0</v>
      </c>
      <c r="AK131" s="19">
        <v>1.0</v>
      </c>
      <c r="AL131" s="19">
        <v>0.0</v>
      </c>
      <c r="AM131" s="19">
        <v>0.0</v>
      </c>
      <c r="AN131" s="19">
        <v>0.0</v>
      </c>
      <c r="AO131" s="19">
        <v>0.0</v>
      </c>
      <c r="AP131" s="13">
        <f t="shared" si="28"/>
        <v>27</v>
      </c>
      <c r="AQ131" s="52"/>
      <c r="AR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1.0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1.0</v>
      </c>
      <c r="Z132" s="19">
        <v>0.0</v>
      </c>
      <c r="AA132" s="19">
        <v>0.0</v>
      </c>
      <c r="AB132" s="19">
        <v>0.0</v>
      </c>
      <c r="AC132" s="19">
        <v>1.0</v>
      </c>
      <c r="AD132" s="19">
        <v>0.0</v>
      </c>
      <c r="AE132" s="19">
        <v>0.0</v>
      </c>
      <c r="AF132" s="19">
        <v>0.0</v>
      </c>
      <c r="AG132" s="19">
        <v>1.0</v>
      </c>
      <c r="AH132" s="19">
        <v>0.0</v>
      </c>
      <c r="AI132" s="19">
        <v>0.0</v>
      </c>
      <c r="AJ132" s="19">
        <v>0.0</v>
      </c>
      <c r="AK132" s="19">
        <v>0.0</v>
      </c>
      <c r="AL132" s="19">
        <v>0.0</v>
      </c>
      <c r="AM132" s="19">
        <v>1.0</v>
      </c>
      <c r="AN132" s="19">
        <v>1.0</v>
      </c>
      <c r="AO132" s="19">
        <v>0.0</v>
      </c>
      <c r="AP132" s="13">
        <f t="shared" si="28"/>
        <v>6</v>
      </c>
      <c r="AQ132" s="5"/>
      <c r="AR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1.0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1.0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0.0</v>
      </c>
      <c r="AI133" s="19">
        <v>0.0</v>
      </c>
      <c r="AJ133" s="19">
        <v>0.0</v>
      </c>
      <c r="AK133" s="19">
        <v>0.0</v>
      </c>
      <c r="AL133" s="19">
        <v>0.0</v>
      </c>
      <c r="AM133" s="19">
        <v>0.0</v>
      </c>
      <c r="AN133" s="19">
        <v>0.0</v>
      </c>
      <c r="AO133" s="19">
        <v>1.0</v>
      </c>
      <c r="AP133" s="13">
        <f t="shared" si="28"/>
        <v>3</v>
      </c>
      <c r="AQ133" s="5"/>
      <c r="AR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1.0</v>
      </c>
      <c r="R134" s="19">
        <v>0.0</v>
      </c>
      <c r="S134" s="19">
        <v>0.0</v>
      </c>
      <c r="T134" s="19">
        <v>1.0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1.0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>
        <v>0.0</v>
      </c>
      <c r="AJ134" s="19">
        <v>0.0</v>
      </c>
      <c r="AK134" s="19">
        <v>0.0</v>
      </c>
      <c r="AL134" s="19">
        <v>0.0</v>
      </c>
      <c r="AM134" s="19">
        <v>0.0</v>
      </c>
      <c r="AN134" s="19">
        <v>0.0</v>
      </c>
      <c r="AO134" s="19">
        <v>0.0</v>
      </c>
      <c r="AP134" s="13">
        <f t="shared" si="28"/>
        <v>3</v>
      </c>
      <c r="AQ134" s="5"/>
      <c r="AR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>
        <v>0.0</v>
      </c>
      <c r="AJ135" s="19">
        <v>0.0</v>
      </c>
      <c r="AK135" s="19">
        <v>0.0</v>
      </c>
      <c r="AL135" s="19">
        <v>0.0</v>
      </c>
      <c r="AM135" s="19">
        <v>0.0</v>
      </c>
      <c r="AN135" s="19">
        <v>0.0</v>
      </c>
      <c r="AO135" s="19">
        <v>0.0</v>
      </c>
      <c r="AP135" s="13">
        <f t="shared" si="28"/>
        <v>0</v>
      </c>
      <c r="AQ135" s="5"/>
      <c r="AR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19">
        <v>0.0</v>
      </c>
      <c r="AG136" s="19">
        <v>0.0</v>
      </c>
      <c r="AH136" s="19">
        <v>0.0</v>
      </c>
      <c r="AI136" s="19">
        <v>0.0</v>
      </c>
      <c r="AJ136" s="19">
        <v>0.0</v>
      </c>
      <c r="AK136" s="19">
        <v>0.0</v>
      </c>
      <c r="AL136" s="19">
        <v>0.0</v>
      </c>
      <c r="AM136" s="19">
        <v>0.0</v>
      </c>
      <c r="AN136" s="19">
        <v>1.0</v>
      </c>
      <c r="AO136" s="19">
        <v>0.0</v>
      </c>
      <c r="AP136" s="13">
        <f t="shared" si="28"/>
        <v>1</v>
      </c>
      <c r="AQ136" s="5"/>
      <c r="AR136" s="5"/>
    </row>
    <row r="137" ht="12.75" customHeight="1">
      <c r="A137" s="18"/>
      <c r="B137" s="71"/>
      <c r="C137" s="72"/>
      <c r="D137" s="7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79"/>
      <c r="AQ137" s="5"/>
      <c r="AR137" s="5"/>
    </row>
    <row r="138" ht="12.75" customHeight="1">
      <c r="A138" s="18"/>
      <c r="B138" s="71"/>
      <c r="C138" s="72"/>
      <c r="D138" s="73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79"/>
      <c r="AQ138" s="5"/>
      <c r="AR138" s="5"/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P139" si="29">SUM(E129:E138)</f>
        <v>0</v>
      </c>
      <c r="F139" s="13">
        <f t="shared" si="29"/>
        <v>4</v>
      </c>
      <c r="G139" s="13">
        <f t="shared" si="29"/>
        <v>1</v>
      </c>
      <c r="H139" s="13">
        <f t="shared" si="29"/>
        <v>0</v>
      </c>
      <c r="I139" s="13">
        <f t="shared" si="29"/>
        <v>0</v>
      </c>
      <c r="J139" s="13">
        <f t="shared" si="29"/>
        <v>0</v>
      </c>
      <c r="K139" s="13">
        <f t="shared" si="29"/>
        <v>0</v>
      </c>
      <c r="L139" s="13">
        <f t="shared" si="29"/>
        <v>0</v>
      </c>
      <c r="M139" s="13">
        <f t="shared" si="29"/>
        <v>0</v>
      </c>
      <c r="N139" s="13">
        <f t="shared" si="29"/>
        <v>4</v>
      </c>
      <c r="O139" s="13">
        <f t="shared" si="29"/>
        <v>6</v>
      </c>
      <c r="P139" s="13">
        <f t="shared" si="29"/>
        <v>3</v>
      </c>
      <c r="Q139" s="13">
        <f t="shared" si="29"/>
        <v>4</v>
      </c>
      <c r="R139" s="13">
        <f t="shared" si="29"/>
        <v>4</v>
      </c>
      <c r="S139" s="13">
        <f t="shared" si="29"/>
        <v>2</v>
      </c>
      <c r="T139" s="13">
        <f t="shared" si="29"/>
        <v>5</v>
      </c>
      <c r="U139" s="13">
        <f t="shared" si="29"/>
        <v>1</v>
      </c>
      <c r="V139" s="13">
        <f t="shared" si="29"/>
        <v>3</v>
      </c>
      <c r="W139" s="13">
        <f t="shared" si="29"/>
        <v>6</v>
      </c>
      <c r="X139" s="13">
        <f t="shared" si="29"/>
        <v>1</v>
      </c>
      <c r="Y139" s="13">
        <f t="shared" si="29"/>
        <v>5</v>
      </c>
      <c r="Z139" s="13">
        <f t="shared" si="29"/>
        <v>3</v>
      </c>
      <c r="AA139" s="13">
        <f t="shared" si="29"/>
        <v>6</v>
      </c>
      <c r="AB139" s="13">
        <f t="shared" si="29"/>
        <v>6</v>
      </c>
      <c r="AC139" s="13">
        <f t="shared" si="29"/>
        <v>2</v>
      </c>
      <c r="AD139" s="13">
        <f t="shared" si="29"/>
        <v>3</v>
      </c>
      <c r="AE139" s="13">
        <f t="shared" si="29"/>
        <v>0</v>
      </c>
      <c r="AF139" s="13">
        <f t="shared" si="29"/>
        <v>11</v>
      </c>
      <c r="AG139" s="13">
        <f t="shared" si="29"/>
        <v>3</v>
      </c>
      <c r="AH139" s="13">
        <f t="shared" si="29"/>
        <v>0</v>
      </c>
      <c r="AI139" s="13">
        <f t="shared" si="29"/>
        <v>4</v>
      </c>
      <c r="AJ139" s="13">
        <f t="shared" si="29"/>
        <v>2</v>
      </c>
      <c r="AK139" s="13">
        <f t="shared" si="29"/>
        <v>2</v>
      </c>
      <c r="AL139" s="13">
        <f t="shared" si="29"/>
        <v>1</v>
      </c>
      <c r="AM139" s="13">
        <f t="shared" si="29"/>
        <v>2</v>
      </c>
      <c r="AN139" s="13">
        <f t="shared" si="29"/>
        <v>2</v>
      </c>
      <c r="AO139" s="13">
        <f t="shared" si="29"/>
        <v>3</v>
      </c>
      <c r="AP139" s="13">
        <f t="shared" si="29"/>
        <v>99</v>
      </c>
      <c r="AQ139" s="5"/>
      <c r="AR139" s="5"/>
    </row>
    <row r="140" ht="12.75" customHeight="1">
      <c r="A140" s="24"/>
      <c r="B140" s="15"/>
      <c r="C140" s="15"/>
      <c r="D140" s="15"/>
      <c r="E140" s="16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75"/>
      <c r="AK140" s="75"/>
      <c r="AL140" s="75"/>
      <c r="AM140" s="75"/>
      <c r="AN140" s="75"/>
      <c r="AO140" s="75"/>
      <c r="AP140" s="75"/>
      <c r="AQ140" s="5"/>
      <c r="AR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1.0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0.0</v>
      </c>
      <c r="AI141" s="19"/>
      <c r="AJ141" s="19"/>
      <c r="AK141" s="19"/>
      <c r="AL141" s="19"/>
      <c r="AM141" s="19"/>
      <c r="AN141" s="19"/>
      <c r="AO141" s="19"/>
      <c r="AP141" s="13">
        <f t="shared" ref="AP141:AP148" si="30">SUM(E141:AO141)</f>
        <v>1</v>
      </c>
      <c r="AQ141" s="1"/>
      <c r="AR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/>
      <c r="AJ142" s="19"/>
      <c r="AK142" s="19"/>
      <c r="AL142" s="19"/>
      <c r="AM142" s="19"/>
      <c r="AN142" s="19"/>
      <c r="AO142" s="19"/>
      <c r="AP142" s="13">
        <f t="shared" si="30"/>
        <v>0</v>
      </c>
      <c r="AQ142" s="52"/>
      <c r="AR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1.0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/>
      <c r="AJ143" s="19"/>
      <c r="AK143" s="19"/>
      <c r="AL143" s="19"/>
      <c r="AM143" s="19"/>
      <c r="AN143" s="19"/>
      <c r="AO143" s="19"/>
      <c r="AP143" s="13">
        <f t="shared" si="30"/>
        <v>1</v>
      </c>
      <c r="AQ143" s="5"/>
      <c r="AR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/>
      <c r="AJ144" s="19"/>
      <c r="AK144" s="19"/>
      <c r="AL144" s="19"/>
      <c r="AM144" s="19"/>
      <c r="AN144" s="19"/>
      <c r="AO144" s="19"/>
      <c r="AP144" s="13">
        <f t="shared" si="30"/>
        <v>0</v>
      </c>
      <c r="AQ144" s="5"/>
      <c r="AR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/>
      <c r="AJ145" s="19"/>
      <c r="AK145" s="19"/>
      <c r="AL145" s="19"/>
      <c r="AM145" s="19"/>
      <c r="AN145" s="19"/>
      <c r="AO145" s="19"/>
      <c r="AP145" s="13">
        <f t="shared" si="30"/>
        <v>0</v>
      </c>
      <c r="AQ145" s="5"/>
      <c r="AR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19">
        <v>0.0</v>
      </c>
      <c r="AG146" s="19">
        <v>0.0</v>
      </c>
      <c r="AH146" s="19">
        <v>0.0</v>
      </c>
      <c r="AI146" s="19"/>
      <c r="AJ146" s="19"/>
      <c r="AK146" s="19"/>
      <c r="AL146" s="19"/>
      <c r="AM146" s="19"/>
      <c r="AN146" s="19"/>
      <c r="AO146" s="19"/>
      <c r="AP146" s="13">
        <f t="shared" si="30"/>
        <v>0</v>
      </c>
      <c r="AQ146" s="5"/>
      <c r="AR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19">
        <v>0.0</v>
      </c>
      <c r="AG147" s="19">
        <v>0.0</v>
      </c>
      <c r="AH147" s="19">
        <v>0.0</v>
      </c>
      <c r="AI147" s="19"/>
      <c r="AJ147" s="19"/>
      <c r="AK147" s="19"/>
      <c r="AL147" s="19"/>
      <c r="AM147" s="19"/>
      <c r="AN147" s="19"/>
      <c r="AO147" s="19"/>
      <c r="AP147" s="13">
        <f t="shared" si="30"/>
        <v>0</v>
      </c>
      <c r="AQ147" s="5"/>
      <c r="AR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9">
        <v>0.0</v>
      </c>
      <c r="AG148" s="19">
        <v>0.0</v>
      </c>
      <c r="AH148" s="19">
        <v>0.0</v>
      </c>
      <c r="AI148" s="19"/>
      <c r="AJ148" s="19"/>
      <c r="AK148" s="19"/>
      <c r="AL148" s="19"/>
      <c r="AM148" s="19"/>
      <c r="AN148" s="19"/>
      <c r="AO148" s="19"/>
      <c r="AP148" s="13">
        <f t="shared" si="30"/>
        <v>0</v>
      </c>
      <c r="AQ148" s="5"/>
      <c r="AR148" s="5"/>
    </row>
    <row r="149" ht="12.75" customHeight="1">
      <c r="A149" s="18"/>
      <c r="B149" s="71"/>
      <c r="C149" s="72"/>
      <c r="D149" s="7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79"/>
      <c r="AQ149" s="5"/>
      <c r="AR149" s="5"/>
    </row>
    <row r="150" ht="12.75" customHeight="1">
      <c r="A150" s="18"/>
      <c r="B150" s="71"/>
      <c r="C150" s="72"/>
      <c r="D150" s="7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79"/>
      <c r="AQ150" s="5"/>
      <c r="AR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P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1</v>
      </c>
      <c r="Y151" s="13">
        <f t="shared" si="31"/>
        <v>0</v>
      </c>
      <c r="Z151" s="13">
        <f t="shared" si="31"/>
        <v>1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0</v>
      </c>
      <c r="AM151" s="13">
        <f t="shared" si="31"/>
        <v>0</v>
      </c>
      <c r="AN151" s="13">
        <f t="shared" si="31"/>
        <v>0</v>
      </c>
      <c r="AO151" s="13">
        <f t="shared" si="31"/>
        <v>0</v>
      </c>
      <c r="AP151" s="13">
        <f t="shared" si="31"/>
        <v>2</v>
      </c>
      <c r="AQ151" s="1"/>
      <c r="AR151" s="1"/>
    </row>
    <row r="152" ht="12.75" customHeight="1">
      <c r="A152" s="24"/>
      <c r="B152" s="15"/>
      <c r="C152" s="15"/>
      <c r="D152" s="15"/>
      <c r="E152" s="16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  <c r="AC152" s="75"/>
      <c r="AD152" s="75"/>
      <c r="AE152" s="75"/>
      <c r="AF152" s="75"/>
      <c r="AG152" s="75"/>
      <c r="AH152" s="75"/>
      <c r="AI152" s="75"/>
      <c r="AJ152" s="75"/>
      <c r="AK152" s="75"/>
      <c r="AL152" s="75"/>
      <c r="AM152" s="75"/>
      <c r="AN152" s="75"/>
      <c r="AO152" s="75"/>
      <c r="AP152" s="13"/>
      <c r="AQ152" s="52"/>
      <c r="AR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1.0</v>
      </c>
      <c r="J153" s="19">
        <v>1.0</v>
      </c>
      <c r="K153" s="19">
        <v>0.0</v>
      </c>
      <c r="L153" s="19">
        <v>0.0</v>
      </c>
      <c r="M153" s="19">
        <v>1.0</v>
      </c>
      <c r="N153" s="19">
        <v>0.0</v>
      </c>
      <c r="O153" s="19">
        <v>0.0</v>
      </c>
      <c r="P153" s="19">
        <v>0.0</v>
      </c>
      <c r="Q153" s="19">
        <v>0.0</v>
      </c>
      <c r="R153" s="19">
        <v>1.0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1.0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9">
        <v>0.0</v>
      </c>
      <c r="AH153" s="19">
        <v>0.0</v>
      </c>
      <c r="AI153" s="19">
        <v>1.0</v>
      </c>
      <c r="AJ153" s="19">
        <v>0.0</v>
      </c>
      <c r="AK153" s="19">
        <v>0.0</v>
      </c>
      <c r="AL153" s="19">
        <v>0.0</v>
      </c>
      <c r="AM153" s="19">
        <v>0.0</v>
      </c>
      <c r="AN153" s="19">
        <v>1.0</v>
      </c>
      <c r="AO153" s="19">
        <v>0.0</v>
      </c>
      <c r="AP153" s="13">
        <f t="shared" ref="AP153:AP157" si="32">SUM(E153:AO153)</f>
        <v>7</v>
      </c>
      <c r="AQ153" s="5"/>
      <c r="AR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1.0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9">
        <v>1.0</v>
      </c>
      <c r="AG154" s="19">
        <v>0.0</v>
      </c>
      <c r="AH154" s="19">
        <v>0.0</v>
      </c>
      <c r="AI154" s="19">
        <v>0.0</v>
      </c>
      <c r="AJ154" s="19">
        <v>0.0</v>
      </c>
      <c r="AK154" s="19">
        <v>0.0</v>
      </c>
      <c r="AL154" s="19">
        <v>1.0</v>
      </c>
      <c r="AM154" s="19">
        <v>0.0</v>
      </c>
      <c r="AN154" s="19">
        <v>0.0</v>
      </c>
      <c r="AO154" s="19">
        <v>0.0</v>
      </c>
      <c r="AP154" s="13">
        <f t="shared" si="32"/>
        <v>3</v>
      </c>
      <c r="AQ154" s="5"/>
      <c r="AR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0.0</v>
      </c>
      <c r="AG155" s="19">
        <v>0.0</v>
      </c>
      <c r="AH155" s="19">
        <v>1.0</v>
      </c>
      <c r="AI155" s="19">
        <v>0.0</v>
      </c>
      <c r="AJ155" s="19">
        <v>0.0</v>
      </c>
      <c r="AK155" s="19">
        <v>0.0</v>
      </c>
      <c r="AL155" s="19">
        <v>0.0</v>
      </c>
      <c r="AM155" s="19">
        <v>0.0</v>
      </c>
      <c r="AN155" s="19">
        <v>0.0</v>
      </c>
      <c r="AO155" s="19">
        <v>0.0</v>
      </c>
      <c r="AP155" s="13">
        <f t="shared" si="32"/>
        <v>1</v>
      </c>
      <c r="AQ155" s="5"/>
      <c r="AR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19">
        <v>0.0</v>
      </c>
      <c r="AG156" s="19">
        <v>0.0</v>
      </c>
      <c r="AH156" s="19">
        <v>1.0</v>
      </c>
      <c r="AI156" s="19">
        <v>0.0</v>
      </c>
      <c r="AJ156" s="19">
        <v>0.0</v>
      </c>
      <c r="AK156" s="19">
        <v>0.0</v>
      </c>
      <c r="AL156" s="19">
        <v>0.0</v>
      </c>
      <c r="AM156" s="19">
        <v>0.0</v>
      </c>
      <c r="AN156" s="19">
        <v>0.0</v>
      </c>
      <c r="AO156" s="19">
        <v>0.0</v>
      </c>
      <c r="AP156" s="13">
        <f t="shared" si="32"/>
        <v>1</v>
      </c>
      <c r="AQ156" s="5"/>
      <c r="AR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1.0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1.0</v>
      </c>
      <c r="X157" s="19">
        <v>1.0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19">
        <v>0.0</v>
      </c>
      <c r="AG157" s="19">
        <v>0.0</v>
      </c>
      <c r="AH157" s="19">
        <v>0.0</v>
      </c>
      <c r="AI157" s="19">
        <v>0.0</v>
      </c>
      <c r="AJ157" s="19">
        <v>0.0</v>
      </c>
      <c r="AK157" s="19">
        <v>0.0</v>
      </c>
      <c r="AL157" s="19">
        <v>0.0</v>
      </c>
      <c r="AM157" s="19">
        <v>0.0</v>
      </c>
      <c r="AN157" s="19">
        <v>0.0</v>
      </c>
      <c r="AO157" s="19">
        <v>0.0</v>
      </c>
      <c r="AP157" s="13">
        <f t="shared" si="32"/>
        <v>3</v>
      </c>
      <c r="AQ157" s="5"/>
      <c r="AR157" s="5"/>
    </row>
    <row r="158" ht="12.75" customHeight="1">
      <c r="A158" s="18"/>
      <c r="B158" s="71"/>
      <c r="C158" s="76"/>
      <c r="D158" s="7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79"/>
      <c r="AQ158" s="5"/>
      <c r="AR158" s="5"/>
    </row>
    <row r="159" ht="12.75" customHeight="1">
      <c r="A159" s="18"/>
      <c r="B159" s="71"/>
      <c r="C159" s="76"/>
      <c r="D159" s="7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79"/>
      <c r="AQ159" s="5"/>
      <c r="AR159" s="5"/>
    </row>
    <row r="160" ht="12.75" customHeight="1">
      <c r="A160" s="18"/>
      <c r="B160" s="71"/>
      <c r="C160" s="76"/>
      <c r="D160" s="7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79"/>
      <c r="AQ160" s="5"/>
      <c r="AR160" s="5"/>
    </row>
    <row r="161" ht="12.75" customHeight="1">
      <c r="A161" s="18"/>
      <c r="B161" s="71"/>
      <c r="C161" s="76"/>
      <c r="D161" s="7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79"/>
      <c r="AQ161" s="5"/>
      <c r="AR161" s="5"/>
    </row>
    <row r="162" ht="12.75" customHeight="1">
      <c r="A162" s="18"/>
      <c r="B162" s="71"/>
      <c r="C162" s="76"/>
      <c r="D162" s="7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79"/>
      <c r="AQ162" s="5"/>
      <c r="AR162" s="5"/>
    </row>
    <row r="163" ht="12.75" customHeight="1">
      <c r="A163" s="19" t="s">
        <v>15</v>
      </c>
      <c r="B163" s="47" t="s">
        <v>47</v>
      </c>
      <c r="C163" s="15"/>
      <c r="D163" s="16"/>
      <c r="E163" s="13">
        <f t="shared" ref="E163:AP163" si="33">SUM(E153:E162)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1</v>
      </c>
      <c r="J163" s="13">
        <f t="shared" si="33"/>
        <v>1</v>
      </c>
      <c r="K163" s="13">
        <f t="shared" si="33"/>
        <v>0</v>
      </c>
      <c r="L163" s="13">
        <f t="shared" si="33"/>
        <v>0</v>
      </c>
      <c r="M163" s="13">
        <f t="shared" si="33"/>
        <v>1</v>
      </c>
      <c r="N163" s="13">
        <f t="shared" si="33"/>
        <v>1</v>
      </c>
      <c r="O163" s="13">
        <f t="shared" si="33"/>
        <v>1</v>
      </c>
      <c r="P163" s="13">
        <f t="shared" si="33"/>
        <v>0</v>
      </c>
      <c r="Q163" s="13">
        <f t="shared" si="33"/>
        <v>0</v>
      </c>
      <c r="R163" s="13">
        <f t="shared" si="33"/>
        <v>1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0</v>
      </c>
      <c r="W163" s="13">
        <f t="shared" si="33"/>
        <v>1</v>
      </c>
      <c r="X163" s="13">
        <f t="shared" si="33"/>
        <v>1</v>
      </c>
      <c r="Y163" s="13">
        <f t="shared" si="33"/>
        <v>0</v>
      </c>
      <c r="Z163" s="13">
        <f t="shared" si="33"/>
        <v>1</v>
      </c>
      <c r="AA163" s="13">
        <f t="shared" si="33"/>
        <v>0</v>
      </c>
      <c r="AB163" s="13">
        <f t="shared" si="33"/>
        <v>0</v>
      </c>
      <c r="AC163" s="13">
        <f t="shared" si="33"/>
        <v>0</v>
      </c>
      <c r="AD163" s="13">
        <f t="shared" si="33"/>
        <v>0</v>
      </c>
      <c r="AE163" s="13">
        <f t="shared" si="33"/>
        <v>0</v>
      </c>
      <c r="AF163" s="13">
        <f t="shared" si="33"/>
        <v>1</v>
      </c>
      <c r="AG163" s="13">
        <f t="shared" si="33"/>
        <v>0</v>
      </c>
      <c r="AH163" s="13">
        <f t="shared" si="33"/>
        <v>2</v>
      </c>
      <c r="AI163" s="13">
        <f t="shared" si="33"/>
        <v>1</v>
      </c>
      <c r="AJ163" s="13">
        <f t="shared" si="33"/>
        <v>0</v>
      </c>
      <c r="AK163" s="13">
        <f t="shared" si="33"/>
        <v>0</v>
      </c>
      <c r="AL163" s="13">
        <f t="shared" si="33"/>
        <v>1</v>
      </c>
      <c r="AM163" s="13">
        <f t="shared" si="33"/>
        <v>0</v>
      </c>
      <c r="AN163" s="13">
        <f t="shared" si="33"/>
        <v>1</v>
      </c>
      <c r="AO163" s="13">
        <f t="shared" si="33"/>
        <v>0</v>
      </c>
      <c r="AP163" s="13">
        <f t="shared" si="33"/>
        <v>15</v>
      </c>
      <c r="AQ163" s="5"/>
      <c r="AR163" s="5"/>
    </row>
    <row r="164" ht="12.75" customHeight="1">
      <c r="A164" s="24"/>
      <c r="B164" s="15"/>
      <c r="C164" s="15"/>
      <c r="D164" s="15"/>
      <c r="E164" s="16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  <c r="AC164" s="75"/>
      <c r="AD164" s="75"/>
      <c r="AE164" s="75"/>
      <c r="AF164" s="75"/>
      <c r="AG164" s="75"/>
      <c r="AH164" s="75"/>
      <c r="AI164" s="75"/>
      <c r="AJ164" s="75"/>
      <c r="AK164" s="75"/>
      <c r="AL164" s="75"/>
      <c r="AM164" s="75"/>
      <c r="AN164" s="75"/>
      <c r="AO164" s="75"/>
      <c r="AP164" s="75"/>
      <c r="AQ164" s="5"/>
      <c r="AR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1.0</v>
      </c>
      <c r="O165" s="19">
        <v>0.0</v>
      </c>
      <c r="P165" s="19">
        <v>0.0</v>
      </c>
      <c r="Q165" s="19">
        <v>0.0</v>
      </c>
      <c r="R165" s="19">
        <v>1.0</v>
      </c>
      <c r="S165" s="19">
        <v>0.0</v>
      </c>
      <c r="T165" s="19">
        <v>0.0</v>
      </c>
      <c r="U165" s="19">
        <v>0.0</v>
      </c>
      <c r="V165" s="19">
        <v>1.0</v>
      </c>
      <c r="W165" s="19">
        <v>0.0</v>
      </c>
      <c r="X165" s="19">
        <v>1.0</v>
      </c>
      <c r="Y165" s="19">
        <v>0.0</v>
      </c>
      <c r="Z165" s="19">
        <v>0.0</v>
      </c>
      <c r="AA165" s="19">
        <v>0.0</v>
      </c>
      <c r="AB165" s="19">
        <v>1.0</v>
      </c>
      <c r="AC165" s="19">
        <v>0.0</v>
      </c>
      <c r="AD165" s="19">
        <v>0.0</v>
      </c>
      <c r="AE165" s="19">
        <v>0.0</v>
      </c>
      <c r="AF165" s="19">
        <v>0.0</v>
      </c>
      <c r="AG165" s="19">
        <v>0.0</v>
      </c>
      <c r="AH165" s="19">
        <v>0.0</v>
      </c>
      <c r="AI165" s="19">
        <v>0.0</v>
      </c>
      <c r="AJ165" s="19">
        <v>1.0</v>
      </c>
      <c r="AK165" s="19">
        <v>0.0</v>
      </c>
      <c r="AL165" s="19">
        <v>0.0</v>
      </c>
      <c r="AM165" s="19">
        <v>0.0</v>
      </c>
      <c r="AN165" s="19">
        <v>0.0</v>
      </c>
      <c r="AO165" s="19">
        <v>0.0</v>
      </c>
      <c r="AP165" s="13">
        <f t="shared" ref="AP165:AP172" si="34">SUM(E165:AO165)</f>
        <v>6</v>
      </c>
      <c r="AQ165" s="1"/>
      <c r="AR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1.0</v>
      </c>
      <c r="F166" s="19">
        <v>0.0</v>
      </c>
      <c r="G166" s="19">
        <v>1.0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1.0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1.0</v>
      </c>
      <c r="AC166" s="19">
        <v>0.0</v>
      </c>
      <c r="AD166" s="19">
        <v>0.0</v>
      </c>
      <c r="AE166" s="19">
        <v>0.0</v>
      </c>
      <c r="AF166" s="19">
        <v>0.0</v>
      </c>
      <c r="AG166" s="19">
        <v>0.0</v>
      </c>
      <c r="AH166" s="19">
        <v>0.0</v>
      </c>
      <c r="AI166" s="19">
        <v>0.0</v>
      </c>
      <c r="AJ166" s="19">
        <v>0.0</v>
      </c>
      <c r="AK166" s="19">
        <v>0.0</v>
      </c>
      <c r="AL166" s="19">
        <v>0.0</v>
      </c>
      <c r="AM166" s="19">
        <v>0.0</v>
      </c>
      <c r="AN166" s="19">
        <v>0.0</v>
      </c>
      <c r="AO166" s="19">
        <v>0.0</v>
      </c>
      <c r="AP166" s="13">
        <f t="shared" si="34"/>
        <v>4</v>
      </c>
      <c r="AQ166" s="52"/>
      <c r="AR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1.0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1.0</v>
      </c>
      <c r="AF167" s="19">
        <v>0.0</v>
      </c>
      <c r="AG167" s="19">
        <v>0.0</v>
      </c>
      <c r="AH167" s="19">
        <v>0.0</v>
      </c>
      <c r="AI167" s="19">
        <v>1.0</v>
      </c>
      <c r="AJ167" s="19">
        <v>0.0</v>
      </c>
      <c r="AK167" s="19">
        <v>0.0</v>
      </c>
      <c r="AL167" s="19">
        <v>0.0</v>
      </c>
      <c r="AM167" s="19">
        <v>0.0</v>
      </c>
      <c r="AN167" s="19">
        <v>0.0</v>
      </c>
      <c r="AO167" s="19">
        <v>0.0</v>
      </c>
      <c r="AP167" s="13">
        <f t="shared" si="34"/>
        <v>3</v>
      </c>
      <c r="AQ167" s="5"/>
      <c r="AR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9">
        <v>0.0</v>
      </c>
      <c r="AE168" s="19">
        <v>0.0</v>
      </c>
      <c r="AF168" s="19">
        <v>0.0</v>
      </c>
      <c r="AG168" s="19">
        <v>0.0</v>
      </c>
      <c r="AH168" s="19">
        <v>0.0</v>
      </c>
      <c r="AI168" s="19">
        <v>0.0</v>
      </c>
      <c r="AJ168" s="19">
        <v>0.0</v>
      </c>
      <c r="AK168" s="19">
        <v>0.0</v>
      </c>
      <c r="AL168" s="19">
        <v>0.0</v>
      </c>
      <c r="AM168" s="19">
        <v>0.0</v>
      </c>
      <c r="AN168" s="19">
        <v>0.0</v>
      </c>
      <c r="AO168" s="19">
        <v>0.0</v>
      </c>
      <c r="AP168" s="13">
        <f t="shared" si="34"/>
        <v>0</v>
      </c>
      <c r="AQ168" s="5"/>
      <c r="AR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1.0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1.0</v>
      </c>
      <c r="AD169" s="19">
        <v>0.0</v>
      </c>
      <c r="AE169" s="19">
        <v>0.0</v>
      </c>
      <c r="AF169" s="19">
        <v>0.0</v>
      </c>
      <c r="AG169" s="19">
        <v>0.0</v>
      </c>
      <c r="AH169" s="19">
        <v>0.0</v>
      </c>
      <c r="AI169" s="19">
        <v>0.0</v>
      </c>
      <c r="AJ169" s="19">
        <v>1.0</v>
      </c>
      <c r="AK169" s="19">
        <v>0.0</v>
      </c>
      <c r="AL169" s="19">
        <v>0.0</v>
      </c>
      <c r="AM169" s="19">
        <v>0.0</v>
      </c>
      <c r="AN169" s="19">
        <v>0.0</v>
      </c>
      <c r="AO169" s="19">
        <v>0.0</v>
      </c>
      <c r="AP169" s="13">
        <f t="shared" si="34"/>
        <v>3</v>
      </c>
      <c r="AQ169" s="5"/>
      <c r="AR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1.0</v>
      </c>
      <c r="I170" s="19">
        <v>0.0</v>
      </c>
      <c r="J170" s="19">
        <v>1.0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1.0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19">
        <v>0.0</v>
      </c>
      <c r="AG170" s="19">
        <v>0.0</v>
      </c>
      <c r="AH170" s="19">
        <v>0.0</v>
      </c>
      <c r="AI170" s="19">
        <v>0.0</v>
      </c>
      <c r="AJ170" s="19">
        <v>0.0</v>
      </c>
      <c r="AK170" s="19">
        <v>0.0</v>
      </c>
      <c r="AL170" s="19">
        <v>0.0</v>
      </c>
      <c r="AM170" s="19">
        <v>0.0</v>
      </c>
      <c r="AN170" s="19">
        <v>0.0</v>
      </c>
      <c r="AO170" s="19">
        <v>0.0</v>
      </c>
      <c r="AP170" s="13">
        <f t="shared" si="34"/>
        <v>3</v>
      </c>
      <c r="AQ170" s="5"/>
      <c r="AR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9">
        <v>0.0</v>
      </c>
      <c r="AG171" s="19">
        <v>0.0</v>
      </c>
      <c r="AH171" s="19">
        <v>0.0</v>
      </c>
      <c r="AI171" s="19">
        <v>0.0</v>
      </c>
      <c r="AJ171" s="19">
        <v>0.0</v>
      </c>
      <c r="AK171" s="19">
        <v>0.0</v>
      </c>
      <c r="AL171" s="19">
        <v>0.0</v>
      </c>
      <c r="AM171" s="19">
        <v>0.0</v>
      </c>
      <c r="AN171" s="19">
        <v>0.0</v>
      </c>
      <c r="AO171" s="19">
        <v>0.0</v>
      </c>
      <c r="AP171" s="13">
        <f t="shared" si="34"/>
        <v>0</v>
      </c>
      <c r="AQ171" s="5"/>
      <c r="AR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9">
        <v>0.0</v>
      </c>
      <c r="AG172" s="19">
        <v>0.0</v>
      </c>
      <c r="AH172" s="19">
        <v>0.0</v>
      </c>
      <c r="AI172" s="19">
        <v>0.0</v>
      </c>
      <c r="AJ172" s="19">
        <v>0.0</v>
      </c>
      <c r="AK172" s="19">
        <v>0.0</v>
      </c>
      <c r="AL172" s="19">
        <v>0.0</v>
      </c>
      <c r="AM172" s="19">
        <v>0.0</v>
      </c>
      <c r="AN172" s="19">
        <v>0.0</v>
      </c>
      <c r="AO172" s="19">
        <v>0.0</v>
      </c>
      <c r="AP172" s="13">
        <f t="shared" si="34"/>
        <v>0</v>
      </c>
      <c r="AQ172" s="5"/>
      <c r="AR172" s="5"/>
    </row>
    <row r="173" ht="12.75" customHeight="1">
      <c r="A173" s="18"/>
      <c r="B173" s="71"/>
      <c r="C173" s="72"/>
      <c r="D173" s="7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79"/>
      <c r="AQ173" s="5"/>
      <c r="AR173" s="5"/>
    </row>
    <row r="174" ht="12.75" customHeight="1">
      <c r="A174" s="18"/>
      <c r="B174" s="71"/>
      <c r="C174" s="72"/>
      <c r="D174" s="7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79"/>
      <c r="AQ174" s="5"/>
      <c r="AR174" s="5"/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P175" si="35">SUM(E165:E174)</f>
        <v>1</v>
      </c>
      <c r="F175" s="13">
        <f t="shared" si="35"/>
        <v>0</v>
      </c>
      <c r="G175" s="13">
        <f t="shared" si="35"/>
        <v>1</v>
      </c>
      <c r="H175" s="13">
        <f t="shared" si="35"/>
        <v>1</v>
      </c>
      <c r="I175" s="13">
        <f t="shared" si="35"/>
        <v>0</v>
      </c>
      <c r="J175" s="13">
        <f t="shared" si="35"/>
        <v>1</v>
      </c>
      <c r="K175" s="13">
        <f t="shared" si="35"/>
        <v>0</v>
      </c>
      <c r="L175" s="13">
        <f t="shared" si="35"/>
        <v>0</v>
      </c>
      <c r="M175" s="13">
        <f t="shared" si="35"/>
        <v>1</v>
      </c>
      <c r="N175" s="13">
        <f t="shared" si="35"/>
        <v>1</v>
      </c>
      <c r="O175" s="13">
        <f t="shared" si="35"/>
        <v>0</v>
      </c>
      <c r="P175" s="13">
        <f t="shared" si="35"/>
        <v>0</v>
      </c>
      <c r="Q175" s="13">
        <f t="shared" si="35"/>
        <v>1</v>
      </c>
      <c r="R175" s="13">
        <f t="shared" si="35"/>
        <v>2</v>
      </c>
      <c r="S175" s="13">
        <f t="shared" si="35"/>
        <v>0</v>
      </c>
      <c r="T175" s="13">
        <f t="shared" si="35"/>
        <v>1</v>
      </c>
      <c r="U175" s="13">
        <f t="shared" si="35"/>
        <v>0</v>
      </c>
      <c r="V175" s="13">
        <f t="shared" si="35"/>
        <v>1</v>
      </c>
      <c r="W175" s="13">
        <f t="shared" si="35"/>
        <v>0</v>
      </c>
      <c r="X175" s="13">
        <f t="shared" si="35"/>
        <v>1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 t="shared" si="35"/>
        <v>2</v>
      </c>
      <c r="AC175" s="13">
        <f t="shared" si="35"/>
        <v>1</v>
      </c>
      <c r="AD175" s="13">
        <f t="shared" si="35"/>
        <v>0</v>
      </c>
      <c r="AE175" s="13">
        <f t="shared" si="35"/>
        <v>1</v>
      </c>
      <c r="AF175" s="13">
        <f t="shared" si="35"/>
        <v>0</v>
      </c>
      <c r="AG175" s="13">
        <f t="shared" si="35"/>
        <v>0</v>
      </c>
      <c r="AH175" s="13">
        <f t="shared" si="35"/>
        <v>0</v>
      </c>
      <c r="AI175" s="13">
        <f t="shared" si="35"/>
        <v>1</v>
      </c>
      <c r="AJ175" s="13">
        <f t="shared" si="35"/>
        <v>2</v>
      </c>
      <c r="AK175" s="13">
        <f t="shared" si="35"/>
        <v>0</v>
      </c>
      <c r="AL175" s="13">
        <f t="shared" si="35"/>
        <v>0</v>
      </c>
      <c r="AM175" s="13">
        <f t="shared" si="35"/>
        <v>0</v>
      </c>
      <c r="AN175" s="13">
        <f t="shared" si="35"/>
        <v>0</v>
      </c>
      <c r="AO175" s="13">
        <f t="shared" si="35"/>
        <v>0</v>
      </c>
      <c r="AP175" s="13">
        <f t="shared" si="35"/>
        <v>19</v>
      </c>
      <c r="AQ175" s="5"/>
      <c r="AR175" s="5"/>
    </row>
    <row r="176" ht="12.75" customHeight="1">
      <c r="A176" s="24"/>
      <c r="B176" s="15"/>
      <c r="C176" s="15"/>
      <c r="D176" s="15"/>
      <c r="E176" s="16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1"/>
      <c r="AR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3.0</v>
      </c>
      <c r="G177" s="19">
        <v>0.0</v>
      </c>
      <c r="H177" s="19">
        <v>0.0</v>
      </c>
      <c r="I177" s="19">
        <v>1.0</v>
      </c>
      <c r="J177" s="19">
        <v>0.0</v>
      </c>
      <c r="K177" s="19">
        <v>0.0</v>
      </c>
      <c r="L177" s="19">
        <v>0.0</v>
      </c>
      <c r="M177" s="19">
        <v>1.0</v>
      </c>
      <c r="N177" s="19">
        <v>1.0</v>
      </c>
      <c r="O177" s="19">
        <v>2.0</v>
      </c>
      <c r="P177" s="19">
        <v>2.0</v>
      </c>
      <c r="Q177" s="19">
        <v>0.0</v>
      </c>
      <c r="R177" s="19">
        <v>0.0</v>
      </c>
      <c r="S177" s="19">
        <v>5.0</v>
      </c>
      <c r="T177" s="19">
        <v>0.0</v>
      </c>
      <c r="U177" s="19">
        <v>0.0</v>
      </c>
      <c r="V177" s="19">
        <v>0.0</v>
      </c>
      <c r="W177" s="19">
        <v>2.0</v>
      </c>
      <c r="X177" s="19">
        <v>0.0</v>
      </c>
      <c r="Y177" s="19">
        <v>0.0</v>
      </c>
      <c r="Z177" s="19">
        <v>3.0</v>
      </c>
      <c r="AA177" s="19">
        <v>1.0</v>
      </c>
      <c r="AB177" s="19">
        <v>1.0</v>
      </c>
      <c r="AC177" s="19">
        <v>0.0</v>
      </c>
      <c r="AD177" s="19">
        <v>1.0</v>
      </c>
      <c r="AE177" s="19">
        <v>0.0</v>
      </c>
      <c r="AF177" s="19">
        <v>0.0</v>
      </c>
      <c r="AG177" s="19">
        <v>0.0</v>
      </c>
      <c r="AH177" s="19">
        <v>0.0</v>
      </c>
      <c r="AI177" s="19">
        <v>1.0</v>
      </c>
      <c r="AJ177" s="19">
        <v>0.0</v>
      </c>
      <c r="AK177" s="19">
        <v>0.0</v>
      </c>
      <c r="AL177" s="19">
        <v>0.0</v>
      </c>
      <c r="AM177" s="19">
        <v>3.0</v>
      </c>
      <c r="AN177" s="19">
        <v>0.0</v>
      </c>
      <c r="AO177" s="19">
        <v>2.0</v>
      </c>
      <c r="AP177" s="13">
        <f t="shared" ref="AP177:AP184" si="36">SUM(E177:AO177)</f>
        <v>29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2.0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1.0</v>
      </c>
      <c r="P178" s="19">
        <v>1.0</v>
      </c>
      <c r="Q178" s="19">
        <v>0.0</v>
      </c>
      <c r="R178" s="19">
        <v>0.0</v>
      </c>
      <c r="S178" s="19">
        <v>1.0</v>
      </c>
      <c r="T178" s="19">
        <v>2.0</v>
      </c>
      <c r="U178" s="19">
        <v>1.0</v>
      </c>
      <c r="V178" s="19">
        <v>0.0</v>
      </c>
      <c r="W178" s="19">
        <v>1.0</v>
      </c>
      <c r="X178" s="19">
        <v>0.0</v>
      </c>
      <c r="Y178" s="19">
        <v>0.0</v>
      </c>
      <c r="Z178" s="19">
        <v>1.0</v>
      </c>
      <c r="AA178" s="19">
        <v>2.0</v>
      </c>
      <c r="AB178" s="19">
        <v>0.0</v>
      </c>
      <c r="AC178" s="19">
        <v>0.0</v>
      </c>
      <c r="AD178" s="19">
        <v>0.0</v>
      </c>
      <c r="AE178" s="19">
        <v>0.0</v>
      </c>
      <c r="AF178" s="19">
        <v>1.0</v>
      </c>
      <c r="AG178" s="19">
        <v>1.0</v>
      </c>
      <c r="AH178" s="19">
        <v>0.0</v>
      </c>
      <c r="AI178" s="19">
        <v>1.0</v>
      </c>
      <c r="AJ178" s="19">
        <v>0.0</v>
      </c>
      <c r="AK178" s="19">
        <v>1.0</v>
      </c>
      <c r="AL178" s="19">
        <v>0.0</v>
      </c>
      <c r="AM178" s="19">
        <v>2.0</v>
      </c>
      <c r="AN178" s="19">
        <v>0.0</v>
      </c>
      <c r="AO178" s="19">
        <v>1.0</v>
      </c>
      <c r="AP178" s="13">
        <f t="shared" si="36"/>
        <v>19</v>
      </c>
      <c r="AQ178" s="5"/>
      <c r="AR178" s="5"/>
    </row>
    <row r="179" ht="12.75" customHeight="1">
      <c r="A179" s="18"/>
      <c r="B179" s="55">
        <v>2.0</v>
      </c>
      <c r="C179" s="50" t="s">
        <v>131</v>
      </c>
      <c r="D179" s="57"/>
      <c r="E179" s="19">
        <v>1.0</v>
      </c>
      <c r="F179" s="19">
        <v>0.0</v>
      </c>
      <c r="G179" s="19">
        <v>0.0</v>
      </c>
      <c r="H179" s="19">
        <v>1.0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1.0</v>
      </c>
      <c r="Q179" s="19">
        <v>0.0</v>
      </c>
      <c r="R179" s="19">
        <v>1.0</v>
      </c>
      <c r="S179" s="19">
        <v>1.0</v>
      </c>
      <c r="T179" s="19">
        <v>0.0</v>
      </c>
      <c r="U179" s="19">
        <v>0.0</v>
      </c>
      <c r="V179" s="19">
        <v>0.0</v>
      </c>
      <c r="W179" s="19">
        <v>0.0</v>
      </c>
      <c r="X179" s="19">
        <v>0.0</v>
      </c>
      <c r="Y179" s="19">
        <v>0.0</v>
      </c>
      <c r="Z179" s="19">
        <v>0.0</v>
      </c>
      <c r="AA179" s="19">
        <v>1.0</v>
      </c>
      <c r="AB179" s="19">
        <v>0.0</v>
      </c>
      <c r="AC179" s="19">
        <v>0.0</v>
      </c>
      <c r="AD179" s="19">
        <v>0.0</v>
      </c>
      <c r="AE179" s="19">
        <v>1.0</v>
      </c>
      <c r="AF179" s="19">
        <v>1.0</v>
      </c>
      <c r="AG179" s="19">
        <v>0.0</v>
      </c>
      <c r="AH179" s="19">
        <v>0.0</v>
      </c>
      <c r="AI179" s="19">
        <v>0.0</v>
      </c>
      <c r="AJ179" s="19">
        <v>0.0</v>
      </c>
      <c r="AK179" s="19">
        <v>0.0</v>
      </c>
      <c r="AL179" s="19">
        <v>0.0</v>
      </c>
      <c r="AM179" s="19">
        <v>0.0</v>
      </c>
      <c r="AN179" s="19">
        <v>0.0</v>
      </c>
      <c r="AO179" s="19">
        <v>0.0</v>
      </c>
      <c r="AP179" s="13">
        <f t="shared" si="36"/>
        <v>8</v>
      </c>
      <c r="AQ179" s="5"/>
      <c r="AR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1.0</v>
      </c>
      <c r="P180" s="19">
        <v>0.0</v>
      </c>
      <c r="Q180" s="19">
        <v>0.0</v>
      </c>
      <c r="R180" s="19">
        <v>0.0</v>
      </c>
      <c r="S180" s="19">
        <v>0.0</v>
      </c>
      <c r="T180" s="19">
        <v>1.0</v>
      </c>
      <c r="U180" s="19">
        <v>0.0</v>
      </c>
      <c r="V180" s="19">
        <v>1.0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0.0</v>
      </c>
      <c r="AD180" s="19">
        <v>0.0</v>
      </c>
      <c r="AE180" s="19">
        <v>0.0</v>
      </c>
      <c r="AF180" s="19">
        <v>0.0</v>
      </c>
      <c r="AG180" s="19">
        <v>0.0</v>
      </c>
      <c r="AH180" s="19">
        <v>0.0</v>
      </c>
      <c r="AI180" s="19">
        <v>0.0</v>
      </c>
      <c r="AJ180" s="19">
        <v>0.0</v>
      </c>
      <c r="AK180" s="19">
        <v>0.0</v>
      </c>
      <c r="AL180" s="19">
        <v>0.0</v>
      </c>
      <c r="AM180" s="19">
        <v>0.0</v>
      </c>
      <c r="AN180" s="19">
        <v>0.0</v>
      </c>
      <c r="AO180" s="19">
        <v>0.0</v>
      </c>
      <c r="AP180" s="13">
        <f t="shared" si="36"/>
        <v>3</v>
      </c>
      <c r="AQ180" s="5"/>
      <c r="AR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1.0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2.0</v>
      </c>
      <c r="S181" s="19">
        <v>1.0</v>
      </c>
      <c r="T181" s="19">
        <v>2.0</v>
      </c>
      <c r="U181" s="19">
        <v>0.0</v>
      </c>
      <c r="V181" s="19">
        <v>0.0</v>
      </c>
      <c r="W181" s="19">
        <v>0.0</v>
      </c>
      <c r="X181" s="19">
        <v>0.0</v>
      </c>
      <c r="Y181" s="19">
        <v>1.0</v>
      </c>
      <c r="Z181" s="19">
        <v>0.0</v>
      </c>
      <c r="AA181" s="19">
        <v>1.0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0.0</v>
      </c>
      <c r="AG181" s="19">
        <v>0.0</v>
      </c>
      <c r="AH181" s="19">
        <v>0.0</v>
      </c>
      <c r="AI181" s="19">
        <v>0.0</v>
      </c>
      <c r="AJ181" s="19">
        <v>0.0</v>
      </c>
      <c r="AK181" s="19">
        <v>0.0</v>
      </c>
      <c r="AL181" s="19">
        <v>0.0</v>
      </c>
      <c r="AM181" s="19">
        <v>0.0</v>
      </c>
      <c r="AN181" s="19">
        <v>0.0</v>
      </c>
      <c r="AO181" s="19">
        <v>0.0</v>
      </c>
      <c r="AP181" s="13">
        <f t="shared" si="36"/>
        <v>8</v>
      </c>
      <c r="AQ181" s="5"/>
      <c r="AR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1.0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1.0</v>
      </c>
      <c r="R182" s="19">
        <v>0.0</v>
      </c>
      <c r="S182" s="19">
        <v>0.0</v>
      </c>
      <c r="T182" s="19">
        <v>1.0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9">
        <v>0.0</v>
      </c>
      <c r="AH182" s="19">
        <v>0.0</v>
      </c>
      <c r="AI182" s="19">
        <v>0.0</v>
      </c>
      <c r="AJ182" s="19">
        <v>0.0</v>
      </c>
      <c r="AK182" s="19">
        <v>0.0</v>
      </c>
      <c r="AL182" s="19">
        <v>0.0</v>
      </c>
      <c r="AM182" s="19">
        <v>0.0</v>
      </c>
      <c r="AN182" s="19">
        <v>0.0</v>
      </c>
      <c r="AO182" s="19">
        <v>0.0</v>
      </c>
      <c r="AP182" s="13">
        <f t="shared" si="36"/>
        <v>3</v>
      </c>
      <c r="AQ182" s="5"/>
      <c r="AR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1.0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>
        <v>0.0</v>
      </c>
      <c r="AJ183" s="19">
        <v>0.0</v>
      </c>
      <c r="AK183" s="19">
        <v>0.0</v>
      </c>
      <c r="AL183" s="19">
        <v>0.0</v>
      </c>
      <c r="AM183" s="19">
        <v>0.0</v>
      </c>
      <c r="AN183" s="19">
        <v>0.0</v>
      </c>
      <c r="AO183" s="19">
        <v>0.0</v>
      </c>
      <c r="AP183" s="13">
        <f t="shared" si="36"/>
        <v>1</v>
      </c>
      <c r="AQ183" s="5"/>
      <c r="AR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1.0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0.0</v>
      </c>
      <c r="AH184" s="19">
        <v>0.0</v>
      </c>
      <c r="AI184" s="19">
        <v>0.0</v>
      </c>
      <c r="AJ184" s="19">
        <v>0.0</v>
      </c>
      <c r="AK184" s="19">
        <v>0.0</v>
      </c>
      <c r="AL184" s="19">
        <v>0.0</v>
      </c>
      <c r="AM184" s="19">
        <v>0.0</v>
      </c>
      <c r="AN184" s="19">
        <v>0.0</v>
      </c>
      <c r="AO184" s="19">
        <v>0.0</v>
      </c>
      <c r="AP184" s="13">
        <f t="shared" si="36"/>
        <v>1</v>
      </c>
      <c r="AQ184" s="5"/>
      <c r="AR184" s="5"/>
    </row>
    <row r="185" ht="12.75" customHeight="1">
      <c r="A185" s="18"/>
      <c r="B185" s="71"/>
      <c r="C185" s="72"/>
      <c r="D185" s="7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79"/>
      <c r="AQ185" s="5"/>
      <c r="AR185" s="5"/>
    </row>
    <row r="186" ht="12.75" customHeight="1">
      <c r="A186" s="18"/>
      <c r="B186" s="71"/>
      <c r="C186" s="72"/>
      <c r="D186" s="7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79"/>
      <c r="AQ186" s="5"/>
      <c r="AR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P187" si="37">SUM(E177:E186)</f>
        <v>1</v>
      </c>
      <c r="F187" s="13">
        <f t="shared" si="37"/>
        <v>5</v>
      </c>
      <c r="G187" s="13">
        <f t="shared" si="37"/>
        <v>1</v>
      </c>
      <c r="H187" s="13">
        <f t="shared" si="37"/>
        <v>2</v>
      </c>
      <c r="I187" s="13">
        <f t="shared" si="37"/>
        <v>1</v>
      </c>
      <c r="J187" s="13">
        <f t="shared" si="37"/>
        <v>0</v>
      </c>
      <c r="K187" s="13">
        <f t="shared" si="37"/>
        <v>1</v>
      </c>
      <c r="L187" s="13">
        <f t="shared" si="37"/>
        <v>0</v>
      </c>
      <c r="M187" s="13">
        <f t="shared" si="37"/>
        <v>1</v>
      </c>
      <c r="N187" s="13">
        <f t="shared" si="37"/>
        <v>1</v>
      </c>
      <c r="O187" s="13">
        <f t="shared" si="37"/>
        <v>4</v>
      </c>
      <c r="P187" s="13">
        <f t="shared" si="37"/>
        <v>4</v>
      </c>
      <c r="Q187" s="13">
        <f t="shared" si="37"/>
        <v>1</v>
      </c>
      <c r="R187" s="13">
        <f t="shared" si="37"/>
        <v>3</v>
      </c>
      <c r="S187" s="13">
        <f t="shared" si="37"/>
        <v>8</v>
      </c>
      <c r="T187" s="13">
        <f t="shared" si="37"/>
        <v>6</v>
      </c>
      <c r="U187" s="13">
        <f t="shared" si="37"/>
        <v>1</v>
      </c>
      <c r="V187" s="13">
        <f t="shared" si="37"/>
        <v>1</v>
      </c>
      <c r="W187" s="13">
        <f t="shared" si="37"/>
        <v>3</v>
      </c>
      <c r="X187" s="13">
        <f t="shared" si="37"/>
        <v>0</v>
      </c>
      <c r="Y187" s="13">
        <f t="shared" si="37"/>
        <v>1</v>
      </c>
      <c r="Z187" s="13">
        <f t="shared" si="37"/>
        <v>4</v>
      </c>
      <c r="AA187" s="13">
        <f t="shared" si="37"/>
        <v>6</v>
      </c>
      <c r="AB187" s="13">
        <f t="shared" si="37"/>
        <v>1</v>
      </c>
      <c r="AC187" s="13">
        <f t="shared" si="37"/>
        <v>0</v>
      </c>
      <c r="AD187" s="13">
        <f t="shared" si="37"/>
        <v>1</v>
      </c>
      <c r="AE187" s="13">
        <f t="shared" si="37"/>
        <v>1</v>
      </c>
      <c r="AF187" s="13">
        <f t="shared" si="37"/>
        <v>2</v>
      </c>
      <c r="AG187" s="13">
        <f t="shared" si="37"/>
        <v>1</v>
      </c>
      <c r="AH187" s="13">
        <f t="shared" si="37"/>
        <v>0</v>
      </c>
      <c r="AI187" s="13">
        <f t="shared" si="37"/>
        <v>2</v>
      </c>
      <c r="AJ187" s="13">
        <f t="shared" si="37"/>
        <v>0</v>
      </c>
      <c r="AK187" s="13">
        <f t="shared" si="37"/>
        <v>1</v>
      </c>
      <c r="AL187" s="13">
        <f t="shared" si="37"/>
        <v>0</v>
      </c>
      <c r="AM187" s="13">
        <f t="shared" si="37"/>
        <v>5</v>
      </c>
      <c r="AN187" s="13">
        <f t="shared" si="37"/>
        <v>0</v>
      </c>
      <c r="AO187" s="13">
        <f t="shared" si="37"/>
        <v>3</v>
      </c>
      <c r="AP187" s="13">
        <f t="shared" si="37"/>
        <v>72</v>
      </c>
      <c r="AQ187" s="1"/>
      <c r="AR187" s="1"/>
    </row>
    <row r="188" ht="12.75" customHeight="1">
      <c r="A188" s="24"/>
      <c r="B188" s="15"/>
      <c r="C188" s="15"/>
      <c r="D188" s="15"/>
      <c r="E188" s="16"/>
      <c r="F188" s="75"/>
      <c r="G188" s="75"/>
      <c r="H188" s="75"/>
      <c r="I188" s="75"/>
      <c r="J188" s="75"/>
      <c r="K188" s="75"/>
      <c r="L188" s="75"/>
      <c r="M188" s="75"/>
      <c r="N188" s="75"/>
      <c r="AB188" s="75"/>
      <c r="AP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1.0</v>
      </c>
      <c r="J189" s="19">
        <v>1.0</v>
      </c>
      <c r="K189" s="19">
        <v>0.0</v>
      </c>
      <c r="L189" s="19">
        <v>1.0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1.0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1.0</v>
      </c>
      <c r="AE189" s="19">
        <v>0.0</v>
      </c>
      <c r="AF189" s="19">
        <v>0.0</v>
      </c>
      <c r="AG189" s="19">
        <v>0.0</v>
      </c>
      <c r="AH189" s="19">
        <v>0.0</v>
      </c>
      <c r="AI189" s="19">
        <v>0.0</v>
      </c>
      <c r="AJ189" s="19">
        <v>0.0</v>
      </c>
      <c r="AK189" s="19">
        <v>0.0</v>
      </c>
      <c r="AL189" s="19">
        <v>0.0</v>
      </c>
      <c r="AM189" s="19">
        <v>0.0</v>
      </c>
      <c r="AN189" s="19">
        <v>0.0</v>
      </c>
      <c r="AO189" s="19">
        <v>0.0</v>
      </c>
      <c r="AP189" s="13">
        <f t="shared" ref="AP189:AP196" si="38">SUM(E189:AO189)</f>
        <v>5</v>
      </c>
      <c r="AQ189" s="5"/>
      <c r="AR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1.0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2.0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1.0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0.0</v>
      </c>
      <c r="AI190" s="19">
        <v>0.0</v>
      </c>
      <c r="AJ190" s="19">
        <v>0.0</v>
      </c>
      <c r="AK190" s="19">
        <v>0.0</v>
      </c>
      <c r="AL190" s="19">
        <v>1.0</v>
      </c>
      <c r="AM190" s="19">
        <v>0.0</v>
      </c>
      <c r="AN190" s="19">
        <v>0.0</v>
      </c>
      <c r="AO190" s="19">
        <v>0.0</v>
      </c>
      <c r="AP190" s="13">
        <f t="shared" si="38"/>
        <v>5</v>
      </c>
      <c r="AQ190" s="5"/>
      <c r="AR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1.0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9">
        <v>0.0</v>
      </c>
      <c r="AI191" s="19">
        <v>0.0</v>
      </c>
      <c r="AJ191" s="19">
        <v>1.0</v>
      </c>
      <c r="AK191" s="19">
        <v>0.0</v>
      </c>
      <c r="AL191" s="19">
        <v>0.0</v>
      </c>
      <c r="AM191" s="19">
        <v>0.0</v>
      </c>
      <c r="AN191" s="19">
        <v>0.0</v>
      </c>
      <c r="AO191" s="19">
        <v>0.0</v>
      </c>
      <c r="AP191" s="13">
        <f t="shared" si="38"/>
        <v>2</v>
      </c>
      <c r="AQ191" s="5"/>
      <c r="AR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1.0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1.0</v>
      </c>
      <c r="AI192" s="19">
        <v>0.0</v>
      </c>
      <c r="AJ192" s="19">
        <v>0.0</v>
      </c>
      <c r="AK192" s="19">
        <v>0.0</v>
      </c>
      <c r="AL192" s="19">
        <v>0.0</v>
      </c>
      <c r="AM192" s="19">
        <v>0.0</v>
      </c>
      <c r="AN192" s="19">
        <v>0.0</v>
      </c>
      <c r="AO192" s="19">
        <v>0.0</v>
      </c>
      <c r="AP192" s="13">
        <f t="shared" si="38"/>
        <v>2</v>
      </c>
      <c r="AQ192" s="5"/>
      <c r="AR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0.0</v>
      </c>
      <c r="AJ193" s="19">
        <v>0.0</v>
      </c>
      <c r="AK193" s="19">
        <v>0.0</v>
      </c>
      <c r="AL193" s="19">
        <v>0.0</v>
      </c>
      <c r="AM193" s="19">
        <v>0.0</v>
      </c>
      <c r="AN193" s="19">
        <v>0.0</v>
      </c>
      <c r="AO193" s="19">
        <v>0.0</v>
      </c>
      <c r="AP193" s="13">
        <f t="shared" si="38"/>
        <v>0</v>
      </c>
      <c r="AQ193" s="5"/>
      <c r="AR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1.0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9">
        <v>0.0</v>
      </c>
      <c r="AL194" s="19">
        <v>0.0</v>
      </c>
      <c r="AM194" s="19">
        <v>0.0</v>
      </c>
      <c r="AN194" s="19">
        <v>0.0</v>
      </c>
      <c r="AO194" s="19">
        <v>0.0</v>
      </c>
      <c r="AP194" s="13">
        <f t="shared" si="38"/>
        <v>1</v>
      </c>
      <c r="AQ194" s="5"/>
      <c r="AR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1.0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0.0</v>
      </c>
      <c r="AI195" s="19">
        <v>0.0</v>
      </c>
      <c r="AJ195" s="19">
        <v>0.0</v>
      </c>
      <c r="AK195" s="19">
        <v>0.0</v>
      </c>
      <c r="AL195" s="19">
        <v>0.0</v>
      </c>
      <c r="AM195" s="19">
        <v>0.0</v>
      </c>
      <c r="AN195" s="19">
        <v>0.0</v>
      </c>
      <c r="AO195" s="19">
        <v>0.0</v>
      </c>
      <c r="AP195" s="13">
        <f t="shared" si="38"/>
        <v>1</v>
      </c>
      <c r="AQ195" s="5"/>
      <c r="AR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1.0</v>
      </c>
      <c r="AD196" s="19">
        <v>0.0</v>
      </c>
      <c r="AE196" s="19">
        <v>0.0</v>
      </c>
      <c r="AF196" s="19">
        <v>0.0</v>
      </c>
      <c r="AG196" s="19">
        <v>0.0</v>
      </c>
      <c r="AH196" s="19">
        <v>0.0</v>
      </c>
      <c r="AI196" s="19">
        <v>0.0</v>
      </c>
      <c r="AJ196" s="19">
        <v>0.0</v>
      </c>
      <c r="AK196" s="19">
        <v>0.0</v>
      </c>
      <c r="AL196" s="19">
        <v>0.0</v>
      </c>
      <c r="AM196" s="19">
        <v>0.0</v>
      </c>
      <c r="AN196" s="19">
        <v>0.0</v>
      </c>
      <c r="AO196" s="19">
        <v>0.0</v>
      </c>
      <c r="AP196" s="13">
        <f t="shared" si="38"/>
        <v>1</v>
      </c>
      <c r="AQ196" s="1"/>
      <c r="AR196" s="1"/>
    </row>
    <row r="197" ht="12.75" customHeight="1">
      <c r="A197" s="18"/>
      <c r="B197" s="71"/>
      <c r="C197" s="72"/>
      <c r="D197" s="7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79"/>
      <c r="AQ197" s="1"/>
      <c r="AR197" s="1"/>
    </row>
    <row r="198" ht="12.75" customHeight="1">
      <c r="A198" s="18"/>
      <c r="B198" s="71"/>
      <c r="C198" s="72"/>
      <c r="D198" s="7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79"/>
      <c r="AQ198" s="1"/>
      <c r="AR198" s="1"/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P199" si="39">SUM(E189:E198)</f>
        <v>0</v>
      </c>
      <c r="F199" s="13">
        <f t="shared" si="39"/>
        <v>0</v>
      </c>
      <c r="G199" s="13">
        <f t="shared" si="39"/>
        <v>1</v>
      </c>
      <c r="H199" s="13">
        <f t="shared" si="39"/>
        <v>0</v>
      </c>
      <c r="I199" s="13">
        <f t="shared" si="39"/>
        <v>1</v>
      </c>
      <c r="J199" s="13">
        <f t="shared" si="39"/>
        <v>1</v>
      </c>
      <c r="K199" s="13">
        <f t="shared" si="39"/>
        <v>0</v>
      </c>
      <c r="L199" s="13">
        <f t="shared" si="39"/>
        <v>1</v>
      </c>
      <c r="M199" s="13">
        <f t="shared" si="39"/>
        <v>0</v>
      </c>
      <c r="N199" s="13">
        <f t="shared" si="39"/>
        <v>1</v>
      </c>
      <c r="O199" s="13">
        <f t="shared" si="39"/>
        <v>0</v>
      </c>
      <c r="P199" s="13">
        <f t="shared" si="39"/>
        <v>2</v>
      </c>
      <c r="Q199" s="13">
        <f t="shared" si="39"/>
        <v>0</v>
      </c>
      <c r="R199" s="13">
        <f t="shared" si="39"/>
        <v>1</v>
      </c>
      <c r="S199" s="13">
        <f t="shared" si="39"/>
        <v>0</v>
      </c>
      <c r="T199" s="13">
        <f t="shared" si="39"/>
        <v>1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1</v>
      </c>
      <c r="Y199" s="13">
        <f t="shared" si="39"/>
        <v>1</v>
      </c>
      <c r="Z199" s="13">
        <f t="shared" si="39"/>
        <v>0</v>
      </c>
      <c r="AA199" s="13">
        <f t="shared" si="39"/>
        <v>0</v>
      </c>
      <c r="AB199" s="13">
        <f t="shared" si="39"/>
        <v>1</v>
      </c>
      <c r="AC199" s="13">
        <f t="shared" si="39"/>
        <v>1</v>
      </c>
      <c r="AD199" s="13">
        <f t="shared" si="39"/>
        <v>1</v>
      </c>
      <c r="AE199" s="13">
        <f t="shared" si="39"/>
        <v>0</v>
      </c>
      <c r="AF199" s="13">
        <f t="shared" si="39"/>
        <v>0</v>
      </c>
      <c r="AG199" s="13">
        <f t="shared" si="39"/>
        <v>0</v>
      </c>
      <c r="AH199" s="13">
        <f t="shared" si="39"/>
        <v>1</v>
      </c>
      <c r="AI199" s="13">
        <f t="shared" si="39"/>
        <v>0</v>
      </c>
      <c r="AJ199" s="13">
        <f t="shared" si="39"/>
        <v>1</v>
      </c>
      <c r="AK199" s="13">
        <f t="shared" si="39"/>
        <v>0</v>
      </c>
      <c r="AL199" s="13">
        <f t="shared" si="39"/>
        <v>1</v>
      </c>
      <c r="AM199" s="13">
        <f t="shared" si="39"/>
        <v>0</v>
      </c>
      <c r="AN199" s="13">
        <f t="shared" si="39"/>
        <v>0</v>
      </c>
      <c r="AO199" s="13">
        <f t="shared" si="39"/>
        <v>0</v>
      </c>
      <c r="AP199" s="13">
        <f t="shared" si="39"/>
        <v>17</v>
      </c>
      <c r="AQ199" s="52"/>
      <c r="AR199" s="52"/>
    </row>
    <row r="200" ht="12.75" customHeight="1">
      <c r="A200" s="24"/>
      <c r="B200" s="15"/>
      <c r="C200" s="15"/>
      <c r="D200" s="15"/>
      <c r="E200" s="16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75"/>
      <c r="AK200" s="75"/>
      <c r="AL200" s="75"/>
      <c r="AM200" s="75"/>
      <c r="AN200" s="75"/>
      <c r="AO200" s="75"/>
      <c r="AP200" s="75"/>
      <c r="AQ200" s="5"/>
      <c r="AR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4.0</v>
      </c>
      <c r="F201" s="19">
        <v>16.0</v>
      </c>
      <c r="G201" s="19">
        <v>0.0</v>
      </c>
      <c r="H201" s="19">
        <v>6.0</v>
      </c>
      <c r="I201" s="19">
        <v>2.0</v>
      </c>
      <c r="J201" s="19">
        <v>5.0</v>
      </c>
      <c r="K201" s="19">
        <v>12.0</v>
      </c>
      <c r="L201" s="19">
        <v>4.0</v>
      </c>
      <c r="M201" s="19">
        <v>4.0</v>
      </c>
      <c r="N201" s="19">
        <v>6.0</v>
      </c>
      <c r="O201" s="19">
        <v>7.0</v>
      </c>
      <c r="P201" s="19">
        <v>12.0</v>
      </c>
      <c r="Q201" s="19">
        <v>1.0</v>
      </c>
      <c r="R201" s="19">
        <v>10.0</v>
      </c>
      <c r="S201" s="19">
        <v>13.0</v>
      </c>
      <c r="T201" s="19">
        <v>3.0</v>
      </c>
      <c r="U201" s="19">
        <v>6.0</v>
      </c>
      <c r="V201" s="19">
        <v>17.0</v>
      </c>
      <c r="W201" s="19">
        <v>2.0</v>
      </c>
      <c r="X201" s="19">
        <v>4.0</v>
      </c>
      <c r="Y201" s="19">
        <v>9.0</v>
      </c>
      <c r="Z201" s="19">
        <v>8.0</v>
      </c>
      <c r="AA201" s="19">
        <v>3.0</v>
      </c>
      <c r="AB201" s="19">
        <v>4.0</v>
      </c>
      <c r="AC201" s="19">
        <v>6.0</v>
      </c>
      <c r="AD201" s="19">
        <v>4.0</v>
      </c>
      <c r="AE201" s="19">
        <v>2.0</v>
      </c>
      <c r="AF201" s="19">
        <v>2.0</v>
      </c>
      <c r="AG201" s="19">
        <v>3.0</v>
      </c>
      <c r="AH201" s="19">
        <v>7.0</v>
      </c>
      <c r="AI201" s="19">
        <v>13.0</v>
      </c>
      <c r="AJ201" s="19">
        <v>8.0</v>
      </c>
      <c r="AK201" s="19">
        <v>1.0</v>
      </c>
      <c r="AL201" s="19">
        <v>2.0</v>
      </c>
      <c r="AM201" s="19">
        <v>1.0</v>
      </c>
      <c r="AN201" s="19">
        <v>5.0</v>
      </c>
      <c r="AO201" s="19">
        <v>5.0</v>
      </c>
      <c r="AP201" s="13">
        <f t="shared" ref="AP201:AP208" si="40">SUM(E201:AO201)</f>
        <v>217</v>
      </c>
      <c r="AQ201" s="5"/>
      <c r="AR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10.0</v>
      </c>
      <c r="F202" s="19">
        <v>30.0</v>
      </c>
      <c r="G202" s="19">
        <v>4.0</v>
      </c>
      <c r="H202" s="19">
        <v>5.0</v>
      </c>
      <c r="I202" s="19">
        <v>2.0</v>
      </c>
      <c r="J202" s="19">
        <v>19.0</v>
      </c>
      <c r="K202" s="19">
        <v>6.0</v>
      </c>
      <c r="L202" s="19">
        <v>3.0</v>
      </c>
      <c r="M202" s="19">
        <v>10.0</v>
      </c>
      <c r="N202" s="19">
        <v>18.0</v>
      </c>
      <c r="O202" s="19">
        <v>16.0</v>
      </c>
      <c r="P202" s="19">
        <v>10.0</v>
      </c>
      <c r="Q202" s="19">
        <v>8.0</v>
      </c>
      <c r="R202" s="19">
        <v>32.0</v>
      </c>
      <c r="S202" s="19">
        <v>18.0</v>
      </c>
      <c r="T202" s="19">
        <v>15.0</v>
      </c>
      <c r="U202" s="19">
        <v>15.0</v>
      </c>
      <c r="V202" s="19">
        <v>28.0</v>
      </c>
      <c r="W202" s="19">
        <v>2.0</v>
      </c>
      <c r="X202" s="19">
        <v>9.0</v>
      </c>
      <c r="Y202" s="19">
        <v>5.0</v>
      </c>
      <c r="Z202" s="19">
        <v>5.0</v>
      </c>
      <c r="AA202" s="19">
        <v>10.0</v>
      </c>
      <c r="AB202" s="19">
        <v>22.0</v>
      </c>
      <c r="AC202" s="19">
        <v>7.0</v>
      </c>
      <c r="AD202" s="19">
        <v>8.0</v>
      </c>
      <c r="AE202" s="19">
        <v>8.0</v>
      </c>
      <c r="AF202" s="19">
        <v>2.0</v>
      </c>
      <c r="AG202" s="19">
        <v>3.0</v>
      </c>
      <c r="AH202" s="19">
        <v>13.0</v>
      </c>
      <c r="AI202" s="19">
        <v>15.0</v>
      </c>
      <c r="AJ202" s="19">
        <v>18.0</v>
      </c>
      <c r="AK202" s="19">
        <v>4.0</v>
      </c>
      <c r="AL202" s="19">
        <v>4.0</v>
      </c>
      <c r="AM202" s="19">
        <v>2.0</v>
      </c>
      <c r="AN202" s="19">
        <v>4.0</v>
      </c>
      <c r="AO202" s="19">
        <v>4.0</v>
      </c>
      <c r="AP202" s="13">
        <f t="shared" si="40"/>
        <v>394</v>
      </c>
      <c r="AQ202" s="5"/>
      <c r="AR202" s="5"/>
    </row>
    <row r="203" ht="12.75" customHeight="1">
      <c r="A203" s="18"/>
      <c r="B203" s="55">
        <v>2.0</v>
      </c>
      <c r="C203" s="50" t="s">
        <v>149</v>
      </c>
      <c r="D203" s="57"/>
      <c r="E203" s="19">
        <v>0.0</v>
      </c>
      <c r="F203" s="19">
        <v>2.0</v>
      </c>
      <c r="G203" s="19">
        <v>2.0</v>
      </c>
      <c r="H203" s="19">
        <v>1.0</v>
      </c>
      <c r="I203" s="19">
        <v>0.0</v>
      </c>
      <c r="J203" s="19">
        <v>7.0</v>
      </c>
      <c r="K203" s="19">
        <v>5.0</v>
      </c>
      <c r="L203" s="19">
        <v>0.0</v>
      </c>
      <c r="M203" s="19">
        <v>3.0</v>
      </c>
      <c r="N203" s="19">
        <v>3.0</v>
      </c>
      <c r="O203" s="19">
        <v>2.0</v>
      </c>
      <c r="P203" s="19">
        <v>6.0</v>
      </c>
      <c r="Q203" s="19">
        <v>3.0</v>
      </c>
      <c r="R203" s="19">
        <v>4.0</v>
      </c>
      <c r="S203" s="19">
        <v>5.0</v>
      </c>
      <c r="T203" s="19">
        <v>3.0</v>
      </c>
      <c r="U203" s="19">
        <v>3.0</v>
      </c>
      <c r="V203" s="19">
        <v>5.0</v>
      </c>
      <c r="W203" s="19">
        <v>1.0</v>
      </c>
      <c r="X203" s="19">
        <v>3.0</v>
      </c>
      <c r="Y203" s="19">
        <v>1.0</v>
      </c>
      <c r="Z203" s="19">
        <v>2.0</v>
      </c>
      <c r="AA203" s="19">
        <v>3.0</v>
      </c>
      <c r="AB203" s="19">
        <v>3.0</v>
      </c>
      <c r="AC203" s="19">
        <v>4.0</v>
      </c>
      <c r="AD203" s="19">
        <v>2.0</v>
      </c>
      <c r="AE203" s="19">
        <v>1.0</v>
      </c>
      <c r="AF203" s="19">
        <v>2.0</v>
      </c>
      <c r="AG203" s="19">
        <v>3.0</v>
      </c>
      <c r="AH203" s="19">
        <v>8.0</v>
      </c>
      <c r="AI203" s="19">
        <v>1.0</v>
      </c>
      <c r="AJ203" s="19">
        <v>2.0</v>
      </c>
      <c r="AK203" s="19">
        <v>3.0</v>
      </c>
      <c r="AL203" s="19">
        <v>1.0</v>
      </c>
      <c r="AM203" s="19">
        <v>2.0</v>
      </c>
      <c r="AN203" s="19">
        <v>2.0</v>
      </c>
      <c r="AO203" s="19">
        <v>3.0</v>
      </c>
      <c r="AP203" s="13">
        <f t="shared" si="40"/>
        <v>101</v>
      </c>
      <c r="AQ203" s="5"/>
      <c r="AR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1.0</v>
      </c>
      <c r="L204" s="19">
        <v>0.0</v>
      </c>
      <c r="M204" s="19">
        <v>1.0</v>
      </c>
      <c r="N204" s="19">
        <v>1.0</v>
      </c>
      <c r="O204" s="19">
        <v>2.0</v>
      </c>
      <c r="P204" s="19">
        <v>0.0</v>
      </c>
      <c r="Q204" s="19">
        <v>0.0</v>
      </c>
      <c r="R204" s="19">
        <v>0.0</v>
      </c>
      <c r="S204" s="19">
        <v>0.0</v>
      </c>
      <c r="T204" s="19">
        <v>1.0</v>
      </c>
      <c r="U204" s="19">
        <v>1.0</v>
      </c>
      <c r="V204" s="19">
        <v>5.0</v>
      </c>
      <c r="W204" s="19">
        <v>1.0</v>
      </c>
      <c r="X204" s="19">
        <v>2.0</v>
      </c>
      <c r="Y204" s="19">
        <v>1.0</v>
      </c>
      <c r="Z204" s="19">
        <v>0.0</v>
      </c>
      <c r="AA204" s="19">
        <v>0.0</v>
      </c>
      <c r="AB204" s="19">
        <v>0.0</v>
      </c>
      <c r="AC204" s="19">
        <v>1.0</v>
      </c>
      <c r="AD204" s="19">
        <v>1.0</v>
      </c>
      <c r="AE204" s="19">
        <v>1.0</v>
      </c>
      <c r="AF204" s="19">
        <v>0.0</v>
      </c>
      <c r="AG204" s="19">
        <v>0.0</v>
      </c>
      <c r="AH204" s="19">
        <v>1.0</v>
      </c>
      <c r="AI204" s="19">
        <v>1.0</v>
      </c>
      <c r="AJ204" s="19">
        <v>0.0</v>
      </c>
      <c r="AK204" s="19">
        <v>1.0</v>
      </c>
      <c r="AL204" s="19">
        <v>0.0</v>
      </c>
      <c r="AM204" s="19">
        <v>1.0</v>
      </c>
      <c r="AN204" s="19">
        <v>0.0</v>
      </c>
      <c r="AO204" s="19">
        <v>2.0</v>
      </c>
      <c r="AP204" s="13">
        <f t="shared" si="40"/>
        <v>25</v>
      </c>
      <c r="AQ204" s="5"/>
      <c r="AR204" s="5"/>
    </row>
    <row r="205" ht="12.75" customHeight="1">
      <c r="A205" s="18"/>
      <c r="B205" s="55">
        <v>4.0</v>
      </c>
      <c r="C205" s="50" t="s">
        <v>151</v>
      </c>
      <c r="D205" s="57"/>
      <c r="E205" s="19">
        <v>1.0</v>
      </c>
      <c r="F205" s="19">
        <v>0.0</v>
      </c>
      <c r="G205" s="19">
        <v>0.0</v>
      </c>
      <c r="H205" s="19">
        <v>0.0</v>
      </c>
      <c r="I205" s="19">
        <v>0.0</v>
      </c>
      <c r="J205" s="19">
        <v>2.0</v>
      </c>
      <c r="K205" s="19">
        <v>1.0</v>
      </c>
      <c r="L205" s="19">
        <v>0.0</v>
      </c>
      <c r="M205" s="19">
        <v>0.0</v>
      </c>
      <c r="N205" s="19">
        <v>0.0</v>
      </c>
      <c r="O205" s="19">
        <v>0.0</v>
      </c>
      <c r="P205" s="19">
        <v>1.0</v>
      </c>
      <c r="Q205" s="19">
        <v>1.0</v>
      </c>
      <c r="R205" s="19">
        <v>0.0</v>
      </c>
      <c r="S205" s="19">
        <v>0.0</v>
      </c>
      <c r="T205" s="19">
        <v>0.0</v>
      </c>
      <c r="U205" s="19">
        <v>0.0</v>
      </c>
      <c r="V205" s="19">
        <v>0.0</v>
      </c>
      <c r="W205" s="19">
        <v>0.0</v>
      </c>
      <c r="X205" s="19">
        <v>1.0</v>
      </c>
      <c r="Y205" s="19">
        <v>0.0</v>
      </c>
      <c r="Z205" s="19">
        <v>1.0</v>
      </c>
      <c r="AA205" s="19">
        <v>0.0</v>
      </c>
      <c r="AB205" s="19">
        <v>1.0</v>
      </c>
      <c r="AC205" s="19">
        <v>1.0</v>
      </c>
      <c r="AD205" s="19">
        <v>0.0</v>
      </c>
      <c r="AE205" s="19">
        <v>0.0</v>
      </c>
      <c r="AF205" s="19">
        <v>0.0</v>
      </c>
      <c r="AG205" s="19">
        <v>0.0</v>
      </c>
      <c r="AH205" s="19">
        <v>1.0</v>
      </c>
      <c r="AI205" s="19">
        <v>1.0</v>
      </c>
      <c r="AJ205" s="19">
        <v>0.0</v>
      </c>
      <c r="AK205" s="19">
        <v>1.0</v>
      </c>
      <c r="AL205" s="19">
        <v>0.0</v>
      </c>
      <c r="AM205" s="19">
        <v>0.0</v>
      </c>
      <c r="AN205" s="19">
        <v>0.0</v>
      </c>
      <c r="AO205" s="19">
        <v>0.0</v>
      </c>
      <c r="AP205" s="13">
        <f t="shared" si="40"/>
        <v>13</v>
      </c>
      <c r="AQ205" s="5"/>
      <c r="AR205" s="5"/>
    </row>
    <row r="206" ht="12.75" customHeight="1">
      <c r="A206" s="18"/>
      <c r="B206" s="55">
        <v>5.0</v>
      </c>
      <c r="C206" s="50" t="s">
        <v>152</v>
      </c>
      <c r="D206" s="57"/>
      <c r="E206" s="19">
        <v>1.0</v>
      </c>
      <c r="F206" s="19">
        <v>0.0</v>
      </c>
      <c r="G206" s="19">
        <v>0.0</v>
      </c>
      <c r="H206" s="19">
        <v>1.0</v>
      </c>
      <c r="I206" s="19">
        <v>0.0</v>
      </c>
      <c r="J206" s="19">
        <v>0.0</v>
      </c>
      <c r="K206" s="19">
        <v>0.0</v>
      </c>
      <c r="L206" s="19">
        <v>1.0</v>
      </c>
      <c r="M206" s="19">
        <v>1.0</v>
      </c>
      <c r="N206" s="19">
        <v>0.0</v>
      </c>
      <c r="O206" s="19">
        <v>0.0</v>
      </c>
      <c r="P206" s="19">
        <v>2.0</v>
      </c>
      <c r="Q206" s="19">
        <v>0.0</v>
      </c>
      <c r="R206" s="19">
        <v>1.0</v>
      </c>
      <c r="S206" s="19">
        <v>0.0</v>
      </c>
      <c r="T206" s="19">
        <v>1.0</v>
      </c>
      <c r="U206" s="19">
        <v>0.0</v>
      </c>
      <c r="V206" s="19">
        <v>0.0</v>
      </c>
      <c r="W206" s="19">
        <v>1.0</v>
      </c>
      <c r="X206" s="19">
        <v>0.0</v>
      </c>
      <c r="Y206" s="19">
        <v>0.0</v>
      </c>
      <c r="Z206" s="19">
        <v>0.0</v>
      </c>
      <c r="AA206" s="19">
        <v>0.0</v>
      </c>
      <c r="AB206" s="19">
        <v>1.0</v>
      </c>
      <c r="AC206" s="19">
        <v>1.0</v>
      </c>
      <c r="AD206" s="19">
        <v>0.0</v>
      </c>
      <c r="AE206" s="19">
        <v>0.0</v>
      </c>
      <c r="AF206" s="19">
        <v>0.0</v>
      </c>
      <c r="AG206" s="19">
        <v>0.0</v>
      </c>
      <c r="AH206" s="19">
        <v>0.0</v>
      </c>
      <c r="AI206" s="19">
        <v>1.0</v>
      </c>
      <c r="AJ206" s="19">
        <v>0.0</v>
      </c>
      <c r="AK206" s="19">
        <v>0.0</v>
      </c>
      <c r="AL206" s="19">
        <v>1.0</v>
      </c>
      <c r="AM206" s="19">
        <v>0.0</v>
      </c>
      <c r="AN206" s="19">
        <v>0.0</v>
      </c>
      <c r="AO206" s="19">
        <v>0.0</v>
      </c>
      <c r="AP206" s="13">
        <f t="shared" si="40"/>
        <v>13</v>
      </c>
      <c r="AQ206" s="5"/>
      <c r="AR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3.0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1.0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2.0</v>
      </c>
      <c r="Z207" s="19">
        <v>3.0</v>
      </c>
      <c r="AA207" s="19">
        <v>0.0</v>
      </c>
      <c r="AB207" s="19">
        <v>1.0</v>
      </c>
      <c r="AC207" s="19">
        <v>0.0</v>
      </c>
      <c r="AD207" s="19">
        <v>0.0</v>
      </c>
      <c r="AE207" s="19">
        <v>0.0</v>
      </c>
      <c r="AF207" s="19">
        <v>0.0</v>
      </c>
      <c r="AG207" s="19">
        <v>0.0</v>
      </c>
      <c r="AH207" s="19">
        <v>0.0</v>
      </c>
      <c r="AI207" s="19">
        <v>0.0</v>
      </c>
      <c r="AJ207" s="19">
        <v>0.0</v>
      </c>
      <c r="AK207" s="19">
        <v>0.0</v>
      </c>
      <c r="AL207" s="19">
        <v>1.0</v>
      </c>
      <c r="AM207" s="19">
        <v>0.0</v>
      </c>
      <c r="AN207" s="19">
        <v>0.0</v>
      </c>
      <c r="AO207" s="19">
        <v>3.0</v>
      </c>
      <c r="AP207" s="13">
        <f t="shared" si="40"/>
        <v>14</v>
      </c>
      <c r="AQ207" s="1"/>
      <c r="AR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2.0</v>
      </c>
      <c r="H208" s="19">
        <v>0.0</v>
      </c>
      <c r="I208" s="19">
        <v>0.0</v>
      </c>
      <c r="J208" s="19">
        <v>1.0</v>
      </c>
      <c r="K208" s="19">
        <v>2.0</v>
      </c>
      <c r="L208" s="19">
        <v>0.0</v>
      </c>
      <c r="M208" s="19">
        <v>0.0</v>
      </c>
      <c r="N208" s="19">
        <v>0.0</v>
      </c>
      <c r="O208" s="19">
        <v>0.0</v>
      </c>
      <c r="P208" s="19">
        <v>1.0</v>
      </c>
      <c r="Q208" s="19">
        <v>0.0</v>
      </c>
      <c r="R208" s="19">
        <v>0.0</v>
      </c>
      <c r="S208" s="19">
        <v>1.0</v>
      </c>
      <c r="T208" s="19">
        <v>0.0</v>
      </c>
      <c r="U208" s="19">
        <v>0.0</v>
      </c>
      <c r="V208" s="19">
        <v>0.0</v>
      </c>
      <c r="W208" s="19">
        <v>0.0</v>
      </c>
      <c r="X208" s="19">
        <v>0.0</v>
      </c>
      <c r="Y208" s="19">
        <v>1.0</v>
      </c>
      <c r="Z208" s="19">
        <v>1.0</v>
      </c>
      <c r="AA208" s="19">
        <v>0.0</v>
      </c>
      <c r="AB208" s="19">
        <v>2.0</v>
      </c>
      <c r="AC208" s="19">
        <v>0.0</v>
      </c>
      <c r="AD208" s="19">
        <v>2.0</v>
      </c>
      <c r="AE208" s="19">
        <v>0.0</v>
      </c>
      <c r="AF208" s="19">
        <v>0.0</v>
      </c>
      <c r="AG208" s="19">
        <v>2.0</v>
      </c>
      <c r="AH208" s="19">
        <v>0.0</v>
      </c>
      <c r="AI208" s="19">
        <v>0.0</v>
      </c>
      <c r="AJ208" s="19">
        <v>0.0</v>
      </c>
      <c r="AK208" s="19">
        <v>0.0</v>
      </c>
      <c r="AL208" s="19">
        <v>0.0</v>
      </c>
      <c r="AM208" s="19">
        <v>0.0</v>
      </c>
      <c r="AN208" s="19">
        <v>0.0</v>
      </c>
      <c r="AO208" s="19">
        <v>0.0</v>
      </c>
      <c r="AP208" s="13">
        <f t="shared" si="40"/>
        <v>15</v>
      </c>
      <c r="AQ208" s="52"/>
      <c r="AR208" s="52"/>
    </row>
    <row r="209" ht="12.75" customHeight="1">
      <c r="A209" s="18"/>
      <c r="B209" s="71"/>
      <c r="C209" s="72"/>
      <c r="D209" s="7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79"/>
      <c r="AQ209" s="52"/>
      <c r="AR209" s="52"/>
    </row>
    <row r="210" ht="12.75" customHeight="1">
      <c r="A210" s="18"/>
      <c r="B210" s="71"/>
      <c r="C210" s="72"/>
      <c r="D210" s="7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79"/>
      <c r="AQ210" s="52"/>
      <c r="AR210" s="52"/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P211" si="41">SUM(E201:E210)</f>
        <v>16</v>
      </c>
      <c r="F211" s="13">
        <f t="shared" si="41"/>
        <v>48</v>
      </c>
      <c r="G211" s="13">
        <f t="shared" si="41"/>
        <v>8</v>
      </c>
      <c r="H211" s="13">
        <f t="shared" si="41"/>
        <v>13</v>
      </c>
      <c r="I211" s="13">
        <f t="shared" si="41"/>
        <v>4</v>
      </c>
      <c r="J211" s="13">
        <f t="shared" si="41"/>
        <v>34</v>
      </c>
      <c r="K211" s="13">
        <f t="shared" si="41"/>
        <v>30</v>
      </c>
      <c r="L211" s="13">
        <f t="shared" si="41"/>
        <v>8</v>
      </c>
      <c r="M211" s="13">
        <f t="shared" si="41"/>
        <v>19</v>
      </c>
      <c r="N211" s="13">
        <f t="shared" si="41"/>
        <v>28</v>
      </c>
      <c r="O211" s="13">
        <f t="shared" si="41"/>
        <v>27</v>
      </c>
      <c r="P211" s="13">
        <f t="shared" si="41"/>
        <v>32</v>
      </c>
      <c r="Q211" s="13">
        <f t="shared" si="41"/>
        <v>14</v>
      </c>
      <c r="R211" s="13">
        <f t="shared" si="41"/>
        <v>47</v>
      </c>
      <c r="S211" s="13">
        <f t="shared" si="41"/>
        <v>37</v>
      </c>
      <c r="T211" s="13">
        <f t="shared" si="41"/>
        <v>23</v>
      </c>
      <c r="U211" s="13">
        <f t="shared" si="41"/>
        <v>25</v>
      </c>
      <c r="V211" s="13">
        <f t="shared" si="41"/>
        <v>55</v>
      </c>
      <c r="W211" s="13">
        <f t="shared" si="41"/>
        <v>7</v>
      </c>
      <c r="X211" s="13">
        <f t="shared" si="41"/>
        <v>19</v>
      </c>
      <c r="Y211" s="13">
        <f t="shared" si="41"/>
        <v>19</v>
      </c>
      <c r="Z211" s="13">
        <f t="shared" si="41"/>
        <v>20</v>
      </c>
      <c r="AA211" s="13">
        <f t="shared" si="41"/>
        <v>16</v>
      </c>
      <c r="AB211" s="13">
        <f t="shared" si="41"/>
        <v>34</v>
      </c>
      <c r="AC211" s="13">
        <f t="shared" si="41"/>
        <v>20</v>
      </c>
      <c r="AD211" s="13">
        <f t="shared" si="41"/>
        <v>17</v>
      </c>
      <c r="AE211" s="13">
        <f t="shared" si="41"/>
        <v>12</v>
      </c>
      <c r="AF211" s="13">
        <f t="shared" si="41"/>
        <v>6</v>
      </c>
      <c r="AG211" s="13">
        <f t="shared" si="41"/>
        <v>11</v>
      </c>
      <c r="AH211" s="13">
        <f t="shared" si="41"/>
        <v>30</v>
      </c>
      <c r="AI211" s="13">
        <f t="shared" si="41"/>
        <v>32</v>
      </c>
      <c r="AJ211" s="13">
        <f t="shared" si="41"/>
        <v>28</v>
      </c>
      <c r="AK211" s="13">
        <f t="shared" si="41"/>
        <v>10</v>
      </c>
      <c r="AL211" s="13">
        <f t="shared" si="41"/>
        <v>9</v>
      </c>
      <c r="AM211" s="13">
        <f t="shared" si="41"/>
        <v>6</v>
      </c>
      <c r="AN211" s="13">
        <f t="shared" si="41"/>
        <v>11</v>
      </c>
      <c r="AO211" s="13">
        <f t="shared" si="41"/>
        <v>17</v>
      </c>
      <c r="AP211" s="13">
        <f t="shared" si="41"/>
        <v>792</v>
      </c>
      <c r="AQ211" s="5"/>
      <c r="AR211" s="5"/>
    </row>
    <row r="212" ht="12.75" customHeight="1">
      <c r="A212" s="24"/>
      <c r="B212" s="15"/>
      <c r="C212" s="15"/>
      <c r="D212" s="15"/>
      <c r="E212" s="16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5"/>
      <c r="AE212" s="75"/>
      <c r="AF212" s="75"/>
      <c r="AG212" s="75"/>
      <c r="AH212" s="75"/>
      <c r="AI212" s="75"/>
      <c r="AJ212" s="75"/>
      <c r="AK212" s="75"/>
      <c r="AL212" s="75"/>
      <c r="AM212" s="75"/>
      <c r="AN212" s="75"/>
      <c r="AO212" s="75"/>
      <c r="AP212" s="75"/>
      <c r="AQ212" s="5"/>
      <c r="AR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2.0</v>
      </c>
      <c r="F213" s="19">
        <v>4.0</v>
      </c>
      <c r="G213" s="19">
        <v>0.0</v>
      </c>
      <c r="H213" s="19">
        <v>1.0</v>
      </c>
      <c r="I213" s="19">
        <v>1.0</v>
      </c>
      <c r="J213" s="19">
        <v>1.0</v>
      </c>
      <c r="K213" s="19">
        <v>2.0</v>
      </c>
      <c r="L213" s="19">
        <v>4.0</v>
      </c>
      <c r="M213" s="19">
        <v>3.0</v>
      </c>
      <c r="N213" s="19">
        <v>3.0</v>
      </c>
      <c r="O213" s="19">
        <v>6.0</v>
      </c>
      <c r="P213" s="19">
        <v>6.0</v>
      </c>
      <c r="Q213" s="19">
        <v>1.0</v>
      </c>
      <c r="R213" s="19">
        <v>1.0</v>
      </c>
      <c r="S213" s="19">
        <v>0.0</v>
      </c>
      <c r="T213" s="19">
        <v>0.0</v>
      </c>
      <c r="U213" s="19">
        <v>4.0</v>
      </c>
      <c r="V213" s="19">
        <v>9.0</v>
      </c>
      <c r="W213" s="19">
        <v>2.0</v>
      </c>
      <c r="X213" s="19">
        <v>3.0</v>
      </c>
      <c r="Y213" s="19">
        <v>0.0</v>
      </c>
      <c r="Z213" s="19">
        <v>0.0</v>
      </c>
      <c r="AA213" s="19">
        <v>3.0</v>
      </c>
      <c r="AB213" s="19">
        <v>3.0</v>
      </c>
      <c r="AC213" s="19">
        <v>1.0</v>
      </c>
      <c r="AD213" s="19">
        <v>0.0</v>
      </c>
      <c r="AE213" s="19">
        <v>3.0</v>
      </c>
      <c r="AF213" s="19">
        <v>0.0</v>
      </c>
      <c r="AG213" s="19">
        <v>1.0</v>
      </c>
      <c r="AH213" s="19">
        <v>2.0</v>
      </c>
      <c r="AI213" s="19">
        <v>1.0</v>
      </c>
      <c r="AJ213" s="19">
        <v>4.0</v>
      </c>
      <c r="AK213" s="19">
        <v>3.0</v>
      </c>
      <c r="AL213" s="19">
        <v>1.0</v>
      </c>
      <c r="AM213" s="19">
        <v>2.0</v>
      </c>
      <c r="AN213" s="19">
        <v>0.0</v>
      </c>
      <c r="AO213" s="19">
        <v>0.0</v>
      </c>
      <c r="AP213" s="13">
        <f t="shared" ref="AP213:AP220" si="42">SUM(E213:AO213)</f>
        <v>77</v>
      </c>
      <c r="AQ213" s="5"/>
      <c r="AR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0.0</v>
      </c>
      <c r="F214" s="19">
        <v>3.0</v>
      </c>
      <c r="G214" s="19">
        <v>1.0</v>
      </c>
      <c r="H214" s="19">
        <v>2.0</v>
      </c>
      <c r="I214" s="19">
        <v>1.0</v>
      </c>
      <c r="J214" s="19">
        <v>1.0</v>
      </c>
      <c r="K214" s="19">
        <v>7.0</v>
      </c>
      <c r="L214" s="19">
        <v>1.0</v>
      </c>
      <c r="M214" s="19">
        <v>4.0</v>
      </c>
      <c r="N214" s="19">
        <v>5.0</v>
      </c>
      <c r="O214" s="19">
        <v>4.0</v>
      </c>
      <c r="P214" s="19">
        <v>2.0</v>
      </c>
      <c r="Q214" s="19">
        <v>4.0</v>
      </c>
      <c r="R214" s="19">
        <v>0.0</v>
      </c>
      <c r="S214" s="19">
        <v>2.0</v>
      </c>
      <c r="T214" s="19">
        <v>2.0</v>
      </c>
      <c r="U214" s="19">
        <v>53.0</v>
      </c>
      <c r="V214" s="19">
        <v>3.0</v>
      </c>
      <c r="W214" s="19">
        <v>3.0</v>
      </c>
      <c r="X214" s="19">
        <v>2.0</v>
      </c>
      <c r="Y214" s="19">
        <v>1.0</v>
      </c>
      <c r="Z214" s="19">
        <v>0.0</v>
      </c>
      <c r="AA214" s="19">
        <v>2.0</v>
      </c>
      <c r="AB214" s="19">
        <v>2.0</v>
      </c>
      <c r="AC214" s="19">
        <v>1.0</v>
      </c>
      <c r="AD214" s="19">
        <v>2.0</v>
      </c>
      <c r="AE214" s="19">
        <v>0.0</v>
      </c>
      <c r="AF214" s="19">
        <v>2.0</v>
      </c>
      <c r="AG214" s="19">
        <v>0.0</v>
      </c>
      <c r="AH214" s="19">
        <v>3.0</v>
      </c>
      <c r="AI214" s="19">
        <v>0.0</v>
      </c>
      <c r="AJ214" s="19">
        <v>2.0</v>
      </c>
      <c r="AK214" s="19">
        <v>0.0</v>
      </c>
      <c r="AL214" s="19">
        <v>2.0</v>
      </c>
      <c r="AM214" s="19">
        <v>0.0</v>
      </c>
      <c r="AN214" s="19">
        <v>1.0</v>
      </c>
      <c r="AO214" s="19">
        <v>2.0</v>
      </c>
      <c r="AP214" s="13">
        <f t="shared" si="42"/>
        <v>120</v>
      </c>
      <c r="AQ214" s="5"/>
      <c r="AR214" s="5"/>
    </row>
    <row r="215" ht="12.75" customHeight="1">
      <c r="A215" s="18"/>
      <c r="B215" s="55">
        <v>2.0</v>
      </c>
      <c r="C215" s="50" t="s">
        <v>158</v>
      </c>
      <c r="D215" s="56"/>
      <c r="E215" s="19">
        <v>1.0</v>
      </c>
      <c r="F215" s="19">
        <v>3.0</v>
      </c>
      <c r="G215" s="19">
        <v>0.0</v>
      </c>
      <c r="H215" s="19">
        <v>0.0</v>
      </c>
      <c r="I215" s="19">
        <v>1.0</v>
      </c>
      <c r="J215" s="19">
        <v>0.0</v>
      </c>
      <c r="K215" s="19">
        <v>1.0</v>
      </c>
      <c r="L215" s="19">
        <v>0.0</v>
      </c>
      <c r="M215" s="19">
        <v>0.0</v>
      </c>
      <c r="N215" s="19">
        <v>0.0</v>
      </c>
      <c r="O215" s="19">
        <v>2.0</v>
      </c>
      <c r="P215" s="19">
        <v>1.0</v>
      </c>
      <c r="Q215" s="19">
        <v>0.0</v>
      </c>
      <c r="R215" s="19">
        <v>2.0</v>
      </c>
      <c r="S215" s="19">
        <v>5.0</v>
      </c>
      <c r="T215" s="19">
        <v>0.0</v>
      </c>
      <c r="U215" s="19">
        <v>0.0</v>
      </c>
      <c r="V215" s="19">
        <v>0.0</v>
      </c>
      <c r="W215" s="19">
        <v>2.0</v>
      </c>
      <c r="X215" s="19">
        <v>0.0</v>
      </c>
      <c r="Y215" s="19">
        <v>0.0</v>
      </c>
      <c r="Z215" s="19">
        <v>2.0</v>
      </c>
      <c r="AA215" s="19">
        <v>0.0</v>
      </c>
      <c r="AB215" s="19">
        <v>1.0</v>
      </c>
      <c r="AC215" s="19">
        <v>2.0</v>
      </c>
      <c r="AD215" s="19">
        <v>1.0</v>
      </c>
      <c r="AE215" s="19">
        <v>0.0</v>
      </c>
      <c r="AF215" s="19">
        <v>0.0</v>
      </c>
      <c r="AG215" s="19">
        <v>0.0</v>
      </c>
      <c r="AH215" s="19">
        <v>1.0</v>
      </c>
      <c r="AI215" s="19">
        <v>2.0</v>
      </c>
      <c r="AJ215" s="19">
        <v>0.0</v>
      </c>
      <c r="AK215" s="19">
        <v>2.0</v>
      </c>
      <c r="AL215" s="19">
        <v>0.0</v>
      </c>
      <c r="AM215" s="19">
        <v>0.0</v>
      </c>
      <c r="AN215" s="19">
        <v>0.0</v>
      </c>
      <c r="AO215" s="19">
        <v>0.0</v>
      </c>
      <c r="AP215" s="13">
        <f t="shared" si="42"/>
        <v>29</v>
      </c>
      <c r="AQ215" s="5"/>
      <c r="AR215" s="5"/>
    </row>
    <row r="216" ht="12.75" customHeight="1">
      <c r="A216" s="18"/>
      <c r="B216" s="55">
        <v>3.0</v>
      </c>
      <c r="C216" s="61" t="s">
        <v>159</v>
      </c>
      <c r="E216" s="19">
        <v>1.0</v>
      </c>
      <c r="F216" s="19">
        <v>0.0</v>
      </c>
      <c r="G216" s="19">
        <v>0.0</v>
      </c>
      <c r="H216" s="19">
        <v>0.0</v>
      </c>
      <c r="I216" s="19">
        <v>0.0</v>
      </c>
      <c r="J216" s="19">
        <v>1.0</v>
      </c>
      <c r="K216" s="19">
        <v>1.0</v>
      </c>
      <c r="L216" s="19">
        <v>1.0</v>
      </c>
      <c r="M216" s="19">
        <v>1.0</v>
      </c>
      <c r="N216" s="19">
        <v>1.0</v>
      </c>
      <c r="O216" s="19">
        <v>0.0</v>
      </c>
      <c r="P216" s="19">
        <v>0.0</v>
      </c>
      <c r="Q216" s="19">
        <v>0.0</v>
      </c>
      <c r="R216" s="19">
        <v>0.0</v>
      </c>
      <c r="S216" s="19">
        <v>1.0</v>
      </c>
      <c r="T216" s="19">
        <v>0.0</v>
      </c>
      <c r="U216" s="19">
        <v>0.0</v>
      </c>
      <c r="V216" s="19">
        <v>1.0</v>
      </c>
      <c r="W216" s="19">
        <v>1.0</v>
      </c>
      <c r="X216" s="19">
        <v>0.0</v>
      </c>
      <c r="Y216" s="19">
        <v>0.0</v>
      </c>
      <c r="Z216" s="19">
        <v>0.0</v>
      </c>
      <c r="AA216" s="19">
        <v>0.0</v>
      </c>
      <c r="AB216" s="19">
        <v>1.0</v>
      </c>
      <c r="AC216" s="19">
        <v>0.0</v>
      </c>
      <c r="AD216" s="19">
        <v>1.0</v>
      </c>
      <c r="AE216" s="19">
        <v>0.0</v>
      </c>
      <c r="AF216" s="19">
        <v>0.0</v>
      </c>
      <c r="AG216" s="19">
        <v>0.0</v>
      </c>
      <c r="AH216" s="19">
        <v>0.0</v>
      </c>
      <c r="AI216" s="19">
        <v>0.0</v>
      </c>
      <c r="AJ216" s="19">
        <v>0.0</v>
      </c>
      <c r="AK216" s="19">
        <v>3.0</v>
      </c>
      <c r="AL216" s="19">
        <v>2.0</v>
      </c>
      <c r="AM216" s="19">
        <v>1.0</v>
      </c>
      <c r="AN216" s="19">
        <v>1.0</v>
      </c>
      <c r="AO216" s="19">
        <v>2.0</v>
      </c>
      <c r="AP216" s="13">
        <f t="shared" si="42"/>
        <v>20</v>
      </c>
      <c r="AQ216" s="5"/>
      <c r="AR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1.0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1.0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9">
        <v>0.0</v>
      </c>
      <c r="AE217" s="19">
        <v>0.0</v>
      </c>
      <c r="AF217" s="19">
        <v>0.0</v>
      </c>
      <c r="AG217" s="19">
        <v>0.0</v>
      </c>
      <c r="AH217" s="19">
        <v>0.0</v>
      </c>
      <c r="AI217" s="19">
        <v>0.0</v>
      </c>
      <c r="AJ217" s="19">
        <v>0.0</v>
      </c>
      <c r="AK217" s="19">
        <v>0.0</v>
      </c>
      <c r="AL217" s="19">
        <v>0.0</v>
      </c>
      <c r="AM217" s="19">
        <v>0.0</v>
      </c>
      <c r="AN217" s="19">
        <v>0.0</v>
      </c>
      <c r="AO217" s="19">
        <v>0.0</v>
      </c>
      <c r="AP217" s="13">
        <f t="shared" si="42"/>
        <v>2</v>
      </c>
      <c r="AQ217" s="5"/>
      <c r="AR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1.0</v>
      </c>
      <c r="N218" s="19">
        <v>1.0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1.0</v>
      </c>
      <c r="V218" s="19">
        <v>1.0</v>
      </c>
      <c r="W218" s="19">
        <v>0.0</v>
      </c>
      <c r="X218" s="19">
        <v>1.0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9">
        <v>0.0</v>
      </c>
      <c r="AE218" s="19">
        <v>0.0</v>
      </c>
      <c r="AF218" s="19">
        <v>0.0</v>
      </c>
      <c r="AG218" s="19">
        <v>0.0</v>
      </c>
      <c r="AH218" s="19">
        <v>0.0</v>
      </c>
      <c r="AI218" s="19">
        <v>0.0</v>
      </c>
      <c r="AJ218" s="19">
        <v>0.0</v>
      </c>
      <c r="AK218" s="19">
        <v>0.0</v>
      </c>
      <c r="AL218" s="19">
        <v>0.0</v>
      </c>
      <c r="AM218" s="19">
        <v>0.0</v>
      </c>
      <c r="AN218" s="19">
        <v>0.0</v>
      </c>
      <c r="AO218" s="19">
        <v>0.0</v>
      </c>
      <c r="AP218" s="13">
        <f t="shared" si="42"/>
        <v>5</v>
      </c>
      <c r="AQ218" s="1"/>
      <c r="AR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1.0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1.0</v>
      </c>
      <c r="Y219" s="19">
        <v>0.0</v>
      </c>
      <c r="Z219" s="19">
        <v>0.0</v>
      </c>
      <c r="AA219" s="19">
        <v>0.0</v>
      </c>
      <c r="AB219" s="19">
        <v>1.0</v>
      </c>
      <c r="AC219" s="19">
        <v>2.0</v>
      </c>
      <c r="AD219" s="19">
        <v>0.0</v>
      </c>
      <c r="AE219" s="19">
        <v>1.0</v>
      </c>
      <c r="AF219" s="19">
        <v>1.0</v>
      </c>
      <c r="AG219" s="19">
        <v>0.0</v>
      </c>
      <c r="AH219" s="19">
        <v>0.0</v>
      </c>
      <c r="AI219" s="19">
        <v>0.0</v>
      </c>
      <c r="AJ219" s="19">
        <v>0.0</v>
      </c>
      <c r="AK219" s="19">
        <v>0.0</v>
      </c>
      <c r="AL219" s="19">
        <v>0.0</v>
      </c>
      <c r="AM219" s="19">
        <v>1.0</v>
      </c>
      <c r="AN219" s="19">
        <v>0.0</v>
      </c>
      <c r="AO219" s="19">
        <v>0.0</v>
      </c>
      <c r="AP219" s="13">
        <f t="shared" si="42"/>
        <v>8</v>
      </c>
      <c r="AQ219" s="52"/>
      <c r="AR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1.0</v>
      </c>
      <c r="N220" s="19">
        <v>1.0</v>
      </c>
      <c r="O220" s="19">
        <v>0.0</v>
      </c>
      <c r="P220" s="19">
        <v>0.0</v>
      </c>
      <c r="Q220" s="19">
        <v>0.0</v>
      </c>
      <c r="R220" s="19">
        <v>1.0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1.0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1.0</v>
      </c>
      <c r="AD220" s="19">
        <v>0.0</v>
      </c>
      <c r="AE220" s="19">
        <v>0.0</v>
      </c>
      <c r="AF220" s="19">
        <v>0.0</v>
      </c>
      <c r="AG220" s="19">
        <v>0.0</v>
      </c>
      <c r="AH220" s="19">
        <v>0.0</v>
      </c>
      <c r="AI220" s="19">
        <v>0.0</v>
      </c>
      <c r="AJ220" s="19">
        <v>0.0</v>
      </c>
      <c r="AK220" s="19">
        <v>0.0</v>
      </c>
      <c r="AL220" s="19">
        <v>2.0</v>
      </c>
      <c r="AM220" s="19">
        <v>0.0</v>
      </c>
      <c r="AN220" s="19">
        <v>0.0</v>
      </c>
      <c r="AO220" s="19">
        <v>0.0</v>
      </c>
      <c r="AP220" s="13">
        <f t="shared" si="42"/>
        <v>7</v>
      </c>
      <c r="AQ220" s="5"/>
      <c r="AR220" s="5"/>
    </row>
    <row r="221" ht="12.75" customHeight="1">
      <c r="A221" s="18"/>
      <c r="B221" s="71"/>
      <c r="C221" s="72"/>
      <c r="D221" s="7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79"/>
      <c r="AQ221" s="5"/>
      <c r="AR221" s="5"/>
    </row>
    <row r="222" ht="12.75" customHeight="1">
      <c r="A222" s="18"/>
      <c r="B222" s="71"/>
      <c r="C222" s="72"/>
      <c r="D222" s="7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79"/>
      <c r="AQ222" s="5"/>
      <c r="AR222" s="5"/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P223" si="43">SUM(E213:E222)</f>
        <v>4</v>
      </c>
      <c r="F223" s="13">
        <f t="shared" si="43"/>
        <v>11</v>
      </c>
      <c r="G223" s="13">
        <f t="shared" si="43"/>
        <v>1</v>
      </c>
      <c r="H223" s="13">
        <f t="shared" si="43"/>
        <v>3</v>
      </c>
      <c r="I223" s="13">
        <f t="shared" si="43"/>
        <v>3</v>
      </c>
      <c r="J223" s="13">
        <f t="shared" si="43"/>
        <v>3</v>
      </c>
      <c r="K223" s="13">
        <f t="shared" si="43"/>
        <v>11</v>
      </c>
      <c r="L223" s="13">
        <f t="shared" si="43"/>
        <v>7</v>
      </c>
      <c r="M223" s="13">
        <f t="shared" si="43"/>
        <v>10</v>
      </c>
      <c r="N223" s="13">
        <f t="shared" si="43"/>
        <v>11</v>
      </c>
      <c r="O223" s="13">
        <f t="shared" si="43"/>
        <v>12</v>
      </c>
      <c r="P223" s="13">
        <f t="shared" si="43"/>
        <v>9</v>
      </c>
      <c r="Q223" s="13">
        <f t="shared" si="43"/>
        <v>5</v>
      </c>
      <c r="R223" s="13">
        <f t="shared" si="43"/>
        <v>4</v>
      </c>
      <c r="S223" s="13">
        <f t="shared" si="43"/>
        <v>8</v>
      </c>
      <c r="T223" s="13">
        <f t="shared" si="43"/>
        <v>3</v>
      </c>
      <c r="U223" s="13">
        <f t="shared" si="43"/>
        <v>58</v>
      </c>
      <c r="V223" s="13">
        <f t="shared" si="43"/>
        <v>14</v>
      </c>
      <c r="W223" s="13">
        <f t="shared" si="43"/>
        <v>8</v>
      </c>
      <c r="X223" s="13">
        <f t="shared" si="43"/>
        <v>8</v>
      </c>
      <c r="Y223" s="13">
        <f t="shared" si="43"/>
        <v>1</v>
      </c>
      <c r="Z223" s="13">
        <f t="shared" si="43"/>
        <v>2</v>
      </c>
      <c r="AA223" s="13">
        <f t="shared" si="43"/>
        <v>5</v>
      </c>
      <c r="AB223" s="13">
        <f t="shared" si="43"/>
        <v>8</v>
      </c>
      <c r="AC223" s="13">
        <f t="shared" si="43"/>
        <v>7</v>
      </c>
      <c r="AD223" s="13">
        <f t="shared" si="43"/>
        <v>4</v>
      </c>
      <c r="AE223" s="13">
        <f t="shared" si="43"/>
        <v>4</v>
      </c>
      <c r="AF223" s="13">
        <f t="shared" si="43"/>
        <v>3</v>
      </c>
      <c r="AG223" s="13">
        <f t="shared" si="43"/>
        <v>1</v>
      </c>
      <c r="AH223" s="13">
        <f t="shared" si="43"/>
        <v>6</v>
      </c>
      <c r="AI223" s="13">
        <f t="shared" si="43"/>
        <v>3</v>
      </c>
      <c r="AJ223" s="13">
        <f t="shared" si="43"/>
        <v>6</v>
      </c>
      <c r="AK223" s="13">
        <f t="shared" si="43"/>
        <v>8</v>
      </c>
      <c r="AL223" s="13">
        <f t="shared" si="43"/>
        <v>7</v>
      </c>
      <c r="AM223" s="13">
        <f t="shared" si="43"/>
        <v>4</v>
      </c>
      <c r="AN223" s="13">
        <f t="shared" si="43"/>
        <v>2</v>
      </c>
      <c r="AO223" s="13">
        <f t="shared" si="43"/>
        <v>4</v>
      </c>
      <c r="AP223" s="13">
        <f t="shared" si="43"/>
        <v>268</v>
      </c>
      <c r="AQ223" s="5"/>
      <c r="AR223" s="5"/>
    </row>
    <row r="224" ht="12.75" customHeight="1">
      <c r="A224" s="24"/>
      <c r="B224" s="15"/>
      <c r="C224" s="15"/>
      <c r="D224" s="15"/>
      <c r="E224" s="16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75"/>
      <c r="AF224" s="75"/>
      <c r="AG224" s="75"/>
      <c r="AH224" s="75"/>
      <c r="AI224" s="75"/>
      <c r="AJ224" s="75"/>
      <c r="AK224" s="75"/>
      <c r="AL224" s="75"/>
      <c r="AM224" s="75"/>
      <c r="AN224" s="75"/>
      <c r="AO224" s="75"/>
      <c r="AP224" s="75"/>
      <c r="AQ224" s="5"/>
      <c r="AR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1.0</v>
      </c>
      <c r="F225" s="19">
        <v>1.0</v>
      </c>
      <c r="G225" s="19">
        <v>0.0</v>
      </c>
      <c r="H225" s="19">
        <v>0.0</v>
      </c>
      <c r="I225" s="19">
        <v>0.0</v>
      </c>
      <c r="J225" s="19">
        <v>0.0</v>
      </c>
      <c r="K225" s="19">
        <v>1.0</v>
      </c>
      <c r="L225" s="19">
        <v>2.0</v>
      </c>
      <c r="M225" s="19">
        <v>0.0</v>
      </c>
      <c r="N225" s="19">
        <v>0.0</v>
      </c>
      <c r="O225" s="19">
        <v>0.0</v>
      </c>
      <c r="P225" s="19">
        <v>1.0</v>
      </c>
      <c r="Q225" s="19">
        <v>0.0</v>
      </c>
      <c r="R225" s="19">
        <v>3.0</v>
      </c>
      <c r="S225" s="19">
        <v>3.0</v>
      </c>
      <c r="T225" s="19">
        <v>1.0</v>
      </c>
      <c r="U225" s="19">
        <v>0.0</v>
      </c>
      <c r="V225" s="19">
        <v>0.0</v>
      </c>
      <c r="W225" s="19">
        <v>0.0</v>
      </c>
      <c r="X225" s="19">
        <v>2.0</v>
      </c>
      <c r="Y225" s="19">
        <v>1.0</v>
      </c>
      <c r="Z225" s="19">
        <v>1.0</v>
      </c>
      <c r="AA225" s="19">
        <v>0.0</v>
      </c>
      <c r="AB225" s="19">
        <v>0.0</v>
      </c>
      <c r="AC225" s="19">
        <v>0.0</v>
      </c>
      <c r="AD225" s="19">
        <v>0.0</v>
      </c>
      <c r="AE225" s="19">
        <v>0.0</v>
      </c>
      <c r="AF225" s="19">
        <v>0.0</v>
      </c>
      <c r="AG225" s="19">
        <v>0.0</v>
      </c>
      <c r="AH225" s="19">
        <v>1.0</v>
      </c>
      <c r="AI225" s="19">
        <v>0.0</v>
      </c>
      <c r="AJ225" s="19">
        <v>0.0</v>
      </c>
      <c r="AK225" s="19">
        <v>0.0</v>
      </c>
      <c r="AL225" s="19">
        <v>0.0</v>
      </c>
      <c r="AM225" s="19">
        <v>1.0</v>
      </c>
      <c r="AN225" s="19">
        <v>0.0</v>
      </c>
      <c r="AO225" s="19">
        <v>0.0</v>
      </c>
      <c r="AP225" s="13">
        <f t="shared" ref="AP225:AP232" si="44">SUM(E225:AO225)</f>
        <v>19</v>
      </c>
      <c r="AQ225" s="5"/>
      <c r="AR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1.0</v>
      </c>
      <c r="H226" s="19">
        <v>0.0</v>
      </c>
      <c r="I226" s="19">
        <v>2.0</v>
      </c>
      <c r="J226" s="19">
        <v>1.0</v>
      </c>
      <c r="K226" s="19">
        <v>0.0</v>
      </c>
      <c r="L226" s="19">
        <v>1.0</v>
      </c>
      <c r="M226" s="19">
        <v>3.0</v>
      </c>
      <c r="N226" s="19">
        <v>1.0</v>
      </c>
      <c r="O226" s="19">
        <v>6.0</v>
      </c>
      <c r="P226" s="19">
        <v>2.0</v>
      </c>
      <c r="Q226" s="19">
        <v>0.0</v>
      </c>
      <c r="R226" s="19">
        <v>2.0</v>
      </c>
      <c r="S226" s="19">
        <v>12.0</v>
      </c>
      <c r="T226" s="19">
        <v>16.0</v>
      </c>
      <c r="U226" s="19">
        <v>0.0</v>
      </c>
      <c r="V226" s="19">
        <v>2.0</v>
      </c>
      <c r="W226" s="19">
        <v>0.0</v>
      </c>
      <c r="X226" s="19">
        <v>11.0</v>
      </c>
      <c r="Y226" s="19">
        <v>1.0</v>
      </c>
      <c r="Z226" s="19">
        <v>0.0</v>
      </c>
      <c r="AA226" s="19">
        <v>0.0</v>
      </c>
      <c r="AB226" s="19">
        <v>7.0</v>
      </c>
      <c r="AC226" s="19">
        <v>1.0</v>
      </c>
      <c r="AD226" s="19">
        <v>1.0</v>
      </c>
      <c r="AE226" s="19">
        <v>11.0</v>
      </c>
      <c r="AF226" s="19">
        <v>0.0</v>
      </c>
      <c r="AG226" s="19">
        <v>0.0</v>
      </c>
      <c r="AH226" s="19">
        <v>0.0</v>
      </c>
      <c r="AI226" s="19">
        <v>3.0</v>
      </c>
      <c r="AJ226" s="19">
        <v>5.0</v>
      </c>
      <c r="AK226" s="19">
        <v>0.0</v>
      </c>
      <c r="AL226" s="19">
        <v>1.0</v>
      </c>
      <c r="AM226" s="19">
        <v>0.0</v>
      </c>
      <c r="AN226" s="19">
        <v>0.0</v>
      </c>
      <c r="AO226" s="19">
        <v>6.0</v>
      </c>
      <c r="AP226" s="13">
        <f t="shared" si="44"/>
        <v>96</v>
      </c>
      <c r="AQ226" s="5"/>
      <c r="AR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2.0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1.0</v>
      </c>
      <c r="N227" s="19">
        <v>0.0</v>
      </c>
      <c r="O227" s="19">
        <v>1.0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9">
        <v>0.0</v>
      </c>
      <c r="AE227" s="19">
        <v>1.0</v>
      </c>
      <c r="AF227" s="19">
        <v>0.0</v>
      </c>
      <c r="AG227" s="19">
        <v>1.0</v>
      </c>
      <c r="AH227" s="19">
        <v>0.0</v>
      </c>
      <c r="AI227" s="19">
        <v>0.0</v>
      </c>
      <c r="AJ227" s="19">
        <v>0.0</v>
      </c>
      <c r="AK227" s="19">
        <v>0.0</v>
      </c>
      <c r="AL227" s="19">
        <v>0.0</v>
      </c>
      <c r="AM227" s="19">
        <v>0.0</v>
      </c>
      <c r="AN227" s="19">
        <v>0.0</v>
      </c>
      <c r="AO227" s="19">
        <v>0.0</v>
      </c>
      <c r="AP227" s="13">
        <f t="shared" si="44"/>
        <v>6</v>
      </c>
      <c r="AQ227" s="5"/>
      <c r="AR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9">
        <v>0.0</v>
      </c>
      <c r="AE228" s="19">
        <v>0.0</v>
      </c>
      <c r="AF228" s="19">
        <v>0.0</v>
      </c>
      <c r="AG228" s="19">
        <v>0.0</v>
      </c>
      <c r="AH228" s="19">
        <v>0.0</v>
      </c>
      <c r="AI228" s="19">
        <v>0.0</v>
      </c>
      <c r="AJ228" s="19">
        <v>0.0</v>
      </c>
      <c r="AK228" s="19">
        <v>0.0</v>
      </c>
      <c r="AL228" s="19">
        <v>0.0</v>
      </c>
      <c r="AM228" s="19">
        <v>0.0</v>
      </c>
      <c r="AN228" s="19">
        <v>0.0</v>
      </c>
      <c r="AO228" s="19">
        <v>0.0</v>
      </c>
      <c r="AP228" s="13">
        <f t="shared" si="44"/>
        <v>0</v>
      </c>
      <c r="AQ228" s="5"/>
      <c r="AR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1.0</v>
      </c>
      <c r="Q229" s="19">
        <v>0.0</v>
      </c>
      <c r="R229" s="19">
        <v>0.0</v>
      </c>
      <c r="S229" s="19">
        <v>1.0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9">
        <v>0.0</v>
      </c>
      <c r="AE229" s="19">
        <v>0.0</v>
      </c>
      <c r="AF229" s="19">
        <v>0.0</v>
      </c>
      <c r="AG229" s="19">
        <v>0.0</v>
      </c>
      <c r="AH229" s="19">
        <v>0.0</v>
      </c>
      <c r="AI229" s="19">
        <v>0.0</v>
      </c>
      <c r="AJ229" s="19">
        <v>0.0</v>
      </c>
      <c r="AK229" s="19">
        <v>0.0</v>
      </c>
      <c r="AL229" s="19">
        <v>0.0</v>
      </c>
      <c r="AM229" s="19">
        <v>0.0</v>
      </c>
      <c r="AN229" s="19">
        <v>0.0</v>
      </c>
      <c r="AO229" s="19">
        <v>0.0</v>
      </c>
      <c r="AP229" s="13">
        <f t="shared" si="44"/>
        <v>2</v>
      </c>
      <c r="AQ229" s="1"/>
      <c r="AR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1.0</v>
      </c>
      <c r="W230" s="19">
        <v>0.0</v>
      </c>
      <c r="X230" s="19">
        <v>1.0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9">
        <v>0.0</v>
      </c>
      <c r="AE230" s="19">
        <v>0.0</v>
      </c>
      <c r="AF230" s="19">
        <v>0.0</v>
      </c>
      <c r="AG230" s="19">
        <v>0.0</v>
      </c>
      <c r="AH230" s="19">
        <v>0.0</v>
      </c>
      <c r="AI230" s="19">
        <v>0.0</v>
      </c>
      <c r="AJ230" s="19">
        <v>0.0</v>
      </c>
      <c r="AK230" s="19">
        <v>0.0</v>
      </c>
      <c r="AL230" s="19">
        <v>0.0</v>
      </c>
      <c r="AM230" s="19">
        <v>0.0</v>
      </c>
      <c r="AN230" s="19">
        <v>0.0</v>
      </c>
      <c r="AO230" s="19">
        <v>0.0</v>
      </c>
      <c r="AP230" s="13">
        <f t="shared" si="44"/>
        <v>2</v>
      </c>
      <c r="AQ230" s="52"/>
      <c r="AR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9">
        <v>0.0</v>
      </c>
      <c r="AE231" s="19">
        <v>0.0</v>
      </c>
      <c r="AF231" s="19">
        <v>0.0</v>
      </c>
      <c r="AG231" s="19">
        <v>0.0</v>
      </c>
      <c r="AH231" s="19">
        <v>0.0</v>
      </c>
      <c r="AI231" s="19">
        <v>0.0</v>
      </c>
      <c r="AJ231" s="19">
        <v>0.0</v>
      </c>
      <c r="AK231" s="19">
        <v>0.0</v>
      </c>
      <c r="AL231" s="19">
        <v>0.0</v>
      </c>
      <c r="AM231" s="19">
        <v>0.0</v>
      </c>
      <c r="AN231" s="19">
        <v>0.0</v>
      </c>
      <c r="AO231" s="19">
        <v>0.0</v>
      </c>
      <c r="AP231" s="13">
        <f t="shared" si="44"/>
        <v>0</v>
      </c>
      <c r="AQ231" s="5"/>
      <c r="AR231" s="5"/>
    </row>
    <row r="232" ht="12.75" customHeight="1">
      <c r="A232" s="18"/>
      <c r="B232" s="55">
        <v>7.0</v>
      </c>
      <c r="C232" s="50" t="s">
        <v>172</v>
      </c>
      <c r="D232" s="57"/>
      <c r="E232" s="19">
        <v>1.0</v>
      </c>
      <c r="F232" s="19">
        <v>0.0</v>
      </c>
      <c r="G232" s="19">
        <v>0.0</v>
      </c>
      <c r="H232" s="19">
        <v>0.0</v>
      </c>
      <c r="I232" s="19">
        <v>0.0</v>
      </c>
      <c r="J232" s="19">
        <v>1.0</v>
      </c>
      <c r="K232" s="19">
        <v>0.0</v>
      </c>
      <c r="L232" s="19">
        <v>0.0</v>
      </c>
      <c r="M232" s="19">
        <v>0.0</v>
      </c>
      <c r="N232" s="19">
        <v>0.0</v>
      </c>
      <c r="O232" s="19">
        <v>1.0</v>
      </c>
      <c r="P232" s="19">
        <v>0.0</v>
      </c>
      <c r="Q232" s="19">
        <v>0.0</v>
      </c>
      <c r="R232" s="19">
        <v>0.0</v>
      </c>
      <c r="S232" s="19">
        <v>0.0</v>
      </c>
      <c r="T232" s="19">
        <v>2.0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1.0</v>
      </c>
      <c r="AA232" s="19">
        <v>1.0</v>
      </c>
      <c r="AB232" s="19">
        <v>2.0</v>
      </c>
      <c r="AC232" s="19">
        <v>0.0</v>
      </c>
      <c r="AD232" s="19">
        <v>0.0</v>
      </c>
      <c r="AE232" s="19">
        <v>0.0</v>
      </c>
      <c r="AF232" s="19">
        <v>0.0</v>
      </c>
      <c r="AG232" s="19">
        <v>0.0</v>
      </c>
      <c r="AH232" s="19">
        <v>1.0</v>
      </c>
      <c r="AI232" s="19">
        <v>1.0</v>
      </c>
      <c r="AJ232" s="19">
        <v>0.0</v>
      </c>
      <c r="AK232" s="19">
        <v>0.0</v>
      </c>
      <c r="AL232" s="19">
        <v>0.0</v>
      </c>
      <c r="AM232" s="19">
        <v>0.0</v>
      </c>
      <c r="AN232" s="19">
        <v>0.0</v>
      </c>
      <c r="AO232" s="19">
        <v>0.0</v>
      </c>
      <c r="AP232" s="13">
        <f t="shared" si="44"/>
        <v>11</v>
      </c>
      <c r="AQ232" s="5"/>
      <c r="AR232" s="5"/>
    </row>
    <row r="233" ht="12.75" customHeight="1">
      <c r="A233" s="18"/>
      <c r="B233" s="71"/>
      <c r="C233" s="72"/>
      <c r="D233" s="7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79"/>
      <c r="AQ233" s="5"/>
      <c r="AR233" s="5"/>
    </row>
    <row r="234" ht="12.75" customHeight="1">
      <c r="A234" s="18"/>
      <c r="B234" s="71"/>
      <c r="C234" s="72"/>
      <c r="D234" s="7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79"/>
      <c r="AQ234" s="5"/>
      <c r="AR234" s="5"/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P235" si="45">SUM(E225:E234)</f>
        <v>2</v>
      </c>
      <c r="F235" s="13">
        <f t="shared" si="45"/>
        <v>1</v>
      </c>
      <c r="G235" s="13">
        <f t="shared" si="45"/>
        <v>3</v>
      </c>
      <c r="H235" s="13">
        <f t="shared" si="45"/>
        <v>0</v>
      </c>
      <c r="I235" s="13">
        <f t="shared" si="45"/>
        <v>2</v>
      </c>
      <c r="J235" s="13">
        <f t="shared" si="45"/>
        <v>2</v>
      </c>
      <c r="K235" s="13">
        <f t="shared" si="45"/>
        <v>1</v>
      </c>
      <c r="L235" s="13">
        <f t="shared" si="45"/>
        <v>3</v>
      </c>
      <c r="M235" s="13">
        <f t="shared" si="45"/>
        <v>4</v>
      </c>
      <c r="N235" s="13">
        <f t="shared" si="45"/>
        <v>1</v>
      </c>
      <c r="O235" s="13">
        <f t="shared" si="45"/>
        <v>8</v>
      </c>
      <c r="P235" s="13">
        <f t="shared" si="45"/>
        <v>4</v>
      </c>
      <c r="Q235" s="13">
        <f t="shared" si="45"/>
        <v>0</v>
      </c>
      <c r="R235" s="13">
        <f t="shared" si="45"/>
        <v>5</v>
      </c>
      <c r="S235" s="13">
        <f t="shared" si="45"/>
        <v>16</v>
      </c>
      <c r="T235" s="13">
        <f t="shared" si="45"/>
        <v>19</v>
      </c>
      <c r="U235" s="13">
        <f t="shared" si="45"/>
        <v>0</v>
      </c>
      <c r="V235" s="13">
        <f t="shared" si="45"/>
        <v>3</v>
      </c>
      <c r="W235" s="13">
        <f t="shared" si="45"/>
        <v>0</v>
      </c>
      <c r="X235" s="13">
        <f t="shared" si="45"/>
        <v>14</v>
      </c>
      <c r="Y235" s="13">
        <f t="shared" si="45"/>
        <v>2</v>
      </c>
      <c r="Z235" s="13">
        <f t="shared" si="45"/>
        <v>2</v>
      </c>
      <c r="AA235" s="13">
        <f t="shared" si="45"/>
        <v>1</v>
      </c>
      <c r="AB235" s="13">
        <f t="shared" si="45"/>
        <v>9</v>
      </c>
      <c r="AC235" s="13">
        <f t="shared" si="45"/>
        <v>1</v>
      </c>
      <c r="AD235" s="13">
        <f t="shared" si="45"/>
        <v>1</v>
      </c>
      <c r="AE235" s="13">
        <f t="shared" si="45"/>
        <v>12</v>
      </c>
      <c r="AF235" s="13">
        <f t="shared" si="45"/>
        <v>0</v>
      </c>
      <c r="AG235" s="13">
        <f t="shared" si="45"/>
        <v>1</v>
      </c>
      <c r="AH235" s="13">
        <f t="shared" si="45"/>
        <v>2</v>
      </c>
      <c r="AI235" s="13">
        <f t="shared" si="45"/>
        <v>4</v>
      </c>
      <c r="AJ235" s="13">
        <f t="shared" si="45"/>
        <v>5</v>
      </c>
      <c r="AK235" s="13">
        <f t="shared" si="45"/>
        <v>0</v>
      </c>
      <c r="AL235" s="13">
        <f t="shared" si="45"/>
        <v>1</v>
      </c>
      <c r="AM235" s="13">
        <f t="shared" si="45"/>
        <v>1</v>
      </c>
      <c r="AN235" s="13">
        <f t="shared" si="45"/>
        <v>0</v>
      </c>
      <c r="AO235" s="13">
        <f t="shared" si="45"/>
        <v>6</v>
      </c>
      <c r="AP235" s="13">
        <f t="shared" si="45"/>
        <v>136</v>
      </c>
      <c r="AQ235" s="5"/>
      <c r="AR235" s="5"/>
    </row>
    <row r="236" ht="12.75" customHeight="1">
      <c r="A236" s="24"/>
      <c r="B236" s="15"/>
      <c r="C236" s="15"/>
      <c r="D236" s="15"/>
      <c r="E236" s="16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75"/>
      <c r="AE236" s="75"/>
      <c r="AF236" s="75"/>
      <c r="AG236" s="75"/>
      <c r="AH236" s="75"/>
      <c r="AI236" s="75"/>
      <c r="AJ236" s="75"/>
      <c r="AK236" s="75"/>
      <c r="AL236" s="75"/>
      <c r="AM236" s="75"/>
      <c r="AN236" s="75"/>
      <c r="AO236" s="75"/>
      <c r="AP236" s="75"/>
      <c r="AQ236" s="5"/>
      <c r="AR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2.0</v>
      </c>
      <c r="F237" s="19">
        <v>0.0</v>
      </c>
      <c r="G237" s="19">
        <v>2.0</v>
      </c>
      <c r="H237" s="19">
        <v>0.0</v>
      </c>
      <c r="I237" s="19">
        <v>3.0</v>
      </c>
      <c r="J237" s="19">
        <v>0.0</v>
      </c>
      <c r="K237" s="19">
        <v>1.0</v>
      </c>
      <c r="L237" s="19">
        <v>3.0</v>
      </c>
      <c r="M237" s="19">
        <v>0.0</v>
      </c>
      <c r="N237" s="19">
        <v>1.0</v>
      </c>
      <c r="O237" s="19">
        <v>0.0</v>
      </c>
      <c r="P237" s="19">
        <v>0.0</v>
      </c>
      <c r="Q237" s="19">
        <v>0.0</v>
      </c>
      <c r="R237" s="19">
        <v>1.0</v>
      </c>
      <c r="S237" s="19">
        <v>5.0</v>
      </c>
      <c r="T237" s="19">
        <v>1.0</v>
      </c>
      <c r="U237" s="19">
        <v>0.0</v>
      </c>
      <c r="V237" s="19">
        <v>2.0</v>
      </c>
      <c r="W237" s="19">
        <v>0.0</v>
      </c>
      <c r="X237" s="19">
        <v>2.0</v>
      </c>
      <c r="Y237" s="19">
        <v>7.0</v>
      </c>
      <c r="Z237" s="19">
        <v>2.0</v>
      </c>
      <c r="AA237" s="19">
        <v>1.0</v>
      </c>
      <c r="AB237" s="19">
        <v>0.0</v>
      </c>
      <c r="AC237" s="19">
        <v>2.0</v>
      </c>
      <c r="AD237" s="19">
        <v>1.0</v>
      </c>
      <c r="AE237" s="19">
        <v>1.0</v>
      </c>
      <c r="AF237" s="19">
        <v>0.0</v>
      </c>
      <c r="AG237" s="19">
        <v>0.0</v>
      </c>
      <c r="AH237" s="19">
        <v>4.0</v>
      </c>
      <c r="AI237" s="19">
        <v>0.0</v>
      </c>
      <c r="AJ237" s="19">
        <v>0.0</v>
      </c>
      <c r="AK237" s="19">
        <v>1.0</v>
      </c>
      <c r="AL237" s="19">
        <v>1.0</v>
      </c>
      <c r="AM237" s="19">
        <v>0.0</v>
      </c>
      <c r="AN237" s="19">
        <v>0.0</v>
      </c>
      <c r="AO237" s="19">
        <v>0.0</v>
      </c>
      <c r="AP237" s="13">
        <f t="shared" ref="AP237:AP244" si="46">SUM(E237:AO237)</f>
        <v>43</v>
      </c>
      <c r="AQ237" s="5"/>
      <c r="AR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0.0</v>
      </c>
      <c r="G238" s="19">
        <v>1.0</v>
      </c>
      <c r="H238" s="19">
        <v>2.0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3.0</v>
      </c>
      <c r="O238" s="19">
        <v>0.0</v>
      </c>
      <c r="P238" s="19">
        <v>0.0</v>
      </c>
      <c r="Q238" s="19">
        <v>0.0</v>
      </c>
      <c r="R238" s="19">
        <v>1.0</v>
      </c>
      <c r="S238" s="19">
        <v>7.0</v>
      </c>
      <c r="T238" s="19">
        <v>1.0</v>
      </c>
      <c r="U238" s="19">
        <v>0.0</v>
      </c>
      <c r="V238" s="19">
        <v>2.0</v>
      </c>
      <c r="W238" s="19">
        <v>0.0</v>
      </c>
      <c r="X238" s="19">
        <v>3.0</v>
      </c>
      <c r="Y238" s="19">
        <v>1.0</v>
      </c>
      <c r="Z238" s="19">
        <v>2.0</v>
      </c>
      <c r="AA238" s="19">
        <v>0.0</v>
      </c>
      <c r="AB238" s="19">
        <v>0.0</v>
      </c>
      <c r="AC238" s="19">
        <v>0.0</v>
      </c>
      <c r="AD238" s="19">
        <v>1.0</v>
      </c>
      <c r="AE238" s="19">
        <v>1.0</v>
      </c>
      <c r="AF238" s="19">
        <v>0.0</v>
      </c>
      <c r="AG238" s="19">
        <v>0.0</v>
      </c>
      <c r="AH238" s="19">
        <v>2.0</v>
      </c>
      <c r="AI238" s="19">
        <v>0.0</v>
      </c>
      <c r="AJ238" s="19">
        <v>0.0</v>
      </c>
      <c r="AK238" s="19">
        <v>0.0</v>
      </c>
      <c r="AL238" s="19">
        <v>0.0</v>
      </c>
      <c r="AM238" s="19">
        <v>0.0</v>
      </c>
      <c r="AN238" s="19">
        <v>0.0</v>
      </c>
      <c r="AO238" s="19">
        <v>0.0</v>
      </c>
      <c r="AP238" s="13">
        <f t="shared" si="46"/>
        <v>27</v>
      </c>
      <c r="AQ238" s="5"/>
      <c r="AR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1.0</v>
      </c>
      <c r="G239" s="19">
        <v>0.0</v>
      </c>
      <c r="H239" s="19">
        <v>1.0</v>
      </c>
      <c r="I239" s="19">
        <v>0.0</v>
      </c>
      <c r="J239" s="19">
        <v>0.0</v>
      </c>
      <c r="K239" s="19">
        <v>0.0</v>
      </c>
      <c r="L239" s="19">
        <v>0.0</v>
      </c>
      <c r="M239" s="19">
        <v>0.0</v>
      </c>
      <c r="N239" s="19">
        <v>0.0</v>
      </c>
      <c r="O239" s="19">
        <v>0.0</v>
      </c>
      <c r="P239" s="19">
        <v>0.0</v>
      </c>
      <c r="Q239" s="19">
        <v>0.0</v>
      </c>
      <c r="R239" s="19">
        <v>0.0</v>
      </c>
      <c r="S239" s="19">
        <v>2.0</v>
      </c>
      <c r="T239" s="19">
        <v>1.0</v>
      </c>
      <c r="U239" s="19">
        <v>0.0</v>
      </c>
      <c r="V239" s="19">
        <v>0.0</v>
      </c>
      <c r="W239" s="19">
        <v>0.0</v>
      </c>
      <c r="X239" s="19">
        <v>1.0</v>
      </c>
      <c r="Y239" s="19">
        <v>2.0</v>
      </c>
      <c r="Z239" s="19">
        <v>0.0</v>
      </c>
      <c r="AA239" s="19">
        <v>3.0</v>
      </c>
      <c r="AB239" s="19">
        <v>0.0</v>
      </c>
      <c r="AC239" s="19">
        <v>2.0</v>
      </c>
      <c r="AD239" s="19">
        <v>1.0</v>
      </c>
      <c r="AE239" s="19">
        <v>5.0</v>
      </c>
      <c r="AF239" s="19">
        <v>0.0</v>
      </c>
      <c r="AG239" s="19">
        <v>0.0</v>
      </c>
      <c r="AH239" s="19">
        <v>0.0</v>
      </c>
      <c r="AI239" s="19">
        <v>0.0</v>
      </c>
      <c r="AJ239" s="19">
        <v>2.0</v>
      </c>
      <c r="AK239" s="19">
        <v>0.0</v>
      </c>
      <c r="AL239" s="19">
        <v>0.0</v>
      </c>
      <c r="AM239" s="19">
        <v>0.0</v>
      </c>
      <c r="AN239" s="19">
        <v>0.0</v>
      </c>
      <c r="AO239" s="19">
        <v>0.0</v>
      </c>
      <c r="AP239" s="13">
        <f t="shared" si="46"/>
        <v>21</v>
      </c>
      <c r="AQ239" s="5"/>
      <c r="AR239" s="5"/>
    </row>
    <row r="240" ht="12.75" customHeight="1">
      <c r="A240" s="18"/>
      <c r="B240" s="55">
        <v>3.0</v>
      </c>
      <c r="C240" s="50" t="s">
        <v>177</v>
      </c>
      <c r="D240" s="57"/>
      <c r="E240" s="19">
        <v>2.0</v>
      </c>
      <c r="F240" s="19">
        <v>0.0</v>
      </c>
      <c r="G240" s="19">
        <v>0.0</v>
      </c>
      <c r="H240" s="19">
        <v>1.0</v>
      </c>
      <c r="I240" s="19">
        <v>0.0</v>
      </c>
      <c r="J240" s="19">
        <v>0.0</v>
      </c>
      <c r="K240" s="19">
        <v>0.0</v>
      </c>
      <c r="L240" s="19">
        <v>1.0</v>
      </c>
      <c r="M240" s="19">
        <v>1.0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1.0</v>
      </c>
      <c r="T240" s="19">
        <v>1.0</v>
      </c>
      <c r="U240" s="19">
        <v>0.0</v>
      </c>
      <c r="V240" s="19">
        <v>1.0</v>
      </c>
      <c r="W240" s="19">
        <v>1.0</v>
      </c>
      <c r="X240" s="19">
        <v>0.0</v>
      </c>
      <c r="Y240" s="19">
        <v>0.0</v>
      </c>
      <c r="Z240" s="19">
        <v>1.0</v>
      </c>
      <c r="AA240" s="19">
        <v>0.0</v>
      </c>
      <c r="AB240" s="19">
        <v>0.0</v>
      </c>
      <c r="AC240" s="19">
        <v>1.0</v>
      </c>
      <c r="AD240" s="19">
        <v>1.0</v>
      </c>
      <c r="AE240" s="19">
        <v>0.0</v>
      </c>
      <c r="AF240" s="19">
        <v>0.0</v>
      </c>
      <c r="AG240" s="19">
        <v>0.0</v>
      </c>
      <c r="AH240" s="19">
        <v>0.0</v>
      </c>
      <c r="AI240" s="19">
        <v>0.0</v>
      </c>
      <c r="AJ240" s="19">
        <v>0.0</v>
      </c>
      <c r="AK240" s="19">
        <v>0.0</v>
      </c>
      <c r="AL240" s="19">
        <v>0.0</v>
      </c>
      <c r="AM240" s="19">
        <v>0.0</v>
      </c>
      <c r="AN240" s="19">
        <v>0.0</v>
      </c>
      <c r="AO240" s="19">
        <v>0.0</v>
      </c>
      <c r="AP240" s="13">
        <f t="shared" si="46"/>
        <v>12</v>
      </c>
      <c r="AQ240" s="1"/>
      <c r="AR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1.0</v>
      </c>
      <c r="H241" s="19">
        <v>0.0</v>
      </c>
      <c r="I241" s="19">
        <v>1.0</v>
      </c>
      <c r="J241" s="19">
        <v>0.0</v>
      </c>
      <c r="K241" s="19">
        <v>0.0</v>
      </c>
      <c r="L241" s="19">
        <v>0.0</v>
      </c>
      <c r="M241" s="19">
        <v>0.0</v>
      </c>
      <c r="N241" s="19">
        <v>1.0</v>
      </c>
      <c r="O241" s="19">
        <v>1.0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9">
        <v>0.0</v>
      </c>
      <c r="Y241" s="19">
        <v>2.0</v>
      </c>
      <c r="Z241" s="19">
        <v>0.0</v>
      </c>
      <c r="AA241" s="19">
        <v>1.0</v>
      </c>
      <c r="AB241" s="19">
        <v>0.0</v>
      </c>
      <c r="AC241" s="19">
        <v>0.0</v>
      </c>
      <c r="AD241" s="19">
        <v>0.0</v>
      </c>
      <c r="AE241" s="19">
        <v>0.0</v>
      </c>
      <c r="AF241" s="19">
        <v>0.0</v>
      </c>
      <c r="AG241" s="19">
        <v>0.0</v>
      </c>
      <c r="AH241" s="19">
        <v>0.0</v>
      </c>
      <c r="AI241" s="19">
        <v>0.0</v>
      </c>
      <c r="AJ241" s="19">
        <v>0.0</v>
      </c>
      <c r="AK241" s="19">
        <v>0.0</v>
      </c>
      <c r="AL241" s="19">
        <v>0.0</v>
      </c>
      <c r="AM241" s="19">
        <v>2.0</v>
      </c>
      <c r="AN241" s="19">
        <v>1.0</v>
      </c>
      <c r="AO241" s="19">
        <v>0.0</v>
      </c>
      <c r="AP241" s="13">
        <f t="shared" si="46"/>
        <v>10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1.0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1.0</v>
      </c>
      <c r="AB242" s="19">
        <v>0.0</v>
      </c>
      <c r="AC242" s="19">
        <v>0.0</v>
      </c>
      <c r="AD242" s="19">
        <v>0.0</v>
      </c>
      <c r="AE242" s="19">
        <v>0.0</v>
      </c>
      <c r="AF242" s="19">
        <v>0.0</v>
      </c>
      <c r="AG242" s="19">
        <v>0.0</v>
      </c>
      <c r="AH242" s="19">
        <v>0.0</v>
      </c>
      <c r="AI242" s="19">
        <v>0.0</v>
      </c>
      <c r="AJ242" s="19">
        <v>0.0</v>
      </c>
      <c r="AK242" s="19">
        <v>0.0</v>
      </c>
      <c r="AL242" s="19">
        <v>0.0</v>
      </c>
      <c r="AM242" s="19">
        <v>0.0</v>
      </c>
      <c r="AN242" s="19">
        <v>0.0</v>
      </c>
      <c r="AO242" s="19">
        <v>0.0</v>
      </c>
      <c r="AP242" s="13">
        <f t="shared" si="46"/>
        <v>2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2.0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1.0</v>
      </c>
      <c r="L243" s="19">
        <v>1.0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2.0</v>
      </c>
      <c r="T243" s="19">
        <v>1.0</v>
      </c>
      <c r="U243" s="19">
        <v>0.0</v>
      </c>
      <c r="V243" s="19">
        <v>0.0</v>
      </c>
      <c r="W243" s="19">
        <v>2.0</v>
      </c>
      <c r="X243" s="19">
        <v>2.0</v>
      </c>
      <c r="Y243" s="19">
        <v>1.0</v>
      </c>
      <c r="Z243" s="19">
        <v>5.0</v>
      </c>
      <c r="AA243" s="19">
        <v>1.0</v>
      </c>
      <c r="AB243" s="19">
        <v>1.0</v>
      </c>
      <c r="AC243" s="19">
        <v>0.0</v>
      </c>
      <c r="AD243" s="19">
        <v>0.0</v>
      </c>
      <c r="AE243" s="19">
        <v>0.0</v>
      </c>
      <c r="AF243" s="19">
        <v>0.0</v>
      </c>
      <c r="AG243" s="19">
        <v>0.0</v>
      </c>
      <c r="AH243" s="19">
        <v>1.0</v>
      </c>
      <c r="AI243" s="19">
        <v>0.0</v>
      </c>
      <c r="AJ243" s="19">
        <v>0.0</v>
      </c>
      <c r="AK243" s="19">
        <v>0.0</v>
      </c>
      <c r="AL243" s="19">
        <v>2.0</v>
      </c>
      <c r="AM243" s="19">
        <v>0.0</v>
      </c>
      <c r="AN243" s="19">
        <v>0.0</v>
      </c>
      <c r="AO243" s="19">
        <v>0.0</v>
      </c>
      <c r="AP243" s="13">
        <f t="shared" si="46"/>
        <v>22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1.0</v>
      </c>
      <c r="F244" s="19">
        <v>1.0</v>
      </c>
      <c r="G244" s="19">
        <v>0.0</v>
      </c>
      <c r="H244" s="19">
        <v>3.0</v>
      </c>
      <c r="I244" s="19">
        <v>15.0</v>
      </c>
      <c r="J244" s="19">
        <v>1.0</v>
      </c>
      <c r="K244" s="19">
        <v>3.0</v>
      </c>
      <c r="L244" s="19">
        <v>0.0</v>
      </c>
      <c r="M244" s="19">
        <v>4.0</v>
      </c>
      <c r="N244" s="19">
        <v>3.0</v>
      </c>
      <c r="O244" s="19">
        <v>1.0</v>
      </c>
      <c r="P244" s="19">
        <v>2.0</v>
      </c>
      <c r="Q244" s="19">
        <v>0.0</v>
      </c>
      <c r="R244" s="19">
        <v>1.0</v>
      </c>
      <c r="S244" s="19">
        <v>0.0</v>
      </c>
      <c r="T244" s="19">
        <v>0.0</v>
      </c>
      <c r="U244" s="19">
        <v>0.0</v>
      </c>
      <c r="V244" s="19">
        <v>8.0</v>
      </c>
      <c r="W244" s="19">
        <v>43.0</v>
      </c>
      <c r="X244" s="19">
        <v>5.0</v>
      </c>
      <c r="Y244" s="19">
        <v>7.0</v>
      </c>
      <c r="Z244" s="19">
        <v>3.0</v>
      </c>
      <c r="AA244" s="19">
        <v>4.0</v>
      </c>
      <c r="AB244" s="19">
        <v>3.0</v>
      </c>
      <c r="AC244" s="19">
        <v>5.0</v>
      </c>
      <c r="AD244" s="19">
        <v>3.0</v>
      </c>
      <c r="AE244" s="19">
        <v>1.0</v>
      </c>
      <c r="AF244" s="19">
        <v>0.0</v>
      </c>
      <c r="AG244" s="19">
        <v>0.0</v>
      </c>
      <c r="AH244" s="19">
        <v>0.0</v>
      </c>
      <c r="AI244" s="19">
        <v>2.0</v>
      </c>
      <c r="AJ244" s="19">
        <v>0.0</v>
      </c>
      <c r="AK244" s="19">
        <v>0.0</v>
      </c>
      <c r="AL244" s="19">
        <v>2.0</v>
      </c>
      <c r="AM244" s="19">
        <v>0.0</v>
      </c>
      <c r="AN244" s="19">
        <v>2.0</v>
      </c>
      <c r="AO244" s="19">
        <v>3.0</v>
      </c>
      <c r="AP244" s="13">
        <f t="shared" si="46"/>
        <v>126</v>
      </c>
    </row>
    <row r="245" ht="12.75" customHeight="1">
      <c r="A245" s="18"/>
      <c r="B245" s="71"/>
      <c r="C245" s="72"/>
      <c r="D245" s="74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79"/>
    </row>
    <row r="246" ht="12.75" customHeight="1">
      <c r="A246" s="18"/>
      <c r="B246" s="71"/>
      <c r="C246" s="72"/>
      <c r="D246" s="74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79"/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O247" si="47">SUM(E237:E244)</f>
        <v>8</v>
      </c>
      <c r="F247" s="13">
        <f t="shared" si="47"/>
        <v>2</v>
      </c>
      <c r="G247" s="13">
        <f t="shared" si="47"/>
        <v>4</v>
      </c>
      <c r="H247" s="13">
        <f t="shared" si="47"/>
        <v>7</v>
      </c>
      <c r="I247" s="13">
        <f t="shared" si="47"/>
        <v>19</v>
      </c>
      <c r="J247" s="13">
        <f t="shared" si="47"/>
        <v>1</v>
      </c>
      <c r="K247" s="13">
        <f t="shared" si="47"/>
        <v>5</v>
      </c>
      <c r="L247" s="13">
        <f t="shared" si="47"/>
        <v>5</v>
      </c>
      <c r="M247" s="13">
        <f t="shared" si="47"/>
        <v>5</v>
      </c>
      <c r="N247" s="13">
        <f t="shared" si="47"/>
        <v>8</v>
      </c>
      <c r="O247" s="13">
        <f t="shared" si="47"/>
        <v>2</v>
      </c>
      <c r="P247" s="13">
        <f t="shared" si="47"/>
        <v>2</v>
      </c>
      <c r="Q247" s="13">
        <f t="shared" si="47"/>
        <v>0</v>
      </c>
      <c r="R247" s="13">
        <f t="shared" si="47"/>
        <v>3</v>
      </c>
      <c r="S247" s="13">
        <f t="shared" si="47"/>
        <v>17</v>
      </c>
      <c r="T247" s="13">
        <f t="shared" si="47"/>
        <v>5</v>
      </c>
      <c r="U247" s="13">
        <f t="shared" si="47"/>
        <v>0</v>
      </c>
      <c r="V247" s="13">
        <f t="shared" si="47"/>
        <v>13</v>
      </c>
      <c r="W247" s="13">
        <f t="shared" si="47"/>
        <v>46</v>
      </c>
      <c r="X247" s="13">
        <f t="shared" si="47"/>
        <v>13</v>
      </c>
      <c r="Y247" s="13">
        <f t="shared" si="47"/>
        <v>20</v>
      </c>
      <c r="Z247" s="13">
        <f t="shared" si="47"/>
        <v>13</v>
      </c>
      <c r="AA247" s="13">
        <f t="shared" si="47"/>
        <v>11</v>
      </c>
      <c r="AB247" s="13">
        <f t="shared" si="47"/>
        <v>4</v>
      </c>
      <c r="AC247" s="13">
        <f t="shared" si="47"/>
        <v>10</v>
      </c>
      <c r="AD247" s="13">
        <f t="shared" si="47"/>
        <v>7</v>
      </c>
      <c r="AE247" s="13">
        <f t="shared" si="47"/>
        <v>8</v>
      </c>
      <c r="AF247" s="13">
        <f t="shared" si="47"/>
        <v>0</v>
      </c>
      <c r="AG247" s="13">
        <f t="shared" si="47"/>
        <v>0</v>
      </c>
      <c r="AH247" s="13">
        <f t="shared" si="47"/>
        <v>7</v>
      </c>
      <c r="AI247" s="13">
        <f t="shared" si="47"/>
        <v>2</v>
      </c>
      <c r="AJ247" s="13">
        <f t="shared" si="47"/>
        <v>2</v>
      </c>
      <c r="AK247" s="13">
        <f t="shared" si="47"/>
        <v>1</v>
      </c>
      <c r="AL247" s="13">
        <f t="shared" si="47"/>
        <v>5</v>
      </c>
      <c r="AM247" s="13">
        <f t="shared" si="47"/>
        <v>2</v>
      </c>
      <c r="AN247" s="13">
        <f t="shared" si="47"/>
        <v>3</v>
      </c>
      <c r="AO247" s="13">
        <f t="shared" si="47"/>
        <v>3</v>
      </c>
      <c r="AP247" s="13">
        <f>SUM(E247:AO247)</f>
        <v>263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9">
        <v>0.0</v>
      </c>
      <c r="AC249" s="19">
        <v>0.0</v>
      </c>
      <c r="AD249" s="19">
        <v>0.0</v>
      </c>
      <c r="AE249" s="19">
        <v>0.0</v>
      </c>
      <c r="AF249" s="19">
        <v>0.0</v>
      </c>
      <c r="AG249" s="19">
        <v>0.0</v>
      </c>
      <c r="AH249" s="19">
        <v>0.0</v>
      </c>
      <c r="AI249" s="19">
        <v>0.0</v>
      </c>
      <c r="AJ249" s="19">
        <v>0.0</v>
      </c>
      <c r="AK249" s="19">
        <v>1.0</v>
      </c>
      <c r="AL249" s="19">
        <v>0.0</v>
      </c>
      <c r="AM249" s="19">
        <v>0.0</v>
      </c>
      <c r="AN249" s="19">
        <v>0.0</v>
      </c>
      <c r="AO249" s="19">
        <v>1.0</v>
      </c>
      <c r="AP249" s="13">
        <f t="shared" ref="AP249:AP255" si="48">SUM(E249:AO249)</f>
        <v>2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1.0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1.0</v>
      </c>
      <c r="Y250" s="19">
        <v>1.0</v>
      </c>
      <c r="Z250" s="19">
        <v>0.0</v>
      </c>
      <c r="AA250" s="19">
        <v>1.0</v>
      </c>
      <c r="AB250" s="19">
        <v>0.0</v>
      </c>
      <c r="AC250" s="19">
        <v>1.0</v>
      </c>
      <c r="AD250" s="19">
        <v>0.0</v>
      </c>
      <c r="AE250" s="19">
        <v>0.0</v>
      </c>
      <c r="AF250" s="19">
        <v>0.0</v>
      </c>
      <c r="AG250" s="19">
        <v>0.0</v>
      </c>
      <c r="AH250" s="19">
        <v>1.0</v>
      </c>
      <c r="AI250" s="19">
        <v>0.0</v>
      </c>
      <c r="AJ250" s="19">
        <v>0.0</v>
      </c>
      <c r="AK250" s="19">
        <v>0.0</v>
      </c>
      <c r="AL250" s="19">
        <v>1.0</v>
      </c>
      <c r="AM250" s="19">
        <v>0.0</v>
      </c>
      <c r="AN250" s="19">
        <v>0.0</v>
      </c>
      <c r="AO250" s="19">
        <v>0.0</v>
      </c>
      <c r="AP250" s="13">
        <f t="shared" si="48"/>
        <v>7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2.0</v>
      </c>
      <c r="Z251" s="19">
        <v>0.0</v>
      </c>
      <c r="AA251" s="19">
        <v>2.0</v>
      </c>
      <c r="AB251" s="19">
        <v>0.0</v>
      </c>
      <c r="AC251" s="19">
        <v>0.0</v>
      </c>
      <c r="AD251" s="19">
        <v>0.0</v>
      </c>
      <c r="AE251" s="19">
        <v>0.0</v>
      </c>
      <c r="AF251" s="19">
        <v>0.0</v>
      </c>
      <c r="AG251" s="19">
        <v>0.0</v>
      </c>
      <c r="AH251" s="19">
        <v>0.0</v>
      </c>
      <c r="AI251" s="19">
        <v>0.0</v>
      </c>
      <c r="AJ251" s="19">
        <v>0.0</v>
      </c>
      <c r="AK251" s="19">
        <v>0.0</v>
      </c>
      <c r="AL251" s="19">
        <v>0.0</v>
      </c>
      <c r="AM251" s="19">
        <v>0.0</v>
      </c>
      <c r="AN251" s="19">
        <v>0.0</v>
      </c>
      <c r="AO251" s="19">
        <v>0.0</v>
      </c>
      <c r="AP251" s="13">
        <f t="shared" si="48"/>
        <v>4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1.0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9">
        <v>0.0</v>
      </c>
      <c r="AE252" s="19">
        <v>0.0</v>
      </c>
      <c r="AF252" s="19">
        <v>0.0</v>
      </c>
      <c r="AG252" s="19">
        <v>0.0</v>
      </c>
      <c r="AH252" s="19">
        <v>0.0</v>
      </c>
      <c r="AI252" s="19">
        <v>0.0</v>
      </c>
      <c r="AJ252" s="19">
        <v>0.0</v>
      </c>
      <c r="AK252" s="19">
        <v>0.0</v>
      </c>
      <c r="AL252" s="19">
        <v>0.0</v>
      </c>
      <c r="AM252" s="19">
        <v>0.0</v>
      </c>
      <c r="AN252" s="19">
        <v>0.0</v>
      </c>
      <c r="AO252" s="19">
        <v>0.0</v>
      </c>
      <c r="AP252" s="13">
        <f t="shared" si="48"/>
        <v>1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1.0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9">
        <v>0.0</v>
      </c>
      <c r="AE253" s="19">
        <v>0.0</v>
      </c>
      <c r="AF253" s="19">
        <v>0.0</v>
      </c>
      <c r="AG253" s="19">
        <v>0.0</v>
      </c>
      <c r="AH253" s="19">
        <v>0.0</v>
      </c>
      <c r="AI253" s="19">
        <v>0.0</v>
      </c>
      <c r="AJ253" s="19">
        <v>0.0</v>
      </c>
      <c r="AK253" s="19">
        <v>0.0</v>
      </c>
      <c r="AL253" s="19">
        <v>0.0</v>
      </c>
      <c r="AM253" s="19">
        <v>0.0</v>
      </c>
      <c r="AN253" s="19">
        <v>0.0</v>
      </c>
      <c r="AO253" s="19">
        <v>0.0</v>
      </c>
      <c r="AP253" s="13">
        <f t="shared" si="48"/>
        <v>1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1.0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9">
        <v>0.0</v>
      </c>
      <c r="AE254" s="19">
        <v>0.0</v>
      </c>
      <c r="AF254" s="19">
        <v>0.0</v>
      </c>
      <c r="AG254" s="19">
        <v>0.0</v>
      </c>
      <c r="AH254" s="19">
        <v>0.0</v>
      </c>
      <c r="AI254" s="19">
        <v>0.0</v>
      </c>
      <c r="AJ254" s="19">
        <v>0.0</v>
      </c>
      <c r="AK254" s="19">
        <v>0.0</v>
      </c>
      <c r="AL254" s="19">
        <v>0.0</v>
      </c>
      <c r="AM254" s="19">
        <v>0.0</v>
      </c>
      <c r="AN254" s="19">
        <v>1.0</v>
      </c>
      <c r="AO254" s="19">
        <v>0.0</v>
      </c>
      <c r="AP254" s="13">
        <f t="shared" si="48"/>
        <v>2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9">
        <v>0.0</v>
      </c>
      <c r="AE255" s="19">
        <v>0.0</v>
      </c>
      <c r="AF255" s="19">
        <v>1.0</v>
      </c>
      <c r="AG255" s="19">
        <v>0.0</v>
      </c>
      <c r="AH255" s="19">
        <v>0.0</v>
      </c>
      <c r="AI255" s="19">
        <v>0.0</v>
      </c>
      <c r="AJ255" s="19">
        <v>0.0</v>
      </c>
      <c r="AK255" s="19">
        <v>0.0</v>
      </c>
      <c r="AL255" s="19">
        <v>0.0</v>
      </c>
      <c r="AM255" s="19">
        <v>0.0</v>
      </c>
      <c r="AN255" s="19">
        <v>0.0</v>
      </c>
      <c r="AO255" s="19">
        <v>0.0</v>
      </c>
      <c r="AP255" s="13">
        <f t="shared" si="48"/>
        <v>1</v>
      </c>
    </row>
    <row r="256" ht="12.75" customHeight="1">
      <c r="A256" s="18"/>
      <c r="B256" s="71"/>
      <c r="C256" s="76"/>
      <c r="D256" s="7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79"/>
    </row>
    <row r="257" ht="12.75" customHeight="1">
      <c r="A257" s="18"/>
      <c r="B257" s="71"/>
      <c r="C257" s="76"/>
      <c r="D257" s="7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79"/>
    </row>
    <row r="258" ht="12.75" customHeight="1">
      <c r="A258" s="18"/>
      <c r="B258" s="71"/>
      <c r="C258" s="76"/>
      <c r="D258" s="7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79"/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O259" si="49">SUM(E249:E255)</f>
        <v>1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1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1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1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1</v>
      </c>
      <c r="Y259" s="13">
        <f t="shared" si="49"/>
        <v>3</v>
      </c>
      <c r="Z259" s="13">
        <f t="shared" si="49"/>
        <v>0</v>
      </c>
      <c r="AA259" s="13">
        <f t="shared" si="49"/>
        <v>3</v>
      </c>
      <c r="AB259" s="13">
        <f t="shared" si="49"/>
        <v>0</v>
      </c>
      <c r="AC259" s="13">
        <f t="shared" si="49"/>
        <v>1</v>
      </c>
      <c r="AD259" s="13">
        <f t="shared" si="49"/>
        <v>0</v>
      </c>
      <c r="AE259" s="13">
        <f t="shared" si="49"/>
        <v>0</v>
      </c>
      <c r="AF259" s="13">
        <f t="shared" si="49"/>
        <v>1</v>
      </c>
      <c r="AG259" s="13">
        <f t="shared" si="49"/>
        <v>0</v>
      </c>
      <c r="AH259" s="13">
        <f t="shared" si="49"/>
        <v>1</v>
      </c>
      <c r="AI259" s="13">
        <f t="shared" si="49"/>
        <v>0</v>
      </c>
      <c r="AJ259" s="13">
        <f t="shared" si="49"/>
        <v>0</v>
      </c>
      <c r="AK259" s="13">
        <f t="shared" si="49"/>
        <v>1</v>
      </c>
      <c r="AL259" s="13">
        <f t="shared" si="49"/>
        <v>1</v>
      </c>
      <c r="AM259" s="13">
        <f t="shared" si="49"/>
        <v>0</v>
      </c>
      <c r="AN259" s="13">
        <f t="shared" si="49"/>
        <v>1</v>
      </c>
      <c r="AO259" s="13">
        <f t="shared" si="49"/>
        <v>1</v>
      </c>
      <c r="AP259" s="13">
        <f>SUM(E259:AO259)</f>
        <v>18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K261" s="69"/>
      <c r="AL261" s="69"/>
      <c r="AM261" s="69"/>
      <c r="AN261" s="69"/>
      <c r="AO261" s="69"/>
      <c r="AP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O262" si="50">E55+E67+E79+E91+E103+E115+E127+E139+E151+E163+E175+E187+E199+E211+E223+E235+E247+E259</f>
        <v>188</v>
      </c>
      <c r="F262" s="19">
        <f t="shared" si="50"/>
        <v>193</v>
      </c>
      <c r="G262" s="19">
        <f t="shared" si="50"/>
        <v>164</v>
      </c>
      <c r="H262" s="19">
        <f t="shared" si="50"/>
        <v>200</v>
      </c>
      <c r="I262" s="19">
        <f t="shared" si="50"/>
        <v>193</v>
      </c>
      <c r="J262" s="19">
        <f t="shared" si="50"/>
        <v>158</v>
      </c>
      <c r="K262" s="19">
        <f t="shared" si="50"/>
        <v>167</v>
      </c>
      <c r="L262" s="19">
        <f t="shared" si="50"/>
        <v>148</v>
      </c>
      <c r="M262" s="19">
        <f t="shared" si="50"/>
        <v>211</v>
      </c>
      <c r="N262" s="19">
        <f t="shared" si="50"/>
        <v>219</v>
      </c>
      <c r="O262" s="19">
        <f t="shared" si="50"/>
        <v>177</v>
      </c>
      <c r="P262" s="19">
        <f t="shared" si="50"/>
        <v>154</v>
      </c>
      <c r="Q262" s="19">
        <f t="shared" si="50"/>
        <v>208</v>
      </c>
      <c r="R262" s="19">
        <f t="shared" si="50"/>
        <v>165</v>
      </c>
      <c r="S262" s="19">
        <f t="shared" si="50"/>
        <v>197</v>
      </c>
      <c r="T262" s="19">
        <f t="shared" si="50"/>
        <v>160</v>
      </c>
      <c r="U262" s="19">
        <f t="shared" si="50"/>
        <v>182</v>
      </c>
      <c r="V262" s="19">
        <f t="shared" si="50"/>
        <v>195</v>
      </c>
      <c r="W262" s="19">
        <f t="shared" si="50"/>
        <v>198</v>
      </c>
      <c r="X262" s="19">
        <f t="shared" si="50"/>
        <v>193</v>
      </c>
      <c r="Y262" s="19">
        <f t="shared" si="50"/>
        <v>184</v>
      </c>
      <c r="Z262" s="19">
        <f t="shared" si="50"/>
        <v>178</v>
      </c>
      <c r="AA262" s="19">
        <f t="shared" si="50"/>
        <v>182</v>
      </c>
      <c r="AB262" s="19">
        <f t="shared" si="50"/>
        <v>187</v>
      </c>
      <c r="AC262" s="19">
        <f t="shared" si="50"/>
        <v>178</v>
      </c>
      <c r="AD262" s="19">
        <f t="shared" si="50"/>
        <v>201</v>
      </c>
      <c r="AE262" s="19">
        <f t="shared" si="50"/>
        <v>172</v>
      </c>
      <c r="AF262" s="19">
        <f t="shared" si="50"/>
        <v>208</v>
      </c>
      <c r="AG262" s="19">
        <f t="shared" si="50"/>
        <v>183</v>
      </c>
      <c r="AH262" s="19">
        <f t="shared" si="50"/>
        <v>168</v>
      </c>
      <c r="AI262" s="19">
        <f t="shared" si="50"/>
        <v>202</v>
      </c>
      <c r="AJ262" s="19">
        <f t="shared" si="50"/>
        <v>202</v>
      </c>
      <c r="AK262" s="19">
        <f t="shared" si="50"/>
        <v>181</v>
      </c>
      <c r="AL262" s="19">
        <f t="shared" si="50"/>
        <v>164</v>
      </c>
      <c r="AM262" s="19">
        <f t="shared" si="50"/>
        <v>190</v>
      </c>
      <c r="AN262" s="19">
        <f t="shared" si="50"/>
        <v>164</v>
      </c>
      <c r="AO262" s="19">
        <f t="shared" si="50"/>
        <v>172</v>
      </c>
      <c r="AP262" s="13">
        <f t="shared" ref="AP262:AP264" si="51">SUM(E262:AO262)</f>
        <v>6786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31.0</v>
      </c>
      <c r="F263" s="19">
        <v>14.0</v>
      </c>
      <c r="G263" s="19">
        <v>15.0</v>
      </c>
      <c r="H263" s="19">
        <v>10.0</v>
      </c>
      <c r="I263" s="19">
        <v>25.0</v>
      </c>
      <c r="J263" s="19">
        <v>16.0</v>
      </c>
      <c r="K263" s="19">
        <v>14.0</v>
      </c>
      <c r="L263" s="19">
        <v>11.0</v>
      </c>
      <c r="M263" s="19">
        <v>19.0</v>
      </c>
      <c r="N263" s="19">
        <v>15.0</v>
      </c>
      <c r="O263" s="19">
        <v>28.0</v>
      </c>
      <c r="P263" s="19">
        <v>22.0</v>
      </c>
      <c r="Q263" s="19">
        <v>14.0</v>
      </c>
      <c r="R263" s="19">
        <v>21.0</v>
      </c>
      <c r="S263" s="19">
        <v>17.0</v>
      </c>
      <c r="T263" s="19">
        <v>22.0</v>
      </c>
      <c r="U263" s="19">
        <v>6.0</v>
      </c>
      <c r="V263" s="19">
        <v>24.0</v>
      </c>
      <c r="W263" s="19">
        <v>8.0</v>
      </c>
      <c r="X263" s="19">
        <v>33.0</v>
      </c>
      <c r="Y263" s="19">
        <v>19.0</v>
      </c>
      <c r="Z263" s="19">
        <v>22.0</v>
      </c>
      <c r="AA263" s="19">
        <v>19.0</v>
      </c>
      <c r="AB263" s="19">
        <v>22.0</v>
      </c>
      <c r="AC263" s="19">
        <v>34.0</v>
      </c>
      <c r="AD263" s="19">
        <v>13.0</v>
      </c>
      <c r="AE263" s="19">
        <v>17.0</v>
      </c>
      <c r="AF263" s="19">
        <v>21.0</v>
      </c>
      <c r="AG263" s="19">
        <v>21.0</v>
      </c>
      <c r="AH263" s="19">
        <v>43.0</v>
      </c>
      <c r="AI263" s="19">
        <v>19.0</v>
      </c>
      <c r="AJ263" s="19">
        <v>31.0</v>
      </c>
      <c r="AK263" s="19">
        <v>17.0</v>
      </c>
      <c r="AL263" s="19">
        <v>17.0</v>
      </c>
      <c r="AM263" s="19">
        <v>23.0</v>
      </c>
      <c r="AN263" s="19">
        <v>40.0</v>
      </c>
      <c r="AO263" s="19">
        <v>36.0</v>
      </c>
      <c r="AP263" s="13">
        <f t="shared" si="51"/>
        <v>779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O264" si="52">SUM(E262:E263)</f>
        <v>219</v>
      </c>
      <c r="F264" s="13">
        <f t="shared" si="52"/>
        <v>207</v>
      </c>
      <c r="G264" s="13">
        <f t="shared" si="52"/>
        <v>179</v>
      </c>
      <c r="H264" s="13">
        <f t="shared" si="52"/>
        <v>210</v>
      </c>
      <c r="I264" s="13">
        <f t="shared" si="52"/>
        <v>218</v>
      </c>
      <c r="J264" s="13">
        <f t="shared" si="52"/>
        <v>174</v>
      </c>
      <c r="K264" s="13">
        <f t="shared" si="52"/>
        <v>181</v>
      </c>
      <c r="L264" s="13">
        <f t="shared" si="52"/>
        <v>159</v>
      </c>
      <c r="M264" s="13">
        <f t="shared" si="52"/>
        <v>230</v>
      </c>
      <c r="N264" s="13">
        <f t="shared" si="52"/>
        <v>234</v>
      </c>
      <c r="O264" s="13">
        <f t="shared" si="52"/>
        <v>205</v>
      </c>
      <c r="P264" s="13">
        <f t="shared" si="52"/>
        <v>176</v>
      </c>
      <c r="Q264" s="13">
        <f t="shared" si="52"/>
        <v>222</v>
      </c>
      <c r="R264" s="13">
        <f t="shared" si="52"/>
        <v>186</v>
      </c>
      <c r="S264" s="13">
        <f t="shared" si="52"/>
        <v>214</v>
      </c>
      <c r="T264" s="13">
        <f t="shared" si="52"/>
        <v>182</v>
      </c>
      <c r="U264" s="13">
        <f t="shared" si="52"/>
        <v>188</v>
      </c>
      <c r="V264" s="13">
        <f t="shared" si="52"/>
        <v>219</v>
      </c>
      <c r="W264" s="13">
        <f t="shared" si="52"/>
        <v>206</v>
      </c>
      <c r="X264" s="13">
        <f t="shared" si="52"/>
        <v>226</v>
      </c>
      <c r="Y264" s="13">
        <f t="shared" si="52"/>
        <v>203</v>
      </c>
      <c r="Z264" s="13">
        <f t="shared" si="52"/>
        <v>200</v>
      </c>
      <c r="AA264" s="13">
        <f t="shared" si="52"/>
        <v>201</v>
      </c>
      <c r="AB264" s="13">
        <f t="shared" si="52"/>
        <v>209</v>
      </c>
      <c r="AC264" s="13">
        <f t="shared" si="52"/>
        <v>212</v>
      </c>
      <c r="AD264" s="13">
        <f t="shared" si="52"/>
        <v>214</v>
      </c>
      <c r="AE264" s="13">
        <f t="shared" si="52"/>
        <v>189</v>
      </c>
      <c r="AF264" s="13">
        <f t="shared" si="52"/>
        <v>229</v>
      </c>
      <c r="AG264" s="13">
        <f t="shared" si="52"/>
        <v>204</v>
      </c>
      <c r="AH264" s="13">
        <f t="shared" si="52"/>
        <v>211</v>
      </c>
      <c r="AI264" s="13">
        <f t="shared" si="52"/>
        <v>221</v>
      </c>
      <c r="AJ264" s="13">
        <f t="shared" si="52"/>
        <v>233</v>
      </c>
      <c r="AK264" s="13">
        <f t="shared" si="52"/>
        <v>198</v>
      </c>
      <c r="AL264" s="13">
        <f t="shared" si="52"/>
        <v>181</v>
      </c>
      <c r="AM264" s="13">
        <f t="shared" si="52"/>
        <v>213</v>
      </c>
      <c r="AN264" s="13">
        <f t="shared" si="52"/>
        <v>204</v>
      </c>
      <c r="AO264" s="13">
        <f t="shared" si="52"/>
        <v>208</v>
      </c>
      <c r="AP264" s="13">
        <f t="shared" si="51"/>
        <v>7565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O12"/>
    <mergeCell ref="AP12:AP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34:T34 AB34:AH34">
    <cfRule type="expression" dxfId="0" priority="1">
      <formula>E34&lt;&gt;E64</formula>
    </cfRule>
  </conditionalFormatting>
  <conditionalFormatting sqref="E14:AO15">
    <cfRule type="containsBlanks" dxfId="1" priority="2">
      <formula>LEN(TRIM(E14))=0</formula>
    </cfRule>
  </conditionalFormatting>
  <conditionalFormatting sqref="E19:AO20">
    <cfRule type="containsBlanks" dxfId="1" priority="3">
      <formula>LEN(TRIM(E19))=0</formula>
    </cfRule>
  </conditionalFormatting>
  <conditionalFormatting sqref="E22:AO23 E25:AO26 E33:AO33 E35:AO35 E39:AO40">
    <cfRule type="containsBlanks" dxfId="1" priority="4">
      <formula>LEN(TRIM(E22))=0</formula>
    </cfRule>
  </conditionalFormatting>
  <conditionalFormatting sqref="E30:AO30">
    <cfRule type="expression" dxfId="0" priority="5">
      <formula>E30&lt;&gt;E47</formula>
    </cfRule>
  </conditionalFormatting>
  <conditionalFormatting sqref="E30:AO30">
    <cfRule type="expression" dxfId="0" priority="6">
      <formula>E30&lt;&gt;E34</formula>
    </cfRule>
  </conditionalFormatting>
  <conditionalFormatting sqref="E34:AO34">
    <cfRule type="expression" dxfId="2" priority="7">
      <formula>E30&lt;&gt;E34</formula>
    </cfRule>
  </conditionalFormatting>
  <conditionalFormatting sqref="E34:AO34">
    <cfRule type="expression" dxfId="3" priority="8">
      <formula>E30=E34</formula>
    </cfRule>
  </conditionalFormatting>
  <conditionalFormatting sqref="E34:AO34">
    <cfRule type="expression" dxfId="0" priority="9">
      <formula>E34&lt;&gt;E30</formula>
    </cfRule>
  </conditionalFormatting>
  <conditionalFormatting sqref="E45:AO54">
    <cfRule type="containsBlanks" dxfId="1" priority="10">
      <formula>LEN(TRIM(E45))=0</formula>
    </cfRule>
  </conditionalFormatting>
  <conditionalFormatting sqref="E57:AO66">
    <cfRule type="containsBlanks" dxfId="1" priority="11">
      <formula>LEN(TRIM(E57))=0</formula>
    </cfRule>
  </conditionalFormatting>
  <conditionalFormatting sqref="E69:AO78">
    <cfRule type="containsBlanks" dxfId="1" priority="12">
      <formula>LEN(TRIM(E69))=0</formula>
    </cfRule>
  </conditionalFormatting>
  <conditionalFormatting sqref="E81:AO90">
    <cfRule type="containsBlanks" dxfId="1" priority="13">
      <formula>LEN(TRIM(E81))=0</formula>
    </cfRule>
  </conditionalFormatting>
  <conditionalFormatting sqref="E93:AO102">
    <cfRule type="containsBlanks" dxfId="1" priority="14">
      <formula>LEN(TRIM(E93))=0</formula>
    </cfRule>
  </conditionalFormatting>
  <conditionalFormatting sqref="E105:AO114">
    <cfRule type="containsBlanks" dxfId="1" priority="15">
      <formula>LEN(TRIM(E105))=0</formula>
    </cfRule>
  </conditionalFormatting>
  <conditionalFormatting sqref="E117:AO126">
    <cfRule type="containsBlanks" dxfId="1" priority="16">
      <formula>LEN(TRIM(E117))=0</formula>
    </cfRule>
  </conditionalFormatting>
  <conditionalFormatting sqref="E129:AO138">
    <cfRule type="containsBlanks" dxfId="1" priority="17">
      <formula>LEN(TRIM(E129))=0</formula>
    </cfRule>
  </conditionalFormatting>
  <conditionalFormatting sqref="E141:AO150">
    <cfRule type="containsBlanks" dxfId="1" priority="18">
      <formula>LEN(TRIM(E141))=0</formula>
    </cfRule>
  </conditionalFormatting>
  <conditionalFormatting sqref="E153:AO162">
    <cfRule type="containsBlanks" dxfId="1" priority="19">
      <formula>LEN(TRIM(E153))=0</formula>
    </cfRule>
  </conditionalFormatting>
  <conditionalFormatting sqref="E165:AO174">
    <cfRule type="containsBlanks" dxfId="1" priority="20">
      <formula>LEN(TRIM(E165))=0</formula>
    </cfRule>
  </conditionalFormatting>
  <conditionalFormatting sqref="E177:AO186">
    <cfRule type="containsBlanks" dxfId="1" priority="21">
      <formula>LEN(TRIM(E177))=0</formula>
    </cfRule>
  </conditionalFormatting>
  <conditionalFormatting sqref="E189:AO198">
    <cfRule type="containsBlanks" dxfId="1" priority="22">
      <formula>LEN(TRIM(E189))=0</formula>
    </cfRule>
  </conditionalFormatting>
  <conditionalFormatting sqref="E201:AO210">
    <cfRule type="containsBlanks" dxfId="1" priority="23">
      <formula>LEN(TRIM(E201))=0</formula>
    </cfRule>
  </conditionalFormatting>
  <conditionalFormatting sqref="E213:AO222">
    <cfRule type="containsBlanks" dxfId="1" priority="24">
      <formula>LEN(TRIM(E213))=0</formula>
    </cfRule>
  </conditionalFormatting>
  <conditionalFormatting sqref="E225:AO234">
    <cfRule type="containsBlanks" dxfId="1" priority="25">
      <formula>LEN(TRIM(E225))=0</formula>
    </cfRule>
  </conditionalFormatting>
  <conditionalFormatting sqref="E237:AO246">
    <cfRule type="containsBlanks" dxfId="1" priority="26">
      <formula>LEN(TRIM(E237))=0</formula>
    </cfRule>
  </conditionalFormatting>
  <conditionalFormatting sqref="E249:AO259">
    <cfRule type="containsBlanks" dxfId="1" priority="27">
      <formula>LEN(TRIM(E249))=0</formula>
    </cfRule>
  </conditionalFormatting>
  <conditionalFormatting sqref="E262:AO263">
    <cfRule type="containsBlanks" dxfId="1" priority="28">
      <formula>LEN(TRIM(E262))=0</formula>
    </cfRule>
  </conditionalFormatting>
  <conditionalFormatting sqref="U34:AA34">
    <cfRule type="expression" dxfId="0" priority="29">
      <formula>U34&lt;&gt;U47</formula>
    </cfRule>
  </conditionalFormatting>
  <conditionalFormatting sqref="AI34:AO34">
    <cfRule type="expression" dxfId="0" priority="30">
      <formula>AI34&lt;&gt;AI47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