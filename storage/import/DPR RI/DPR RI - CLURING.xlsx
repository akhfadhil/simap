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ENCULUK" sheetId="2" r:id="rId5"/>
    <sheet state="visible" name="CLURING" sheetId="3" r:id="rId6"/>
    <sheet state="visible" name="KALIPLOSO" sheetId="4" r:id="rId7"/>
    <sheet state="visible" name="PLAMPANGREJO" sheetId="5" r:id="rId8"/>
    <sheet state="visible" name="SARIMULYO" sheetId="6" r:id="rId9"/>
    <sheet state="visible" name="SEMBULUNG" sheetId="7" r:id="rId10"/>
    <sheet state="visible" name="SRATEN" sheetId="8" r:id="rId11"/>
    <sheet state="visible" name="TAMANAGUNG" sheetId="9" r:id="rId12"/>
    <sheet state="visible" name="TAMPO" sheetId="10" r:id="rId13"/>
  </sheets>
  <definedNames/>
  <calcPr/>
  <extLst>
    <ext uri="GoogleSheetsCustomDataVersion2">
      <go:sheetsCustomData xmlns:go="http://customooxmlschemas.google.com/" r:id="rId14" roundtripDataChecksum="wR9LZs9qRwMgDGr+AA4/ITNYRYb44zkCeCJMzDnHofk="/>
    </ext>
  </extLst>
</workbook>
</file>

<file path=xl/sharedStrings.xml><?xml version="1.0" encoding="utf-8"?>
<sst xmlns="http://schemas.openxmlformats.org/spreadsheetml/2006/main" count="3110" uniqueCount="247">
  <si>
    <t>Kecamatan</t>
  </si>
  <si>
    <t>CLURING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</si>
  <si>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</si>
  <si>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</si>
  <si>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</si>
  <si>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</si>
  <si>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</si>
  <si>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</si>
  <si>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</si>
  <si>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</si>
  <si>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</si>
  <si>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</si>
  <si>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</si>
  <si>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</si>
  <si>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</si>
  <si>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</si>
  <si>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</si>
  <si>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</si>
  <si>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</si>
  <si>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</si>
  <si>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</si>
  <si>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</si>
  <si>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</si>
  <si>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</si>
  <si>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</si>
  <si>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</si>
  <si>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</si>
  <si>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</si>
  <si>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</si>
  <si>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</si>
  <si>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</si>
  <si>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</si>
  <si>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</si>
  <si>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</si>
  <si>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</si>
  <si>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</si>
  <si>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</si>
  <si>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</si>
  <si>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</si>
  <si>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</si>
  <si>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</si>
  <si>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</si>
  <si>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</si>
  <si>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</si>
  <si>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</si>
  <si>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</si>
  <si>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</si>
  <si>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</si>
  <si>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</si>
  <si>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</si>
  <si>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</si>
  <si>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</si>
  <si>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</si>
  <si>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</si>
  <si>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</si>
  <si>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</si>
  <si>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</si>
  <si>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</si>
  <si>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</si>
  <si>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</si>
  <si>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</si>
  <si>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</si>
  <si>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</si>
  <si>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</si>
  <si>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</si>
  <si>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</si>
  <si>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</si>
  <si>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</si>
  <si>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</si>
  <si>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</si>
  <si>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</si>
  <si>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</si>
  <si>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</si>
  <si>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</si>
  <si>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</si>
  <si>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</si>
  <si>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</si>
  <si>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</si>
  <si>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</si>
  <si>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</si>
  <si>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</si>
  <si>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</si>
  <si>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</si>
  <si>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</si>
  <si>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</si>
  <si>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</si>
  <si>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</si>
  <si>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</si>
  <si>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</si>
  <si>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</si>
  <si>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</si>
  <si>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</si>
  <si>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</si>
  <si>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</si>
  <si>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</si>
  <si>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</si>
  <si>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</si>
  <si>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</si>
  <si>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</si>
  <si>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</si>
  <si>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</si>
  <si>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</si>
  <si>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</si>
  <si>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</si>
  <si>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</si>
  <si>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</si>
  <si>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</si>
  <si>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</si>
  <si>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</si>
  <si>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</si>
  <si>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</si>
  <si>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</si>
  <si>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</si>
  <si>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</si>
  <si>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</si>
  <si>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</si>
  <si>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</si>
  <si>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</si>
  <si>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</si>
  <si>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</si>
  <si>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</si>
  <si>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</si>
  <si>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</si>
  <si>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</si>
  <si>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</si>
  <si>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</si>
  <si>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</si>
  <si>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</si>
  <si>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</si>
  <si>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</si>
  <si>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</si>
  <si>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</si>
  <si>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</si>
  <si>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</si>
  <si>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</si>
  <si>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</si>
  <si>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</si>
  <si>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</si>
  <si>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</si>
  <si>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</si>
  <si>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</si>
  <si>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</si>
  <si>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</si>
  <si>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</si>
  <si>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</si>
  <si>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</si>
  <si>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</si>
  <si>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</si>
  <si>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</si>
  <si>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</si>
  <si>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</si>
  <si>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</si>
  <si>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</si>
  <si>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</si>
  <si>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</si>
  <si>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</si>
  <si>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</si>
  <si>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</si>
  <si>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</si>
  <si>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</si>
  <si>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</si>
  <si>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</si>
  <si>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</si>
  <si>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</si>
  <si>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</si>
  <si>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</si>
  <si>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</si>
  <si>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</si>
  <si>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</si>
  <si>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</si>
  <si>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</si>
  <si>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</si>
  <si>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</si>
  <si>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</si>
  <si>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</si>
  <si>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</si>
  <si>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</si>
  <si>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</si>
  <si>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</si>
  <si>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</si>
  <si>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</si>
  <si>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</si>
  <si>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</si>
  <si>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</si>
  <si>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</si>
  <si>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</si>
  <si>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</si>
  <si>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</si>
  <si>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</si>
  <si>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</si>
  <si>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</si>
  <si>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</si>
  <si>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</si>
  <si>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</si>
  <si>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</si>
  <si>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</si>
  <si>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</si>
  <si>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</si>
  <si>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</si>
  <si>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BENCULUK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</si>
  <si>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</si>
  <si>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</si>
  <si>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</si>
  <si>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</si>
  <si>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</si>
  <si>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</si>
  <si>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</si>
  <si>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</si>
  <si>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</si>
  <si>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</si>
  <si>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</si>
  <si>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</si>
  <si>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</si>
  <si>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</si>
  <si>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</si>
  <si>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</si>
  <si>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</si>
  <si>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</si>
  <si>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</si>
  <si>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</si>
  <si>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</si>
  <si>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</si>
  <si>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</si>
  <si>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</si>
  <si>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</si>
  <si>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</si>
  <si>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</si>
  <si>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</si>
  <si>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</si>
  <si>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</si>
  <si>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</si>
  <si>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</si>
  <si>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</si>
  <si>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</si>
  <si>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</si>
  <si>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</si>
  <si>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</si>
  <si>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</si>
  <si>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</si>
  <si>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</si>
  <si>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KALIPLOSO</t>
  </si>
  <si>
    <t>PLAMPANGREJO</t>
  </si>
  <si>
    <t>SARIMULYO</t>
  </si>
  <si>
    <t>SEMBULUNG</t>
  </si>
  <si>
    <t>SRATEN</t>
  </si>
  <si>
    <t>TAMANAGUNG</t>
  </si>
  <si>
    <t>TAMPO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</si>
</sst>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right" vertical="bottom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7" numFmtId="0" xfId="0" applyBorder="1" applyFont="1"/>
    <xf borderId="1" fillId="4" fontId="11" numFmtId="0" xfId="0" applyAlignment="1" applyBorder="1" applyFill="1" applyFont="1">
      <alignment horizontal="center"/>
    </xf>
    <xf borderId="1" fillId="5" fontId="11" numFmtId="0" xfId="0" applyAlignment="1" applyBorder="1" applyFill="1" applyFont="1">
      <alignment horizontal="center"/>
    </xf>
    <xf borderId="2" fillId="0" fontId="7" numFmtId="0" xfId="0" applyBorder="1" applyFont="1"/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BENCULUK!AS14+CLURING!AL14+KALIPLOSO!Q14+PLAMPANGREJO!AE14+SARIMULYO!AA14+SEMBULUNG!AC14+SRATEN!AB14+TAMANAGUNG!AH14+TAMPO!AB14</f>
        <v>20590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BENCULUK!AS15+CLURING!AL15+KALIPLOSO!Q15+PLAMPANGREJO!AE15+SARIMULYO!AA15+SEMBULUNG!AC15+SRATEN!AB15+TAMANAGUNG!AH15+TAMPO!AB15</f>
        <v>20719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41309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BENCULUK!AS19+CLURING!AL19+KALIPLOSO!Q19+PLAMPANGREJO!AE19+SARIMULYO!AA19+SEMBULUNG!AC19+SRATEN!AB19+TAMANAGUNG!AH19+TAMPO!AB19</f>
        <v>16716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BENCULUK!AS20+CLURING!AL20+KALIPLOSO!Q20+PLAMPANGREJO!AE20+SARIMULYO!AA20+SEMBULUNG!AC20+SRATEN!AB20+TAMANAGUNG!AH20+TAMPO!AB20</f>
        <v>17715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34431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BENCULUK!AS22+CLURING!AL22+KALIPLOSO!Q22+PLAMPANGREJO!AE22+SARIMULYO!AA22+SEMBULUNG!AC22+SRATEN!AB22+TAMANAGUNG!AH22+TAMPO!AB22</f>
        <v>18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BENCULUK!AS23+CLURING!AL23+KALIPLOSO!Q23+PLAMPANGREJO!AE23+SARIMULYO!AA23+SEMBULUNG!AC23+SRATEN!AB23+TAMANAGUNG!AH23+TAMPO!AB23</f>
        <v>20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BENCULUK!AS25+CLURING!AL25+KALIPLOSO!Q25+PLAMPANGREJO!AE25+SARIMULYO!AA25+SEMBULUNG!AC25+SRATEN!AB25+TAMANAGUNG!AH25+TAMPO!AB25</f>
        <v>169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BENCULUK!AS26+CLURING!AL26+KALIPLOSO!Q26+PLAMPANGREJO!AE26+SARIMULYO!AA26+SEMBULUNG!AC26+SRATEN!AB26+TAMANAGUNG!AH26+TAMPO!AB26</f>
        <v>222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16903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17957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34860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BENCULUK!AS33+CLURING!AL33+KALIPLOSO!Q33+PLAMPANGREJO!AE33+SARIMULYO!AA33+SEMBULUNG!AC33+SRATEN!AB33+TAMANAGUNG!AH33+TAMPO!AB33</f>
        <v>45250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BENCULUK!AS34+CLURING!AL34+KALIPLOSO!Q34+PLAMPANGREJO!AE34+SARIMULYO!AA34+SEMBULUNG!AC34+SRATEN!AB34+TAMANAGUNG!AH34+TAMPO!AB34</f>
        <v>34874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BENCULUK!AS35+CLURING!AL35+KALIPLOSO!Q35+PLAMPANGREJO!AE35+SARIMULYO!AA35+SEMBULUNG!AC35+SRATEN!AB35+TAMANAGUNG!AH35+TAMPO!AB35</f>
        <v>78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10298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BENCULUK!AS39+CLURING!AL39+KALIPLOSO!Q39+PLAMPANGREJO!AE39+SARIMULYO!AA39+SEMBULUNG!AC39+SRATEN!AB39+TAMANAGUNG!AH39+TAMPO!AB39</f>
        <v>22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BENCULUK!AS40+CLURING!AL40+KALIPLOSO!Q40+PLAMPANGREJO!AE40+SARIMULYO!AA40+SEMBULUNG!AC40+SRATEN!AB40+TAMANAGUNG!AH40+TAMPO!AB40</f>
        <v>21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BENCULUK!AS45+CLURING!AL45+KALIPLOSO!Q45+PLAMPANGREJO!AE45+SARIMULYO!AA45+SEMBULUNG!AC45+SRATEN!AB45+TAMANAGUNG!AH45+TAMPO!AB45</f>
        <v>886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BENCULUK!AS46+CLURING!AL46+KALIPLOSO!Q46+PLAMPANGREJO!AE46+SARIMULYO!AA46+SEMBULUNG!AC46+SRATEN!AB46+TAMANAGUNG!AH46+TAMPO!AB46</f>
        <v>2536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BENCULUK!AS47+CLURING!AL47+KALIPLOSO!Q47+PLAMPANGREJO!AE47+SARIMULYO!AA47+SEMBULUNG!AC47+SRATEN!AB47+TAMANAGUNG!AH47+TAMPO!AB47</f>
        <v>710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BENCULUK!AS48+CLURING!AL48+KALIPLOSO!Q48+PLAMPANGREJO!AE48+SARIMULYO!AA48+SEMBULUNG!AC48+SRATEN!AB48+TAMANAGUNG!AH48+TAMPO!AB48</f>
        <v>99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BENCULUK!AS49+CLURING!AL49+KALIPLOSO!Q49+PLAMPANGREJO!AE49+SARIMULYO!AA49+SEMBULUNG!AC49+SRATEN!AB49+TAMANAGUNG!AH49+TAMPO!AB49</f>
        <v>66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BENCULUK!AS50+CLURING!AL50+KALIPLOSO!Q50+PLAMPANGREJO!AE50+SARIMULYO!AA50+SEMBULUNG!AC50+SRATEN!AB50+TAMANAGUNG!AH50+TAMPO!AB50</f>
        <v>61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BENCULUK!AS51+CLURING!AL51+KALIPLOSO!Q51+PLAMPANGREJO!AE51+SARIMULYO!AA51+SEMBULUNG!AC51+SRATEN!AB51+TAMANAGUNG!AH51+TAMPO!AB51</f>
        <v>111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BENCULUK!AS52+CLURING!AL52+KALIPLOSO!Q52+PLAMPANGREJO!AE52+SARIMULYO!AA52+SEMBULUNG!AC52+SRATEN!AB52+TAMANAGUNG!AH52+TAMPO!AB52</f>
        <v>27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4496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BENCULUK!AS57+CLURING!AL57+KALIPLOSO!Q57+PLAMPANGREJO!AE57+SARIMULYO!AA57+SEMBULUNG!AC57+SRATEN!AB57+TAMANAGUNG!AH57+TAMPO!AB57</f>
        <v>1493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BENCULUK!AS58+CLURING!AL58+KALIPLOSO!Q58+PLAMPANGREJO!AE58+SARIMULYO!AA58+SEMBULUNG!AC58+SRATEN!AB58+TAMANAGUNG!AH58+TAMPO!AB58</f>
        <v>2789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BENCULUK!AS59+CLURING!AL59+KALIPLOSO!Q59+PLAMPANGREJO!AE59+SARIMULYO!AA59+SEMBULUNG!AC59+SRATEN!AB59+TAMANAGUNG!AH59+TAMPO!AB59</f>
        <v>1601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BENCULUK!AS60+CLURING!AL60+KALIPLOSO!Q60+PLAMPANGREJO!AE60+SARIMULYO!AA60+SEMBULUNG!AC60+SRATEN!AB60+TAMANAGUNG!AH60+TAMPO!AB60</f>
        <v>162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BENCULUK!AS61+CLURING!AL61+KALIPLOSO!Q61+PLAMPANGREJO!AE61+SARIMULYO!AA61+SEMBULUNG!AC61+SRATEN!AB61+TAMANAGUNG!AH61+TAMPO!AB61</f>
        <v>273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BENCULUK!AS62+CLURING!AL62+KALIPLOSO!Q62+PLAMPANGREJO!AE62+SARIMULYO!AA62+SEMBULUNG!AC62+SRATEN!AB62+TAMANAGUNG!AH62+TAMPO!AB62</f>
        <v>44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BENCULUK!AS63+CLURING!AL63+KALIPLOSO!Q63+PLAMPANGREJO!AE63+SARIMULYO!AA63+SEMBULUNG!AC63+SRATEN!AB63+TAMANAGUNG!AH63+TAMPO!AB63</f>
        <v>103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BENCULUK!AS64+CLURING!AL64+KALIPLOSO!Q64+PLAMPANGREJO!AE64+SARIMULYO!AA64+SEMBULUNG!AC64+SRATEN!AB64+TAMANAGUNG!AH64+TAMPO!AB64</f>
        <v>38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6503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BENCULUK!AS69+CLURING!AL69+KALIPLOSO!Q69+PLAMPANGREJO!AE69+SARIMULYO!AA69+SEMBULUNG!AC69+SRATEN!AB69+TAMANAGUNG!AH69+TAMPO!AB69</f>
        <v>1624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BENCULUK!AS70+CLURING!AL70+KALIPLOSO!Q70+PLAMPANGREJO!AE70+SARIMULYO!AA70+SEMBULUNG!AC70+SRATEN!AB70+TAMANAGUNG!AH70+TAMPO!AB70</f>
        <v>3111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BENCULUK!AS71+CLURING!AL71+KALIPLOSO!Q71+PLAMPANGREJO!AE71+SARIMULYO!AA71+SEMBULUNG!AC71+SRATEN!AB71+TAMANAGUNG!AH71+TAMPO!AB71</f>
        <v>605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BENCULUK!AS72+CLURING!AL72+KALIPLOSO!Q72+PLAMPANGREJO!AE72+SARIMULYO!AA72+SEMBULUNG!AC72+SRATEN!AB72+TAMANAGUNG!AH72+TAMPO!AB72</f>
        <v>2074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BENCULUK!AS73+CLURING!AL73+KALIPLOSO!Q73+PLAMPANGREJO!AE73+SARIMULYO!AA73+SEMBULUNG!AC73+SRATEN!AB73+TAMANAGUNG!AH73+TAMPO!AB73</f>
        <v>110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BENCULUK!AS74+CLURING!AL74+KALIPLOSO!Q74+PLAMPANGREJO!AE74+SARIMULYO!AA74+SEMBULUNG!AC74+SRATEN!AB74+TAMANAGUNG!AH74+TAMPO!AB74</f>
        <v>404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BENCULUK!AS75+CLURING!AL75+KALIPLOSO!Q75+PLAMPANGREJO!AE75+SARIMULYO!AA75+SEMBULUNG!AC75+SRATEN!AB75+TAMANAGUNG!AH75+TAMPO!AB75</f>
        <v>105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BENCULUK!AS76+CLURING!AL76+KALIPLOSO!Q76+PLAMPANGREJO!AE76+SARIMULYO!AA76+SEMBULUNG!AC76+SRATEN!AB76+TAMANAGUNG!AH76+TAMPO!AB76</f>
        <v>346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8379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BENCULUK!AS81+CLURING!AL81+KALIPLOSO!Q81+PLAMPANGREJO!AE81+SARIMULYO!AA81+SEMBULUNG!AC81+SRATEN!AB81+TAMANAGUNG!AH81+TAMPO!AB81</f>
        <v>725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BENCULUK!AS82+CLURING!AL82+KALIPLOSO!Q82+PLAMPANGREJO!AE82+SARIMULYO!AA82+SEMBULUNG!AC82+SRATEN!AB82+TAMANAGUNG!AH82+TAMPO!AB82</f>
        <v>2276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BENCULUK!AS83+CLURING!AL83+KALIPLOSO!Q83+PLAMPANGREJO!AE83+SARIMULYO!AA83+SEMBULUNG!AC83+SRATEN!AB83+TAMANAGUNG!AH83+TAMPO!AB83</f>
        <v>1038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BENCULUK!AS84+CLURING!AL84+KALIPLOSO!Q84+PLAMPANGREJO!AE84+SARIMULYO!AA84+SEMBULUNG!AC84+SRATEN!AB84+TAMANAGUNG!AH84+TAMPO!AB84</f>
        <v>89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BENCULUK!AS85+CLURING!AL85+KALIPLOSO!Q85+PLAMPANGREJO!AE85+SARIMULYO!AA85+SEMBULUNG!AC85+SRATEN!AB85+TAMANAGUNG!AH85+TAMPO!AB85</f>
        <v>84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BENCULUK!AS86+CLURING!AL86+KALIPLOSO!Q86+PLAMPANGREJO!AE86+SARIMULYO!AA86+SEMBULUNG!AC86+SRATEN!AB86+TAMANAGUNG!AH86+TAMPO!AB86</f>
        <v>133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BENCULUK!AS87+CLURING!AL87+KALIPLOSO!Q87+PLAMPANGREJO!AE87+SARIMULYO!AA87+SEMBULUNG!AC87+SRATEN!AB87+TAMANAGUNG!AH87+TAMPO!AB87</f>
        <v>25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BENCULUK!AS88+CLURING!AL88+KALIPLOSO!Q88+PLAMPANGREJO!AE88+SARIMULYO!AA88+SEMBULUNG!AC88+SRATEN!AB88+TAMANAGUNG!AH88+TAMPO!AB88</f>
        <v>11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4381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BENCULUK!AS93+CLURING!AL93+KALIPLOSO!Q93+PLAMPANGREJO!AE93+SARIMULYO!AA93+SEMBULUNG!AC93+SRATEN!AB93+TAMANAGUNG!AH93+TAMPO!AB93</f>
        <v>127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BENCULUK!AS94+CLURING!AL94+KALIPLOSO!Q94+PLAMPANGREJO!AE94+SARIMULYO!AA94+SEMBULUNG!AC94+SRATEN!AB94+TAMANAGUNG!AH94+TAMPO!AB94</f>
        <v>217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BENCULUK!AS95+CLURING!AL95+KALIPLOSO!Q95+PLAMPANGREJO!AE95+SARIMULYO!AA95+SEMBULUNG!AC95+SRATEN!AB95+TAMANAGUNG!AH95+TAMPO!AB95</f>
        <v>458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BENCULUK!AS96+CLURING!AL96+KALIPLOSO!Q96+PLAMPANGREJO!AE96+SARIMULYO!AA96+SEMBULUNG!AC96+SRATEN!AB96+TAMANAGUNG!AH96+TAMPO!AB96</f>
        <v>23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BENCULUK!AS97+CLURING!AL97+KALIPLOSO!Q97+PLAMPANGREJO!AE97+SARIMULYO!AA97+SEMBULUNG!AC97+SRATEN!AB97+TAMANAGUNG!AH97+TAMPO!AB97</f>
        <v>208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BENCULUK!AS98+CLURING!AL98+KALIPLOSO!Q98+PLAMPANGREJO!AE98+SARIMULYO!AA98+SEMBULUNG!AC98+SRATEN!AB98+TAMANAGUNG!AH98+TAMPO!AB98</f>
        <v>61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BENCULUK!AS99+CLURING!AL99+KALIPLOSO!Q99+PLAMPANGREJO!AE99+SARIMULYO!AA99+SEMBULUNG!AC99+SRATEN!AB99+TAMANAGUNG!AH99+TAMPO!AB99</f>
        <v>4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BENCULUK!AS100+CLURING!AL100+KALIPLOSO!Q100+PLAMPANGREJO!AE100+SARIMULYO!AA100+SEMBULUNG!AC100+SRATEN!AB100+TAMANAGUNG!AH100+TAMPO!AB100</f>
        <v>1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1099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BENCULUK!AS105+CLURING!AL105+KALIPLOSO!Q105+PLAMPANGREJO!AE105+SARIMULYO!AA105+SEMBULUNG!AC105+SRATEN!AB105+TAMANAGUNG!AH105+TAMPO!AB105</f>
        <v>61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BENCULUK!AS106+CLURING!AL106+KALIPLOSO!Q106+PLAMPANGREJO!AE106+SARIMULYO!AA106+SEMBULUNG!AC106+SRATEN!AB106+TAMANAGUNG!AH106+TAMPO!AB106</f>
        <v>30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BENCULUK!AS107+CLURING!AL107+KALIPLOSO!Q107+PLAMPANGREJO!AE107+SARIMULYO!AA107+SEMBULUNG!AC107+SRATEN!AB107+TAMANAGUNG!AH107+TAMPO!AB107</f>
        <v>24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BENCULUK!AS108+CLURING!AL108+KALIPLOSO!Q108+PLAMPANGREJO!AE108+SARIMULYO!AA108+SEMBULUNG!AC108+SRATEN!AB108+TAMANAGUNG!AH108+TAMPO!AB108</f>
        <v>10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BENCULUK!AS109+CLURING!AL109+KALIPLOSO!Q109+PLAMPANGREJO!AE109+SARIMULYO!AA109+SEMBULUNG!AC109+SRATEN!AB109+TAMANAGUNG!AH109+TAMPO!AB109</f>
        <v>5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BENCULUK!AS110+CLURING!AL110+KALIPLOSO!Q110+PLAMPANGREJO!AE110+SARIMULYO!AA110+SEMBULUNG!AC110+SRATEN!AB110+TAMANAGUNG!AH110+TAMPO!AB110</f>
        <v>2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BENCULUK!AS111+CLURING!AL111+KALIPLOSO!Q111+PLAMPANGREJO!AE111+SARIMULYO!AA111+SEMBULUNG!AC111+SRATEN!AB111+TAMANAGUNG!AH111+TAMPO!AB111</f>
        <v>8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BENCULUK!AS112+CLURING!AL112+KALIPLOSO!Q112+PLAMPANGREJO!AE112+SARIMULYO!AA112+SEMBULUNG!AC112+SRATEN!AB112+TAMANAGUNG!AH112+TAMPO!AB112</f>
        <v>2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142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BENCULUK!AS117+CLURING!AL117+KALIPLOSO!Q117+PLAMPANGREJO!AE117+SARIMULYO!AA117+SEMBULUNG!AC117+SRATEN!AB117+TAMANAGUNG!AH117+TAMPO!AB117</f>
        <v>54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BENCULUK!AS118+CLURING!AL118+KALIPLOSO!Q118+PLAMPANGREJO!AE118+SARIMULYO!AA118+SEMBULUNG!AC118+SRATEN!AB118+TAMANAGUNG!AH118+TAMPO!AB118</f>
        <v>29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BENCULUK!AS119+CLURING!AL119+KALIPLOSO!Q119+PLAMPANGREJO!AE119+SARIMULYO!AA119+SEMBULUNG!AC119+SRATEN!AB119+TAMANAGUNG!AH119+TAMPO!AB119</f>
        <v>10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BENCULUK!AS120+CLURING!AL120+KALIPLOSO!Q120+PLAMPANGREJO!AE120+SARIMULYO!AA120+SEMBULUNG!AC120+SRATEN!AB120+TAMANAGUNG!AH120+TAMPO!AB120</f>
        <v>9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102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BENCULUK!AS129+CLURING!AL129+KALIPLOSO!Q129+PLAMPANGREJO!AE129+SARIMULYO!AA129+SEMBULUNG!AC129+SRATEN!AB129+TAMANAGUNG!AH129+TAMPO!AB129</f>
        <v>93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BENCULUK!AS130+CLURING!AL130+KALIPLOSO!Q130+PLAMPANGREJO!AE130+SARIMULYO!AA130+SEMBULUNG!AC130+SRATEN!AB130+TAMANAGUNG!AH130+TAMPO!AB130</f>
        <v>119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BENCULUK!AS131+CLURING!AL131+KALIPLOSO!Q131+PLAMPANGREJO!AE131+SARIMULYO!AA131+SEMBULUNG!AC131+SRATEN!AB131+TAMANAGUNG!AH131+TAMPO!AB131</f>
        <v>77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BENCULUK!AS132+CLURING!AL132+KALIPLOSO!Q132+PLAMPANGREJO!AE132+SARIMULYO!AA132+SEMBULUNG!AC132+SRATEN!AB132+TAMANAGUNG!AH132+TAMPO!AB132</f>
        <v>14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BENCULUK!AS133+CLURING!AL133+KALIPLOSO!Q133+PLAMPANGREJO!AE133+SARIMULYO!AA133+SEMBULUNG!AC133+SRATEN!AB133+TAMANAGUNG!AH133+TAMPO!AB133</f>
        <v>9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BENCULUK!AS134+CLURING!AL134+KALIPLOSO!Q134+PLAMPANGREJO!AE134+SARIMULYO!AA134+SEMBULUNG!AC134+SRATEN!AB134+TAMANAGUNG!AH134+TAMPO!AB134</f>
        <v>7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BENCULUK!AS135+CLURING!AL135+KALIPLOSO!Q135+PLAMPANGREJO!AE135+SARIMULYO!AA135+SEMBULUNG!AC135+SRATEN!AB135+TAMANAGUNG!AH135+TAMPO!AB135</f>
        <v>3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BENCULUK!AS136+CLURING!AL136+KALIPLOSO!Q136+PLAMPANGREJO!AE136+SARIMULYO!AA136+SEMBULUNG!AC136+SRATEN!AB136+TAMANAGUNG!AH136+TAMPO!AB136</f>
        <v>3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325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BENCULUK!AS141+CLURING!AL141+KALIPLOSO!Q141+PLAMPANGREJO!AE141+SARIMULYO!AA141+SEMBULUNG!AC141+SRATEN!AB141+TAMANAGUNG!AH141+TAMPO!AB141</f>
        <v>7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BENCULUK!AS142+CLURING!AL142+KALIPLOSO!Q142+PLAMPANGREJO!AE142+SARIMULYO!AA142+SEMBULUNG!AC142+SRATEN!AB142+TAMANAGUNG!AH142+TAMPO!AB142</f>
        <v>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BENCULUK!AS143+CLURING!AL143+KALIPLOSO!Q143+PLAMPANGREJO!AE143+SARIMULYO!AA143+SEMBULUNG!AC143+SRATEN!AB143+TAMANAGUNG!AH143+TAMPO!AB143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BENCULUK!AS144+CLURING!AL144+KALIPLOSO!Q144+PLAMPANGREJO!AE144+SARIMULYO!AA144+SEMBULUNG!AC144+SRATEN!AB144+TAMANAGUNG!AH144+TAMPO!AB144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BENCULUK!AS145+CLURING!AL145+KALIPLOSO!Q145+PLAMPANGREJO!AE145+SARIMULYO!AA145+SEMBULUNG!AC145+SRATEN!AB145+TAMANAGUNG!AH145+TAMPO!AB145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BENCULUK!AS146+CLURING!AL146+KALIPLOSO!Q146+PLAMPANGREJO!AE146+SARIMULYO!AA146+SEMBULUNG!AC146+SRATEN!AB146+TAMANAGUNG!AH146+TAMPO!AB146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BENCULUK!AS147+CLURING!AL147+KALIPLOSO!Q147+PLAMPANGREJO!AE147+SARIMULYO!AA147+SEMBULUNG!AC147+SRATEN!AB147+TAMANAGUNG!AH147+TAMPO!AB147</f>
        <v>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BENCULUK!AS148+CLURING!AL148+KALIPLOSO!Q148+PLAMPANGREJO!AE148+SARIMULYO!AA148+SEMBULUNG!AC148+SRATEN!AB148+TAMANAGUNG!AH148+TAMPO!AB148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16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BENCULUK!AS153+CLURING!AL153+KALIPLOSO!Q153+PLAMPANGREJO!AE153+SARIMULYO!AA153+SEMBULUNG!AC153+SRATEN!AB153+TAMANAGUNG!AH153+TAMPO!AB153</f>
        <v>20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BENCULUK!AS154+CLURING!AL154+KALIPLOSO!Q154+PLAMPANGREJO!AE154+SARIMULYO!AA154+SEMBULUNG!AC154+SRATEN!AB154+TAMANAGUNG!AH154+TAMPO!AB154</f>
        <v>12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BENCULUK!AS155+CLURING!AL155+KALIPLOSO!Q155+PLAMPANGREJO!AE155+SARIMULYO!AA155+SEMBULUNG!AC155+SRATEN!AB155+TAMANAGUNG!AH155+TAMPO!AB155</f>
        <v>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BENCULUK!AS156+CLURING!AL156+KALIPLOSO!Q156+PLAMPANGREJO!AE156+SARIMULYO!AA156+SEMBULUNG!AC156+SRATEN!AB156+TAMANAGUNG!AH156+TAMPO!AB156</f>
        <v>2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BENCULUK!AS157+CLURING!AL157+KALIPLOSO!Q157+PLAMPANGREJO!AE157+SARIMULYO!AA157+SEMBULUNG!AC157+SRATEN!AB157+TAMANAGUNG!AH157+TAMPO!AB157</f>
        <v>32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71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BENCULUK!AS165+CLURING!AL165+KALIPLOSO!Q165+PLAMPANGREJO!AE165+SARIMULYO!AA165+SEMBULUNG!AC165+SRATEN!AB165+TAMANAGUNG!AH165+TAMPO!AB165</f>
        <v>29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BENCULUK!AS166+CLURING!AL166+KALIPLOSO!Q166+PLAMPANGREJO!AE166+SARIMULYO!AA166+SEMBULUNG!AC166+SRATEN!AB166+TAMANAGUNG!AH166+TAMPO!AB166</f>
        <v>17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BENCULUK!AS167+CLURING!AL167+KALIPLOSO!Q167+PLAMPANGREJO!AE167+SARIMULYO!AA167+SEMBULUNG!AC167+SRATEN!AB167+TAMANAGUNG!AH167+TAMPO!AB167</f>
        <v>10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BENCULUK!AS168+CLURING!AL168+KALIPLOSO!Q168+PLAMPANGREJO!AE168+SARIMULYO!AA168+SEMBULUNG!AC168+SRATEN!AB168+TAMANAGUNG!AH168+TAMPO!AB168</f>
        <v>13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BENCULUK!AS169+CLURING!AL169+KALIPLOSO!Q169+PLAMPANGREJO!AE169+SARIMULYO!AA169+SEMBULUNG!AC169+SRATEN!AB169+TAMANAGUNG!AH169+TAMPO!AB169</f>
        <v>4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BENCULUK!AS170+CLURING!AL170+KALIPLOSO!Q170+PLAMPANGREJO!AE170+SARIMULYO!AA170+SEMBULUNG!AC170+SRATEN!AB170+TAMANAGUNG!AH170+TAMPO!AB170</f>
        <v>3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BENCULUK!AS171+CLURING!AL171+KALIPLOSO!Q171+PLAMPANGREJO!AE171+SARIMULYO!AA171+SEMBULUNG!AC171+SRATEN!AB171+TAMANAGUNG!AH171+TAMPO!AB171</f>
        <v>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BENCULUK!AS172+CLURING!AL172+KALIPLOSO!Q172+PLAMPANGREJO!AE172+SARIMULYO!AA172+SEMBULUNG!AC172+SRATEN!AB172+TAMANAGUNG!AH172+TAMPO!AB172</f>
        <v>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79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BENCULUK!AS177+CLURING!AL177+KALIPLOSO!Q177+PLAMPANGREJO!AE177+SARIMULYO!AA177+SEMBULUNG!AC177+SRATEN!AB177+TAMANAGUNG!AH177+TAMPO!AB177</f>
        <v>86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BENCULUK!AS178+CLURING!AL178+KALIPLOSO!Q178+PLAMPANGREJO!AE178+SARIMULYO!AA178+SEMBULUNG!AC178+SRATEN!AB178+TAMANAGUNG!AH178+TAMPO!AB178</f>
        <v>62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BENCULUK!AS179+CLURING!AL179+KALIPLOSO!Q179+PLAMPANGREJO!AE179+SARIMULYO!AA179+SEMBULUNG!AC179+SRATEN!AB179+TAMANAGUNG!AH179+TAMPO!AB179</f>
        <v>55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BENCULUK!AS180+CLURING!AL180+KALIPLOSO!Q180+PLAMPANGREJO!AE180+SARIMULYO!AA180+SEMBULUNG!AC180+SRATEN!AB180+TAMANAGUNG!AH180+TAMPO!AB180</f>
        <v>28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BENCULUK!AS181+CLURING!AL181+KALIPLOSO!Q181+PLAMPANGREJO!AE181+SARIMULYO!AA181+SEMBULUNG!AC181+SRATEN!AB181+TAMANAGUNG!AH181+TAMPO!AB181</f>
        <v>26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BENCULUK!AS182+CLURING!AL182+KALIPLOSO!Q182+PLAMPANGREJO!AE182+SARIMULYO!AA182+SEMBULUNG!AC182+SRATEN!AB182+TAMANAGUNG!AH182+TAMPO!AB182</f>
        <v>5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BENCULUK!AS183+CLURING!AL183+KALIPLOSO!Q183+PLAMPANGREJO!AE183+SARIMULYO!AA183+SEMBULUNG!AC183+SRATEN!AB183+TAMANAGUNG!AH183+TAMPO!AB183</f>
        <v>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BENCULUK!AS184+CLURING!AL184+KALIPLOSO!Q184+PLAMPANGREJO!AE184+SARIMULYO!AA184+SEMBULUNG!AC184+SRATEN!AB184+TAMANAGUNG!AH184+TAMPO!AB184</f>
        <v>34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300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BENCULUK!AS189+CLURING!AL189+KALIPLOSO!Q189+PLAMPANGREJO!AE189+SARIMULYO!AA189+SEMBULUNG!AC189+SRATEN!AB189+TAMANAGUNG!AH189+TAMPO!AB189</f>
        <v>12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BENCULUK!AS190+CLURING!AL190+KALIPLOSO!Q190+PLAMPANGREJO!AE190+SARIMULYO!AA190+SEMBULUNG!AC190+SRATEN!AB190+TAMANAGUNG!AH190+TAMPO!AB190</f>
        <v>5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BENCULUK!AS191+CLURING!AL191+KALIPLOSO!Q191+PLAMPANGREJO!AE191+SARIMULYO!AA191+SEMBULUNG!AC191+SRATEN!AB191+TAMANAGUNG!AH191+TAMPO!AB191</f>
        <v>7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BENCULUK!AS192+CLURING!AL192+KALIPLOSO!Q192+PLAMPANGREJO!AE192+SARIMULYO!AA192+SEMBULUNG!AC192+SRATEN!AB192+TAMANAGUNG!AH192+TAMPO!AB192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BENCULUK!AS193+CLURING!AL193+KALIPLOSO!Q193+PLAMPANGREJO!AE193+SARIMULYO!AA193+SEMBULUNG!AC193+SRATEN!AB193+TAMANAGUNG!AH193+TAMPO!AB193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BENCULUK!AS194+CLURING!AL194+KALIPLOSO!Q194+PLAMPANGREJO!AE194+SARIMULYO!AA194+SEMBULUNG!AC194+SRATEN!AB194+TAMANAGUNG!AH194+TAMPO!AB194</f>
        <v>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BENCULUK!AS195+CLURING!AL195+KALIPLOSO!Q195+PLAMPANGREJO!AE195+SARIMULYO!AA195+SEMBULUNG!AC195+SRATEN!AB195+TAMANAGUNG!AH195+TAMPO!AB195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BENCULUK!AS196+CLURING!AL196+KALIPLOSO!Q196+PLAMPANGREJO!AE196+SARIMULYO!AA196+SEMBULUNG!AC196+SRATEN!AB196+TAMANAGUNG!AH196+TAMPO!AB196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33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BENCULUK!AS201+CLURING!AL201+KALIPLOSO!Q201+PLAMPANGREJO!AE201+SARIMULYO!AA201+SEMBULUNG!AC201+SRATEN!AB201+TAMANAGUNG!AH201+TAMPO!AB201</f>
        <v>472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BENCULUK!AS202+CLURING!AL202+KALIPLOSO!Q202+PLAMPANGREJO!AE202+SARIMULYO!AA202+SEMBULUNG!AC202+SRATEN!AB202+TAMANAGUNG!AH202+TAMPO!AB202</f>
        <v>874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BENCULUK!AS203+CLURING!AL203+KALIPLOSO!Q203+PLAMPANGREJO!AE203+SARIMULYO!AA203+SEMBULUNG!AC203+SRATEN!AB203+TAMANAGUNG!AH203+TAMPO!AB203</f>
        <v>249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BENCULUK!AS204+CLURING!AL204+KALIPLOSO!Q204+PLAMPANGREJO!AE204+SARIMULYO!AA204+SEMBULUNG!AC204+SRATEN!AB204+TAMANAGUNG!AH204+TAMPO!AB204</f>
        <v>78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BENCULUK!AS205+CLURING!AL205+KALIPLOSO!Q205+PLAMPANGREJO!AE205+SARIMULYO!AA205+SEMBULUNG!AC205+SRATEN!AB205+TAMANAGUNG!AH205+TAMPO!AB205</f>
        <v>321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BENCULUK!AS206+CLURING!AL206+KALIPLOSO!Q206+PLAMPANGREJO!AE206+SARIMULYO!AA206+SEMBULUNG!AC206+SRATEN!AB206+TAMANAGUNG!AH206+TAMPO!AB206</f>
        <v>36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BENCULUK!AS207+CLURING!AL207+KALIPLOSO!Q207+PLAMPANGREJO!AE207+SARIMULYO!AA207+SEMBULUNG!AC207+SRATEN!AB207+TAMANAGUNG!AH207+TAMPO!AB207</f>
        <v>17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BENCULUK!AS208+CLURING!AL208+KALIPLOSO!Q208+PLAMPANGREJO!AE208+SARIMULYO!AA208+SEMBULUNG!AC208+SRATEN!AB208+TAMANAGUNG!AH208+TAMPO!AB208</f>
        <v>38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2085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BENCULUK!AS213+CLURING!AL213+KALIPLOSO!Q213+PLAMPANGREJO!AE213+SARIMULYO!AA213+SEMBULUNG!AC213+SRATEN!AB213+TAMANAGUNG!AH213+TAMPO!AB213</f>
        <v>267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BENCULUK!AS214+CLURING!AL214+KALIPLOSO!Q214+PLAMPANGREJO!AE214+SARIMULYO!AA214+SEMBULUNG!AC214+SRATEN!AB214+TAMANAGUNG!AH214+TAMPO!AB214</f>
        <v>356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BENCULUK!AS215+CLURING!AL215+KALIPLOSO!Q215+PLAMPANGREJO!AE215+SARIMULYO!AA215+SEMBULUNG!AC215+SRATEN!AB215+TAMANAGUNG!AH215+TAMPO!AB215</f>
        <v>333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BENCULUK!AS216+CLURING!AL216+KALIPLOSO!Q216+PLAMPANGREJO!AE216+SARIMULYO!AA216+SEMBULUNG!AC216+SRATEN!AB216+TAMANAGUNG!AH216+TAMPO!AB216</f>
        <v>34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BENCULUK!AS217+CLURING!AL217+KALIPLOSO!Q217+PLAMPANGREJO!AE217+SARIMULYO!AA217+SEMBULUNG!AC217+SRATEN!AB217+TAMANAGUNG!AH217+TAMPO!AB217</f>
        <v>14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BENCULUK!AS218+CLURING!AL218+KALIPLOSO!Q218+PLAMPANGREJO!AE218+SARIMULYO!AA218+SEMBULUNG!AC218+SRATEN!AB218+TAMANAGUNG!AH218+TAMPO!AB218</f>
        <v>20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BENCULUK!AS219+CLURING!AL219+KALIPLOSO!Q219+PLAMPANGREJO!AE219+SARIMULYO!AA219+SEMBULUNG!AC219+SRATEN!AB219+TAMANAGUNG!AH219+TAMPO!AB219</f>
        <v>21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BENCULUK!AS220+CLURING!AL220+KALIPLOSO!Q220+PLAMPANGREJO!AE220+SARIMULYO!AA220+SEMBULUNG!AC220+SRATEN!AB220+TAMANAGUNG!AH220+TAMPO!AB220</f>
        <v>20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1065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BENCULUK!AS225+CLURING!AL225+KALIPLOSO!Q225+PLAMPANGREJO!AE225+SARIMULYO!AA225+SEMBULUNG!AC225+SRATEN!AB225+TAMANAGUNG!AH225+TAMPO!AB225</f>
        <v>29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BENCULUK!AS226+CLURING!AL226+KALIPLOSO!Q226+PLAMPANGREJO!AE226+SARIMULYO!AA226+SEMBULUNG!AC226+SRATEN!AB226+TAMANAGUNG!AH226+TAMPO!AB226</f>
        <v>101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BENCULUK!AS227+CLURING!AL227+KALIPLOSO!Q227+PLAMPANGREJO!AE227+SARIMULYO!AA227+SEMBULUNG!AC227+SRATEN!AB227+TAMANAGUNG!AH227+TAMPO!AB227</f>
        <v>9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BENCULUK!AS228+CLURING!AL228+KALIPLOSO!Q228+PLAMPANGREJO!AE228+SARIMULYO!AA228+SEMBULUNG!AC228+SRATEN!AB228+TAMANAGUNG!AH228+TAMPO!AB228</f>
        <v>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BENCULUK!AS229+CLURING!AL229+KALIPLOSO!Q229+PLAMPANGREJO!AE229+SARIMULYO!AA229+SEMBULUNG!AC229+SRATEN!AB229+TAMANAGUNG!AH229+TAMPO!AB229</f>
        <v>2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BENCULUK!AS230+CLURING!AL230+KALIPLOSO!Q230+PLAMPANGREJO!AE230+SARIMULYO!AA230+SEMBULUNG!AC230+SRATEN!AB230+TAMANAGUNG!AH230+TAMPO!AB230</f>
        <v>2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BENCULUK!AS231+CLURING!AL231+KALIPLOSO!Q231+PLAMPANGREJO!AE231+SARIMULYO!AA231+SEMBULUNG!AC231+SRATEN!AB231+TAMANAGUNG!AH231+TAMPO!AB231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BENCULUK!AS232+CLURING!AL232+KALIPLOSO!Q232+PLAMPANGREJO!AE232+SARIMULYO!AA232+SEMBULUNG!AC232+SRATEN!AB232+TAMANAGUNG!AH232+TAMPO!AB232</f>
        <v>105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254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BENCULUK!AS237+CLURING!AL237+KALIPLOSO!Q237+PLAMPANGREJO!AE237+SARIMULYO!AA237+SEMBULUNG!AC237+SRATEN!AB237+TAMANAGUNG!AH237+TAMPO!AB237</f>
        <v>199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BENCULUK!AS238+CLURING!AL238+KALIPLOSO!Q238+PLAMPANGREJO!AE238+SARIMULYO!AA238+SEMBULUNG!AC238+SRATEN!AB238+TAMANAGUNG!AH238+TAMPO!AB238</f>
        <v>110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BENCULUK!AS239+CLURING!AL239+KALIPLOSO!Q239+PLAMPANGREJO!AE239+SARIMULYO!AA239+SEMBULUNG!AC239+SRATEN!AB239+TAMANAGUNG!AH239+TAMPO!AB239</f>
        <v>249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BENCULUK!AS240+CLURING!AL240+KALIPLOSO!Q240+PLAMPANGREJO!AE240+SARIMULYO!AA240+SEMBULUNG!AC240+SRATEN!AB240+TAMANAGUNG!AH240+TAMPO!AB240</f>
        <v>57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BENCULUK!AS241+CLURING!AL241+KALIPLOSO!Q241+PLAMPANGREJO!AE241+SARIMULYO!AA241+SEMBULUNG!AC241+SRATEN!AB241+TAMANAGUNG!AH241+TAMPO!AB241</f>
        <v>32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BENCULUK!AS242+CLURING!AL242+KALIPLOSO!Q242+PLAMPANGREJO!AE242+SARIMULYO!AA242+SEMBULUNG!AC242+SRATEN!AB242+TAMANAGUNG!AH242+TAMPO!AB242</f>
        <v>9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BENCULUK!AS243+CLURING!AL243+KALIPLOSO!Q243+PLAMPANGREJO!AE243+SARIMULYO!AA243+SEMBULUNG!AC243+SRATEN!AB243+TAMANAGUNG!AH243+TAMPO!AB243</f>
        <v>51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BENCULUK!AS244+CLURING!AL244+KALIPLOSO!Q244+PLAMPANGREJO!AE244+SARIMULYO!AA244+SEMBULUNG!AC244+SRATEN!AB244+TAMANAGUNG!AH244+TAMPO!AB244</f>
        <v>782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1489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BENCULUK!AS249+CLURING!AL249+KALIPLOSO!Q249+PLAMPANGREJO!AE249+SARIMULYO!AA249+SEMBULUNG!AC249+SRATEN!AB249+TAMANAGUNG!AH249+TAMPO!AB249</f>
        <v>29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BENCULUK!AS250+CLURING!AL250+KALIPLOSO!Q250+PLAMPANGREJO!AE250+SARIMULYO!AA250+SEMBULUNG!AC250+SRATEN!AB250+TAMANAGUNG!AH250+TAMPO!AB250</f>
        <v>30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BENCULUK!AS251+CLURING!AL251+KALIPLOSO!Q251+PLAMPANGREJO!AE251+SARIMULYO!AA251+SEMBULUNG!AC251+SRATEN!AB251+TAMANAGUNG!AH251+TAMPO!AB251</f>
        <v>7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BENCULUK!AS252+CLURING!AL252+KALIPLOSO!Q252+PLAMPANGREJO!AE252+SARIMULYO!AA252+SEMBULUNG!AC252+SRATEN!AB252+TAMANAGUNG!AH252+TAMPO!AB252</f>
        <v>4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BENCULUK!AS253+CLURING!AL253+KALIPLOSO!Q253+PLAMPANGREJO!AE253+SARIMULYO!AA253+SEMBULUNG!AC253+SRATEN!AB253+TAMANAGUNG!AH253+TAMPO!AB253</f>
        <v>1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BENCULUK!AS254+CLURING!AL254+KALIPLOSO!Q254+PLAMPANGREJO!AE254+SARIMULYO!AA254+SEMBULUNG!AC254+SRATEN!AB254+TAMANAGUNG!AH254+TAMPO!AB254</f>
        <v>10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BENCULUK!AS255+CLURING!AL255+KALIPLOSO!Q255+PLAMPANGREJO!AE255+SARIMULYO!AA255+SEMBULUNG!AC255+SRATEN!AB255+TAMANAGUNG!AH255+TAMPO!AB255</f>
        <v>7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88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BENCULUK!AS262+CLURING!AL262+KALIPLOSO!Q262+PLAMPANGREJO!AE262+SARIMULYO!AA262+SEMBULUNG!AC262+SRATEN!AB262+TAMANAGUNG!AH262+TAMPO!AB262</f>
        <v>31881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BENCULUK!AS263+CLURING!AL263+KALIPLOSO!Q263+PLAMPANGREJO!AE263+SARIMULYO!AA263+SEMBULUNG!AC263+SRATEN!AB263+TAMANAGUNG!AH263+TAMPO!AB263</f>
        <v>2974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34855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  <col customWidth="1" min="46" max="4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3">
        <f t="shared" ref="AS14:AS16" si="1">SUM(E14:AR14)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2"/>
        <v>0</v>
      </c>
      <c r="AM16" s="13">
        <f t="shared" si="2"/>
        <v>0</v>
      </c>
      <c r="AN16" s="13">
        <f t="shared" si="2"/>
        <v>0</v>
      </c>
      <c r="AO16" s="13">
        <f t="shared" si="2"/>
        <v>0</v>
      </c>
      <c r="AP16" s="13">
        <f t="shared" si="2"/>
        <v>0</v>
      </c>
      <c r="AQ16" s="13">
        <f t="shared" si="2"/>
        <v>0</v>
      </c>
      <c r="AR16" s="13">
        <f t="shared" si="2"/>
        <v>0</v>
      </c>
      <c r="AS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3">
        <f t="shared" ref="AS19:AS30" si="3">SUM(E19:AR19)</f>
        <v>0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3">
        <f t="shared" si="3"/>
        <v>0</v>
      </c>
    </row>
    <row r="21" ht="12.75" customHeight="1">
      <c r="A21" s="35"/>
      <c r="B21" s="28"/>
      <c r="C21" s="36"/>
      <c r="D21" s="13" t="s">
        <v>14</v>
      </c>
      <c r="E21" s="13">
        <f t="shared" ref="E21:AR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0</v>
      </c>
      <c r="AJ21" s="13">
        <f t="shared" si="4"/>
        <v>0</v>
      </c>
      <c r="AK21" s="13">
        <f t="shared" si="4"/>
        <v>0</v>
      </c>
      <c r="AL21" s="13">
        <f t="shared" si="4"/>
        <v>0</v>
      </c>
      <c r="AM21" s="13">
        <f t="shared" si="4"/>
        <v>0</v>
      </c>
      <c r="AN21" s="13">
        <f t="shared" si="4"/>
        <v>0</v>
      </c>
      <c r="AO21" s="13">
        <f t="shared" si="4"/>
        <v>0</v>
      </c>
      <c r="AP21" s="13">
        <f t="shared" si="4"/>
        <v>0</v>
      </c>
      <c r="AQ21" s="13">
        <f t="shared" si="4"/>
        <v>0</v>
      </c>
      <c r="AR21" s="13">
        <f t="shared" si="4"/>
        <v>0</v>
      </c>
      <c r="AS21" s="13">
        <f t="shared" si="3"/>
        <v>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A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R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7"/>
        <v>0</v>
      </c>
      <c r="AG28" s="13">
        <f t="shared" si="7"/>
        <v>0</v>
      </c>
      <c r="AH28" s="13">
        <f t="shared" si="7"/>
        <v>0</v>
      </c>
      <c r="AI28" s="13">
        <f t="shared" si="7"/>
        <v>0</v>
      </c>
      <c r="AJ28" s="13">
        <f t="shared" si="7"/>
        <v>0</v>
      </c>
      <c r="AK28" s="13">
        <f t="shared" si="7"/>
        <v>0</v>
      </c>
      <c r="AL28" s="13">
        <f t="shared" si="7"/>
        <v>0</v>
      </c>
      <c r="AM28" s="13">
        <f t="shared" si="7"/>
        <v>0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0</v>
      </c>
      <c r="AS28" s="13">
        <f t="shared" si="3"/>
        <v>0</v>
      </c>
    </row>
    <row r="29" ht="12.75" customHeight="1">
      <c r="A29" s="35"/>
      <c r="B29" s="27"/>
      <c r="C29" s="34"/>
      <c r="D29" s="13" t="s">
        <v>13</v>
      </c>
      <c r="E29" s="13">
        <f t="shared" ref="E29:AR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8"/>
        <v>0</v>
      </c>
      <c r="AG29" s="13">
        <f t="shared" si="8"/>
        <v>0</v>
      </c>
      <c r="AH29" s="13">
        <f t="shared" si="8"/>
        <v>0</v>
      </c>
      <c r="AI29" s="13">
        <f t="shared" si="8"/>
        <v>0</v>
      </c>
      <c r="AJ29" s="13">
        <f t="shared" si="8"/>
        <v>0</v>
      </c>
      <c r="AK29" s="13">
        <f t="shared" si="8"/>
        <v>0</v>
      </c>
      <c r="AL29" s="13">
        <f t="shared" si="8"/>
        <v>0</v>
      </c>
      <c r="AM29" s="13">
        <f t="shared" si="8"/>
        <v>0</v>
      </c>
      <c r="AN29" s="13">
        <f t="shared" si="8"/>
        <v>0</v>
      </c>
      <c r="AO29" s="13">
        <f t="shared" si="8"/>
        <v>0</v>
      </c>
      <c r="AP29" s="13">
        <f t="shared" si="8"/>
        <v>0</v>
      </c>
      <c r="AQ29" s="13">
        <f t="shared" si="8"/>
        <v>0</v>
      </c>
      <c r="AR29" s="13">
        <f t="shared" si="8"/>
        <v>0</v>
      </c>
      <c r="AS29" s="13">
        <f t="shared" si="3"/>
        <v>0</v>
      </c>
    </row>
    <row r="30" ht="12.75" customHeight="1">
      <c r="A30" s="35"/>
      <c r="B30" s="28"/>
      <c r="C30" s="36"/>
      <c r="D30" s="13" t="s">
        <v>14</v>
      </c>
      <c r="E30" s="13">
        <f t="shared" ref="E30:AR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9"/>
        <v>0</v>
      </c>
      <c r="AG30" s="13">
        <f t="shared" si="9"/>
        <v>0</v>
      </c>
      <c r="AH30" s="13">
        <f t="shared" si="9"/>
        <v>0</v>
      </c>
      <c r="AI30" s="13">
        <f t="shared" si="9"/>
        <v>0</v>
      </c>
      <c r="AJ30" s="13">
        <f t="shared" si="9"/>
        <v>0</v>
      </c>
      <c r="AK30" s="13">
        <f t="shared" si="9"/>
        <v>0</v>
      </c>
      <c r="AL30" s="13">
        <f t="shared" si="9"/>
        <v>0</v>
      </c>
      <c r="AM30" s="13">
        <f t="shared" si="9"/>
        <v>0</v>
      </c>
      <c r="AN30" s="13">
        <f t="shared" si="9"/>
        <v>0</v>
      </c>
      <c r="AO30" s="13">
        <f t="shared" si="9"/>
        <v>0</v>
      </c>
      <c r="AP30" s="13">
        <f t="shared" si="9"/>
        <v>0</v>
      </c>
      <c r="AQ30" s="13">
        <f t="shared" si="9"/>
        <v>0</v>
      </c>
      <c r="AR30" s="13">
        <f t="shared" si="9"/>
        <v>0</v>
      </c>
      <c r="AS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8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3">
        <f t="shared" ref="AS33:AS36" si="10">SUM(E33:AR33)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R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0</v>
      </c>
      <c r="AJ36" s="13">
        <f t="shared" si="11"/>
        <v>0</v>
      </c>
      <c r="AK36" s="13">
        <f t="shared" si="11"/>
        <v>0</v>
      </c>
      <c r="AL36" s="13">
        <f t="shared" si="11"/>
        <v>0</v>
      </c>
      <c r="AM36" s="13">
        <f t="shared" si="11"/>
        <v>0</v>
      </c>
      <c r="AN36" s="13">
        <f t="shared" si="11"/>
        <v>0</v>
      </c>
      <c r="AO36" s="13">
        <f t="shared" si="11"/>
        <v>0</v>
      </c>
      <c r="AP36" s="13">
        <f t="shared" si="11"/>
        <v>0</v>
      </c>
      <c r="AQ36" s="13">
        <f t="shared" si="11"/>
        <v>0</v>
      </c>
      <c r="AR36" s="13">
        <f t="shared" si="11"/>
        <v>0</v>
      </c>
      <c r="AS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3">
        <f t="shared" ref="AS39:AS41" si="12">SUM(E39:AR39)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67"/>
      <c r="AG42" s="19"/>
      <c r="AH42" s="67"/>
      <c r="AI42" s="19"/>
      <c r="AJ42" s="67"/>
      <c r="AK42" s="19"/>
      <c r="AL42" s="67"/>
      <c r="AM42" s="19"/>
      <c r="AN42" s="67"/>
      <c r="AO42" s="19"/>
      <c r="AP42" s="67"/>
      <c r="AQ42" s="19"/>
      <c r="AR42" s="67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69"/>
      <c r="AI43" s="13"/>
      <c r="AJ43" s="69"/>
      <c r="AK43" s="13"/>
      <c r="AL43" s="69"/>
      <c r="AM43" s="13"/>
      <c r="AN43" s="69"/>
      <c r="AO43" s="13"/>
      <c r="AP43" s="69"/>
      <c r="AQ43" s="13"/>
      <c r="AR43" s="69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67"/>
      <c r="AG44" s="19"/>
      <c r="AH44" s="67"/>
      <c r="AI44" s="19"/>
      <c r="AJ44" s="67"/>
      <c r="AK44" s="19"/>
      <c r="AL44" s="67"/>
      <c r="AM44" s="19"/>
      <c r="AN44" s="67"/>
      <c r="AO44" s="19"/>
      <c r="AP44" s="67"/>
      <c r="AQ44" s="19"/>
      <c r="AR44" s="67"/>
      <c r="A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3">
        <f t="shared" ref="AS45:AS52" si="14">SUM(E45:AR45)</f>
        <v>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3">
        <f t="shared" si="14"/>
        <v>0</v>
      </c>
    </row>
    <row r="47" ht="12.75" customHeight="1">
      <c r="A47" s="18"/>
      <c r="B47" s="55">
        <v>2.0</v>
      </c>
      <c r="C47" s="50" t="s">
        <v>41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3">
        <f t="shared" si="14"/>
        <v>0</v>
      </c>
    </row>
    <row r="48" ht="12.75" customHeight="1">
      <c r="A48" s="18"/>
      <c r="B48" s="55">
        <v>3.0</v>
      </c>
      <c r="C48" s="50" t="s">
        <v>42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3">
        <f t="shared" si="14"/>
        <v>0</v>
      </c>
    </row>
    <row r="49" ht="12.75" customHeight="1">
      <c r="A49" s="18"/>
      <c r="B49" s="55">
        <v>4.0</v>
      </c>
      <c r="C49" s="50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3">
        <f t="shared" si="14"/>
        <v>0</v>
      </c>
    </row>
    <row r="50" ht="12.75" customHeight="1">
      <c r="A50" s="18"/>
      <c r="B50" s="55">
        <v>5.0</v>
      </c>
      <c r="C50" s="50" t="s">
        <v>44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R55" si="15">SUM(E45:E52)</f>
        <v>0</v>
      </c>
      <c r="F55" s="13">
        <f t="shared" si="15"/>
        <v>0</v>
      </c>
      <c r="G55" s="13">
        <f t="shared" si="15"/>
        <v>0</v>
      </c>
      <c r="H55" s="13">
        <f t="shared" si="15"/>
        <v>0</v>
      </c>
      <c r="I55" s="13">
        <f t="shared" si="15"/>
        <v>0</v>
      </c>
      <c r="J55" s="13">
        <f t="shared" si="15"/>
        <v>0</v>
      </c>
      <c r="K55" s="13">
        <f t="shared" si="15"/>
        <v>0</v>
      </c>
      <c r="L55" s="13">
        <f t="shared" si="15"/>
        <v>0</v>
      </c>
      <c r="M55" s="13">
        <f t="shared" si="15"/>
        <v>0</v>
      </c>
      <c r="N55" s="13">
        <f t="shared" si="15"/>
        <v>0</v>
      </c>
      <c r="O55" s="13">
        <f t="shared" si="15"/>
        <v>0</v>
      </c>
      <c r="P55" s="13">
        <f t="shared" si="15"/>
        <v>0</v>
      </c>
      <c r="Q55" s="13">
        <f t="shared" si="15"/>
        <v>0</v>
      </c>
      <c r="R55" s="13">
        <f t="shared" si="15"/>
        <v>0</v>
      </c>
      <c r="S55" s="13">
        <f t="shared" si="15"/>
        <v>0</v>
      </c>
      <c r="T55" s="13">
        <f t="shared" si="15"/>
        <v>0</v>
      </c>
      <c r="U55" s="13">
        <f t="shared" si="15"/>
        <v>0</v>
      </c>
      <c r="V55" s="13">
        <f t="shared" si="15"/>
        <v>0</v>
      </c>
      <c r="W55" s="13">
        <f t="shared" si="15"/>
        <v>0</v>
      </c>
      <c r="X55" s="13">
        <f t="shared" si="15"/>
        <v>0</v>
      </c>
      <c r="Y55" s="13">
        <f t="shared" si="15"/>
        <v>0</v>
      </c>
      <c r="Z55" s="13">
        <f t="shared" si="15"/>
        <v>0</v>
      </c>
      <c r="AA55" s="13">
        <f t="shared" si="15"/>
        <v>0</v>
      </c>
      <c r="AB55" s="13">
        <f t="shared" si="15"/>
        <v>0</v>
      </c>
      <c r="AC55" s="13">
        <f t="shared" si="15"/>
        <v>0</v>
      </c>
      <c r="AD55" s="13">
        <f t="shared" si="15"/>
        <v>0</v>
      </c>
      <c r="AE55" s="13">
        <f t="shared" si="15"/>
        <v>0</v>
      </c>
      <c r="AF55" s="13">
        <f t="shared" si="15"/>
        <v>0</v>
      </c>
      <c r="AG55" s="13">
        <f t="shared" si="15"/>
        <v>0</v>
      </c>
      <c r="AH55" s="13">
        <f t="shared" si="15"/>
        <v>0</v>
      </c>
      <c r="AI55" s="13">
        <f t="shared" si="15"/>
        <v>0</v>
      </c>
      <c r="AJ55" s="13">
        <f t="shared" si="15"/>
        <v>0</v>
      </c>
      <c r="AK55" s="13">
        <f t="shared" si="15"/>
        <v>0</v>
      </c>
      <c r="AL55" s="13">
        <f t="shared" si="15"/>
        <v>0</v>
      </c>
      <c r="AM55" s="13">
        <f t="shared" si="15"/>
        <v>0</v>
      </c>
      <c r="AN55" s="13">
        <f t="shared" si="15"/>
        <v>0</v>
      </c>
      <c r="AO55" s="13">
        <f t="shared" si="15"/>
        <v>0</v>
      </c>
      <c r="AP55" s="13">
        <f t="shared" si="15"/>
        <v>0</v>
      </c>
      <c r="AQ55" s="13">
        <f t="shared" si="15"/>
        <v>0</v>
      </c>
      <c r="AR55" s="13">
        <f t="shared" si="15"/>
        <v>0</v>
      </c>
      <c r="AS55" s="13">
        <f>SUM(E55:AR55)</f>
        <v>0</v>
      </c>
    </row>
    <row r="56" ht="12.75" customHeight="1">
      <c r="A56" s="45"/>
      <c r="B56" s="44"/>
      <c r="C56" s="44"/>
      <c r="D56" s="44"/>
      <c r="E56" s="44"/>
      <c r="A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3">
        <f t="shared" ref="AS57:AS64" si="16">SUM(E57:AR57)</f>
        <v>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3">
        <f t="shared" si="16"/>
        <v>0</v>
      </c>
    </row>
    <row r="59" ht="12.75" customHeight="1">
      <c r="A59" s="18"/>
      <c r="B59" s="55">
        <v>2.0</v>
      </c>
      <c r="C59" s="50" t="s">
        <v>50</v>
      </c>
      <c r="D59" s="56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3">
        <f t="shared" si="16"/>
        <v>0</v>
      </c>
    </row>
    <row r="60" ht="12.75" customHeight="1">
      <c r="A60" s="18"/>
      <c r="B60" s="55">
        <v>3.0</v>
      </c>
      <c r="C60" s="50" t="s">
        <v>51</v>
      </c>
      <c r="D60" s="56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3">
        <f t="shared" si="16"/>
        <v>0</v>
      </c>
    </row>
    <row r="61" ht="12.75" customHeight="1">
      <c r="A61" s="18"/>
      <c r="B61" s="55">
        <v>4.0</v>
      </c>
      <c r="C61" s="50" t="s">
        <v>52</v>
      </c>
      <c r="D61" s="5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3">
        <f t="shared" si="16"/>
        <v>0</v>
      </c>
    </row>
    <row r="62" ht="12.75" customHeight="1">
      <c r="A62" s="18"/>
      <c r="B62" s="55">
        <v>5.0</v>
      </c>
      <c r="C62" s="50" t="s">
        <v>53</v>
      </c>
      <c r="D62" s="5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3">
        <f t="shared" si="16"/>
        <v>0</v>
      </c>
    </row>
    <row r="64" ht="12.75" customHeight="1">
      <c r="A64" s="18"/>
      <c r="B64" s="55">
        <v>7.0</v>
      </c>
      <c r="C64" s="50" t="s">
        <v>55</v>
      </c>
      <c r="D64" s="5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3">
        <f t="shared" si="16"/>
        <v>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R67" si="17">SUM(E57:E64)</f>
        <v>0</v>
      </c>
      <c r="F67" s="13">
        <f t="shared" si="17"/>
        <v>0</v>
      </c>
      <c r="G67" s="13">
        <f t="shared" si="17"/>
        <v>0</v>
      </c>
      <c r="H67" s="13">
        <f t="shared" si="17"/>
        <v>0</v>
      </c>
      <c r="I67" s="13">
        <f t="shared" si="17"/>
        <v>0</v>
      </c>
      <c r="J67" s="13">
        <f t="shared" si="17"/>
        <v>0</v>
      </c>
      <c r="K67" s="13">
        <f t="shared" si="17"/>
        <v>0</v>
      </c>
      <c r="L67" s="13">
        <f t="shared" si="17"/>
        <v>0</v>
      </c>
      <c r="M67" s="13">
        <f t="shared" si="17"/>
        <v>0</v>
      </c>
      <c r="N67" s="13">
        <f t="shared" si="17"/>
        <v>0</v>
      </c>
      <c r="O67" s="13">
        <f t="shared" si="17"/>
        <v>0</v>
      </c>
      <c r="P67" s="13">
        <f t="shared" si="17"/>
        <v>0</v>
      </c>
      <c r="Q67" s="13">
        <f t="shared" si="17"/>
        <v>0</v>
      </c>
      <c r="R67" s="13">
        <f t="shared" si="17"/>
        <v>0</v>
      </c>
      <c r="S67" s="13">
        <f t="shared" si="17"/>
        <v>0</v>
      </c>
      <c r="T67" s="13">
        <f t="shared" si="17"/>
        <v>0</v>
      </c>
      <c r="U67" s="13">
        <f t="shared" si="17"/>
        <v>0</v>
      </c>
      <c r="V67" s="13">
        <f t="shared" si="17"/>
        <v>0</v>
      </c>
      <c r="W67" s="13">
        <f t="shared" si="17"/>
        <v>0</v>
      </c>
      <c r="X67" s="13">
        <f t="shared" si="17"/>
        <v>0</v>
      </c>
      <c r="Y67" s="13">
        <f t="shared" si="17"/>
        <v>0</v>
      </c>
      <c r="Z67" s="13">
        <f t="shared" si="17"/>
        <v>0</v>
      </c>
      <c r="AA67" s="13">
        <f t="shared" si="17"/>
        <v>0</v>
      </c>
      <c r="AB67" s="13">
        <f t="shared" si="17"/>
        <v>0</v>
      </c>
      <c r="AC67" s="13">
        <f t="shared" si="17"/>
        <v>0</v>
      </c>
      <c r="AD67" s="13">
        <f t="shared" si="17"/>
        <v>0</v>
      </c>
      <c r="AE67" s="13">
        <f t="shared" si="17"/>
        <v>0</v>
      </c>
      <c r="AF67" s="13">
        <f t="shared" si="17"/>
        <v>0</v>
      </c>
      <c r="AG67" s="13">
        <f t="shared" si="17"/>
        <v>0</v>
      </c>
      <c r="AH67" s="13">
        <f t="shared" si="17"/>
        <v>0</v>
      </c>
      <c r="AI67" s="13">
        <f t="shared" si="17"/>
        <v>0</v>
      </c>
      <c r="AJ67" s="13">
        <f t="shared" si="17"/>
        <v>0</v>
      </c>
      <c r="AK67" s="13">
        <f t="shared" si="17"/>
        <v>0</v>
      </c>
      <c r="AL67" s="13">
        <f t="shared" si="17"/>
        <v>0</v>
      </c>
      <c r="AM67" s="13">
        <f t="shared" si="17"/>
        <v>0</v>
      </c>
      <c r="AN67" s="13">
        <f t="shared" si="17"/>
        <v>0</v>
      </c>
      <c r="AO67" s="13">
        <f t="shared" si="17"/>
        <v>0</v>
      </c>
      <c r="AP67" s="13">
        <f t="shared" si="17"/>
        <v>0</v>
      </c>
      <c r="AQ67" s="13">
        <f t="shared" si="17"/>
        <v>0</v>
      </c>
      <c r="AR67" s="13">
        <f t="shared" si="17"/>
        <v>0</v>
      </c>
      <c r="AS67" s="13">
        <f>SUM(E67:AR67)</f>
        <v>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3">
        <f t="shared" ref="AS69:AS76" si="18">SUM(E69:AR69)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5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3">
        <f t="shared" si="18"/>
        <v>0</v>
      </c>
    </row>
    <row r="72" ht="12.75" customHeight="1">
      <c r="A72" s="18"/>
      <c r="B72" s="55">
        <v>3.0</v>
      </c>
      <c r="C72" s="50" t="s">
        <v>59</v>
      </c>
      <c r="D72" s="5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3">
        <f t="shared" si="18"/>
        <v>0</v>
      </c>
    </row>
    <row r="73" ht="12.75" customHeight="1">
      <c r="A73" s="18"/>
      <c r="B73" s="55">
        <v>4.0</v>
      </c>
      <c r="C73" s="50" t="s">
        <v>60</v>
      </c>
      <c r="D73" s="5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3">
        <f t="shared" si="18"/>
        <v>0</v>
      </c>
    </row>
    <row r="74" ht="12.75" customHeight="1">
      <c r="A74" s="18"/>
      <c r="B74" s="55">
        <v>5.0</v>
      </c>
      <c r="C74" s="50" t="s">
        <v>61</v>
      </c>
      <c r="D74" s="5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3">
        <f t="shared" si="18"/>
        <v>0</v>
      </c>
    </row>
    <row r="75" ht="12.75" customHeight="1">
      <c r="A75" s="18"/>
      <c r="B75" s="55">
        <v>6.0</v>
      </c>
      <c r="C75" s="50" t="s">
        <v>62</v>
      </c>
      <c r="D75" s="5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3">
        <f t="shared" si="18"/>
        <v>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R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 t="shared" si="19"/>
        <v>0</v>
      </c>
      <c r="T79" s="13">
        <f t="shared" si="19"/>
        <v>0</v>
      </c>
      <c r="U79" s="13">
        <f t="shared" si="19"/>
        <v>0</v>
      </c>
      <c r="V79" s="13">
        <f t="shared" si="19"/>
        <v>0</v>
      </c>
      <c r="W79" s="13">
        <f t="shared" si="19"/>
        <v>0</v>
      </c>
      <c r="X79" s="13">
        <f t="shared" si="19"/>
        <v>0</v>
      </c>
      <c r="Y79" s="13">
        <f t="shared" si="19"/>
        <v>0</v>
      </c>
      <c r="Z79" s="13">
        <f t="shared" si="19"/>
        <v>0</v>
      </c>
      <c r="AA79" s="13">
        <f t="shared" si="19"/>
        <v>0</v>
      </c>
      <c r="AB79" s="13">
        <f t="shared" si="19"/>
        <v>0</v>
      </c>
      <c r="AC79" s="13">
        <f t="shared" si="19"/>
        <v>0</v>
      </c>
      <c r="AD79" s="13">
        <f t="shared" si="19"/>
        <v>0</v>
      </c>
      <c r="AE79" s="13">
        <f t="shared" si="19"/>
        <v>0</v>
      </c>
      <c r="AF79" s="13">
        <f t="shared" si="19"/>
        <v>0</v>
      </c>
      <c r="AG79" s="13">
        <f t="shared" si="19"/>
        <v>0</v>
      </c>
      <c r="AH79" s="13">
        <f t="shared" si="19"/>
        <v>0</v>
      </c>
      <c r="AI79" s="13">
        <f t="shared" si="19"/>
        <v>0</v>
      </c>
      <c r="AJ79" s="13">
        <f t="shared" si="19"/>
        <v>0</v>
      </c>
      <c r="AK79" s="13">
        <f t="shared" si="19"/>
        <v>0</v>
      </c>
      <c r="AL79" s="13">
        <f t="shared" si="19"/>
        <v>0</v>
      </c>
      <c r="AM79" s="13">
        <f t="shared" si="19"/>
        <v>0</v>
      </c>
      <c r="AN79" s="13">
        <f t="shared" si="19"/>
        <v>0</v>
      </c>
      <c r="AO79" s="13">
        <f t="shared" si="19"/>
        <v>0</v>
      </c>
      <c r="AP79" s="13">
        <f t="shared" si="19"/>
        <v>0</v>
      </c>
      <c r="AQ79" s="13">
        <f t="shared" si="19"/>
        <v>0</v>
      </c>
      <c r="AR79" s="13">
        <f t="shared" si="19"/>
        <v>0</v>
      </c>
      <c r="AS79" s="13">
        <f>SUM(E79:AR79)</f>
        <v>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3">
        <f t="shared" ref="AS81:AS88" si="20">SUM(E81:AR81)</f>
        <v>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3">
        <f t="shared" si="20"/>
        <v>0</v>
      </c>
    </row>
    <row r="83" ht="12.75" customHeight="1">
      <c r="A83" s="18"/>
      <c r="B83" s="55">
        <v>2.0</v>
      </c>
      <c r="C83" s="50" t="s">
        <v>66</v>
      </c>
      <c r="D83" s="5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3">
        <f t="shared" si="20"/>
        <v>0</v>
      </c>
    </row>
    <row r="84" ht="12.75" customHeight="1">
      <c r="A84" s="18"/>
      <c r="B84" s="55">
        <v>3.0</v>
      </c>
      <c r="C84" s="50" t="s">
        <v>67</v>
      </c>
      <c r="D84" s="5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3">
        <f t="shared" si="20"/>
        <v>0</v>
      </c>
    </row>
    <row r="85" ht="12.75" customHeight="1">
      <c r="A85" s="18"/>
      <c r="B85" s="55">
        <v>4.0</v>
      </c>
      <c r="C85" s="50" t="s">
        <v>68</v>
      </c>
      <c r="D85" s="5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3">
        <f t="shared" si="20"/>
        <v>0</v>
      </c>
    </row>
    <row r="86" ht="12.75" customHeight="1">
      <c r="A86" s="18"/>
      <c r="B86" s="55">
        <v>5.0</v>
      </c>
      <c r="C86" s="50" t="s">
        <v>69</v>
      </c>
      <c r="D86" s="5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5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R91" si="21">SUM(E81:E88)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 t="shared" si="21"/>
        <v>0</v>
      </c>
      <c r="T91" s="13">
        <f t="shared" si="21"/>
        <v>0</v>
      </c>
      <c r="U91" s="13">
        <f t="shared" si="21"/>
        <v>0</v>
      </c>
      <c r="V91" s="13">
        <f t="shared" si="21"/>
        <v>0</v>
      </c>
      <c r="W91" s="13">
        <f t="shared" si="21"/>
        <v>0</v>
      </c>
      <c r="X91" s="13">
        <f t="shared" si="21"/>
        <v>0</v>
      </c>
      <c r="Y91" s="13">
        <f t="shared" si="21"/>
        <v>0</v>
      </c>
      <c r="Z91" s="13">
        <f t="shared" si="21"/>
        <v>0</v>
      </c>
      <c r="AA91" s="13">
        <f t="shared" si="21"/>
        <v>0</v>
      </c>
      <c r="AB91" s="13">
        <f t="shared" si="21"/>
        <v>0</v>
      </c>
      <c r="AC91" s="13">
        <f t="shared" si="21"/>
        <v>0</v>
      </c>
      <c r="AD91" s="13">
        <f t="shared" si="21"/>
        <v>0</v>
      </c>
      <c r="AE91" s="13">
        <f t="shared" si="21"/>
        <v>0</v>
      </c>
      <c r="AF91" s="13">
        <f t="shared" si="21"/>
        <v>0</v>
      </c>
      <c r="AG91" s="13">
        <f t="shared" si="21"/>
        <v>0</v>
      </c>
      <c r="AH91" s="13">
        <f t="shared" si="21"/>
        <v>0</v>
      </c>
      <c r="AI91" s="13">
        <f t="shared" si="21"/>
        <v>0</v>
      </c>
      <c r="AJ91" s="13">
        <f t="shared" si="21"/>
        <v>0</v>
      </c>
      <c r="AK91" s="13">
        <f t="shared" si="21"/>
        <v>0</v>
      </c>
      <c r="AL91" s="13">
        <f t="shared" si="21"/>
        <v>0</v>
      </c>
      <c r="AM91" s="13">
        <f t="shared" si="21"/>
        <v>0</v>
      </c>
      <c r="AN91" s="13">
        <f t="shared" si="21"/>
        <v>0</v>
      </c>
      <c r="AO91" s="13">
        <f t="shared" si="21"/>
        <v>0</v>
      </c>
      <c r="AP91" s="13">
        <f t="shared" si="21"/>
        <v>0</v>
      </c>
      <c r="AQ91" s="13">
        <f t="shared" si="21"/>
        <v>0</v>
      </c>
      <c r="AR91" s="13">
        <f t="shared" si="21"/>
        <v>0</v>
      </c>
      <c r="AS91" s="13">
        <f>SUM(E91:AR91)</f>
        <v>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3">
        <f t="shared" ref="AS93:AS100" si="22">SUM(E93:AR93)</f>
        <v>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3">
        <f t="shared" si="22"/>
        <v>0</v>
      </c>
    </row>
    <row r="95" ht="12.75" customHeight="1">
      <c r="A95" s="18"/>
      <c r="B95" s="55">
        <v>2.0</v>
      </c>
      <c r="C95" s="50" t="s">
        <v>75</v>
      </c>
      <c r="D95" s="57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57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57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R103" si="23">SUM(E93:E100)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0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0</v>
      </c>
      <c r="S103" s="13">
        <f t="shared" si="23"/>
        <v>0</v>
      </c>
      <c r="T103" s="13">
        <f t="shared" si="23"/>
        <v>0</v>
      </c>
      <c r="U103" s="13">
        <f t="shared" si="23"/>
        <v>0</v>
      </c>
      <c r="V103" s="13">
        <f t="shared" si="23"/>
        <v>0</v>
      </c>
      <c r="W103" s="13">
        <f t="shared" si="23"/>
        <v>0</v>
      </c>
      <c r="X103" s="13">
        <f t="shared" si="23"/>
        <v>0</v>
      </c>
      <c r="Y103" s="13">
        <f t="shared" si="23"/>
        <v>0</v>
      </c>
      <c r="Z103" s="13">
        <f t="shared" si="23"/>
        <v>0</v>
      </c>
      <c r="AA103" s="13">
        <f t="shared" si="23"/>
        <v>0</v>
      </c>
      <c r="AB103" s="13">
        <f t="shared" si="23"/>
        <v>0</v>
      </c>
      <c r="AC103" s="13">
        <f t="shared" si="23"/>
        <v>0</v>
      </c>
      <c r="AD103" s="13">
        <f t="shared" si="23"/>
        <v>0</v>
      </c>
      <c r="AE103" s="13">
        <f t="shared" si="23"/>
        <v>0</v>
      </c>
      <c r="AF103" s="13">
        <f t="shared" si="23"/>
        <v>0</v>
      </c>
      <c r="AG103" s="13">
        <f t="shared" si="23"/>
        <v>0</v>
      </c>
      <c r="AH103" s="13">
        <f t="shared" si="23"/>
        <v>0</v>
      </c>
      <c r="AI103" s="13">
        <f t="shared" si="23"/>
        <v>0</v>
      </c>
      <c r="AJ103" s="13">
        <f t="shared" si="23"/>
        <v>0</v>
      </c>
      <c r="AK103" s="13">
        <f t="shared" si="23"/>
        <v>0</v>
      </c>
      <c r="AL103" s="13">
        <f t="shared" si="23"/>
        <v>0</v>
      </c>
      <c r="AM103" s="13">
        <f t="shared" si="23"/>
        <v>0</v>
      </c>
      <c r="AN103" s="13">
        <f t="shared" si="23"/>
        <v>0</v>
      </c>
      <c r="AO103" s="13">
        <f t="shared" si="23"/>
        <v>0</v>
      </c>
      <c r="AP103" s="13">
        <f t="shared" si="23"/>
        <v>0</v>
      </c>
      <c r="AQ103" s="13">
        <f t="shared" si="23"/>
        <v>0</v>
      </c>
      <c r="AR103" s="13">
        <f t="shared" si="23"/>
        <v>0</v>
      </c>
      <c r="AS103" s="13">
        <f>SUM(E103:AR103)</f>
        <v>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3">
        <f t="shared" ref="AS105:AS112" si="24">SUM(E105:AR105)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R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>SUM(E115:AR115)</f>
        <v>0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G116" s="76"/>
      <c r="AH116" s="76"/>
      <c r="A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3">
        <f t="shared" ref="AS117:AS120" si="26">SUM(E117:AR117)</f>
        <v>0</v>
      </c>
      <c r="AT117" s="5"/>
      <c r="AU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3">
        <f t="shared" si="26"/>
        <v>0</v>
      </c>
      <c r="AT118" s="5"/>
      <c r="AU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3">
        <f t="shared" si="26"/>
        <v>0</v>
      </c>
      <c r="AT119" s="5"/>
      <c r="AU119" s="5"/>
    </row>
    <row r="120" ht="12.75" customHeight="1">
      <c r="A120" s="18"/>
      <c r="B120" s="55">
        <v>3.0</v>
      </c>
      <c r="C120" s="50" t="s">
        <v>94</v>
      </c>
      <c r="D120" s="5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3">
        <f t="shared" si="26"/>
        <v>0</v>
      </c>
      <c r="AT120" s="5"/>
      <c r="AU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74"/>
      <c r="AT121" s="5"/>
      <c r="AU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74"/>
      <c r="AT122" s="5"/>
      <c r="AU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74"/>
      <c r="AT123" s="5"/>
      <c r="AU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74"/>
      <c r="AT124" s="5"/>
      <c r="AU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74"/>
      <c r="AT125" s="5"/>
      <c r="AU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74"/>
      <c r="AT126" s="5"/>
      <c r="AU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R127" si="27">SUM(E117:E120)</f>
        <v>0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58">
        <f t="shared" si="27"/>
        <v>0</v>
      </c>
      <c r="X127" s="58">
        <f t="shared" si="27"/>
        <v>0</v>
      </c>
      <c r="Y127" s="58">
        <f t="shared" si="27"/>
        <v>0</v>
      </c>
      <c r="Z127" s="58">
        <f t="shared" si="27"/>
        <v>0</v>
      </c>
      <c r="AA127" s="58">
        <f t="shared" si="27"/>
        <v>0</v>
      </c>
      <c r="AB127" s="58">
        <f t="shared" si="27"/>
        <v>0</v>
      </c>
      <c r="AC127" s="58">
        <f t="shared" si="27"/>
        <v>0</v>
      </c>
      <c r="AD127" s="58">
        <f t="shared" si="27"/>
        <v>0</v>
      </c>
      <c r="AE127" s="58">
        <f t="shared" si="27"/>
        <v>0</v>
      </c>
      <c r="AF127" s="58">
        <f t="shared" si="27"/>
        <v>0</v>
      </c>
      <c r="AG127" s="58">
        <f t="shared" si="27"/>
        <v>0</v>
      </c>
      <c r="AH127" s="58">
        <f t="shared" si="27"/>
        <v>0</v>
      </c>
      <c r="AI127" s="58">
        <f t="shared" si="27"/>
        <v>0</v>
      </c>
      <c r="AJ127" s="58">
        <f t="shared" si="27"/>
        <v>0</v>
      </c>
      <c r="AK127" s="58">
        <f t="shared" si="27"/>
        <v>0</v>
      </c>
      <c r="AL127" s="58">
        <f t="shared" si="27"/>
        <v>0</v>
      </c>
      <c r="AM127" s="58">
        <f t="shared" si="27"/>
        <v>0</v>
      </c>
      <c r="AN127" s="58">
        <f t="shared" si="27"/>
        <v>0</v>
      </c>
      <c r="AO127" s="58">
        <f t="shared" si="27"/>
        <v>0</v>
      </c>
      <c r="AP127" s="58">
        <f t="shared" si="27"/>
        <v>0</v>
      </c>
      <c r="AQ127" s="58">
        <f t="shared" si="27"/>
        <v>0</v>
      </c>
      <c r="AR127" s="58">
        <f t="shared" si="27"/>
        <v>0</v>
      </c>
      <c r="AS127" s="13">
        <f>SUM(E127:AR127)</f>
        <v>0</v>
      </c>
      <c r="AT127" s="5"/>
      <c r="AU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5"/>
      <c r="AU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3">
        <f t="shared" ref="AS129:AS136" si="28">SUM(E129:AR129)</f>
        <v>0</v>
      </c>
      <c r="AT129" s="5"/>
      <c r="AU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3">
        <f t="shared" si="28"/>
        <v>0</v>
      </c>
      <c r="AT130" s="1"/>
      <c r="AU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3">
        <f t="shared" si="28"/>
        <v>0</v>
      </c>
      <c r="AT131" s="52"/>
      <c r="AU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3">
        <f t="shared" si="28"/>
        <v>0</v>
      </c>
      <c r="AT132" s="5"/>
      <c r="AU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3">
        <f t="shared" si="28"/>
        <v>0</v>
      </c>
      <c r="AT133" s="5"/>
      <c r="AU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3">
        <f t="shared" si="28"/>
        <v>0</v>
      </c>
      <c r="AT134" s="5"/>
      <c r="AU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3">
        <f t="shared" si="28"/>
        <v>0</v>
      </c>
      <c r="AT135" s="5"/>
      <c r="AU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3">
        <f t="shared" si="28"/>
        <v>0</v>
      </c>
      <c r="AT136" s="5"/>
      <c r="AU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74"/>
      <c r="AT137" s="5"/>
      <c r="AU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74"/>
      <c r="AT138" s="5"/>
      <c r="AU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R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0</v>
      </c>
      <c r="AL139" s="13">
        <f t="shared" si="29"/>
        <v>0</v>
      </c>
      <c r="AM139" s="13">
        <f t="shared" si="29"/>
        <v>0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9"/>
        <v>0</v>
      </c>
      <c r="AS139" s="13">
        <f>SUM(E139:AR139)</f>
        <v>0</v>
      </c>
      <c r="AT139" s="5"/>
      <c r="AU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5"/>
      <c r="AU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3">
        <f t="shared" ref="AS141:AS148" si="30">SUM(E141:AR141)</f>
        <v>0</v>
      </c>
      <c r="AT141" s="1"/>
      <c r="AU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3">
        <f t="shared" si="30"/>
        <v>0</v>
      </c>
      <c r="AT142" s="52"/>
      <c r="AU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3">
        <f t="shared" si="30"/>
        <v>0</v>
      </c>
      <c r="AT143" s="5"/>
      <c r="AU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3">
        <f t="shared" si="30"/>
        <v>0</v>
      </c>
      <c r="AT144" s="5"/>
      <c r="AU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3">
        <f t="shared" si="30"/>
        <v>0</v>
      </c>
      <c r="AT145" s="5"/>
      <c r="AU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3">
        <f t="shared" si="30"/>
        <v>0</v>
      </c>
      <c r="AT146" s="5"/>
      <c r="AU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3">
        <f t="shared" si="30"/>
        <v>0</v>
      </c>
      <c r="AT147" s="5"/>
      <c r="AU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3">
        <f t="shared" si="30"/>
        <v>0</v>
      </c>
      <c r="AT148" s="5"/>
      <c r="AU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74"/>
      <c r="AT149" s="5"/>
      <c r="AU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74"/>
      <c r="AT150" s="5"/>
      <c r="AU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R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>SUM(E151:AR151)</f>
        <v>0</v>
      </c>
      <c r="AT151" s="1"/>
      <c r="AU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13"/>
      <c r="AT152" s="52"/>
      <c r="AU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3">
        <f t="shared" ref="AS153:AS156" si="32">SUM(E154:AR154)</f>
        <v>0</v>
      </c>
      <c r="AT153" s="5"/>
      <c r="AU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3">
        <f t="shared" si="32"/>
        <v>0</v>
      </c>
      <c r="AT154" s="5"/>
      <c r="AU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3">
        <f t="shared" si="32"/>
        <v>0</v>
      </c>
      <c r="AT155" s="5"/>
      <c r="AU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3">
        <f t="shared" si="32"/>
        <v>0</v>
      </c>
      <c r="AT156" s="5"/>
      <c r="AU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3">
        <f>SUM(E163:AR163)</f>
        <v>0</v>
      </c>
      <c r="AT157" s="5"/>
      <c r="AU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74"/>
      <c r="AT158" s="5"/>
      <c r="AU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74"/>
      <c r="AT159" s="5"/>
      <c r="AU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74"/>
      <c r="AT160" s="5"/>
      <c r="AU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74"/>
      <c r="AT161" s="5"/>
      <c r="AU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74"/>
      <c r="AT162" s="5"/>
      <c r="AU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R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>SUM(E164:AR164)</f>
        <v>0</v>
      </c>
      <c r="AT163" s="5"/>
      <c r="AU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5"/>
      <c r="AU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3">
        <f t="shared" ref="AS165:AS172" si="34">SUM(E165:AR165)</f>
        <v>0</v>
      </c>
      <c r="AT165" s="1"/>
      <c r="AU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3">
        <f t="shared" si="34"/>
        <v>0</v>
      </c>
      <c r="AT166" s="52"/>
      <c r="AU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3">
        <f t="shared" si="34"/>
        <v>0</v>
      </c>
      <c r="AT167" s="5"/>
      <c r="AU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3">
        <f t="shared" si="34"/>
        <v>0</v>
      </c>
      <c r="AT168" s="5"/>
      <c r="AU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3">
        <f t="shared" si="34"/>
        <v>0</v>
      </c>
      <c r="AT169" s="5"/>
      <c r="AU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3">
        <f t="shared" si="34"/>
        <v>0</v>
      </c>
      <c r="AT170" s="5"/>
      <c r="AU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3">
        <f t="shared" si="34"/>
        <v>0</v>
      </c>
      <c r="AT171" s="5"/>
      <c r="AU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3">
        <f t="shared" si="34"/>
        <v>0</v>
      </c>
      <c r="AT172" s="5"/>
      <c r="AU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74"/>
      <c r="AT173" s="5"/>
      <c r="AU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74"/>
      <c r="AT174" s="5"/>
      <c r="AU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R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>SUM(E175:AR175)</f>
        <v>0</v>
      </c>
      <c r="AT175" s="5"/>
      <c r="AU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1"/>
      <c r="AU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3">
        <f t="shared" ref="AS177:AS184" si="36">SUM(E177:AR177)</f>
        <v>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3">
        <f t="shared" si="36"/>
        <v>0</v>
      </c>
      <c r="AT178" s="5"/>
      <c r="AU178" s="5"/>
    </row>
    <row r="179" ht="12.75" customHeight="1">
      <c r="A179" s="18"/>
      <c r="B179" s="55">
        <v>2.0</v>
      </c>
      <c r="C179" s="50" t="s">
        <v>131</v>
      </c>
      <c r="D179" s="57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3">
        <f t="shared" si="36"/>
        <v>0</v>
      </c>
      <c r="AT179" s="5"/>
      <c r="AU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3">
        <f t="shared" si="36"/>
        <v>0</v>
      </c>
      <c r="AT180" s="5"/>
      <c r="AU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3">
        <f t="shared" si="36"/>
        <v>0</v>
      </c>
      <c r="AT181" s="5"/>
      <c r="AU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3">
        <f t="shared" si="36"/>
        <v>0</v>
      </c>
      <c r="AT182" s="5"/>
      <c r="AU182" s="5"/>
    </row>
    <row r="183" ht="12.75" customHeight="1">
      <c r="A183" s="18"/>
      <c r="B183" s="55">
        <v>6.0</v>
      </c>
      <c r="C183" s="50" t="s">
        <v>135</v>
      </c>
      <c r="D183" s="5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3">
        <f t="shared" si="36"/>
        <v>0</v>
      </c>
      <c r="AT183" s="5"/>
      <c r="AU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3">
        <f t="shared" si="36"/>
        <v>0</v>
      </c>
      <c r="AT184" s="5"/>
      <c r="AU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74"/>
      <c r="AT185" s="5"/>
      <c r="AU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74"/>
      <c r="AT186" s="5"/>
      <c r="AU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R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0</v>
      </c>
      <c r="AF187" s="13">
        <f t="shared" si="37"/>
        <v>0</v>
      </c>
      <c r="AG187" s="13">
        <f t="shared" si="37"/>
        <v>0</v>
      </c>
      <c r="AH187" s="13">
        <f t="shared" si="37"/>
        <v>0</v>
      </c>
      <c r="AI187" s="13">
        <f t="shared" si="37"/>
        <v>0</v>
      </c>
      <c r="AJ187" s="13">
        <f t="shared" si="37"/>
        <v>0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0</v>
      </c>
      <c r="AO187" s="13">
        <f t="shared" si="37"/>
        <v>0</v>
      </c>
      <c r="AP187" s="13">
        <f t="shared" si="37"/>
        <v>0</v>
      </c>
      <c r="AQ187" s="13">
        <f t="shared" si="37"/>
        <v>0</v>
      </c>
      <c r="AR187" s="13">
        <f t="shared" si="37"/>
        <v>0</v>
      </c>
      <c r="AS187" s="13">
        <f>SUM(E187:AR187)</f>
        <v>0</v>
      </c>
      <c r="AT187" s="1"/>
      <c r="AU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3">
        <f t="shared" ref="AS189:AS196" si="38">SUM(E189:AR189)</f>
        <v>0</v>
      </c>
      <c r="AT189" s="5"/>
      <c r="AU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3">
        <f t="shared" si="38"/>
        <v>0</v>
      </c>
      <c r="AT190" s="5"/>
      <c r="AU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3">
        <f t="shared" si="38"/>
        <v>0</v>
      </c>
      <c r="AT191" s="5"/>
      <c r="AU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3">
        <f t="shared" si="38"/>
        <v>0</v>
      </c>
      <c r="AT192" s="5"/>
      <c r="AU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3">
        <f t="shared" si="38"/>
        <v>0</v>
      </c>
      <c r="AT193" s="5"/>
      <c r="AU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3">
        <f t="shared" si="38"/>
        <v>0</v>
      </c>
      <c r="AT194" s="5"/>
      <c r="AU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3">
        <f t="shared" si="38"/>
        <v>0</v>
      </c>
      <c r="AT195" s="5"/>
      <c r="AU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3">
        <f t="shared" si="38"/>
        <v>0</v>
      </c>
      <c r="AT196" s="1"/>
      <c r="AU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74"/>
      <c r="AT197" s="1"/>
      <c r="AU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74"/>
      <c r="AT198" s="1"/>
      <c r="AU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R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>SUM(E199:AR199)</f>
        <v>0</v>
      </c>
      <c r="AT199" s="52"/>
      <c r="AU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5"/>
      <c r="AU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3">
        <f t="shared" ref="AS201:AS208" si="40">SUM(E201:AR201)</f>
        <v>0</v>
      </c>
      <c r="AT201" s="5"/>
      <c r="AU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3">
        <f t="shared" si="40"/>
        <v>0</v>
      </c>
      <c r="AT202" s="5"/>
      <c r="AU202" s="5"/>
    </row>
    <row r="203" ht="12.75" customHeight="1">
      <c r="A203" s="18"/>
      <c r="B203" s="55">
        <v>2.0</v>
      </c>
      <c r="C203" s="50" t="s">
        <v>149</v>
      </c>
      <c r="D203" s="57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3">
        <f t="shared" si="40"/>
        <v>0</v>
      </c>
      <c r="AT203" s="5"/>
      <c r="AU203" s="5"/>
    </row>
    <row r="204" ht="12.75" customHeight="1">
      <c r="A204" s="18"/>
      <c r="B204" s="55">
        <v>3.0</v>
      </c>
      <c r="C204" s="50" t="s">
        <v>150</v>
      </c>
      <c r="D204" s="57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3">
        <f t="shared" si="40"/>
        <v>0</v>
      </c>
      <c r="AT204" s="5"/>
      <c r="AU204" s="5"/>
    </row>
    <row r="205" ht="12.75" customHeight="1">
      <c r="A205" s="18"/>
      <c r="B205" s="55">
        <v>4.0</v>
      </c>
      <c r="C205" s="50" t="s">
        <v>151</v>
      </c>
      <c r="D205" s="57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3">
        <f t="shared" si="40"/>
        <v>0</v>
      </c>
      <c r="AT205" s="5"/>
      <c r="AU205" s="5"/>
    </row>
    <row r="206" ht="12.75" customHeight="1">
      <c r="A206" s="18"/>
      <c r="B206" s="55">
        <v>5.0</v>
      </c>
      <c r="C206" s="50" t="s">
        <v>152</v>
      </c>
      <c r="D206" s="57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3">
        <f t="shared" si="40"/>
        <v>0</v>
      </c>
      <c r="AT206" s="5"/>
      <c r="AU206" s="5"/>
    </row>
    <row r="207" ht="12.75" customHeight="1">
      <c r="A207" s="18"/>
      <c r="B207" s="55">
        <v>6.0</v>
      </c>
      <c r="C207" s="50" t="s">
        <v>153</v>
      </c>
      <c r="D207" s="5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3">
        <f t="shared" si="40"/>
        <v>0</v>
      </c>
      <c r="AT207" s="1"/>
      <c r="AU207" s="1"/>
    </row>
    <row r="208" ht="12.75" customHeight="1">
      <c r="A208" s="18"/>
      <c r="B208" s="55">
        <v>7.0</v>
      </c>
      <c r="C208" s="50" t="s">
        <v>154</v>
      </c>
      <c r="D208" s="57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3">
        <f t="shared" si="40"/>
        <v>0</v>
      </c>
      <c r="AT208" s="52"/>
      <c r="AU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74"/>
      <c r="AT209" s="52"/>
      <c r="AU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74"/>
      <c r="AT210" s="52"/>
      <c r="AU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R211" si="41">SUM(E201:E208)</f>
        <v>0</v>
      </c>
      <c r="F211" s="13">
        <f t="shared" si="41"/>
        <v>0</v>
      </c>
      <c r="G211" s="13">
        <f t="shared" si="41"/>
        <v>0</v>
      </c>
      <c r="H211" s="13">
        <f t="shared" si="41"/>
        <v>0</v>
      </c>
      <c r="I211" s="13">
        <f t="shared" si="41"/>
        <v>0</v>
      </c>
      <c r="J211" s="13">
        <f t="shared" si="41"/>
        <v>0</v>
      </c>
      <c r="K211" s="13">
        <f t="shared" si="41"/>
        <v>0</v>
      </c>
      <c r="L211" s="13">
        <f t="shared" si="41"/>
        <v>0</v>
      </c>
      <c r="M211" s="13">
        <f t="shared" si="41"/>
        <v>0</v>
      </c>
      <c r="N211" s="13">
        <f t="shared" si="41"/>
        <v>0</v>
      </c>
      <c r="O211" s="13">
        <f t="shared" si="41"/>
        <v>0</v>
      </c>
      <c r="P211" s="13">
        <f t="shared" si="41"/>
        <v>0</v>
      </c>
      <c r="Q211" s="13">
        <f t="shared" si="41"/>
        <v>0</v>
      </c>
      <c r="R211" s="13">
        <f t="shared" si="41"/>
        <v>0</v>
      </c>
      <c r="S211" s="13">
        <f t="shared" si="41"/>
        <v>0</v>
      </c>
      <c r="T211" s="13">
        <f t="shared" si="41"/>
        <v>0</v>
      </c>
      <c r="U211" s="13">
        <f t="shared" si="41"/>
        <v>0</v>
      </c>
      <c r="V211" s="13">
        <f t="shared" si="41"/>
        <v>0</v>
      </c>
      <c r="W211" s="13">
        <f t="shared" si="41"/>
        <v>0</v>
      </c>
      <c r="X211" s="13">
        <f t="shared" si="41"/>
        <v>0</v>
      </c>
      <c r="Y211" s="13">
        <f t="shared" si="41"/>
        <v>0</v>
      </c>
      <c r="Z211" s="13">
        <f t="shared" si="41"/>
        <v>0</v>
      </c>
      <c r="AA211" s="13">
        <f t="shared" si="41"/>
        <v>0</v>
      </c>
      <c r="AB211" s="13">
        <f t="shared" si="41"/>
        <v>0</v>
      </c>
      <c r="AC211" s="13">
        <f t="shared" si="41"/>
        <v>0</v>
      </c>
      <c r="AD211" s="13">
        <f t="shared" si="41"/>
        <v>0</v>
      </c>
      <c r="AE211" s="13">
        <f t="shared" si="41"/>
        <v>0</v>
      </c>
      <c r="AF211" s="13">
        <f t="shared" si="41"/>
        <v>0</v>
      </c>
      <c r="AG211" s="13">
        <f t="shared" si="41"/>
        <v>0</v>
      </c>
      <c r="AH211" s="13">
        <f t="shared" si="41"/>
        <v>0</v>
      </c>
      <c r="AI211" s="13">
        <f t="shared" si="41"/>
        <v>0</v>
      </c>
      <c r="AJ211" s="13">
        <f t="shared" si="41"/>
        <v>0</v>
      </c>
      <c r="AK211" s="13">
        <f t="shared" si="41"/>
        <v>0</v>
      </c>
      <c r="AL211" s="13">
        <f t="shared" si="41"/>
        <v>0</v>
      </c>
      <c r="AM211" s="13">
        <f t="shared" si="41"/>
        <v>0</v>
      </c>
      <c r="AN211" s="13">
        <f t="shared" si="41"/>
        <v>0</v>
      </c>
      <c r="AO211" s="13">
        <f t="shared" si="41"/>
        <v>0</v>
      </c>
      <c r="AP211" s="13">
        <f t="shared" si="41"/>
        <v>0</v>
      </c>
      <c r="AQ211" s="13">
        <f t="shared" si="41"/>
        <v>0</v>
      </c>
      <c r="AR211" s="13">
        <f t="shared" si="41"/>
        <v>0</v>
      </c>
      <c r="AS211" s="13">
        <f>SUM(E211:AR211)</f>
        <v>0</v>
      </c>
      <c r="AT211" s="5"/>
      <c r="AU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5"/>
      <c r="AU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3">
        <f t="shared" ref="AS213:AS220" si="42">SUM(E213:AR213)</f>
        <v>0</v>
      </c>
      <c r="AT213" s="5"/>
      <c r="AU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3">
        <f t="shared" si="42"/>
        <v>0</v>
      </c>
      <c r="AT214" s="5"/>
      <c r="AU214" s="5"/>
    </row>
    <row r="215" ht="12.75" customHeight="1">
      <c r="A215" s="18"/>
      <c r="B215" s="55">
        <v>2.0</v>
      </c>
      <c r="C215" s="50" t="s">
        <v>158</v>
      </c>
      <c r="D215" s="56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3">
        <f t="shared" si="42"/>
        <v>0</v>
      </c>
      <c r="AT215" s="5"/>
      <c r="AU215" s="5"/>
    </row>
    <row r="216" ht="12.75" customHeight="1">
      <c r="A216" s="18"/>
      <c r="B216" s="55">
        <v>3.0</v>
      </c>
      <c r="C216" s="61" t="s">
        <v>159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3">
        <f t="shared" si="42"/>
        <v>0</v>
      </c>
      <c r="AT216" s="5"/>
      <c r="AU216" s="5"/>
    </row>
    <row r="217" ht="12.75" customHeight="1">
      <c r="A217" s="18"/>
      <c r="B217" s="55">
        <v>4.0</v>
      </c>
      <c r="C217" s="50" t="s">
        <v>160</v>
      </c>
      <c r="D217" s="5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3">
        <f t="shared" si="42"/>
        <v>0</v>
      </c>
      <c r="AT217" s="5"/>
      <c r="AU217" s="5"/>
    </row>
    <row r="218" ht="12.75" customHeight="1">
      <c r="A218" s="18"/>
      <c r="B218" s="55">
        <v>5.0</v>
      </c>
      <c r="C218" s="50" t="s">
        <v>161</v>
      </c>
      <c r="D218" s="5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3">
        <f t="shared" si="42"/>
        <v>0</v>
      </c>
      <c r="AT218" s="1"/>
      <c r="AU218" s="1"/>
    </row>
    <row r="219" ht="12.75" customHeight="1">
      <c r="A219" s="18"/>
      <c r="B219" s="55">
        <v>6.0</v>
      </c>
      <c r="C219" s="50" t="s">
        <v>162</v>
      </c>
      <c r="D219" s="5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3">
        <f t="shared" si="42"/>
        <v>0</v>
      </c>
      <c r="AT219" s="52"/>
      <c r="AU219" s="52"/>
    </row>
    <row r="220" ht="12.75" customHeight="1">
      <c r="A220" s="18"/>
      <c r="B220" s="55">
        <v>7.0</v>
      </c>
      <c r="C220" s="50" t="s">
        <v>163</v>
      </c>
      <c r="D220" s="5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3">
        <f t="shared" si="42"/>
        <v>0</v>
      </c>
      <c r="AT220" s="5"/>
      <c r="AU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74"/>
      <c r="AT221" s="5"/>
      <c r="AU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74"/>
      <c r="AT222" s="5"/>
      <c r="AU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R223" si="43">SUM(E213:E220)</f>
        <v>0</v>
      </c>
      <c r="F223" s="13">
        <f t="shared" si="43"/>
        <v>0</v>
      </c>
      <c r="G223" s="13">
        <f t="shared" si="43"/>
        <v>0</v>
      </c>
      <c r="H223" s="13">
        <f t="shared" si="43"/>
        <v>0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0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0</v>
      </c>
      <c r="AB223" s="13">
        <f t="shared" si="43"/>
        <v>0</v>
      </c>
      <c r="AC223" s="13">
        <f t="shared" si="43"/>
        <v>0</v>
      </c>
      <c r="AD223" s="13">
        <f t="shared" si="43"/>
        <v>0</v>
      </c>
      <c r="AE223" s="13">
        <f t="shared" si="43"/>
        <v>0</v>
      </c>
      <c r="AF223" s="13">
        <f t="shared" si="43"/>
        <v>0</v>
      </c>
      <c r="AG223" s="13">
        <f t="shared" si="43"/>
        <v>0</v>
      </c>
      <c r="AH223" s="13">
        <f t="shared" si="43"/>
        <v>0</v>
      </c>
      <c r="AI223" s="13">
        <f t="shared" si="43"/>
        <v>0</v>
      </c>
      <c r="AJ223" s="13">
        <f t="shared" si="43"/>
        <v>0</v>
      </c>
      <c r="AK223" s="13">
        <f t="shared" si="43"/>
        <v>0</v>
      </c>
      <c r="AL223" s="13">
        <f t="shared" si="43"/>
        <v>0</v>
      </c>
      <c r="AM223" s="13">
        <f t="shared" si="43"/>
        <v>0</v>
      </c>
      <c r="AN223" s="13">
        <f t="shared" si="43"/>
        <v>0</v>
      </c>
      <c r="AO223" s="13">
        <f t="shared" si="43"/>
        <v>0</v>
      </c>
      <c r="AP223" s="13">
        <f t="shared" si="43"/>
        <v>0</v>
      </c>
      <c r="AQ223" s="13">
        <f t="shared" si="43"/>
        <v>0</v>
      </c>
      <c r="AR223" s="13">
        <f t="shared" si="43"/>
        <v>0</v>
      </c>
      <c r="AS223" s="13">
        <f>SUM(E223:AR223)</f>
        <v>0</v>
      </c>
      <c r="AT223" s="5"/>
      <c r="AU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5"/>
      <c r="AU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3">
        <f t="shared" ref="AS225:AS232" si="44">SUM(E225:AR225)</f>
        <v>0</v>
      </c>
      <c r="AT225" s="5"/>
      <c r="AU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3">
        <f t="shared" si="44"/>
        <v>0</v>
      </c>
      <c r="AT226" s="5"/>
      <c r="AU226" s="5"/>
    </row>
    <row r="227" ht="12.75" customHeight="1">
      <c r="A227" s="18"/>
      <c r="B227" s="55">
        <v>2.0</v>
      </c>
      <c r="C227" s="50" t="s">
        <v>167</v>
      </c>
      <c r="D227" s="5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3">
        <f t="shared" si="44"/>
        <v>0</v>
      </c>
      <c r="AT227" s="5"/>
      <c r="AU227" s="5"/>
    </row>
    <row r="228" ht="12.75" customHeight="1">
      <c r="A228" s="18"/>
      <c r="B228" s="55">
        <v>3.0</v>
      </c>
      <c r="C228" s="50" t="s">
        <v>168</v>
      </c>
      <c r="D228" s="5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3">
        <f t="shared" si="44"/>
        <v>0</v>
      </c>
      <c r="AT228" s="5"/>
      <c r="AU228" s="5"/>
    </row>
    <row r="229" ht="12.75" customHeight="1">
      <c r="A229" s="18"/>
      <c r="B229" s="55">
        <v>4.0</v>
      </c>
      <c r="C229" s="50" t="s">
        <v>169</v>
      </c>
      <c r="D229" s="5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3">
        <f t="shared" si="44"/>
        <v>0</v>
      </c>
      <c r="AT229" s="1"/>
      <c r="AU229" s="1"/>
    </row>
    <row r="230" ht="12.75" customHeight="1">
      <c r="A230" s="18"/>
      <c r="B230" s="55">
        <v>5.0</v>
      </c>
      <c r="C230" s="50" t="s">
        <v>170</v>
      </c>
      <c r="D230" s="5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3">
        <f t="shared" si="44"/>
        <v>0</v>
      </c>
      <c r="AT230" s="52"/>
      <c r="AU230" s="52"/>
    </row>
    <row r="231" ht="12.75" customHeight="1">
      <c r="A231" s="18"/>
      <c r="B231" s="55">
        <v>6.0</v>
      </c>
      <c r="C231" s="50" t="s">
        <v>171</v>
      </c>
      <c r="D231" s="5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3">
        <f t="shared" si="44"/>
        <v>0</v>
      </c>
      <c r="AT231" s="5"/>
      <c r="AU231" s="5"/>
    </row>
    <row r="232" ht="12.75" customHeight="1">
      <c r="A232" s="18"/>
      <c r="B232" s="55">
        <v>7.0</v>
      </c>
      <c r="C232" s="50" t="s">
        <v>172</v>
      </c>
      <c r="D232" s="57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3">
        <f t="shared" si="44"/>
        <v>0</v>
      </c>
      <c r="AT232" s="5"/>
      <c r="AU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74"/>
      <c r="AT233" s="5"/>
      <c r="AU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74"/>
      <c r="AT234" s="5"/>
      <c r="AU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R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0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>SUM(E235:AR235)</f>
        <v>0</v>
      </c>
      <c r="AT235" s="5"/>
      <c r="AU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5"/>
      <c r="AU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3">
        <f t="shared" ref="AS237:AS244" si="46">SUM(E237:AR237)</f>
        <v>0</v>
      </c>
      <c r="AT237" s="5"/>
      <c r="AU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3">
        <f t="shared" si="46"/>
        <v>0</v>
      </c>
      <c r="AT238" s="5"/>
      <c r="AU238" s="5"/>
    </row>
    <row r="239" ht="12.75" customHeight="1">
      <c r="A239" s="18"/>
      <c r="B239" s="55">
        <v>2.0</v>
      </c>
      <c r="C239" s="50" t="s">
        <v>176</v>
      </c>
      <c r="D239" s="57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3">
        <f t="shared" si="46"/>
        <v>0</v>
      </c>
      <c r="AT239" s="5"/>
      <c r="AU239" s="5"/>
    </row>
    <row r="240" ht="12.75" customHeight="1">
      <c r="A240" s="18"/>
      <c r="B240" s="55">
        <v>3.0</v>
      </c>
      <c r="C240" s="50" t="s">
        <v>177</v>
      </c>
      <c r="D240" s="57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3">
        <f t="shared" si="46"/>
        <v>0</v>
      </c>
      <c r="AT240" s="1"/>
      <c r="AU240" s="1"/>
    </row>
    <row r="241" ht="12.75" customHeight="1">
      <c r="A241" s="18"/>
      <c r="B241" s="55">
        <v>4.0</v>
      </c>
      <c r="C241" s="50" t="s">
        <v>178</v>
      </c>
      <c r="D241" s="57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3">
        <f t="shared" si="46"/>
        <v>0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R247" si="47">SUM(E237:E244)</f>
        <v>0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0</v>
      </c>
      <c r="L247" s="13">
        <f t="shared" si="47"/>
        <v>0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 t="shared" si="47"/>
        <v>0</v>
      </c>
      <c r="S247" s="13">
        <f t="shared" si="47"/>
        <v>0</v>
      </c>
      <c r="T247" s="13">
        <f t="shared" si="47"/>
        <v>0</v>
      </c>
      <c r="U247" s="13">
        <f t="shared" si="47"/>
        <v>0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0</v>
      </c>
      <c r="AA247" s="13">
        <f t="shared" si="47"/>
        <v>0</v>
      </c>
      <c r="AB247" s="13">
        <f t="shared" si="47"/>
        <v>0</v>
      </c>
      <c r="AC247" s="13">
        <f t="shared" si="47"/>
        <v>0</v>
      </c>
      <c r="AD247" s="13">
        <f t="shared" si="47"/>
        <v>0</v>
      </c>
      <c r="AE247" s="13">
        <f t="shared" si="47"/>
        <v>0</v>
      </c>
      <c r="AF247" s="13">
        <f t="shared" si="47"/>
        <v>0</v>
      </c>
      <c r="AG247" s="13">
        <f t="shared" si="47"/>
        <v>0</v>
      </c>
      <c r="AH247" s="13">
        <f t="shared" si="47"/>
        <v>0</v>
      </c>
      <c r="AI247" s="13">
        <f t="shared" si="47"/>
        <v>0</v>
      </c>
      <c r="AJ247" s="13">
        <f t="shared" si="47"/>
        <v>0</v>
      </c>
      <c r="AK247" s="13">
        <f t="shared" si="47"/>
        <v>0</v>
      </c>
      <c r="AL247" s="13">
        <f t="shared" si="47"/>
        <v>0</v>
      </c>
      <c r="AM247" s="13">
        <f t="shared" si="47"/>
        <v>0</v>
      </c>
      <c r="AN247" s="13">
        <f t="shared" si="47"/>
        <v>0</v>
      </c>
      <c r="AO247" s="13">
        <f t="shared" si="47"/>
        <v>0</v>
      </c>
      <c r="AP247" s="13">
        <f t="shared" si="47"/>
        <v>0</v>
      </c>
      <c r="AQ247" s="13">
        <f t="shared" si="47"/>
        <v>0</v>
      </c>
      <c r="AR247" s="13">
        <f t="shared" si="47"/>
        <v>0</v>
      </c>
      <c r="AS247" s="13">
        <f>SUM(E247:AR247)</f>
        <v>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3">
        <f t="shared" ref="AS249:AS255" si="48">SUM(E249:AR249)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R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>SUM(E259:AR259)</f>
        <v>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R262" si="50">E55+E67+E79+E91+E103+E115+E127+E139+E151+E163+E175+E187+E199+E211+E223+E235+E247+E259</f>
        <v>0</v>
      </c>
      <c r="F262" s="19">
        <f t="shared" si="50"/>
        <v>0</v>
      </c>
      <c r="G262" s="19">
        <f t="shared" si="50"/>
        <v>0</v>
      </c>
      <c r="H262" s="19">
        <f t="shared" si="50"/>
        <v>0</v>
      </c>
      <c r="I262" s="19">
        <f t="shared" si="50"/>
        <v>0</v>
      </c>
      <c r="J262" s="19">
        <f t="shared" si="50"/>
        <v>0</v>
      </c>
      <c r="K262" s="19">
        <f t="shared" si="50"/>
        <v>0</v>
      </c>
      <c r="L262" s="19">
        <f t="shared" si="50"/>
        <v>0</v>
      </c>
      <c r="M262" s="19">
        <f t="shared" si="50"/>
        <v>0</v>
      </c>
      <c r="N262" s="19">
        <f t="shared" si="50"/>
        <v>0</v>
      </c>
      <c r="O262" s="19">
        <f t="shared" si="50"/>
        <v>0</v>
      </c>
      <c r="P262" s="19">
        <f t="shared" si="50"/>
        <v>0</v>
      </c>
      <c r="Q262" s="19">
        <f t="shared" si="50"/>
        <v>0</v>
      </c>
      <c r="R262" s="19">
        <f t="shared" si="50"/>
        <v>0</v>
      </c>
      <c r="S262" s="19">
        <f t="shared" si="50"/>
        <v>0</v>
      </c>
      <c r="T262" s="19">
        <f t="shared" si="50"/>
        <v>0</v>
      </c>
      <c r="U262" s="19">
        <f t="shared" si="50"/>
        <v>0</v>
      </c>
      <c r="V262" s="19">
        <f t="shared" si="50"/>
        <v>0</v>
      </c>
      <c r="W262" s="19">
        <f t="shared" si="50"/>
        <v>0</v>
      </c>
      <c r="X262" s="19">
        <f t="shared" si="50"/>
        <v>0</v>
      </c>
      <c r="Y262" s="19">
        <f t="shared" si="50"/>
        <v>0</v>
      </c>
      <c r="Z262" s="19">
        <f t="shared" si="50"/>
        <v>0</v>
      </c>
      <c r="AA262" s="19">
        <f t="shared" si="50"/>
        <v>0</v>
      </c>
      <c r="AB262" s="19">
        <f t="shared" si="50"/>
        <v>0</v>
      </c>
      <c r="AC262" s="19">
        <f t="shared" si="50"/>
        <v>0</v>
      </c>
      <c r="AD262" s="19">
        <f t="shared" si="50"/>
        <v>0</v>
      </c>
      <c r="AE262" s="19">
        <f t="shared" si="50"/>
        <v>0</v>
      </c>
      <c r="AF262" s="19">
        <f t="shared" si="50"/>
        <v>0</v>
      </c>
      <c r="AG262" s="19">
        <f t="shared" si="50"/>
        <v>0</v>
      </c>
      <c r="AH262" s="19">
        <f t="shared" si="50"/>
        <v>0</v>
      </c>
      <c r="AI262" s="19">
        <f t="shared" si="50"/>
        <v>0</v>
      </c>
      <c r="AJ262" s="19">
        <f t="shared" si="50"/>
        <v>0</v>
      </c>
      <c r="AK262" s="19">
        <f t="shared" si="50"/>
        <v>0</v>
      </c>
      <c r="AL262" s="19">
        <f t="shared" si="50"/>
        <v>0</v>
      </c>
      <c r="AM262" s="19">
        <f t="shared" si="50"/>
        <v>0</v>
      </c>
      <c r="AN262" s="19">
        <f t="shared" si="50"/>
        <v>0</v>
      </c>
      <c r="AO262" s="19">
        <f t="shared" si="50"/>
        <v>0</v>
      </c>
      <c r="AP262" s="19">
        <f t="shared" si="50"/>
        <v>0</v>
      </c>
      <c r="AQ262" s="19">
        <f t="shared" si="50"/>
        <v>0</v>
      </c>
      <c r="AR262" s="19">
        <f t="shared" si="50"/>
        <v>0</v>
      </c>
      <c r="AS262" s="13">
        <f t="shared" ref="AS262:AS264" si="51">SUM(E262:AR262)</f>
        <v>0</v>
      </c>
    </row>
    <row r="263" ht="12.75" customHeight="1">
      <c r="A263" s="35"/>
      <c r="B263" s="62" t="s">
        <v>194</v>
      </c>
      <c r="C263" s="63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3">
        <f t="shared" si="51"/>
        <v>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R264" si="52">SUM(E262:E263)</f>
        <v>0</v>
      </c>
      <c r="F264" s="13">
        <f t="shared" si="52"/>
        <v>0</v>
      </c>
      <c r="G264" s="13">
        <f t="shared" si="52"/>
        <v>0</v>
      </c>
      <c r="H264" s="13">
        <f t="shared" si="52"/>
        <v>0</v>
      </c>
      <c r="I264" s="13">
        <f t="shared" si="52"/>
        <v>0</v>
      </c>
      <c r="J264" s="13">
        <f t="shared" si="52"/>
        <v>0</v>
      </c>
      <c r="K264" s="13">
        <f t="shared" si="52"/>
        <v>0</v>
      </c>
      <c r="L264" s="13">
        <f t="shared" si="52"/>
        <v>0</v>
      </c>
      <c r="M264" s="13">
        <f t="shared" si="52"/>
        <v>0</v>
      </c>
      <c r="N264" s="13">
        <f t="shared" si="52"/>
        <v>0</v>
      </c>
      <c r="O264" s="13">
        <f t="shared" si="52"/>
        <v>0</v>
      </c>
      <c r="P264" s="13">
        <f t="shared" si="52"/>
        <v>0</v>
      </c>
      <c r="Q264" s="13">
        <f t="shared" si="52"/>
        <v>0</v>
      </c>
      <c r="R264" s="13">
        <f t="shared" si="52"/>
        <v>0</v>
      </c>
      <c r="S264" s="13">
        <f t="shared" si="52"/>
        <v>0</v>
      </c>
      <c r="T264" s="13">
        <f t="shared" si="52"/>
        <v>0</v>
      </c>
      <c r="U264" s="13">
        <f t="shared" si="52"/>
        <v>0</v>
      </c>
      <c r="V264" s="13">
        <f t="shared" si="52"/>
        <v>0</v>
      </c>
      <c r="W264" s="13">
        <f t="shared" si="52"/>
        <v>0</v>
      </c>
      <c r="X264" s="13">
        <f t="shared" si="52"/>
        <v>0</v>
      </c>
      <c r="Y264" s="13">
        <f t="shared" si="52"/>
        <v>0</v>
      </c>
      <c r="Z264" s="13">
        <f t="shared" si="52"/>
        <v>0</v>
      </c>
      <c r="AA264" s="13">
        <f t="shared" si="52"/>
        <v>0</v>
      </c>
      <c r="AB264" s="13">
        <f t="shared" si="52"/>
        <v>0</v>
      </c>
      <c r="AC264" s="13">
        <f t="shared" si="52"/>
        <v>0</v>
      </c>
      <c r="AD264" s="13">
        <f t="shared" si="52"/>
        <v>0</v>
      </c>
      <c r="AE264" s="13">
        <f t="shared" si="52"/>
        <v>0</v>
      </c>
      <c r="AF264" s="13">
        <f t="shared" si="52"/>
        <v>0</v>
      </c>
      <c r="AG264" s="13">
        <f t="shared" si="52"/>
        <v>0</v>
      </c>
      <c r="AH264" s="13">
        <f t="shared" si="52"/>
        <v>0</v>
      </c>
      <c r="AI264" s="13">
        <f t="shared" si="52"/>
        <v>0</v>
      </c>
      <c r="AJ264" s="13">
        <f t="shared" si="52"/>
        <v>0</v>
      </c>
      <c r="AK264" s="13">
        <f t="shared" si="52"/>
        <v>0</v>
      </c>
      <c r="AL264" s="13">
        <f t="shared" si="52"/>
        <v>0</v>
      </c>
      <c r="AM264" s="13">
        <f t="shared" si="52"/>
        <v>0</v>
      </c>
      <c r="AN264" s="13">
        <f t="shared" si="52"/>
        <v>0</v>
      </c>
      <c r="AO264" s="13">
        <f t="shared" si="52"/>
        <v>0</v>
      </c>
      <c r="AP264" s="13">
        <f t="shared" si="52"/>
        <v>0</v>
      </c>
      <c r="AQ264" s="13">
        <f t="shared" si="52"/>
        <v>0</v>
      </c>
      <c r="AR264" s="13">
        <f t="shared" si="52"/>
        <v>0</v>
      </c>
      <c r="AS264" s="13">
        <f t="shared" si="51"/>
        <v>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R15">
    <cfRule type="containsBlanks" dxfId="1" priority="2">
      <formula>LEN(TRIM(E14))=0</formula>
    </cfRule>
  </conditionalFormatting>
  <conditionalFormatting sqref="E19:AR20">
    <cfRule type="containsBlanks" dxfId="1" priority="3">
      <formula>LEN(TRIM(E19))=0</formula>
    </cfRule>
  </conditionalFormatting>
  <conditionalFormatting sqref="E22:AR23 E25:AR26 E33:AR33 E35:AR35 E39:AR40">
    <cfRule type="containsBlanks" dxfId="1" priority="4">
      <formula>LEN(TRIM(E22))=0</formula>
    </cfRule>
  </conditionalFormatting>
  <conditionalFormatting sqref="E30:AR30">
    <cfRule type="expression" dxfId="0" priority="5">
      <formula>E30&lt;&gt;E47</formula>
    </cfRule>
  </conditionalFormatting>
  <conditionalFormatting sqref="E30:AR30">
    <cfRule type="expression" dxfId="0" priority="6">
      <formula>E30&lt;&gt;E34</formula>
    </cfRule>
  </conditionalFormatting>
  <conditionalFormatting sqref="E34:AR34">
    <cfRule type="expression" dxfId="2" priority="7">
      <formula>E30&lt;&gt;E34</formula>
    </cfRule>
  </conditionalFormatting>
  <conditionalFormatting sqref="E34:AR34">
    <cfRule type="expression" dxfId="3" priority="8">
      <formula>E30=E34</formula>
    </cfRule>
  </conditionalFormatting>
  <conditionalFormatting sqref="E34:AR34">
    <cfRule type="expression" dxfId="0" priority="9">
      <formula>E34&lt;&gt;E30</formula>
    </cfRule>
  </conditionalFormatting>
  <conditionalFormatting sqref="E45:AR54">
    <cfRule type="containsBlanks" dxfId="1" priority="10">
      <formula>LEN(TRIM(E45))=0</formula>
    </cfRule>
  </conditionalFormatting>
  <conditionalFormatting sqref="E57:AR66">
    <cfRule type="containsBlanks" dxfId="1" priority="11">
      <formula>LEN(TRIM(E57))=0</formula>
    </cfRule>
  </conditionalFormatting>
  <conditionalFormatting sqref="E69:AR78">
    <cfRule type="containsBlanks" dxfId="1" priority="12">
      <formula>LEN(TRIM(E69))=0</formula>
    </cfRule>
  </conditionalFormatting>
  <conditionalFormatting sqref="E81:AR90">
    <cfRule type="containsBlanks" dxfId="1" priority="13">
      <formula>LEN(TRIM(E81))=0</formula>
    </cfRule>
  </conditionalFormatting>
  <conditionalFormatting sqref="E93:AR102">
    <cfRule type="containsBlanks" dxfId="1" priority="14">
      <formula>LEN(TRIM(E93))=0</formula>
    </cfRule>
  </conditionalFormatting>
  <conditionalFormatting sqref="E105:AR114">
    <cfRule type="containsBlanks" dxfId="1" priority="15">
      <formula>LEN(TRIM(E105))=0</formula>
    </cfRule>
  </conditionalFormatting>
  <conditionalFormatting sqref="E117:AR126">
    <cfRule type="containsBlanks" dxfId="1" priority="16">
      <formula>LEN(TRIM(E117))=0</formula>
    </cfRule>
  </conditionalFormatting>
  <conditionalFormatting sqref="E129:AR138">
    <cfRule type="containsBlanks" dxfId="1" priority="17">
      <formula>LEN(TRIM(E129))=0</formula>
    </cfRule>
  </conditionalFormatting>
  <conditionalFormatting sqref="E141:AR150">
    <cfRule type="containsBlanks" dxfId="1" priority="18">
      <formula>LEN(TRIM(E141))=0</formula>
    </cfRule>
  </conditionalFormatting>
  <conditionalFormatting sqref="E153:AR162">
    <cfRule type="containsBlanks" dxfId="1" priority="19">
      <formula>LEN(TRIM(E153))=0</formula>
    </cfRule>
  </conditionalFormatting>
  <conditionalFormatting sqref="E165:AR174">
    <cfRule type="containsBlanks" dxfId="1" priority="20">
      <formula>LEN(TRIM(E165))=0</formula>
    </cfRule>
  </conditionalFormatting>
  <conditionalFormatting sqref="E177:AR186">
    <cfRule type="containsBlanks" dxfId="1" priority="21">
      <formula>LEN(TRIM(E177))=0</formula>
    </cfRule>
  </conditionalFormatting>
  <conditionalFormatting sqref="E189:AR198">
    <cfRule type="containsBlanks" dxfId="1" priority="22">
      <formula>LEN(TRIM(E189))=0</formula>
    </cfRule>
  </conditionalFormatting>
  <conditionalFormatting sqref="E201:AR210">
    <cfRule type="containsBlanks" dxfId="1" priority="23">
      <formula>LEN(TRIM(E201))=0</formula>
    </cfRule>
  </conditionalFormatting>
  <conditionalFormatting sqref="E213:AR222">
    <cfRule type="containsBlanks" dxfId="1" priority="24">
      <formula>LEN(TRIM(E213))=0</formula>
    </cfRule>
  </conditionalFormatting>
  <conditionalFormatting sqref="E225:AR234">
    <cfRule type="containsBlanks" dxfId="1" priority="25">
      <formula>LEN(TRIM(E225))=0</formula>
    </cfRule>
  </conditionalFormatting>
  <conditionalFormatting sqref="E237:AR246">
    <cfRule type="containsBlanks" dxfId="1" priority="26">
      <formula>LEN(TRIM(E237))=0</formula>
    </cfRule>
  </conditionalFormatting>
  <conditionalFormatting sqref="E249:AR259">
    <cfRule type="containsBlanks" dxfId="1" priority="27">
      <formula>LEN(TRIM(E249))=0</formula>
    </cfRule>
  </conditionalFormatting>
  <conditionalFormatting sqref="E262:AR263">
    <cfRule type="containsBlanks" dxfId="1" priority="28">
      <formula>LEN(TRIM(E262))=0</formula>
    </cfRule>
  </conditionalFormatting>
  <conditionalFormatting sqref="U34:AR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145.0</v>
      </c>
      <c r="H14" s="19">
        <v>148.0</v>
      </c>
      <c r="I14" s="19">
        <v>114.0</v>
      </c>
      <c r="J14" s="19">
        <v>134.0</v>
      </c>
      <c r="K14" s="19">
        <v>130.0</v>
      </c>
      <c r="L14" s="19">
        <v>136.0</v>
      </c>
      <c r="M14" s="19">
        <v>132.0</v>
      </c>
      <c r="N14" s="19">
        <v>123.0</v>
      </c>
      <c r="O14" s="19">
        <v>117.0</v>
      </c>
      <c r="P14" s="19">
        <v>133.0</v>
      </c>
      <c r="Q14" s="19">
        <v>130.0</v>
      </c>
      <c r="R14" s="19">
        <v>132.0</v>
      </c>
      <c r="S14" s="19">
        <v>145.0</v>
      </c>
      <c r="T14" s="19">
        <v>128.0</v>
      </c>
      <c r="U14" s="19">
        <v>136.0</v>
      </c>
      <c r="V14" s="19">
        <v>122.0</v>
      </c>
      <c r="W14" s="19">
        <v>135.0</v>
      </c>
      <c r="X14" s="19">
        <v>135.0</v>
      </c>
      <c r="Y14" s="19">
        <v>141.0</v>
      </c>
      <c r="Z14" s="19">
        <v>133.0</v>
      </c>
      <c r="AA14" s="19">
        <v>142.0</v>
      </c>
      <c r="AB14" s="19">
        <v>158.0</v>
      </c>
      <c r="AC14" s="19">
        <v>141.0</v>
      </c>
      <c r="AD14" s="19">
        <v>146.0</v>
      </c>
      <c r="AE14" s="19">
        <v>131.0</v>
      </c>
      <c r="AF14" s="19">
        <v>140.0</v>
      </c>
      <c r="AG14" s="19">
        <v>134.0</v>
      </c>
      <c r="AH14" s="19">
        <v>133.0</v>
      </c>
      <c r="AI14" s="19">
        <v>121.0</v>
      </c>
      <c r="AJ14" s="19">
        <v>131.0</v>
      </c>
      <c r="AK14" s="19">
        <v>134.0</v>
      </c>
      <c r="AL14" s="13">
        <f t="shared" ref="AL14:AL16" si="1">SUM(E14:AK14)</f>
        <v>4432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128.0</v>
      </c>
      <c r="G15" s="19">
        <v>154.0</v>
      </c>
      <c r="H15" s="19">
        <v>150.0</v>
      </c>
      <c r="I15" s="19">
        <v>139.0</v>
      </c>
      <c r="J15" s="19">
        <v>132.0</v>
      </c>
      <c r="K15" s="19">
        <v>136.0</v>
      </c>
      <c r="L15" s="19">
        <v>129.0</v>
      </c>
      <c r="M15" s="19">
        <v>126.0</v>
      </c>
      <c r="N15" s="19">
        <v>136.0</v>
      </c>
      <c r="O15" s="19">
        <v>124.0</v>
      </c>
      <c r="P15" s="19">
        <v>141.0</v>
      </c>
      <c r="Q15" s="19">
        <v>129.0</v>
      </c>
      <c r="R15" s="19">
        <v>122.0</v>
      </c>
      <c r="S15" s="19">
        <v>141.0</v>
      </c>
      <c r="T15" s="19">
        <v>122.0</v>
      </c>
      <c r="U15" s="19">
        <v>132.0</v>
      </c>
      <c r="V15" s="19">
        <v>129.0</v>
      </c>
      <c r="W15" s="19">
        <v>134.0</v>
      </c>
      <c r="X15" s="19">
        <v>137.0</v>
      </c>
      <c r="Y15" s="19">
        <v>131.0</v>
      </c>
      <c r="Z15" s="19">
        <v>129.0</v>
      </c>
      <c r="AA15" s="19">
        <v>150.0</v>
      </c>
      <c r="AB15" s="19">
        <v>132.0</v>
      </c>
      <c r="AC15" s="19">
        <v>146.0</v>
      </c>
      <c r="AD15" s="19">
        <v>146.0</v>
      </c>
      <c r="AE15" s="19">
        <v>146.0</v>
      </c>
      <c r="AF15" s="19">
        <v>131.0</v>
      </c>
      <c r="AG15" s="19">
        <v>136.0</v>
      </c>
      <c r="AH15" s="19">
        <v>138.0</v>
      </c>
      <c r="AI15" s="19">
        <v>146.0</v>
      </c>
      <c r="AJ15" s="19">
        <v>140.0</v>
      </c>
      <c r="AK15" s="19">
        <v>132.0</v>
      </c>
      <c r="AL15" s="13">
        <f t="shared" si="1"/>
        <v>4482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274</v>
      </c>
      <c r="F16" s="13">
        <f t="shared" si="2"/>
        <v>264</v>
      </c>
      <c r="G16" s="13">
        <f t="shared" si="2"/>
        <v>299</v>
      </c>
      <c r="H16" s="13">
        <f t="shared" si="2"/>
        <v>298</v>
      </c>
      <c r="I16" s="13">
        <f t="shared" si="2"/>
        <v>253</v>
      </c>
      <c r="J16" s="13">
        <f t="shared" si="2"/>
        <v>266</v>
      </c>
      <c r="K16" s="13">
        <f t="shared" si="2"/>
        <v>266</v>
      </c>
      <c r="L16" s="13">
        <f t="shared" si="2"/>
        <v>265</v>
      </c>
      <c r="M16" s="13">
        <f t="shared" si="2"/>
        <v>258</v>
      </c>
      <c r="N16" s="13">
        <f t="shared" si="2"/>
        <v>259</v>
      </c>
      <c r="O16" s="13">
        <f t="shared" si="2"/>
        <v>241</v>
      </c>
      <c r="P16" s="13">
        <f t="shared" si="2"/>
        <v>274</v>
      </c>
      <c r="Q16" s="13">
        <f t="shared" si="2"/>
        <v>259</v>
      </c>
      <c r="R16" s="13">
        <f t="shared" si="2"/>
        <v>254</v>
      </c>
      <c r="S16" s="13">
        <f t="shared" si="2"/>
        <v>286</v>
      </c>
      <c r="T16" s="13">
        <f t="shared" si="2"/>
        <v>250</v>
      </c>
      <c r="U16" s="13">
        <f t="shared" si="2"/>
        <v>268</v>
      </c>
      <c r="V16" s="13">
        <f t="shared" si="2"/>
        <v>251</v>
      </c>
      <c r="W16" s="13">
        <f t="shared" si="2"/>
        <v>269</v>
      </c>
      <c r="X16" s="13">
        <f t="shared" si="2"/>
        <v>272</v>
      </c>
      <c r="Y16" s="13">
        <f t="shared" si="2"/>
        <v>272</v>
      </c>
      <c r="Z16" s="13">
        <f t="shared" si="2"/>
        <v>262</v>
      </c>
      <c r="AA16" s="13">
        <f t="shared" si="2"/>
        <v>292</v>
      </c>
      <c r="AB16" s="13">
        <f t="shared" si="2"/>
        <v>290</v>
      </c>
      <c r="AC16" s="13">
        <f t="shared" si="2"/>
        <v>287</v>
      </c>
      <c r="AD16" s="13">
        <f t="shared" si="2"/>
        <v>292</v>
      </c>
      <c r="AE16" s="13">
        <f t="shared" si="2"/>
        <v>277</v>
      </c>
      <c r="AF16" s="13">
        <f t="shared" si="2"/>
        <v>271</v>
      </c>
      <c r="AG16" s="13">
        <f t="shared" si="2"/>
        <v>270</v>
      </c>
      <c r="AH16" s="13">
        <f t="shared" si="2"/>
        <v>271</v>
      </c>
      <c r="AI16" s="13">
        <f t="shared" si="2"/>
        <v>267</v>
      </c>
      <c r="AJ16" s="13">
        <f t="shared" si="2"/>
        <v>271</v>
      </c>
      <c r="AK16" s="13">
        <f t="shared" si="2"/>
        <v>266</v>
      </c>
      <c r="AL16" s="13">
        <f t="shared" si="1"/>
        <v>8914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91.0</v>
      </c>
      <c r="G19" s="19">
        <v>115.0</v>
      </c>
      <c r="H19" s="19">
        <v>156.0</v>
      </c>
      <c r="I19" s="19">
        <v>75.0</v>
      </c>
      <c r="J19" s="19">
        <v>99.0</v>
      </c>
      <c r="K19" s="19">
        <v>86.0</v>
      </c>
      <c r="L19" s="19">
        <v>95.0</v>
      </c>
      <c r="M19" s="19">
        <v>93.0</v>
      </c>
      <c r="N19" s="19">
        <v>101.0</v>
      </c>
      <c r="O19" s="19">
        <v>68.0</v>
      </c>
      <c r="P19" s="19">
        <v>101.0</v>
      </c>
      <c r="Q19" s="19">
        <v>76.0</v>
      </c>
      <c r="R19" s="19">
        <v>101.0</v>
      </c>
      <c r="S19" s="19">
        <v>96.0</v>
      </c>
      <c r="T19" s="19">
        <v>92.0</v>
      </c>
      <c r="U19" s="19">
        <v>106.0</v>
      </c>
      <c r="V19" s="19">
        <v>95.0</v>
      </c>
      <c r="W19" s="19">
        <v>98.0</v>
      </c>
      <c r="X19" s="19">
        <v>102.0</v>
      </c>
      <c r="Y19" s="19">
        <v>104.0</v>
      </c>
      <c r="Z19" s="19">
        <v>102.0</v>
      </c>
      <c r="AA19" s="19">
        <v>107.0</v>
      </c>
      <c r="AB19" s="19">
        <v>109.0</v>
      </c>
      <c r="AC19" s="19">
        <v>107.0</v>
      </c>
      <c r="AD19" s="19">
        <v>104.0</v>
      </c>
      <c r="AE19" s="19">
        <v>112.0</v>
      </c>
      <c r="AF19" s="19">
        <v>111.0</v>
      </c>
      <c r="AG19" s="19">
        <v>108.0</v>
      </c>
      <c r="AH19" s="19">
        <v>104.0</v>
      </c>
      <c r="AI19" s="19">
        <v>100.0</v>
      </c>
      <c r="AJ19" s="19">
        <v>97.0</v>
      </c>
      <c r="AK19" s="19">
        <v>105.0</v>
      </c>
      <c r="AL19" s="13">
        <f t="shared" ref="AL19:AL30" si="3">SUM(E19:AK19)</f>
        <v>3314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103.0</v>
      </c>
      <c r="G20" s="19">
        <v>123.0</v>
      </c>
      <c r="H20" s="19">
        <v>90.0</v>
      </c>
      <c r="I20" s="19">
        <v>92.0</v>
      </c>
      <c r="J20" s="19">
        <v>103.0</v>
      </c>
      <c r="K20" s="19">
        <v>98.0</v>
      </c>
      <c r="L20" s="19">
        <v>101.0</v>
      </c>
      <c r="M20" s="19">
        <v>98.0</v>
      </c>
      <c r="N20" s="19">
        <v>118.0</v>
      </c>
      <c r="O20" s="19">
        <v>86.0</v>
      </c>
      <c r="P20" s="19">
        <v>115.0</v>
      </c>
      <c r="Q20" s="19">
        <v>92.0</v>
      </c>
      <c r="R20" s="19">
        <v>98.0</v>
      </c>
      <c r="S20" s="19">
        <v>103.0</v>
      </c>
      <c r="T20" s="19">
        <v>95.0</v>
      </c>
      <c r="U20" s="19">
        <v>108.0</v>
      </c>
      <c r="V20" s="19">
        <v>108.0</v>
      </c>
      <c r="W20" s="19">
        <v>101.0</v>
      </c>
      <c r="X20" s="19">
        <v>108.0</v>
      </c>
      <c r="Y20" s="19">
        <v>102.0</v>
      </c>
      <c r="Z20" s="19">
        <v>103.0</v>
      </c>
      <c r="AA20" s="19">
        <v>112.0</v>
      </c>
      <c r="AB20" s="19">
        <v>104.0</v>
      </c>
      <c r="AC20" s="19">
        <v>109.0</v>
      </c>
      <c r="AD20" s="19">
        <v>117.0</v>
      </c>
      <c r="AE20" s="19">
        <v>120.0</v>
      </c>
      <c r="AF20" s="19">
        <v>107.0</v>
      </c>
      <c r="AG20" s="19">
        <v>106.0</v>
      </c>
      <c r="AH20" s="19">
        <v>108.0</v>
      </c>
      <c r="AI20" s="19">
        <v>119.0</v>
      </c>
      <c r="AJ20" s="19">
        <v>118.0</v>
      </c>
      <c r="AK20" s="19">
        <v>106.0</v>
      </c>
      <c r="AL20" s="13">
        <f t="shared" si="3"/>
        <v>3473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194.0</v>
      </c>
      <c r="G21" s="13">
        <v>238.0</v>
      </c>
      <c r="H21" s="13">
        <v>246.0</v>
      </c>
      <c r="I21" s="13">
        <v>167.0</v>
      </c>
      <c r="J21" s="13">
        <v>202.0</v>
      </c>
      <c r="K21" s="13">
        <v>184.0</v>
      </c>
      <c r="L21" s="13">
        <v>196.0</v>
      </c>
      <c r="M21" s="13">
        <v>191.0</v>
      </c>
      <c r="N21" s="13">
        <v>219.0</v>
      </c>
      <c r="O21" s="13">
        <v>154.0</v>
      </c>
      <c r="P21" s="13">
        <v>216.0</v>
      </c>
      <c r="Q21" s="13">
        <v>168.0</v>
      </c>
      <c r="R21" s="13">
        <v>199.0</v>
      </c>
      <c r="S21" s="13">
        <v>199.0</v>
      </c>
      <c r="T21" s="13">
        <v>187.0</v>
      </c>
      <c r="U21" s="13">
        <v>214.0</v>
      </c>
      <c r="V21" s="13">
        <v>203.0</v>
      </c>
      <c r="W21" s="13">
        <v>199.0</v>
      </c>
      <c r="X21" s="13">
        <v>210.0</v>
      </c>
      <c r="Y21" s="13">
        <v>206.0</v>
      </c>
      <c r="Z21" s="13">
        <v>205.0</v>
      </c>
      <c r="AA21" s="13">
        <v>219.0</v>
      </c>
      <c r="AB21" s="13">
        <v>213.0</v>
      </c>
      <c r="AC21" s="13">
        <v>216.0</v>
      </c>
      <c r="AD21" s="13">
        <v>221.0</v>
      </c>
      <c r="AE21" s="13">
        <v>232.0</v>
      </c>
      <c r="AF21" s="13">
        <v>218.0</v>
      </c>
      <c r="AG21" s="13">
        <v>214.0</v>
      </c>
      <c r="AH21" s="13">
        <v>212.0</v>
      </c>
      <c r="AI21" s="13">
        <f t="shared" ref="AI21:AK21" si="4">SUM(AI19:AI20)</f>
        <v>219</v>
      </c>
      <c r="AJ21" s="13">
        <f t="shared" si="4"/>
        <v>215</v>
      </c>
      <c r="AK21" s="13">
        <f t="shared" si="4"/>
        <v>211</v>
      </c>
      <c r="AL21" s="13">
        <f t="shared" si="3"/>
        <v>6787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2.0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1.0</v>
      </c>
      <c r="H24" s="13">
        <v>0.0</v>
      </c>
      <c r="I24" s="13">
        <v>0.0</v>
      </c>
      <c r="J24" s="13">
        <v>0.0</v>
      </c>
      <c r="K24" s="13">
        <v>0.0</v>
      </c>
      <c r="L24" s="13">
        <v>1.0</v>
      </c>
      <c r="M24" s="13">
        <v>1.0</v>
      </c>
      <c r="N24" s="13">
        <v>0.0</v>
      </c>
      <c r="O24" s="13">
        <v>4.0</v>
      </c>
      <c r="P24" s="13">
        <v>0.0</v>
      </c>
      <c r="Q24" s="13">
        <v>0.0</v>
      </c>
      <c r="R24" s="13">
        <v>0.0</v>
      </c>
      <c r="S24" s="13">
        <v>0.0</v>
      </c>
      <c r="T24" s="13">
        <v>2.0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f t="shared" ref="AI24:AK24" si="5">SUM(AI22:AI23)</f>
        <v>0</v>
      </c>
      <c r="AJ24" s="13">
        <f t="shared" si="5"/>
        <v>0</v>
      </c>
      <c r="AK24" s="13">
        <f t="shared" si="5"/>
        <v>0</v>
      </c>
      <c r="AL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4.0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4.0</v>
      </c>
      <c r="S25" s="19">
        <v>2.0</v>
      </c>
      <c r="T25" s="19">
        <v>1.0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1.0</v>
      </c>
      <c r="AA25" s="19">
        <v>0.0</v>
      </c>
      <c r="AB25" s="19">
        <v>1.0</v>
      </c>
      <c r="AC25" s="19">
        <v>2.0</v>
      </c>
      <c r="AD25" s="19">
        <v>1.0</v>
      </c>
      <c r="AE25" s="19">
        <v>2.0</v>
      </c>
      <c r="AF25" s="19">
        <v>5.0</v>
      </c>
      <c r="AG25" s="19">
        <v>3.0</v>
      </c>
      <c r="AH25" s="19">
        <v>0.0</v>
      </c>
      <c r="AI25" s="19">
        <v>3.0</v>
      </c>
      <c r="AJ25" s="19">
        <v>2.0</v>
      </c>
      <c r="AK25" s="19">
        <v>3.0</v>
      </c>
      <c r="AL25" s="13">
        <f t="shared" si="3"/>
        <v>48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3.0</v>
      </c>
      <c r="I26" s="19">
        <v>1.0</v>
      </c>
      <c r="J26" s="19">
        <v>2.0</v>
      </c>
      <c r="K26" s="19">
        <v>2.0</v>
      </c>
      <c r="L26" s="19">
        <v>3.0</v>
      </c>
      <c r="M26" s="19">
        <v>1.0</v>
      </c>
      <c r="N26" s="19">
        <v>3.0</v>
      </c>
      <c r="O26" s="19">
        <v>2.0</v>
      </c>
      <c r="P26" s="19">
        <v>3.0</v>
      </c>
      <c r="Q26" s="19">
        <v>4.0</v>
      </c>
      <c r="R26" s="19">
        <v>1.0</v>
      </c>
      <c r="S26" s="19">
        <v>0.0</v>
      </c>
      <c r="T26" s="19">
        <v>0.0</v>
      </c>
      <c r="U26" s="19">
        <v>2.0</v>
      </c>
      <c r="V26" s="19">
        <v>1.0</v>
      </c>
      <c r="W26" s="19">
        <v>0.0</v>
      </c>
      <c r="X26" s="19">
        <v>0.0</v>
      </c>
      <c r="Y26" s="19">
        <v>1.0</v>
      </c>
      <c r="Z26" s="19">
        <v>5.0</v>
      </c>
      <c r="AA26" s="19">
        <v>1.0</v>
      </c>
      <c r="AB26" s="19">
        <v>3.0</v>
      </c>
      <c r="AC26" s="19">
        <v>1.0</v>
      </c>
      <c r="AD26" s="19">
        <v>4.0</v>
      </c>
      <c r="AE26" s="19">
        <v>3.0</v>
      </c>
      <c r="AF26" s="19">
        <v>3.0</v>
      </c>
      <c r="AG26" s="19">
        <v>2.0</v>
      </c>
      <c r="AH26" s="19">
        <v>0.0</v>
      </c>
      <c r="AI26" s="19">
        <v>3.0</v>
      </c>
      <c r="AJ26" s="19">
        <v>4.0</v>
      </c>
      <c r="AK26" s="19">
        <v>5.0</v>
      </c>
      <c r="AL26" s="13">
        <f t="shared" si="3"/>
        <v>66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1.0</v>
      </c>
      <c r="G27" s="13">
        <v>0.0</v>
      </c>
      <c r="H27" s="13">
        <v>6.0</v>
      </c>
      <c r="I27" s="13">
        <v>1.0</v>
      </c>
      <c r="J27" s="13">
        <v>6.0</v>
      </c>
      <c r="K27" s="13">
        <v>3.0</v>
      </c>
      <c r="L27" s="13">
        <v>4.0</v>
      </c>
      <c r="M27" s="13">
        <v>1.0</v>
      </c>
      <c r="N27" s="13">
        <v>6.0</v>
      </c>
      <c r="O27" s="13">
        <v>3.0</v>
      </c>
      <c r="P27" s="13">
        <v>5.0</v>
      </c>
      <c r="Q27" s="13">
        <v>5.0</v>
      </c>
      <c r="R27" s="13">
        <v>5.0</v>
      </c>
      <c r="S27" s="13">
        <v>2.0</v>
      </c>
      <c r="T27" s="13">
        <v>1.0</v>
      </c>
      <c r="U27" s="13">
        <v>2.0</v>
      </c>
      <c r="V27" s="13">
        <v>2.0</v>
      </c>
      <c r="W27" s="13">
        <v>0.0</v>
      </c>
      <c r="X27" s="13">
        <v>0.0</v>
      </c>
      <c r="Y27" s="13">
        <v>2.0</v>
      </c>
      <c r="Z27" s="13">
        <v>6.0</v>
      </c>
      <c r="AA27" s="13">
        <v>1.0</v>
      </c>
      <c r="AB27" s="13">
        <v>4.0</v>
      </c>
      <c r="AC27" s="13">
        <v>3.0</v>
      </c>
      <c r="AD27" s="13">
        <v>5.0</v>
      </c>
      <c r="AE27" s="13">
        <v>5.0</v>
      </c>
      <c r="AF27" s="13">
        <v>8.0</v>
      </c>
      <c r="AG27" s="13">
        <v>5.0</v>
      </c>
      <c r="AH27" s="13">
        <v>0.0</v>
      </c>
      <c r="AI27" s="13">
        <f t="shared" ref="AI27:AK27" si="6">SUM(AI25:AI26)</f>
        <v>6</v>
      </c>
      <c r="AJ27" s="13">
        <f t="shared" si="6"/>
        <v>6</v>
      </c>
      <c r="AK27" s="13">
        <f t="shared" si="6"/>
        <v>8</v>
      </c>
      <c r="AL27" s="13">
        <f t="shared" si="3"/>
        <v>114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98.0</v>
      </c>
      <c r="F28" s="13">
        <v>91.0</v>
      </c>
      <c r="G28" s="13">
        <v>116.0</v>
      </c>
      <c r="H28" s="13">
        <v>159.0</v>
      </c>
      <c r="I28" s="13">
        <v>75.0</v>
      </c>
      <c r="J28" s="13">
        <v>103.0</v>
      </c>
      <c r="K28" s="13">
        <v>87.0</v>
      </c>
      <c r="L28" s="13">
        <v>96.0</v>
      </c>
      <c r="M28" s="13">
        <v>94.0</v>
      </c>
      <c r="N28" s="13">
        <v>104.0</v>
      </c>
      <c r="O28" s="13">
        <v>71.0</v>
      </c>
      <c r="P28" s="13">
        <v>103.0</v>
      </c>
      <c r="Q28" s="13">
        <v>77.0</v>
      </c>
      <c r="R28" s="13">
        <v>105.0</v>
      </c>
      <c r="S28" s="13">
        <v>98.0</v>
      </c>
      <c r="T28" s="13">
        <v>94.0</v>
      </c>
      <c r="U28" s="13">
        <v>106.0</v>
      </c>
      <c r="V28" s="13">
        <v>96.0</v>
      </c>
      <c r="W28" s="13">
        <v>98.0</v>
      </c>
      <c r="X28" s="13">
        <v>102.0</v>
      </c>
      <c r="Y28" s="13">
        <v>105.0</v>
      </c>
      <c r="Z28" s="13">
        <v>103.0</v>
      </c>
      <c r="AA28" s="13">
        <v>107.0</v>
      </c>
      <c r="AB28" s="13">
        <v>110.0</v>
      </c>
      <c r="AC28" s="13">
        <v>109.0</v>
      </c>
      <c r="AD28" s="13">
        <v>105.0</v>
      </c>
      <c r="AE28" s="13">
        <v>114.0</v>
      </c>
      <c r="AF28" s="13">
        <v>116.0</v>
      </c>
      <c r="AG28" s="13">
        <v>111.0</v>
      </c>
      <c r="AH28" s="13">
        <v>104.0</v>
      </c>
      <c r="AI28" s="13">
        <f t="shared" ref="AI28:AK28" si="7">SUM(AI19,AI22,AI25)</f>
        <v>103</v>
      </c>
      <c r="AJ28" s="13">
        <f t="shared" si="7"/>
        <v>99</v>
      </c>
      <c r="AK28" s="13">
        <f t="shared" si="7"/>
        <v>108</v>
      </c>
      <c r="AL28" s="13">
        <f t="shared" si="3"/>
        <v>3367</v>
      </c>
    </row>
    <row r="29" ht="12.75" customHeight="1">
      <c r="A29" s="35"/>
      <c r="B29" s="27"/>
      <c r="C29" s="34"/>
      <c r="D29" s="13" t="s">
        <v>13</v>
      </c>
      <c r="E29" s="13">
        <v>104.0</v>
      </c>
      <c r="F29" s="13">
        <v>104.0</v>
      </c>
      <c r="G29" s="13">
        <v>123.0</v>
      </c>
      <c r="H29" s="13">
        <v>93.0</v>
      </c>
      <c r="I29" s="13">
        <v>93.0</v>
      </c>
      <c r="J29" s="13">
        <v>105.0</v>
      </c>
      <c r="K29" s="13">
        <v>100.0</v>
      </c>
      <c r="L29" s="13">
        <v>105.0</v>
      </c>
      <c r="M29" s="13">
        <v>99.0</v>
      </c>
      <c r="N29" s="13">
        <v>121.0</v>
      </c>
      <c r="O29" s="13">
        <v>90.0</v>
      </c>
      <c r="P29" s="13">
        <v>118.0</v>
      </c>
      <c r="Q29" s="13">
        <v>96.0</v>
      </c>
      <c r="R29" s="13">
        <v>99.0</v>
      </c>
      <c r="S29" s="13">
        <v>103.0</v>
      </c>
      <c r="T29" s="13">
        <v>96.0</v>
      </c>
      <c r="U29" s="13">
        <v>110.0</v>
      </c>
      <c r="V29" s="13">
        <v>109.0</v>
      </c>
      <c r="W29" s="13">
        <v>101.0</v>
      </c>
      <c r="X29" s="13">
        <v>108.0</v>
      </c>
      <c r="Y29" s="13">
        <v>103.0</v>
      </c>
      <c r="Z29" s="13">
        <v>108.0</v>
      </c>
      <c r="AA29" s="13">
        <v>113.0</v>
      </c>
      <c r="AB29" s="13">
        <v>107.0</v>
      </c>
      <c r="AC29" s="13">
        <v>110.0</v>
      </c>
      <c r="AD29" s="13">
        <v>121.0</v>
      </c>
      <c r="AE29" s="13">
        <v>123.0</v>
      </c>
      <c r="AF29" s="13">
        <v>110.0</v>
      </c>
      <c r="AG29" s="13">
        <v>108.0</v>
      </c>
      <c r="AH29" s="13">
        <v>108.0</v>
      </c>
      <c r="AI29" s="13">
        <f t="shared" ref="AI29:AK29" si="8">SUM(AI20,AI23,AI26)</f>
        <v>122</v>
      </c>
      <c r="AJ29" s="13">
        <f t="shared" si="8"/>
        <v>122</v>
      </c>
      <c r="AK29" s="13">
        <f t="shared" si="8"/>
        <v>111</v>
      </c>
      <c r="AL29" s="13">
        <f t="shared" si="3"/>
        <v>3543</v>
      </c>
    </row>
    <row r="30" ht="12.75" customHeight="1">
      <c r="A30" s="35"/>
      <c r="B30" s="28"/>
      <c r="C30" s="36"/>
      <c r="D30" s="13" t="s">
        <v>14</v>
      </c>
      <c r="E30" s="13">
        <v>202.0</v>
      </c>
      <c r="F30" s="13">
        <v>195.0</v>
      </c>
      <c r="G30" s="13">
        <v>239.0</v>
      </c>
      <c r="H30" s="13">
        <v>252.0</v>
      </c>
      <c r="I30" s="13">
        <v>168.0</v>
      </c>
      <c r="J30" s="13">
        <v>208.0</v>
      </c>
      <c r="K30" s="13">
        <v>187.0</v>
      </c>
      <c r="L30" s="13">
        <v>201.0</v>
      </c>
      <c r="M30" s="13">
        <v>193.0</v>
      </c>
      <c r="N30" s="13">
        <v>225.0</v>
      </c>
      <c r="O30" s="13">
        <v>161.0</v>
      </c>
      <c r="P30" s="13">
        <v>221.0</v>
      </c>
      <c r="Q30" s="13">
        <v>173.0</v>
      </c>
      <c r="R30" s="13">
        <v>204.0</v>
      </c>
      <c r="S30" s="13">
        <v>201.0</v>
      </c>
      <c r="T30" s="13">
        <v>190.0</v>
      </c>
      <c r="U30" s="13">
        <v>216.0</v>
      </c>
      <c r="V30" s="13">
        <v>205.0</v>
      </c>
      <c r="W30" s="13">
        <v>199.0</v>
      </c>
      <c r="X30" s="13">
        <v>210.0</v>
      </c>
      <c r="Y30" s="13">
        <v>208.0</v>
      </c>
      <c r="Z30" s="13">
        <v>211.0</v>
      </c>
      <c r="AA30" s="13">
        <v>220.0</v>
      </c>
      <c r="AB30" s="13">
        <v>217.0</v>
      </c>
      <c r="AC30" s="13">
        <v>219.0</v>
      </c>
      <c r="AD30" s="13">
        <v>226.0</v>
      </c>
      <c r="AE30" s="13">
        <v>237.0</v>
      </c>
      <c r="AF30" s="13">
        <v>226.0</v>
      </c>
      <c r="AG30" s="13">
        <v>219.0</v>
      </c>
      <c r="AH30" s="13">
        <v>212.0</v>
      </c>
      <c r="AI30" s="13">
        <f t="shared" ref="AI30:AK30" si="9">SUM(AI28:AI29)</f>
        <v>225</v>
      </c>
      <c r="AJ30" s="13">
        <f t="shared" si="9"/>
        <v>221</v>
      </c>
      <c r="AK30" s="13">
        <f t="shared" si="9"/>
        <v>219</v>
      </c>
      <c r="AL30" s="13">
        <f t="shared" si="3"/>
        <v>6910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8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270.0</v>
      </c>
      <c r="G33" s="19">
        <v>305.0</v>
      </c>
      <c r="H33" s="19">
        <v>284.0</v>
      </c>
      <c r="I33" s="19">
        <v>259.0</v>
      </c>
      <c r="J33" s="19">
        <v>271.0</v>
      </c>
      <c r="K33" s="19">
        <v>272.0</v>
      </c>
      <c r="L33" s="19">
        <v>271.0</v>
      </c>
      <c r="M33" s="19">
        <v>264.0</v>
      </c>
      <c r="N33" s="19">
        <v>255.0</v>
      </c>
      <c r="O33" s="19">
        <v>236.0</v>
      </c>
      <c r="P33" s="19">
        <v>280.0</v>
      </c>
      <c r="Q33" s="19">
        <v>265.0</v>
      </c>
      <c r="R33" s="19">
        <v>259.0</v>
      </c>
      <c r="S33" s="19">
        <v>262.0</v>
      </c>
      <c r="T33" s="19">
        <v>255.0</v>
      </c>
      <c r="U33" s="19">
        <v>274.0</v>
      </c>
      <c r="V33" s="19">
        <v>288.0</v>
      </c>
      <c r="W33" s="19">
        <v>265.0</v>
      </c>
      <c r="X33" s="19">
        <v>278.0</v>
      </c>
      <c r="Y33" s="19">
        <v>288.0</v>
      </c>
      <c r="Z33" s="19">
        <v>268.0</v>
      </c>
      <c r="AA33" s="19">
        <v>298.0</v>
      </c>
      <c r="AB33" s="19">
        <v>276.0</v>
      </c>
      <c r="AC33" s="19">
        <v>293.0</v>
      </c>
      <c r="AD33" s="19">
        <v>279.0</v>
      </c>
      <c r="AE33" s="19">
        <v>283.0</v>
      </c>
      <c r="AF33" s="19">
        <v>278.0</v>
      </c>
      <c r="AG33" s="19">
        <v>276.0</v>
      </c>
      <c r="AH33" s="19">
        <v>267.0</v>
      </c>
      <c r="AI33" s="19">
        <v>243.0</v>
      </c>
      <c r="AJ33" s="19">
        <v>277.0</v>
      </c>
      <c r="AK33" s="19">
        <v>262.0</v>
      </c>
      <c r="AL33" s="13">
        <f t="shared" ref="AL33:AL36" si="10">SUM(E33:AK33)</f>
        <v>8981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195.0</v>
      </c>
      <c r="G34" s="13">
        <v>239.0</v>
      </c>
      <c r="H34" s="13">
        <v>252.0</v>
      </c>
      <c r="I34" s="13">
        <v>168.0</v>
      </c>
      <c r="J34" s="13">
        <v>208.0</v>
      </c>
      <c r="K34" s="13">
        <v>187.0</v>
      </c>
      <c r="L34" s="13">
        <v>201.0</v>
      </c>
      <c r="M34" s="13">
        <v>193.0</v>
      </c>
      <c r="N34" s="13">
        <v>225.0</v>
      </c>
      <c r="O34" s="13">
        <v>161.0</v>
      </c>
      <c r="P34" s="13">
        <v>221.0</v>
      </c>
      <c r="Q34" s="13">
        <v>173.0</v>
      </c>
      <c r="R34" s="13">
        <v>204.0</v>
      </c>
      <c r="S34" s="13">
        <v>201.0</v>
      </c>
      <c r="T34" s="13">
        <v>190.0</v>
      </c>
      <c r="U34" s="13">
        <v>216.0</v>
      </c>
      <c r="V34" s="13">
        <v>205.0</v>
      </c>
      <c r="W34" s="13">
        <v>199.0</v>
      </c>
      <c r="X34" s="13">
        <v>210.0</v>
      </c>
      <c r="Y34" s="13">
        <v>208.0</v>
      </c>
      <c r="Z34" s="13">
        <v>211.0</v>
      </c>
      <c r="AA34" s="13">
        <v>220.0</v>
      </c>
      <c r="AB34" s="13">
        <v>217.0</v>
      </c>
      <c r="AC34" s="13">
        <v>219.0</v>
      </c>
      <c r="AD34" s="13">
        <v>226.0</v>
      </c>
      <c r="AE34" s="13">
        <v>237.0</v>
      </c>
      <c r="AF34" s="13">
        <v>226.0</v>
      </c>
      <c r="AG34" s="13">
        <v>219.0</v>
      </c>
      <c r="AH34" s="13">
        <v>212.0</v>
      </c>
      <c r="AI34" s="13">
        <v>225.0</v>
      </c>
      <c r="AJ34" s="13">
        <v>221.0</v>
      </c>
      <c r="AK34" s="13">
        <v>219.0</v>
      </c>
      <c r="AL34" s="13">
        <f t="shared" si="10"/>
        <v>6910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3.0</v>
      </c>
      <c r="AD35" s="19">
        <v>0.0</v>
      </c>
      <c r="AE35" s="19">
        <v>2.0</v>
      </c>
      <c r="AF35" s="19">
        <v>0.0</v>
      </c>
      <c r="AG35" s="19">
        <v>0.0</v>
      </c>
      <c r="AH35" s="19">
        <v>0.0</v>
      </c>
      <c r="AI35" s="19">
        <v>6.0</v>
      </c>
      <c r="AJ35" s="19">
        <v>0.0</v>
      </c>
      <c r="AK35" s="19">
        <v>8.0</v>
      </c>
      <c r="AL35" s="13">
        <f t="shared" si="10"/>
        <v>27</v>
      </c>
    </row>
    <row r="36" ht="12.75" customHeight="1">
      <c r="A36" s="19">
        <v>4.0</v>
      </c>
      <c r="B36" s="20" t="s">
        <v>30</v>
      </c>
      <c r="C36" s="15"/>
      <c r="D36" s="16"/>
      <c r="E36" s="13">
        <v>78.0</v>
      </c>
      <c r="F36" s="13">
        <v>75.0</v>
      </c>
      <c r="G36" s="13">
        <v>64.0</v>
      </c>
      <c r="H36" s="13">
        <v>32.0</v>
      </c>
      <c r="I36" s="13">
        <v>91.0</v>
      </c>
      <c r="J36" s="13">
        <v>63.0</v>
      </c>
      <c r="K36" s="13">
        <v>85.0</v>
      </c>
      <c r="L36" s="13">
        <v>70.0</v>
      </c>
      <c r="M36" s="13">
        <v>71.0</v>
      </c>
      <c r="N36" s="13">
        <v>29.0</v>
      </c>
      <c r="O36" s="13">
        <v>75.0</v>
      </c>
      <c r="P36" s="13">
        <v>59.0</v>
      </c>
      <c r="Q36" s="13">
        <v>92.0</v>
      </c>
      <c r="R36" s="13">
        <v>55.0</v>
      </c>
      <c r="S36" s="13">
        <v>59.0</v>
      </c>
      <c r="T36" s="13">
        <v>65.0</v>
      </c>
      <c r="U36" s="13">
        <v>58.0</v>
      </c>
      <c r="V36" s="13">
        <v>81.0</v>
      </c>
      <c r="W36" s="13">
        <v>66.0</v>
      </c>
      <c r="X36" s="13">
        <v>68.0</v>
      </c>
      <c r="Y36" s="13">
        <v>80.0</v>
      </c>
      <c r="Z36" s="13">
        <v>56.0</v>
      </c>
      <c r="AA36" s="13">
        <v>78.0</v>
      </c>
      <c r="AB36" s="13">
        <v>59.0</v>
      </c>
      <c r="AC36" s="13">
        <v>71.0</v>
      </c>
      <c r="AD36" s="13">
        <v>53.0</v>
      </c>
      <c r="AE36" s="13">
        <v>44.0</v>
      </c>
      <c r="AF36" s="13">
        <v>52.0</v>
      </c>
      <c r="AG36" s="13">
        <v>57.0</v>
      </c>
      <c r="AH36" s="13">
        <v>55.0</v>
      </c>
      <c r="AI36" s="13">
        <f t="shared" ref="AI36:AK36" si="11">AI33-(AI34+AI35)</f>
        <v>12</v>
      </c>
      <c r="AJ36" s="13">
        <f t="shared" si="11"/>
        <v>56</v>
      </c>
      <c r="AK36" s="13">
        <f t="shared" si="11"/>
        <v>35</v>
      </c>
      <c r="AL36" s="13">
        <f t="shared" si="10"/>
        <v>2044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67"/>
      <c r="AG42" s="19"/>
      <c r="AH42" s="67"/>
      <c r="AI42" s="19"/>
      <c r="AJ42" s="67"/>
      <c r="AK42" s="19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69"/>
      <c r="AI43" s="13"/>
      <c r="AJ43" s="69"/>
      <c r="AK43" s="13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67"/>
      <c r="AG44" s="19"/>
      <c r="AH44" s="67"/>
      <c r="AI44" s="19"/>
      <c r="AJ44" s="67"/>
      <c r="AK44" s="19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0.0</v>
      </c>
      <c r="G45" s="19">
        <v>3.0</v>
      </c>
      <c r="H45" s="19">
        <v>4.0</v>
      </c>
      <c r="I45" s="19">
        <v>1.0</v>
      </c>
      <c r="J45" s="19">
        <v>4.0</v>
      </c>
      <c r="K45" s="19">
        <v>4.0</v>
      </c>
      <c r="L45" s="19">
        <v>7.0</v>
      </c>
      <c r="M45" s="19">
        <v>7.0</v>
      </c>
      <c r="N45" s="19">
        <v>4.0</v>
      </c>
      <c r="O45" s="19">
        <v>3.0</v>
      </c>
      <c r="P45" s="19">
        <v>4.0</v>
      </c>
      <c r="Q45" s="19">
        <v>6.0</v>
      </c>
      <c r="R45" s="19">
        <v>7.0</v>
      </c>
      <c r="S45" s="19">
        <v>11.0</v>
      </c>
      <c r="T45" s="19">
        <v>15.0</v>
      </c>
      <c r="U45" s="19">
        <v>4.0</v>
      </c>
      <c r="V45" s="19">
        <v>5.0</v>
      </c>
      <c r="W45" s="19">
        <v>3.0</v>
      </c>
      <c r="X45" s="19">
        <v>6.0</v>
      </c>
      <c r="Y45" s="19">
        <v>2.0</v>
      </c>
      <c r="Z45" s="19">
        <v>9.0</v>
      </c>
      <c r="AA45" s="19">
        <v>5.0</v>
      </c>
      <c r="AB45" s="19">
        <v>7.0</v>
      </c>
      <c r="AC45" s="19">
        <v>6.0</v>
      </c>
      <c r="AD45" s="19">
        <v>1.0</v>
      </c>
      <c r="AE45" s="19">
        <v>8.0</v>
      </c>
      <c r="AF45" s="19">
        <v>1.0</v>
      </c>
      <c r="AG45" s="19">
        <v>8.0</v>
      </c>
      <c r="AH45" s="19">
        <v>7.0</v>
      </c>
      <c r="AI45" s="19">
        <v>9.0</v>
      </c>
      <c r="AJ45" s="19">
        <v>11.0</v>
      </c>
      <c r="AK45" s="19">
        <v>9.0</v>
      </c>
      <c r="AL45" s="13">
        <f t="shared" ref="AL45:AL52" si="14">SUM(E45:AK45)</f>
        <v>184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5.0</v>
      </c>
      <c r="F46" s="19">
        <v>7.0</v>
      </c>
      <c r="G46" s="19">
        <v>11.0</v>
      </c>
      <c r="H46" s="19">
        <v>20.0</v>
      </c>
      <c r="I46" s="19">
        <v>2.0</v>
      </c>
      <c r="J46" s="19">
        <v>6.0</v>
      </c>
      <c r="K46" s="19">
        <v>10.0</v>
      </c>
      <c r="L46" s="19">
        <v>8.0</v>
      </c>
      <c r="M46" s="19">
        <v>10.0</v>
      </c>
      <c r="N46" s="19">
        <v>14.0</v>
      </c>
      <c r="O46" s="19">
        <v>15.0</v>
      </c>
      <c r="P46" s="19">
        <v>16.0</v>
      </c>
      <c r="Q46" s="19">
        <v>4.0</v>
      </c>
      <c r="R46" s="19">
        <v>12.0</v>
      </c>
      <c r="S46" s="19">
        <v>31.0</v>
      </c>
      <c r="T46" s="19">
        <v>40.0</v>
      </c>
      <c r="U46" s="19">
        <v>16.0</v>
      </c>
      <c r="V46" s="19">
        <v>15.0</v>
      </c>
      <c r="W46" s="19">
        <v>5.0</v>
      </c>
      <c r="X46" s="19">
        <v>2.0</v>
      </c>
      <c r="Y46" s="19">
        <v>8.0</v>
      </c>
      <c r="Z46" s="19">
        <v>5.0</v>
      </c>
      <c r="AA46" s="19">
        <v>11.0</v>
      </c>
      <c r="AB46" s="19">
        <v>9.0</v>
      </c>
      <c r="AC46" s="19">
        <v>11.0</v>
      </c>
      <c r="AD46" s="19">
        <v>5.0</v>
      </c>
      <c r="AE46" s="19">
        <v>16.0</v>
      </c>
      <c r="AF46" s="19">
        <v>8.0</v>
      </c>
      <c r="AG46" s="19">
        <v>15.0</v>
      </c>
      <c r="AH46" s="19">
        <v>17.0</v>
      </c>
      <c r="AI46" s="19">
        <v>23.0</v>
      </c>
      <c r="AJ46" s="19">
        <v>23.0</v>
      </c>
      <c r="AK46" s="19">
        <v>20.0</v>
      </c>
      <c r="AL46" s="13">
        <f t="shared" si="14"/>
        <v>420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5.0</v>
      </c>
      <c r="H47" s="19">
        <v>2.0</v>
      </c>
      <c r="I47" s="19">
        <v>1.0</v>
      </c>
      <c r="J47" s="19">
        <v>0.0</v>
      </c>
      <c r="K47" s="19">
        <v>2.0</v>
      </c>
      <c r="L47" s="19">
        <v>1.0</v>
      </c>
      <c r="M47" s="19">
        <v>1.0</v>
      </c>
      <c r="N47" s="19">
        <v>0.0</v>
      </c>
      <c r="O47" s="19">
        <v>4.0</v>
      </c>
      <c r="P47" s="19">
        <v>1.0</v>
      </c>
      <c r="Q47" s="19">
        <v>0.0</v>
      </c>
      <c r="R47" s="19">
        <v>2.0</v>
      </c>
      <c r="S47" s="19">
        <v>3.0</v>
      </c>
      <c r="T47" s="19">
        <v>12.0</v>
      </c>
      <c r="U47" s="19">
        <v>2.0</v>
      </c>
      <c r="V47" s="19">
        <v>1.0</v>
      </c>
      <c r="W47" s="19">
        <v>1.0</v>
      </c>
      <c r="X47" s="19">
        <v>0.0</v>
      </c>
      <c r="Y47" s="19">
        <v>1.0</v>
      </c>
      <c r="Z47" s="19">
        <v>0.0</v>
      </c>
      <c r="AA47" s="19">
        <v>1.0</v>
      </c>
      <c r="AB47" s="19">
        <v>1.0</v>
      </c>
      <c r="AC47" s="19">
        <v>0.0</v>
      </c>
      <c r="AD47" s="19">
        <v>4.0</v>
      </c>
      <c r="AE47" s="19">
        <v>0.0</v>
      </c>
      <c r="AF47" s="19">
        <v>1.0</v>
      </c>
      <c r="AG47" s="19">
        <v>5.0</v>
      </c>
      <c r="AH47" s="19">
        <v>7.0</v>
      </c>
      <c r="AI47" s="19">
        <v>3.0</v>
      </c>
      <c r="AJ47" s="19">
        <v>1.0</v>
      </c>
      <c r="AK47" s="19">
        <v>3.0</v>
      </c>
      <c r="AL47" s="13">
        <f t="shared" si="14"/>
        <v>67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1.0</v>
      </c>
      <c r="J48" s="19">
        <v>0.0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0.0</v>
      </c>
      <c r="Q48" s="19">
        <v>1.0</v>
      </c>
      <c r="R48" s="19">
        <v>0.0</v>
      </c>
      <c r="S48" s="19">
        <v>1.0</v>
      </c>
      <c r="T48" s="19">
        <v>0.0</v>
      </c>
      <c r="U48" s="19">
        <v>0.0</v>
      </c>
      <c r="V48" s="19">
        <v>0.0</v>
      </c>
      <c r="W48" s="19">
        <v>1.0</v>
      </c>
      <c r="X48" s="19">
        <v>0.0</v>
      </c>
      <c r="Y48" s="19">
        <v>0.0</v>
      </c>
      <c r="Z48" s="19">
        <v>1.0</v>
      </c>
      <c r="AA48" s="19">
        <v>0.0</v>
      </c>
      <c r="AB48" s="19">
        <v>1.0</v>
      </c>
      <c r="AC48" s="19">
        <v>0.0</v>
      </c>
      <c r="AD48" s="19">
        <v>2.0</v>
      </c>
      <c r="AE48" s="19">
        <v>1.0</v>
      </c>
      <c r="AF48" s="19">
        <v>1.0</v>
      </c>
      <c r="AG48" s="19">
        <v>2.0</v>
      </c>
      <c r="AH48" s="19">
        <v>5.0</v>
      </c>
      <c r="AI48" s="19">
        <v>0.0</v>
      </c>
      <c r="AJ48" s="19">
        <v>0.0</v>
      </c>
      <c r="AK48" s="19">
        <v>1.0</v>
      </c>
      <c r="AL48" s="13">
        <f t="shared" si="14"/>
        <v>22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1.0</v>
      </c>
      <c r="S49" s="19">
        <v>0.0</v>
      </c>
      <c r="T49" s="19">
        <v>0.0</v>
      </c>
      <c r="U49" s="19">
        <v>1.0</v>
      </c>
      <c r="V49" s="19">
        <v>2.0</v>
      </c>
      <c r="W49" s="19">
        <v>2.0</v>
      </c>
      <c r="X49" s="19">
        <v>0.0</v>
      </c>
      <c r="Y49" s="19">
        <v>2.0</v>
      </c>
      <c r="Z49" s="19">
        <v>0.0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1.0</v>
      </c>
      <c r="AH49" s="19">
        <v>1.0</v>
      </c>
      <c r="AI49" s="19">
        <v>0.0</v>
      </c>
      <c r="AJ49" s="19">
        <v>0.0</v>
      </c>
      <c r="AK49" s="19">
        <v>0.0</v>
      </c>
      <c r="AL49" s="13">
        <f t="shared" si="14"/>
        <v>14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0.0</v>
      </c>
      <c r="G50" s="19">
        <v>2.0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2.0</v>
      </c>
      <c r="U50" s="19">
        <v>1.0</v>
      </c>
      <c r="V50" s="19">
        <v>1.0</v>
      </c>
      <c r="W50" s="19">
        <v>1.0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1.0</v>
      </c>
      <c r="AI50" s="19">
        <v>0.0</v>
      </c>
      <c r="AJ50" s="19">
        <v>0.0</v>
      </c>
      <c r="AK50" s="19">
        <v>0.0</v>
      </c>
      <c r="AL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2.0</v>
      </c>
      <c r="I51" s="19">
        <v>0.0</v>
      </c>
      <c r="J51" s="19">
        <v>0.0</v>
      </c>
      <c r="K51" s="19">
        <v>1.0</v>
      </c>
      <c r="L51" s="19">
        <v>0.0</v>
      </c>
      <c r="M51" s="19">
        <v>2.0</v>
      </c>
      <c r="N51" s="19">
        <v>2.0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9">
        <v>4.0</v>
      </c>
      <c r="AE51" s="19">
        <v>3.0</v>
      </c>
      <c r="AF51" s="19">
        <v>1.0</v>
      </c>
      <c r="AG51" s="19">
        <v>0.0</v>
      </c>
      <c r="AH51" s="19">
        <v>0.0</v>
      </c>
      <c r="AI51" s="19">
        <v>1.0</v>
      </c>
      <c r="AJ51" s="19">
        <v>0.0</v>
      </c>
      <c r="AK51" s="19">
        <v>0.0</v>
      </c>
      <c r="AL51" s="13">
        <f t="shared" si="14"/>
        <v>20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3">
        <f t="shared" si="14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K55" si="15">SUM(E45:E52)</f>
        <v>13</v>
      </c>
      <c r="F55" s="13">
        <f t="shared" si="15"/>
        <v>9</v>
      </c>
      <c r="G55" s="13">
        <f t="shared" si="15"/>
        <v>21</v>
      </c>
      <c r="H55" s="13">
        <f t="shared" si="15"/>
        <v>31</v>
      </c>
      <c r="I55" s="13">
        <f t="shared" si="15"/>
        <v>5</v>
      </c>
      <c r="J55" s="13">
        <f t="shared" si="15"/>
        <v>10</v>
      </c>
      <c r="K55" s="13">
        <f t="shared" si="15"/>
        <v>18</v>
      </c>
      <c r="L55" s="13">
        <f t="shared" si="15"/>
        <v>18</v>
      </c>
      <c r="M55" s="13">
        <f t="shared" si="15"/>
        <v>20</v>
      </c>
      <c r="N55" s="13">
        <f t="shared" si="15"/>
        <v>20</v>
      </c>
      <c r="O55" s="13">
        <f t="shared" si="15"/>
        <v>22</v>
      </c>
      <c r="P55" s="13">
        <f t="shared" si="15"/>
        <v>22</v>
      </c>
      <c r="Q55" s="13">
        <f t="shared" si="15"/>
        <v>12</v>
      </c>
      <c r="R55" s="13">
        <f t="shared" si="15"/>
        <v>22</v>
      </c>
      <c r="S55" s="13">
        <f t="shared" si="15"/>
        <v>47</v>
      </c>
      <c r="T55" s="13">
        <f t="shared" si="15"/>
        <v>69</v>
      </c>
      <c r="U55" s="13">
        <f t="shared" si="15"/>
        <v>25</v>
      </c>
      <c r="V55" s="13">
        <f t="shared" si="15"/>
        <v>25</v>
      </c>
      <c r="W55" s="13">
        <f t="shared" si="15"/>
        <v>13</v>
      </c>
      <c r="X55" s="13">
        <f t="shared" si="15"/>
        <v>8</v>
      </c>
      <c r="Y55" s="13">
        <f t="shared" si="15"/>
        <v>13</v>
      </c>
      <c r="Z55" s="13">
        <f t="shared" si="15"/>
        <v>15</v>
      </c>
      <c r="AA55" s="13">
        <f t="shared" si="15"/>
        <v>18</v>
      </c>
      <c r="AB55" s="13">
        <f t="shared" si="15"/>
        <v>19</v>
      </c>
      <c r="AC55" s="13">
        <f t="shared" si="15"/>
        <v>17</v>
      </c>
      <c r="AD55" s="13">
        <f t="shared" si="15"/>
        <v>16</v>
      </c>
      <c r="AE55" s="13">
        <f t="shared" si="15"/>
        <v>28</v>
      </c>
      <c r="AF55" s="13">
        <f t="shared" si="15"/>
        <v>12</v>
      </c>
      <c r="AG55" s="13">
        <f t="shared" si="15"/>
        <v>31</v>
      </c>
      <c r="AH55" s="13">
        <f t="shared" si="15"/>
        <v>38</v>
      </c>
      <c r="AI55" s="13">
        <f t="shared" si="15"/>
        <v>36</v>
      </c>
      <c r="AJ55" s="13">
        <f t="shared" si="15"/>
        <v>35</v>
      </c>
      <c r="AK55" s="13">
        <f t="shared" si="15"/>
        <v>33</v>
      </c>
      <c r="AL55" s="13">
        <f>SUM(E55:AK55)</f>
        <v>741</v>
      </c>
    </row>
    <row r="56" ht="12.75" customHeight="1">
      <c r="A56" s="45"/>
      <c r="B56" s="44"/>
      <c r="C56" s="44"/>
      <c r="D56" s="44"/>
      <c r="E56" s="44"/>
      <c r="AL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13.0</v>
      </c>
      <c r="G57" s="19">
        <v>10.0</v>
      </c>
      <c r="H57" s="19">
        <v>13.0</v>
      </c>
      <c r="I57" s="19">
        <v>7.0</v>
      </c>
      <c r="J57" s="19">
        <v>11.0</v>
      </c>
      <c r="K57" s="19">
        <v>3.0</v>
      </c>
      <c r="L57" s="19">
        <v>10.0</v>
      </c>
      <c r="M57" s="19">
        <v>10.0</v>
      </c>
      <c r="N57" s="19">
        <v>3.0</v>
      </c>
      <c r="O57" s="19">
        <v>10.0</v>
      </c>
      <c r="P57" s="19">
        <v>6.0</v>
      </c>
      <c r="Q57" s="19">
        <v>12.0</v>
      </c>
      <c r="R57" s="19">
        <v>14.0</v>
      </c>
      <c r="S57" s="19">
        <v>6.0</v>
      </c>
      <c r="T57" s="19">
        <v>10.0</v>
      </c>
      <c r="U57" s="19">
        <v>18.0</v>
      </c>
      <c r="V57" s="19">
        <v>11.0</v>
      </c>
      <c r="W57" s="19">
        <v>8.0</v>
      </c>
      <c r="X57" s="19">
        <v>3.0</v>
      </c>
      <c r="Y57" s="19">
        <v>7.0</v>
      </c>
      <c r="Z57" s="19">
        <v>8.0</v>
      </c>
      <c r="AA57" s="19">
        <v>8.0</v>
      </c>
      <c r="AB57" s="19">
        <v>20.0</v>
      </c>
      <c r="AC57" s="19">
        <v>6.0</v>
      </c>
      <c r="AD57" s="19">
        <v>14.0</v>
      </c>
      <c r="AE57" s="19">
        <v>15.0</v>
      </c>
      <c r="AF57" s="19">
        <v>9.0</v>
      </c>
      <c r="AG57" s="19">
        <v>6.0</v>
      </c>
      <c r="AH57" s="19">
        <v>7.0</v>
      </c>
      <c r="AI57" s="19">
        <v>21.0</v>
      </c>
      <c r="AJ57" s="19">
        <v>16.0</v>
      </c>
      <c r="AK57" s="19">
        <v>4.0</v>
      </c>
      <c r="AL57" s="13">
        <f t="shared" ref="AL57:AL64" si="16">SUM(E57:AK57)</f>
        <v>324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11.0</v>
      </c>
      <c r="F58" s="19">
        <v>17.0</v>
      </c>
      <c r="G58" s="19">
        <v>12.0</v>
      </c>
      <c r="H58" s="19">
        <v>5.0</v>
      </c>
      <c r="I58" s="19">
        <v>3.0</v>
      </c>
      <c r="J58" s="19">
        <v>6.0</v>
      </c>
      <c r="K58" s="19">
        <v>3.0</v>
      </c>
      <c r="L58" s="19">
        <v>3.0</v>
      </c>
      <c r="M58" s="19">
        <v>13.0</v>
      </c>
      <c r="N58" s="19">
        <v>13.0</v>
      </c>
      <c r="O58" s="19">
        <v>14.0</v>
      </c>
      <c r="P58" s="19">
        <v>4.0</v>
      </c>
      <c r="Q58" s="19">
        <v>9.0</v>
      </c>
      <c r="R58" s="19">
        <v>3.0</v>
      </c>
      <c r="S58" s="19">
        <v>3.0</v>
      </c>
      <c r="T58" s="19">
        <v>5.0</v>
      </c>
      <c r="U58" s="19">
        <v>2.0</v>
      </c>
      <c r="V58" s="19">
        <v>5.0</v>
      </c>
      <c r="W58" s="19">
        <v>6.0</v>
      </c>
      <c r="X58" s="19">
        <v>4.0</v>
      </c>
      <c r="Y58" s="19">
        <v>8.0</v>
      </c>
      <c r="Z58" s="19">
        <v>3.0</v>
      </c>
      <c r="AA58" s="19">
        <v>4.0</v>
      </c>
      <c r="AB58" s="19">
        <v>13.0</v>
      </c>
      <c r="AC58" s="19">
        <v>4.0</v>
      </c>
      <c r="AD58" s="19">
        <v>2.0</v>
      </c>
      <c r="AE58" s="19">
        <v>6.0</v>
      </c>
      <c r="AF58" s="19">
        <v>3.0</v>
      </c>
      <c r="AG58" s="19">
        <v>5.0</v>
      </c>
      <c r="AH58" s="19">
        <v>4.0</v>
      </c>
      <c r="AI58" s="19">
        <v>5.0</v>
      </c>
      <c r="AJ58" s="19">
        <v>4.0</v>
      </c>
      <c r="AK58" s="19">
        <v>6.0</v>
      </c>
      <c r="AL58" s="13">
        <f t="shared" si="16"/>
        <v>208</v>
      </c>
    </row>
    <row r="59" ht="12.75" customHeight="1">
      <c r="A59" s="18"/>
      <c r="B59" s="55">
        <v>2.0</v>
      </c>
      <c r="C59" s="50" t="s">
        <v>50</v>
      </c>
      <c r="D59" s="56"/>
      <c r="E59" s="19">
        <v>9.0</v>
      </c>
      <c r="F59" s="19">
        <v>18.0</v>
      </c>
      <c r="G59" s="19">
        <v>5.0</v>
      </c>
      <c r="H59" s="19">
        <v>1.0</v>
      </c>
      <c r="I59" s="19">
        <v>1.0</v>
      </c>
      <c r="J59" s="19">
        <v>5.0</v>
      </c>
      <c r="K59" s="19">
        <v>2.0</v>
      </c>
      <c r="L59" s="19">
        <v>4.0</v>
      </c>
      <c r="M59" s="19">
        <v>4.0</v>
      </c>
      <c r="N59" s="19">
        <v>2.0</v>
      </c>
      <c r="O59" s="19">
        <v>7.0</v>
      </c>
      <c r="P59" s="19">
        <v>3.0</v>
      </c>
      <c r="Q59" s="19">
        <v>1.0</v>
      </c>
      <c r="R59" s="19">
        <v>53.0</v>
      </c>
      <c r="S59" s="19">
        <v>33.0</v>
      </c>
      <c r="T59" s="19">
        <v>31.0</v>
      </c>
      <c r="U59" s="19">
        <v>42.0</v>
      </c>
      <c r="V59" s="19">
        <v>27.0</v>
      </c>
      <c r="W59" s="19">
        <v>2.0</v>
      </c>
      <c r="X59" s="19">
        <v>8.0</v>
      </c>
      <c r="Y59" s="19">
        <v>2.0</v>
      </c>
      <c r="Z59" s="19">
        <v>2.0</v>
      </c>
      <c r="AA59" s="19">
        <v>4.0</v>
      </c>
      <c r="AB59" s="19">
        <v>7.0</v>
      </c>
      <c r="AC59" s="19">
        <v>7.0</v>
      </c>
      <c r="AD59" s="19">
        <v>4.0</v>
      </c>
      <c r="AE59" s="19">
        <v>3.0</v>
      </c>
      <c r="AF59" s="19">
        <v>4.0</v>
      </c>
      <c r="AG59" s="19">
        <v>0.0</v>
      </c>
      <c r="AH59" s="19">
        <v>2.0</v>
      </c>
      <c r="AI59" s="19">
        <v>4.0</v>
      </c>
      <c r="AJ59" s="19">
        <v>2.0</v>
      </c>
      <c r="AK59" s="19">
        <v>2.0</v>
      </c>
      <c r="AL59" s="13">
        <f t="shared" si="16"/>
        <v>301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2.0</v>
      </c>
      <c r="L60" s="19">
        <v>0.0</v>
      </c>
      <c r="M60" s="19">
        <v>1.0</v>
      </c>
      <c r="N60" s="19">
        <v>0.0</v>
      </c>
      <c r="O60" s="19">
        <v>0.0</v>
      </c>
      <c r="P60" s="19">
        <v>0.0</v>
      </c>
      <c r="Q60" s="19">
        <v>0.0</v>
      </c>
      <c r="R60" s="19">
        <v>2.0</v>
      </c>
      <c r="S60" s="19">
        <v>3.0</v>
      </c>
      <c r="T60" s="19">
        <v>1.0</v>
      </c>
      <c r="U60" s="19">
        <v>0.0</v>
      </c>
      <c r="V60" s="19">
        <v>2.0</v>
      </c>
      <c r="W60" s="19">
        <v>0.0</v>
      </c>
      <c r="X60" s="19">
        <v>3.0</v>
      </c>
      <c r="Y60" s="19">
        <v>1.0</v>
      </c>
      <c r="Z60" s="19">
        <v>0.0</v>
      </c>
      <c r="AA60" s="19">
        <v>2.0</v>
      </c>
      <c r="AB60" s="19">
        <v>0.0</v>
      </c>
      <c r="AC60" s="19">
        <v>0.0</v>
      </c>
      <c r="AD60" s="19">
        <v>0.0</v>
      </c>
      <c r="AE60" s="19">
        <v>2.0</v>
      </c>
      <c r="AF60" s="19">
        <v>0.0</v>
      </c>
      <c r="AG60" s="19">
        <v>2.0</v>
      </c>
      <c r="AH60" s="19">
        <v>0.0</v>
      </c>
      <c r="AI60" s="19">
        <v>0.0</v>
      </c>
      <c r="AJ60" s="19">
        <v>1.0</v>
      </c>
      <c r="AK60" s="19">
        <v>0.0</v>
      </c>
      <c r="AL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0.0</v>
      </c>
      <c r="G61" s="19">
        <v>1.0</v>
      </c>
      <c r="H61" s="19">
        <v>2.0</v>
      </c>
      <c r="I61" s="19">
        <v>1.0</v>
      </c>
      <c r="J61" s="19">
        <v>1.0</v>
      </c>
      <c r="K61" s="19">
        <v>4.0</v>
      </c>
      <c r="L61" s="19">
        <v>2.0</v>
      </c>
      <c r="M61" s="19">
        <v>2.0</v>
      </c>
      <c r="N61" s="19">
        <v>1.0</v>
      </c>
      <c r="O61" s="19">
        <v>3.0</v>
      </c>
      <c r="P61" s="19">
        <v>0.0</v>
      </c>
      <c r="Q61" s="19">
        <v>1.0</v>
      </c>
      <c r="R61" s="19">
        <v>1.0</v>
      </c>
      <c r="S61" s="19">
        <v>1.0</v>
      </c>
      <c r="T61" s="19">
        <v>1.0</v>
      </c>
      <c r="U61" s="19">
        <v>1.0</v>
      </c>
      <c r="V61" s="19">
        <v>1.0</v>
      </c>
      <c r="W61" s="19">
        <v>1.0</v>
      </c>
      <c r="X61" s="19">
        <v>0.0</v>
      </c>
      <c r="Y61" s="19">
        <v>0.0</v>
      </c>
      <c r="Z61" s="19">
        <v>4.0</v>
      </c>
      <c r="AA61" s="19">
        <v>1.0</v>
      </c>
      <c r="AB61" s="19">
        <v>1.0</v>
      </c>
      <c r="AC61" s="19">
        <v>2.0</v>
      </c>
      <c r="AD61" s="19">
        <v>4.0</v>
      </c>
      <c r="AE61" s="19">
        <v>4.0</v>
      </c>
      <c r="AF61" s="19">
        <v>3.0</v>
      </c>
      <c r="AG61" s="19">
        <v>13.0</v>
      </c>
      <c r="AH61" s="19">
        <v>5.0</v>
      </c>
      <c r="AI61" s="19">
        <v>1.0</v>
      </c>
      <c r="AJ61" s="19">
        <v>2.0</v>
      </c>
      <c r="AK61" s="19">
        <v>1.0</v>
      </c>
      <c r="AL61" s="13">
        <f t="shared" si="16"/>
        <v>67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1.0</v>
      </c>
      <c r="AF62" s="19">
        <v>0.0</v>
      </c>
      <c r="AG62" s="19">
        <v>0.0</v>
      </c>
      <c r="AH62" s="19">
        <v>1.0</v>
      </c>
      <c r="AI62" s="19">
        <v>0.0</v>
      </c>
      <c r="AJ62" s="19">
        <v>2.0</v>
      </c>
      <c r="AK62" s="19">
        <v>0.0</v>
      </c>
      <c r="AL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1.0</v>
      </c>
      <c r="V63" s="19">
        <v>0.0</v>
      </c>
      <c r="W63" s="19">
        <v>2.0</v>
      </c>
      <c r="X63" s="19">
        <v>2.0</v>
      </c>
      <c r="Y63" s="19">
        <v>1.0</v>
      </c>
      <c r="Z63" s="19">
        <v>1.0</v>
      </c>
      <c r="AA63" s="19">
        <v>1.0</v>
      </c>
      <c r="AB63" s="19">
        <v>0.0</v>
      </c>
      <c r="AC63" s="19">
        <v>0.0</v>
      </c>
      <c r="AD63" s="19">
        <v>1.0</v>
      </c>
      <c r="AE63" s="19">
        <v>1.0</v>
      </c>
      <c r="AF63" s="19">
        <v>0.0</v>
      </c>
      <c r="AG63" s="19">
        <v>0.0</v>
      </c>
      <c r="AH63" s="19">
        <v>2.0</v>
      </c>
      <c r="AI63" s="19">
        <v>1.0</v>
      </c>
      <c r="AJ63" s="19">
        <v>2.0</v>
      </c>
      <c r="AK63" s="19">
        <v>2.0</v>
      </c>
      <c r="AL63" s="13">
        <f t="shared" si="16"/>
        <v>20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1.0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2.0</v>
      </c>
      <c r="AB64" s="19">
        <v>0.0</v>
      </c>
      <c r="AC64" s="19">
        <v>0.0</v>
      </c>
      <c r="AD64" s="19">
        <v>0.0</v>
      </c>
      <c r="AE64" s="19">
        <v>1.0</v>
      </c>
      <c r="AF64" s="19">
        <v>0.0</v>
      </c>
      <c r="AG64" s="19">
        <v>2.0</v>
      </c>
      <c r="AH64" s="19">
        <v>0.0</v>
      </c>
      <c r="AI64" s="19">
        <v>0.0</v>
      </c>
      <c r="AJ64" s="19">
        <v>0.0</v>
      </c>
      <c r="AK64" s="19">
        <v>0.0</v>
      </c>
      <c r="AL64" s="13">
        <f t="shared" si="16"/>
        <v>8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K67" si="17">SUM(E57:E64)</f>
        <v>29</v>
      </c>
      <c r="F67" s="13">
        <f t="shared" si="17"/>
        <v>48</v>
      </c>
      <c r="G67" s="13">
        <f t="shared" si="17"/>
        <v>29</v>
      </c>
      <c r="H67" s="13">
        <f t="shared" si="17"/>
        <v>21</v>
      </c>
      <c r="I67" s="13">
        <f t="shared" si="17"/>
        <v>12</v>
      </c>
      <c r="J67" s="13">
        <f t="shared" si="17"/>
        <v>24</v>
      </c>
      <c r="K67" s="13">
        <f t="shared" si="17"/>
        <v>15</v>
      </c>
      <c r="L67" s="13">
        <f t="shared" si="17"/>
        <v>19</v>
      </c>
      <c r="M67" s="13">
        <f t="shared" si="17"/>
        <v>30</v>
      </c>
      <c r="N67" s="13">
        <f t="shared" si="17"/>
        <v>20</v>
      </c>
      <c r="O67" s="13">
        <f t="shared" si="17"/>
        <v>35</v>
      </c>
      <c r="P67" s="13">
        <f t="shared" si="17"/>
        <v>14</v>
      </c>
      <c r="Q67" s="13">
        <f t="shared" si="17"/>
        <v>24</v>
      </c>
      <c r="R67" s="13">
        <f t="shared" si="17"/>
        <v>74</v>
      </c>
      <c r="S67" s="13">
        <f t="shared" si="17"/>
        <v>46</v>
      </c>
      <c r="T67" s="13">
        <f t="shared" si="17"/>
        <v>48</v>
      </c>
      <c r="U67" s="13">
        <f t="shared" si="17"/>
        <v>64</v>
      </c>
      <c r="V67" s="13">
        <f t="shared" si="17"/>
        <v>46</v>
      </c>
      <c r="W67" s="13">
        <f t="shared" si="17"/>
        <v>20</v>
      </c>
      <c r="X67" s="13">
        <f t="shared" si="17"/>
        <v>20</v>
      </c>
      <c r="Y67" s="13">
        <f t="shared" si="17"/>
        <v>19</v>
      </c>
      <c r="Z67" s="13">
        <f t="shared" si="17"/>
        <v>18</v>
      </c>
      <c r="AA67" s="13">
        <f t="shared" si="17"/>
        <v>22</v>
      </c>
      <c r="AB67" s="13">
        <f t="shared" si="17"/>
        <v>41</v>
      </c>
      <c r="AC67" s="13">
        <f t="shared" si="17"/>
        <v>19</v>
      </c>
      <c r="AD67" s="13">
        <f t="shared" si="17"/>
        <v>25</v>
      </c>
      <c r="AE67" s="13">
        <f t="shared" si="17"/>
        <v>33</v>
      </c>
      <c r="AF67" s="13">
        <f t="shared" si="17"/>
        <v>19</v>
      </c>
      <c r="AG67" s="13">
        <f t="shared" si="17"/>
        <v>28</v>
      </c>
      <c r="AH67" s="13">
        <f t="shared" si="17"/>
        <v>21</v>
      </c>
      <c r="AI67" s="13">
        <f t="shared" si="17"/>
        <v>32</v>
      </c>
      <c r="AJ67" s="13">
        <f t="shared" si="17"/>
        <v>29</v>
      </c>
      <c r="AK67" s="13">
        <f t="shared" si="17"/>
        <v>15</v>
      </c>
      <c r="AL67" s="13">
        <f>SUM(E67:AK67)</f>
        <v>959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13.0</v>
      </c>
      <c r="F69" s="19">
        <v>6.0</v>
      </c>
      <c r="G69" s="19">
        <v>7.0</v>
      </c>
      <c r="H69" s="19">
        <v>13.0</v>
      </c>
      <c r="I69" s="19">
        <v>10.0</v>
      </c>
      <c r="J69" s="19">
        <v>17.0</v>
      </c>
      <c r="K69" s="19">
        <v>9.0</v>
      </c>
      <c r="L69" s="19">
        <v>10.0</v>
      </c>
      <c r="M69" s="19">
        <v>8.0</v>
      </c>
      <c r="N69" s="19">
        <v>7.0</v>
      </c>
      <c r="O69" s="19">
        <v>5.0</v>
      </c>
      <c r="P69" s="19">
        <v>11.0</v>
      </c>
      <c r="Q69" s="19">
        <v>13.0</v>
      </c>
      <c r="R69" s="19">
        <v>13.0</v>
      </c>
      <c r="S69" s="19">
        <v>4.0</v>
      </c>
      <c r="T69" s="19">
        <v>6.0</v>
      </c>
      <c r="U69" s="19">
        <v>9.0</v>
      </c>
      <c r="V69" s="19">
        <v>15.0</v>
      </c>
      <c r="W69" s="19">
        <v>18.0</v>
      </c>
      <c r="X69" s="19">
        <v>26.0</v>
      </c>
      <c r="Y69" s="19">
        <v>19.0</v>
      </c>
      <c r="Z69" s="19">
        <v>51.0</v>
      </c>
      <c r="AA69" s="19">
        <v>18.0</v>
      </c>
      <c r="AB69" s="19">
        <v>18.0</v>
      </c>
      <c r="AC69" s="19">
        <v>16.0</v>
      </c>
      <c r="AD69" s="19">
        <v>17.0</v>
      </c>
      <c r="AE69" s="19">
        <v>18.0</v>
      </c>
      <c r="AF69" s="19">
        <v>16.0</v>
      </c>
      <c r="AG69" s="19">
        <v>17.0</v>
      </c>
      <c r="AH69" s="19">
        <v>20.0</v>
      </c>
      <c r="AI69" s="19">
        <v>8.0</v>
      </c>
      <c r="AJ69" s="19">
        <v>17.0</v>
      </c>
      <c r="AK69" s="19">
        <v>13.0</v>
      </c>
      <c r="AL69" s="13">
        <f t="shared" ref="AL69:AL76" si="18">SUM(E69:AK69)</f>
        <v>468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67.0</v>
      </c>
      <c r="F70" s="19">
        <v>63.0</v>
      </c>
      <c r="G70" s="19">
        <v>53.0</v>
      </c>
      <c r="H70" s="19">
        <v>52.0</v>
      </c>
      <c r="I70" s="19">
        <v>61.0</v>
      </c>
      <c r="J70" s="19">
        <v>62.0</v>
      </c>
      <c r="K70" s="19">
        <v>39.0</v>
      </c>
      <c r="L70" s="19">
        <v>54.0</v>
      </c>
      <c r="M70" s="19">
        <v>28.0</v>
      </c>
      <c r="N70" s="19">
        <v>21.0</v>
      </c>
      <c r="O70" s="19">
        <v>14.0</v>
      </c>
      <c r="P70" s="19">
        <v>105.0</v>
      </c>
      <c r="Q70" s="19">
        <v>11.0</v>
      </c>
      <c r="R70" s="19">
        <v>19.0</v>
      </c>
      <c r="S70" s="19">
        <v>6.0</v>
      </c>
      <c r="T70" s="19">
        <v>9.0</v>
      </c>
      <c r="U70" s="19">
        <v>5.0</v>
      </c>
      <c r="V70" s="19">
        <v>8.0</v>
      </c>
      <c r="W70" s="19">
        <v>22.0</v>
      </c>
      <c r="X70" s="19">
        <v>65.0</v>
      </c>
      <c r="Y70" s="19">
        <v>51.0</v>
      </c>
      <c r="Z70" s="19">
        <v>58.0</v>
      </c>
      <c r="AA70" s="19">
        <v>41.0</v>
      </c>
      <c r="AB70" s="19">
        <v>24.0</v>
      </c>
      <c r="AC70" s="19">
        <v>9.0</v>
      </c>
      <c r="AD70" s="19">
        <v>30.0</v>
      </c>
      <c r="AE70" s="19">
        <v>12.0</v>
      </c>
      <c r="AF70" s="19">
        <v>11.0</v>
      </c>
      <c r="AG70" s="19">
        <v>27.0</v>
      </c>
      <c r="AH70" s="19">
        <v>12.0</v>
      </c>
      <c r="AI70" s="19">
        <v>18.0</v>
      </c>
      <c r="AJ70" s="19">
        <v>20.0</v>
      </c>
      <c r="AK70" s="19">
        <v>12.0</v>
      </c>
      <c r="AL70" s="13">
        <f t="shared" si="18"/>
        <v>1089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2.0</v>
      </c>
      <c r="G71" s="19">
        <v>3.0</v>
      </c>
      <c r="H71" s="19">
        <v>2.0</v>
      </c>
      <c r="I71" s="19">
        <v>3.0</v>
      </c>
      <c r="J71" s="19">
        <v>2.0</v>
      </c>
      <c r="K71" s="19">
        <v>1.0</v>
      </c>
      <c r="L71" s="19">
        <v>3.0</v>
      </c>
      <c r="M71" s="19">
        <v>2.0</v>
      </c>
      <c r="N71" s="19">
        <v>0.0</v>
      </c>
      <c r="O71" s="19">
        <v>1.0</v>
      </c>
      <c r="P71" s="19">
        <v>1.0</v>
      </c>
      <c r="Q71" s="19">
        <v>0.0</v>
      </c>
      <c r="R71" s="19">
        <v>3.0</v>
      </c>
      <c r="S71" s="19">
        <v>1.0</v>
      </c>
      <c r="T71" s="19">
        <v>3.0</v>
      </c>
      <c r="U71" s="19">
        <v>4.0</v>
      </c>
      <c r="V71" s="19">
        <v>7.0</v>
      </c>
      <c r="W71" s="19">
        <v>2.0</v>
      </c>
      <c r="X71" s="19">
        <v>7.0</v>
      </c>
      <c r="Y71" s="19">
        <v>5.0</v>
      </c>
      <c r="Z71" s="19">
        <v>1.0</v>
      </c>
      <c r="AA71" s="19">
        <v>2.0</v>
      </c>
      <c r="AB71" s="19">
        <v>7.0</v>
      </c>
      <c r="AC71" s="19">
        <v>5.0</v>
      </c>
      <c r="AD71" s="19">
        <v>8.0</v>
      </c>
      <c r="AE71" s="19">
        <v>10.0</v>
      </c>
      <c r="AF71" s="19">
        <v>13.0</v>
      </c>
      <c r="AG71" s="19">
        <v>7.0</v>
      </c>
      <c r="AH71" s="19">
        <v>9.0</v>
      </c>
      <c r="AI71" s="19">
        <v>5.0</v>
      </c>
      <c r="AJ71" s="19">
        <v>2.0</v>
      </c>
      <c r="AK71" s="19">
        <v>0.0</v>
      </c>
      <c r="AL71" s="13">
        <f t="shared" si="18"/>
        <v>127</v>
      </c>
    </row>
    <row r="72" ht="12.75" customHeight="1">
      <c r="A72" s="18"/>
      <c r="B72" s="55">
        <v>3.0</v>
      </c>
      <c r="C72" s="50" t="s">
        <v>59</v>
      </c>
      <c r="D72" s="57"/>
      <c r="E72" s="19">
        <v>7.0</v>
      </c>
      <c r="F72" s="19">
        <v>1.0</v>
      </c>
      <c r="G72" s="19">
        <v>0.0</v>
      </c>
      <c r="H72" s="19">
        <v>1.0</v>
      </c>
      <c r="I72" s="19">
        <v>5.0</v>
      </c>
      <c r="J72" s="19">
        <v>1.0</v>
      </c>
      <c r="K72" s="19">
        <v>3.0</v>
      </c>
      <c r="L72" s="19">
        <v>4.0</v>
      </c>
      <c r="M72" s="19">
        <v>6.0</v>
      </c>
      <c r="N72" s="19">
        <v>3.0</v>
      </c>
      <c r="O72" s="19">
        <v>5.0</v>
      </c>
      <c r="P72" s="19">
        <v>4.0</v>
      </c>
      <c r="Q72" s="19">
        <v>8.0</v>
      </c>
      <c r="R72" s="19">
        <v>8.0</v>
      </c>
      <c r="S72" s="19">
        <v>3.0</v>
      </c>
      <c r="T72" s="19">
        <v>1.0</v>
      </c>
      <c r="U72" s="19">
        <v>6.0</v>
      </c>
      <c r="V72" s="19">
        <v>29.0</v>
      </c>
      <c r="W72" s="19">
        <v>37.0</v>
      </c>
      <c r="X72" s="19">
        <v>7.0</v>
      </c>
      <c r="Y72" s="19">
        <v>5.0</v>
      </c>
      <c r="Z72" s="19">
        <v>8.0</v>
      </c>
      <c r="AA72" s="19">
        <v>12.0</v>
      </c>
      <c r="AB72" s="19">
        <v>52.0</v>
      </c>
      <c r="AC72" s="19">
        <v>74.0</v>
      </c>
      <c r="AD72" s="19">
        <v>40.0</v>
      </c>
      <c r="AE72" s="19">
        <v>16.0</v>
      </c>
      <c r="AF72" s="19">
        <v>29.0</v>
      </c>
      <c r="AG72" s="19">
        <v>14.0</v>
      </c>
      <c r="AH72" s="19">
        <v>21.0</v>
      </c>
      <c r="AI72" s="19">
        <v>18.0</v>
      </c>
      <c r="AJ72" s="19">
        <v>3.0</v>
      </c>
      <c r="AK72" s="19">
        <v>9.0</v>
      </c>
      <c r="AL72" s="13">
        <f t="shared" si="18"/>
        <v>440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3.0</v>
      </c>
      <c r="G73" s="19">
        <v>1.0</v>
      </c>
      <c r="H73" s="19">
        <v>1.0</v>
      </c>
      <c r="I73" s="19">
        <v>0.0</v>
      </c>
      <c r="J73" s="19">
        <v>1.0</v>
      </c>
      <c r="K73" s="19">
        <v>1.0</v>
      </c>
      <c r="L73" s="19">
        <v>0.0</v>
      </c>
      <c r="M73" s="19">
        <v>0.0</v>
      </c>
      <c r="N73" s="19">
        <v>0.0</v>
      </c>
      <c r="O73" s="19">
        <v>0.0</v>
      </c>
      <c r="P73" s="19">
        <v>4.0</v>
      </c>
      <c r="Q73" s="19">
        <v>1.0</v>
      </c>
      <c r="R73" s="19">
        <v>1.0</v>
      </c>
      <c r="S73" s="19">
        <v>1.0</v>
      </c>
      <c r="T73" s="19">
        <v>2.0</v>
      </c>
      <c r="U73" s="19">
        <v>0.0</v>
      </c>
      <c r="V73" s="19">
        <v>1.0</v>
      </c>
      <c r="W73" s="19">
        <v>0.0</v>
      </c>
      <c r="X73" s="19">
        <v>0.0</v>
      </c>
      <c r="Y73" s="19">
        <v>1.0</v>
      </c>
      <c r="Z73" s="19">
        <v>2.0</v>
      </c>
      <c r="AA73" s="19">
        <v>1.0</v>
      </c>
      <c r="AB73" s="19">
        <v>1.0</v>
      </c>
      <c r="AC73" s="19">
        <v>0.0</v>
      </c>
      <c r="AD73" s="19">
        <v>5.0</v>
      </c>
      <c r="AE73" s="19">
        <v>2.0</v>
      </c>
      <c r="AF73" s="19">
        <v>0.0</v>
      </c>
      <c r="AG73" s="19">
        <v>1.0</v>
      </c>
      <c r="AH73" s="19">
        <v>1.0</v>
      </c>
      <c r="AI73" s="19">
        <v>0.0</v>
      </c>
      <c r="AJ73" s="19">
        <v>1.0</v>
      </c>
      <c r="AK73" s="19">
        <v>2.0</v>
      </c>
      <c r="AL73" s="13">
        <f t="shared" si="18"/>
        <v>34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3.0</v>
      </c>
      <c r="G74" s="19">
        <v>2.0</v>
      </c>
      <c r="H74" s="19">
        <v>1.0</v>
      </c>
      <c r="I74" s="19">
        <v>2.0</v>
      </c>
      <c r="J74" s="19">
        <v>3.0</v>
      </c>
      <c r="K74" s="19">
        <v>2.0</v>
      </c>
      <c r="L74" s="19">
        <v>1.0</v>
      </c>
      <c r="M74" s="19">
        <v>0.0</v>
      </c>
      <c r="N74" s="19">
        <v>10.0</v>
      </c>
      <c r="O74" s="19">
        <v>3.0</v>
      </c>
      <c r="P74" s="19">
        <v>4.0</v>
      </c>
      <c r="Q74" s="19">
        <v>16.0</v>
      </c>
      <c r="R74" s="19">
        <v>5.0</v>
      </c>
      <c r="S74" s="19">
        <v>4.0</v>
      </c>
      <c r="T74" s="19">
        <v>3.0</v>
      </c>
      <c r="U74" s="19">
        <v>1.0</v>
      </c>
      <c r="V74" s="19">
        <v>2.0</v>
      </c>
      <c r="W74" s="19">
        <v>3.0</v>
      </c>
      <c r="X74" s="19">
        <v>7.0</v>
      </c>
      <c r="Y74" s="19">
        <v>10.0</v>
      </c>
      <c r="Z74" s="19">
        <v>3.0</v>
      </c>
      <c r="AA74" s="19">
        <v>14.0</v>
      </c>
      <c r="AB74" s="19">
        <v>2.0</v>
      </c>
      <c r="AC74" s="19">
        <v>2.0</v>
      </c>
      <c r="AD74" s="19">
        <v>2.0</v>
      </c>
      <c r="AE74" s="19">
        <v>3.0</v>
      </c>
      <c r="AF74" s="19">
        <v>2.0</v>
      </c>
      <c r="AG74" s="19">
        <v>3.0</v>
      </c>
      <c r="AH74" s="19">
        <v>3.0</v>
      </c>
      <c r="AI74" s="19">
        <v>4.0</v>
      </c>
      <c r="AJ74" s="19">
        <v>2.0</v>
      </c>
      <c r="AK74" s="19">
        <v>1.0</v>
      </c>
      <c r="AL74" s="13">
        <f t="shared" si="18"/>
        <v>125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1.0</v>
      </c>
      <c r="S75" s="19">
        <v>0.0</v>
      </c>
      <c r="T75" s="19">
        <v>4.0</v>
      </c>
      <c r="U75" s="19">
        <v>1.0</v>
      </c>
      <c r="V75" s="19">
        <v>0.0</v>
      </c>
      <c r="W75" s="19">
        <v>2.0</v>
      </c>
      <c r="X75" s="19">
        <v>3.0</v>
      </c>
      <c r="Y75" s="19">
        <v>2.0</v>
      </c>
      <c r="Z75" s="19">
        <v>1.0</v>
      </c>
      <c r="AA75" s="19">
        <v>2.0</v>
      </c>
      <c r="AB75" s="19">
        <v>1.0</v>
      </c>
      <c r="AC75" s="19">
        <v>1.0</v>
      </c>
      <c r="AD75" s="19">
        <v>1.0</v>
      </c>
      <c r="AE75" s="19">
        <v>0.0</v>
      </c>
      <c r="AF75" s="19">
        <v>1.0</v>
      </c>
      <c r="AG75" s="19">
        <v>1.0</v>
      </c>
      <c r="AH75" s="19">
        <v>3.0</v>
      </c>
      <c r="AI75" s="19">
        <v>3.0</v>
      </c>
      <c r="AJ75" s="19">
        <v>1.0</v>
      </c>
      <c r="AK75" s="19">
        <v>0.0</v>
      </c>
      <c r="AL75" s="13">
        <f t="shared" si="18"/>
        <v>30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1.0</v>
      </c>
      <c r="H76" s="19">
        <v>1.0</v>
      </c>
      <c r="I76" s="19">
        <v>8.0</v>
      </c>
      <c r="J76" s="19">
        <v>21.0</v>
      </c>
      <c r="K76" s="19">
        <v>22.0</v>
      </c>
      <c r="L76" s="19">
        <v>5.0</v>
      </c>
      <c r="M76" s="19">
        <v>8.0</v>
      </c>
      <c r="N76" s="19">
        <v>6.0</v>
      </c>
      <c r="O76" s="19">
        <v>0.0</v>
      </c>
      <c r="P76" s="19">
        <v>2.0</v>
      </c>
      <c r="Q76" s="19">
        <v>25.0</v>
      </c>
      <c r="R76" s="19">
        <v>4.0</v>
      </c>
      <c r="S76" s="19">
        <v>1.0</v>
      </c>
      <c r="T76" s="19">
        <v>0.0</v>
      </c>
      <c r="U76" s="19">
        <v>1.0</v>
      </c>
      <c r="V76" s="19">
        <v>1.0</v>
      </c>
      <c r="W76" s="19">
        <v>0.0</v>
      </c>
      <c r="X76" s="19">
        <v>0.0</v>
      </c>
      <c r="Y76" s="19">
        <v>5.0</v>
      </c>
      <c r="Z76" s="19">
        <v>7.0</v>
      </c>
      <c r="AA76" s="19">
        <v>1.0</v>
      </c>
      <c r="AB76" s="19">
        <v>0.0</v>
      </c>
      <c r="AC76" s="19">
        <v>0.0</v>
      </c>
      <c r="AD76" s="19">
        <v>5.0</v>
      </c>
      <c r="AE76" s="19">
        <v>1.0</v>
      </c>
      <c r="AF76" s="19">
        <v>0.0</v>
      </c>
      <c r="AG76" s="19">
        <v>6.0</v>
      </c>
      <c r="AH76" s="19">
        <v>9.0</v>
      </c>
      <c r="AI76" s="19">
        <v>10.0</v>
      </c>
      <c r="AJ76" s="19">
        <v>3.0</v>
      </c>
      <c r="AK76" s="19">
        <v>0.0</v>
      </c>
      <c r="AL76" s="13">
        <f t="shared" si="18"/>
        <v>154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K79" si="19">SUM(E69:E76)</f>
        <v>95</v>
      </c>
      <c r="F79" s="13">
        <f t="shared" si="19"/>
        <v>79</v>
      </c>
      <c r="G79" s="13">
        <f t="shared" si="19"/>
        <v>67</v>
      </c>
      <c r="H79" s="13">
        <f t="shared" si="19"/>
        <v>71</v>
      </c>
      <c r="I79" s="13">
        <f t="shared" si="19"/>
        <v>90</v>
      </c>
      <c r="J79" s="13">
        <f t="shared" si="19"/>
        <v>107</v>
      </c>
      <c r="K79" s="13">
        <f t="shared" si="19"/>
        <v>77</v>
      </c>
      <c r="L79" s="13">
        <f t="shared" si="19"/>
        <v>77</v>
      </c>
      <c r="M79" s="13">
        <f t="shared" si="19"/>
        <v>52</v>
      </c>
      <c r="N79" s="13">
        <f t="shared" si="19"/>
        <v>47</v>
      </c>
      <c r="O79" s="13">
        <f t="shared" si="19"/>
        <v>28</v>
      </c>
      <c r="P79" s="13">
        <f t="shared" si="19"/>
        <v>131</v>
      </c>
      <c r="Q79" s="13">
        <f t="shared" si="19"/>
        <v>75</v>
      </c>
      <c r="R79" s="13">
        <f t="shared" si="19"/>
        <v>54</v>
      </c>
      <c r="S79" s="13">
        <f t="shared" si="19"/>
        <v>20</v>
      </c>
      <c r="T79" s="13">
        <f t="shared" si="19"/>
        <v>28</v>
      </c>
      <c r="U79" s="13">
        <f t="shared" si="19"/>
        <v>27</v>
      </c>
      <c r="V79" s="13">
        <f t="shared" si="19"/>
        <v>63</v>
      </c>
      <c r="W79" s="13">
        <f t="shared" si="19"/>
        <v>84</v>
      </c>
      <c r="X79" s="13">
        <f t="shared" si="19"/>
        <v>115</v>
      </c>
      <c r="Y79" s="13">
        <f t="shared" si="19"/>
        <v>98</v>
      </c>
      <c r="Z79" s="13">
        <f t="shared" si="19"/>
        <v>131</v>
      </c>
      <c r="AA79" s="13">
        <f t="shared" si="19"/>
        <v>91</v>
      </c>
      <c r="AB79" s="13">
        <f t="shared" si="19"/>
        <v>105</v>
      </c>
      <c r="AC79" s="13">
        <f t="shared" si="19"/>
        <v>107</v>
      </c>
      <c r="AD79" s="13">
        <f t="shared" si="19"/>
        <v>108</v>
      </c>
      <c r="AE79" s="13">
        <f t="shared" si="19"/>
        <v>62</v>
      </c>
      <c r="AF79" s="13">
        <f t="shared" si="19"/>
        <v>72</v>
      </c>
      <c r="AG79" s="13">
        <f t="shared" si="19"/>
        <v>76</v>
      </c>
      <c r="AH79" s="13">
        <f t="shared" si="19"/>
        <v>78</v>
      </c>
      <c r="AI79" s="13">
        <f t="shared" si="19"/>
        <v>66</v>
      </c>
      <c r="AJ79" s="13">
        <f t="shared" si="19"/>
        <v>49</v>
      </c>
      <c r="AK79" s="13">
        <f t="shared" si="19"/>
        <v>37</v>
      </c>
      <c r="AL79" s="13">
        <f>SUM(E79:AK79)</f>
        <v>2467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1.0</v>
      </c>
      <c r="G81" s="19">
        <v>14.0</v>
      </c>
      <c r="H81" s="19">
        <v>16.0</v>
      </c>
      <c r="I81" s="19">
        <v>3.0</v>
      </c>
      <c r="J81" s="19">
        <v>0.0</v>
      </c>
      <c r="K81" s="19">
        <v>3.0</v>
      </c>
      <c r="L81" s="19">
        <v>3.0</v>
      </c>
      <c r="M81" s="19">
        <v>6.0</v>
      </c>
      <c r="N81" s="19">
        <v>15.0</v>
      </c>
      <c r="O81" s="19">
        <v>4.0</v>
      </c>
      <c r="P81" s="19">
        <v>7.0</v>
      </c>
      <c r="Q81" s="19">
        <v>3.0</v>
      </c>
      <c r="R81" s="19">
        <v>2.0</v>
      </c>
      <c r="S81" s="19">
        <v>1.0</v>
      </c>
      <c r="T81" s="19">
        <v>4.0</v>
      </c>
      <c r="U81" s="19">
        <v>6.0</v>
      </c>
      <c r="V81" s="19">
        <v>1.0</v>
      </c>
      <c r="W81" s="19">
        <v>4.0</v>
      </c>
      <c r="X81" s="19">
        <v>2.0</v>
      </c>
      <c r="Y81" s="19">
        <v>3.0</v>
      </c>
      <c r="Z81" s="19">
        <v>2.0</v>
      </c>
      <c r="AA81" s="19">
        <v>4.0</v>
      </c>
      <c r="AB81" s="19">
        <v>2.0</v>
      </c>
      <c r="AC81" s="19">
        <v>2.0</v>
      </c>
      <c r="AD81" s="19">
        <v>4.0</v>
      </c>
      <c r="AE81" s="19">
        <v>4.0</v>
      </c>
      <c r="AF81" s="19">
        <v>10.0</v>
      </c>
      <c r="AG81" s="19">
        <v>0.0</v>
      </c>
      <c r="AH81" s="19">
        <v>0.0</v>
      </c>
      <c r="AI81" s="19">
        <v>7.0</v>
      </c>
      <c r="AJ81" s="19">
        <v>12.0</v>
      </c>
      <c r="AK81" s="19">
        <v>22.0</v>
      </c>
      <c r="AL81" s="13">
        <f t="shared" ref="AL81:AL88" si="20">SUM(E81:AK81)</f>
        <v>170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7.0</v>
      </c>
      <c r="G82" s="19">
        <v>34.0</v>
      </c>
      <c r="H82" s="19">
        <v>62.0</v>
      </c>
      <c r="I82" s="19">
        <v>9.0</v>
      </c>
      <c r="J82" s="19">
        <v>10.0</v>
      </c>
      <c r="K82" s="19">
        <v>11.0</v>
      </c>
      <c r="L82" s="19">
        <v>4.0</v>
      </c>
      <c r="M82" s="19">
        <v>26.0</v>
      </c>
      <c r="N82" s="19">
        <v>65.0</v>
      </c>
      <c r="O82" s="19">
        <v>10.0</v>
      </c>
      <c r="P82" s="19">
        <v>5.0</v>
      </c>
      <c r="Q82" s="19">
        <v>3.0</v>
      </c>
      <c r="R82" s="19">
        <v>3.0</v>
      </c>
      <c r="S82" s="19">
        <v>7.0</v>
      </c>
      <c r="T82" s="19">
        <v>2.0</v>
      </c>
      <c r="U82" s="19">
        <v>4.0</v>
      </c>
      <c r="V82" s="19">
        <v>1.0</v>
      </c>
      <c r="W82" s="19">
        <v>2.0</v>
      </c>
      <c r="X82" s="19">
        <v>4.0</v>
      </c>
      <c r="Y82" s="19">
        <v>6.0</v>
      </c>
      <c r="Z82" s="19">
        <v>2.0</v>
      </c>
      <c r="AA82" s="19">
        <v>6.0</v>
      </c>
      <c r="AB82" s="19">
        <v>2.0</v>
      </c>
      <c r="AC82" s="19">
        <v>1.0</v>
      </c>
      <c r="AD82" s="19">
        <v>5.0</v>
      </c>
      <c r="AE82" s="19">
        <v>3.0</v>
      </c>
      <c r="AF82" s="19">
        <v>7.0</v>
      </c>
      <c r="AG82" s="19">
        <v>7.0</v>
      </c>
      <c r="AH82" s="19">
        <v>6.0</v>
      </c>
      <c r="AI82" s="19">
        <v>15.0</v>
      </c>
      <c r="AJ82" s="19">
        <v>37.0</v>
      </c>
      <c r="AK82" s="19">
        <v>71.0</v>
      </c>
      <c r="AL82" s="13">
        <f t="shared" si="20"/>
        <v>441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2.0</v>
      </c>
      <c r="G83" s="19">
        <v>7.0</v>
      </c>
      <c r="H83" s="19">
        <v>3.0</v>
      </c>
      <c r="I83" s="19">
        <v>0.0</v>
      </c>
      <c r="J83" s="19">
        <v>2.0</v>
      </c>
      <c r="K83" s="19">
        <v>6.0</v>
      </c>
      <c r="L83" s="19">
        <v>2.0</v>
      </c>
      <c r="M83" s="19">
        <v>2.0</v>
      </c>
      <c r="N83" s="19">
        <v>3.0</v>
      </c>
      <c r="O83" s="19">
        <v>4.0</v>
      </c>
      <c r="P83" s="19">
        <v>6.0</v>
      </c>
      <c r="Q83" s="19">
        <v>3.0</v>
      </c>
      <c r="R83" s="19">
        <v>2.0</v>
      </c>
      <c r="S83" s="19">
        <v>1.0</v>
      </c>
      <c r="T83" s="19">
        <v>2.0</v>
      </c>
      <c r="U83" s="19">
        <v>2.0</v>
      </c>
      <c r="V83" s="19">
        <v>1.0</v>
      </c>
      <c r="W83" s="19">
        <v>3.0</v>
      </c>
      <c r="X83" s="19">
        <v>2.0</v>
      </c>
      <c r="Y83" s="19">
        <v>5.0</v>
      </c>
      <c r="Z83" s="19">
        <v>4.0</v>
      </c>
      <c r="AA83" s="19">
        <v>3.0</v>
      </c>
      <c r="AB83" s="19">
        <v>2.0</v>
      </c>
      <c r="AC83" s="19">
        <v>3.0</v>
      </c>
      <c r="AD83" s="19">
        <v>4.0</v>
      </c>
      <c r="AE83" s="19">
        <v>3.0</v>
      </c>
      <c r="AF83" s="19">
        <v>2.0</v>
      </c>
      <c r="AG83" s="19">
        <v>9.0</v>
      </c>
      <c r="AH83" s="19">
        <v>5.0</v>
      </c>
      <c r="AI83" s="19">
        <v>4.0</v>
      </c>
      <c r="AJ83" s="19">
        <v>3.0</v>
      </c>
      <c r="AK83" s="19">
        <v>2.0</v>
      </c>
      <c r="AL83" s="13">
        <f t="shared" si="20"/>
        <v>103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3.0</v>
      </c>
      <c r="L84" s="19">
        <v>0.0</v>
      </c>
      <c r="M84" s="19">
        <v>2.0</v>
      </c>
      <c r="N84" s="19">
        <v>0.0</v>
      </c>
      <c r="O84" s="19">
        <v>2.0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1.0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1.0</v>
      </c>
      <c r="AD84" s="19">
        <v>0.0</v>
      </c>
      <c r="AE84" s="19">
        <v>1.0</v>
      </c>
      <c r="AF84" s="19">
        <v>0.0</v>
      </c>
      <c r="AG84" s="19">
        <v>1.0</v>
      </c>
      <c r="AH84" s="19">
        <v>0.0</v>
      </c>
      <c r="AI84" s="19">
        <v>0.0</v>
      </c>
      <c r="AJ84" s="19">
        <v>1.0</v>
      </c>
      <c r="AK84" s="19">
        <v>2.0</v>
      </c>
      <c r="AL84" s="13">
        <f t="shared" si="20"/>
        <v>19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0.0</v>
      </c>
      <c r="I85" s="19">
        <v>1.0</v>
      </c>
      <c r="J85" s="19">
        <v>1.0</v>
      </c>
      <c r="K85" s="19">
        <v>0.0</v>
      </c>
      <c r="L85" s="19">
        <v>1.0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1.0</v>
      </c>
      <c r="AB85" s="19">
        <v>0.0</v>
      </c>
      <c r="AC85" s="19">
        <v>0.0</v>
      </c>
      <c r="AD85" s="19">
        <v>0.0</v>
      </c>
      <c r="AE85" s="19">
        <v>0.0</v>
      </c>
      <c r="AF85" s="19">
        <v>2.0</v>
      </c>
      <c r="AG85" s="19">
        <v>0.0</v>
      </c>
      <c r="AH85" s="19">
        <v>1.0</v>
      </c>
      <c r="AI85" s="19">
        <v>1.0</v>
      </c>
      <c r="AJ85" s="19">
        <v>0.0</v>
      </c>
      <c r="AK85" s="19">
        <v>0.0</v>
      </c>
      <c r="AL85" s="13">
        <f t="shared" si="20"/>
        <v>14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3.0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1.0</v>
      </c>
      <c r="Z86" s="19">
        <v>0.0</v>
      </c>
      <c r="AA86" s="19">
        <v>1.0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1.0</v>
      </c>
      <c r="AH86" s="19">
        <v>0.0</v>
      </c>
      <c r="AI86" s="19">
        <v>1.0</v>
      </c>
      <c r="AJ86" s="19">
        <v>0.0</v>
      </c>
      <c r="AK86" s="19">
        <v>1.0</v>
      </c>
      <c r="AL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57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1.0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1.0</v>
      </c>
      <c r="AJ87" s="19">
        <v>0.0</v>
      </c>
      <c r="AK87" s="19">
        <v>0.0</v>
      </c>
      <c r="AL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1.0</v>
      </c>
      <c r="AH88" s="19">
        <v>0.0</v>
      </c>
      <c r="AI88" s="19">
        <v>0.0</v>
      </c>
      <c r="AJ88" s="19">
        <v>0.0</v>
      </c>
      <c r="AK88" s="19">
        <v>1.0</v>
      </c>
      <c r="AL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K91" si="21">SUM(E81:E88)</f>
        <v>12</v>
      </c>
      <c r="F91" s="13">
        <f t="shared" si="21"/>
        <v>10</v>
      </c>
      <c r="G91" s="13">
        <f t="shared" si="21"/>
        <v>56</v>
      </c>
      <c r="H91" s="13">
        <f t="shared" si="21"/>
        <v>81</v>
      </c>
      <c r="I91" s="13">
        <f t="shared" si="21"/>
        <v>14</v>
      </c>
      <c r="J91" s="13">
        <f t="shared" si="21"/>
        <v>14</v>
      </c>
      <c r="K91" s="13">
        <f t="shared" si="21"/>
        <v>24</v>
      </c>
      <c r="L91" s="13">
        <f t="shared" si="21"/>
        <v>10</v>
      </c>
      <c r="M91" s="13">
        <f t="shared" si="21"/>
        <v>37</v>
      </c>
      <c r="N91" s="13">
        <f t="shared" si="21"/>
        <v>87</v>
      </c>
      <c r="O91" s="13">
        <f t="shared" si="21"/>
        <v>20</v>
      </c>
      <c r="P91" s="13">
        <f t="shared" si="21"/>
        <v>19</v>
      </c>
      <c r="Q91" s="13">
        <f t="shared" si="21"/>
        <v>10</v>
      </c>
      <c r="R91" s="13">
        <f t="shared" si="21"/>
        <v>9</v>
      </c>
      <c r="S91" s="13">
        <f t="shared" si="21"/>
        <v>9</v>
      </c>
      <c r="T91" s="13">
        <f t="shared" si="21"/>
        <v>8</v>
      </c>
      <c r="U91" s="13">
        <f t="shared" si="21"/>
        <v>13</v>
      </c>
      <c r="V91" s="13">
        <f t="shared" si="21"/>
        <v>3</v>
      </c>
      <c r="W91" s="13">
        <f t="shared" si="21"/>
        <v>10</v>
      </c>
      <c r="X91" s="13">
        <f t="shared" si="21"/>
        <v>9</v>
      </c>
      <c r="Y91" s="13">
        <f t="shared" si="21"/>
        <v>17</v>
      </c>
      <c r="Z91" s="13">
        <f t="shared" si="21"/>
        <v>8</v>
      </c>
      <c r="AA91" s="13">
        <f t="shared" si="21"/>
        <v>15</v>
      </c>
      <c r="AB91" s="13">
        <f t="shared" si="21"/>
        <v>7</v>
      </c>
      <c r="AC91" s="13">
        <f t="shared" si="21"/>
        <v>7</v>
      </c>
      <c r="AD91" s="13">
        <f t="shared" si="21"/>
        <v>14</v>
      </c>
      <c r="AE91" s="13">
        <f t="shared" si="21"/>
        <v>11</v>
      </c>
      <c r="AF91" s="13">
        <f t="shared" si="21"/>
        <v>21</v>
      </c>
      <c r="AG91" s="13">
        <f t="shared" si="21"/>
        <v>19</v>
      </c>
      <c r="AH91" s="13">
        <f t="shared" si="21"/>
        <v>12</v>
      </c>
      <c r="AI91" s="13">
        <f t="shared" si="21"/>
        <v>29</v>
      </c>
      <c r="AJ91" s="13">
        <f t="shared" si="21"/>
        <v>53</v>
      </c>
      <c r="AK91" s="13">
        <f t="shared" si="21"/>
        <v>99</v>
      </c>
      <c r="AL91" s="13">
        <f>SUM(E91:AK91)</f>
        <v>767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1.0</v>
      </c>
      <c r="H93" s="19">
        <v>3.0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1.0</v>
      </c>
      <c r="O93" s="19">
        <v>0.0</v>
      </c>
      <c r="P93" s="19">
        <v>0.0</v>
      </c>
      <c r="Q93" s="19">
        <v>1.0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2.0</v>
      </c>
      <c r="X93" s="19">
        <v>2.0</v>
      </c>
      <c r="Y93" s="19">
        <v>0.0</v>
      </c>
      <c r="Z93" s="19">
        <v>0.0</v>
      </c>
      <c r="AA93" s="19">
        <v>0.0</v>
      </c>
      <c r="AB93" s="19">
        <v>1.0</v>
      </c>
      <c r="AC93" s="19">
        <v>2.0</v>
      </c>
      <c r="AD93" s="19">
        <v>0.0</v>
      </c>
      <c r="AE93" s="19">
        <v>0.0</v>
      </c>
      <c r="AF93" s="19">
        <v>0.0</v>
      </c>
      <c r="AG93" s="19">
        <v>0.0</v>
      </c>
      <c r="AH93" s="19">
        <v>0.0</v>
      </c>
      <c r="AI93" s="19">
        <v>1.0</v>
      </c>
      <c r="AJ93" s="19">
        <v>1.0</v>
      </c>
      <c r="AK93" s="19">
        <v>0.0</v>
      </c>
      <c r="AL93" s="13">
        <f t="shared" ref="AL93:AL100" si="22">SUM(E93:AK93)</f>
        <v>17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1.0</v>
      </c>
      <c r="G94" s="19">
        <v>1.0</v>
      </c>
      <c r="H94" s="19">
        <v>1.0</v>
      </c>
      <c r="I94" s="19">
        <v>0.0</v>
      </c>
      <c r="J94" s="19">
        <v>0.0</v>
      </c>
      <c r="K94" s="19">
        <v>0.0</v>
      </c>
      <c r="L94" s="19">
        <v>5.0</v>
      </c>
      <c r="M94" s="19">
        <v>0.0</v>
      </c>
      <c r="N94" s="19">
        <v>0.0</v>
      </c>
      <c r="O94" s="19">
        <v>0.0</v>
      </c>
      <c r="P94" s="19">
        <v>0.0</v>
      </c>
      <c r="Q94" s="19">
        <v>3.0</v>
      </c>
      <c r="R94" s="19">
        <v>0.0</v>
      </c>
      <c r="S94" s="19">
        <v>0.0</v>
      </c>
      <c r="T94" s="19">
        <v>1.0</v>
      </c>
      <c r="U94" s="19">
        <v>0.0</v>
      </c>
      <c r="V94" s="19">
        <v>1.0</v>
      </c>
      <c r="W94" s="19">
        <v>0.0</v>
      </c>
      <c r="X94" s="19">
        <v>1.0</v>
      </c>
      <c r="Y94" s="19">
        <v>0.0</v>
      </c>
      <c r="Z94" s="19">
        <v>0.0</v>
      </c>
      <c r="AA94" s="19">
        <v>0.0</v>
      </c>
      <c r="AB94" s="19">
        <v>1.0</v>
      </c>
      <c r="AC94" s="19">
        <v>1.0</v>
      </c>
      <c r="AD94" s="19">
        <v>1.0</v>
      </c>
      <c r="AE94" s="19">
        <v>6.0</v>
      </c>
      <c r="AF94" s="19">
        <v>0.0</v>
      </c>
      <c r="AG94" s="19">
        <v>0.0</v>
      </c>
      <c r="AH94" s="19">
        <v>3.0</v>
      </c>
      <c r="AI94" s="19">
        <v>1.0</v>
      </c>
      <c r="AJ94" s="19">
        <v>0.0</v>
      </c>
      <c r="AK94" s="19">
        <v>1.0</v>
      </c>
      <c r="AL94" s="13">
        <f t="shared" si="22"/>
        <v>29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2.0</v>
      </c>
      <c r="H95" s="19">
        <v>1.0</v>
      </c>
      <c r="I95" s="19">
        <v>0.0</v>
      </c>
      <c r="J95" s="19">
        <v>2.0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4.0</v>
      </c>
      <c r="S95" s="19">
        <v>14.0</v>
      </c>
      <c r="T95" s="19">
        <v>2.0</v>
      </c>
      <c r="U95" s="19">
        <v>13.0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1.0</v>
      </c>
      <c r="AI95" s="19">
        <v>1.0</v>
      </c>
      <c r="AJ95" s="19">
        <v>0.0</v>
      </c>
      <c r="AK95" s="19">
        <v>0.0</v>
      </c>
      <c r="AL95" s="13">
        <f t="shared" si="22"/>
        <v>42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0.0</v>
      </c>
      <c r="AG96" s="19">
        <v>0.0</v>
      </c>
      <c r="AH96" s="19">
        <v>1.0</v>
      </c>
      <c r="AI96" s="19">
        <v>0.0</v>
      </c>
      <c r="AJ96" s="19">
        <v>0.0</v>
      </c>
      <c r="AK96" s="19">
        <v>0.0</v>
      </c>
      <c r="AL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1.0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2.0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1.0</v>
      </c>
      <c r="X97" s="19">
        <v>0.0</v>
      </c>
      <c r="Y97" s="19">
        <v>0.0</v>
      </c>
      <c r="Z97" s="19">
        <v>0.0</v>
      </c>
      <c r="AA97" s="19">
        <v>1.0</v>
      </c>
      <c r="AB97" s="19">
        <v>0.0</v>
      </c>
      <c r="AC97" s="19">
        <v>1.0</v>
      </c>
      <c r="AD97" s="19">
        <v>0.0</v>
      </c>
      <c r="AE97" s="19">
        <v>2.0</v>
      </c>
      <c r="AF97" s="19">
        <v>2.0</v>
      </c>
      <c r="AG97" s="19">
        <v>0.0</v>
      </c>
      <c r="AH97" s="19">
        <v>0.0</v>
      </c>
      <c r="AI97" s="19">
        <v>1.0</v>
      </c>
      <c r="AJ97" s="19">
        <v>0.0</v>
      </c>
      <c r="AK97" s="19">
        <v>0.0</v>
      </c>
      <c r="AL97" s="13">
        <f t="shared" si="22"/>
        <v>14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K103" si="23">SUM(E93:E100)</f>
        <v>2</v>
      </c>
      <c r="F103" s="13">
        <f t="shared" si="23"/>
        <v>4</v>
      </c>
      <c r="G103" s="13">
        <f t="shared" si="23"/>
        <v>4</v>
      </c>
      <c r="H103" s="13">
        <f t="shared" si="23"/>
        <v>5</v>
      </c>
      <c r="I103" s="13">
        <f t="shared" si="23"/>
        <v>0</v>
      </c>
      <c r="J103" s="13">
        <f t="shared" si="23"/>
        <v>3</v>
      </c>
      <c r="K103" s="13">
        <f t="shared" si="23"/>
        <v>2</v>
      </c>
      <c r="L103" s="13">
        <f t="shared" si="23"/>
        <v>5</v>
      </c>
      <c r="M103" s="13">
        <f t="shared" si="23"/>
        <v>1</v>
      </c>
      <c r="N103" s="13">
        <f t="shared" si="23"/>
        <v>1</v>
      </c>
      <c r="O103" s="13">
        <f t="shared" si="23"/>
        <v>0</v>
      </c>
      <c r="P103" s="13">
        <f t="shared" si="23"/>
        <v>2</v>
      </c>
      <c r="Q103" s="13">
        <f t="shared" si="23"/>
        <v>5</v>
      </c>
      <c r="R103" s="13">
        <f t="shared" si="23"/>
        <v>5</v>
      </c>
      <c r="S103" s="13">
        <f t="shared" si="23"/>
        <v>14</v>
      </c>
      <c r="T103" s="13">
        <f t="shared" si="23"/>
        <v>3</v>
      </c>
      <c r="U103" s="13">
        <f t="shared" si="23"/>
        <v>13</v>
      </c>
      <c r="V103" s="13">
        <f t="shared" si="23"/>
        <v>2</v>
      </c>
      <c r="W103" s="13">
        <f t="shared" si="23"/>
        <v>3</v>
      </c>
      <c r="X103" s="13">
        <f t="shared" si="23"/>
        <v>3</v>
      </c>
      <c r="Y103" s="13">
        <f t="shared" si="23"/>
        <v>1</v>
      </c>
      <c r="Z103" s="13">
        <f t="shared" si="23"/>
        <v>0</v>
      </c>
      <c r="AA103" s="13">
        <f t="shared" si="23"/>
        <v>2</v>
      </c>
      <c r="AB103" s="13">
        <f t="shared" si="23"/>
        <v>2</v>
      </c>
      <c r="AC103" s="13">
        <f t="shared" si="23"/>
        <v>4</v>
      </c>
      <c r="AD103" s="13">
        <f t="shared" si="23"/>
        <v>1</v>
      </c>
      <c r="AE103" s="13">
        <f t="shared" si="23"/>
        <v>9</v>
      </c>
      <c r="AF103" s="13">
        <f t="shared" si="23"/>
        <v>2</v>
      </c>
      <c r="AG103" s="13">
        <f t="shared" si="23"/>
        <v>0</v>
      </c>
      <c r="AH103" s="13">
        <f t="shared" si="23"/>
        <v>5</v>
      </c>
      <c r="AI103" s="13">
        <f t="shared" si="23"/>
        <v>4</v>
      </c>
      <c r="AJ103" s="13">
        <f t="shared" si="23"/>
        <v>1</v>
      </c>
      <c r="AK103" s="13">
        <f t="shared" si="23"/>
        <v>1</v>
      </c>
      <c r="AL103" s="13">
        <f>SUM(E103:AK103)</f>
        <v>109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3.0</v>
      </c>
      <c r="H105" s="19">
        <v>0.0</v>
      </c>
      <c r="I105" s="19">
        <v>0.0</v>
      </c>
      <c r="J105" s="19">
        <v>2.0</v>
      </c>
      <c r="K105" s="19">
        <v>0.0</v>
      </c>
      <c r="L105" s="19">
        <v>2.0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1.0</v>
      </c>
      <c r="AE105" s="19">
        <v>2.0</v>
      </c>
      <c r="AF105" s="19">
        <v>1.0</v>
      </c>
      <c r="AG105" s="19">
        <v>0.0</v>
      </c>
      <c r="AH105" s="19">
        <v>1.0</v>
      </c>
      <c r="AI105" s="19">
        <v>1.0</v>
      </c>
      <c r="AJ105" s="19">
        <v>0.0</v>
      </c>
      <c r="AK105" s="19">
        <v>0.0</v>
      </c>
      <c r="AL105" s="13">
        <f t="shared" ref="AL105:AL112" si="24">SUM(E105:AK105)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2.0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2.0</v>
      </c>
      <c r="AB106" s="19">
        <v>0.0</v>
      </c>
      <c r="AC106" s="19">
        <v>1.0</v>
      </c>
      <c r="AD106" s="19">
        <v>0.0</v>
      </c>
      <c r="AE106" s="19">
        <v>2.0</v>
      </c>
      <c r="AF106" s="19">
        <v>0.0</v>
      </c>
      <c r="AG106" s="19">
        <v>1.0</v>
      </c>
      <c r="AH106" s="19">
        <v>0.0</v>
      </c>
      <c r="AI106" s="19">
        <v>0.0</v>
      </c>
      <c r="AJ106" s="19">
        <v>0.0</v>
      </c>
      <c r="AK106" s="19">
        <v>0.0</v>
      </c>
      <c r="AL106" s="13">
        <f t="shared" si="24"/>
        <v>11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1.0</v>
      </c>
      <c r="AJ107" s="19">
        <v>0.0</v>
      </c>
      <c r="AK107" s="19">
        <v>1.0</v>
      </c>
      <c r="AL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1.0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K115" si="25">SUM(E105:E112)</f>
        <v>0</v>
      </c>
      <c r="F115" s="13">
        <f t="shared" si="25"/>
        <v>1</v>
      </c>
      <c r="G115" s="13">
        <f t="shared" si="25"/>
        <v>3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3</v>
      </c>
      <c r="M115" s="13">
        <f t="shared" si="25"/>
        <v>3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4</v>
      </c>
      <c r="AF115" s="13">
        <f t="shared" si="25"/>
        <v>1</v>
      </c>
      <c r="AG115" s="13">
        <f t="shared" si="25"/>
        <v>1</v>
      </c>
      <c r="AH115" s="13">
        <f t="shared" si="25"/>
        <v>1</v>
      </c>
      <c r="AI115" s="13">
        <f t="shared" si="25"/>
        <v>2</v>
      </c>
      <c r="AJ115" s="13">
        <f t="shared" si="25"/>
        <v>0</v>
      </c>
      <c r="AK115" s="13">
        <f t="shared" si="25"/>
        <v>1</v>
      </c>
      <c r="AL115" s="13">
        <f>SUM(E115:AK115)</f>
        <v>30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L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1.0</v>
      </c>
      <c r="P117" s="19">
        <v>0.0</v>
      </c>
      <c r="Q117" s="19">
        <v>2.0</v>
      </c>
      <c r="R117" s="19">
        <v>2.0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1.0</v>
      </c>
      <c r="Y117" s="19">
        <v>1.0</v>
      </c>
      <c r="Z117" s="19">
        <v>0.0</v>
      </c>
      <c r="AA117" s="19">
        <v>1.0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1.0</v>
      </c>
      <c r="AI117" s="19">
        <v>1.0</v>
      </c>
      <c r="AJ117" s="19">
        <v>0.0</v>
      </c>
      <c r="AK117" s="19">
        <v>1.0</v>
      </c>
      <c r="AL117" s="13">
        <f t="shared" ref="AL117:AL120" si="26">SUM(E117:AK117)</f>
        <v>12</v>
      </c>
      <c r="AM117" s="5"/>
      <c r="AN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3">
        <f t="shared" si="26"/>
        <v>2</v>
      </c>
      <c r="AM118" s="5"/>
      <c r="AN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3">
        <f t="shared" si="26"/>
        <v>3</v>
      </c>
      <c r="AM119" s="5"/>
      <c r="AN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3">
        <f t="shared" si="26"/>
        <v>2</v>
      </c>
      <c r="AM120" s="5"/>
      <c r="AN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74"/>
      <c r="AM121" s="5"/>
      <c r="AN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74"/>
      <c r="AM122" s="5"/>
      <c r="AN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74"/>
      <c r="AM123" s="5"/>
      <c r="AN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74"/>
      <c r="AM124" s="5"/>
      <c r="AN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74"/>
      <c r="AM125" s="5"/>
      <c r="AN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74"/>
      <c r="AM126" s="5"/>
      <c r="AN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K127" si="27">SUM(E117:E120)</f>
        <v>1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1</v>
      </c>
      <c r="O127" s="58">
        <f t="shared" si="27"/>
        <v>2</v>
      </c>
      <c r="P127" s="58">
        <f t="shared" si="27"/>
        <v>0</v>
      </c>
      <c r="Q127" s="58">
        <f t="shared" si="27"/>
        <v>3</v>
      </c>
      <c r="R127" s="58">
        <f t="shared" si="27"/>
        <v>2</v>
      </c>
      <c r="S127" s="58">
        <f t="shared" si="27"/>
        <v>1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58">
        <f t="shared" si="27"/>
        <v>0</v>
      </c>
      <c r="X127" s="58">
        <f t="shared" si="27"/>
        <v>1</v>
      </c>
      <c r="Y127" s="58">
        <f t="shared" si="27"/>
        <v>1</v>
      </c>
      <c r="Z127" s="58">
        <f t="shared" si="27"/>
        <v>0</v>
      </c>
      <c r="AA127" s="58">
        <f t="shared" si="27"/>
        <v>2</v>
      </c>
      <c r="AB127" s="58">
        <f t="shared" si="27"/>
        <v>0</v>
      </c>
      <c r="AC127" s="58">
        <f t="shared" si="27"/>
        <v>0</v>
      </c>
      <c r="AD127" s="58">
        <f t="shared" si="27"/>
        <v>1</v>
      </c>
      <c r="AE127" s="58">
        <f t="shared" si="27"/>
        <v>1</v>
      </c>
      <c r="AF127" s="58">
        <f t="shared" si="27"/>
        <v>0</v>
      </c>
      <c r="AG127" s="58">
        <f t="shared" si="27"/>
        <v>0</v>
      </c>
      <c r="AH127" s="58">
        <f t="shared" si="27"/>
        <v>1</v>
      </c>
      <c r="AI127" s="58">
        <f t="shared" si="27"/>
        <v>1</v>
      </c>
      <c r="AJ127" s="58">
        <f t="shared" si="27"/>
        <v>0</v>
      </c>
      <c r="AK127" s="58">
        <f t="shared" si="27"/>
        <v>1</v>
      </c>
      <c r="AL127" s="13">
        <f>SUM(E127:AK127)</f>
        <v>19</v>
      </c>
      <c r="AM127" s="5"/>
      <c r="AN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5"/>
      <c r="AN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0.0</v>
      </c>
      <c r="H129" s="19">
        <v>0.0</v>
      </c>
      <c r="I129" s="19">
        <v>2.0</v>
      </c>
      <c r="J129" s="19">
        <v>1.0</v>
      </c>
      <c r="K129" s="19">
        <v>1.0</v>
      </c>
      <c r="L129" s="19">
        <v>1.0</v>
      </c>
      <c r="M129" s="19">
        <v>3.0</v>
      </c>
      <c r="N129" s="19">
        <v>0.0</v>
      </c>
      <c r="O129" s="19">
        <v>2.0</v>
      </c>
      <c r="P129" s="19">
        <v>0.0</v>
      </c>
      <c r="Q129" s="19">
        <v>1.0</v>
      </c>
      <c r="R129" s="19">
        <v>0.0</v>
      </c>
      <c r="S129" s="19">
        <v>0.0</v>
      </c>
      <c r="T129" s="19">
        <v>0.0</v>
      </c>
      <c r="U129" s="19">
        <v>1.0</v>
      </c>
      <c r="V129" s="19">
        <v>0.0</v>
      </c>
      <c r="W129" s="19">
        <v>1.0</v>
      </c>
      <c r="X129" s="19">
        <v>0.0</v>
      </c>
      <c r="Y129" s="19">
        <v>1.0</v>
      </c>
      <c r="Z129" s="19">
        <v>0.0</v>
      </c>
      <c r="AA129" s="19">
        <v>1.0</v>
      </c>
      <c r="AB129" s="19">
        <v>1.0</v>
      </c>
      <c r="AC129" s="19">
        <v>0.0</v>
      </c>
      <c r="AD129" s="19">
        <v>0.0</v>
      </c>
      <c r="AE129" s="19">
        <v>3.0</v>
      </c>
      <c r="AF129" s="19">
        <v>0.0</v>
      </c>
      <c r="AG129" s="19">
        <v>0.0</v>
      </c>
      <c r="AH129" s="19">
        <v>2.0</v>
      </c>
      <c r="AI129" s="19">
        <v>0.0</v>
      </c>
      <c r="AJ129" s="19">
        <v>1.0</v>
      </c>
      <c r="AK129" s="19">
        <v>0.0</v>
      </c>
      <c r="AL129" s="13">
        <f t="shared" ref="AL129:AL136" si="28">SUM(E129:AK129)</f>
        <v>25</v>
      </c>
      <c r="AM129" s="5"/>
      <c r="AN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5.0</v>
      </c>
      <c r="F130" s="19">
        <v>1.0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2.0</v>
      </c>
      <c r="O130" s="19">
        <v>0.0</v>
      </c>
      <c r="P130" s="19">
        <v>0.0</v>
      </c>
      <c r="Q130" s="19">
        <v>0.0</v>
      </c>
      <c r="R130" s="19">
        <v>1.0</v>
      </c>
      <c r="S130" s="19">
        <v>0.0</v>
      </c>
      <c r="T130" s="19">
        <v>0.0</v>
      </c>
      <c r="U130" s="19">
        <v>0.0</v>
      </c>
      <c r="V130" s="19">
        <v>0.0</v>
      </c>
      <c r="W130" s="19">
        <v>3.0</v>
      </c>
      <c r="X130" s="19">
        <v>0.0</v>
      </c>
      <c r="Y130" s="19">
        <v>2.0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2.0</v>
      </c>
      <c r="AE130" s="19">
        <v>0.0</v>
      </c>
      <c r="AF130" s="19">
        <v>0.0</v>
      </c>
      <c r="AG130" s="19">
        <v>0.0</v>
      </c>
      <c r="AH130" s="19">
        <v>1.0</v>
      </c>
      <c r="AI130" s="19">
        <v>0.0</v>
      </c>
      <c r="AJ130" s="19">
        <v>0.0</v>
      </c>
      <c r="AK130" s="19">
        <v>0.0</v>
      </c>
      <c r="AL130" s="13">
        <f t="shared" si="28"/>
        <v>19</v>
      </c>
      <c r="AM130" s="1"/>
      <c r="AN130" s="1"/>
    </row>
    <row r="131" ht="12.75" customHeight="1">
      <c r="A131" s="18"/>
      <c r="B131" s="55">
        <v>2.0</v>
      </c>
      <c r="C131" s="50" t="s">
        <v>98</v>
      </c>
      <c r="D131" s="56"/>
      <c r="E131" s="19">
        <v>2.0</v>
      </c>
      <c r="F131" s="19">
        <v>1.0</v>
      </c>
      <c r="G131" s="19">
        <v>0.0</v>
      </c>
      <c r="H131" s="19">
        <v>1.0</v>
      </c>
      <c r="I131" s="19">
        <v>2.0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2.0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2.0</v>
      </c>
      <c r="W131" s="19">
        <v>0.0</v>
      </c>
      <c r="X131" s="19">
        <v>0.0</v>
      </c>
      <c r="Y131" s="19">
        <v>3.0</v>
      </c>
      <c r="Z131" s="19">
        <v>0.0</v>
      </c>
      <c r="AA131" s="19">
        <v>0.0</v>
      </c>
      <c r="AB131" s="19">
        <v>3.0</v>
      </c>
      <c r="AC131" s="19">
        <v>0.0</v>
      </c>
      <c r="AD131" s="19">
        <v>1.0</v>
      </c>
      <c r="AE131" s="19">
        <v>0.0</v>
      </c>
      <c r="AF131" s="19">
        <v>0.0</v>
      </c>
      <c r="AG131" s="19">
        <v>2.0</v>
      </c>
      <c r="AH131" s="19">
        <v>0.0</v>
      </c>
      <c r="AI131" s="19">
        <v>2.0</v>
      </c>
      <c r="AJ131" s="19">
        <v>1.0</v>
      </c>
      <c r="AK131" s="19">
        <v>0.0</v>
      </c>
      <c r="AL131" s="13">
        <f t="shared" si="28"/>
        <v>23</v>
      </c>
      <c r="AM131" s="52"/>
      <c r="AN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1.0</v>
      </c>
      <c r="Z132" s="19">
        <v>1.0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1.0</v>
      </c>
      <c r="AH132" s="19">
        <v>0.0</v>
      </c>
      <c r="AI132" s="19">
        <v>0.0</v>
      </c>
      <c r="AJ132" s="19">
        <v>0.0</v>
      </c>
      <c r="AK132" s="19">
        <v>0.0</v>
      </c>
      <c r="AL132" s="13">
        <f t="shared" si="28"/>
        <v>4</v>
      </c>
      <c r="AM132" s="5"/>
      <c r="AN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2.0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3">
        <f t="shared" si="28"/>
        <v>2</v>
      </c>
      <c r="AM133" s="5"/>
      <c r="AN133" s="5"/>
    </row>
    <row r="134" ht="12.75" customHeight="1">
      <c r="A134" s="18"/>
      <c r="B134" s="55">
        <v>5.0</v>
      </c>
      <c r="C134" s="50" t="s">
        <v>101</v>
      </c>
      <c r="D134" s="56"/>
      <c r="E134" s="19">
        <v>1.0</v>
      </c>
      <c r="F134" s="19">
        <v>2.0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1.0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3">
        <f t="shared" si="28"/>
        <v>5</v>
      </c>
      <c r="AM134" s="5"/>
      <c r="AN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1.0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3">
        <f t="shared" si="28"/>
        <v>1</v>
      </c>
      <c r="AM135" s="5"/>
      <c r="AN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1.0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3">
        <f t="shared" si="28"/>
        <v>1</v>
      </c>
      <c r="AM136" s="5"/>
      <c r="AN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74"/>
      <c r="AM137" s="5"/>
      <c r="AN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74"/>
      <c r="AM138" s="5"/>
      <c r="AN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K139" si="29">SUM(E129:E136)</f>
        <v>9</v>
      </c>
      <c r="F139" s="13">
        <f t="shared" si="29"/>
        <v>6</v>
      </c>
      <c r="G139" s="13">
        <f t="shared" si="29"/>
        <v>2</v>
      </c>
      <c r="H139" s="13">
        <f t="shared" si="29"/>
        <v>3</v>
      </c>
      <c r="I139" s="13">
        <f t="shared" si="29"/>
        <v>4</v>
      </c>
      <c r="J139" s="13">
        <f t="shared" si="29"/>
        <v>1</v>
      </c>
      <c r="K139" s="13">
        <f t="shared" si="29"/>
        <v>1</v>
      </c>
      <c r="L139" s="13">
        <f t="shared" si="29"/>
        <v>2</v>
      </c>
      <c r="M139" s="13">
        <f t="shared" si="29"/>
        <v>3</v>
      </c>
      <c r="N139" s="13">
        <f t="shared" si="29"/>
        <v>2</v>
      </c>
      <c r="O139" s="13">
        <f t="shared" si="29"/>
        <v>5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3</v>
      </c>
      <c r="W139" s="13">
        <f t="shared" si="29"/>
        <v>4</v>
      </c>
      <c r="X139" s="13">
        <f t="shared" si="29"/>
        <v>0</v>
      </c>
      <c r="Y139" s="13">
        <f t="shared" si="29"/>
        <v>7</v>
      </c>
      <c r="Z139" s="13">
        <f t="shared" si="29"/>
        <v>1</v>
      </c>
      <c r="AA139" s="13">
        <f t="shared" si="29"/>
        <v>2</v>
      </c>
      <c r="AB139" s="13">
        <f t="shared" si="29"/>
        <v>4</v>
      </c>
      <c r="AC139" s="13">
        <f t="shared" si="29"/>
        <v>0</v>
      </c>
      <c r="AD139" s="13">
        <f t="shared" si="29"/>
        <v>3</v>
      </c>
      <c r="AE139" s="13">
        <f t="shared" si="29"/>
        <v>3</v>
      </c>
      <c r="AF139" s="13">
        <f t="shared" si="29"/>
        <v>0</v>
      </c>
      <c r="AG139" s="13">
        <f t="shared" si="29"/>
        <v>3</v>
      </c>
      <c r="AH139" s="13">
        <f t="shared" si="29"/>
        <v>3</v>
      </c>
      <c r="AI139" s="13">
        <f t="shared" si="29"/>
        <v>2</v>
      </c>
      <c r="AJ139" s="13">
        <f t="shared" si="29"/>
        <v>2</v>
      </c>
      <c r="AK139" s="13">
        <f t="shared" si="29"/>
        <v>0</v>
      </c>
      <c r="AL139" s="13">
        <f>SUM(E139:AK139)</f>
        <v>80</v>
      </c>
      <c r="AM139" s="5"/>
      <c r="AN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5"/>
      <c r="AN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1.0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3">
        <f t="shared" ref="AL141:AL148" si="30">SUM(E141:AK141)</f>
        <v>1</v>
      </c>
      <c r="AM141" s="1"/>
      <c r="AN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3">
        <f t="shared" si="30"/>
        <v>0</v>
      </c>
      <c r="AM142" s="52"/>
      <c r="AN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3">
        <f t="shared" si="30"/>
        <v>0</v>
      </c>
      <c r="AM143" s="5"/>
      <c r="AN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3">
        <f t="shared" si="30"/>
        <v>0</v>
      </c>
      <c r="AM144" s="5"/>
      <c r="AN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3">
        <f t="shared" si="30"/>
        <v>0</v>
      </c>
      <c r="AM145" s="5"/>
      <c r="AN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3">
        <f t="shared" si="30"/>
        <v>0</v>
      </c>
      <c r="AM146" s="5"/>
      <c r="AN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3">
        <f t="shared" si="30"/>
        <v>0</v>
      </c>
      <c r="AM147" s="5"/>
      <c r="AN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3">
        <f t="shared" si="30"/>
        <v>0</v>
      </c>
      <c r="AM148" s="5"/>
      <c r="AN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74"/>
      <c r="AM149" s="5"/>
      <c r="AN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74"/>
      <c r="AM150" s="5"/>
      <c r="AN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K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>SUM(E151:AK151)</f>
        <v>1</v>
      </c>
      <c r="AM151" s="1"/>
      <c r="AN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13"/>
      <c r="AM152" s="52"/>
      <c r="AN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2.0</v>
      </c>
      <c r="H153" s="19">
        <v>0.0</v>
      </c>
      <c r="I153" s="19">
        <v>1.0</v>
      </c>
      <c r="J153" s="19">
        <v>0.0</v>
      </c>
      <c r="K153" s="19">
        <v>0.0</v>
      </c>
      <c r="L153" s="19">
        <v>2.0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1.0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1.0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1.0</v>
      </c>
      <c r="AK153" s="19">
        <v>1.0</v>
      </c>
      <c r="AL153" s="13">
        <v>10.0</v>
      </c>
      <c r="AM153" s="5"/>
      <c r="AN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3">
        <f>SUM(E155:AK155)</f>
        <v>2</v>
      </c>
      <c r="AM154" s="5"/>
      <c r="AN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1.0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3">
        <v>2.0</v>
      </c>
      <c r="AM155" s="5"/>
      <c r="AN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3">
        <f>SUM(E157:AK157)</f>
        <v>0</v>
      </c>
      <c r="AM156" s="5"/>
      <c r="AN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3">
        <v>0.0</v>
      </c>
      <c r="AM157" s="5"/>
      <c r="AN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74"/>
      <c r="AM158" s="5"/>
      <c r="AN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74"/>
      <c r="AM159" s="5"/>
      <c r="AN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74"/>
      <c r="AM160" s="5"/>
      <c r="AN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74"/>
      <c r="AM161" s="5"/>
      <c r="AN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74"/>
      <c r="AM162" s="5"/>
      <c r="AN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K163" si="32">SUM(E153:E157)</f>
        <v>0</v>
      </c>
      <c r="F163" s="13">
        <f t="shared" si="32"/>
        <v>0</v>
      </c>
      <c r="G163" s="13">
        <f t="shared" si="32"/>
        <v>2</v>
      </c>
      <c r="H163" s="13">
        <f t="shared" si="32"/>
        <v>0</v>
      </c>
      <c r="I163" s="13">
        <f t="shared" si="32"/>
        <v>1</v>
      </c>
      <c r="J163" s="13">
        <f t="shared" si="32"/>
        <v>0</v>
      </c>
      <c r="K163" s="13">
        <f t="shared" si="32"/>
        <v>1</v>
      </c>
      <c r="L163" s="13">
        <f t="shared" si="32"/>
        <v>2</v>
      </c>
      <c r="M163" s="13">
        <f t="shared" si="32"/>
        <v>0</v>
      </c>
      <c r="N163" s="13">
        <f t="shared" si="32"/>
        <v>1</v>
      </c>
      <c r="O163" s="13">
        <f t="shared" si="32"/>
        <v>0</v>
      </c>
      <c r="P163" s="13">
        <f t="shared" si="32"/>
        <v>0</v>
      </c>
      <c r="Q163" s="13">
        <f t="shared" si="32"/>
        <v>1</v>
      </c>
      <c r="R163" s="13">
        <f t="shared" si="32"/>
        <v>0</v>
      </c>
      <c r="S163" s="13">
        <f t="shared" si="32"/>
        <v>0</v>
      </c>
      <c r="T163" s="13">
        <f t="shared" si="32"/>
        <v>0</v>
      </c>
      <c r="U163" s="13">
        <f t="shared" si="32"/>
        <v>1</v>
      </c>
      <c r="V163" s="13">
        <f t="shared" si="32"/>
        <v>0</v>
      </c>
      <c r="W163" s="13">
        <f t="shared" si="32"/>
        <v>0</v>
      </c>
      <c r="X163" s="13">
        <f t="shared" si="32"/>
        <v>2</v>
      </c>
      <c r="Y163" s="13">
        <f t="shared" si="32"/>
        <v>0</v>
      </c>
      <c r="Z163" s="13">
        <f t="shared" si="32"/>
        <v>0</v>
      </c>
      <c r="AA163" s="13">
        <f t="shared" si="32"/>
        <v>0</v>
      </c>
      <c r="AB163" s="13">
        <f t="shared" si="32"/>
        <v>0</v>
      </c>
      <c r="AC163" s="13">
        <f t="shared" si="32"/>
        <v>1</v>
      </c>
      <c r="AD163" s="13">
        <f t="shared" si="32"/>
        <v>0</v>
      </c>
      <c r="AE163" s="13">
        <f t="shared" si="32"/>
        <v>0</v>
      </c>
      <c r="AF163" s="13">
        <f t="shared" si="32"/>
        <v>0</v>
      </c>
      <c r="AG163" s="13">
        <f t="shared" si="32"/>
        <v>0</v>
      </c>
      <c r="AH163" s="13">
        <f t="shared" si="32"/>
        <v>0</v>
      </c>
      <c r="AI163" s="13">
        <f t="shared" si="32"/>
        <v>0</v>
      </c>
      <c r="AJ163" s="13">
        <f t="shared" si="32"/>
        <v>1</v>
      </c>
      <c r="AK163" s="13">
        <f t="shared" si="32"/>
        <v>1</v>
      </c>
      <c r="AL163" s="13">
        <v>14.0</v>
      </c>
      <c r="AM163" s="5"/>
      <c r="AN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5"/>
      <c r="AN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1.0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1.0</v>
      </c>
      <c r="AK165" s="19">
        <v>0.0</v>
      </c>
      <c r="AL165" s="13">
        <f t="shared" ref="AL165:AL172" si="33">SUM(E165:AK165)</f>
        <v>3</v>
      </c>
      <c r="AM165" s="1"/>
      <c r="AN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3">
        <f t="shared" si="33"/>
        <v>1</v>
      </c>
      <c r="AM166" s="52"/>
      <c r="AN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1.0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3">
        <f t="shared" si="33"/>
        <v>3</v>
      </c>
      <c r="AM167" s="5"/>
      <c r="AN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3">
        <f t="shared" si="33"/>
        <v>1</v>
      </c>
      <c r="AM168" s="5"/>
      <c r="AN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3">
        <f t="shared" si="33"/>
        <v>1</v>
      </c>
      <c r="AM169" s="5"/>
      <c r="AN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1.0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3">
        <f t="shared" si="33"/>
        <v>2</v>
      </c>
      <c r="AM170" s="5"/>
      <c r="AN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3">
        <f t="shared" si="33"/>
        <v>0</v>
      </c>
      <c r="AM171" s="5"/>
      <c r="AN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3">
        <f t="shared" si="33"/>
        <v>0</v>
      </c>
      <c r="AM172" s="5"/>
      <c r="AN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74"/>
      <c r="AM173" s="5"/>
      <c r="AN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74"/>
      <c r="AM174" s="5"/>
      <c r="AN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K175" si="34">SUM(E165:E172)</f>
        <v>1</v>
      </c>
      <c r="F175" s="13">
        <f t="shared" si="34"/>
        <v>0</v>
      </c>
      <c r="G175" s="13">
        <f t="shared" si="34"/>
        <v>2</v>
      </c>
      <c r="H175" s="13">
        <f t="shared" si="34"/>
        <v>0</v>
      </c>
      <c r="I175" s="13">
        <f t="shared" si="34"/>
        <v>0</v>
      </c>
      <c r="J175" s="13">
        <f t="shared" si="34"/>
        <v>0</v>
      </c>
      <c r="K175" s="13">
        <f t="shared" si="34"/>
        <v>0</v>
      </c>
      <c r="L175" s="13">
        <f t="shared" si="34"/>
        <v>0</v>
      </c>
      <c r="M175" s="13">
        <f t="shared" si="34"/>
        <v>1</v>
      </c>
      <c r="N175" s="13">
        <f t="shared" si="34"/>
        <v>1</v>
      </c>
      <c r="O175" s="13">
        <f t="shared" si="34"/>
        <v>0</v>
      </c>
      <c r="P175" s="13">
        <f t="shared" si="34"/>
        <v>0</v>
      </c>
      <c r="Q175" s="13">
        <f t="shared" si="34"/>
        <v>1</v>
      </c>
      <c r="R175" s="13">
        <f t="shared" si="34"/>
        <v>0</v>
      </c>
      <c r="S175" s="13">
        <f t="shared" si="34"/>
        <v>0</v>
      </c>
      <c r="T175" s="13">
        <f t="shared" si="34"/>
        <v>0</v>
      </c>
      <c r="U175" s="13">
        <f t="shared" si="34"/>
        <v>0</v>
      </c>
      <c r="V175" s="13">
        <f t="shared" si="34"/>
        <v>1</v>
      </c>
      <c r="W175" s="13">
        <f t="shared" si="34"/>
        <v>0</v>
      </c>
      <c r="X175" s="13">
        <f t="shared" si="34"/>
        <v>1</v>
      </c>
      <c r="Y175" s="13">
        <f t="shared" si="34"/>
        <v>0</v>
      </c>
      <c r="Z175" s="13">
        <f t="shared" si="34"/>
        <v>0</v>
      </c>
      <c r="AA175" s="13">
        <f t="shared" si="34"/>
        <v>0</v>
      </c>
      <c r="AB175" s="13">
        <f t="shared" si="34"/>
        <v>0</v>
      </c>
      <c r="AC175" s="13">
        <f t="shared" si="34"/>
        <v>1</v>
      </c>
      <c r="AD175" s="13">
        <f t="shared" si="34"/>
        <v>0</v>
      </c>
      <c r="AE175" s="13">
        <f t="shared" si="34"/>
        <v>0</v>
      </c>
      <c r="AF175" s="13">
        <f t="shared" si="34"/>
        <v>1</v>
      </c>
      <c r="AG175" s="13">
        <f t="shared" si="34"/>
        <v>0</v>
      </c>
      <c r="AH175" s="13">
        <f t="shared" si="34"/>
        <v>0</v>
      </c>
      <c r="AI175" s="13">
        <f t="shared" si="34"/>
        <v>0</v>
      </c>
      <c r="AJ175" s="13">
        <f t="shared" si="34"/>
        <v>1</v>
      </c>
      <c r="AK175" s="13">
        <f t="shared" si="34"/>
        <v>0</v>
      </c>
      <c r="AL175" s="13">
        <f>SUM(E175:AK175)</f>
        <v>11</v>
      </c>
      <c r="AM175" s="5"/>
      <c r="AN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1"/>
      <c r="AN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0.0</v>
      </c>
      <c r="I177" s="19">
        <v>0.0</v>
      </c>
      <c r="J177" s="19">
        <v>2.0</v>
      </c>
      <c r="K177" s="19">
        <v>2.0</v>
      </c>
      <c r="L177" s="19">
        <v>0.0</v>
      </c>
      <c r="M177" s="19">
        <v>0.0</v>
      </c>
      <c r="N177" s="19">
        <v>0.0</v>
      </c>
      <c r="O177" s="19">
        <v>1.0</v>
      </c>
      <c r="P177" s="19">
        <v>1.0</v>
      </c>
      <c r="Q177" s="19">
        <v>1.0</v>
      </c>
      <c r="R177" s="19">
        <v>0.0</v>
      </c>
      <c r="S177" s="19">
        <v>0.0</v>
      </c>
      <c r="T177" s="19">
        <v>1.0</v>
      </c>
      <c r="U177" s="19">
        <v>1.0</v>
      </c>
      <c r="V177" s="19">
        <v>0.0</v>
      </c>
      <c r="W177" s="19">
        <v>0.0</v>
      </c>
      <c r="X177" s="19">
        <v>1.0</v>
      </c>
      <c r="Y177" s="19">
        <v>0.0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1.0</v>
      </c>
      <c r="AF177" s="19">
        <v>1.0</v>
      </c>
      <c r="AG177" s="19">
        <v>0.0</v>
      </c>
      <c r="AH177" s="19">
        <v>0.0</v>
      </c>
      <c r="AI177" s="19">
        <v>1.0</v>
      </c>
      <c r="AJ177" s="19">
        <v>0.0</v>
      </c>
      <c r="AK177" s="19">
        <v>3.0</v>
      </c>
      <c r="AL177" s="13">
        <f t="shared" ref="AL177:AL184" si="35">SUM(E177:AK177)</f>
        <v>19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7.0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4.0</v>
      </c>
      <c r="AF178" s="19">
        <v>0.0</v>
      </c>
      <c r="AG178" s="19">
        <v>1.0</v>
      </c>
      <c r="AH178" s="19">
        <v>1.0</v>
      </c>
      <c r="AI178" s="19">
        <v>0.0</v>
      </c>
      <c r="AJ178" s="19">
        <v>1.0</v>
      </c>
      <c r="AK178" s="19">
        <v>1.0</v>
      </c>
      <c r="AL178" s="13">
        <f t="shared" si="35"/>
        <v>19</v>
      </c>
      <c r="AM178" s="5"/>
      <c r="AN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2.0</v>
      </c>
      <c r="L179" s="19">
        <v>1.0</v>
      </c>
      <c r="M179" s="19">
        <v>0.0</v>
      </c>
      <c r="N179" s="19">
        <v>0.0</v>
      </c>
      <c r="O179" s="19">
        <v>2.0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9">
        <v>0.0</v>
      </c>
      <c r="AB179" s="19">
        <v>1.0</v>
      </c>
      <c r="AC179" s="19">
        <v>0.0</v>
      </c>
      <c r="AD179" s="19">
        <v>0.0</v>
      </c>
      <c r="AE179" s="19">
        <v>1.0</v>
      </c>
      <c r="AF179" s="19">
        <v>2.0</v>
      </c>
      <c r="AG179" s="19">
        <v>1.0</v>
      </c>
      <c r="AH179" s="19">
        <v>0.0</v>
      </c>
      <c r="AI179" s="19">
        <v>1.0</v>
      </c>
      <c r="AJ179" s="19">
        <v>0.0</v>
      </c>
      <c r="AK179" s="19">
        <v>0.0</v>
      </c>
      <c r="AL179" s="13">
        <f t="shared" si="35"/>
        <v>13</v>
      </c>
      <c r="AM179" s="5"/>
      <c r="AN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0.0</v>
      </c>
      <c r="AJ180" s="19">
        <v>0.0</v>
      </c>
      <c r="AK180" s="19">
        <v>0.0</v>
      </c>
      <c r="AL180" s="13">
        <f t="shared" si="35"/>
        <v>4</v>
      </c>
      <c r="AM180" s="5"/>
      <c r="AN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2.0</v>
      </c>
      <c r="AG181" s="19">
        <v>1.0</v>
      </c>
      <c r="AH181" s="19">
        <v>0.0</v>
      </c>
      <c r="AI181" s="19">
        <v>0.0</v>
      </c>
      <c r="AJ181" s="19">
        <v>0.0</v>
      </c>
      <c r="AK181" s="19">
        <v>0.0</v>
      </c>
      <c r="AL181" s="13">
        <f t="shared" si="35"/>
        <v>6</v>
      </c>
      <c r="AM181" s="5"/>
      <c r="AN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1.0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3">
        <f t="shared" si="35"/>
        <v>1</v>
      </c>
      <c r="AM182" s="5"/>
      <c r="AN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1.0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3">
        <f t="shared" si="35"/>
        <v>1</v>
      </c>
      <c r="AM183" s="5"/>
      <c r="AN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6.0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1.0</v>
      </c>
      <c r="AC184" s="19">
        <v>0.0</v>
      </c>
      <c r="AD184" s="19">
        <v>0.0</v>
      </c>
      <c r="AE184" s="19">
        <v>2.0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3">
        <f t="shared" si="35"/>
        <v>9</v>
      </c>
      <c r="AM184" s="5"/>
      <c r="AN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74"/>
      <c r="AM185" s="5"/>
      <c r="AN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74"/>
      <c r="AM186" s="5"/>
      <c r="AN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K187" si="36">SUM(E177:E184)</f>
        <v>2</v>
      </c>
      <c r="F187" s="13">
        <f t="shared" si="36"/>
        <v>0</v>
      </c>
      <c r="G187" s="13">
        <f t="shared" si="36"/>
        <v>1</v>
      </c>
      <c r="H187" s="13">
        <f t="shared" si="36"/>
        <v>0</v>
      </c>
      <c r="I187" s="13">
        <f t="shared" si="36"/>
        <v>0</v>
      </c>
      <c r="J187" s="13">
        <f t="shared" si="36"/>
        <v>2</v>
      </c>
      <c r="K187" s="13">
        <f t="shared" si="36"/>
        <v>10</v>
      </c>
      <c r="L187" s="13">
        <f t="shared" si="36"/>
        <v>1</v>
      </c>
      <c r="M187" s="13">
        <f t="shared" si="36"/>
        <v>1</v>
      </c>
      <c r="N187" s="13">
        <f t="shared" si="36"/>
        <v>1</v>
      </c>
      <c r="O187" s="13">
        <f t="shared" si="36"/>
        <v>4</v>
      </c>
      <c r="P187" s="13">
        <f t="shared" si="36"/>
        <v>1</v>
      </c>
      <c r="Q187" s="13">
        <f t="shared" si="36"/>
        <v>1</v>
      </c>
      <c r="R187" s="13">
        <f t="shared" si="36"/>
        <v>1</v>
      </c>
      <c r="S187" s="13">
        <f t="shared" si="36"/>
        <v>1</v>
      </c>
      <c r="T187" s="13">
        <f t="shared" si="36"/>
        <v>1</v>
      </c>
      <c r="U187" s="13">
        <f t="shared" si="36"/>
        <v>2</v>
      </c>
      <c r="V187" s="13">
        <f t="shared" si="36"/>
        <v>8</v>
      </c>
      <c r="W187" s="13">
        <f t="shared" si="36"/>
        <v>0</v>
      </c>
      <c r="X187" s="13">
        <f t="shared" si="36"/>
        <v>1</v>
      </c>
      <c r="Y187" s="13">
        <f t="shared" si="36"/>
        <v>1</v>
      </c>
      <c r="Z187" s="13">
        <f t="shared" si="36"/>
        <v>2</v>
      </c>
      <c r="AA187" s="13">
        <f t="shared" si="36"/>
        <v>1</v>
      </c>
      <c r="AB187" s="13">
        <f t="shared" si="36"/>
        <v>2</v>
      </c>
      <c r="AC187" s="13">
        <f t="shared" si="36"/>
        <v>0</v>
      </c>
      <c r="AD187" s="13">
        <f t="shared" si="36"/>
        <v>2</v>
      </c>
      <c r="AE187" s="13">
        <f t="shared" si="36"/>
        <v>9</v>
      </c>
      <c r="AF187" s="13">
        <f t="shared" si="36"/>
        <v>5</v>
      </c>
      <c r="AG187" s="13">
        <f t="shared" si="36"/>
        <v>3</v>
      </c>
      <c r="AH187" s="13">
        <f t="shared" si="36"/>
        <v>2</v>
      </c>
      <c r="AI187" s="13">
        <f t="shared" si="36"/>
        <v>2</v>
      </c>
      <c r="AJ187" s="13">
        <f t="shared" si="36"/>
        <v>1</v>
      </c>
      <c r="AK187" s="13">
        <f t="shared" si="36"/>
        <v>4</v>
      </c>
      <c r="AL187" s="13">
        <f>SUM(E187:AK187)</f>
        <v>72</v>
      </c>
      <c r="AM187" s="1"/>
      <c r="AN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L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1.0</v>
      </c>
      <c r="H189" s="19">
        <v>1.0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3">
        <f t="shared" ref="AL189:AL196" si="37">SUM(E189:AK189)</f>
        <v>4</v>
      </c>
      <c r="AM189" s="5"/>
      <c r="AN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1.0</v>
      </c>
      <c r="AL190" s="13">
        <f t="shared" si="37"/>
        <v>2</v>
      </c>
      <c r="AM190" s="5"/>
      <c r="AN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3">
        <f t="shared" si="37"/>
        <v>1</v>
      </c>
      <c r="AM191" s="5"/>
      <c r="AN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3">
        <f t="shared" si="37"/>
        <v>0</v>
      </c>
      <c r="AM192" s="5"/>
      <c r="AN192" s="5"/>
    </row>
    <row r="193" ht="12.75" customHeight="1">
      <c r="A193" s="18"/>
      <c r="B193" s="55">
        <v>4.0</v>
      </c>
      <c r="C193" s="50" t="s">
        <v>142</v>
      </c>
      <c r="D193" s="57"/>
      <c r="E193" s="19">
        <v>1.0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3">
        <f t="shared" si="37"/>
        <v>1</v>
      </c>
      <c r="AM193" s="5"/>
      <c r="AN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3">
        <f t="shared" si="37"/>
        <v>0</v>
      </c>
      <c r="AM194" s="5"/>
      <c r="AN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3">
        <f t="shared" si="37"/>
        <v>0</v>
      </c>
      <c r="AM195" s="5"/>
      <c r="AN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3">
        <f t="shared" si="37"/>
        <v>0</v>
      </c>
      <c r="AM196" s="1"/>
      <c r="AN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74"/>
      <c r="AM197" s="1"/>
      <c r="AN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74"/>
      <c r="AM198" s="1"/>
      <c r="AN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K199" si="38">SUM(E189:E196)</f>
        <v>3</v>
      </c>
      <c r="F199" s="13">
        <f t="shared" si="38"/>
        <v>0</v>
      </c>
      <c r="G199" s="13">
        <f t="shared" si="38"/>
        <v>1</v>
      </c>
      <c r="H199" s="13">
        <f t="shared" si="38"/>
        <v>1</v>
      </c>
      <c r="I199" s="13">
        <f t="shared" si="38"/>
        <v>0</v>
      </c>
      <c r="J199" s="13">
        <f t="shared" si="38"/>
        <v>0</v>
      </c>
      <c r="K199" s="13">
        <f t="shared" si="38"/>
        <v>1</v>
      </c>
      <c r="L199" s="13">
        <f t="shared" si="38"/>
        <v>0</v>
      </c>
      <c r="M199" s="13">
        <f t="shared" si="38"/>
        <v>0</v>
      </c>
      <c r="N199" s="13">
        <f t="shared" si="38"/>
        <v>0</v>
      </c>
      <c r="O199" s="13">
        <f t="shared" si="38"/>
        <v>0</v>
      </c>
      <c r="P199" s="13">
        <f t="shared" si="38"/>
        <v>0</v>
      </c>
      <c r="Q199" s="13">
        <f t="shared" si="38"/>
        <v>0</v>
      </c>
      <c r="R199" s="13">
        <f t="shared" si="38"/>
        <v>0</v>
      </c>
      <c r="S199" s="13">
        <f t="shared" si="38"/>
        <v>0</v>
      </c>
      <c r="T199" s="13">
        <f t="shared" si="38"/>
        <v>0</v>
      </c>
      <c r="U199" s="13">
        <f t="shared" si="38"/>
        <v>0</v>
      </c>
      <c r="V199" s="13">
        <f t="shared" si="38"/>
        <v>0</v>
      </c>
      <c r="W199" s="13">
        <f t="shared" si="38"/>
        <v>0</v>
      </c>
      <c r="X199" s="13">
        <f t="shared" si="38"/>
        <v>0</v>
      </c>
      <c r="Y199" s="13">
        <f t="shared" si="38"/>
        <v>0</v>
      </c>
      <c r="Z199" s="13">
        <f t="shared" si="38"/>
        <v>0</v>
      </c>
      <c r="AA199" s="13">
        <f t="shared" si="38"/>
        <v>1</v>
      </c>
      <c r="AB199" s="13">
        <f t="shared" si="38"/>
        <v>0</v>
      </c>
      <c r="AC199" s="13">
        <f t="shared" si="38"/>
        <v>0</v>
      </c>
      <c r="AD199" s="13">
        <f t="shared" si="38"/>
        <v>0</v>
      </c>
      <c r="AE199" s="13">
        <f t="shared" si="38"/>
        <v>0</v>
      </c>
      <c r="AF199" s="13">
        <f t="shared" si="38"/>
        <v>0</v>
      </c>
      <c r="AG199" s="13">
        <f t="shared" si="38"/>
        <v>0</v>
      </c>
      <c r="AH199" s="13">
        <f t="shared" si="38"/>
        <v>0</v>
      </c>
      <c r="AI199" s="13">
        <f t="shared" si="38"/>
        <v>0</v>
      </c>
      <c r="AJ199" s="13">
        <f t="shared" si="38"/>
        <v>0</v>
      </c>
      <c r="AK199" s="13">
        <f t="shared" si="38"/>
        <v>1</v>
      </c>
      <c r="AL199" s="13">
        <f>SUM(E199:AK199)</f>
        <v>8</v>
      </c>
      <c r="AM199" s="52"/>
      <c r="AN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5"/>
      <c r="AN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3.0</v>
      </c>
      <c r="G201" s="19">
        <v>2.0</v>
      </c>
      <c r="H201" s="19">
        <v>5.0</v>
      </c>
      <c r="I201" s="19">
        <v>1.0</v>
      </c>
      <c r="J201" s="19">
        <v>3.0</v>
      </c>
      <c r="K201" s="19">
        <v>1.0</v>
      </c>
      <c r="L201" s="19">
        <v>4.0</v>
      </c>
      <c r="M201" s="19">
        <v>2.0</v>
      </c>
      <c r="N201" s="19">
        <v>0.0</v>
      </c>
      <c r="O201" s="19">
        <v>2.0</v>
      </c>
      <c r="P201" s="19">
        <v>0.0</v>
      </c>
      <c r="Q201" s="19">
        <v>4.0</v>
      </c>
      <c r="R201" s="19">
        <v>1.0</v>
      </c>
      <c r="S201" s="19">
        <v>0.0</v>
      </c>
      <c r="T201" s="19">
        <v>0.0</v>
      </c>
      <c r="U201" s="19">
        <v>4.0</v>
      </c>
      <c r="V201" s="19">
        <v>6.0</v>
      </c>
      <c r="W201" s="19">
        <v>3.0</v>
      </c>
      <c r="X201" s="19">
        <v>4.0</v>
      </c>
      <c r="Y201" s="19">
        <v>3.0</v>
      </c>
      <c r="Z201" s="19">
        <v>1.0</v>
      </c>
      <c r="AA201" s="19">
        <v>2.0</v>
      </c>
      <c r="AB201" s="19">
        <v>4.0</v>
      </c>
      <c r="AC201" s="19">
        <v>6.0</v>
      </c>
      <c r="AD201" s="19">
        <v>2.0</v>
      </c>
      <c r="AE201" s="19">
        <v>7.0</v>
      </c>
      <c r="AF201" s="19">
        <v>10.0</v>
      </c>
      <c r="AG201" s="19">
        <v>3.0</v>
      </c>
      <c r="AH201" s="19">
        <v>6.0</v>
      </c>
      <c r="AI201" s="19">
        <v>6.0</v>
      </c>
      <c r="AJ201" s="19">
        <v>3.0</v>
      </c>
      <c r="AK201" s="19">
        <v>1.0</v>
      </c>
      <c r="AL201" s="13">
        <f t="shared" ref="AL201:AL208" si="39">SUM(E201:AK201)</f>
        <v>103</v>
      </c>
      <c r="AM201" s="5"/>
      <c r="AN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6.0</v>
      </c>
      <c r="F202" s="19">
        <v>6.0</v>
      </c>
      <c r="G202" s="19">
        <v>3.0</v>
      </c>
      <c r="H202" s="19">
        <v>5.0</v>
      </c>
      <c r="I202" s="19">
        <v>6.0</v>
      </c>
      <c r="J202" s="19">
        <v>5.0</v>
      </c>
      <c r="K202" s="19">
        <v>5.0</v>
      </c>
      <c r="L202" s="19">
        <v>1.0</v>
      </c>
      <c r="M202" s="19">
        <v>7.0</v>
      </c>
      <c r="N202" s="19">
        <v>7.0</v>
      </c>
      <c r="O202" s="19">
        <v>10.0</v>
      </c>
      <c r="P202" s="19">
        <v>0.0</v>
      </c>
      <c r="Q202" s="19">
        <v>5.0</v>
      </c>
      <c r="R202" s="19">
        <v>2.0</v>
      </c>
      <c r="S202" s="19">
        <v>2.0</v>
      </c>
      <c r="T202" s="19">
        <v>3.0</v>
      </c>
      <c r="U202" s="19">
        <v>2.0</v>
      </c>
      <c r="V202" s="19">
        <v>10.0</v>
      </c>
      <c r="W202" s="19">
        <v>9.0</v>
      </c>
      <c r="X202" s="19">
        <v>3.0</v>
      </c>
      <c r="Y202" s="19">
        <v>10.0</v>
      </c>
      <c r="Z202" s="19">
        <v>4.0</v>
      </c>
      <c r="AA202" s="19">
        <v>5.0</v>
      </c>
      <c r="AB202" s="19">
        <v>3.0</v>
      </c>
      <c r="AC202" s="19">
        <v>6.0</v>
      </c>
      <c r="AD202" s="19">
        <v>5.0</v>
      </c>
      <c r="AE202" s="19">
        <v>26.0</v>
      </c>
      <c r="AF202" s="19">
        <v>12.0</v>
      </c>
      <c r="AG202" s="19">
        <v>8.0</v>
      </c>
      <c r="AH202" s="19">
        <v>4.0</v>
      </c>
      <c r="AI202" s="19">
        <v>12.0</v>
      </c>
      <c r="AJ202" s="19">
        <v>14.0</v>
      </c>
      <c r="AK202" s="19">
        <v>0.0</v>
      </c>
      <c r="AL202" s="13">
        <f t="shared" si="39"/>
        <v>206</v>
      </c>
      <c r="AM202" s="5"/>
      <c r="AN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2.0</v>
      </c>
      <c r="H203" s="19">
        <v>2.0</v>
      </c>
      <c r="I203" s="19">
        <v>1.0</v>
      </c>
      <c r="J203" s="19">
        <v>1.0</v>
      </c>
      <c r="K203" s="19">
        <v>2.0</v>
      </c>
      <c r="L203" s="19">
        <v>0.0</v>
      </c>
      <c r="M203" s="19">
        <v>0.0</v>
      </c>
      <c r="N203" s="19">
        <v>1.0</v>
      </c>
      <c r="O203" s="19">
        <v>3.0</v>
      </c>
      <c r="P203" s="19">
        <v>0.0</v>
      </c>
      <c r="Q203" s="19">
        <v>2.0</v>
      </c>
      <c r="R203" s="19">
        <v>3.0</v>
      </c>
      <c r="S203" s="19">
        <v>0.0</v>
      </c>
      <c r="T203" s="19">
        <v>1.0</v>
      </c>
      <c r="U203" s="19">
        <v>3.0</v>
      </c>
      <c r="V203" s="19">
        <v>2.0</v>
      </c>
      <c r="W203" s="19">
        <v>2.0</v>
      </c>
      <c r="X203" s="19">
        <v>0.0</v>
      </c>
      <c r="Y203" s="19">
        <v>1.0</v>
      </c>
      <c r="Z203" s="19">
        <v>2.0</v>
      </c>
      <c r="AA203" s="19">
        <v>2.0</v>
      </c>
      <c r="AB203" s="19">
        <v>0.0</v>
      </c>
      <c r="AC203" s="19">
        <v>1.0</v>
      </c>
      <c r="AD203" s="19">
        <v>2.0</v>
      </c>
      <c r="AE203" s="19">
        <v>4.0</v>
      </c>
      <c r="AF203" s="19">
        <v>7.0</v>
      </c>
      <c r="AG203" s="19">
        <v>4.0</v>
      </c>
      <c r="AH203" s="19">
        <v>4.0</v>
      </c>
      <c r="AI203" s="19">
        <v>2.0</v>
      </c>
      <c r="AJ203" s="19">
        <v>2.0</v>
      </c>
      <c r="AK203" s="19">
        <v>0.0</v>
      </c>
      <c r="AL203" s="13">
        <f t="shared" si="39"/>
        <v>56</v>
      </c>
      <c r="AM203" s="5"/>
      <c r="AN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1.0</v>
      </c>
      <c r="M204" s="19">
        <v>1.0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5.0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7.0</v>
      </c>
      <c r="AD204" s="19">
        <v>1.0</v>
      </c>
      <c r="AE204" s="19">
        <v>5.0</v>
      </c>
      <c r="AF204" s="19">
        <v>3.0</v>
      </c>
      <c r="AG204" s="19">
        <v>0.0</v>
      </c>
      <c r="AH204" s="19">
        <v>5.0</v>
      </c>
      <c r="AI204" s="19">
        <v>0.0</v>
      </c>
      <c r="AJ204" s="19">
        <v>1.0</v>
      </c>
      <c r="AK204" s="19">
        <v>1.0</v>
      </c>
      <c r="AL204" s="13">
        <f t="shared" si="39"/>
        <v>36</v>
      </c>
      <c r="AM204" s="5"/>
      <c r="AN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2.0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2.0</v>
      </c>
      <c r="O205" s="19">
        <v>0.0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7.0</v>
      </c>
      <c r="X205" s="19">
        <v>2.0</v>
      </c>
      <c r="Y205" s="19">
        <v>5.0</v>
      </c>
      <c r="Z205" s="19">
        <v>7.0</v>
      </c>
      <c r="AA205" s="19">
        <v>2.0</v>
      </c>
      <c r="AB205" s="19">
        <v>0.0</v>
      </c>
      <c r="AC205" s="19">
        <v>1.0</v>
      </c>
      <c r="AD205" s="19">
        <v>0.0</v>
      </c>
      <c r="AE205" s="19">
        <v>0.0</v>
      </c>
      <c r="AF205" s="19">
        <v>18.0</v>
      </c>
      <c r="AG205" s="19">
        <v>0.0</v>
      </c>
      <c r="AH205" s="19">
        <v>6.0</v>
      </c>
      <c r="AI205" s="19">
        <v>0.0</v>
      </c>
      <c r="AJ205" s="19">
        <v>0.0</v>
      </c>
      <c r="AK205" s="19">
        <v>1.0</v>
      </c>
      <c r="AL205" s="13">
        <f t="shared" si="39"/>
        <v>57</v>
      </c>
      <c r="AM205" s="5"/>
      <c r="AN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1.0</v>
      </c>
      <c r="AA206" s="19">
        <v>1.0</v>
      </c>
      <c r="AB206" s="19">
        <v>1.0</v>
      </c>
      <c r="AC206" s="19">
        <v>1.0</v>
      </c>
      <c r="AD206" s="19">
        <v>1.0</v>
      </c>
      <c r="AE206" s="19">
        <v>0.0</v>
      </c>
      <c r="AF206" s="19">
        <v>2.0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1.0</v>
      </c>
      <c r="AL206" s="13">
        <f t="shared" si="39"/>
        <v>12</v>
      </c>
      <c r="AM206" s="5"/>
      <c r="AN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1.0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1.0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3">
        <f t="shared" si="39"/>
        <v>3</v>
      </c>
      <c r="AM207" s="1"/>
      <c r="AN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2.0</v>
      </c>
      <c r="Z208" s="19">
        <v>0.0</v>
      </c>
      <c r="AA208" s="19">
        <v>1.0</v>
      </c>
      <c r="AB208" s="19">
        <v>0.0</v>
      </c>
      <c r="AC208" s="19">
        <v>0.0</v>
      </c>
      <c r="AD208" s="19">
        <v>0.0</v>
      </c>
      <c r="AE208" s="19">
        <v>2.0</v>
      </c>
      <c r="AF208" s="19">
        <v>0.0</v>
      </c>
      <c r="AG208" s="19">
        <v>0.0</v>
      </c>
      <c r="AH208" s="19">
        <v>0.0</v>
      </c>
      <c r="AI208" s="19">
        <v>3.0</v>
      </c>
      <c r="AJ208" s="19">
        <v>0.0</v>
      </c>
      <c r="AK208" s="19">
        <v>0.0</v>
      </c>
      <c r="AL208" s="13">
        <f t="shared" si="39"/>
        <v>9</v>
      </c>
      <c r="AM208" s="52"/>
      <c r="AN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74"/>
      <c r="AM209" s="52"/>
      <c r="AN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74"/>
      <c r="AM210" s="52"/>
      <c r="AN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K211" si="40">SUM(E201:E208)</f>
        <v>13</v>
      </c>
      <c r="F211" s="13">
        <f t="shared" si="40"/>
        <v>11</v>
      </c>
      <c r="G211" s="13">
        <f t="shared" si="40"/>
        <v>7</v>
      </c>
      <c r="H211" s="13">
        <f t="shared" si="40"/>
        <v>15</v>
      </c>
      <c r="I211" s="13">
        <f t="shared" si="40"/>
        <v>8</v>
      </c>
      <c r="J211" s="13">
        <f t="shared" si="40"/>
        <v>9</v>
      </c>
      <c r="K211" s="13">
        <f t="shared" si="40"/>
        <v>9</v>
      </c>
      <c r="L211" s="13">
        <f t="shared" si="40"/>
        <v>6</v>
      </c>
      <c r="M211" s="13">
        <f t="shared" si="40"/>
        <v>12</v>
      </c>
      <c r="N211" s="13">
        <f t="shared" si="40"/>
        <v>11</v>
      </c>
      <c r="O211" s="13">
        <f t="shared" si="40"/>
        <v>15</v>
      </c>
      <c r="P211" s="13">
        <f t="shared" si="40"/>
        <v>1</v>
      </c>
      <c r="Q211" s="13">
        <f t="shared" si="40"/>
        <v>11</v>
      </c>
      <c r="R211" s="13">
        <f t="shared" si="40"/>
        <v>7</v>
      </c>
      <c r="S211" s="13">
        <f t="shared" si="40"/>
        <v>2</v>
      </c>
      <c r="T211" s="13">
        <f t="shared" si="40"/>
        <v>4</v>
      </c>
      <c r="U211" s="13">
        <f t="shared" si="40"/>
        <v>9</v>
      </c>
      <c r="V211" s="13">
        <f t="shared" si="40"/>
        <v>20</v>
      </c>
      <c r="W211" s="13">
        <f t="shared" si="40"/>
        <v>27</v>
      </c>
      <c r="X211" s="13">
        <f t="shared" si="40"/>
        <v>10</v>
      </c>
      <c r="Y211" s="13">
        <f t="shared" si="40"/>
        <v>22</v>
      </c>
      <c r="Z211" s="13">
        <f t="shared" si="40"/>
        <v>15</v>
      </c>
      <c r="AA211" s="13">
        <f t="shared" si="40"/>
        <v>13</v>
      </c>
      <c r="AB211" s="13">
        <f t="shared" si="40"/>
        <v>8</v>
      </c>
      <c r="AC211" s="13">
        <f t="shared" si="40"/>
        <v>22</v>
      </c>
      <c r="AD211" s="13">
        <f t="shared" si="40"/>
        <v>11</v>
      </c>
      <c r="AE211" s="13">
        <f t="shared" si="40"/>
        <v>44</v>
      </c>
      <c r="AF211" s="13">
        <f t="shared" si="40"/>
        <v>53</v>
      </c>
      <c r="AG211" s="13">
        <f t="shared" si="40"/>
        <v>15</v>
      </c>
      <c r="AH211" s="13">
        <f t="shared" si="40"/>
        <v>25</v>
      </c>
      <c r="AI211" s="13">
        <f t="shared" si="40"/>
        <v>23</v>
      </c>
      <c r="AJ211" s="13">
        <f t="shared" si="40"/>
        <v>20</v>
      </c>
      <c r="AK211" s="13">
        <f t="shared" si="40"/>
        <v>4</v>
      </c>
      <c r="AL211" s="13">
        <f>SUM(E211:AK211)</f>
        <v>482</v>
      </c>
      <c r="AM211" s="5"/>
      <c r="AN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5"/>
      <c r="AN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4.0</v>
      </c>
      <c r="H213" s="19">
        <v>2.0</v>
      </c>
      <c r="I213" s="19">
        <v>1.0</v>
      </c>
      <c r="J213" s="19">
        <v>0.0</v>
      </c>
      <c r="K213" s="19">
        <v>3.0</v>
      </c>
      <c r="L213" s="19">
        <v>5.0</v>
      </c>
      <c r="M213" s="19">
        <v>3.0</v>
      </c>
      <c r="N213" s="19">
        <v>1.0</v>
      </c>
      <c r="O213" s="19">
        <v>4.0</v>
      </c>
      <c r="P213" s="19">
        <v>0.0</v>
      </c>
      <c r="Q213" s="19">
        <v>3.0</v>
      </c>
      <c r="R213" s="19">
        <v>0.0</v>
      </c>
      <c r="S213" s="19">
        <v>2.0</v>
      </c>
      <c r="T213" s="19">
        <v>2.0</v>
      </c>
      <c r="U213" s="19">
        <v>1.0</v>
      </c>
      <c r="V213" s="19">
        <v>5.0</v>
      </c>
      <c r="W213" s="19">
        <v>2.0</v>
      </c>
      <c r="X213" s="19">
        <v>4.0</v>
      </c>
      <c r="Y213" s="19">
        <v>3.0</v>
      </c>
      <c r="Z213" s="19">
        <v>0.0</v>
      </c>
      <c r="AA213" s="19">
        <v>2.0</v>
      </c>
      <c r="AB213" s="19">
        <v>1.0</v>
      </c>
      <c r="AC213" s="19">
        <v>1.0</v>
      </c>
      <c r="AD213" s="19">
        <v>0.0</v>
      </c>
      <c r="AE213" s="19">
        <v>0.0</v>
      </c>
      <c r="AF213" s="19">
        <v>3.0</v>
      </c>
      <c r="AG213" s="19">
        <v>4.0</v>
      </c>
      <c r="AH213" s="19">
        <v>1.0</v>
      </c>
      <c r="AI213" s="19">
        <v>3.0</v>
      </c>
      <c r="AJ213" s="19">
        <v>1.0</v>
      </c>
      <c r="AK213" s="19">
        <v>6.0</v>
      </c>
      <c r="AL213" s="13">
        <f t="shared" ref="AL213:AL220" si="41">SUM(E213:AK213)</f>
        <v>69</v>
      </c>
      <c r="AM213" s="5"/>
      <c r="AN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9.0</v>
      </c>
      <c r="H214" s="19">
        <v>2.0</v>
      </c>
      <c r="I214" s="19">
        <v>7.0</v>
      </c>
      <c r="J214" s="19">
        <v>8.0</v>
      </c>
      <c r="K214" s="19">
        <v>3.0</v>
      </c>
      <c r="L214" s="19">
        <v>28.0</v>
      </c>
      <c r="M214" s="19">
        <v>0.0</v>
      </c>
      <c r="N214" s="19">
        <v>1.0</v>
      </c>
      <c r="O214" s="19">
        <v>6.0</v>
      </c>
      <c r="P214" s="19">
        <v>10.0</v>
      </c>
      <c r="Q214" s="19">
        <v>3.0</v>
      </c>
      <c r="R214" s="19">
        <v>1.0</v>
      </c>
      <c r="S214" s="19">
        <v>2.0</v>
      </c>
      <c r="T214" s="19">
        <v>1.0</v>
      </c>
      <c r="U214" s="19">
        <v>0.0</v>
      </c>
      <c r="V214" s="19">
        <v>1.0</v>
      </c>
      <c r="W214" s="19">
        <v>9.0</v>
      </c>
      <c r="X214" s="19">
        <v>1.0</v>
      </c>
      <c r="Y214" s="19">
        <v>5.0</v>
      </c>
      <c r="Z214" s="19">
        <v>0.0</v>
      </c>
      <c r="AA214" s="19">
        <v>5.0</v>
      </c>
      <c r="AB214" s="19">
        <v>0.0</v>
      </c>
      <c r="AC214" s="19">
        <v>2.0</v>
      </c>
      <c r="AD214" s="19">
        <v>0.0</v>
      </c>
      <c r="AE214" s="19">
        <v>1.0</v>
      </c>
      <c r="AF214" s="19">
        <v>3.0</v>
      </c>
      <c r="AG214" s="19">
        <v>0.0</v>
      </c>
      <c r="AH214" s="19">
        <v>1.0</v>
      </c>
      <c r="AI214" s="19">
        <v>1.0</v>
      </c>
      <c r="AJ214" s="19">
        <v>3.0</v>
      </c>
      <c r="AK214" s="19">
        <v>3.0</v>
      </c>
      <c r="AL214" s="13">
        <f t="shared" si="41"/>
        <v>117</v>
      </c>
      <c r="AM214" s="5"/>
      <c r="AN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3.0</v>
      </c>
      <c r="G215" s="19">
        <v>0.0</v>
      </c>
      <c r="H215" s="19">
        <v>0.0</v>
      </c>
      <c r="I215" s="19">
        <v>1.0</v>
      </c>
      <c r="J215" s="19">
        <v>3.0</v>
      </c>
      <c r="K215" s="19">
        <v>0.0</v>
      </c>
      <c r="L215" s="19">
        <v>1.0</v>
      </c>
      <c r="M215" s="19">
        <v>1.0</v>
      </c>
      <c r="N215" s="19">
        <v>0.0</v>
      </c>
      <c r="O215" s="19">
        <v>1.0</v>
      </c>
      <c r="P215" s="19">
        <v>0.0</v>
      </c>
      <c r="Q215" s="19">
        <v>2.0</v>
      </c>
      <c r="R215" s="19">
        <v>5.0</v>
      </c>
      <c r="S215" s="19">
        <v>17.0</v>
      </c>
      <c r="T215" s="19">
        <v>5.0</v>
      </c>
      <c r="U215" s="19">
        <v>18.0</v>
      </c>
      <c r="V215" s="19">
        <v>4.0</v>
      </c>
      <c r="W215" s="19">
        <v>1.0</v>
      </c>
      <c r="X215" s="19">
        <v>0.0</v>
      </c>
      <c r="Y215" s="19">
        <v>1.0</v>
      </c>
      <c r="Z215" s="19">
        <v>0.0</v>
      </c>
      <c r="AA215" s="19">
        <v>1.0</v>
      </c>
      <c r="AB215" s="19">
        <v>1.0</v>
      </c>
      <c r="AC215" s="19">
        <v>4.0</v>
      </c>
      <c r="AD215" s="19">
        <v>3.0</v>
      </c>
      <c r="AE215" s="19">
        <v>1.0</v>
      </c>
      <c r="AF215" s="19">
        <v>1.0</v>
      </c>
      <c r="AG215" s="19">
        <v>1.0</v>
      </c>
      <c r="AH215" s="19">
        <v>0.0</v>
      </c>
      <c r="AI215" s="19">
        <v>1.0</v>
      </c>
      <c r="AJ215" s="19">
        <v>0.0</v>
      </c>
      <c r="AK215" s="19">
        <v>0.0</v>
      </c>
      <c r="AL215" s="13">
        <f t="shared" si="41"/>
        <v>78</v>
      </c>
      <c r="AM215" s="5"/>
      <c r="AN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2.0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1.0</v>
      </c>
      <c r="AE216" s="19">
        <v>0.0</v>
      </c>
      <c r="AF216" s="19">
        <v>1.0</v>
      </c>
      <c r="AG216" s="19">
        <v>1.0</v>
      </c>
      <c r="AH216" s="19">
        <v>1.0</v>
      </c>
      <c r="AI216" s="19">
        <v>0.0</v>
      </c>
      <c r="AJ216" s="19">
        <v>0.0</v>
      </c>
      <c r="AK216" s="19">
        <v>0.0</v>
      </c>
      <c r="AL216" s="13">
        <f t="shared" si="41"/>
        <v>9</v>
      </c>
      <c r="AM216" s="5"/>
      <c r="AN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1.0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3">
        <f t="shared" si="41"/>
        <v>3</v>
      </c>
      <c r="AM217" s="5"/>
      <c r="AN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1.0</v>
      </c>
      <c r="Y218" s="19">
        <v>1.0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1.0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1.0</v>
      </c>
      <c r="AL218" s="13">
        <f t="shared" si="41"/>
        <v>8</v>
      </c>
      <c r="AM218" s="1"/>
      <c r="AN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1.0</v>
      </c>
      <c r="AE219" s="19">
        <v>1.0</v>
      </c>
      <c r="AF219" s="19">
        <v>1.0</v>
      </c>
      <c r="AG219" s="19">
        <v>0.0</v>
      </c>
      <c r="AH219" s="19">
        <v>0.0</v>
      </c>
      <c r="AI219" s="19">
        <v>1.0</v>
      </c>
      <c r="AJ219" s="19">
        <v>0.0</v>
      </c>
      <c r="AK219" s="19">
        <v>0.0</v>
      </c>
      <c r="AL219" s="13">
        <f t="shared" si="41"/>
        <v>6</v>
      </c>
      <c r="AM219" s="52"/>
      <c r="AN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2.0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1.0</v>
      </c>
      <c r="AI220" s="19">
        <v>0.0</v>
      </c>
      <c r="AJ220" s="19">
        <v>0.0</v>
      </c>
      <c r="AK220" s="19">
        <v>0.0</v>
      </c>
      <c r="AL220" s="13">
        <f t="shared" si="41"/>
        <v>4</v>
      </c>
      <c r="AM220" s="5"/>
      <c r="AN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74"/>
      <c r="AM221" s="5"/>
      <c r="AN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74"/>
      <c r="AM222" s="5"/>
      <c r="AN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K223" si="42">SUM(E213:E220)</f>
        <v>5</v>
      </c>
      <c r="F223" s="13">
        <f t="shared" si="42"/>
        <v>5</v>
      </c>
      <c r="G223" s="13">
        <f t="shared" si="42"/>
        <v>13</v>
      </c>
      <c r="H223" s="13">
        <f t="shared" si="42"/>
        <v>4</v>
      </c>
      <c r="I223" s="13">
        <f t="shared" si="42"/>
        <v>9</v>
      </c>
      <c r="J223" s="13">
        <f t="shared" si="42"/>
        <v>14</v>
      </c>
      <c r="K223" s="13">
        <f t="shared" si="42"/>
        <v>6</v>
      </c>
      <c r="L223" s="13">
        <f t="shared" si="42"/>
        <v>35</v>
      </c>
      <c r="M223" s="13">
        <f t="shared" si="42"/>
        <v>5</v>
      </c>
      <c r="N223" s="13">
        <f t="shared" si="42"/>
        <v>2</v>
      </c>
      <c r="O223" s="13">
        <f t="shared" si="42"/>
        <v>11</v>
      </c>
      <c r="P223" s="13">
        <f t="shared" si="42"/>
        <v>10</v>
      </c>
      <c r="Q223" s="13">
        <f t="shared" si="42"/>
        <v>8</v>
      </c>
      <c r="R223" s="13">
        <f t="shared" si="42"/>
        <v>6</v>
      </c>
      <c r="S223" s="13">
        <f t="shared" si="42"/>
        <v>22</v>
      </c>
      <c r="T223" s="13">
        <f t="shared" si="42"/>
        <v>10</v>
      </c>
      <c r="U223" s="13">
        <f t="shared" si="42"/>
        <v>19</v>
      </c>
      <c r="V223" s="13">
        <f t="shared" si="42"/>
        <v>10</v>
      </c>
      <c r="W223" s="13">
        <f t="shared" si="42"/>
        <v>12</v>
      </c>
      <c r="X223" s="13">
        <f t="shared" si="42"/>
        <v>7</v>
      </c>
      <c r="Y223" s="13">
        <f t="shared" si="42"/>
        <v>11</v>
      </c>
      <c r="Z223" s="13">
        <f t="shared" si="42"/>
        <v>0</v>
      </c>
      <c r="AA223" s="13">
        <f t="shared" si="42"/>
        <v>9</v>
      </c>
      <c r="AB223" s="13">
        <f t="shared" si="42"/>
        <v>4</v>
      </c>
      <c r="AC223" s="13">
        <f t="shared" si="42"/>
        <v>8</v>
      </c>
      <c r="AD223" s="13">
        <f t="shared" si="42"/>
        <v>5</v>
      </c>
      <c r="AE223" s="13">
        <f t="shared" si="42"/>
        <v>4</v>
      </c>
      <c r="AF223" s="13">
        <f t="shared" si="42"/>
        <v>9</v>
      </c>
      <c r="AG223" s="13">
        <f t="shared" si="42"/>
        <v>6</v>
      </c>
      <c r="AH223" s="13">
        <f t="shared" si="42"/>
        <v>4</v>
      </c>
      <c r="AI223" s="13">
        <f t="shared" si="42"/>
        <v>6</v>
      </c>
      <c r="AJ223" s="13">
        <f t="shared" si="42"/>
        <v>5</v>
      </c>
      <c r="AK223" s="13">
        <f t="shared" si="42"/>
        <v>10</v>
      </c>
      <c r="AL223" s="13">
        <f>SUM(E223:AK223)</f>
        <v>294</v>
      </c>
      <c r="AM223" s="5"/>
      <c r="AN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5"/>
      <c r="AN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1.0</v>
      </c>
      <c r="W225" s="19">
        <v>1.0</v>
      </c>
      <c r="X225" s="19">
        <v>0.0</v>
      </c>
      <c r="Y225" s="19">
        <v>1.0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3">
        <f t="shared" ref="AL225:AL232" si="43">SUM(E225:AK225)</f>
        <v>5</v>
      </c>
      <c r="AM225" s="5"/>
      <c r="AN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>
        <v>3.0</v>
      </c>
      <c r="G226" s="19">
        <v>1.0</v>
      </c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>
        <v>0.0</v>
      </c>
      <c r="N226" s="19">
        <v>0.0</v>
      </c>
      <c r="O226" s="19">
        <v>2.0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1.0</v>
      </c>
      <c r="V226" s="19">
        <v>0.0</v>
      </c>
      <c r="W226" s="19">
        <v>0.0</v>
      </c>
      <c r="X226" s="19">
        <v>0.0</v>
      </c>
      <c r="Y226" s="19">
        <v>1.0</v>
      </c>
      <c r="Z226" s="19">
        <v>1.0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2.0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3">
        <f t="shared" si="43"/>
        <v>15</v>
      </c>
      <c r="AM226" s="5"/>
      <c r="AN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1.0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3">
        <f t="shared" si="43"/>
        <v>1</v>
      </c>
      <c r="AM227" s="5"/>
      <c r="AN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3">
        <f t="shared" si="43"/>
        <v>0</v>
      </c>
      <c r="AM228" s="5"/>
      <c r="AN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1.0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3">
        <f t="shared" si="43"/>
        <v>1</v>
      </c>
      <c r="AM229" s="1"/>
      <c r="AN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3">
        <f t="shared" si="43"/>
        <v>0</v>
      </c>
      <c r="AM230" s="52"/>
      <c r="AN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3">
        <f t="shared" si="43"/>
        <v>0</v>
      </c>
      <c r="AM231" s="5"/>
      <c r="AN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1.0</v>
      </c>
      <c r="AK232" s="19">
        <v>0.0</v>
      </c>
      <c r="AL232" s="13">
        <f t="shared" si="43"/>
        <v>4</v>
      </c>
      <c r="AM232" s="5"/>
      <c r="AN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74"/>
      <c r="AM233" s="5"/>
      <c r="AN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74"/>
      <c r="AM234" s="5"/>
      <c r="AN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K235" si="44">SUM(E225:E232)</f>
        <v>2</v>
      </c>
      <c r="F235" s="13">
        <f t="shared" si="44"/>
        <v>3</v>
      </c>
      <c r="G235" s="13">
        <f t="shared" si="44"/>
        <v>1</v>
      </c>
      <c r="H235" s="13">
        <f t="shared" si="44"/>
        <v>0</v>
      </c>
      <c r="I235" s="13">
        <f t="shared" si="44"/>
        <v>0</v>
      </c>
      <c r="J235" s="13">
        <f t="shared" si="44"/>
        <v>3</v>
      </c>
      <c r="K235" s="13">
        <f t="shared" si="44"/>
        <v>1</v>
      </c>
      <c r="L235" s="13">
        <f t="shared" si="44"/>
        <v>0</v>
      </c>
      <c r="M235" s="13">
        <f t="shared" si="44"/>
        <v>1</v>
      </c>
      <c r="N235" s="13">
        <f t="shared" si="44"/>
        <v>0</v>
      </c>
      <c r="O235" s="13">
        <f t="shared" si="44"/>
        <v>3</v>
      </c>
      <c r="P235" s="13">
        <f t="shared" si="44"/>
        <v>0</v>
      </c>
      <c r="Q235" s="13">
        <f t="shared" si="44"/>
        <v>1</v>
      </c>
      <c r="R235" s="13">
        <f t="shared" si="44"/>
        <v>0</v>
      </c>
      <c r="S235" s="13">
        <f t="shared" si="44"/>
        <v>0</v>
      </c>
      <c r="T235" s="13">
        <f t="shared" si="44"/>
        <v>0</v>
      </c>
      <c r="U235" s="13">
        <f t="shared" si="44"/>
        <v>1</v>
      </c>
      <c r="V235" s="13">
        <f t="shared" si="44"/>
        <v>1</v>
      </c>
      <c r="W235" s="13">
        <f t="shared" si="44"/>
        <v>1</v>
      </c>
      <c r="X235" s="13">
        <f t="shared" si="44"/>
        <v>0</v>
      </c>
      <c r="Y235" s="13">
        <f t="shared" si="44"/>
        <v>3</v>
      </c>
      <c r="Z235" s="13">
        <f t="shared" si="44"/>
        <v>1</v>
      </c>
      <c r="AA235" s="13">
        <f t="shared" si="44"/>
        <v>0</v>
      </c>
      <c r="AB235" s="13">
        <f t="shared" si="44"/>
        <v>1</v>
      </c>
      <c r="AC235" s="13">
        <f t="shared" si="44"/>
        <v>0</v>
      </c>
      <c r="AD235" s="13">
        <f t="shared" si="44"/>
        <v>0</v>
      </c>
      <c r="AE235" s="13">
        <f t="shared" si="44"/>
        <v>0</v>
      </c>
      <c r="AF235" s="13">
        <f t="shared" si="44"/>
        <v>2</v>
      </c>
      <c r="AG235" s="13">
        <f t="shared" si="44"/>
        <v>0</v>
      </c>
      <c r="AH235" s="13">
        <f t="shared" si="44"/>
        <v>0</v>
      </c>
      <c r="AI235" s="13">
        <f t="shared" si="44"/>
        <v>0</v>
      </c>
      <c r="AJ235" s="13">
        <f t="shared" si="44"/>
        <v>1</v>
      </c>
      <c r="AK235" s="13">
        <f t="shared" si="44"/>
        <v>0</v>
      </c>
      <c r="AL235" s="13">
        <f>SUM(E235:AK235)</f>
        <v>26</v>
      </c>
      <c r="AM235" s="5"/>
      <c r="AN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5"/>
      <c r="AN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3.0</v>
      </c>
      <c r="G237" s="19">
        <v>0.0</v>
      </c>
      <c r="H237" s="19">
        <v>0.0</v>
      </c>
      <c r="I237" s="19">
        <v>3.0</v>
      </c>
      <c r="J237" s="19">
        <v>0.0</v>
      </c>
      <c r="K237" s="19">
        <v>2.0</v>
      </c>
      <c r="L237" s="19">
        <v>1.0</v>
      </c>
      <c r="M237" s="19">
        <v>0.0</v>
      </c>
      <c r="N237" s="19">
        <v>1.0</v>
      </c>
      <c r="O237" s="19">
        <v>0.0</v>
      </c>
      <c r="P237" s="19">
        <v>0.0</v>
      </c>
      <c r="Q237" s="19">
        <v>1.0</v>
      </c>
      <c r="R237" s="19">
        <v>1.0</v>
      </c>
      <c r="S237" s="19">
        <v>3.0</v>
      </c>
      <c r="T237" s="19">
        <v>0.0</v>
      </c>
      <c r="U237" s="19">
        <v>4.0</v>
      </c>
      <c r="V237" s="19">
        <v>1.0</v>
      </c>
      <c r="W237" s="19">
        <v>0.0</v>
      </c>
      <c r="X237" s="19">
        <v>2.0</v>
      </c>
      <c r="Y237" s="19">
        <v>1.0</v>
      </c>
      <c r="Z237" s="19">
        <v>2.0</v>
      </c>
      <c r="AA237" s="19">
        <v>2.0</v>
      </c>
      <c r="AB237" s="19">
        <v>4.0</v>
      </c>
      <c r="AC237" s="19">
        <v>3.0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1.0</v>
      </c>
      <c r="AJ237" s="19">
        <v>0.0</v>
      </c>
      <c r="AK237" s="19">
        <v>1.0</v>
      </c>
      <c r="AL237" s="13">
        <f t="shared" ref="AL237:AL244" si="45">SUM(E237:AK237)</f>
        <v>36</v>
      </c>
      <c r="AM237" s="5"/>
      <c r="AN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0.0</v>
      </c>
      <c r="I238" s="19">
        <v>1.0</v>
      </c>
      <c r="J238" s="19">
        <v>0.0</v>
      </c>
      <c r="K238" s="19">
        <v>0.0</v>
      </c>
      <c r="L238" s="19">
        <v>1.0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1.0</v>
      </c>
      <c r="X238" s="19">
        <v>1.0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2.0</v>
      </c>
      <c r="AF238" s="19">
        <v>0.0</v>
      </c>
      <c r="AG238" s="19">
        <v>1.0</v>
      </c>
      <c r="AH238" s="19">
        <v>0.0</v>
      </c>
      <c r="AI238" s="19">
        <v>0.0</v>
      </c>
      <c r="AJ238" s="19">
        <v>0.0</v>
      </c>
      <c r="AK238" s="19">
        <v>0.0</v>
      </c>
      <c r="AL238" s="13">
        <f t="shared" si="45"/>
        <v>9</v>
      </c>
      <c r="AM238" s="5"/>
      <c r="AN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2.0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0.0</v>
      </c>
      <c r="P239" s="19">
        <v>1.0</v>
      </c>
      <c r="Q239" s="19">
        <v>0.0</v>
      </c>
      <c r="R239" s="19">
        <v>0.0</v>
      </c>
      <c r="S239" s="19">
        <v>2.0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1.0</v>
      </c>
      <c r="AA239" s="19">
        <v>0.0</v>
      </c>
      <c r="AB239" s="19">
        <v>0.0</v>
      </c>
      <c r="AC239" s="19">
        <v>0.0</v>
      </c>
      <c r="AD239" s="19">
        <v>1.0</v>
      </c>
      <c r="AE239" s="19">
        <v>4.0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1.0</v>
      </c>
      <c r="AL239" s="13">
        <f t="shared" si="45"/>
        <v>14</v>
      </c>
      <c r="AM239" s="5"/>
      <c r="AN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3.0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3">
        <f t="shared" si="45"/>
        <v>7</v>
      </c>
      <c r="AM240" s="1"/>
      <c r="AN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2.0</v>
      </c>
      <c r="Y241" s="19">
        <v>0.0</v>
      </c>
      <c r="Z241" s="19">
        <v>0.0</v>
      </c>
      <c r="AA241" s="19">
        <v>0.0</v>
      </c>
      <c r="AB241" s="19">
        <v>1.0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3">
        <f t="shared" si="45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1.0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3">
        <f t="shared" si="45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1.0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2.0</v>
      </c>
      <c r="AD243" s="19">
        <v>1.0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3">
        <f t="shared" si="45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2.0</v>
      </c>
      <c r="T244" s="19">
        <v>1.0</v>
      </c>
      <c r="U244" s="19">
        <v>8.0</v>
      </c>
      <c r="V244" s="19">
        <v>6.0</v>
      </c>
      <c r="W244" s="19">
        <v>4.0</v>
      </c>
      <c r="X244" s="19">
        <v>4.0</v>
      </c>
      <c r="Y244" s="19">
        <v>2.0</v>
      </c>
      <c r="Z244" s="19">
        <v>3.0</v>
      </c>
      <c r="AA244" s="19">
        <v>20.0</v>
      </c>
      <c r="AB244" s="19">
        <v>1.0</v>
      </c>
      <c r="AC244" s="19">
        <v>17.0</v>
      </c>
      <c r="AD244" s="19">
        <v>17.0</v>
      </c>
      <c r="AE244" s="19">
        <v>1.0</v>
      </c>
      <c r="AF244" s="19">
        <v>1.0</v>
      </c>
      <c r="AG244" s="19">
        <v>0.0</v>
      </c>
      <c r="AH244" s="19">
        <v>0.0</v>
      </c>
      <c r="AI244" s="19">
        <v>1.0</v>
      </c>
      <c r="AJ244" s="19">
        <v>2.0</v>
      </c>
      <c r="AK244" s="19">
        <v>1.0</v>
      </c>
      <c r="AL244" s="13">
        <f t="shared" si="45"/>
        <v>92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K247" si="46">SUM(E237:E244)</f>
        <v>2</v>
      </c>
      <c r="F247" s="13">
        <f t="shared" si="46"/>
        <v>6</v>
      </c>
      <c r="G247" s="13">
        <f t="shared" si="46"/>
        <v>2</v>
      </c>
      <c r="H247" s="13">
        <f t="shared" si="46"/>
        <v>0</v>
      </c>
      <c r="I247" s="13">
        <f t="shared" si="46"/>
        <v>4</v>
      </c>
      <c r="J247" s="13">
        <f t="shared" si="46"/>
        <v>0</v>
      </c>
      <c r="K247" s="13">
        <f t="shared" si="46"/>
        <v>2</v>
      </c>
      <c r="L247" s="13">
        <f t="shared" si="46"/>
        <v>3</v>
      </c>
      <c r="M247" s="13">
        <f t="shared" si="46"/>
        <v>1</v>
      </c>
      <c r="N247" s="13">
        <f t="shared" si="46"/>
        <v>4</v>
      </c>
      <c r="O247" s="13">
        <f t="shared" si="46"/>
        <v>0</v>
      </c>
      <c r="P247" s="13">
        <f t="shared" si="46"/>
        <v>1</v>
      </c>
      <c r="Q247" s="13">
        <f t="shared" si="46"/>
        <v>1</v>
      </c>
      <c r="R247" s="13">
        <f t="shared" si="46"/>
        <v>1</v>
      </c>
      <c r="S247" s="13">
        <f t="shared" si="46"/>
        <v>11</v>
      </c>
      <c r="T247" s="13">
        <f t="shared" si="46"/>
        <v>2</v>
      </c>
      <c r="U247" s="13">
        <f t="shared" si="46"/>
        <v>12</v>
      </c>
      <c r="V247" s="13">
        <f t="shared" si="46"/>
        <v>7</v>
      </c>
      <c r="W247" s="13">
        <f t="shared" si="46"/>
        <v>5</v>
      </c>
      <c r="X247" s="13">
        <f t="shared" si="46"/>
        <v>9</v>
      </c>
      <c r="Y247" s="13">
        <f t="shared" si="46"/>
        <v>3</v>
      </c>
      <c r="Z247" s="13">
        <f t="shared" si="46"/>
        <v>6</v>
      </c>
      <c r="AA247" s="13">
        <f t="shared" si="46"/>
        <v>22</v>
      </c>
      <c r="AB247" s="13">
        <f t="shared" si="46"/>
        <v>7</v>
      </c>
      <c r="AC247" s="13">
        <f t="shared" si="46"/>
        <v>23</v>
      </c>
      <c r="AD247" s="13">
        <f t="shared" si="46"/>
        <v>19</v>
      </c>
      <c r="AE247" s="13">
        <f t="shared" si="46"/>
        <v>7</v>
      </c>
      <c r="AF247" s="13">
        <f t="shared" si="46"/>
        <v>1</v>
      </c>
      <c r="AG247" s="13">
        <f t="shared" si="46"/>
        <v>1</v>
      </c>
      <c r="AH247" s="13">
        <f t="shared" si="46"/>
        <v>0</v>
      </c>
      <c r="AI247" s="13">
        <f t="shared" si="46"/>
        <v>2</v>
      </c>
      <c r="AJ247" s="13">
        <f t="shared" si="46"/>
        <v>2</v>
      </c>
      <c r="AK247" s="13">
        <f t="shared" si="46"/>
        <v>3</v>
      </c>
      <c r="AL247" s="13">
        <f>SUM(E247:AK247)</f>
        <v>169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1.0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3">
        <f t="shared" ref="AL249:AL255" si="47">SUM(E249:AK249)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2.0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3">
        <f t="shared" si="47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3">
        <f t="shared" si="47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1.0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3">
        <f t="shared" si="47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3">
        <f t="shared" si="47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1.0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1.0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2.0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3">
        <f t="shared" si="47"/>
        <v>5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3">
        <f t="shared" si="47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K259" si="48">SUM(E249:E255)</f>
        <v>0</v>
      </c>
      <c r="F259" s="13">
        <f t="shared" si="48"/>
        <v>2</v>
      </c>
      <c r="G259" s="13">
        <f t="shared" si="48"/>
        <v>0</v>
      </c>
      <c r="H259" s="13">
        <f t="shared" si="48"/>
        <v>2</v>
      </c>
      <c r="I259" s="13">
        <f t="shared" si="48"/>
        <v>0</v>
      </c>
      <c r="J259" s="13">
        <f t="shared" si="48"/>
        <v>2</v>
      </c>
      <c r="K259" s="13">
        <f t="shared" si="48"/>
        <v>0</v>
      </c>
      <c r="L259" s="13">
        <f t="shared" si="48"/>
        <v>0</v>
      </c>
      <c r="M259" s="13">
        <f t="shared" si="48"/>
        <v>1</v>
      </c>
      <c r="N259" s="13">
        <f t="shared" si="48"/>
        <v>0</v>
      </c>
      <c r="O259" s="13">
        <f t="shared" si="48"/>
        <v>1</v>
      </c>
      <c r="P259" s="13">
        <f t="shared" si="48"/>
        <v>0</v>
      </c>
      <c r="Q259" s="13">
        <f t="shared" si="48"/>
        <v>0</v>
      </c>
      <c r="R259" s="13">
        <f t="shared" si="48"/>
        <v>0</v>
      </c>
      <c r="S259" s="13">
        <f t="shared" si="48"/>
        <v>1</v>
      </c>
      <c r="T259" s="13">
        <f t="shared" si="48"/>
        <v>0</v>
      </c>
      <c r="U259" s="13">
        <f t="shared" si="48"/>
        <v>0</v>
      </c>
      <c r="V259" s="13">
        <f t="shared" si="48"/>
        <v>1</v>
      </c>
      <c r="W259" s="13">
        <f t="shared" si="48"/>
        <v>0</v>
      </c>
      <c r="X259" s="13">
        <f t="shared" si="48"/>
        <v>0</v>
      </c>
      <c r="Y259" s="13">
        <f t="shared" si="48"/>
        <v>0</v>
      </c>
      <c r="Z259" s="13">
        <f t="shared" si="48"/>
        <v>0</v>
      </c>
      <c r="AA259" s="13">
        <f t="shared" si="48"/>
        <v>1</v>
      </c>
      <c r="AB259" s="13">
        <f t="shared" si="48"/>
        <v>1</v>
      </c>
      <c r="AC259" s="13">
        <f t="shared" si="48"/>
        <v>3</v>
      </c>
      <c r="AD259" s="13">
        <f t="shared" si="48"/>
        <v>0</v>
      </c>
      <c r="AE259" s="13">
        <f t="shared" si="48"/>
        <v>0</v>
      </c>
      <c r="AF259" s="13">
        <f t="shared" si="48"/>
        <v>0</v>
      </c>
      <c r="AG259" s="13">
        <f t="shared" si="48"/>
        <v>0</v>
      </c>
      <c r="AH259" s="13">
        <f t="shared" si="48"/>
        <v>0</v>
      </c>
      <c r="AI259" s="13">
        <f t="shared" si="48"/>
        <v>0</v>
      </c>
      <c r="AJ259" s="13">
        <f t="shared" si="48"/>
        <v>0</v>
      </c>
      <c r="AK259" s="13">
        <f t="shared" si="48"/>
        <v>0</v>
      </c>
      <c r="AL259" s="13">
        <f>SUM(E259:AK259)</f>
        <v>15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K262" si="49">E55+E67+E79+E91+E103+E115+E127+E139+E151+E163+E175+E187+E199+E211+E223+E235+E247+E259</f>
        <v>189</v>
      </c>
      <c r="F262" s="19">
        <f t="shared" si="49"/>
        <v>184</v>
      </c>
      <c r="G262" s="19">
        <f t="shared" si="49"/>
        <v>211</v>
      </c>
      <c r="H262" s="19">
        <f t="shared" si="49"/>
        <v>234</v>
      </c>
      <c r="I262" s="19">
        <f t="shared" si="49"/>
        <v>147</v>
      </c>
      <c r="J262" s="19">
        <f t="shared" si="49"/>
        <v>191</v>
      </c>
      <c r="K262" s="19">
        <f t="shared" si="49"/>
        <v>167</v>
      </c>
      <c r="L262" s="19">
        <f t="shared" si="49"/>
        <v>181</v>
      </c>
      <c r="M262" s="19">
        <f t="shared" si="49"/>
        <v>168</v>
      </c>
      <c r="N262" s="19">
        <f t="shared" si="49"/>
        <v>198</v>
      </c>
      <c r="O262" s="19">
        <f t="shared" si="49"/>
        <v>147</v>
      </c>
      <c r="P262" s="19">
        <f t="shared" si="49"/>
        <v>202</v>
      </c>
      <c r="Q262" s="19">
        <f t="shared" si="49"/>
        <v>154</v>
      </c>
      <c r="R262" s="19">
        <f t="shared" si="49"/>
        <v>184</v>
      </c>
      <c r="S262" s="19">
        <f t="shared" si="49"/>
        <v>174</v>
      </c>
      <c r="T262" s="19">
        <f t="shared" si="49"/>
        <v>173</v>
      </c>
      <c r="U262" s="19">
        <f t="shared" si="49"/>
        <v>188</v>
      </c>
      <c r="V262" s="19">
        <f t="shared" si="49"/>
        <v>191</v>
      </c>
      <c r="W262" s="19">
        <f t="shared" si="49"/>
        <v>180</v>
      </c>
      <c r="X262" s="19">
        <f t="shared" si="49"/>
        <v>186</v>
      </c>
      <c r="Y262" s="19">
        <f t="shared" si="49"/>
        <v>196</v>
      </c>
      <c r="Z262" s="19">
        <f t="shared" si="49"/>
        <v>197</v>
      </c>
      <c r="AA262" s="19">
        <f t="shared" si="49"/>
        <v>201</v>
      </c>
      <c r="AB262" s="19">
        <f t="shared" si="49"/>
        <v>201</v>
      </c>
      <c r="AC262" s="19">
        <f t="shared" si="49"/>
        <v>213</v>
      </c>
      <c r="AD262" s="19">
        <f t="shared" si="49"/>
        <v>206</v>
      </c>
      <c r="AE262" s="19">
        <f t="shared" si="49"/>
        <v>215</v>
      </c>
      <c r="AF262" s="19">
        <f t="shared" si="49"/>
        <v>198</v>
      </c>
      <c r="AG262" s="19">
        <f t="shared" si="49"/>
        <v>183</v>
      </c>
      <c r="AH262" s="19">
        <f t="shared" si="49"/>
        <v>190</v>
      </c>
      <c r="AI262" s="19">
        <f t="shared" si="49"/>
        <v>205</v>
      </c>
      <c r="AJ262" s="19">
        <f t="shared" si="49"/>
        <v>200</v>
      </c>
      <c r="AK262" s="19">
        <f t="shared" si="49"/>
        <v>210</v>
      </c>
      <c r="AL262" s="13">
        <f t="shared" ref="AL262:AL264" si="50">SUM(E262:AK262)</f>
        <v>6264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13.0</v>
      </c>
      <c r="F263" s="19">
        <v>11.0</v>
      </c>
      <c r="G263" s="19">
        <v>28.0</v>
      </c>
      <c r="H263" s="19">
        <v>18.0</v>
      </c>
      <c r="I263" s="19">
        <v>21.0</v>
      </c>
      <c r="J263" s="19">
        <v>17.0</v>
      </c>
      <c r="K263" s="19">
        <v>20.0</v>
      </c>
      <c r="L263" s="19">
        <v>18.0</v>
      </c>
      <c r="M263" s="19">
        <v>27.0</v>
      </c>
      <c r="N263" s="19">
        <v>27.0</v>
      </c>
      <c r="O263" s="19">
        <v>14.0</v>
      </c>
      <c r="P263" s="19">
        <v>19.0</v>
      </c>
      <c r="Q263" s="19">
        <v>19.0</v>
      </c>
      <c r="R263" s="19">
        <v>20.0</v>
      </c>
      <c r="S263" s="19">
        <v>27.0</v>
      </c>
      <c r="T263" s="19">
        <v>17.0</v>
      </c>
      <c r="U263" s="19">
        <v>28.0</v>
      </c>
      <c r="V263" s="19">
        <v>14.0</v>
      </c>
      <c r="W263" s="19">
        <v>19.0</v>
      </c>
      <c r="X263" s="19">
        <v>24.0</v>
      </c>
      <c r="Y263" s="19">
        <v>12.0</v>
      </c>
      <c r="Z263" s="19">
        <v>14.0</v>
      </c>
      <c r="AA263" s="19">
        <v>18.0</v>
      </c>
      <c r="AB263" s="19">
        <v>17.0</v>
      </c>
      <c r="AC263" s="19">
        <v>6.0</v>
      </c>
      <c r="AD263" s="19">
        <v>20.0</v>
      </c>
      <c r="AE263" s="19">
        <v>20.0</v>
      </c>
      <c r="AF263" s="19">
        <v>30.0</v>
      </c>
      <c r="AG263" s="19">
        <v>34.0</v>
      </c>
      <c r="AH263" s="19">
        <v>22.0</v>
      </c>
      <c r="AI263" s="19">
        <v>20.0</v>
      </c>
      <c r="AJ263" s="19">
        <v>21.0</v>
      </c>
      <c r="AK263" s="19">
        <v>9.0</v>
      </c>
      <c r="AL263" s="13">
        <f t="shared" si="50"/>
        <v>644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K264" si="51">SUM(E262:E263)</f>
        <v>202</v>
      </c>
      <c r="F264" s="13">
        <f t="shared" si="51"/>
        <v>195</v>
      </c>
      <c r="G264" s="13">
        <f t="shared" si="51"/>
        <v>239</v>
      </c>
      <c r="H264" s="13">
        <f t="shared" si="51"/>
        <v>252</v>
      </c>
      <c r="I264" s="13">
        <f t="shared" si="51"/>
        <v>168</v>
      </c>
      <c r="J264" s="13">
        <f t="shared" si="51"/>
        <v>208</v>
      </c>
      <c r="K264" s="13">
        <f t="shared" si="51"/>
        <v>187</v>
      </c>
      <c r="L264" s="13">
        <f t="shared" si="51"/>
        <v>199</v>
      </c>
      <c r="M264" s="13">
        <f t="shared" si="51"/>
        <v>195</v>
      </c>
      <c r="N264" s="13">
        <f t="shared" si="51"/>
        <v>225</v>
      </c>
      <c r="O264" s="13">
        <f t="shared" si="51"/>
        <v>161</v>
      </c>
      <c r="P264" s="13">
        <f t="shared" si="51"/>
        <v>221</v>
      </c>
      <c r="Q264" s="13">
        <f t="shared" si="51"/>
        <v>173</v>
      </c>
      <c r="R264" s="13">
        <f t="shared" si="51"/>
        <v>204</v>
      </c>
      <c r="S264" s="13">
        <f t="shared" si="51"/>
        <v>201</v>
      </c>
      <c r="T264" s="13">
        <f t="shared" si="51"/>
        <v>190</v>
      </c>
      <c r="U264" s="13">
        <f t="shared" si="51"/>
        <v>216</v>
      </c>
      <c r="V264" s="13">
        <f t="shared" si="51"/>
        <v>205</v>
      </c>
      <c r="W264" s="13">
        <f t="shared" si="51"/>
        <v>199</v>
      </c>
      <c r="X264" s="13">
        <f t="shared" si="51"/>
        <v>210</v>
      </c>
      <c r="Y264" s="13">
        <f t="shared" si="51"/>
        <v>208</v>
      </c>
      <c r="Z264" s="13">
        <f t="shared" si="51"/>
        <v>211</v>
      </c>
      <c r="AA264" s="13">
        <f t="shared" si="51"/>
        <v>219</v>
      </c>
      <c r="AB264" s="13">
        <f t="shared" si="51"/>
        <v>218</v>
      </c>
      <c r="AC264" s="13">
        <f t="shared" si="51"/>
        <v>219</v>
      </c>
      <c r="AD264" s="13">
        <f t="shared" si="51"/>
        <v>226</v>
      </c>
      <c r="AE264" s="13">
        <f t="shared" si="51"/>
        <v>235</v>
      </c>
      <c r="AF264" s="13">
        <f t="shared" si="51"/>
        <v>228</v>
      </c>
      <c r="AG264" s="13">
        <f t="shared" si="51"/>
        <v>217</v>
      </c>
      <c r="AH264" s="13">
        <f t="shared" si="51"/>
        <v>212</v>
      </c>
      <c r="AI264" s="13">
        <f t="shared" si="51"/>
        <v>225</v>
      </c>
      <c r="AJ264" s="13">
        <f t="shared" si="51"/>
        <v>221</v>
      </c>
      <c r="AK264" s="13">
        <f t="shared" si="51"/>
        <v>219</v>
      </c>
      <c r="AL264" s="13">
        <f t="shared" si="50"/>
        <v>6908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K15">
    <cfRule type="containsBlanks" dxfId="1" priority="2">
      <formula>LEN(TRIM(E14))=0</formula>
    </cfRule>
  </conditionalFormatting>
  <conditionalFormatting sqref="E19:AK20">
    <cfRule type="containsBlanks" dxfId="1" priority="3">
      <formula>LEN(TRIM(E19))=0</formula>
    </cfRule>
  </conditionalFormatting>
  <conditionalFormatting sqref="E22:AK23 E25:AK26 E33:AK33 E35:AK35 E39:AK40">
    <cfRule type="containsBlanks" dxfId="1" priority="4">
      <formula>LEN(TRIM(E22))=0</formula>
    </cfRule>
  </conditionalFormatting>
  <conditionalFormatting sqref="E30:AK30">
    <cfRule type="expression" dxfId="0" priority="5">
      <formula>E30&lt;&gt;E47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9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conditionalFormatting sqref="U34:AK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152.0</v>
      </c>
      <c r="G14" s="19">
        <v>135.0</v>
      </c>
      <c r="H14" s="19">
        <v>160.0</v>
      </c>
      <c r="I14" s="19">
        <v>142.0</v>
      </c>
      <c r="J14" s="19">
        <v>143.0</v>
      </c>
      <c r="K14" s="19">
        <v>128.0</v>
      </c>
      <c r="L14" s="19">
        <v>122.0</v>
      </c>
      <c r="M14" s="19">
        <v>107.0</v>
      </c>
      <c r="N14" s="19">
        <v>132.0</v>
      </c>
      <c r="O14" s="19">
        <v>142.0</v>
      </c>
      <c r="P14" s="19">
        <v>144.0</v>
      </c>
      <c r="Q14" s="13"/>
    </row>
    <row r="15" ht="12.75" customHeight="1">
      <c r="A15" s="18"/>
      <c r="B15" s="26"/>
      <c r="C15" s="27"/>
      <c r="D15" s="19" t="s">
        <v>13</v>
      </c>
      <c r="E15" s="19">
        <v>149.0</v>
      </c>
      <c r="F15" s="19">
        <v>144.0</v>
      </c>
      <c r="G15" s="19">
        <v>156.0</v>
      </c>
      <c r="H15" s="19">
        <v>137.0</v>
      </c>
      <c r="I15" s="19">
        <v>149.0</v>
      </c>
      <c r="J15" s="19">
        <v>143.0</v>
      </c>
      <c r="K15" s="19">
        <v>117.0</v>
      </c>
      <c r="L15" s="19">
        <v>122.0</v>
      </c>
      <c r="M15" s="19">
        <v>98.0</v>
      </c>
      <c r="N15" s="19">
        <v>124.0</v>
      </c>
      <c r="O15" s="19">
        <v>147.0</v>
      </c>
      <c r="P15" s="19">
        <v>150.0</v>
      </c>
      <c r="Q15" s="13"/>
    </row>
    <row r="16" ht="12.75" customHeight="1">
      <c r="A16" s="25"/>
      <c r="B16" s="21"/>
      <c r="C16" s="28"/>
      <c r="D16" s="13" t="s">
        <v>14</v>
      </c>
      <c r="E16" s="13">
        <v>286.0</v>
      </c>
      <c r="F16" s="13">
        <v>296.0</v>
      </c>
      <c r="G16" s="13">
        <v>291.0</v>
      </c>
      <c r="H16" s="13">
        <v>297.0</v>
      </c>
      <c r="I16" s="13">
        <v>291.0</v>
      </c>
      <c r="J16" s="13">
        <v>286.0</v>
      </c>
      <c r="K16" s="13">
        <v>245.0</v>
      </c>
      <c r="L16" s="13">
        <v>244.0</v>
      </c>
      <c r="M16" s="13">
        <v>205.0</v>
      </c>
      <c r="N16" s="13">
        <v>256.0</v>
      </c>
      <c r="O16" s="13">
        <v>289.0</v>
      </c>
      <c r="P16" s="13">
        <v>294.0</v>
      </c>
      <c r="Q16" s="13"/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81.0</v>
      </c>
      <c r="F19" s="19">
        <v>107.0</v>
      </c>
      <c r="G19" s="19">
        <v>100.0</v>
      </c>
      <c r="H19" s="19">
        <v>113.0</v>
      </c>
      <c r="I19" s="19">
        <v>121.0</v>
      </c>
      <c r="J19" s="19">
        <v>113.0</v>
      </c>
      <c r="K19" s="19">
        <v>103.0</v>
      </c>
      <c r="L19" s="19">
        <v>97.0</v>
      </c>
      <c r="M19" s="19">
        <v>75.0</v>
      </c>
      <c r="N19" s="19">
        <v>114.0</v>
      </c>
      <c r="O19" s="19">
        <v>116.0</v>
      </c>
      <c r="P19" s="19">
        <v>112.0</v>
      </c>
      <c r="Q19" s="13">
        <f t="shared" ref="Q19:Q30" si="1">SUM(E19:P19)</f>
        <v>1252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117.0</v>
      </c>
      <c r="G20" s="19">
        <v>124.0</v>
      </c>
      <c r="H20" s="19">
        <v>127.0</v>
      </c>
      <c r="I20" s="19">
        <v>121.0</v>
      </c>
      <c r="J20" s="19">
        <v>117.0</v>
      </c>
      <c r="K20" s="19">
        <v>94.0</v>
      </c>
      <c r="L20" s="19">
        <v>95.0</v>
      </c>
      <c r="M20" s="19">
        <v>71.0</v>
      </c>
      <c r="N20" s="19">
        <v>87.0</v>
      </c>
      <c r="O20" s="19">
        <v>127.0</v>
      </c>
      <c r="P20" s="19">
        <v>123.0</v>
      </c>
      <c r="Q20" s="13">
        <f t="shared" si="1"/>
        <v>1315</v>
      </c>
    </row>
    <row r="21" ht="12.75" customHeight="1">
      <c r="A21" s="35"/>
      <c r="B21" s="28"/>
      <c r="C21" s="36"/>
      <c r="D21" s="13" t="s">
        <v>14</v>
      </c>
      <c r="E21" s="13">
        <v>193.0</v>
      </c>
      <c r="F21" s="13">
        <v>224.0</v>
      </c>
      <c r="G21" s="13">
        <v>224.0</v>
      </c>
      <c r="H21" s="13">
        <v>240.0</v>
      </c>
      <c r="I21" s="13">
        <v>242.0</v>
      </c>
      <c r="J21" s="13">
        <v>230.0</v>
      </c>
      <c r="K21" s="13">
        <v>197.0</v>
      </c>
      <c r="L21" s="13">
        <v>192.0</v>
      </c>
      <c r="M21" s="13">
        <v>146.0</v>
      </c>
      <c r="N21" s="13">
        <v>201.0</v>
      </c>
      <c r="O21" s="13">
        <v>243.0</v>
      </c>
      <c r="P21" s="13">
        <v>235.0</v>
      </c>
      <c r="Q21" s="13">
        <f t="shared" si="1"/>
        <v>2567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3">
        <f t="shared" si="1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3">
        <f t="shared" si="1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3.0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f t="shared" si="1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3">
        <f t="shared" si="1"/>
        <v>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0.0</v>
      </c>
      <c r="I26" s="19">
        <v>2.0</v>
      </c>
      <c r="J26" s="19">
        <v>3.0</v>
      </c>
      <c r="K26" s="19">
        <v>2.0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3">
        <f t="shared" si="1"/>
        <v>14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2.0</v>
      </c>
      <c r="H27" s="13">
        <v>0.0</v>
      </c>
      <c r="I27" s="13">
        <v>3.0</v>
      </c>
      <c r="J27" s="13">
        <v>4.0</v>
      </c>
      <c r="K27" s="13">
        <v>3.0</v>
      </c>
      <c r="L27" s="13">
        <v>0.0</v>
      </c>
      <c r="M27" s="13">
        <v>3.0</v>
      </c>
      <c r="N27" s="13">
        <v>0.0</v>
      </c>
      <c r="O27" s="13">
        <v>0.0</v>
      </c>
      <c r="P27" s="13">
        <v>0.0</v>
      </c>
      <c r="Q27" s="13">
        <f t="shared" si="1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82.0</v>
      </c>
      <c r="F28" s="13">
        <v>109.0</v>
      </c>
      <c r="G28" s="13">
        <v>100.0</v>
      </c>
      <c r="H28" s="13">
        <v>113.0</v>
      </c>
      <c r="I28" s="13">
        <v>122.0</v>
      </c>
      <c r="J28" s="13">
        <v>114.0</v>
      </c>
      <c r="K28" s="13">
        <v>104.0</v>
      </c>
      <c r="L28" s="13">
        <v>97.0</v>
      </c>
      <c r="M28" s="13">
        <v>76.0</v>
      </c>
      <c r="N28" s="13">
        <v>114.0</v>
      </c>
      <c r="O28" s="13">
        <v>116.0</v>
      </c>
      <c r="P28" s="13">
        <v>112.0</v>
      </c>
      <c r="Q28" s="13">
        <f t="shared" si="1"/>
        <v>1259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120.0</v>
      </c>
      <c r="G29" s="13">
        <v>126.0</v>
      </c>
      <c r="H29" s="13">
        <v>127.0</v>
      </c>
      <c r="I29" s="13">
        <v>124.0</v>
      </c>
      <c r="J29" s="13">
        <v>120.0</v>
      </c>
      <c r="K29" s="13">
        <v>96.0</v>
      </c>
      <c r="L29" s="13">
        <v>95.0</v>
      </c>
      <c r="M29" s="13">
        <v>73.0</v>
      </c>
      <c r="N29" s="13">
        <v>87.0</v>
      </c>
      <c r="O29" s="13">
        <v>127.0</v>
      </c>
      <c r="P29" s="13">
        <v>124.0</v>
      </c>
      <c r="Q29" s="13">
        <f t="shared" si="1"/>
        <v>1333</v>
      </c>
    </row>
    <row r="30" ht="12.75" customHeight="1">
      <c r="A30" s="35"/>
      <c r="B30" s="28"/>
      <c r="C30" s="36"/>
      <c r="D30" s="13" t="s">
        <v>14</v>
      </c>
      <c r="E30" s="13">
        <v>196.0</v>
      </c>
      <c r="F30" s="13">
        <v>229.0</v>
      </c>
      <c r="G30" s="13">
        <v>226.0</v>
      </c>
      <c r="H30" s="13">
        <v>240.0</v>
      </c>
      <c r="I30" s="13">
        <v>246.0</v>
      </c>
      <c r="J30" s="13">
        <v>234.0</v>
      </c>
      <c r="K30" s="13">
        <v>200.0</v>
      </c>
      <c r="L30" s="13">
        <v>192.0</v>
      </c>
      <c r="M30" s="13">
        <v>149.0</v>
      </c>
      <c r="N30" s="13">
        <v>201.0</v>
      </c>
      <c r="O30" s="13">
        <v>243.0</v>
      </c>
      <c r="P30" s="13">
        <v>236.0</v>
      </c>
      <c r="Q30" s="13">
        <f t="shared" si="1"/>
        <v>2592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8"/>
    </row>
    <row r="33" ht="12.75" customHeight="1">
      <c r="A33" s="19">
        <v>1.0</v>
      </c>
      <c r="B33" s="20" t="s">
        <v>27</v>
      </c>
      <c r="C33" s="15"/>
      <c r="D33" s="16"/>
      <c r="E33" s="19">
        <v>302.0</v>
      </c>
      <c r="F33" s="19">
        <v>292.0</v>
      </c>
      <c r="G33" s="19">
        <v>289.0</v>
      </c>
      <c r="H33" s="19">
        <v>313.0</v>
      </c>
      <c r="I33" s="19">
        <v>297.0</v>
      </c>
      <c r="J33" s="19">
        <v>292.0</v>
      </c>
      <c r="K33" s="19">
        <v>240.0</v>
      </c>
      <c r="L33" s="19">
        <v>250.0</v>
      </c>
      <c r="M33" s="19">
        <v>211.0</v>
      </c>
      <c r="N33" s="19">
        <v>263.0</v>
      </c>
      <c r="O33" s="19">
        <v>285.0</v>
      </c>
      <c r="P33" s="19">
        <v>300.0</v>
      </c>
      <c r="Q33" s="13">
        <f t="shared" ref="Q33:Q36" si="2">SUM(E33:P33)</f>
        <v>3334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229.0</v>
      </c>
      <c r="G34" s="13">
        <v>226.0</v>
      </c>
      <c r="H34" s="13">
        <v>240.0</v>
      </c>
      <c r="I34" s="13">
        <v>246.0</v>
      </c>
      <c r="J34" s="13">
        <v>234.0</v>
      </c>
      <c r="K34" s="13">
        <v>200.0</v>
      </c>
      <c r="L34" s="13">
        <v>192.0</v>
      </c>
      <c r="M34" s="13">
        <v>149.0</v>
      </c>
      <c r="N34" s="13">
        <v>201.0</v>
      </c>
      <c r="O34" s="13">
        <v>243.0</v>
      </c>
      <c r="P34" s="13">
        <v>236.0</v>
      </c>
      <c r="Q34" s="13">
        <f t="shared" si="2"/>
        <v>2592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3.0</v>
      </c>
      <c r="J35" s="19">
        <v>0.0</v>
      </c>
      <c r="K35" s="19">
        <v>2.0</v>
      </c>
      <c r="L35" s="19">
        <v>0.0</v>
      </c>
      <c r="M35" s="19">
        <v>1.0</v>
      </c>
      <c r="N35" s="19">
        <v>0.0</v>
      </c>
      <c r="O35" s="19">
        <v>0.0</v>
      </c>
      <c r="P35" s="19">
        <v>3.0</v>
      </c>
      <c r="Q35" s="13">
        <f t="shared" si="2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v>106.0</v>
      </c>
      <c r="F36" s="13">
        <v>61.0</v>
      </c>
      <c r="G36" s="13">
        <v>63.0</v>
      </c>
      <c r="H36" s="13">
        <v>73.0</v>
      </c>
      <c r="I36" s="13">
        <v>48.0</v>
      </c>
      <c r="J36" s="13">
        <v>58.0</v>
      </c>
      <c r="K36" s="13">
        <v>38.0</v>
      </c>
      <c r="L36" s="13">
        <v>58.0</v>
      </c>
      <c r="M36" s="13">
        <v>61.0</v>
      </c>
      <c r="N36" s="13">
        <v>62.0</v>
      </c>
      <c r="O36" s="13">
        <v>42.0</v>
      </c>
      <c r="P36" s="13">
        <v>61.0</v>
      </c>
      <c r="Q36" s="13">
        <f t="shared" si="2"/>
        <v>731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3">
        <f t="shared" ref="Q39:Q41" si="3">SUM(E39:P39)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3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P41" si="4">SUM(E39:E40)</f>
        <v>0</v>
      </c>
      <c r="F41" s="13">
        <f t="shared" si="4"/>
        <v>0</v>
      </c>
      <c r="G41" s="13">
        <f t="shared" si="4"/>
        <v>0</v>
      </c>
      <c r="H41" s="13">
        <f t="shared" si="4"/>
        <v>0</v>
      </c>
      <c r="I41" s="13">
        <f t="shared" si="4"/>
        <v>0</v>
      </c>
      <c r="J41" s="13">
        <f t="shared" si="4"/>
        <v>0</v>
      </c>
      <c r="K41" s="13">
        <f t="shared" si="4"/>
        <v>0</v>
      </c>
      <c r="L41" s="13">
        <f t="shared" si="4"/>
        <v>0</v>
      </c>
      <c r="M41" s="13">
        <f t="shared" si="4"/>
        <v>0</v>
      </c>
      <c r="N41" s="13">
        <f t="shared" si="4"/>
        <v>0</v>
      </c>
      <c r="O41" s="13">
        <f t="shared" si="4"/>
        <v>0</v>
      </c>
      <c r="P41" s="13">
        <f t="shared" si="4"/>
        <v>0</v>
      </c>
      <c r="Q41" s="13">
        <f t="shared" si="3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11.0</v>
      </c>
      <c r="F45" s="19">
        <v>2.0</v>
      </c>
      <c r="G45" s="19">
        <v>10.0</v>
      </c>
      <c r="H45" s="19">
        <v>3.0</v>
      </c>
      <c r="I45" s="19">
        <v>6.0</v>
      </c>
      <c r="J45" s="19">
        <v>3.0</v>
      </c>
      <c r="K45" s="19">
        <v>3.0</v>
      </c>
      <c r="L45" s="19">
        <v>1.0</v>
      </c>
      <c r="M45" s="19">
        <v>0.0</v>
      </c>
      <c r="N45" s="19">
        <v>3.0</v>
      </c>
      <c r="O45" s="19">
        <v>0.0</v>
      </c>
      <c r="P45" s="19">
        <v>4.0</v>
      </c>
      <c r="Q45" s="13">
        <f t="shared" ref="Q45:Q52" si="5">SUM(E45:P45)</f>
        <v>46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6.0</v>
      </c>
      <c r="G46" s="19">
        <v>22.0</v>
      </c>
      <c r="H46" s="19">
        <v>6.0</v>
      </c>
      <c r="I46" s="19">
        <v>22.0</v>
      </c>
      <c r="J46" s="19">
        <v>20.0</v>
      </c>
      <c r="K46" s="19">
        <v>3.0</v>
      </c>
      <c r="L46" s="19">
        <v>4.0</v>
      </c>
      <c r="M46" s="19">
        <v>1.0</v>
      </c>
      <c r="N46" s="19">
        <v>2.0</v>
      </c>
      <c r="O46" s="19">
        <v>5.0</v>
      </c>
      <c r="P46" s="19">
        <v>28.0</v>
      </c>
      <c r="Q46" s="13">
        <f t="shared" si="5"/>
        <v>133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1.0</v>
      </c>
      <c r="H47" s="19">
        <v>0.0</v>
      </c>
      <c r="I47" s="19">
        <v>4.0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3">
        <f t="shared" si="5"/>
        <v>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2.0</v>
      </c>
      <c r="J48" s="19">
        <v>0.0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0.0</v>
      </c>
      <c r="Q48" s="13">
        <f t="shared" si="5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2.0</v>
      </c>
      <c r="Q49" s="13">
        <f t="shared" si="5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4.0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3">
        <f t="shared" si="5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3">
        <f t="shared" si="5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3">
        <f t="shared" si="5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P55" si="6">SUM(E45:E52)</f>
        <v>26</v>
      </c>
      <c r="F55" s="13">
        <f t="shared" si="6"/>
        <v>10</v>
      </c>
      <c r="G55" s="13">
        <f t="shared" si="6"/>
        <v>33</v>
      </c>
      <c r="H55" s="13">
        <f t="shared" si="6"/>
        <v>10</v>
      </c>
      <c r="I55" s="13">
        <f t="shared" si="6"/>
        <v>40</v>
      </c>
      <c r="J55" s="13">
        <f t="shared" si="6"/>
        <v>24</v>
      </c>
      <c r="K55" s="13">
        <f t="shared" si="6"/>
        <v>6</v>
      </c>
      <c r="L55" s="13">
        <f t="shared" si="6"/>
        <v>6</v>
      </c>
      <c r="M55" s="13">
        <f t="shared" si="6"/>
        <v>1</v>
      </c>
      <c r="N55" s="13">
        <f t="shared" si="6"/>
        <v>5</v>
      </c>
      <c r="O55" s="13">
        <f t="shared" si="6"/>
        <v>5</v>
      </c>
      <c r="P55" s="13">
        <f t="shared" si="6"/>
        <v>34</v>
      </c>
      <c r="Q55" s="13">
        <f>SUM(E55:P55)</f>
        <v>200</v>
      </c>
    </row>
    <row r="56" ht="12.75" customHeight="1">
      <c r="A56" s="45"/>
      <c r="B56" s="44"/>
      <c r="C56" s="44"/>
      <c r="D56" s="44"/>
      <c r="E56" s="44"/>
      <c r="Q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8.0</v>
      </c>
      <c r="G57" s="19">
        <v>22.0</v>
      </c>
      <c r="H57" s="19">
        <v>16.0</v>
      </c>
      <c r="I57" s="19">
        <v>13.0</v>
      </c>
      <c r="J57" s="19">
        <v>8.0</v>
      </c>
      <c r="K57" s="19">
        <v>12.0</v>
      </c>
      <c r="L57" s="19">
        <v>4.0</v>
      </c>
      <c r="M57" s="19">
        <v>2.0</v>
      </c>
      <c r="N57" s="19">
        <v>8.0</v>
      </c>
      <c r="O57" s="19">
        <v>6.0</v>
      </c>
      <c r="P57" s="19">
        <v>5.0</v>
      </c>
      <c r="Q57" s="13">
        <f t="shared" ref="Q57:Q64" si="7">SUM(E57:P57)</f>
        <v>113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77.0</v>
      </c>
      <c r="F58" s="19">
        <v>149.0</v>
      </c>
      <c r="G58" s="19">
        <v>86.0</v>
      </c>
      <c r="H58" s="19">
        <v>122.0</v>
      </c>
      <c r="I58" s="19">
        <v>82.0</v>
      </c>
      <c r="J58" s="19">
        <v>85.0</v>
      </c>
      <c r="K58" s="19">
        <v>146.0</v>
      </c>
      <c r="L58" s="19">
        <v>77.0</v>
      </c>
      <c r="M58" s="19">
        <v>77.0</v>
      </c>
      <c r="N58" s="19">
        <v>119.0</v>
      </c>
      <c r="O58" s="19">
        <v>153.0</v>
      </c>
      <c r="P58" s="19">
        <v>100.0</v>
      </c>
      <c r="Q58" s="13">
        <f t="shared" si="7"/>
        <v>1273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2.0</v>
      </c>
      <c r="G59" s="19">
        <v>3.0</v>
      </c>
      <c r="H59" s="19">
        <v>2.0</v>
      </c>
      <c r="I59" s="19">
        <v>6.0</v>
      </c>
      <c r="J59" s="19">
        <v>1.0</v>
      </c>
      <c r="K59" s="19">
        <v>1.0</v>
      </c>
      <c r="L59" s="19">
        <v>0.0</v>
      </c>
      <c r="M59" s="19">
        <v>2.0</v>
      </c>
      <c r="N59" s="19">
        <v>0.0</v>
      </c>
      <c r="O59" s="19">
        <v>4.0</v>
      </c>
      <c r="P59" s="19">
        <v>1.0</v>
      </c>
      <c r="Q59" s="13">
        <f t="shared" si="7"/>
        <v>24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2.0</v>
      </c>
      <c r="J60" s="19">
        <v>0.0</v>
      </c>
      <c r="K60" s="19">
        <v>0.0</v>
      </c>
      <c r="L60" s="19">
        <v>2.0</v>
      </c>
      <c r="M60" s="19">
        <v>0.0</v>
      </c>
      <c r="N60" s="19">
        <v>1.0</v>
      </c>
      <c r="O60" s="19">
        <v>1.0</v>
      </c>
      <c r="P60" s="19">
        <v>0.0</v>
      </c>
      <c r="Q60" s="13">
        <f t="shared" si="7"/>
        <v>7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0.0</v>
      </c>
      <c r="H61" s="19">
        <v>1.0</v>
      </c>
      <c r="I61" s="19">
        <v>1.0</v>
      </c>
      <c r="J61" s="19">
        <v>0.0</v>
      </c>
      <c r="K61" s="19">
        <v>0.0</v>
      </c>
      <c r="L61" s="19">
        <v>2.0</v>
      </c>
      <c r="M61" s="19">
        <v>0.0</v>
      </c>
      <c r="N61" s="19">
        <v>0.0</v>
      </c>
      <c r="O61" s="19">
        <v>1.0</v>
      </c>
      <c r="P61" s="19">
        <v>0.0</v>
      </c>
      <c r="Q61" s="13">
        <f t="shared" si="7"/>
        <v>6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3">
        <f t="shared" si="7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0.0</v>
      </c>
      <c r="H63" s="19">
        <v>1.0</v>
      </c>
      <c r="I63" s="19">
        <v>2.0</v>
      </c>
      <c r="J63" s="19">
        <v>1.0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3">
        <f t="shared" si="7"/>
        <v>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3">
        <f t="shared" si="7"/>
        <v>2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P67" si="8">SUM(E57:E64)</f>
        <v>89</v>
      </c>
      <c r="F67" s="13">
        <f t="shared" si="8"/>
        <v>163</v>
      </c>
      <c r="G67" s="13">
        <f t="shared" si="8"/>
        <v>111</v>
      </c>
      <c r="H67" s="13">
        <f t="shared" si="8"/>
        <v>143</v>
      </c>
      <c r="I67" s="13">
        <f t="shared" si="8"/>
        <v>107</v>
      </c>
      <c r="J67" s="13">
        <f t="shared" si="8"/>
        <v>95</v>
      </c>
      <c r="K67" s="13">
        <f t="shared" si="8"/>
        <v>159</v>
      </c>
      <c r="L67" s="13">
        <f t="shared" si="8"/>
        <v>87</v>
      </c>
      <c r="M67" s="13">
        <f t="shared" si="8"/>
        <v>81</v>
      </c>
      <c r="N67" s="13">
        <f t="shared" si="8"/>
        <v>128</v>
      </c>
      <c r="O67" s="13">
        <f t="shared" si="8"/>
        <v>165</v>
      </c>
      <c r="P67" s="13">
        <f t="shared" si="8"/>
        <v>107</v>
      </c>
      <c r="Q67" s="13">
        <f>SUM(E67:P67)</f>
        <v>1435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3.0</v>
      </c>
      <c r="G69" s="19">
        <v>4.0</v>
      </c>
      <c r="H69" s="19">
        <v>7.0</v>
      </c>
      <c r="I69" s="19">
        <v>7.0</v>
      </c>
      <c r="J69" s="19">
        <v>7.0</v>
      </c>
      <c r="K69" s="19">
        <v>0.0</v>
      </c>
      <c r="L69" s="19">
        <v>4.0</v>
      </c>
      <c r="M69" s="19">
        <v>5.0</v>
      </c>
      <c r="N69" s="19">
        <v>14.0</v>
      </c>
      <c r="O69" s="19">
        <v>7.0</v>
      </c>
      <c r="P69" s="19">
        <v>11.0</v>
      </c>
      <c r="Q69" s="13">
        <f t="shared" ref="Q69:Q76" si="9">SUM(E69:P69)</f>
        <v>71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3.0</v>
      </c>
      <c r="F70" s="19">
        <v>3.0</v>
      </c>
      <c r="G70" s="19">
        <v>6.0</v>
      </c>
      <c r="H70" s="19">
        <v>27.0</v>
      </c>
      <c r="I70" s="19">
        <v>8.0</v>
      </c>
      <c r="J70" s="19">
        <v>21.0</v>
      </c>
      <c r="K70" s="19">
        <v>11.0</v>
      </c>
      <c r="L70" s="19">
        <v>18.0</v>
      </c>
      <c r="M70" s="19">
        <v>9.0</v>
      </c>
      <c r="N70" s="19">
        <v>0.0</v>
      </c>
      <c r="O70" s="19">
        <v>1.0</v>
      </c>
      <c r="P70" s="19">
        <v>2.0</v>
      </c>
      <c r="Q70" s="13">
        <f t="shared" si="9"/>
        <v>109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0.0</v>
      </c>
      <c r="G71" s="19">
        <v>0.0</v>
      </c>
      <c r="H71" s="19">
        <v>0.0</v>
      </c>
      <c r="I71" s="19">
        <v>2.0</v>
      </c>
      <c r="J71" s="19">
        <v>0.0</v>
      </c>
      <c r="K71" s="19">
        <v>0.0</v>
      </c>
      <c r="L71" s="19">
        <v>3.0</v>
      </c>
      <c r="M71" s="19">
        <v>1.0</v>
      </c>
      <c r="N71" s="19">
        <v>0.0</v>
      </c>
      <c r="O71" s="19">
        <v>1.0</v>
      </c>
      <c r="P71" s="19">
        <v>1.0</v>
      </c>
      <c r="Q71" s="13">
        <f t="shared" si="9"/>
        <v>10</v>
      </c>
    </row>
    <row r="72" ht="12.75" customHeight="1">
      <c r="A72" s="18"/>
      <c r="B72" s="55">
        <v>3.0</v>
      </c>
      <c r="C72" s="50" t="s">
        <v>59</v>
      </c>
      <c r="D72" s="57"/>
      <c r="E72" s="19">
        <v>9.0</v>
      </c>
      <c r="F72" s="19">
        <v>3.0</v>
      </c>
      <c r="G72" s="19">
        <v>12.0</v>
      </c>
      <c r="H72" s="19">
        <v>5.0</v>
      </c>
      <c r="I72" s="19">
        <v>19.0</v>
      </c>
      <c r="J72" s="19">
        <v>38.0</v>
      </c>
      <c r="K72" s="19">
        <v>0.0</v>
      </c>
      <c r="L72" s="19">
        <v>2.0</v>
      </c>
      <c r="M72" s="19">
        <v>17.0</v>
      </c>
      <c r="N72" s="19">
        <v>28.0</v>
      </c>
      <c r="O72" s="19">
        <v>29.0</v>
      </c>
      <c r="P72" s="19">
        <v>31.0</v>
      </c>
      <c r="Q72" s="13">
        <f t="shared" si="9"/>
        <v>193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1.0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3">
        <f t="shared" si="9"/>
        <v>4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2.0</v>
      </c>
      <c r="H74" s="19">
        <v>1.0</v>
      </c>
      <c r="I74" s="19">
        <v>1.0</v>
      </c>
      <c r="J74" s="19">
        <v>1.0</v>
      </c>
      <c r="K74" s="19">
        <v>0.0</v>
      </c>
      <c r="L74" s="19">
        <v>1.0</v>
      </c>
      <c r="M74" s="19">
        <v>0.0</v>
      </c>
      <c r="N74" s="19">
        <v>3.0</v>
      </c>
      <c r="O74" s="19">
        <v>1.0</v>
      </c>
      <c r="P74" s="19">
        <v>1.0</v>
      </c>
      <c r="Q74" s="13">
        <f t="shared" si="9"/>
        <v>13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2.0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0.0</v>
      </c>
      <c r="Q75" s="13">
        <f t="shared" si="9"/>
        <v>4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1.0</v>
      </c>
      <c r="G76" s="19">
        <v>0.0</v>
      </c>
      <c r="H76" s="19">
        <v>3.0</v>
      </c>
      <c r="I76" s="19">
        <v>2.0</v>
      </c>
      <c r="J76" s="19">
        <v>2.0</v>
      </c>
      <c r="K76" s="19">
        <v>1.0</v>
      </c>
      <c r="L76" s="19">
        <v>6.0</v>
      </c>
      <c r="M76" s="19">
        <v>0.0</v>
      </c>
      <c r="N76" s="19">
        <v>1.0</v>
      </c>
      <c r="O76" s="19">
        <v>0.0</v>
      </c>
      <c r="P76" s="19">
        <v>4.0</v>
      </c>
      <c r="Q76" s="13">
        <f t="shared" si="9"/>
        <v>22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P79" si="10">SUM(E69:E76)</f>
        <v>19</v>
      </c>
      <c r="F79" s="13">
        <f t="shared" si="10"/>
        <v>14</v>
      </c>
      <c r="G79" s="13">
        <f t="shared" si="10"/>
        <v>26</v>
      </c>
      <c r="H79" s="13">
        <f t="shared" si="10"/>
        <v>43</v>
      </c>
      <c r="I79" s="13">
        <f t="shared" si="10"/>
        <v>40</v>
      </c>
      <c r="J79" s="13">
        <f t="shared" si="10"/>
        <v>70</v>
      </c>
      <c r="K79" s="13">
        <f t="shared" si="10"/>
        <v>12</v>
      </c>
      <c r="L79" s="13">
        <f t="shared" si="10"/>
        <v>34</v>
      </c>
      <c r="M79" s="13">
        <f t="shared" si="10"/>
        <v>32</v>
      </c>
      <c r="N79" s="13">
        <f t="shared" si="10"/>
        <v>47</v>
      </c>
      <c r="O79" s="13">
        <f t="shared" si="10"/>
        <v>39</v>
      </c>
      <c r="P79" s="13">
        <f t="shared" si="10"/>
        <v>50</v>
      </c>
      <c r="Q79" s="13">
        <f>SUM(E79:P79)</f>
        <v>426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12.0</v>
      </c>
      <c r="F81" s="19">
        <v>2.0</v>
      </c>
      <c r="G81" s="19">
        <v>5.0</v>
      </c>
      <c r="H81" s="19">
        <v>3.0</v>
      </c>
      <c r="I81" s="19">
        <v>3.0</v>
      </c>
      <c r="J81" s="19">
        <v>6.0</v>
      </c>
      <c r="K81" s="19">
        <v>3.0</v>
      </c>
      <c r="L81" s="19">
        <v>3.0</v>
      </c>
      <c r="M81" s="19">
        <v>3.0</v>
      </c>
      <c r="N81" s="19">
        <v>1.0</v>
      </c>
      <c r="O81" s="19">
        <v>5.0</v>
      </c>
      <c r="P81" s="19">
        <v>0.0</v>
      </c>
      <c r="Q81" s="13">
        <f t="shared" ref="Q81:Q88" si="11">SUM(E81:P81)</f>
        <v>46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12.0</v>
      </c>
      <c r="F82" s="19">
        <v>2.0</v>
      </c>
      <c r="G82" s="19">
        <v>11.0</v>
      </c>
      <c r="H82" s="19">
        <v>12.0</v>
      </c>
      <c r="I82" s="19">
        <v>5.0</v>
      </c>
      <c r="J82" s="19">
        <v>3.0</v>
      </c>
      <c r="K82" s="19">
        <v>2.0</v>
      </c>
      <c r="L82" s="19">
        <v>47.0</v>
      </c>
      <c r="M82" s="19">
        <v>19.0</v>
      </c>
      <c r="N82" s="19">
        <v>3.0</v>
      </c>
      <c r="O82" s="19">
        <v>4.0</v>
      </c>
      <c r="P82" s="19">
        <v>3.0</v>
      </c>
      <c r="Q82" s="13">
        <f t="shared" si="11"/>
        <v>123</v>
      </c>
    </row>
    <row r="83" ht="12.75" customHeight="1">
      <c r="A83" s="18"/>
      <c r="B83" s="55">
        <v>2.0</v>
      </c>
      <c r="C83" s="50" t="s">
        <v>66</v>
      </c>
      <c r="D83" s="57"/>
      <c r="E83" s="19">
        <v>10.0</v>
      </c>
      <c r="F83" s="19">
        <v>11.0</v>
      </c>
      <c r="G83" s="19">
        <v>7.0</v>
      </c>
      <c r="H83" s="19">
        <v>8.0</v>
      </c>
      <c r="I83" s="19">
        <v>15.0</v>
      </c>
      <c r="J83" s="19">
        <v>15.0</v>
      </c>
      <c r="K83" s="19">
        <v>11.0</v>
      </c>
      <c r="L83" s="19">
        <v>2.0</v>
      </c>
      <c r="M83" s="19">
        <v>0.0</v>
      </c>
      <c r="N83" s="19">
        <v>3.0</v>
      </c>
      <c r="O83" s="19">
        <v>8.0</v>
      </c>
      <c r="P83" s="19">
        <v>5.0</v>
      </c>
      <c r="Q83" s="13">
        <f t="shared" si="11"/>
        <v>95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2.0</v>
      </c>
      <c r="O84" s="19">
        <v>1.0</v>
      </c>
      <c r="P84" s="19">
        <v>0.0</v>
      </c>
      <c r="Q84" s="13">
        <f t="shared" si="11"/>
        <v>5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2.0</v>
      </c>
      <c r="G85" s="19">
        <v>1.0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3">
        <f t="shared" si="11"/>
        <v>5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0.0</v>
      </c>
      <c r="H86" s="19">
        <v>2.0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2.0</v>
      </c>
      <c r="Q86" s="13">
        <f t="shared" si="11"/>
        <v>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3">
        <f t="shared" si="11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3">
        <f t="shared" si="11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P91" si="12">SUM(E81:E88)</f>
        <v>38</v>
      </c>
      <c r="F91" s="13">
        <f t="shared" si="12"/>
        <v>17</v>
      </c>
      <c r="G91" s="13">
        <f t="shared" si="12"/>
        <v>25</v>
      </c>
      <c r="H91" s="13">
        <f t="shared" si="12"/>
        <v>25</v>
      </c>
      <c r="I91" s="13">
        <f t="shared" si="12"/>
        <v>25</v>
      </c>
      <c r="J91" s="13">
        <f t="shared" si="12"/>
        <v>24</v>
      </c>
      <c r="K91" s="13">
        <f t="shared" si="12"/>
        <v>16</v>
      </c>
      <c r="L91" s="13">
        <f t="shared" si="12"/>
        <v>53</v>
      </c>
      <c r="M91" s="13">
        <f t="shared" si="12"/>
        <v>22</v>
      </c>
      <c r="N91" s="13">
        <f t="shared" si="12"/>
        <v>9</v>
      </c>
      <c r="O91" s="13">
        <f t="shared" si="12"/>
        <v>19</v>
      </c>
      <c r="P91" s="13">
        <f t="shared" si="12"/>
        <v>10</v>
      </c>
      <c r="Q91" s="13">
        <f>SUM(E91:P91)</f>
        <v>283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1.0</v>
      </c>
      <c r="I93" s="19">
        <v>1.0</v>
      </c>
      <c r="J93" s="19">
        <v>1.0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3">
        <f t="shared" ref="Q93:Q100" si="13">SUM(E93:P93)</f>
        <v>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1.0</v>
      </c>
      <c r="G94" s="19">
        <v>0.0</v>
      </c>
      <c r="H94" s="19">
        <v>1.0</v>
      </c>
      <c r="I94" s="19">
        <v>1.0</v>
      </c>
      <c r="J94" s="19">
        <v>0.0</v>
      </c>
      <c r="K94" s="19">
        <v>0.0</v>
      </c>
      <c r="L94" s="19">
        <v>0.0</v>
      </c>
      <c r="M94" s="19">
        <v>1.0</v>
      </c>
      <c r="N94" s="19">
        <v>0.0</v>
      </c>
      <c r="O94" s="19">
        <v>0.0</v>
      </c>
      <c r="P94" s="19">
        <v>0.0</v>
      </c>
      <c r="Q94" s="13">
        <f t="shared" si="13"/>
        <v>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3">
        <f t="shared" si="13"/>
        <v>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3">
        <f t="shared" si="13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3">
        <f t="shared" si="13"/>
        <v>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3">
        <f t="shared" si="13"/>
        <v>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3">
        <f t="shared" si="13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3">
        <f t="shared" si="13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P103" si="14">SUM(E93:E100)</f>
        <v>0</v>
      </c>
      <c r="F103" s="13">
        <f t="shared" si="14"/>
        <v>2</v>
      </c>
      <c r="G103" s="13">
        <f t="shared" si="14"/>
        <v>1</v>
      </c>
      <c r="H103" s="13">
        <f t="shared" si="14"/>
        <v>4</v>
      </c>
      <c r="I103" s="13">
        <f t="shared" si="14"/>
        <v>2</v>
      </c>
      <c r="J103" s="13">
        <f t="shared" si="14"/>
        <v>1</v>
      </c>
      <c r="K103" s="13">
        <f t="shared" si="14"/>
        <v>0</v>
      </c>
      <c r="L103" s="13">
        <f t="shared" si="14"/>
        <v>0</v>
      </c>
      <c r="M103" s="13">
        <f t="shared" si="14"/>
        <v>1</v>
      </c>
      <c r="N103" s="13">
        <f t="shared" si="14"/>
        <v>0</v>
      </c>
      <c r="O103" s="13">
        <f t="shared" si="14"/>
        <v>1</v>
      </c>
      <c r="P103" s="13">
        <f t="shared" si="14"/>
        <v>0</v>
      </c>
      <c r="Q103" s="13">
        <f>SUM(E103:P103)</f>
        <v>12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3">
        <f t="shared" ref="Q105:Q112" si="15">SUM(E105:P105)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3">
        <f t="shared" si="15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3">
        <f t="shared" si="15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3">
        <f t="shared" si="15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3">
        <f t="shared" si="15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3">
        <f t="shared" si="15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3">
        <f t="shared" si="15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3">
        <f t="shared" si="15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P115" si="16">SUM(E105:E112)</f>
        <v>0</v>
      </c>
      <c r="F115" s="13">
        <f t="shared" si="16"/>
        <v>0</v>
      </c>
      <c r="G115" s="13">
        <f t="shared" si="16"/>
        <v>0</v>
      </c>
      <c r="H115" s="13">
        <f t="shared" si="16"/>
        <v>0</v>
      </c>
      <c r="I115" s="13">
        <f t="shared" si="16"/>
        <v>1</v>
      </c>
      <c r="J115" s="13">
        <f t="shared" si="16"/>
        <v>0</v>
      </c>
      <c r="K115" s="13">
        <f t="shared" si="16"/>
        <v>0</v>
      </c>
      <c r="L115" s="13">
        <f t="shared" si="16"/>
        <v>0</v>
      </c>
      <c r="M115" s="13">
        <f t="shared" si="16"/>
        <v>0</v>
      </c>
      <c r="N115" s="13">
        <f t="shared" si="16"/>
        <v>0</v>
      </c>
      <c r="O115" s="13">
        <f t="shared" si="16"/>
        <v>0</v>
      </c>
      <c r="P115" s="13">
        <f t="shared" si="16"/>
        <v>0</v>
      </c>
      <c r="Q115" s="13">
        <f>SUM(E115:P115)</f>
        <v>1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3">
        <f t="shared" ref="Q117:Q120" si="17">SUM(E117:P117)</f>
        <v>0</v>
      </c>
      <c r="R117" s="5"/>
      <c r="S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3">
        <f t="shared" si="17"/>
        <v>0</v>
      </c>
      <c r="R118" s="5"/>
      <c r="S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3">
        <f t="shared" si="17"/>
        <v>0</v>
      </c>
      <c r="R119" s="5"/>
      <c r="S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3">
        <f t="shared" si="17"/>
        <v>0</v>
      </c>
      <c r="R120" s="5"/>
      <c r="S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74"/>
      <c r="R121" s="5"/>
      <c r="S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74"/>
      <c r="R122" s="5"/>
      <c r="S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74"/>
      <c r="R123" s="5"/>
      <c r="S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74"/>
      <c r="R124" s="5"/>
      <c r="S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74"/>
      <c r="R125" s="5"/>
      <c r="S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74"/>
      <c r="R126" s="5"/>
      <c r="S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P127" si="18">SUM(E117:E120)</f>
        <v>0</v>
      </c>
      <c r="F127" s="58">
        <f t="shared" si="18"/>
        <v>0</v>
      </c>
      <c r="G127" s="58">
        <f t="shared" si="18"/>
        <v>0</v>
      </c>
      <c r="H127" s="58">
        <f t="shared" si="18"/>
        <v>0</v>
      </c>
      <c r="I127" s="58">
        <f t="shared" si="18"/>
        <v>0</v>
      </c>
      <c r="J127" s="58">
        <f t="shared" si="18"/>
        <v>0</v>
      </c>
      <c r="K127" s="58">
        <f t="shared" si="18"/>
        <v>0</v>
      </c>
      <c r="L127" s="58">
        <f t="shared" si="18"/>
        <v>0</v>
      </c>
      <c r="M127" s="58">
        <f t="shared" si="18"/>
        <v>0</v>
      </c>
      <c r="N127" s="58">
        <f t="shared" si="18"/>
        <v>0</v>
      </c>
      <c r="O127" s="58">
        <f t="shared" si="18"/>
        <v>0</v>
      </c>
      <c r="P127" s="58">
        <f t="shared" si="18"/>
        <v>0</v>
      </c>
      <c r="Q127" s="13">
        <f>SUM(E127:P127)</f>
        <v>0</v>
      </c>
      <c r="R127" s="5"/>
      <c r="S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5"/>
      <c r="S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4.0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3">
        <f t="shared" ref="Q129:Q136" si="19">SUM(E129:P129)</f>
        <v>6</v>
      </c>
      <c r="R129" s="5"/>
      <c r="S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2.0</v>
      </c>
      <c r="G130" s="19">
        <v>2.0</v>
      </c>
      <c r="H130" s="19">
        <v>0.0</v>
      </c>
      <c r="I130" s="19">
        <v>0.0</v>
      </c>
      <c r="J130" s="19">
        <v>2.0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1.0</v>
      </c>
      <c r="Q130" s="13">
        <f t="shared" si="19"/>
        <v>7</v>
      </c>
      <c r="R130" s="1"/>
      <c r="S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1.0</v>
      </c>
      <c r="Q131" s="13">
        <f t="shared" si="19"/>
        <v>2</v>
      </c>
      <c r="R131" s="52"/>
      <c r="S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3">
        <f t="shared" si="19"/>
        <v>1</v>
      </c>
      <c r="R132" s="5"/>
      <c r="S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3">
        <f t="shared" si="19"/>
        <v>1</v>
      </c>
      <c r="R133" s="5"/>
      <c r="S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0.0</v>
      </c>
      <c r="Q134" s="13">
        <f t="shared" si="19"/>
        <v>1</v>
      </c>
      <c r="R134" s="5"/>
      <c r="S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3">
        <f t="shared" si="19"/>
        <v>0</v>
      </c>
      <c r="R135" s="5"/>
      <c r="S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3">
        <f t="shared" si="19"/>
        <v>0</v>
      </c>
      <c r="R136" s="5"/>
      <c r="S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74"/>
      <c r="R137" s="5"/>
      <c r="S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74"/>
      <c r="R138" s="5"/>
      <c r="S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P139" si="20">SUM(E129:E136)</f>
        <v>1</v>
      </c>
      <c r="F139" s="13">
        <f t="shared" si="20"/>
        <v>7</v>
      </c>
      <c r="G139" s="13">
        <f t="shared" si="20"/>
        <v>3</v>
      </c>
      <c r="H139" s="13">
        <f t="shared" si="20"/>
        <v>0</v>
      </c>
      <c r="I139" s="13">
        <f t="shared" si="20"/>
        <v>0</v>
      </c>
      <c r="J139" s="13">
        <f t="shared" si="20"/>
        <v>3</v>
      </c>
      <c r="K139" s="13">
        <f t="shared" si="20"/>
        <v>0</v>
      </c>
      <c r="L139" s="13">
        <f t="shared" si="20"/>
        <v>1</v>
      </c>
      <c r="M139" s="13">
        <f t="shared" si="20"/>
        <v>1</v>
      </c>
      <c r="N139" s="13">
        <f t="shared" si="20"/>
        <v>0</v>
      </c>
      <c r="O139" s="13">
        <f t="shared" si="20"/>
        <v>0</v>
      </c>
      <c r="P139" s="13">
        <f t="shared" si="20"/>
        <v>2</v>
      </c>
      <c r="Q139" s="13">
        <f>SUM(E139:P139)</f>
        <v>18</v>
      </c>
      <c r="R139" s="5"/>
      <c r="S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5"/>
      <c r="S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3">
        <f t="shared" ref="Q141:Q148" si="21">SUM(E141:P141)</f>
        <v>0</v>
      </c>
      <c r="R141" s="1"/>
      <c r="S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3">
        <f t="shared" si="21"/>
        <v>0</v>
      </c>
      <c r="R142" s="52"/>
      <c r="S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3">
        <f t="shared" si="21"/>
        <v>0</v>
      </c>
      <c r="R143" s="5"/>
      <c r="S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3">
        <f t="shared" si="21"/>
        <v>0</v>
      </c>
      <c r="R144" s="5"/>
      <c r="S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3">
        <f t="shared" si="21"/>
        <v>0</v>
      </c>
      <c r="R145" s="5"/>
      <c r="S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3">
        <f t="shared" si="21"/>
        <v>0</v>
      </c>
      <c r="R146" s="5"/>
      <c r="S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3">
        <f t="shared" si="21"/>
        <v>0</v>
      </c>
      <c r="R147" s="5"/>
      <c r="S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3">
        <f t="shared" si="21"/>
        <v>0</v>
      </c>
      <c r="R148" s="5"/>
      <c r="S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74"/>
      <c r="R149" s="5"/>
      <c r="S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74"/>
      <c r="R150" s="5"/>
      <c r="S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P151" si="22">SUM(E141:E148)</f>
        <v>0</v>
      </c>
      <c r="F151" s="13">
        <f t="shared" si="22"/>
        <v>0</v>
      </c>
      <c r="G151" s="13">
        <f t="shared" si="22"/>
        <v>0</v>
      </c>
      <c r="H151" s="13">
        <f t="shared" si="22"/>
        <v>0</v>
      </c>
      <c r="I151" s="13">
        <f t="shared" si="22"/>
        <v>0</v>
      </c>
      <c r="J151" s="13">
        <f t="shared" si="22"/>
        <v>0</v>
      </c>
      <c r="K151" s="13">
        <f t="shared" si="22"/>
        <v>0</v>
      </c>
      <c r="L151" s="13">
        <f t="shared" si="22"/>
        <v>0</v>
      </c>
      <c r="M151" s="13">
        <f t="shared" si="22"/>
        <v>0</v>
      </c>
      <c r="N151" s="13">
        <f t="shared" si="22"/>
        <v>0</v>
      </c>
      <c r="O151" s="13">
        <f t="shared" si="22"/>
        <v>0</v>
      </c>
      <c r="P151" s="13">
        <f t="shared" si="22"/>
        <v>0</v>
      </c>
      <c r="Q151" s="13">
        <f>SUM(E151:P151)</f>
        <v>0</v>
      </c>
      <c r="R151" s="1"/>
      <c r="S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13"/>
      <c r="R152" s="52"/>
      <c r="S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3">
        <f t="shared" ref="Q153:Q156" si="23">SUM(E154:P154)</f>
        <v>0</v>
      </c>
      <c r="R153" s="5"/>
      <c r="S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3">
        <f t="shared" si="23"/>
        <v>0</v>
      </c>
      <c r="R154" s="5"/>
      <c r="S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3">
        <f t="shared" si="23"/>
        <v>0</v>
      </c>
      <c r="R155" s="5"/>
      <c r="S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3">
        <f t="shared" si="23"/>
        <v>0</v>
      </c>
      <c r="R156" s="5"/>
      <c r="S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3">
        <f>SUM(E163:P163)</f>
        <v>0</v>
      </c>
      <c r="R157" s="5"/>
      <c r="S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74"/>
      <c r="R158" s="5"/>
      <c r="S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74"/>
      <c r="R159" s="5"/>
      <c r="S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74"/>
      <c r="R160" s="5"/>
      <c r="S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74"/>
      <c r="R161" s="5"/>
      <c r="S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74"/>
      <c r="R162" s="5"/>
      <c r="S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P163" si="24">SUM(E153:E157)</f>
        <v>0</v>
      </c>
      <c r="F163" s="13">
        <f t="shared" si="24"/>
        <v>0</v>
      </c>
      <c r="G163" s="13">
        <f t="shared" si="24"/>
        <v>0</v>
      </c>
      <c r="H163" s="13">
        <f t="shared" si="24"/>
        <v>0</v>
      </c>
      <c r="I163" s="13">
        <f t="shared" si="24"/>
        <v>0</v>
      </c>
      <c r="J163" s="13">
        <f t="shared" si="24"/>
        <v>0</v>
      </c>
      <c r="K163" s="13">
        <f t="shared" si="24"/>
        <v>0</v>
      </c>
      <c r="L163" s="13">
        <f t="shared" si="24"/>
        <v>0</v>
      </c>
      <c r="M163" s="13">
        <f t="shared" si="24"/>
        <v>0</v>
      </c>
      <c r="N163" s="13">
        <f t="shared" si="24"/>
        <v>0</v>
      </c>
      <c r="O163" s="13">
        <f t="shared" si="24"/>
        <v>0</v>
      </c>
      <c r="P163" s="13">
        <f t="shared" si="24"/>
        <v>0</v>
      </c>
      <c r="Q163" s="13">
        <f>SUM(E164:P164)</f>
        <v>0</v>
      </c>
      <c r="R163" s="5"/>
      <c r="S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5"/>
      <c r="S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3">
        <f t="shared" ref="Q165:Q172" si="25">SUM(E165:P165)</f>
        <v>1</v>
      </c>
      <c r="R165" s="1"/>
      <c r="S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3">
        <f t="shared" si="25"/>
        <v>0</v>
      </c>
      <c r="R166" s="52"/>
      <c r="S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3">
        <f t="shared" si="25"/>
        <v>0</v>
      </c>
      <c r="R167" s="5"/>
      <c r="S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3">
        <f t="shared" si="25"/>
        <v>0</v>
      </c>
      <c r="R168" s="5"/>
      <c r="S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3">
        <f t="shared" si="25"/>
        <v>0</v>
      </c>
      <c r="R169" s="5"/>
      <c r="S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3">
        <f t="shared" si="25"/>
        <v>0</v>
      </c>
      <c r="R170" s="5"/>
      <c r="S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3">
        <f t="shared" si="25"/>
        <v>0</v>
      </c>
      <c r="R171" s="5"/>
      <c r="S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3">
        <f t="shared" si="25"/>
        <v>0</v>
      </c>
      <c r="R172" s="5"/>
      <c r="S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74"/>
      <c r="R173" s="5"/>
      <c r="S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74"/>
      <c r="R174" s="5"/>
      <c r="S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P175" si="26">SUM(E165:E172)</f>
        <v>0</v>
      </c>
      <c r="F175" s="13">
        <f t="shared" si="26"/>
        <v>0</v>
      </c>
      <c r="G175" s="13">
        <f t="shared" si="26"/>
        <v>0</v>
      </c>
      <c r="H175" s="13">
        <f t="shared" si="26"/>
        <v>1</v>
      </c>
      <c r="I175" s="13">
        <f t="shared" si="26"/>
        <v>0</v>
      </c>
      <c r="J175" s="13">
        <f t="shared" si="26"/>
        <v>0</v>
      </c>
      <c r="K175" s="13">
        <f t="shared" si="26"/>
        <v>0</v>
      </c>
      <c r="L175" s="13">
        <f t="shared" si="26"/>
        <v>0</v>
      </c>
      <c r="M175" s="13">
        <f t="shared" si="26"/>
        <v>0</v>
      </c>
      <c r="N175" s="13">
        <f t="shared" si="26"/>
        <v>0</v>
      </c>
      <c r="O175" s="13">
        <f t="shared" si="26"/>
        <v>0</v>
      </c>
      <c r="P175" s="13">
        <f t="shared" si="26"/>
        <v>0</v>
      </c>
      <c r="Q175" s="13">
        <f>SUM(E175:P175)</f>
        <v>1</v>
      </c>
      <c r="R175" s="5"/>
      <c r="S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1"/>
      <c r="S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3">
        <f t="shared" ref="Q177:Q184" si="27">SUM(E177:P177)</f>
        <v>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3">
        <f t="shared" si="27"/>
        <v>0</v>
      </c>
      <c r="R178" s="5"/>
      <c r="S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3">
        <f t="shared" si="27"/>
        <v>1</v>
      </c>
      <c r="R179" s="5"/>
      <c r="S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3">
        <f t="shared" si="27"/>
        <v>0</v>
      </c>
      <c r="R180" s="5"/>
      <c r="S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3">
        <f t="shared" si="27"/>
        <v>0</v>
      </c>
      <c r="R181" s="5"/>
      <c r="S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3">
        <f t="shared" si="27"/>
        <v>0</v>
      </c>
      <c r="R182" s="5"/>
      <c r="S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3">
        <f t="shared" si="27"/>
        <v>0</v>
      </c>
      <c r="R183" s="5"/>
      <c r="S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3">
        <f t="shared" si="27"/>
        <v>0</v>
      </c>
      <c r="R184" s="5"/>
      <c r="S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74"/>
      <c r="R185" s="5"/>
      <c r="S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74"/>
      <c r="R186" s="5"/>
      <c r="S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P187" si="28">SUM(E177:E184)</f>
        <v>0</v>
      </c>
      <c r="F187" s="13">
        <f t="shared" si="28"/>
        <v>1</v>
      </c>
      <c r="G187" s="13">
        <f t="shared" si="28"/>
        <v>0</v>
      </c>
      <c r="H187" s="13">
        <f t="shared" si="28"/>
        <v>0</v>
      </c>
      <c r="I187" s="13">
        <f t="shared" si="28"/>
        <v>0</v>
      </c>
      <c r="J187" s="13">
        <f t="shared" si="28"/>
        <v>0</v>
      </c>
      <c r="K187" s="13">
        <f t="shared" si="28"/>
        <v>0</v>
      </c>
      <c r="L187" s="13">
        <f t="shared" si="28"/>
        <v>0</v>
      </c>
      <c r="M187" s="13">
        <f t="shared" si="28"/>
        <v>0</v>
      </c>
      <c r="N187" s="13">
        <f t="shared" si="28"/>
        <v>0</v>
      </c>
      <c r="O187" s="13">
        <f t="shared" si="28"/>
        <v>0</v>
      </c>
      <c r="P187" s="13">
        <f t="shared" si="28"/>
        <v>0</v>
      </c>
      <c r="Q187" s="13">
        <f>SUM(E187:P187)</f>
        <v>1</v>
      </c>
      <c r="R187" s="1"/>
      <c r="S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Q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3">
        <f t="shared" ref="Q189:Q196" si="29">SUM(E189:P189)</f>
        <v>1</v>
      </c>
      <c r="R189" s="5"/>
      <c r="S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3">
        <f t="shared" si="29"/>
        <v>0</v>
      </c>
      <c r="R190" s="5"/>
      <c r="S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3">
        <f t="shared" si="29"/>
        <v>0</v>
      </c>
      <c r="R191" s="5"/>
      <c r="S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3">
        <f t="shared" si="29"/>
        <v>0</v>
      </c>
      <c r="R192" s="5"/>
      <c r="S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3">
        <f t="shared" si="29"/>
        <v>0</v>
      </c>
      <c r="R193" s="5"/>
      <c r="S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3">
        <f t="shared" si="29"/>
        <v>0</v>
      </c>
      <c r="R194" s="5"/>
      <c r="S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3">
        <f t="shared" si="29"/>
        <v>0</v>
      </c>
      <c r="R195" s="5"/>
      <c r="S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3">
        <f t="shared" si="29"/>
        <v>0</v>
      </c>
      <c r="R196" s="1"/>
      <c r="S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74"/>
      <c r="R197" s="1"/>
      <c r="S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74"/>
      <c r="R198" s="1"/>
      <c r="S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P199" si="30">SUM(E189:E196)</f>
        <v>0</v>
      </c>
      <c r="F199" s="13">
        <f t="shared" si="30"/>
        <v>0</v>
      </c>
      <c r="G199" s="13">
        <f t="shared" si="30"/>
        <v>0</v>
      </c>
      <c r="H199" s="13">
        <f t="shared" si="30"/>
        <v>0</v>
      </c>
      <c r="I199" s="13">
        <f t="shared" si="30"/>
        <v>0</v>
      </c>
      <c r="J199" s="13">
        <f t="shared" si="30"/>
        <v>0</v>
      </c>
      <c r="K199" s="13">
        <f t="shared" si="30"/>
        <v>1</v>
      </c>
      <c r="L199" s="13">
        <f t="shared" si="30"/>
        <v>0</v>
      </c>
      <c r="M199" s="13">
        <f t="shared" si="30"/>
        <v>0</v>
      </c>
      <c r="N199" s="13">
        <f t="shared" si="30"/>
        <v>0</v>
      </c>
      <c r="O199" s="13">
        <f t="shared" si="30"/>
        <v>0</v>
      </c>
      <c r="P199" s="13">
        <f t="shared" si="30"/>
        <v>0</v>
      </c>
      <c r="Q199" s="13">
        <f>SUM(E199:P199)</f>
        <v>1</v>
      </c>
      <c r="R199" s="52"/>
      <c r="S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5"/>
      <c r="S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0.0</v>
      </c>
      <c r="G201" s="19">
        <v>2.0</v>
      </c>
      <c r="H201" s="19">
        <v>1.0</v>
      </c>
      <c r="I201" s="19">
        <v>2.0</v>
      </c>
      <c r="J201" s="19">
        <v>0.0</v>
      </c>
      <c r="K201" s="19">
        <v>0.0</v>
      </c>
      <c r="L201" s="19">
        <v>2.0</v>
      </c>
      <c r="M201" s="19">
        <v>1.0</v>
      </c>
      <c r="N201" s="19">
        <v>0.0</v>
      </c>
      <c r="O201" s="19">
        <v>0.0</v>
      </c>
      <c r="P201" s="19">
        <v>1.0</v>
      </c>
      <c r="Q201" s="13">
        <f t="shared" ref="Q201:Q208" si="31">SUM(E201:P201)</f>
        <v>11</v>
      </c>
      <c r="R201" s="5"/>
      <c r="S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0.0</v>
      </c>
      <c r="G202" s="19">
        <v>2.0</v>
      </c>
      <c r="H202" s="19">
        <v>0.0</v>
      </c>
      <c r="I202" s="19">
        <v>5.0</v>
      </c>
      <c r="J202" s="19">
        <v>1.0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3">
        <f t="shared" si="31"/>
        <v>8</v>
      </c>
      <c r="R202" s="5"/>
      <c r="S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0.0</v>
      </c>
      <c r="H203" s="19">
        <v>2.0</v>
      </c>
      <c r="I203" s="19">
        <v>0.0</v>
      </c>
      <c r="J203" s="19">
        <v>1.0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3">
        <f t="shared" si="31"/>
        <v>4</v>
      </c>
      <c r="R203" s="5"/>
      <c r="S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3">
        <f t="shared" si="31"/>
        <v>1</v>
      </c>
      <c r="R204" s="5"/>
      <c r="S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3">
        <f t="shared" si="31"/>
        <v>1</v>
      </c>
      <c r="R205" s="5"/>
      <c r="S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3">
        <f t="shared" si="31"/>
        <v>1</v>
      </c>
      <c r="R206" s="5"/>
      <c r="S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3">
        <f t="shared" si="31"/>
        <v>0</v>
      </c>
      <c r="R207" s="1"/>
      <c r="S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3">
        <f t="shared" si="31"/>
        <v>1</v>
      </c>
      <c r="R208" s="52"/>
      <c r="S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74"/>
      <c r="R209" s="52"/>
      <c r="S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74"/>
      <c r="R210" s="52"/>
      <c r="S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P211" si="32">SUM(E201:E208)</f>
        <v>3</v>
      </c>
      <c r="F211" s="13">
        <f t="shared" si="32"/>
        <v>1</v>
      </c>
      <c r="G211" s="13">
        <f t="shared" si="32"/>
        <v>4</v>
      </c>
      <c r="H211" s="13">
        <f t="shared" si="32"/>
        <v>4</v>
      </c>
      <c r="I211" s="13">
        <f t="shared" si="32"/>
        <v>7</v>
      </c>
      <c r="J211" s="13">
        <f t="shared" si="32"/>
        <v>2</v>
      </c>
      <c r="K211" s="13">
        <f t="shared" si="32"/>
        <v>1</v>
      </c>
      <c r="L211" s="13">
        <f t="shared" si="32"/>
        <v>2</v>
      </c>
      <c r="M211" s="13">
        <f t="shared" si="32"/>
        <v>1</v>
      </c>
      <c r="N211" s="13">
        <f t="shared" si="32"/>
        <v>0</v>
      </c>
      <c r="O211" s="13">
        <f t="shared" si="32"/>
        <v>0</v>
      </c>
      <c r="P211" s="13">
        <f t="shared" si="32"/>
        <v>2</v>
      </c>
      <c r="Q211" s="13">
        <f>SUM(E211:P211)</f>
        <v>27</v>
      </c>
      <c r="R211" s="5"/>
      <c r="S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5"/>
      <c r="S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3.0</v>
      </c>
      <c r="H213" s="19">
        <v>1.0</v>
      </c>
      <c r="I213" s="19">
        <v>0.0</v>
      </c>
      <c r="J213" s="19">
        <v>1.0</v>
      </c>
      <c r="K213" s="19">
        <v>1.0</v>
      </c>
      <c r="L213" s="19">
        <v>0.0</v>
      </c>
      <c r="M213" s="19">
        <v>0.0</v>
      </c>
      <c r="N213" s="19">
        <v>1.0</v>
      </c>
      <c r="O213" s="19">
        <v>0.0</v>
      </c>
      <c r="P213" s="19">
        <v>1.0</v>
      </c>
      <c r="Q213" s="13">
        <f t="shared" ref="Q213:Q220" si="33">SUM(E213:P213)</f>
        <v>9</v>
      </c>
      <c r="R213" s="5"/>
      <c r="S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2.0</v>
      </c>
      <c r="H214" s="19">
        <v>1.0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1.0</v>
      </c>
      <c r="O214" s="19">
        <v>0.0</v>
      </c>
      <c r="P214" s="19">
        <v>0.0</v>
      </c>
      <c r="Q214" s="13">
        <f t="shared" si="33"/>
        <v>6</v>
      </c>
      <c r="R214" s="5"/>
      <c r="S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1.0</v>
      </c>
      <c r="K215" s="19">
        <v>0.0</v>
      </c>
      <c r="L215" s="19">
        <v>1.0</v>
      </c>
      <c r="M215" s="19">
        <v>1.0</v>
      </c>
      <c r="N215" s="19">
        <v>0.0</v>
      </c>
      <c r="O215" s="19">
        <v>7.0</v>
      </c>
      <c r="P215" s="19">
        <v>15.0</v>
      </c>
      <c r="Q215" s="13">
        <f t="shared" si="33"/>
        <v>25</v>
      </c>
      <c r="R215" s="5"/>
      <c r="S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3">
        <f t="shared" si="33"/>
        <v>0</v>
      </c>
      <c r="R216" s="5"/>
      <c r="S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3">
        <f t="shared" si="33"/>
        <v>0</v>
      </c>
      <c r="R217" s="5"/>
      <c r="S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3">
        <f t="shared" si="33"/>
        <v>0</v>
      </c>
      <c r="R218" s="1"/>
      <c r="S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3">
        <f t="shared" si="33"/>
        <v>1</v>
      </c>
      <c r="R219" s="52"/>
      <c r="S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3">
        <f t="shared" si="33"/>
        <v>0</v>
      </c>
      <c r="R220" s="5"/>
      <c r="S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74"/>
      <c r="R221" s="5"/>
      <c r="S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74"/>
      <c r="R222" s="5"/>
      <c r="S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P223" si="34">SUM(E213:E220)</f>
        <v>1</v>
      </c>
      <c r="F223" s="13">
        <f t="shared" si="34"/>
        <v>1</v>
      </c>
      <c r="G223" s="13">
        <f t="shared" si="34"/>
        <v>5</v>
      </c>
      <c r="H223" s="13">
        <f t="shared" si="34"/>
        <v>2</v>
      </c>
      <c r="I223" s="13">
        <f t="shared" si="34"/>
        <v>0</v>
      </c>
      <c r="J223" s="13">
        <f t="shared" si="34"/>
        <v>3</v>
      </c>
      <c r="K223" s="13">
        <f t="shared" si="34"/>
        <v>2</v>
      </c>
      <c r="L223" s="13">
        <f t="shared" si="34"/>
        <v>1</v>
      </c>
      <c r="M223" s="13">
        <f t="shared" si="34"/>
        <v>1</v>
      </c>
      <c r="N223" s="13">
        <f t="shared" si="34"/>
        <v>2</v>
      </c>
      <c r="O223" s="13">
        <f t="shared" si="34"/>
        <v>7</v>
      </c>
      <c r="P223" s="13">
        <f t="shared" si="34"/>
        <v>16</v>
      </c>
      <c r="Q223" s="13">
        <f>SUM(E223:P223)</f>
        <v>41</v>
      </c>
      <c r="R223" s="5"/>
      <c r="S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5"/>
      <c r="S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3">
        <f t="shared" ref="Q225:Q232" si="35">SUM(E225:P225)</f>
        <v>1</v>
      </c>
      <c r="R225" s="5"/>
      <c r="S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3">
        <f t="shared" si="35"/>
        <v>3</v>
      </c>
      <c r="R226" s="5"/>
      <c r="S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3">
        <f t="shared" si="35"/>
        <v>0</v>
      </c>
      <c r="R227" s="5"/>
      <c r="S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3">
        <f t="shared" si="35"/>
        <v>0</v>
      </c>
      <c r="R228" s="5"/>
      <c r="S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3">
        <f t="shared" si="35"/>
        <v>0</v>
      </c>
      <c r="R229" s="1"/>
      <c r="S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1.0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3">
        <f t="shared" si="35"/>
        <v>1</v>
      </c>
      <c r="R230" s="52"/>
      <c r="S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3">
        <f t="shared" si="35"/>
        <v>0</v>
      </c>
      <c r="R231" s="5"/>
      <c r="S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3">
        <f t="shared" si="35"/>
        <v>0</v>
      </c>
      <c r="R232" s="5"/>
      <c r="S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74"/>
      <c r="R233" s="5"/>
      <c r="S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74"/>
      <c r="R234" s="5"/>
      <c r="S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P235" si="36">SUM(E225:E232)</f>
        <v>4</v>
      </c>
      <c r="F235" s="13">
        <f t="shared" si="36"/>
        <v>1</v>
      </c>
      <c r="G235" s="13">
        <f t="shared" si="36"/>
        <v>0</v>
      </c>
      <c r="H235" s="13">
        <f t="shared" si="36"/>
        <v>0</v>
      </c>
      <c r="I235" s="13">
        <f t="shared" si="36"/>
        <v>0</v>
      </c>
      <c r="J235" s="13">
        <f t="shared" si="36"/>
        <v>0</v>
      </c>
      <c r="K235" s="13">
        <f t="shared" si="36"/>
        <v>0</v>
      </c>
      <c r="L235" s="13">
        <f t="shared" si="36"/>
        <v>0</v>
      </c>
      <c r="M235" s="13">
        <f t="shared" si="36"/>
        <v>0</v>
      </c>
      <c r="N235" s="13">
        <f t="shared" si="36"/>
        <v>0</v>
      </c>
      <c r="O235" s="13">
        <f t="shared" si="36"/>
        <v>0</v>
      </c>
      <c r="P235" s="13">
        <f t="shared" si="36"/>
        <v>0</v>
      </c>
      <c r="Q235" s="13">
        <f>SUM(E235:P235)</f>
        <v>5</v>
      </c>
      <c r="R235" s="5"/>
      <c r="S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5"/>
      <c r="S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1.0</v>
      </c>
      <c r="H237" s="19">
        <v>1.0</v>
      </c>
      <c r="I237" s="19">
        <v>0.0</v>
      </c>
      <c r="J237" s="19">
        <v>1.0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3">
        <f t="shared" ref="Q237:Q244" si="37">SUM(E237:P237)</f>
        <v>4</v>
      </c>
      <c r="R237" s="5"/>
      <c r="S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3.0</v>
      </c>
      <c r="M238" s="19">
        <v>0.0</v>
      </c>
      <c r="N238" s="19">
        <v>0.0</v>
      </c>
      <c r="O238" s="19">
        <v>0.0</v>
      </c>
      <c r="P238" s="19">
        <v>0.0</v>
      </c>
      <c r="Q238" s="13">
        <f t="shared" si="37"/>
        <v>4</v>
      </c>
      <c r="R238" s="5"/>
      <c r="S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1.0</v>
      </c>
      <c r="K239" s="19">
        <v>0.0</v>
      </c>
      <c r="L239" s="19">
        <v>0.0</v>
      </c>
      <c r="M239" s="19">
        <v>3.0</v>
      </c>
      <c r="N239" s="19">
        <v>0.0</v>
      </c>
      <c r="O239" s="19">
        <v>0.0</v>
      </c>
      <c r="P239" s="19">
        <v>0.0</v>
      </c>
      <c r="Q239" s="13">
        <f t="shared" si="37"/>
        <v>4</v>
      </c>
      <c r="R239" s="5"/>
      <c r="S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3">
        <f t="shared" si="37"/>
        <v>2</v>
      </c>
      <c r="R240" s="1"/>
      <c r="S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3">
        <f t="shared" si="37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3">
        <f t="shared" si="37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3">
        <f t="shared" si="37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1.0</v>
      </c>
      <c r="H244" s="19">
        <v>0.0</v>
      </c>
      <c r="I244" s="19">
        <v>4.0</v>
      </c>
      <c r="J244" s="19">
        <v>1.0</v>
      </c>
      <c r="K244" s="19">
        <v>0.0</v>
      </c>
      <c r="L244" s="19">
        <v>0.0</v>
      </c>
      <c r="M244" s="19">
        <v>0.0</v>
      </c>
      <c r="N244" s="19">
        <v>3.0</v>
      </c>
      <c r="O244" s="19">
        <v>1.0</v>
      </c>
      <c r="P244" s="19">
        <v>6.0</v>
      </c>
      <c r="Q244" s="13">
        <f t="shared" si="37"/>
        <v>16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P247" si="38">SUM(E237:E244)</f>
        <v>1</v>
      </c>
      <c r="F247" s="13">
        <f t="shared" si="38"/>
        <v>1</v>
      </c>
      <c r="G247" s="13">
        <f t="shared" si="38"/>
        <v>4</v>
      </c>
      <c r="H247" s="13">
        <f t="shared" si="38"/>
        <v>1</v>
      </c>
      <c r="I247" s="13">
        <f t="shared" si="38"/>
        <v>5</v>
      </c>
      <c r="J247" s="13">
        <f t="shared" si="38"/>
        <v>3</v>
      </c>
      <c r="K247" s="13">
        <f t="shared" si="38"/>
        <v>1</v>
      </c>
      <c r="L247" s="13">
        <f t="shared" si="38"/>
        <v>3</v>
      </c>
      <c r="M247" s="13">
        <f t="shared" si="38"/>
        <v>3</v>
      </c>
      <c r="N247" s="13">
        <f t="shared" si="38"/>
        <v>3</v>
      </c>
      <c r="O247" s="13">
        <f t="shared" si="38"/>
        <v>1</v>
      </c>
      <c r="P247" s="13">
        <f t="shared" si="38"/>
        <v>6</v>
      </c>
      <c r="Q247" s="13">
        <f>SUM(E247:P247)</f>
        <v>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3">
        <f t="shared" ref="Q249:Q255" si="39">SUM(E249:P249)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3">
        <f t="shared" si="39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3">
        <f t="shared" si="39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3">
        <f t="shared" si="39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3">
        <f t="shared" si="3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3">
        <f t="shared" si="39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1.0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3">
        <f t="shared" si="39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P259" si="40">SUM(E249:E255)</f>
        <v>0</v>
      </c>
      <c r="F259" s="13">
        <f t="shared" si="40"/>
        <v>0</v>
      </c>
      <c r="G259" s="13">
        <f t="shared" si="40"/>
        <v>0</v>
      </c>
      <c r="H259" s="13">
        <f t="shared" si="40"/>
        <v>0</v>
      </c>
      <c r="I259" s="13">
        <f t="shared" si="40"/>
        <v>0</v>
      </c>
      <c r="J259" s="13">
        <f t="shared" si="40"/>
        <v>2</v>
      </c>
      <c r="K259" s="13">
        <f t="shared" si="40"/>
        <v>1</v>
      </c>
      <c r="L259" s="13">
        <f t="shared" si="40"/>
        <v>0</v>
      </c>
      <c r="M259" s="13">
        <f t="shared" si="40"/>
        <v>0</v>
      </c>
      <c r="N259" s="13">
        <f t="shared" si="40"/>
        <v>0</v>
      </c>
      <c r="O259" s="13">
        <f t="shared" si="40"/>
        <v>0</v>
      </c>
      <c r="P259" s="13">
        <f t="shared" si="40"/>
        <v>0</v>
      </c>
      <c r="Q259" s="13">
        <f>SUM(E259:P259)</f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v>182.0</v>
      </c>
      <c r="F262" s="19">
        <v>218.0</v>
      </c>
      <c r="G262" s="19">
        <v>212.0</v>
      </c>
      <c r="H262" s="19">
        <v>233.0</v>
      </c>
      <c r="I262" s="19">
        <v>227.0</v>
      </c>
      <c r="J262" s="19">
        <v>227.0</v>
      </c>
      <c r="K262" s="19">
        <v>199.0</v>
      </c>
      <c r="L262" s="19">
        <v>187.0</v>
      </c>
      <c r="M262" s="19">
        <v>143.0</v>
      </c>
      <c r="N262" s="19">
        <v>195.0</v>
      </c>
      <c r="O262" s="19">
        <v>236.0</v>
      </c>
      <c r="P262" s="19">
        <v>227.0</v>
      </c>
      <c r="Q262" s="13">
        <f t="shared" ref="Q262:Q264" si="41">SUM(E262:P262)</f>
        <v>2486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14.0</v>
      </c>
      <c r="F263" s="19">
        <v>11.0</v>
      </c>
      <c r="G263" s="19">
        <v>14.0</v>
      </c>
      <c r="H263" s="19">
        <v>7.0</v>
      </c>
      <c r="I263" s="19">
        <v>19.0</v>
      </c>
      <c r="J263" s="19">
        <v>7.0</v>
      </c>
      <c r="K263" s="19">
        <v>1.0</v>
      </c>
      <c r="L263" s="19">
        <v>5.0</v>
      </c>
      <c r="M263" s="19">
        <v>6.0</v>
      </c>
      <c r="N263" s="19">
        <v>6.0</v>
      </c>
      <c r="O263" s="19">
        <v>7.0</v>
      </c>
      <c r="P263" s="19">
        <v>9.0</v>
      </c>
      <c r="Q263" s="13">
        <f t="shared" si="41"/>
        <v>106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v>196.0</v>
      </c>
      <c r="F264" s="13">
        <v>229.0</v>
      </c>
      <c r="G264" s="13">
        <v>226.0</v>
      </c>
      <c r="H264" s="13">
        <v>240.0</v>
      </c>
      <c r="I264" s="13">
        <v>246.0</v>
      </c>
      <c r="J264" s="13">
        <v>234.0</v>
      </c>
      <c r="K264" s="13">
        <v>200.0</v>
      </c>
      <c r="L264" s="13">
        <v>192.0</v>
      </c>
      <c r="M264" s="13">
        <v>149.0</v>
      </c>
      <c r="N264" s="13">
        <v>201.0</v>
      </c>
      <c r="O264" s="13">
        <v>243.0</v>
      </c>
      <c r="P264" s="13">
        <v>236.0</v>
      </c>
      <c r="Q264" s="13">
        <f t="shared" si="41"/>
        <v>2592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P34">
    <cfRule type="expression" dxfId="0" priority="1">
      <formula>E34&lt;&gt;E64</formula>
    </cfRule>
  </conditionalFormatting>
  <conditionalFormatting sqref="E14:P15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E30&lt;&gt;E47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9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141.0</v>
      </c>
      <c r="G14" s="19">
        <v>138.0</v>
      </c>
      <c r="H14" s="19">
        <v>130.0</v>
      </c>
      <c r="I14" s="19">
        <v>137.0</v>
      </c>
      <c r="J14" s="19">
        <v>101.0</v>
      </c>
      <c r="K14" s="19">
        <v>144.0</v>
      </c>
      <c r="L14" s="19">
        <v>119.0</v>
      </c>
      <c r="M14" s="19">
        <v>133.0</v>
      </c>
      <c r="N14" s="19">
        <v>116.0</v>
      </c>
      <c r="O14" s="19">
        <v>121.0</v>
      </c>
      <c r="P14" s="19">
        <v>145.0</v>
      </c>
      <c r="Q14" s="19">
        <v>148.0</v>
      </c>
      <c r="R14" s="19">
        <v>147.0</v>
      </c>
      <c r="S14" s="19">
        <v>130.0</v>
      </c>
      <c r="T14" s="19">
        <v>136.0</v>
      </c>
      <c r="U14" s="19">
        <v>150.0</v>
      </c>
      <c r="V14" s="19">
        <v>157.0</v>
      </c>
      <c r="W14" s="19">
        <v>148.0</v>
      </c>
      <c r="X14" s="19">
        <v>143.0</v>
      </c>
      <c r="Y14" s="19">
        <v>152.0</v>
      </c>
      <c r="Z14" s="19">
        <v>138.0</v>
      </c>
      <c r="AA14" s="19">
        <v>120.0</v>
      </c>
      <c r="AB14" s="19">
        <v>109.0</v>
      </c>
      <c r="AC14" s="19">
        <v>130.0</v>
      </c>
      <c r="AD14" s="19">
        <v>107.0</v>
      </c>
      <c r="AE14" s="13">
        <f t="shared" ref="AE14:AE16" si="1">SUM(E14:AD14)</f>
        <v>3468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137.0</v>
      </c>
      <c r="G15" s="19">
        <v>148.0</v>
      </c>
      <c r="H15" s="19">
        <v>121.0</v>
      </c>
      <c r="I15" s="19">
        <v>128.0</v>
      </c>
      <c r="J15" s="19">
        <v>105.0</v>
      </c>
      <c r="K15" s="19">
        <v>140.0</v>
      </c>
      <c r="L15" s="19">
        <v>128.0</v>
      </c>
      <c r="M15" s="19">
        <v>134.0</v>
      </c>
      <c r="N15" s="19">
        <v>125.0</v>
      </c>
      <c r="O15" s="19">
        <v>122.0</v>
      </c>
      <c r="P15" s="19">
        <v>133.0</v>
      </c>
      <c r="Q15" s="19">
        <v>150.0</v>
      </c>
      <c r="R15" s="19">
        <v>145.0</v>
      </c>
      <c r="S15" s="19">
        <v>134.0</v>
      </c>
      <c r="T15" s="19">
        <v>141.0</v>
      </c>
      <c r="U15" s="19">
        <v>134.0</v>
      </c>
      <c r="V15" s="19">
        <v>141.0</v>
      </c>
      <c r="W15" s="19">
        <v>143.0</v>
      </c>
      <c r="X15" s="19">
        <v>151.0</v>
      </c>
      <c r="Y15" s="19">
        <v>143.0</v>
      </c>
      <c r="Z15" s="19">
        <v>150.0</v>
      </c>
      <c r="AA15" s="19">
        <v>128.0</v>
      </c>
      <c r="AB15" s="19">
        <v>109.0</v>
      </c>
      <c r="AC15" s="19">
        <v>139.0</v>
      </c>
      <c r="AD15" s="19">
        <v>119.0</v>
      </c>
      <c r="AE15" s="13">
        <f t="shared" si="1"/>
        <v>3478</v>
      </c>
    </row>
    <row r="16" ht="12.75" customHeight="1">
      <c r="A16" s="25"/>
      <c r="B16" s="21"/>
      <c r="C16" s="28"/>
      <c r="D16" s="13" t="s">
        <v>14</v>
      </c>
      <c r="E16" s="13">
        <v>258.0</v>
      </c>
      <c r="F16" s="13">
        <v>278.0</v>
      </c>
      <c r="G16" s="13">
        <v>286.0</v>
      </c>
      <c r="H16" s="13">
        <v>251.0</v>
      </c>
      <c r="I16" s="13">
        <v>265.0</v>
      </c>
      <c r="J16" s="13">
        <v>206.0</v>
      </c>
      <c r="K16" s="13">
        <v>284.0</v>
      </c>
      <c r="L16" s="13">
        <v>247.0</v>
      </c>
      <c r="M16" s="13">
        <v>267.0</v>
      </c>
      <c r="N16" s="13">
        <v>241.0</v>
      </c>
      <c r="O16" s="13">
        <v>243.0</v>
      </c>
      <c r="P16" s="13">
        <v>278.0</v>
      </c>
      <c r="Q16" s="13">
        <v>298.0</v>
      </c>
      <c r="R16" s="13">
        <v>292.0</v>
      </c>
      <c r="S16" s="13">
        <v>264.0</v>
      </c>
      <c r="T16" s="13">
        <v>277.0</v>
      </c>
      <c r="U16" s="13">
        <v>284.0</v>
      </c>
      <c r="V16" s="13">
        <v>298.0</v>
      </c>
      <c r="W16" s="13">
        <v>291.0</v>
      </c>
      <c r="X16" s="13">
        <v>294.0</v>
      </c>
      <c r="Y16" s="13">
        <v>295.0</v>
      </c>
      <c r="Z16" s="13">
        <v>288.0</v>
      </c>
      <c r="AA16" s="13">
        <v>248.0</v>
      </c>
      <c r="AB16" s="13">
        <v>218.0</v>
      </c>
      <c r="AC16" s="13">
        <v>269.0</v>
      </c>
      <c r="AD16" s="13">
        <v>226.0</v>
      </c>
      <c r="AE16" s="13">
        <f t="shared" si="1"/>
        <v>6946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106.0</v>
      </c>
      <c r="G19" s="19">
        <v>117.0</v>
      </c>
      <c r="H19" s="19">
        <v>94.0</v>
      </c>
      <c r="I19" s="19">
        <v>103.0</v>
      </c>
      <c r="J19" s="19">
        <v>80.0</v>
      </c>
      <c r="K19" s="19">
        <v>116.0</v>
      </c>
      <c r="L19" s="19">
        <v>89.0</v>
      </c>
      <c r="M19" s="19">
        <v>90.0</v>
      </c>
      <c r="N19" s="19">
        <v>93.0</v>
      </c>
      <c r="O19" s="19">
        <v>93.0</v>
      </c>
      <c r="P19" s="19">
        <v>109.0</v>
      </c>
      <c r="Q19" s="19">
        <v>114.0</v>
      </c>
      <c r="R19" s="19">
        <v>118.0</v>
      </c>
      <c r="S19" s="19">
        <v>96.0</v>
      </c>
      <c r="T19" s="19">
        <v>102.0</v>
      </c>
      <c r="U19" s="19">
        <v>106.0</v>
      </c>
      <c r="V19" s="19">
        <v>125.0</v>
      </c>
      <c r="W19" s="19">
        <v>119.0</v>
      </c>
      <c r="X19" s="19">
        <v>113.0</v>
      </c>
      <c r="Y19" s="19">
        <v>112.0</v>
      </c>
      <c r="Z19" s="19">
        <v>96.0</v>
      </c>
      <c r="AA19" s="19">
        <v>91.0</v>
      </c>
      <c r="AB19" s="19">
        <v>89.0</v>
      </c>
      <c r="AC19" s="19">
        <v>107.0</v>
      </c>
      <c r="AD19" s="19">
        <v>84.0</v>
      </c>
      <c r="AE19" s="13">
        <f t="shared" ref="AE19:AE30" si="2">SUM(E19:AD19)</f>
        <v>2662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106.0</v>
      </c>
      <c r="G20" s="19">
        <v>117.0</v>
      </c>
      <c r="H20" s="19">
        <v>98.0</v>
      </c>
      <c r="I20" s="19">
        <v>105.0</v>
      </c>
      <c r="J20" s="19">
        <v>85.0</v>
      </c>
      <c r="K20" s="19">
        <v>119.0</v>
      </c>
      <c r="L20" s="19">
        <v>107.0</v>
      </c>
      <c r="M20" s="19">
        <v>110.0</v>
      </c>
      <c r="N20" s="19">
        <v>98.0</v>
      </c>
      <c r="O20" s="19">
        <v>100.0</v>
      </c>
      <c r="P20" s="19">
        <v>102.0</v>
      </c>
      <c r="Q20" s="19">
        <v>126.0</v>
      </c>
      <c r="R20" s="19">
        <v>114.0</v>
      </c>
      <c r="S20" s="19">
        <v>106.0</v>
      </c>
      <c r="T20" s="19">
        <v>106.0</v>
      </c>
      <c r="U20" s="19">
        <v>116.0</v>
      </c>
      <c r="V20" s="19">
        <v>110.0</v>
      </c>
      <c r="W20" s="19">
        <v>113.0</v>
      </c>
      <c r="X20" s="19">
        <v>107.0</v>
      </c>
      <c r="Y20" s="19">
        <v>101.0</v>
      </c>
      <c r="Z20" s="19">
        <v>113.0</v>
      </c>
      <c r="AA20" s="19">
        <v>97.0</v>
      </c>
      <c r="AB20" s="19">
        <v>86.0</v>
      </c>
      <c r="AC20" s="19">
        <v>112.0</v>
      </c>
      <c r="AD20" s="19">
        <v>96.0</v>
      </c>
      <c r="AE20" s="13">
        <f t="shared" si="2"/>
        <v>2758</v>
      </c>
    </row>
    <row r="21" ht="12.75" customHeight="1">
      <c r="A21" s="35"/>
      <c r="B21" s="28"/>
      <c r="C21" s="36"/>
      <c r="D21" s="13" t="s">
        <v>14</v>
      </c>
      <c r="E21" s="13">
        <v>208.0</v>
      </c>
      <c r="F21" s="13">
        <v>212.0</v>
      </c>
      <c r="G21" s="13">
        <v>234.0</v>
      </c>
      <c r="H21" s="13">
        <v>192.0</v>
      </c>
      <c r="I21" s="13">
        <v>208.0</v>
      </c>
      <c r="J21" s="13">
        <v>165.0</v>
      </c>
      <c r="K21" s="13">
        <v>235.0</v>
      </c>
      <c r="L21" s="13">
        <v>196.0</v>
      </c>
      <c r="M21" s="13">
        <v>200.0</v>
      </c>
      <c r="N21" s="13">
        <v>191.0</v>
      </c>
      <c r="O21" s="13">
        <v>193.0</v>
      </c>
      <c r="P21" s="13">
        <v>211.0</v>
      </c>
      <c r="Q21" s="13">
        <v>240.0</v>
      </c>
      <c r="R21" s="13">
        <v>232.0</v>
      </c>
      <c r="S21" s="13">
        <f>SUM(S19:S20)</f>
        <v>202</v>
      </c>
      <c r="T21" s="13">
        <v>208.0</v>
      </c>
      <c r="U21" s="13">
        <v>222.0</v>
      </c>
      <c r="V21" s="13">
        <v>235.0</v>
      </c>
      <c r="W21" s="13">
        <v>232.0</v>
      </c>
      <c r="X21" s="13">
        <v>220.0</v>
      </c>
      <c r="Y21" s="13">
        <v>213.0</v>
      </c>
      <c r="Z21" s="13">
        <v>209.0</v>
      </c>
      <c r="AA21" s="13">
        <v>188.0</v>
      </c>
      <c r="AB21" s="13">
        <v>175.0</v>
      </c>
      <c r="AC21" s="13">
        <v>219.0</v>
      </c>
      <c r="AD21" s="13">
        <v>180.0</v>
      </c>
      <c r="AE21" s="13">
        <f t="shared" si="2"/>
        <v>5420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2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2"/>
        <v>6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1.0</v>
      </c>
      <c r="K24" s="13">
        <v>2.0</v>
      </c>
      <c r="L24" s="13">
        <v>0.0</v>
      </c>
      <c r="M24" s="13">
        <v>0.0</v>
      </c>
      <c r="N24" s="13">
        <v>1.0</v>
      </c>
      <c r="O24" s="13">
        <v>1.0</v>
      </c>
      <c r="P24" s="13">
        <v>0.0</v>
      </c>
      <c r="Q24" s="13">
        <v>0.0</v>
      </c>
      <c r="R24" s="13">
        <v>2.0</v>
      </c>
      <c r="S24" s="13">
        <f>SUM(S22:S23)</f>
        <v>1</v>
      </c>
      <c r="T24" s="13">
        <v>0.0</v>
      </c>
      <c r="U24" s="13">
        <v>2.0</v>
      </c>
      <c r="V24" s="13">
        <v>1.0</v>
      </c>
      <c r="W24" s="13">
        <v>1.0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f t="shared" si="2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4.0</v>
      </c>
      <c r="N25" s="19">
        <v>1.0</v>
      </c>
      <c r="O25" s="19">
        <v>0.0</v>
      </c>
      <c r="P25" s="19">
        <v>1.0</v>
      </c>
      <c r="Q25" s="19">
        <v>0.0</v>
      </c>
      <c r="R25" s="19">
        <v>2.0</v>
      </c>
      <c r="S25" s="19">
        <v>2.0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3">
        <f t="shared" si="2"/>
        <v>18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0.0</v>
      </c>
      <c r="S26" s="19">
        <v>4.0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1.0</v>
      </c>
      <c r="AE26" s="13">
        <f t="shared" si="2"/>
        <v>17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2.0</v>
      </c>
      <c r="G27" s="13">
        <v>2.0</v>
      </c>
      <c r="H27" s="13">
        <v>0.0</v>
      </c>
      <c r="I27" s="13">
        <v>3.0</v>
      </c>
      <c r="J27" s="13">
        <v>0.0</v>
      </c>
      <c r="K27" s="13">
        <v>0.0</v>
      </c>
      <c r="L27" s="13">
        <v>0.0</v>
      </c>
      <c r="M27" s="13">
        <v>5.0</v>
      </c>
      <c r="N27" s="13">
        <v>1.0</v>
      </c>
      <c r="O27" s="13">
        <v>1.0</v>
      </c>
      <c r="P27" s="13">
        <v>1.0</v>
      </c>
      <c r="Q27" s="13">
        <v>0.0</v>
      </c>
      <c r="R27" s="13">
        <v>2.0</v>
      </c>
      <c r="S27" s="13">
        <f>SUM(S25:S26)</f>
        <v>6</v>
      </c>
      <c r="T27" s="13">
        <v>1.0</v>
      </c>
      <c r="U27" s="13">
        <v>0.0</v>
      </c>
      <c r="V27" s="13">
        <v>1.0</v>
      </c>
      <c r="W27" s="13">
        <v>1.0</v>
      </c>
      <c r="X27" s="13">
        <v>0.0</v>
      </c>
      <c r="Y27" s="13">
        <v>1.0</v>
      </c>
      <c r="Z27" s="13">
        <v>4.0</v>
      </c>
      <c r="AA27" s="13">
        <v>0.0</v>
      </c>
      <c r="AB27" s="13">
        <v>0.0</v>
      </c>
      <c r="AC27" s="13">
        <v>1.0</v>
      </c>
      <c r="AD27" s="13">
        <v>1.0</v>
      </c>
      <c r="AE27" s="13">
        <f t="shared" si="2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101.0</v>
      </c>
      <c r="F28" s="13">
        <v>107.0</v>
      </c>
      <c r="G28" s="13">
        <v>118.0</v>
      </c>
      <c r="H28" s="13">
        <v>94.0</v>
      </c>
      <c r="I28" s="13">
        <v>104.0</v>
      </c>
      <c r="J28" s="13">
        <v>81.0</v>
      </c>
      <c r="K28" s="13">
        <v>117.0</v>
      </c>
      <c r="L28" s="13">
        <v>89.0</v>
      </c>
      <c r="M28" s="13">
        <v>94.0</v>
      </c>
      <c r="N28" s="13">
        <v>94.0</v>
      </c>
      <c r="O28" s="13">
        <v>93.0</v>
      </c>
      <c r="P28" s="13">
        <v>110.0</v>
      </c>
      <c r="Q28" s="13">
        <v>114.0</v>
      </c>
      <c r="R28" s="13">
        <v>121.0</v>
      </c>
      <c r="S28" s="13">
        <f t="shared" ref="S28:S29" si="3">SUM(S19,S22,S25)</f>
        <v>99</v>
      </c>
      <c r="T28" s="13">
        <v>102.0</v>
      </c>
      <c r="U28" s="13">
        <v>108.0</v>
      </c>
      <c r="V28" s="13">
        <v>125.0</v>
      </c>
      <c r="W28" s="13">
        <v>120.0</v>
      </c>
      <c r="X28" s="13">
        <v>113.0</v>
      </c>
      <c r="Y28" s="13">
        <v>112.0</v>
      </c>
      <c r="Z28" s="13">
        <v>98.0</v>
      </c>
      <c r="AA28" s="13">
        <v>91.0</v>
      </c>
      <c r="AB28" s="13">
        <v>89.0</v>
      </c>
      <c r="AC28" s="13">
        <v>108.0</v>
      </c>
      <c r="AD28" s="13">
        <v>84.0</v>
      </c>
      <c r="AE28" s="13">
        <f t="shared" si="2"/>
        <v>2686</v>
      </c>
    </row>
    <row r="29" ht="12.75" customHeight="1">
      <c r="A29" s="35"/>
      <c r="B29" s="27"/>
      <c r="C29" s="34"/>
      <c r="D29" s="13" t="s">
        <v>13</v>
      </c>
      <c r="E29" s="13">
        <v>109.0</v>
      </c>
      <c r="F29" s="13">
        <v>107.0</v>
      </c>
      <c r="G29" s="13">
        <v>118.0</v>
      </c>
      <c r="H29" s="13">
        <v>98.0</v>
      </c>
      <c r="I29" s="13">
        <v>107.0</v>
      </c>
      <c r="J29" s="13">
        <v>85.0</v>
      </c>
      <c r="K29" s="13">
        <v>120.0</v>
      </c>
      <c r="L29" s="13">
        <v>107.0</v>
      </c>
      <c r="M29" s="13">
        <v>111.0</v>
      </c>
      <c r="N29" s="13">
        <v>99.0</v>
      </c>
      <c r="O29" s="13">
        <v>102.0</v>
      </c>
      <c r="P29" s="13">
        <v>102.0</v>
      </c>
      <c r="Q29" s="13">
        <v>126.0</v>
      </c>
      <c r="R29" s="13">
        <v>115.0</v>
      </c>
      <c r="S29" s="13">
        <f t="shared" si="3"/>
        <v>110</v>
      </c>
      <c r="T29" s="13">
        <v>107.0</v>
      </c>
      <c r="U29" s="13">
        <v>116.0</v>
      </c>
      <c r="V29" s="13">
        <v>112.0</v>
      </c>
      <c r="W29" s="13">
        <v>114.0</v>
      </c>
      <c r="X29" s="13">
        <v>107.0</v>
      </c>
      <c r="Y29" s="13">
        <v>102.0</v>
      </c>
      <c r="Z29" s="13">
        <v>115.0</v>
      </c>
      <c r="AA29" s="13">
        <v>97.0</v>
      </c>
      <c r="AB29" s="13">
        <v>86.0</v>
      </c>
      <c r="AC29" s="13">
        <v>112.0</v>
      </c>
      <c r="AD29" s="13">
        <v>97.0</v>
      </c>
      <c r="AE29" s="13">
        <f t="shared" si="2"/>
        <v>2781</v>
      </c>
    </row>
    <row r="30" ht="12.75" customHeight="1">
      <c r="A30" s="35"/>
      <c r="B30" s="28"/>
      <c r="C30" s="36"/>
      <c r="D30" s="13" t="s">
        <v>14</v>
      </c>
      <c r="E30" s="13">
        <v>210.0</v>
      </c>
      <c r="F30" s="13">
        <v>214.0</v>
      </c>
      <c r="G30" s="13">
        <v>236.0</v>
      </c>
      <c r="H30" s="13">
        <v>192.0</v>
      </c>
      <c r="I30" s="13">
        <v>211.0</v>
      </c>
      <c r="J30" s="13">
        <v>166.0</v>
      </c>
      <c r="K30" s="13">
        <v>237.0</v>
      </c>
      <c r="L30" s="13">
        <v>196.0</v>
      </c>
      <c r="M30" s="13">
        <v>205.0</v>
      </c>
      <c r="N30" s="13">
        <v>193.0</v>
      </c>
      <c r="O30" s="13">
        <v>195.0</v>
      </c>
      <c r="P30" s="13">
        <v>212.0</v>
      </c>
      <c r="Q30" s="13">
        <v>240.0</v>
      </c>
      <c r="R30" s="13">
        <v>236.0</v>
      </c>
      <c r="S30" s="13">
        <f>SUM(S28:S29)</f>
        <v>209</v>
      </c>
      <c r="T30" s="13">
        <v>209.0</v>
      </c>
      <c r="U30" s="13">
        <v>224.0</v>
      </c>
      <c r="V30" s="13">
        <v>237.0</v>
      </c>
      <c r="W30" s="13">
        <v>234.0</v>
      </c>
      <c r="X30" s="13">
        <v>220.0</v>
      </c>
      <c r="Y30" s="13">
        <v>214.0</v>
      </c>
      <c r="Z30" s="13">
        <v>213.0</v>
      </c>
      <c r="AA30" s="13">
        <v>188.0</v>
      </c>
      <c r="AB30" s="13">
        <v>175.0</v>
      </c>
      <c r="AC30" s="13">
        <v>220.0</v>
      </c>
      <c r="AD30" s="13">
        <v>181.0</v>
      </c>
      <c r="AE30" s="13">
        <f t="shared" si="2"/>
        <v>5467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8"/>
    </row>
    <row r="33" ht="12.75" customHeight="1">
      <c r="A33" s="19">
        <v>1.0</v>
      </c>
      <c r="B33" s="20" t="s">
        <v>27</v>
      </c>
      <c r="C33" s="15"/>
      <c r="D33" s="16"/>
      <c r="E33" s="19">
        <v>264.0</v>
      </c>
      <c r="F33" s="19">
        <v>284.0</v>
      </c>
      <c r="G33" s="19">
        <v>262.0</v>
      </c>
      <c r="H33" s="19">
        <v>252.0</v>
      </c>
      <c r="I33" s="19">
        <v>271.0</v>
      </c>
      <c r="J33" s="19">
        <v>212.0</v>
      </c>
      <c r="K33" s="19">
        <v>290.0</v>
      </c>
      <c r="L33" s="19">
        <v>252.0</v>
      </c>
      <c r="M33" s="19">
        <v>273.0</v>
      </c>
      <c r="N33" s="19">
        <v>246.0</v>
      </c>
      <c r="O33" s="19">
        <v>248.0</v>
      </c>
      <c r="P33" s="19">
        <v>284.0</v>
      </c>
      <c r="Q33" s="19">
        <v>304.0</v>
      </c>
      <c r="R33" s="19">
        <v>298.0</v>
      </c>
      <c r="S33" s="19">
        <v>270.0</v>
      </c>
      <c r="T33" s="19">
        <v>283.0</v>
      </c>
      <c r="U33" s="19">
        <v>290.0</v>
      </c>
      <c r="V33" s="19">
        <v>304.0</v>
      </c>
      <c r="W33" s="19">
        <v>297.0</v>
      </c>
      <c r="X33" s="19">
        <v>300.0</v>
      </c>
      <c r="Y33" s="19">
        <v>292.0</v>
      </c>
      <c r="Z33" s="19">
        <v>294.0</v>
      </c>
      <c r="AA33" s="19">
        <v>253.0</v>
      </c>
      <c r="AB33" s="19">
        <v>223.0</v>
      </c>
      <c r="AC33" s="19">
        <v>275.0</v>
      </c>
      <c r="AD33" s="19">
        <v>253.0</v>
      </c>
      <c r="AE33" s="13">
        <f t="shared" ref="AE33:AE36" si="4">SUM(E33:AD33)</f>
        <v>7074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214.0</v>
      </c>
      <c r="G34" s="13">
        <v>236.0</v>
      </c>
      <c r="H34" s="13">
        <v>192.0</v>
      </c>
      <c r="I34" s="13">
        <v>211.0</v>
      </c>
      <c r="J34" s="13">
        <v>166.0</v>
      </c>
      <c r="K34" s="13">
        <v>237.0</v>
      </c>
      <c r="L34" s="13">
        <v>196.0</v>
      </c>
      <c r="M34" s="13">
        <v>205.0</v>
      </c>
      <c r="N34" s="13">
        <v>193.0</v>
      </c>
      <c r="O34" s="13">
        <v>195.0</v>
      </c>
      <c r="P34" s="13">
        <v>212.0</v>
      </c>
      <c r="Q34" s="13">
        <v>240.0</v>
      </c>
      <c r="R34" s="13">
        <v>236.0</v>
      </c>
      <c r="S34" s="13">
        <v>209.0</v>
      </c>
      <c r="T34" s="13">
        <v>209.0</v>
      </c>
      <c r="U34" s="13">
        <v>224.0</v>
      </c>
      <c r="V34" s="13">
        <v>237.0</v>
      </c>
      <c r="W34" s="13">
        <v>234.0</v>
      </c>
      <c r="X34" s="13">
        <v>220.0</v>
      </c>
      <c r="Y34" s="13">
        <v>214.0</v>
      </c>
      <c r="Z34" s="13">
        <v>213.0</v>
      </c>
      <c r="AA34" s="13">
        <v>188.0</v>
      </c>
      <c r="AB34" s="13">
        <v>175.0</v>
      </c>
      <c r="AC34" s="13">
        <v>220.0</v>
      </c>
      <c r="AD34" s="13">
        <v>181.0</v>
      </c>
      <c r="AE34" s="13">
        <f t="shared" si="4"/>
        <v>5467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2.0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3.0</v>
      </c>
      <c r="AC35" s="19">
        <v>0.0</v>
      </c>
      <c r="AD35" s="19">
        <v>0.0</v>
      </c>
      <c r="AE35" s="13">
        <f t="shared" si="4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v>54.0</v>
      </c>
      <c r="F36" s="13">
        <v>70.0</v>
      </c>
      <c r="G36" s="13">
        <v>24.0</v>
      </c>
      <c r="H36" s="13">
        <v>59.0</v>
      </c>
      <c r="I36" s="13">
        <v>60.0</v>
      </c>
      <c r="J36" s="13">
        <v>46.0</v>
      </c>
      <c r="K36" s="13">
        <v>53.0</v>
      </c>
      <c r="L36" s="13">
        <v>56.0</v>
      </c>
      <c r="M36" s="13">
        <v>68.0</v>
      </c>
      <c r="N36" s="13">
        <v>52.0</v>
      </c>
      <c r="O36" s="13">
        <v>53.0</v>
      </c>
      <c r="P36" s="13">
        <v>70.0</v>
      </c>
      <c r="Q36" s="13">
        <v>63.0</v>
      </c>
      <c r="R36" s="13">
        <v>62.0</v>
      </c>
      <c r="S36" s="13">
        <v>61.0</v>
      </c>
      <c r="T36" s="13">
        <v>74.0</v>
      </c>
      <c r="U36" s="13">
        <v>66.0</v>
      </c>
      <c r="V36" s="13">
        <v>67.0</v>
      </c>
      <c r="W36" s="13">
        <v>63.0</v>
      </c>
      <c r="X36" s="13">
        <v>80.0</v>
      </c>
      <c r="Y36" s="13">
        <v>77.0</v>
      </c>
      <c r="Z36" s="13">
        <v>81.0</v>
      </c>
      <c r="AA36" s="13">
        <v>65.0</v>
      </c>
      <c r="AB36" s="13">
        <v>45.0</v>
      </c>
      <c r="AC36" s="13">
        <v>55.0</v>
      </c>
      <c r="AD36" s="13">
        <v>72.0</v>
      </c>
      <c r="AE36" s="13">
        <f t="shared" si="4"/>
        <v>1596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5.0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3">
        <f t="shared" ref="AE39:AE41" si="5">SUM(E39:AD39)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4.0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3">
        <f t="shared" si="5"/>
        <v>4</v>
      </c>
    </row>
    <row r="41" ht="12.75" customHeight="1">
      <c r="A41" s="41"/>
      <c r="B41" s="44"/>
      <c r="C41" s="28"/>
      <c r="D41" s="13" t="s">
        <v>14</v>
      </c>
      <c r="E41" s="13">
        <v>1.0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9.0</v>
      </c>
      <c r="Q41" s="13">
        <v>0.0</v>
      </c>
      <c r="R41" s="13">
        <v>0.0</v>
      </c>
      <c r="S41" s="13">
        <v>0.0</v>
      </c>
      <c r="T41" s="13">
        <f t="shared" ref="T41:AD41" si="6">SUM(T39:T40)</f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0</v>
      </c>
      <c r="Y41" s="13">
        <f t="shared" si="6"/>
        <v>0</v>
      </c>
      <c r="Z41" s="13">
        <f t="shared" si="6"/>
        <v>0</v>
      </c>
      <c r="AA41" s="13">
        <f t="shared" si="6"/>
        <v>0</v>
      </c>
      <c r="AB41" s="13">
        <f t="shared" si="6"/>
        <v>0</v>
      </c>
      <c r="AC41" s="13">
        <f t="shared" si="6"/>
        <v>0</v>
      </c>
      <c r="AD41" s="13">
        <f t="shared" si="6"/>
        <v>0</v>
      </c>
      <c r="AE41" s="13">
        <f t="shared" si="5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1.0</v>
      </c>
      <c r="G45" s="19">
        <v>4.0</v>
      </c>
      <c r="H45" s="19">
        <v>1.0</v>
      </c>
      <c r="I45" s="19">
        <v>5.0</v>
      </c>
      <c r="J45" s="19">
        <v>1.0</v>
      </c>
      <c r="K45" s="19">
        <v>5.0</v>
      </c>
      <c r="L45" s="19">
        <v>11.0</v>
      </c>
      <c r="M45" s="19">
        <v>9.0</v>
      </c>
      <c r="N45" s="19">
        <v>6.0</v>
      </c>
      <c r="O45" s="19">
        <v>6.0</v>
      </c>
      <c r="P45" s="19">
        <v>5.0</v>
      </c>
      <c r="Q45" s="19">
        <v>2.0</v>
      </c>
      <c r="R45" s="19">
        <v>5.0</v>
      </c>
      <c r="S45" s="19">
        <v>15.0</v>
      </c>
      <c r="T45" s="19">
        <v>10.0</v>
      </c>
      <c r="U45" s="19">
        <v>15.0</v>
      </c>
      <c r="V45" s="19">
        <v>4.0</v>
      </c>
      <c r="W45" s="19">
        <v>3.0</v>
      </c>
      <c r="X45" s="19">
        <v>6.0</v>
      </c>
      <c r="Y45" s="19">
        <v>7.0</v>
      </c>
      <c r="Z45" s="19">
        <v>6.0</v>
      </c>
      <c r="AA45" s="19">
        <v>16.0</v>
      </c>
      <c r="AB45" s="19">
        <v>3.0</v>
      </c>
      <c r="AC45" s="19">
        <v>17.0</v>
      </c>
      <c r="AD45" s="19">
        <v>1.0</v>
      </c>
      <c r="AE45" s="13">
        <f t="shared" ref="AE45:AE52" si="7">SUM(E45:AD45)</f>
        <v>168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1.0</v>
      </c>
      <c r="F46" s="19">
        <v>4.0</v>
      </c>
      <c r="G46" s="19">
        <v>11.0</v>
      </c>
      <c r="H46" s="19">
        <v>5.0</v>
      </c>
      <c r="I46" s="19">
        <v>14.0</v>
      </c>
      <c r="J46" s="19">
        <v>6.0</v>
      </c>
      <c r="K46" s="19">
        <v>9.0</v>
      </c>
      <c r="L46" s="19">
        <v>37.0</v>
      </c>
      <c r="M46" s="19">
        <v>68.0</v>
      </c>
      <c r="N46" s="19">
        <v>59.0</v>
      </c>
      <c r="O46" s="19">
        <v>38.0</v>
      </c>
      <c r="P46" s="19">
        <v>1.0</v>
      </c>
      <c r="Q46" s="19">
        <v>9.0</v>
      </c>
      <c r="R46" s="19">
        <v>25.0</v>
      </c>
      <c r="S46" s="19">
        <v>42.0</v>
      </c>
      <c r="T46" s="19">
        <v>42.0</v>
      </c>
      <c r="U46" s="19">
        <v>39.0</v>
      </c>
      <c r="V46" s="19">
        <v>6.0</v>
      </c>
      <c r="W46" s="19">
        <v>7.0</v>
      </c>
      <c r="X46" s="19">
        <v>11.0</v>
      </c>
      <c r="Y46" s="19">
        <v>12.0</v>
      </c>
      <c r="Z46" s="19">
        <v>39.0</v>
      </c>
      <c r="AA46" s="19">
        <v>63.0</v>
      </c>
      <c r="AB46" s="19">
        <v>9.0</v>
      </c>
      <c r="AC46" s="19">
        <v>48.0</v>
      </c>
      <c r="AD46" s="19">
        <v>16.0</v>
      </c>
      <c r="AE46" s="13">
        <f t="shared" si="7"/>
        <v>621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1.0</v>
      </c>
      <c r="H47" s="19">
        <v>1.0</v>
      </c>
      <c r="I47" s="19">
        <v>2.0</v>
      </c>
      <c r="J47" s="19">
        <v>1.0</v>
      </c>
      <c r="K47" s="19">
        <v>2.0</v>
      </c>
      <c r="L47" s="19">
        <v>4.0</v>
      </c>
      <c r="M47" s="19">
        <v>6.0</v>
      </c>
      <c r="N47" s="19">
        <v>0.0</v>
      </c>
      <c r="O47" s="19">
        <v>1.0</v>
      </c>
      <c r="P47" s="19">
        <v>1.0</v>
      </c>
      <c r="Q47" s="19">
        <v>2.0</v>
      </c>
      <c r="R47" s="19">
        <v>2.0</v>
      </c>
      <c r="S47" s="19">
        <v>1.0</v>
      </c>
      <c r="T47" s="19">
        <v>3.0</v>
      </c>
      <c r="U47" s="19">
        <v>5.0</v>
      </c>
      <c r="V47" s="19">
        <v>1.0</v>
      </c>
      <c r="W47" s="19">
        <v>0.0</v>
      </c>
      <c r="X47" s="19">
        <v>2.0</v>
      </c>
      <c r="Y47" s="19">
        <v>5.0</v>
      </c>
      <c r="Z47" s="19">
        <v>7.0</v>
      </c>
      <c r="AA47" s="19">
        <v>5.0</v>
      </c>
      <c r="AB47" s="19">
        <v>0.0</v>
      </c>
      <c r="AC47" s="19">
        <v>3.0</v>
      </c>
      <c r="AD47" s="19">
        <v>10.0</v>
      </c>
      <c r="AE47" s="13">
        <f t="shared" si="7"/>
        <v>67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1.0</v>
      </c>
      <c r="I48" s="19">
        <v>2.0</v>
      </c>
      <c r="J48" s="19">
        <v>0.0</v>
      </c>
      <c r="K48" s="19">
        <v>1.0</v>
      </c>
      <c r="L48" s="19">
        <v>1.0</v>
      </c>
      <c r="M48" s="19">
        <v>1.0</v>
      </c>
      <c r="N48" s="19">
        <v>0.0</v>
      </c>
      <c r="O48" s="19">
        <v>2.0</v>
      </c>
      <c r="P48" s="19">
        <v>0.0</v>
      </c>
      <c r="Q48" s="19">
        <v>0.0</v>
      </c>
      <c r="R48" s="19">
        <v>1.0</v>
      </c>
      <c r="S48" s="19">
        <v>2.0</v>
      </c>
      <c r="T48" s="19">
        <v>0.0</v>
      </c>
      <c r="U48" s="19">
        <v>0.0</v>
      </c>
      <c r="V48" s="19">
        <v>1.0</v>
      </c>
      <c r="W48" s="19">
        <v>1.0</v>
      </c>
      <c r="X48" s="19">
        <v>1.0</v>
      </c>
      <c r="Y48" s="19">
        <v>0.0</v>
      </c>
      <c r="Z48" s="19">
        <v>1.0</v>
      </c>
      <c r="AA48" s="19">
        <v>6.0</v>
      </c>
      <c r="AB48" s="19">
        <v>1.0</v>
      </c>
      <c r="AC48" s="19">
        <v>1.0</v>
      </c>
      <c r="AD48" s="19">
        <v>1.0</v>
      </c>
      <c r="AE48" s="13">
        <f t="shared" si="7"/>
        <v>26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2.0</v>
      </c>
      <c r="M49" s="19">
        <v>1.0</v>
      </c>
      <c r="N49" s="19">
        <v>2.0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2.0</v>
      </c>
      <c r="V49" s="19">
        <v>0.0</v>
      </c>
      <c r="W49" s="19">
        <v>0.0</v>
      </c>
      <c r="X49" s="19">
        <v>0.0</v>
      </c>
      <c r="Y49" s="19">
        <v>1.0</v>
      </c>
      <c r="Z49" s="19">
        <v>1.0</v>
      </c>
      <c r="AA49" s="19">
        <v>0.0</v>
      </c>
      <c r="AB49" s="19">
        <v>1.0</v>
      </c>
      <c r="AC49" s="19">
        <v>0.0</v>
      </c>
      <c r="AD49" s="19">
        <v>1.0</v>
      </c>
      <c r="AE49" s="13">
        <f t="shared" si="7"/>
        <v>15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3.0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1.0</v>
      </c>
      <c r="X50" s="19">
        <v>0.0</v>
      </c>
      <c r="Y50" s="19">
        <v>0.0</v>
      </c>
      <c r="Z50" s="19">
        <v>1.0</v>
      </c>
      <c r="AA50" s="19">
        <v>2.0</v>
      </c>
      <c r="AB50" s="19">
        <v>0.0</v>
      </c>
      <c r="AC50" s="19">
        <v>3.0</v>
      </c>
      <c r="AD50" s="19">
        <v>0.0</v>
      </c>
      <c r="AE50" s="13">
        <f t="shared" si="7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0.0</v>
      </c>
      <c r="O51" s="19">
        <v>2.0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9">
        <v>0.0</v>
      </c>
      <c r="W51" s="19">
        <v>0.0</v>
      </c>
      <c r="X51" s="19">
        <v>0.0</v>
      </c>
      <c r="Y51" s="19">
        <v>1.0</v>
      </c>
      <c r="Z51" s="19">
        <v>3.0</v>
      </c>
      <c r="AA51" s="19">
        <v>0.0</v>
      </c>
      <c r="AB51" s="19">
        <v>0.0</v>
      </c>
      <c r="AC51" s="19">
        <v>1.0</v>
      </c>
      <c r="AD51" s="19">
        <v>0.0</v>
      </c>
      <c r="AE51" s="13">
        <f t="shared" si="7"/>
        <v>11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3">
        <f t="shared" si="7"/>
        <v>2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D55" si="8">SUM(E45:E52)</f>
        <v>7</v>
      </c>
      <c r="F55" s="13">
        <f t="shared" si="8"/>
        <v>10</v>
      </c>
      <c r="G55" s="13">
        <f t="shared" si="8"/>
        <v>17</v>
      </c>
      <c r="H55" s="13">
        <f t="shared" si="8"/>
        <v>9</v>
      </c>
      <c r="I55" s="13">
        <f t="shared" si="8"/>
        <v>26</v>
      </c>
      <c r="J55" s="13">
        <f t="shared" si="8"/>
        <v>9</v>
      </c>
      <c r="K55" s="13">
        <f t="shared" si="8"/>
        <v>18</v>
      </c>
      <c r="L55" s="13">
        <f t="shared" si="8"/>
        <v>56</v>
      </c>
      <c r="M55" s="13">
        <f t="shared" si="8"/>
        <v>86</v>
      </c>
      <c r="N55" s="13">
        <f t="shared" si="8"/>
        <v>67</v>
      </c>
      <c r="O55" s="13">
        <f t="shared" si="8"/>
        <v>49</v>
      </c>
      <c r="P55" s="13">
        <f t="shared" si="8"/>
        <v>8</v>
      </c>
      <c r="Q55" s="13">
        <f t="shared" si="8"/>
        <v>13</v>
      </c>
      <c r="R55" s="13">
        <f t="shared" si="8"/>
        <v>33</v>
      </c>
      <c r="S55" s="13">
        <f t="shared" si="8"/>
        <v>60</v>
      </c>
      <c r="T55" s="13">
        <f t="shared" si="8"/>
        <v>56</v>
      </c>
      <c r="U55" s="13">
        <f t="shared" si="8"/>
        <v>62</v>
      </c>
      <c r="V55" s="13">
        <f t="shared" si="8"/>
        <v>12</v>
      </c>
      <c r="W55" s="13">
        <f t="shared" si="8"/>
        <v>12</v>
      </c>
      <c r="X55" s="13">
        <f t="shared" si="8"/>
        <v>20</v>
      </c>
      <c r="Y55" s="13">
        <f t="shared" si="8"/>
        <v>27</v>
      </c>
      <c r="Z55" s="13">
        <f t="shared" si="8"/>
        <v>58</v>
      </c>
      <c r="AA55" s="13">
        <f t="shared" si="8"/>
        <v>93</v>
      </c>
      <c r="AB55" s="13">
        <f t="shared" si="8"/>
        <v>14</v>
      </c>
      <c r="AC55" s="13">
        <f t="shared" si="8"/>
        <v>73</v>
      </c>
      <c r="AD55" s="13">
        <f t="shared" si="8"/>
        <v>29</v>
      </c>
      <c r="AE55" s="13">
        <f>SUM(E55:AD55)</f>
        <v>924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6.0</v>
      </c>
      <c r="G57" s="19">
        <v>5.0</v>
      </c>
      <c r="H57" s="19">
        <v>4.0</v>
      </c>
      <c r="I57" s="19">
        <v>11.0</v>
      </c>
      <c r="J57" s="19">
        <v>0.0</v>
      </c>
      <c r="K57" s="19">
        <v>6.0</v>
      </c>
      <c r="L57" s="19">
        <v>4.0</v>
      </c>
      <c r="M57" s="19">
        <v>6.0</v>
      </c>
      <c r="N57" s="19">
        <v>7.0</v>
      </c>
      <c r="O57" s="19">
        <v>6.0</v>
      </c>
      <c r="P57" s="19">
        <v>12.0</v>
      </c>
      <c r="Q57" s="19">
        <v>6.0</v>
      </c>
      <c r="R57" s="19">
        <v>3.0</v>
      </c>
      <c r="S57" s="19">
        <v>6.0</v>
      </c>
      <c r="T57" s="19">
        <v>13.0</v>
      </c>
      <c r="U57" s="19">
        <v>16.0</v>
      </c>
      <c r="V57" s="19">
        <v>6.0</v>
      </c>
      <c r="W57" s="19">
        <v>4.0</v>
      </c>
      <c r="X57" s="19">
        <v>13.0</v>
      </c>
      <c r="Y57" s="19">
        <v>8.0</v>
      </c>
      <c r="Z57" s="19">
        <v>8.0</v>
      </c>
      <c r="AA57" s="19">
        <v>9.0</v>
      </c>
      <c r="AB57" s="19">
        <v>6.0</v>
      </c>
      <c r="AC57" s="19">
        <v>18.0</v>
      </c>
      <c r="AD57" s="19">
        <v>8.0</v>
      </c>
      <c r="AE57" s="13">
        <f t="shared" ref="AE57:AE64" si="9">SUM(E57:AD57)</f>
        <v>199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50.0</v>
      </c>
      <c r="F58" s="19">
        <v>31.0</v>
      </c>
      <c r="G58" s="19">
        <v>6.0</v>
      </c>
      <c r="H58" s="19">
        <v>17.0</v>
      </c>
      <c r="I58" s="19">
        <v>26.0</v>
      </c>
      <c r="J58" s="19">
        <v>8.0</v>
      </c>
      <c r="K58" s="19">
        <v>20.0</v>
      </c>
      <c r="L58" s="19">
        <v>20.0</v>
      </c>
      <c r="M58" s="19">
        <v>16.0</v>
      </c>
      <c r="N58" s="19">
        <v>5.0</v>
      </c>
      <c r="O58" s="19">
        <v>7.0</v>
      </c>
      <c r="P58" s="19">
        <v>33.0</v>
      </c>
      <c r="Q58" s="19">
        <v>5.0</v>
      </c>
      <c r="R58" s="19">
        <v>1.0</v>
      </c>
      <c r="S58" s="19">
        <v>4.0</v>
      </c>
      <c r="T58" s="19">
        <v>9.0</v>
      </c>
      <c r="U58" s="19">
        <v>35.0</v>
      </c>
      <c r="V58" s="19">
        <v>21.0</v>
      </c>
      <c r="W58" s="19">
        <v>7.0</v>
      </c>
      <c r="X58" s="19">
        <v>14.0</v>
      </c>
      <c r="Y58" s="19">
        <v>2.0</v>
      </c>
      <c r="Z58" s="19">
        <v>12.0</v>
      </c>
      <c r="AA58" s="19">
        <v>6.0</v>
      </c>
      <c r="AB58" s="19">
        <v>5.0</v>
      </c>
      <c r="AC58" s="19">
        <v>7.0</v>
      </c>
      <c r="AD58" s="19">
        <v>19.0</v>
      </c>
      <c r="AE58" s="13">
        <f t="shared" si="9"/>
        <v>386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0.0</v>
      </c>
      <c r="G59" s="19">
        <v>0.0</v>
      </c>
      <c r="H59" s="19">
        <v>1.0</v>
      </c>
      <c r="I59" s="19">
        <v>5.0</v>
      </c>
      <c r="J59" s="19">
        <v>0.0</v>
      </c>
      <c r="K59" s="19">
        <v>2.0</v>
      </c>
      <c r="L59" s="19">
        <v>1.0</v>
      </c>
      <c r="M59" s="19">
        <v>2.0</v>
      </c>
      <c r="N59" s="19">
        <v>3.0</v>
      </c>
      <c r="O59" s="19">
        <v>0.0</v>
      </c>
      <c r="P59" s="19">
        <v>1.0</v>
      </c>
      <c r="Q59" s="19">
        <v>1.0</v>
      </c>
      <c r="R59" s="19">
        <v>2.0</v>
      </c>
      <c r="S59" s="19">
        <v>0.0</v>
      </c>
      <c r="T59" s="19">
        <v>3.0</v>
      </c>
      <c r="U59" s="19">
        <v>3.0</v>
      </c>
      <c r="V59" s="19">
        <v>4.0</v>
      </c>
      <c r="W59" s="19">
        <v>1.0</v>
      </c>
      <c r="X59" s="19">
        <v>11.0</v>
      </c>
      <c r="Y59" s="19">
        <v>7.0</v>
      </c>
      <c r="Z59" s="19">
        <v>11.0</v>
      </c>
      <c r="AA59" s="19">
        <v>11.0</v>
      </c>
      <c r="AB59" s="19">
        <v>6.0</v>
      </c>
      <c r="AC59" s="19">
        <v>12.0</v>
      </c>
      <c r="AD59" s="19">
        <v>23.0</v>
      </c>
      <c r="AE59" s="13">
        <f t="shared" si="9"/>
        <v>113</v>
      </c>
    </row>
    <row r="60" ht="12.75" customHeight="1">
      <c r="A60" s="18"/>
      <c r="B60" s="55">
        <v>3.0</v>
      </c>
      <c r="C60" s="50" t="s">
        <v>51</v>
      </c>
      <c r="D60" s="56"/>
      <c r="E60" s="19">
        <v>3.0</v>
      </c>
      <c r="F60" s="19">
        <v>0.0</v>
      </c>
      <c r="G60" s="19">
        <v>0.0</v>
      </c>
      <c r="H60" s="19">
        <v>1.0</v>
      </c>
      <c r="I60" s="19">
        <v>0.0</v>
      </c>
      <c r="J60" s="19">
        <v>1.0</v>
      </c>
      <c r="K60" s="19">
        <v>0.0</v>
      </c>
      <c r="L60" s="19">
        <v>0.0</v>
      </c>
      <c r="M60" s="19">
        <v>1.0</v>
      </c>
      <c r="N60" s="19">
        <v>1.0</v>
      </c>
      <c r="O60" s="19">
        <v>0.0</v>
      </c>
      <c r="P60" s="19">
        <v>1.0</v>
      </c>
      <c r="Q60" s="19">
        <v>2.0</v>
      </c>
      <c r="R60" s="19">
        <v>1.0</v>
      </c>
      <c r="S60" s="19">
        <v>1.0</v>
      </c>
      <c r="T60" s="19">
        <v>1.0</v>
      </c>
      <c r="U60" s="19">
        <v>1.0</v>
      </c>
      <c r="V60" s="19">
        <v>2.0</v>
      </c>
      <c r="W60" s="19">
        <v>0.0</v>
      </c>
      <c r="X60" s="19">
        <v>2.0</v>
      </c>
      <c r="Y60" s="19">
        <v>0.0</v>
      </c>
      <c r="Z60" s="19">
        <v>0.0</v>
      </c>
      <c r="AA60" s="19">
        <v>0.0</v>
      </c>
      <c r="AB60" s="19">
        <v>2.0</v>
      </c>
      <c r="AC60" s="19">
        <v>1.0</v>
      </c>
      <c r="AD60" s="19">
        <v>0.0</v>
      </c>
      <c r="AE60" s="13">
        <f t="shared" si="9"/>
        <v>21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1.0</v>
      </c>
      <c r="G61" s="19">
        <v>0.0</v>
      </c>
      <c r="H61" s="19">
        <v>1.0</v>
      </c>
      <c r="I61" s="19">
        <v>1.0</v>
      </c>
      <c r="J61" s="19">
        <v>0.0</v>
      </c>
      <c r="K61" s="19">
        <v>0.0</v>
      </c>
      <c r="L61" s="19">
        <v>1.0</v>
      </c>
      <c r="M61" s="19">
        <v>1.0</v>
      </c>
      <c r="N61" s="19">
        <v>1.0</v>
      </c>
      <c r="O61" s="19">
        <v>1.0</v>
      </c>
      <c r="P61" s="19">
        <v>0.0</v>
      </c>
      <c r="Q61" s="19">
        <v>0.0</v>
      </c>
      <c r="R61" s="19">
        <v>1.0</v>
      </c>
      <c r="S61" s="19">
        <v>1.0</v>
      </c>
      <c r="T61" s="19">
        <v>3.0</v>
      </c>
      <c r="U61" s="19">
        <v>0.0</v>
      </c>
      <c r="V61" s="19">
        <v>1.0</v>
      </c>
      <c r="W61" s="19">
        <v>1.0</v>
      </c>
      <c r="X61" s="19">
        <v>0.0</v>
      </c>
      <c r="Y61" s="19">
        <v>1.0</v>
      </c>
      <c r="Z61" s="19">
        <v>1.0</v>
      </c>
      <c r="AA61" s="19">
        <v>0.0</v>
      </c>
      <c r="AB61" s="19">
        <v>2.0</v>
      </c>
      <c r="AC61" s="19">
        <v>1.0</v>
      </c>
      <c r="AD61" s="19">
        <v>1.0</v>
      </c>
      <c r="AE61" s="13">
        <f t="shared" si="9"/>
        <v>22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3">
        <f t="shared" si="9"/>
        <v>6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1.0</v>
      </c>
      <c r="I63" s="19">
        <v>2.0</v>
      </c>
      <c r="J63" s="19">
        <v>2.0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1.0</v>
      </c>
      <c r="R63" s="19">
        <v>1.0</v>
      </c>
      <c r="S63" s="19">
        <v>1.0</v>
      </c>
      <c r="T63" s="19">
        <v>2.0</v>
      </c>
      <c r="U63" s="19">
        <v>0.0</v>
      </c>
      <c r="V63" s="19">
        <v>0.0</v>
      </c>
      <c r="W63" s="19">
        <v>2.0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1.0</v>
      </c>
      <c r="AD63" s="19">
        <v>0.0</v>
      </c>
      <c r="AE63" s="13">
        <f t="shared" si="9"/>
        <v>14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2.0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3">
        <f t="shared" si="9"/>
        <v>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D67" si="10">SUM(E57:E64)</f>
        <v>66</v>
      </c>
      <c r="F67" s="13">
        <f t="shared" si="10"/>
        <v>38</v>
      </c>
      <c r="G67" s="13">
        <f t="shared" si="10"/>
        <v>11</v>
      </c>
      <c r="H67" s="13">
        <f t="shared" si="10"/>
        <v>25</v>
      </c>
      <c r="I67" s="13">
        <f t="shared" si="10"/>
        <v>46</v>
      </c>
      <c r="J67" s="13">
        <f t="shared" si="10"/>
        <v>11</v>
      </c>
      <c r="K67" s="13">
        <f t="shared" si="10"/>
        <v>28</v>
      </c>
      <c r="L67" s="13">
        <f t="shared" si="10"/>
        <v>27</v>
      </c>
      <c r="M67" s="13">
        <f t="shared" si="10"/>
        <v>28</v>
      </c>
      <c r="N67" s="13">
        <f t="shared" si="10"/>
        <v>18</v>
      </c>
      <c r="O67" s="13">
        <f t="shared" si="10"/>
        <v>14</v>
      </c>
      <c r="P67" s="13">
        <f t="shared" si="10"/>
        <v>48</v>
      </c>
      <c r="Q67" s="13">
        <f t="shared" si="10"/>
        <v>15</v>
      </c>
      <c r="R67" s="13">
        <f t="shared" si="10"/>
        <v>10</v>
      </c>
      <c r="S67" s="13">
        <f t="shared" si="10"/>
        <v>13</v>
      </c>
      <c r="T67" s="13">
        <f t="shared" si="10"/>
        <v>31</v>
      </c>
      <c r="U67" s="13">
        <f t="shared" si="10"/>
        <v>55</v>
      </c>
      <c r="V67" s="13">
        <f t="shared" si="10"/>
        <v>36</v>
      </c>
      <c r="W67" s="13">
        <f t="shared" si="10"/>
        <v>15</v>
      </c>
      <c r="X67" s="13">
        <f t="shared" si="10"/>
        <v>41</v>
      </c>
      <c r="Y67" s="13">
        <f t="shared" si="10"/>
        <v>18</v>
      </c>
      <c r="Z67" s="13">
        <f t="shared" si="10"/>
        <v>32</v>
      </c>
      <c r="AA67" s="13">
        <f t="shared" si="10"/>
        <v>26</v>
      </c>
      <c r="AB67" s="13">
        <f t="shared" si="10"/>
        <v>22</v>
      </c>
      <c r="AC67" s="13">
        <f t="shared" si="10"/>
        <v>40</v>
      </c>
      <c r="AD67" s="13">
        <f t="shared" si="10"/>
        <v>51</v>
      </c>
      <c r="AE67" s="13">
        <f>SUM(E67:AD67)</f>
        <v>765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28.0</v>
      </c>
      <c r="F69" s="19">
        <v>26.0</v>
      </c>
      <c r="G69" s="19">
        <v>35.0</v>
      </c>
      <c r="H69" s="19">
        <v>19.0</v>
      </c>
      <c r="I69" s="19">
        <v>19.0</v>
      </c>
      <c r="J69" s="19">
        <v>6.0</v>
      </c>
      <c r="K69" s="19">
        <v>9.0</v>
      </c>
      <c r="L69" s="19">
        <v>5.0</v>
      </c>
      <c r="M69" s="19">
        <v>5.0</v>
      </c>
      <c r="N69" s="19">
        <v>4.0</v>
      </c>
      <c r="O69" s="19">
        <v>4.0</v>
      </c>
      <c r="P69" s="19">
        <v>7.0</v>
      </c>
      <c r="Q69" s="19">
        <v>24.0</v>
      </c>
      <c r="R69" s="19">
        <v>21.0</v>
      </c>
      <c r="S69" s="19">
        <v>11.0</v>
      </c>
      <c r="T69" s="19">
        <v>14.0</v>
      </c>
      <c r="U69" s="19">
        <v>5.0</v>
      </c>
      <c r="V69" s="19">
        <v>6.0</v>
      </c>
      <c r="W69" s="19">
        <v>3.0</v>
      </c>
      <c r="X69" s="19">
        <v>15.0</v>
      </c>
      <c r="Y69" s="19">
        <v>23.0</v>
      </c>
      <c r="Z69" s="19">
        <v>12.0</v>
      </c>
      <c r="AA69" s="19">
        <v>3.0</v>
      </c>
      <c r="AB69" s="19">
        <v>19.0</v>
      </c>
      <c r="AC69" s="19">
        <v>12.0</v>
      </c>
      <c r="AD69" s="19">
        <v>3.0</v>
      </c>
      <c r="AE69" s="13">
        <f t="shared" ref="AE69:AE76" si="11">SUM(E69:AD69)</f>
        <v>338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21.0</v>
      </c>
      <c r="F70" s="19">
        <v>40.0</v>
      </c>
      <c r="G70" s="19">
        <v>49.0</v>
      </c>
      <c r="H70" s="19">
        <v>31.0</v>
      </c>
      <c r="I70" s="19">
        <v>38.0</v>
      </c>
      <c r="J70" s="19">
        <v>71.0</v>
      </c>
      <c r="K70" s="19">
        <v>66.0</v>
      </c>
      <c r="L70" s="19">
        <v>6.0</v>
      </c>
      <c r="M70" s="19">
        <v>7.0</v>
      </c>
      <c r="N70" s="19">
        <v>3.0</v>
      </c>
      <c r="O70" s="19">
        <v>17.0</v>
      </c>
      <c r="P70" s="19">
        <v>8.0</v>
      </c>
      <c r="Q70" s="19">
        <v>51.0</v>
      </c>
      <c r="R70" s="19">
        <v>18.0</v>
      </c>
      <c r="S70" s="19">
        <v>11.0</v>
      </c>
      <c r="T70" s="19">
        <v>3.0</v>
      </c>
      <c r="U70" s="19">
        <v>19.0</v>
      </c>
      <c r="V70" s="19">
        <v>45.0</v>
      </c>
      <c r="W70" s="19">
        <v>6.0</v>
      </c>
      <c r="X70" s="19">
        <v>52.0</v>
      </c>
      <c r="Y70" s="19">
        <v>29.0</v>
      </c>
      <c r="Z70" s="19">
        <v>23.0</v>
      </c>
      <c r="AA70" s="19">
        <v>2.0</v>
      </c>
      <c r="AB70" s="19">
        <v>62.0</v>
      </c>
      <c r="AC70" s="19">
        <v>15.0</v>
      </c>
      <c r="AD70" s="19">
        <v>38.0</v>
      </c>
      <c r="AE70" s="13">
        <f t="shared" si="11"/>
        <v>731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1.0</v>
      </c>
      <c r="G71" s="19">
        <v>9.0</v>
      </c>
      <c r="H71" s="19">
        <v>1.0</v>
      </c>
      <c r="I71" s="19">
        <v>10.0</v>
      </c>
      <c r="J71" s="19">
        <v>2.0</v>
      </c>
      <c r="K71" s="19">
        <v>1.0</v>
      </c>
      <c r="L71" s="19">
        <v>2.0</v>
      </c>
      <c r="M71" s="19">
        <v>1.0</v>
      </c>
      <c r="N71" s="19">
        <v>0.0</v>
      </c>
      <c r="O71" s="19">
        <v>2.0</v>
      </c>
      <c r="P71" s="19">
        <v>0.0</v>
      </c>
      <c r="Q71" s="19">
        <v>10.0</v>
      </c>
      <c r="R71" s="19">
        <v>1.0</v>
      </c>
      <c r="S71" s="19">
        <v>1.0</v>
      </c>
      <c r="T71" s="19">
        <v>5.0</v>
      </c>
      <c r="U71" s="19">
        <v>0.0</v>
      </c>
      <c r="V71" s="19">
        <v>4.0</v>
      </c>
      <c r="W71" s="19">
        <v>2.0</v>
      </c>
      <c r="X71" s="19">
        <v>8.0</v>
      </c>
      <c r="Y71" s="19">
        <v>8.0</v>
      </c>
      <c r="Z71" s="19">
        <v>4.0</v>
      </c>
      <c r="AA71" s="19">
        <v>1.0</v>
      </c>
      <c r="AB71" s="19">
        <v>0.0</v>
      </c>
      <c r="AC71" s="19">
        <v>4.0</v>
      </c>
      <c r="AD71" s="19">
        <v>2.0</v>
      </c>
      <c r="AE71" s="13">
        <f t="shared" si="11"/>
        <v>83</v>
      </c>
    </row>
    <row r="72" ht="12.75" customHeight="1">
      <c r="A72" s="18"/>
      <c r="B72" s="55">
        <v>3.0</v>
      </c>
      <c r="C72" s="50" t="s">
        <v>59</v>
      </c>
      <c r="D72" s="57"/>
      <c r="E72" s="19">
        <v>40.0</v>
      </c>
      <c r="F72" s="19">
        <v>43.0</v>
      </c>
      <c r="G72" s="19">
        <v>64.0</v>
      </c>
      <c r="H72" s="19">
        <v>24.0</v>
      </c>
      <c r="I72" s="19">
        <v>36.0</v>
      </c>
      <c r="J72" s="19">
        <v>37.0</v>
      </c>
      <c r="K72" s="19">
        <v>18.0</v>
      </c>
      <c r="L72" s="19">
        <v>26.0</v>
      </c>
      <c r="M72" s="19">
        <v>0.0</v>
      </c>
      <c r="N72" s="19">
        <v>3.0</v>
      </c>
      <c r="O72" s="19">
        <v>8.0</v>
      </c>
      <c r="P72" s="19">
        <v>4.0</v>
      </c>
      <c r="Q72" s="19">
        <v>11.0</v>
      </c>
      <c r="R72" s="19">
        <v>13.0</v>
      </c>
      <c r="S72" s="19">
        <v>21.0</v>
      </c>
      <c r="T72" s="19">
        <v>22.0</v>
      </c>
      <c r="U72" s="19">
        <v>1.0</v>
      </c>
      <c r="V72" s="19">
        <v>59.0</v>
      </c>
      <c r="W72" s="19">
        <v>71.0</v>
      </c>
      <c r="X72" s="19">
        <v>28.0</v>
      </c>
      <c r="Y72" s="19">
        <v>18.0</v>
      </c>
      <c r="Z72" s="19">
        <v>1.0</v>
      </c>
      <c r="AA72" s="19">
        <v>10.0</v>
      </c>
      <c r="AB72" s="19">
        <v>2.0</v>
      </c>
      <c r="AC72" s="19">
        <v>12.0</v>
      </c>
      <c r="AD72" s="19">
        <v>3.0</v>
      </c>
      <c r="AE72" s="13">
        <f t="shared" si="11"/>
        <v>575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6.0</v>
      </c>
      <c r="G73" s="19">
        <v>0.0</v>
      </c>
      <c r="H73" s="19">
        <v>0.0</v>
      </c>
      <c r="I73" s="19">
        <v>1.0</v>
      </c>
      <c r="J73" s="19">
        <v>1.0</v>
      </c>
      <c r="K73" s="19">
        <v>1.0</v>
      </c>
      <c r="L73" s="19">
        <v>1.0</v>
      </c>
      <c r="M73" s="19">
        <v>0.0</v>
      </c>
      <c r="N73" s="19">
        <v>1.0</v>
      </c>
      <c r="O73" s="19">
        <v>2.0</v>
      </c>
      <c r="P73" s="19">
        <v>0.0</v>
      </c>
      <c r="Q73" s="19">
        <v>2.0</v>
      </c>
      <c r="R73" s="19">
        <v>2.0</v>
      </c>
      <c r="S73" s="19">
        <v>2.0</v>
      </c>
      <c r="T73" s="19">
        <v>3.0</v>
      </c>
      <c r="U73" s="19">
        <v>2.0</v>
      </c>
      <c r="V73" s="19">
        <v>0.0</v>
      </c>
      <c r="W73" s="19">
        <v>1.0</v>
      </c>
      <c r="X73" s="19">
        <v>2.0</v>
      </c>
      <c r="Y73" s="19">
        <v>2.0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3">
        <f t="shared" si="11"/>
        <v>30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0.0</v>
      </c>
      <c r="G74" s="19">
        <v>0.0</v>
      </c>
      <c r="H74" s="19">
        <v>6.0</v>
      </c>
      <c r="I74" s="19">
        <v>5.0</v>
      </c>
      <c r="J74" s="19">
        <v>4.0</v>
      </c>
      <c r="K74" s="19">
        <v>2.0</v>
      </c>
      <c r="L74" s="19">
        <v>4.0</v>
      </c>
      <c r="M74" s="19">
        <v>1.0</v>
      </c>
      <c r="N74" s="19">
        <v>2.0</v>
      </c>
      <c r="O74" s="19">
        <v>0.0</v>
      </c>
      <c r="P74" s="19">
        <v>1.0</v>
      </c>
      <c r="Q74" s="19">
        <v>1.0</v>
      </c>
      <c r="R74" s="19">
        <v>0.0</v>
      </c>
      <c r="S74" s="19">
        <v>3.0</v>
      </c>
      <c r="T74" s="19">
        <v>2.0</v>
      </c>
      <c r="U74" s="19">
        <v>0.0</v>
      </c>
      <c r="V74" s="19">
        <v>0.0</v>
      </c>
      <c r="W74" s="19">
        <v>1.0</v>
      </c>
      <c r="X74" s="19">
        <v>1.0</v>
      </c>
      <c r="Y74" s="19">
        <v>6.0</v>
      </c>
      <c r="Z74" s="19">
        <v>2.0</v>
      </c>
      <c r="AA74" s="19">
        <v>0.0</v>
      </c>
      <c r="AB74" s="19">
        <v>7.0</v>
      </c>
      <c r="AC74" s="19">
        <v>1.0</v>
      </c>
      <c r="AD74" s="19">
        <v>4.0</v>
      </c>
      <c r="AE74" s="13">
        <f t="shared" si="11"/>
        <v>54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1.0</v>
      </c>
      <c r="P75" s="19">
        <v>0.0</v>
      </c>
      <c r="Q75" s="19">
        <v>2.0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1.0</v>
      </c>
      <c r="Y75" s="19">
        <v>1.0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3">
        <f t="shared" si="11"/>
        <v>6</v>
      </c>
    </row>
    <row r="76" ht="12.75" customHeight="1">
      <c r="A76" s="18"/>
      <c r="B76" s="55">
        <v>7.0</v>
      </c>
      <c r="C76" s="50" t="s">
        <v>63</v>
      </c>
      <c r="D76" s="57"/>
      <c r="E76" s="19">
        <v>5.0</v>
      </c>
      <c r="F76" s="19">
        <v>3.0</v>
      </c>
      <c r="G76" s="19">
        <v>1.0</v>
      </c>
      <c r="H76" s="19">
        <v>7.0</v>
      </c>
      <c r="I76" s="19">
        <v>6.0</v>
      </c>
      <c r="J76" s="19">
        <v>2.0</v>
      </c>
      <c r="K76" s="19">
        <v>1.0</v>
      </c>
      <c r="L76" s="19">
        <v>1.0</v>
      </c>
      <c r="M76" s="19">
        <v>1.0</v>
      </c>
      <c r="N76" s="19">
        <v>0.0</v>
      </c>
      <c r="O76" s="19">
        <v>5.0</v>
      </c>
      <c r="P76" s="19">
        <v>1.0</v>
      </c>
      <c r="Q76" s="19">
        <v>1.0</v>
      </c>
      <c r="R76" s="19">
        <v>5.0</v>
      </c>
      <c r="S76" s="19">
        <v>3.0</v>
      </c>
      <c r="T76" s="19">
        <v>7.0</v>
      </c>
      <c r="U76" s="19">
        <v>0.0</v>
      </c>
      <c r="V76" s="19">
        <v>1.0</v>
      </c>
      <c r="W76" s="19">
        <v>0.0</v>
      </c>
      <c r="X76" s="19">
        <v>3.0</v>
      </c>
      <c r="Y76" s="19">
        <v>7.0</v>
      </c>
      <c r="Z76" s="19">
        <v>1.0</v>
      </c>
      <c r="AA76" s="19">
        <v>0.0</v>
      </c>
      <c r="AB76" s="19">
        <v>8.0</v>
      </c>
      <c r="AC76" s="19">
        <v>0.0</v>
      </c>
      <c r="AD76" s="19">
        <v>2.0</v>
      </c>
      <c r="AE76" s="13">
        <f t="shared" si="11"/>
        <v>71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D79" si="12">SUM(E69:E76)</f>
        <v>100</v>
      </c>
      <c r="F79" s="13">
        <f t="shared" si="12"/>
        <v>119</v>
      </c>
      <c r="G79" s="13">
        <f t="shared" si="12"/>
        <v>158</v>
      </c>
      <c r="H79" s="13">
        <f t="shared" si="12"/>
        <v>88</v>
      </c>
      <c r="I79" s="13">
        <f t="shared" si="12"/>
        <v>115</v>
      </c>
      <c r="J79" s="13">
        <f t="shared" si="12"/>
        <v>123</v>
      </c>
      <c r="K79" s="13">
        <f t="shared" si="12"/>
        <v>98</v>
      </c>
      <c r="L79" s="13">
        <f t="shared" si="12"/>
        <v>46</v>
      </c>
      <c r="M79" s="13">
        <f t="shared" si="12"/>
        <v>15</v>
      </c>
      <c r="N79" s="13">
        <f t="shared" si="12"/>
        <v>13</v>
      </c>
      <c r="O79" s="13">
        <f t="shared" si="12"/>
        <v>39</v>
      </c>
      <c r="P79" s="13">
        <f t="shared" si="12"/>
        <v>21</v>
      </c>
      <c r="Q79" s="13">
        <f t="shared" si="12"/>
        <v>102</v>
      </c>
      <c r="R79" s="13">
        <f t="shared" si="12"/>
        <v>60</v>
      </c>
      <c r="S79" s="13">
        <f t="shared" si="12"/>
        <v>52</v>
      </c>
      <c r="T79" s="13">
        <f t="shared" si="12"/>
        <v>56</v>
      </c>
      <c r="U79" s="13">
        <f t="shared" si="12"/>
        <v>27</v>
      </c>
      <c r="V79" s="13">
        <f t="shared" si="12"/>
        <v>115</v>
      </c>
      <c r="W79" s="13">
        <f t="shared" si="12"/>
        <v>84</v>
      </c>
      <c r="X79" s="13">
        <f t="shared" si="12"/>
        <v>110</v>
      </c>
      <c r="Y79" s="13">
        <f t="shared" si="12"/>
        <v>94</v>
      </c>
      <c r="Z79" s="13">
        <f t="shared" si="12"/>
        <v>43</v>
      </c>
      <c r="AA79" s="13">
        <f t="shared" si="12"/>
        <v>16</v>
      </c>
      <c r="AB79" s="13">
        <f t="shared" si="12"/>
        <v>98</v>
      </c>
      <c r="AC79" s="13">
        <f t="shared" si="12"/>
        <v>44</v>
      </c>
      <c r="AD79" s="13">
        <f t="shared" si="12"/>
        <v>52</v>
      </c>
      <c r="AE79" s="13">
        <f>SUM(E79:AD79)</f>
        <v>1888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4.0</v>
      </c>
      <c r="G81" s="19">
        <v>2.0</v>
      </c>
      <c r="H81" s="19">
        <v>1.0</v>
      </c>
      <c r="I81" s="19">
        <v>1.0</v>
      </c>
      <c r="J81" s="19">
        <v>2.0</v>
      </c>
      <c r="K81" s="19">
        <v>3.0</v>
      </c>
      <c r="L81" s="19">
        <v>4.0</v>
      </c>
      <c r="M81" s="19">
        <v>3.0</v>
      </c>
      <c r="N81" s="19">
        <v>4.0</v>
      </c>
      <c r="O81" s="19">
        <v>4.0</v>
      </c>
      <c r="P81" s="19">
        <v>7.0</v>
      </c>
      <c r="Q81" s="19">
        <v>4.0</v>
      </c>
      <c r="R81" s="19">
        <v>23.0</v>
      </c>
      <c r="S81" s="19">
        <v>3.0</v>
      </c>
      <c r="T81" s="19">
        <v>2.0</v>
      </c>
      <c r="U81" s="19">
        <v>5.0</v>
      </c>
      <c r="V81" s="19">
        <v>1.0</v>
      </c>
      <c r="W81" s="19">
        <v>0.0</v>
      </c>
      <c r="X81" s="19">
        <v>4.0</v>
      </c>
      <c r="Y81" s="19">
        <v>2.0</v>
      </c>
      <c r="Z81" s="19">
        <v>4.0</v>
      </c>
      <c r="AA81" s="19">
        <v>1.0</v>
      </c>
      <c r="AB81" s="19">
        <v>0.0</v>
      </c>
      <c r="AC81" s="19">
        <v>3.0</v>
      </c>
      <c r="AD81" s="19">
        <v>1.0</v>
      </c>
      <c r="AE81" s="13">
        <f t="shared" ref="AE81:AE88" si="13">SUM(E81:AD81)</f>
        <v>89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2.0</v>
      </c>
      <c r="F82" s="19">
        <v>2.0</v>
      </c>
      <c r="G82" s="19">
        <v>0.0</v>
      </c>
      <c r="H82" s="19">
        <v>1.0</v>
      </c>
      <c r="I82" s="19">
        <v>2.0</v>
      </c>
      <c r="J82" s="19">
        <v>5.0</v>
      </c>
      <c r="K82" s="19">
        <v>8.0</v>
      </c>
      <c r="L82" s="19">
        <v>12.0</v>
      </c>
      <c r="M82" s="19">
        <v>38.0</v>
      </c>
      <c r="N82" s="19">
        <v>40.0</v>
      </c>
      <c r="O82" s="19">
        <v>19.0</v>
      </c>
      <c r="P82" s="19">
        <v>41.0</v>
      </c>
      <c r="Q82" s="19">
        <v>46.0</v>
      </c>
      <c r="R82" s="19">
        <v>13.0</v>
      </c>
      <c r="S82" s="19">
        <v>10.0</v>
      </c>
      <c r="T82" s="19">
        <v>5.0</v>
      </c>
      <c r="U82" s="19">
        <v>7.0</v>
      </c>
      <c r="V82" s="19">
        <v>11.0</v>
      </c>
      <c r="W82" s="19">
        <v>0.0</v>
      </c>
      <c r="X82" s="19">
        <v>2.0</v>
      </c>
      <c r="Y82" s="19">
        <v>5.0</v>
      </c>
      <c r="Z82" s="19">
        <v>2.0</v>
      </c>
      <c r="AA82" s="19">
        <v>0.0</v>
      </c>
      <c r="AB82" s="19">
        <v>4.0</v>
      </c>
      <c r="AC82" s="19">
        <v>2.0</v>
      </c>
      <c r="AD82" s="19">
        <v>5.0</v>
      </c>
      <c r="AE82" s="13">
        <f t="shared" si="13"/>
        <v>282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4.0</v>
      </c>
      <c r="G83" s="19">
        <v>17.0</v>
      </c>
      <c r="H83" s="19">
        <v>4.0</v>
      </c>
      <c r="I83" s="19">
        <v>2.0</v>
      </c>
      <c r="J83" s="19">
        <v>0.0</v>
      </c>
      <c r="K83" s="19">
        <v>8.0</v>
      </c>
      <c r="L83" s="19">
        <v>1.0</v>
      </c>
      <c r="M83" s="19">
        <v>1.0</v>
      </c>
      <c r="N83" s="19">
        <v>9.0</v>
      </c>
      <c r="O83" s="19">
        <v>20.0</v>
      </c>
      <c r="P83" s="19">
        <v>20.0</v>
      </c>
      <c r="Q83" s="19">
        <v>30.0</v>
      </c>
      <c r="R83" s="19">
        <v>68.0</v>
      </c>
      <c r="S83" s="19">
        <v>21.0</v>
      </c>
      <c r="T83" s="19">
        <v>3.0</v>
      </c>
      <c r="U83" s="19">
        <v>4.0</v>
      </c>
      <c r="V83" s="19">
        <v>3.0</v>
      </c>
      <c r="W83" s="19">
        <v>3.0</v>
      </c>
      <c r="X83" s="19">
        <v>2.0</v>
      </c>
      <c r="Y83" s="19">
        <v>8.0</v>
      </c>
      <c r="Z83" s="19">
        <v>3.0</v>
      </c>
      <c r="AA83" s="19">
        <v>1.0</v>
      </c>
      <c r="AB83" s="19">
        <v>1.0</v>
      </c>
      <c r="AC83" s="19">
        <v>0.0</v>
      </c>
      <c r="AD83" s="19">
        <v>3.0</v>
      </c>
      <c r="AE83" s="13">
        <f t="shared" si="13"/>
        <v>238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1.0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2.0</v>
      </c>
      <c r="Y84" s="19">
        <v>0.0</v>
      </c>
      <c r="Z84" s="19">
        <v>1.0</v>
      </c>
      <c r="AA84" s="19">
        <v>0.0</v>
      </c>
      <c r="AB84" s="19">
        <v>1.0</v>
      </c>
      <c r="AC84" s="19">
        <v>0.0</v>
      </c>
      <c r="AD84" s="19">
        <v>0.0</v>
      </c>
      <c r="AE84" s="13">
        <f t="shared" si="13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2.0</v>
      </c>
      <c r="K85" s="19">
        <v>0.0</v>
      </c>
      <c r="L85" s="19">
        <v>2.0</v>
      </c>
      <c r="M85" s="19">
        <v>0.0</v>
      </c>
      <c r="N85" s="19">
        <v>1.0</v>
      </c>
      <c r="O85" s="19">
        <v>1.0</v>
      </c>
      <c r="P85" s="19">
        <v>2.0</v>
      </c>
      <c r="Q85" s="19">
        <v>0.0</v>
      </c>
      <c r="R85" s="19">
        <v>0.0</v>
      </c>
      <c r="S85" s="19">
        <v>1.0</v>
      </c>
      <c r="T85" s="19">
        <v>0.0</v>
      </c>
      <c r="U85" s="19">
        <v>0.0</v>
      </c>
      <c r="V85" s="19">
        <v>0.0</v>
      </c>
      <c r="W85" s="19">
        <v>3.0</v>
      </c>
      <c r="X85" s="19">
        <v>0.0</v>
      </c>
      <c r="Y85" s="19">
        <v>1.0</v>
      </c>
      <c r="Z85" s="19">
        <v>1.0</v>
      </c>
      <c r="AA85" s="19">
        <v>1.0</v>
      </c>
      <c r="AB85" s="19">
        <v>1.0</v>
      </c>
      <c r="AC85" s="19">
        <v>0.0</v>
      </c>
      <c r="AD85" s="19">
        <v>0.0</v>
      </c>
      <c r="AE85" s="13">
        <f t="shared" si="13"/>
        <v>18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3.0</v>
      </c>
      <c r="H86" s="19">
        <v>30.0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1.0</v>
      </c>
      <c r="Q86" s="19">
        <v>0.0</v>
      </c>
      <c r="R86" s="19">
        <v>2.0</v>
      </c>
      <c r="S86" s="19">
        <v>0.0</v>
      </c>
      <c r="T86" s="19">
        <v>0.0</v>
      </c>
      <c r="U86" s="19">
        <v>3.0</v>
      </c>
      <c r="V86" s="19">
        <v>0.0</v>
      </c>
      <c r="W86" s="19">
        <v>0.0</v>
      </c>
      <c r="X86" s="19">
        <v>0.0</v>
      </c>
      <c r="Y86" s="19">
        <v>1.0</v>
      </c>
      <c r="Z86" s="19">
        <v>1.0</v>
      </c>
      <c r="AA86" s="19">
        <v>0.0</v>
      </c>
      <c r="AB86" s="19">
        <v>0.0</v>
      </c>
      <c r="AC86" s="19">
        <v>0.0</v>
      </c>
      <c r="AD86" s="19">
        <v>0.0</v>
      </c>
      <c r="AE86" s="13">
        <f t="shared" si="13"/>
        <v>42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1.0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3">
        <f t="shared" si="13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3">
        <f t="shared" si="13"/>
        <v>1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D91" si="14">SUM(E81:E88)</f>
        <v>5</v>
      </c>
      <c r="F91" s="13">
        <f t="shared" si="14"/>
        <v>10</v>
      </c>
      <c r="G91" s="13">
        <f t="shared" si="14"/>
        <v>22</v>
      </c>
      <c r="H91" s="13">
        <f t="shared" si="14"/>
        <v>39</v>
      </c>
      <c r="I91" s="13">
        <f t="shared" si="14"/>
        <v>6</v>
      </c>
      <c r="J91" s="13">
        <f t="shared" si="14"/>
        <v>10</v>
      </c>
      <c r="K91" s="13">
        <f t="shared" si="14"/>
        <v>19</v>
      </c>
      <c r="L91" s="13">
        <f t="shared" si="14"/>
        <v>19</v>
      </c>
      <c r="M91" s="13">
        <f t="shared" si="14"/>
        <v>42</v>
      </c>
      <c r="N91" s="13">
        <f t="shared" si="14"/>
        <v>55</v>
      </c>
      <c r="O91" s="13">
        <f t="shared" si="14"/>
        <v>45</v>
      </c>
      <c r="P91" s="13">
        <f t="shared" si="14"/>
        <v>71</v>
      </c>
      <c r="Q91" s="13">
        <f t="shared" si="14"/>
        <v>80</v>
      </c>
      <c r="R91" s="13">
        <f t="shared" si="14"/>
        <v>107</v>
      </c>
      <c r="S91" s="13">
        <f t="shared" si="14"/>
        <v>36</v>
      </c>
      <c r="T91" s="13">
        <f t="shared" si="14"/>
        <v>11</v>
      </c>
      <c r="U91" s="13">
        <f t="shared" si="14"/>
        <v>19</v>
      </c>
      <c r="V91" s="13">
        <f t="shared" si="14"/>
        <v>15</v>
      </c>
      <c r="W91" s="13">
        <f t="shared" si="14"/>
        <v>6</v>
      </c>
      <c r="X91" s="13">
        <f t="shared" si="14"/>
        <v>10</v>
      </c>
      <c r="Y91" s="13">
        <f t="shared" si="14"/>
        <v>17</v>
      </c>
      <c r="Z91" s="13">
        <f t="shared" si="14"/>
        <v>12</v>
      </c>
      <c r="AA91" s="13">
        <f t="shared" si="14"/>
        <v>3</v>
      </c>
      <c r="AB91" s="13">
        <f t="shared" si="14"/>
        <v>7</v>
      </c>
      <c r="AC91" s="13">
        <f t="shared" si="14"/>
        <v>5</v>
      </c>
      <c r="AD91" s="13">
        <f t="shared" si="14"/>
        <v>9</v>
      </c>
      <c r="AE91" s="13">
        <f>SUM(E91:AD91)</f>
        <v>680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2.0</v>
      </c>
      <c r="G93" s="19">
        <v>0.0</v>
      </c>
      <c r="H93" s="19">
        <v>0.0</v>
      </c>
      <c r="I93" s="19">
        <v>0.0</v>
      </c>
      <c r="J93" s="19">
        <v>1.0</v>
      </c>
      <c r="K93" s="19">
        <v>2.0</v>
      </c>
      <c r="L93" s="19">
        <v>0.0</v>
      </c>
      <c r="M93" s="19">
        <v>1.0</v>
      </c>
      <c r="N93" s="19">
        <v>1.0</v>
      </c>
      <c r="O93" s="19">
        <v>0.0</v>
      </c>
      <c r="P93" s="19">
        <v>5.0</v>
      </c>
      <c r="Q93" s="19">
        <v>1.0</v>
      </c>
      <c r="R93" s="19">
        <v>0.0</v>
      </c>
      <c r="S93" s="19">
        <v>0.0</v>
      </c>
      <c r="T93" s="19">
        <v>0.0</v>
      </c>
      <c r="U93" s="19">
        <v>1.0</v>
      </c>
      <c r="V93" s="19">
        <v>0.0</v>
      </c>
      <c r="W93" s="19">
        <v>0.0</v>
      </c>
      <c r="X93" s="19">
        <v>0.0</v>
      </c>
      <c r="Y93" s="19">
        <v>0.0</v>
      </c>
      <c r="Z93" s="19">
        <v>1.0</v>
      </c>
      <c r="AA93" s="19">
        <v>0.0</v>
      </c>
      <c r="AB93" s="19">
        <v>0.0</v>
      </c>
      <c r="AC93" s="19">
        <v>2.0</v>
      </c>
      <c r="AD93" s="19">
        <v>0.0</v>
      </c>
      <c r="AE93" s="13">
        <f t="shared" ref="AE93:AE100" si="15">SUM(E93:AD93)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7.0</v>
      </c>
      <c r="F94" s="19">
        <v>8.0</v>
      </c>
      <c r="G94" s="19">
        <v>1.0</v>
      </c>
      <c r="H94" s="19">
        <v>0.0</v>
      </c>
      <c r="I94" s="19">
        <v>1.0</v>
      </c>
      <c r="J94" s="19">
        <v>2.0</v>
      </c>
      <c r="K94" s="19">
        <v>5.0</v>
      </c>
      <c r="L94" s="19">
        <v>1.0</v>
      </c>
      <c r="M94" s="19">
        <v>0.0</v>
      </c>
      <c r="N94" s="19">
        <v>0.0</v>
      </c>
      <c r="O94" s="19">
        <v>0.0</v>
      </c>
      <c r="P94" s="19">
        <v>36.0</v>
      </c>
      <c r="Q94" s="19">
        <v>2.0</v>
      </c>
      <c r="R94" s="19">
        <v>1.0</v>
      </c>
      <c r="S94" s="19">
        <v>1.0</v>
      </c>
      <c r="T94" s="19">
        <v>2.0</v>
      </c>
      <c r="U94" s="19">
        <v>1.0</v>
      </c>
      <c r="V94" s="19">
        <v>1.0</v>
      </c>
      <c r="W94" s="19">
        <v>0.0</v>
      </c>
      <c r="X94" s="19">
        <v>1.0</v>
      </c>
      <c r="Y94" s="19">
        <v>0.0</v>
      </c>
      <c r="Z94" s="19">
        <v>0.0</v>
      </c>
      <c r="AA94" s="19">
        <v>0.0</v>
      </c>
      <c r="AB94" s="19">
        <v>0.0</v>
      </c>
      <c r="AC94" s="19">
        <v>3.0</v>
      </c>
      <c r="AD94" s="19">
        <v>0.0</v>
      </c>
      <c r="AE94" s="13">
        <f t="shared" si="15"/>
        <v>73</v>
      </c>
    </row>
    <row r="95" ht="12.75" customHeight="1">
      <c r="A95" s="18"/>
      <c r="B95" s="55">
        <v>2.0</v>
      </c>
      <c r="C95" s="50" t="s">
        <v>75</v>
      </c>
      <c r="D95" s="57"/>
      <c r="E95" s="19">
        <v>4.0</v>
      </c>
      <c r="F95" s="19">
        <v>4.0</v>
      </c>
      <c r="G95" s="19">
        <v>1.0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1.0</v>
      </c>
      <c r="AC95" s="19">
        <v>0.0</v>
      </c>
      <c r="AD95" s="19">
        <v>0.0</v>
      </c>
      <c r="AE95" s="13">
        <f t="shared" si="15"/>
        <v>12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3">
        <f t="shared" si="15"/>
        <v>3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2.0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9">
        <v>1.0</v>
      </c>
      <c r="AC97" s="19">
        <v>17.0</v>
      </c>
      <c r="AD97" s="19">
        <v>1.0</v>
      </c>
      <c r="AE97" s="13">
        <f t="shared" si="15"/>
        <v>25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1.0</v>
      </c>
      <c r="AE98" s="13">
        <f t="shared" si="15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1.0</v>
      </c>
      <c r="AD99" s="19">
        <v>0.0</v>
      </c>
      <c r="AE99" s="13">
        <f t="shared" si="15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3">
        <f t="shared" si="15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D103" si="16">SUM(E93:E100)</f>
        <v>13</v>
      </c>
      <c r="F103" s="13">
        <f t="shared" si="16"/>
        <v>16</v>
      </c>
      <c r="G103" s="13">
        <f t="shared" si="16"/>
        <v>2</v>
      </c>
      <c r="H103" s="13">
        <f t="shared" si="16"/>
        <v>1</v>
      </c>
      <c r="I103" s="13">
        <f t="shared" si="16"/>
        <v>2</v>
      </c>
      <c r="J103" s="13">
        <f t="shared" si="16"/>
        <v>3</v>
      </c>
      <c r="K103" s="13">
        <f t="shared" si="16"/>
        <v>8</v>
      </c>
      <c r="L103" s="13">
        <f t="shared" si="16"/>
        <v>4</v>
      </c>
      <c r="M103" s="13">
        <f t="shared" si="16"/>
        <v>1</v>
      </c>
      <c r="N103" s="13">
        <f t="shared" si="16"/>
        <v>1</v>
      </c>
      <c r="O103" s="13">
        <f t="shared" si="16"/>
        <v>2</v>
      </c>
      <c r="P103" s="13">
        <f t="shared" si="16"/>
        <v>41</v>
      </c>
      <c r="Q103" s="13">
        <f t="shared" si="16"/>
        <v>3</v>
      </c>
      <c r="R103" s="13">
        <f t="shared" si="16"/>
        <v>2</v>
      </c>
      <c r="S103" s="13">
        <f t="shared" si="16"/>
        <v>1</v>
      </c>
      <c r="T103" s="13">
        <f t="shared" si="16"/>
        <v>2</v>
      </c>
      <c r="U103" s="13">
        <f t="shared" si="16"/>
        <v>2</v>
      </c>
      <c r="V103" s="13">
        <f t="shared" si="16"/>
        <v>2</v>
      </c>
      <c r="W103" s="13">
        <f t="shared" si="16"/>
        <v>0</v>
      </c>
      <c r="X103" s="13">
        <f t="shared" si="16"/>
        <v>2</v>
      </c>
      <c r="Y103" s="13">
        <f t="shared" si="16"/>
        <v>0</v>
      </c>
      <c r="Z103" s="13">
        <f t="shared" si="16"/>
        <v>1</v>
      </c>
      <c r="AA103" s="13">
        <f t="shared" si="16"/>
        <v>1</v>
      </c>
      <c r="AB103" s="13">
        <f t="shared" si="16"/>
        <v>2</v>
      </c>
      <c r="AC103" s="13">
        <f t="shared" si="16"/>
        <v>23</v>
      </c>
      <c r="AD103" s="13">
        <f t="shared" si="16"/>
        <v>2</v>
      </c>
      <c r="AE103" s="13">
        <f>SUM(E103:AD103)</f>
        <v>137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1.0</v>
      </c>
      <c r="AB105" s="19">
        <v>0.0</v>
      </c>
      <c r="AC105" s="19">
        <v>0.0</v>
      </c>
      <c r="AD105" s="19">
        <v>0.0</v>
      </c>
      <c r="AE105" s="13">
        <f t="shared" ref="AE105:AE112" si="17">SUM(E105:AD105)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3">
        <f t="shared" si="17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3">
        <f t="shared" si="17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9">
        <v>0.0</v>
      </c>
      <c r="AE108" s="13">
        <f t="shared" si="17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3">
        <f t="shared" si="17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1.0</v>
      </c>
      <c r="AA110" s="19">
        <v>0.0</v>
      </c>
      <c r="AB110" s="19">
        <v>0.0</v>
      </c>
      <c r="AC110" s="19">
        <v>0.0</v>
      </c>
      <c r="AD110" s="19">
        <v>0.0</v>
      </c>
      <c r="AE110" s="13">
        <f t="shared" si="17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1.0</v>
      </c>
      <c r="W111" s="19">
        <v>0.0</v>
      </c>
      <c r="X111" s="19">
        <v>0.0</v>
      </c>
      <c r="Y111" s="19">
        <v>0.0</v>
      </c>
      <c r="Z111" s="19">
        <v>1.0</v>
      </c>
      <c r="AA111" s="19">
        <v>0.0</v>
      </c>
      <c r="AB111" s="19">
        <v>0.0</v>
      </c>
      <c r="AC111" s="19">
        <v>0.0</v>
      </c>
      <c r="AD111" s="19">
        <v>0.0</v>
      </c>
      <c r="AE111" s="13">
        <f t="shared" si="17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1.0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3">
        <f t="shared" si="17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D115" si="18">SUM(E105:E112)</f>
        <v>2</v>
      </c>
      <c r="F115" s="13">
        <f t="shared" si="18"/>
        <v>0</v>
      </c>
      <c r="G115" s="13">
        <f t="shared" si="18"/>
        <v>0</v>
      </c>
      <c r="H115" s="13">
        <f t="shared" si="18"/>
        <v>0</v>
      </c>
      <c r="I115" s="13">
        <f t="shared" si="18"/>
        <v>0</v>
      </c>
      <c r="J115" s="13">
        <f t="shared" si="18"/>
        <v>0</v>
      </c>
      <c r="K115" s="13">
        <f t="shared" si="18"/>
        <v>2</v>
      </c>
      <c r="L115" s="13">
        <f t="shared" si="18"/>
        <v>0</v>
      </c>
      <c r="M115" s="13">
        <f t="shared" si="18"/>
        <v>0</v>
      </c>
      <c r="N115" s="13">
        <f t="shared" si="18"/>
        <v>0</v>
      </c>
      <c r="O115" s="13">
        <f t="shared" si="18"/>
        <v>2</v>
      </c>
      <c r="P115" s="13">
        <f t="shared" si="18"/>
        <v>0</v>
      </c>
      <c r="Q115" s="13">
        <f t="shared" si="18"/>
        <v>2</v>
      </c>
      <c r="R115" s="13">
        <f t="shared" si="18"/>
        <v>0</v>
      </c>
      <c r="S115" s="13">
        <f t="shared" si="18"/>
        <v>0</v>
      </c>
      <c r="T115" s="13">
        <f t="shared" si="18"/>
        <v>1</v>
      </c>
      <c r="U115" s="13">
        <f t="shared" si="18"/>
        <v>0</v>
      </c>
      <c r="V115" s="13">
        <f t="shared" si="18"/>
        <v>3</v>
      </c>
      <c r="W115" s="13">
        <f t="shared" si="18"/>
        <v>1</v>
      </c>
      <c r="X115" s="13">
        <f t="shared" si="18"/>
        <v>0</v>
      </c>
      <c r="Y115" s="13">
        <f t="shared" si="18"/>
        <v>0</v>
      </c>
      <c r="Z115" s="13">
        <f t="shared" si="18"/>
        <v>3</v>
      </c>
      <c r="AA115" s="13">
        <f t="shared" si="18"/>
        <v>1</v>
      </c>
      <c r="AB115" s="13">
        <f t="shared" si="18"/>
        <v>0</v>
      </c>
      <c r="AC115" s="13">
        <f t="shared" si="18"/>
        <v>1</v>
      </c>
      <c r="AD115" s="13">
        <f t="shared" si="18"/>
        <v>0</v>
      </c>
      <c r="AE115" s="13">
        <f>SUM(E115:AD115)</f>
        <v>18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E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1.0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2.0</v>
      </c>
      <c r="Y117" s="19">
        <v>1.0</v>
      </c>
      <c r="Z117" s="19">
        <v>1.0</v>
      </c>
      <c r="AA117" s="19">
        <v>0.0</v>
      </c>
      <c r="AB117" s="19">
        <v>0.0</v>
      </c>
      <c r="AC117" s="19">
        <v>1.0</v>
      </c>
      <c r="AD117" s="19">
        <v>0.0</v>
      </c>
      <c r="AE117" s="13">
        <v>12.0</v>
      </c>
      <c r="AF117" s="5"/>
      <c r="AG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2.0</v>
      </c>
      <c r="I118" s="19">
        <v>0.0</v>
      </c>
      <c r="J118" s="19">
        <v>0.0</v>
      </c>
      <c r="K118" s="19">
        <v>1.0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1.0</v>
      </c>
      <c r="X118" s="19">
        <v>0.0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3">
        <v>7.0</v>
      </c>
      <c r="AF118" s="5"/>
      <c r="AG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3">
        <v>1.0</v>
      </c>
      <c r="AF119" s="5"/>
      <c r="AG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3">
        <v>2.0</v>
      </c>
      <c r="AF120" s="5"/>
      <c r="AG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74"/>
      <c r="AF121" s="5"/>
      <c r="AG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74"/>
      <c r="AF122" s="5"/>
      <c r="AG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74"/>
      <c r="AF123" s="5"/>
      <c r="AG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74"/>
      <c r="AF124" s="5"/>
      <c r="AG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74"/>
      <c r="AF125" s="5"/>
      <c r="AG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74"/>
      <c r="AF126" s="5"/>
      <c r="AG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D127" si="19">SUM(E117:E120)</f>
        <v>2</v>
      </c>
      <c r="F127" s="58">
        <f t="shared" si="19"/>
        <v>1</v>
      </c>
      <c r="G127" s="58">
        <f t="shared" si="19"/>
        <v>0</v>
      </c>
      <c r="H127" s="58">
        <f t="shared" si="19"/>
        <v>2</v>
      </c>
      <c r="I127" s="58">
        <f t="shared" si="19"/>
        <v>0</v>
      </c>
      <c r="J127" s="58">
        <f t="shared" si="19"/>
        <v>0</v>
      </c>
      <c r="K127" s="58">
        <f t="shared" si="19"/>
        <v>3</v>
      </c>
      <c r="L127" s="58">
        <f t="shared" si="19"/>
        <v>1</v>
      </c>
      <c r="M127" s="58">
        <f t="shared" si="19"/>
        <v>2</v>
      </c>
      <c r="N127" s="58">
        <f t="shared" si="19"/>
        <v>0</v>
      </c>
      <c r="O127" s="58">
        <f t="shared" si="19"/>
        <v>1</v>
      </c>
      <c r="P127" s="58">
        <f t="shared" si="19"/>
        <v>0</v>
      </c>
      <c r="Q127" s="58">
        <f t="shared" si="19"/>
        <v>0</v>
      </c>
      <c r="R127" s="58">
        <f t="shared" si="19"/>
        <v>1</v>
      </c>
      <c r="S127" s="58">
        <f t="shared" si="19"/>
        <v>0</v>
      </c>
      <c r="T127" s="58">
        <f t="shared" si="19"/>
        <v>0</v>
      </c>
      <c r="U127" s="58">
        <f t="shared" si="19"/>
        <v>1</v>
      </c>
      <c r="V127" s="58">
        <f t="shared" si="19"/>
        <v>1</v>
      </c>
      <c r="W127" s="58">
        <f t="shared" si="19"/>
        <v>1</v>
      </c>
      <c r="X127" s="58">
        <f t="shared" si="19"/>
        <v>2</v>
      </c>
      <c r="Y127" s="58">
        <f t="shared" si="19"/>
        <v>1</v>
      </c>
      <c r="Z127" s="58">
        <f t="shared" si="19"/>
        <v>2</v>
      </c>
      <c r="AA127" s="58">
        <f t="shared" si="19"/>
        <v>0</v>
      </c>
      <c r="AB127" s="58">
        <f t="shared" si="19"/>
        <v>0</v>
      </c>
      <c r="AC127" s="58">
        <f t="shared" si="19"/>
        <v>1</v>
      </c>
      <c r="AD127" s="58">
        <f t="shared" si="19"/>
        <v>0</v>
      </c>
      <c r="AE127" s="13">
        <f>SUM(E127:AD127)</f>
        <v>22</v>
      </c>
      <c r="AF127" s="5"/>
      <c r="AG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5"/>
      <c r="AG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2.0</v>
      </c>
      <c r="H129" s="19">
        <v>0.0</v>
      </c>
      <c r="I129" s="19">
        <v>0.0</v>
      </c>
      <c r="J129" s="19">
        <v>0.0</v>
      </c>
      <c r="K129" s="19">
        <v>2.0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2.0</v>
      </c>
      <c r="T129" s="19">
        <v>0.0</v>
      </c>
      <c r="U129" s="19">
        <v>1.0</v>
      </c>
      <c r="V129" s="19">
        <v>0.0</v>
      </c>
      <c r="W129" s="19">
        <v>1.0</v>
      </c>
      <c r="X129" s="19">
        <v>0.0</v>
      </c>
      <c r="Y129" s="19">
        <v>0.0</v>
      </c>
      <c r="Z129" s="19">
        <v>1.0</v>
      </c>
      <c r="AA129" s="19">
        <v>0.0</v>
      </c>
      <c r="AB129" s="19">
        <v>0.0</v>
      </c>
      <c r="AC129" s="19">
        <v>0.0</v>
      </c>
      <c r="AD129" s="19">
        <v>0.0</v>
      </c>
      <c r="AE129" s="13">
        <v>10.0</v>
      </c>
      <c r="AF129" s="5"/>
      <c r="AG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1.0</v>
      </c>
      <c r="H130" s="19">
        <v>0.0</v>
      </c>
      <c r="I130" s="19">
        <v>0.0</v>
      </c>
      <c r="J130" s="19">
        <v>0.0</v>
      </c>
      <c r="K130" s="19">
        <v>1.0</v>
      </c>
      <c r="L130" s="19">
        <v>3.0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1.0</v>
      </c>
      <c r="W130" s="19">
        <v>2.0</v>
      </c>
      <c r="X130" s="19">
        <v>0.0</v>
      </c>
      <c r="Y130" s="19">
        <v>0.0</v>
      </c>
      <c r="Z130" s="19">
        <v>1.0</v>
      </c>
      <c r="AA130" s="19">
        <v>0.0</v>
      </c>
      <c r="AB130" s="19">
        <v>1.0</v>
      </c>
      <c r="AC130" s="19">
        <v>0.0</v>
      </c>
      <c r="AD130" s="19">
        <v>2.0</v>
      </c>
      <c r="AE130" s="13">
        <v>12.0</v>
      </c>
      <c r="AF130" s="1"/>
      <c r="AG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1.0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3.0</v>
      </c>
      <c r="AE131" s="13">
        <v>8.0</v>
      </c>
      <c r="AF131" s="52"/>
      <c r="AG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3">
        <v>2.0</v>
      </c>
      <c r="AF132" s="5"/>
      <c r="AG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3">
        <v>1.0</v>
      </c>
      <c r="AF133" s="5"/>
      <c r="AG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3">
        <v>0.0</v>
      </c>
      <c r="AF134" s="5"/>
      <c r="AG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3">
        <v>0.0</v>
      </c>
      <c r="AF135" s="5"/>
      <c r="AG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1.0</v>
      </c>
      <c r="AE136" s="13">
        <v>1.0</v>
      </c>
      <c r="AF136" s="5"/>
      <c r="AG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74"/>
      <c r="AF137" s="5"/>
      <c r="AG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74"/>
      <c r="AF138" s="5"/>
      <c r="AG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D139" si="20">SUM(E129:E136)</f>
        <v>0</v>
      </c>
      <c r="F139" s="13">
        <f t="shared" si="20"/>
        <v>0</v>
      </c>
      <c r="G139" s="13">
        <f t="shared" si="20"/>
        <v>3</v>
      </c>
      <c r="H139" s="13">
        <f t="shared" si="20"/>
        <v>0</v>
      </c>
      <c r="I139" s="13">
        <f t="shared" si="20"/>
        <v>0</v>
      </c>
      <c r="J139" s="13">
        <f t="shared" si="20"/>
        <v>0</v>
      </c>
      <c r="K139" s="13">
        <f t="shared" si="20"/>
        <v>4</v>
      </c>
      <c r="L139" s="13">
        <f t="shared" si="20"/>
        <v>4</v>
      </c>
      <c r="M139" s="13">
        <f t="shared" si="20"/>
        <v>0</v>
      </c>
      <c r="N139" s="13">
        <f t="shared" si="20"/>
        <v>1</v>
      </c>
      <c r="O139" s="13">
        <f t="shared" si="20"/>
        <v>0</v>
      </c>
      <c r="P139" s="13">
        <f t="shared" si="20"/>
        <v>0</v>
      </c>
      <c r="Q139" s="13">
        <f t="shared" si="20"/>
        <v>0</v>
      </c>
      <c r="R139" s="13">
        <f t="shared" si="20"/>
        <v>2</v>
      </c>
      <c r="S139" s="13">
        <f t="shared" si="20"/>
        <v>3</v>
      </c>
      <c r="T139" s="13">
        <f t="shared" si="20"/>
        <v>1</v>
      </c>
      <c r="U139" s="13">
        <f t="shared" si="20"/>
        <v>2</v>
      </c>
      <c r="V139" s="13">
        <f t="shared" si="20"/>
        <v>1</v>
      </c>
      <c r="W139" s="13">
        <f t="shared" si="20"/>
        <v>4</v>
      </c>
      <c r="X139" s="13">
        <f t="shared" si="20"/>
        <v>0</v>
      </c>
      <c r="Y139" s="13">
        <f t="shared" si="20"/>
        <v>0</v>
      </c>
      <c r="Z139" s="13">
        <f t="shared" si="20"/>
        <v>2</v>
      </c>
      <c r="AA139" s="13">
        <f t="shared" si="20"/>
        <v>0</v>
      </c>
      <c r="AB139" s="13">
        <f t="shared" si="20"/>
        <v>1</v>
      </c>
      <c r="AC139" s="13">
        <f t="shared" si="20"/>
        <v>0</v>
      </c>
      <c r="AD139" s="13">
        <f t="shared" si="20"/>
        <v>6</v>
      </c>
      <c r="AE139" s="13">
        <f>SUM(E139:AD139)</f>
        <v>34</v>
      </c>
      <c r="AF139" s="5"/>
      <c r="AG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5"/>
      <c r="AG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1.0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1.0</v>
      </c>
      <c r="AE141" s="13">
        <f t="shared" ref="AE141:AE148" si="21">SUM(E141:AD141)</f>
        <v>2</v>
      </c>
      <c r="AF141" s="1"/>
      <c r="AG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1.0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3">
        <f t="shared" si="21"/>
        <v>2</v>
      </c>
      <c r="AF142" s="52"/>
      <c r="AG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1.0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3">
        <f t="shared" si="21"/>
        <v>1</v>
      </c>
      <c r="AF143" s="5"/>
      <c r="AG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3">
        <f t="shared" si="21"/>
        <v>0</v>
      </c>
      <c r="AF144" s="5"/>
      <c r="AG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3">
        <f t="shared" si="21"/>
        <v>0</v>
      </c>
      <c r="AF145" s="5"/>
      <c r="AG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3">
        <f t="shared" si="21"/>
        <v>0</v>
      </c>
      <c r="AF146" s="5"/>
      <c r="AG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3">
        <f t="shared" si="21"/>
        <v>0</v>
      </c>
      <c r="AF147" s="5"/>
      <c r="AG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3">
        <f t="shared" si="21"/>
        <v>0</v>
      </c>
      <c r="AF148" s="5"/>
      <c r="AG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74"/>
      <c r="AF149" s="5"/>
      <c r="AG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74"/>
      <c r="AF150" s="5"/>
      <c r="AG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D151" si="22">SUM(E141:E148)</f>
        <v>0</v>
      </c>
      <c r="F151" s="13">
        <f t="shared" si="22"/>
        <v>1</v>
      </c>
      <c r="G151" s="13">
        <f t="shared" si="22"/>
        <v>0</v>
      </c>
      <c r="H151" s="13">
        <f t="shared" si="22"/>
        <v>0</v>
      </c>
      <c r="I151" s="13">
        <f t="shared" si="22"/>
        <v>0</v>
      </c>
      <c r="J151" s="13">
        <f t="shared" si="22"/>
        <v>0</v>
      </c>
      <c r="K151" s="13">
        <f t="shared" si="22"/>
        <v>0</v>
      </c>
      <c r="L151" s="13">
        <f t="shared" si="22"/>
        <v>0</v>
      </c>
      <c r="M151" s="13">
        <f t="shared" si="22"/>
        <v>0</v>
      </c>
      <c r="N151" s="13">
        <f t="shared" si="22"/>
        <v>0</v>
      </c>
      <c r="O151" s="13">
        <f t="shared" si="22"/>
        <v>0</v>
      </c>
      <c r="P151" s="13">
        <f t="shared" si="22"/>
        <v>0</v>
      </c>
      <c r="Q151" s="13">
        <f t="shared" si="22"/>
        <v>0</v>
      </c>
      <c r="R151" s="13">
        <f t="shared" si="22"/>
        <v>1</v>
      </c>
      <c r="S151" s="13">
        <f t="shared" si="22"/>
        <v>0</v>
      </c>
      <c r="T151" s="13">
        <f t="shared" si="22"/>
        <v>0</v>
      </c>
      <c r="U151" s="13">
        <f t="shared" si="22"/>
        <v>0</v>
      </c>
      <c r="V151" s="13">
        <f t="shared" si="22"/>
        <v>0</v>
      </c>
      <c r="W151" s="13">
        <f t="shared" si="22"/>
        <v>1</v>
      </c>
      <c r="X151" s="13">
        <f t="shared" si="22"/>
        <v>0</v>
      </c>
      <c r="Y151" s="13">
        <f t="shared" si="22"/>
        <v>1</v>
      </c>
      <c r="Z151" s="13">
        <f t="shared" si="22"/>
        <v>0</v>
      </c>
      <c r="AA151" s="13">
        <f t="shared" si="22"/>
        <v>0</v>
      </c>
      <c r="AB151" s="13">
        <f t="shared" si="22"/>
        <v>0</v>
      </c>
      <c r="AC151" s="13">
        <f t="shared" si="22"/>
        <v>0</v>
      </c>
      <c r="AD151" s="13">
        <f t="shared" si="22"/>
        <v>1</v>
      </c>
      <c r="AE151" s="13">
        <f>SUM(E151:AD151)</f>
        <v>5</v>
      </c>
      <c r="AF151" s="1"/>
      <c r="AG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13"/>
      <c r="AF152" s="52"/>
      <c r="AG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3">
        <f t="shared" ref="AE153:AE156" si="23">SUM(E154:AD154)</f>
        <v>2</v>
      </c>
      <c r="AF153" s="5"/>
      <c r="AG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3">
        <f t="shared" si="23"/>
        <v>3</v>
      </c>
      <c r="AF154" s="5"/>
      <c r="AG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2.0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3">
        <f t="shared" si="23"/>
        <v>0</v>
      </c>
      <c r="AF155" s="5"/>
      <c r="AG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3">
        <f t="shared" si="23"/>
        <v>1</v>
      </c>
      <c r="AF156" s="5"/>
      <c r="AG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3">
        <f>SUM(E163:AD163)</f>
        <v>6</v>
      </c>
      <c r="AF157" s="5"/>
      <c r="AG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74"/>
      <c r="AF158" s="5"/>
      <c r="AG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74"/>
      <c r="AF159" s="5"/>
      <c r="AG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74"/>
      <c r="AF160" s="5"/>
      <c r="AG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74"/>
      <c r="AF161" s="5"/>
      <c r="AG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74"/>
      <c r="AF162" s="5"/>
      <c r="AG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D163" si="24">SUM(E153:E157)</f>
        <v>0</v>
      </c>
      <c r="F163" s="13">
        <f t="shared" si="24"/>
        <v>1</v>
      </c>
      <c r="G163" s="13">
        <f t="shared" si="24"/>
        <v>0</v>
      </c>
      <c r="H163" s="13">
        <f t="shared" si="24"/>
        <v>0</v>
      </c>
      <c r="I163" s="13">
        <f t="shared" si="24"/>
        <v>2</v>
      </c>
      <c r="J163" s="13">
        <f t="shared" si="24"/>
        <v>0</v>
      </c>
      <c r="K163" s="13">
        <f t="shared" si="24"/>
        <v>0</v>
      </c>
      <c r="L163" s="13">
        <f t="shared" si="24"/>
        <v>0</v>
      </c>
      <c r="M163" s="13">
        <f t="shared" si="24"/>
        <v>0</v>
      </c>
      <c r="N163" s="13">
        <f t="shared" si="24"/>
        <v>1</v>
      </c>
      <c r="O163" s="13">
        <f t="shared" si="24"/>
        <v>0</v>
      </c>
      <c r="P163" s="13">
        <f t="shared" si="24"/>
        <v>1</v>
      </c>
      <c r="Q163" s="13">
        <f t="shared" si="24"/>
        <v>0</v>
      </c>
      <c r="R163" s="13">
        <f t="shared" si="24"/>
        <v>0</v>
      </c>
      <c r="S163" s="13">
        <f t="shared" si="24"/>
        <v>0</v>
      </c>
      <c r="T163" s="13">
        <f t="shared" si="24"/>
        <v>1</v>
      </c>
      <c r="U163" s="13">
        <f t="shared" si="24"/>
        <v>0</v>
      </c>
      <c r="V163" s="13">
        <f t="shared" si="24"/>
        <v>0</v>
      </c>
      <c r="W163" s="13">
        <f t="shared" si="24"/>
        <v>0</v>
      </c>
      <c r="X163" s="13">
        <f t="shared" si="24"/>
        <v>0</v>
      </c>
      <c r="Y163" s="13">
        <f t="shared" si="24"/>
        <v>0</v>
      </c>
      <c r="Z163" s="13">
        <f t="shared" si="24"/>
        <v>0</v>
      </c>
      <c r="AA163" s="13">
        <f t="shared" si="24"/>
        <v>0</v>
      </c>
      <c r="AB163" s="13">
        <f t="shared" si="24"/>
        <v>0</v>
      </c>
      <c r="AC163" s="13">
        <f t="shared" si="24"/>
        <v>0</v>
      </c>
      <c r="AD163" s="13">
        <f t="shared" si="24"/>
        <v>0</v>
      </c>
      <c r="AE163" s="13">
        <f>SUM(E164:AD164)</f>
        <v>0</v>
      </c>
      <c r="AF163" s="5"/>
      <c r="AG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5"/>
      <c r="AG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3">
        <f t="shared" ref="AE165:AE172" si="25">SUM(E165:AD165)</f>
        <v>2</v>
      </c>
      <c r="AF165" s="1"/>
      <c r="AG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3">
        <f t="shared" si="25"/>
        <v>1</v>
      </c>
      <c r="AF166" s="52"/>
      <c r="AG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3">
        <f t="shared" si="25"/>
        <v>0</v>
      </c>
      <c r="AF167" s="5"/>
      <c r="AG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1.0</v>
      </c>
      <c r="AB168" s="19">
        <v>0.0</v>
      </c>
      <c r="AC168" s="19">
        <v>0.0</v>
      </c>
      <c r="AD168" s="19">
        <v>0.0</v>
      </c>
      <c r="AE168" s="13">
        <f t="shared" si="25"/>
        <v>2</v>
      </c>
      <c r="AF168" s="5"/>
      <c r="AG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3">
        <f t="shared" si="25"/>
        <v>0</v>
      </c>
      <c r="AF169" s="5"/>
      <c r="AG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3">
        <f t="shared" si="25"/>
        <v>0</v>
      </c>
      <c r="AF170" s="5"/>
      <c r="AG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1.0</v>
      </c>
      <c r="AA171" s="19">
        <v>0.0</v>
      </c>
      <c r="AB171" s="19">
        <v>0.0</v>
      </c>
      <c r="AC171" s="19">
        <v>0.0</v>
      </c>
      <c r="AD171" s="19">
        <v>0.0</v>
      </c>
      <c r="AE171" s="13">
        <f t="shared" si="25"/>
        <v>1</v>
      </c>
      <c r="AF171" s="5"/>
      <c r="AG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3">
        <f t="shared" si="25"/>
        <v>0</v>
      </c>
      <c r="AF172" s="5"/>
      <c r="AG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74"/>
      <c r="AF173" s="5"/>
      <c r="AG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74"/>
      <c r="AF174" s="5"/>
      <c r="AG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D175" si="26">SUM(E165:E172)</f>
        <v>0</v>
      </c>
      <c r="F175" s="13">
        <f t="shared" si="26"/>
        <v>0</v>
      </c>
      <c r="G175" s="13">
        <f t="shared" si="26"/>
        <v>0</v>
      </c>
      <c r="H175" s="13">
        <f t="shared" si="26"/>
        <v>0</v>
      </c>
      <c r="I175" s="13">
        <f t="shared" si="26"/>
        <v>0</v>
      </c>
      <c r="J175" s="13">
        <f t="shared" si="26"/>
        <v>0</v>
      </c>
      <c r="K175" s="13">
        <f t="shared" si="26"/>
        <v>0</v>
      </c>
      <c r="L175" s="13">
        <f t="shared" si="26"/>
        <v>0</v>
      </c>
      <c r="M175" s="13">
        <f t="shared" si="26"/>
        <v>0</v>
      </c>
      <c r="N175" s="13">
        <f t="shared" si="26"/>
        <v>0</v>
      </c>
      <c r="O175" s="13">
        <f t="shared" si="26"/>
        <v>1</v>
      </c>
      <c r="P175" s="13">
        <f t="shared" si="26"/>
        <v>0</v>
      </c>
      <c r="Q175" s="13">
        <f t="shared" si="26"/>
        <v>1</v>
      </c>
      <c r="R175" s="13">
        <f t="shared" si="26"/>
        <v>1</v>
      </c>
      <c r="S175" s="13">
        <f t="shared" si="26"/>
        <v>0</v>
      </c>
      <c r="T175" s="13">
        <f t="shared" si="26"/>
        <v>1</v>
      </c>
      <c r="U175" s="13">
        <f t="shared" si="26"/>
        <v>0</v>
      </c>
      <c r="V175" s="13">
        <f t="shared" si="26"/>
        <v>0</v>
      </c>
      <c r="W175" s="13">
        <f t="shared" si="26"/>
        <v>0</v>
      </c>
      <c r="X175" s="13">
        <f t="shared" si="26"/>
        <v>0</v>
      </c>
      <c r="Y175" s="13">
        <f t="shared" si="26"/>
        <v>0</v>
      </c>
      <c r="Z175" s="13">
        <f t="shared" si="26"/>
        <v>1</v>
      </c>
      <c r="AA175" s="13">
        <f t="shared" si="26"/>
        <v>1</v>
      </c>
      <c r="AB175" s="13">
        <f t="shared" si="26"/>
        <v>0</v>
      </c>
      <c r="AC175" s="13">
        <f t="shared" si="26"/>
        <v>0</v>
      </c>
      <c r="AD175" s="13">
        <f t="shared" si="26"/>
        <v>0</v>
      </c>
      <c r="AE175" s="13">
        <f>SUM(E175:AD175)</f>
        <v>6</v>
      </c>
      <c r="AF175" s="5"/>
      <c r="AG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1"/>
      <c r="AG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1.0</v>
      </c>
      <c r="T177" s="19">
        <v>1.0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0.0</v>
      </c>
      <c r="AD177" s="19">
        <v>3.0</v>
      </c>
      <c r="AE177" s="13">
        <f t="shared" ref="AE177:AE184" si="27">SUM(E177:AD177)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1.0</v>
      </c>
      <c r="AA178" s="19">
        <v>0.0</v>
      </c>
      <c r="AB178" s="19">
        <v>1.0</v>
      </c>
      <c r="AC178" s="19">
        <v>0.0</v>
      </c>
      <c r="AD178" s="19">
        <v>0.0</v>
      </c>
      <c r="AE178" s="13">
        <f t="shared" si="27"/>
        <v>5</v>
      </c>
      <c r="AF178" s="5"/>
      <c r="AG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1.0</v>
      </c>
      <c r="W179" s="19">
        <v>1.0</v>
      </c>
      <c r="X179" s="19">
        <v>0.0</v>
      </c>
      <c r="Y179" s="19">
        <v>1.0</v>
      </c>
      <c r="Z179" s="19">
        <v>0.0</v>
      </c>
      <c r="AA179" s="19">
        <v>1.0</v>
      </c>
      <c r="AB179" s="19">
        <v>1.0</v>
      </c>
      <c r="AC179" s="19">
        <v>0.0</v>
      </c>
      <c r="AD179" s="19">
        <v>1.0</v>
      </c>
      <c r="AE179" s="13">
        <f t="shared" si="27"/>
        <v>7</v>
      </c>
      <c r="AF179" s="5"/>
      <c r="AG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3">
        <f t="shared" si="27"/>
        <v>5</v>
      </c>
      <c r="AF180" s="5"/>
      <c r="AG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1.0</v>
      </c>
      <c r="AD181" s="19">
        <v>0.0</v>
      </c>
      <c r="AE181" s="13">
        <f t="shared" si="27"/>
        <v>5</v>
      </c>
      <c r="AF181" s="5"/>
      <c r="AG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3">
        <f t="shared" si="27"/>
        <v>1</v>
      </c>
      <c r="AF182" s="5"/>
      <c r="AG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3">
        <f t="shared" si="27"/>
        <v>0</v>
      </c>
      <c r="AF183" s="5"/>
      <c r="AG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1.0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4.0</v>
      </c>
      <c r="O184" s="19">
        <v>7.0</v>
      </c>
      <c r="P184" s="19">
        <v>4.0</v>
      </c>
      <c r="Q184" s="19">
        <v>0.0</v>
      </c>
      <c r="R184" s="19">
        <v>0.0</v>
      </c>
      <c r="S184" s="19">
        <v>6.0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1.0</v>
      </c>
      <c r="AE184" s="13">
        <f t="shared" si="27"/>
        <v>23</v>
      </c>
      <c r="AF184" s="5"/>
      <c r="AG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74"/>
      <c r="AF185" s="5"/>
      <c r="AG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74"/>
      <c r="AF186" s="5"/>
      <c r="AG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D187" si="28">SUM(E177:E184)</f>
        <v>2</v>
      </c>
      <c r="F187" s="13">
        <f t="shared" si="28"/>
        <v>0</v>
      </c>
      <c r="G187" s="13">
        <f t="shared" si="28"/>
        <v>1</v>
      </c>
      <c r="H187" s="13">
        <f t="shared" si="28"/>
        <v>2</v>
      </c>
      <c r="I187" s="13">
        <f t="shared" si="28"/>
        <v>1</v>
      </c>
      <c r="J187" s="13">
        <f t="shared" si="28"/>
        <v>0</v>
      </c>
      <c r="K187" s="13">
        <f t="shared" si="28"/>
        <v>1</v>
      </c>
      <c r="L187" s="13">
        <f t="shared" si="28"/>
        <v>1</v>
      </c>
      <c r="M187" s="13">
        <f t="shared" si="28"/>
        <v>0</v>
      </c>
      <c r="N187" s="13">
        <f t="shared" si="28"/>
        <v>4</v>
      </c>
      <c r="O187" s="13">
        <f t="shared" si="28"/>
        <v>9</v>
      </c>
      <c r="P187" s="13">
        <f t="shared" si="28"/>
        <v>5</v>
      </c>
      <c r="Q187" s="13">
        <f t="shared" si="28"/>
        <v>0</v>
      </c>
      <c r="R187" s="13">
        <f t="shared" si="28"/>
        <v>0</v>
      </c>
      <c r="S187" s="13">
        <f t="shared" si="28"/>
        <v>10</v>
      </c>
      <c r="T187" s="13">
        <f t="shared" si="28"/>
        <v>1</v>
      </c>
      <c r="U187" s="13">
        <f t="shared" si="28"/>
        <v>1</v>
      </c>
      <c r="V187" s="13">
        <f t="shared" si="28"/>
        <v>2</v>
      </c>
      <c r="W187" s="13">
        <f t="shared" si="28"/>
        <v>1</v>
      </c>
      <c r="X187" s="13">
        <f t="shared" si="28"/>
        <v>0</v>
      </c>
      <c r="Y187" s="13">
        <f t="shared" si="28"/>
        <v>2</v>
      </c>
      <c r="Z187" s="13">
        <f t="shared" si="28"/>
        <v>1</v>
      </c>
      <c r="AA187" s="13">
        <f t="shared" si="28"/>
        <v>1</v>
      </c>
      <c r="AB187" s="13">
        <f t="shared" si="28"/>
        <v>3</v>
      </c>
      <c r="AC187" s="13">
        <f t="shared" si="28"/>
        <v>1</v>
      </c>
      <c r="AD187" s="13">
        <f t="shared" si="28"/>
        <v>5</v>
      </c>
      <c r="AE187" s="13">
        <f>SUM(E187:AD187)</f>
        <v>54</v>
      </c>
      <c r="AF187" s="1"/>
      <c r="AG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E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3">
        <f t="shared" ref="AE189:AE196" si="29">SUM(E189:AD189)</f>
        <v>0</v>
      </c>
      <c r="AF189" s="5"/>
      <c r="AG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3">
        <f t="shared" si="29"/>
        <v>0</v>
      </c>
      <c r="AF190" s="5"/>
      <c r="AG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3">
        <f t="shared" si="29"/>
        <v>0</v>
      </c>
      <c r="AF191" s="5"/>
      <c r="AG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1.0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3">
        <f t="shared" si="29"/>
        <v>1</v>
      </c>
      <c r="AF192" s="5"/>
      <c r="AG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3">
        <f t="shared" si="29"/>
        <v>0</v>
      </c>
      <c r="AF193" s="5"/>
      <c r="AG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3">
        <f t="shared" si="29"/>
        <v>0</v>
      </c>
      <c r="AF194" s="5"/>
      <c r="AG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3">
        <f t="shared" si="29"/>
        <v>0</v>
      </c>
      <c r="AF195" s="5"/>
      <c r="AG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3">
        <f t="shared" si="29"/>
        <v>0</v>
      </c>
      <c r="AF196" s="1"/>
      <c r="AG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74"/>
      <c r="AF197" s="1"/>
      <c r="AG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74"/>
      <c r="AF198" s="1"/>
      <c r="AG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D199" si="30">SUM(E189:E196)</f>
        <v>0</v>
      </c>
      <c r="F199" s="13">
        <f t="shared" si="30"/>
        <v>0</v>
      </c>
      <c r="G199" s="13">
        <f t="shared" si="30"/>
        <v>0</v>
      </c>
      <c r="H199" s="13">
        <f t="shared" si="30"/>
        <v>0</v>
      </c>
      <c r="I199" s="13">
        <f t="shared" si="30"/>
        <v>0</v>
      </c>
      <c r="J199" s="13">
        <f t="shared" si="30"/>
        <v>0</v>
      </c>
      <c r="K199" s="13">
        <f t="shared" si="30"/>
        <v>0</v>
      </c>
      <c r="L199" s="13">
        <f t="shared" si="30"/>
        <v>0</v>
      </c>
      <c r="M199" s="13">
        <f t="shared" si="30"/>
        <v>0</v>
      </c>
      <c r="N199" s="13">
        <f t="shared" si="30"/>
        <v>0</v>
      </c>
      <c r="O199" s="13">
        <f t="shared" si="30"/>
        <v>0</v>
      </c>
      <c r="P199" s="13">
        <f t="shared" si="30"/>
        <v>0</v>
      </c>
      <c r="Q199" s="13">
        <f t="shared" si="30"/>
        <v>0</v>
      </c>
      <c r="R199" s="13">
        <f t="shared" si="30"/>
        <v>0</v>
      </c>
      <c r="S199" s="13">
        <f t="shared" si="30"/>
        <v>0</v>
      </c>
      <c r="T199" s="13">
        <f t="shared" si="30"/>
        <v>0</v>
      </c>
      <c r="U199" s="13">
        <f t="shared" si="30"/>
        <v>1</v>
      </c>
      <c r="V199" s="13">
        <f t="shared" si="30"/>
        <v>0</v>
      </c>
      <c r="W199" s="13">
        <f t="shared" si="30"/>
        <v>0</v>
      </c>
      <c r="X199" s="13">
        <f t="shared" si="30"/>
        <v>0</v>
      </c>
      <c r="Y199" s="13">
        <f t="shared" si="30"/>
        <v>0</v>
      </c>
      <c r="Z199" s="13">
        <f t="shared" si="30"/>
        <v>0</v>
      </c>
      <c r="AA199" s="13">
        <f t="shared" si="30"/>
        <v>0</v>
      </c>
      <c r="AB199" s="13">
        <f t="shared" si="30"/>
        <v>0</v>
      </c>
      <c r="AC199" s="13">
        <f t="shared" si="30"/>
        <v>0</v>
      </c>
      <c r="AD199" s="13">
        <f t="shared" si="30"/>
        <v>0</v>
      </c>
      <c r="AE199" s="13">
        <f>SUM(E199:AD199)</f>
        <v>1</v>
      </c>
      <c r="AF199" s="52"/>
      <c r="AG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5"/>
      <c r="AG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4.0</v>
      </c>
      <c r="H201" s="19">
        <v>1.0</v>
      </c>
      <c r="I201" s="19">
        <v>1.0</v>
      </c>
      <c r="J201" s="19">
        <v>0.0</v>
      </c>
      <c r="K201" s="19">
        <v>2.0</v>
      </c>
      <c r="L201" s="19">
        <v>1.0</v>
      </c>
      <c r="M201" s="19">
        <v>0.0</v>
      </c>
      <c r="N201" s="19">
        <v>0.0</v>
      </c>
      <c r="O201" s="19">
        <v>2.0</v>
      </c>
      <c r="P201" s="19">
        <v>1.0</v>
      </c>
      <c r="Q201" s="19">
        <v>0.0</v>
      </c>
      <c r="R201" s="19">
        <v>1.0</v>
      </c>
      <c r="S201" s="19">
        <v>2.0</v>
      </c>
      <c r="T201" s="19">
        <v>3.0</v>
      </c>
      <c r="U201" s="19">
        <v>6.0</v>
      </c>
      <c r="V201" s="19">
        <v>8.0</v>
      </c>
      <c r="W201" s="19">
        <v>3.0</v>
      </c>
      <c r="X201" s="19">
        <v>0.0</v>
      </c>
      <c r="Y201" s="19">
        <v>0.0</v>
      </c>
      <c r="Z201" s="19">
        <v>1.0</v>
      </c>
      <c r="AA201" s="19">
        <v>0.0</v>
      </c>
      <c r="AB201" s="19">
        <v>0.0</v>
      </c>
      <c r="AC201" s="19">
        <v>2.0</v>
      </c>
      <c r="AD201" s="19">
        <v>0.0</v>
      </c>
      <c r="AE201" s="13">
        <f t="shared" ref="AE201:AE208" si="31">SUM(E201:AD201)</f>
        <v>38</v>
      </c>
      <c r="AF201" s="5"/>
      <c r="AG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2.0</v>
      </c>
      <c r="G202" s="19">
        <v>2.0</v>
      </c>
      <c r="H202" s="19">
        <v>2.0</v>
      </c>
      <c r="I202" s="19">
        <v>0.0</v>
      </c>
      <c r="J202" s="19">
        <v>1.0</v>
      </c>
      <c r="K202" s="19">
        <v>0.0</v>
      </c>
      <c r="L202" s="19">
        <v>2.0</v>
      </c>
      <c r="M202" s="19">
        <v>2.0</v>
      </c>
      <c r="N202" s="19">
        <v>3.0</v>
      </c>
      <c r="O202" s="19">
        <v>1.0</v>
      </c>
      <c r="P202" s="19">
        <v>1.0</v>
      </c>
      <c r="Q202" s="19">
        <v>1.0</v>
      </c>
      <c r="R202" s="19">
        <v>1.0</v>
      </c>
      <c r="S202" s="19">
        <v>3.0</v>
      </c>
      <c r="T202" s="19">
        <v>2.0</v>
      </c>
      <c r="U202" s="19">
        <v>5.0</v>
      </c>
      <c r="V202" s="19">
        <v>9.0</v>
      </c>
      <c r="W202" s="19">
        <v>75.0</v>
      </c>
      <c r="X202" s="19">
        <v>2.0</v>
      </c>
      <c r="Y202" s="19">
        <v>5.0</v>
      </c>
      <c r="Z202" s="19">
        <v>5.0</v>
      </c>
      <c r="AA202" s="19">
        <v>4.0</v>
      </c>
      <c r="AB202" s="19">
        <v>3.0</v>
      </c>
      <c r="AC202" s="19">
        <v>5.0</v>
      </c>
      <c r="AD202" s="19">
        <v>2.0</v>
      </c>
      <c r="AE202" s="13">
        <f t="shared" si="31"/>
        <v>142</v>
      </c>
      <c r="AF202" s="5"/>
      <c r="AG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0.0</v>
      </c>
      <c r="H203" s="19">
        <v>4.0</v>
      </c>
      <c r="I203" s="19">
        <v>0.0</v>
      </c>
      <c r="J203" s="19">
        <v>1.0</v>
      </c>
      <c r="K203" s="19">
        <v>1.0</v>
      </c>
      <c r="L203" s="19">
        <v>0.0</v>
      </c>
      <c r="M203" s="19">
        <v>5.0</v>
      </c>
      <c r="N203" s="19">
        <v>2.0</v>
      </c>
      <c r="O203" s="19">
        <v>2.0</v>
      </c>
      <c r="P203" s="19">
        <v>0.0</v>
      </c>
      <c r="Q203" s="19">
        <v>1.0</v>
      </c>
      <c r="R203" s="19">
        <v>0.0</v>
      </c>
      <c r="S203" s="19">
        <v>0.0</v>
      </c>
      <c r="T203" s="19">
        <v>1.0</v>
      </c>
      <c r="U203" s="19">
        <v>5.0</v>
      </c>
      <c r="V203" s="19">
        <v>1.0</v>
      </c>
      <c r="W203" s="19">
        <v>1.0</v>
      </c>
      <c r="X203" s="19">
        <v>1.0</v>
      </c>
      <c r="Y203" s="19">
        <v>2.0</v>
      </c>
      <c r="Z203" s="19">
        <v>1.0</v>
      </c>
      <c r="AA203" s="19">
        <v>0.0</v>
      </c>
      <c r="AB203" s="19">
        <v>2.0</v>
      </c>
      <c r="AC203" s="19">
        <v>0.0</v>
      </c>
      <c r="AD203" s="19">
        <v>0.0</v>
      </c>
      <c r="AE203" s="13">
        <f t="shared" si="31"/>
        <v>31</v>
      </c>
      <c r="AF203" s="5"/>
      <c r="AG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1.0</v>
      </c>
      <c r="AB204" s="19">
        <v>0.0</v>
      </c>
      <c r="AC204" s="19">
        <v>0.0</v>
      </c>
      <c r="AD204" s="19">
        <v>0.0</v>
      </c>
      <c r="AE204" s="13">
        <f t="shared" si="31"/>
        <v>4</v>
      </c>
      <c r="AF204" s="5"/>
      <c r="AG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2.0</v>
      </c>
      <c r="U205" s="19">
        <v>18.0</v>
      </c>
      <c r="V205" s="19">
        <v>1.0</v>
      </c>
      <c r="W205" s="19">
        <v>3.0</v>
      </c>
      <c r="X205" s="19">
        <v>1.0</v>
      </c>
      <c r="Y205" s="19">
        <v>1.0</v>
      </c>
      <c r="Z205" s="19">
        <v>0.0</v>
      </c>
      <c r="AA205" s="19">
        <v>3.0</v>
      </c>
      <c r="AB205" s="19">
        <v>0.0</v>
      </c>
      <c r="AC205" s="19">
        <v>0.0</v>
      </c>
      <c r="AD205" s="19">
        <v>0.0</v>
      </c>
      <c r="AE205" s="13">
        <f t="shared" si="31"/>
        <v>31</v>
      </c>
      <c r="AF205" s="5"/>
      <c r="AG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1.0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3">
        <f t="shared" si="31"/>
        <v>3</v>
      </c>
      <c r="AF206" s="5"/>
      <c r="AG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3">
        <f t="shared" si="31"/>
        <v>1</v>
      </c>
      <c r="AF207" s="1"/>
      <c r="AG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3">
        <f t="shared" si="31"/>
        <v>3</v>
      </c>
      <c r="AF208" s="52"/>
      <c r="AG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74"/>
      <c r="AF209" s="52"/>
      <c r="AG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74"/>
      <c r="AF210" s="52"/>
      <c r="AG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D211" si="32">SUM(E201:E208)</f>
        <v>5</v>
      </c>
      <c r="F211" s="13">
        <f t="shared" si="32"/>
        <v>2</v>
      </c>
      <c r="G211" s="13">
        <f t="shared" si="32"/>
        <v>6</v>
      </c>
      <c r="H211" s="13">
        <f t="shared" si="32"/>
        <v>9</v>
      </c>
      <c r="I211" s="13">
        <f t="shared" si="32"/>
        <v>1</v>
      </c>
      <c r="J211" s="13">
        <f t="shared" si="32"/>
        <v>2</v>
      </c>
      <c r="K211" s="13">
        <f t="shared" si="32"/>
        <v>5</v>
      </c>
      <c r="L211" s="13">
        <f t="shared" si="32"/>
        <v>3</v>
      </c>
      <c r="M211" s="13">
        <f t="shared" si="32"/>
        <v>7</v>
      </c>
      <c r="N211" s="13">
        <f t="shared" si="32"/>
        <v>5</v>
      </c>
      <c r="O211" s="13">
        <f t="shared" si="32"/>
        <v>6</v>
      </c>
      <c r="P211" s="13">
        <f t="shared" si="32"/>
        <v>2</v>
      </c>
      <c r="Q211" s="13">
        <f t="shared" si="32"/>
        <v>3</v>
      </c>
      <c r="R211" s="13">
        <f t="shared" si="32"/>
        <v>3</v>
      </c>
      <c r="S211" s="13">
        <f t="shared" si="32"/>
        <v>6</v>
      </c>
      <c r="T211" s="13">
        <f t="shared" si="32"/>
        <v>9</v>
      </c>
      <c r="U211" s="13">
        <f t="shared" si="32"/>
        <v>35</v>
      </c>
      <c r="V211" s="13">
        <f t="shared" si="32"/>
        <v>20</v>
      </c>
      <c r="W211" s="13">
        <f t="shared" si="32"/>
        <v>82</v>
      </c>
      <c r="X211" s="13">
        <f t="shared" si="32"/>
        <v>5</v>
      </c>
      <c r="Y211" s="13">
        <f t="shared" si="32"/>
        <v>8</v>
      </c>
      <c r="Z211" s="13">
        <f t="shared" si="32"/>
        <v>7</v>
      </c>
      <c r="AA211" s="13">
        <f t="shared" si="32"/>
        <v>8</v>
      </c>
      <c r="AB211" s="13">
        <f t="shared" si="32"/>
        <v>5</v>
      </c>
      <c r="AC211" s="13">
        <f t="shared" si="32"/>
        <v>7</v>
      </c>
      <c r="AD211" s="13">
        <f t="shared" si="32"/>
        <v>2</v>
      </c>
      <c r="AE211" s="13">
        <f>SUM(E211:AD211)</f>
        <v>253</v>
      </c>
      <c r="AF211" s="5"/>
      <c r="AG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5"/>
      <c r="AG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2.0</v>
      </c>
      <c r="H213" s="19">
        <v>0.0</v>
      </c>
      <c r="I213" s="19">
        <v>0.0</v>
      </c>
      <c r="J213" s="19">
        <v>0.0</v>
      </c>
      <c r="K213" s="19">
        <v>0.0</v>
      </c>
      <c r="L213" s="19">
        <v>1.0</v>
      </c>
      <c r="M213" s="19">
        <v>1.0</v>
      </c>
      <c r="N213" s="19">
        <v>0.0</v>
      </c>
      <c r="O213" s="19">
        <v>1.0</v>
      </c>
      <c r="P213" s="19">
        <v>0.0</v>
      </c>
      <c r="Q213" s="19">
        <v>0.0</v>
      </c>
      <c r="R213" s="19">
        <v>1.0</v>
      </c>
      <c r="S213" s="19">
        <v>4.0</v>
      </c>
      <c r="T213" s="19">
        <v>1.0</v>
      </c>
      <c r="U213" s="19">
        <v>0.0</v>
      </c>
      <c r="V213" s="19">
        <v>0.0</v>
      </c>
      <c r="W213" s="19">
        <v>2.0</v>
      </c>
      <c r="X213" s="19">
        <v>4.0</v>
      </c>
      <c r="Y213" s="19">
        <v>2.0</v>
      </c>
      <c r="Z213" s="19">
        <v>4.0</v>
      </c>
      <c r="AA213" s="19">
        <v>1.0</v>
      </c>
      <c r="AB213" s="19">
        <v>0.0</v>
      </c>
      <c r="AC213" s="19">
        <v>2.0</v>
      </c>
      <c r="AD213" s="19">
        <v>1.0</v>
      </c>
      <c r="AE213" s="13">
        <f t="shared" ref="AE213:AE220" si="33">SUM(E213:AD213)</f>
        <v>27</v>
      </c>
      <c r="AF213" s="5"/>
      <c r="AG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5.0</v>
      </c>
      <c r="G214" s="19">
        <v>5.0</v>
      </c>
      <c r="H214" s="19">
        <v>0.0</v>
      </c>
      <c r="I214" s="19">
        <v>0.0</v>
      </c>
      <c r="J214" s="19">
        <v>0.0</v>
      </c>
      <c r="K214" s="19">
        <v>1.0</v>
      </c>
      <c r="L214" s="19">
        <v>2.0</v>
      </c>
      <c r="M214" s="19">
        <v>0.0</v>
      </c>
      <c r="N214" s="19">
        <v>5.0</v>
      </c>
      <c r="O214" s="19">
        <v>2.0</v>
      </c>
      <c r="P214" s="19">
        <v>1.0</v>
      </c>
      <c r="Q214" s="19">
        <v>5.0</v>
      </c>
      <c r="R214" s="19">
        <v>1.0</v>
      </c>
      <c r="S214" s="19">
        <v>2.0</v>
      </c>
      <c r="T214" s="19">
        <v>6.0</v>
      </c>
      <c r="U214" s="19">
        <v>1.0</v>
      </c>
      <c r="V214" s="19">
        <v>1.0</v>
      </c>
      <c r="W214" s="19">
        <v>2.0</v>
      </c>
      <c r="X214" s="19">
        <v>1.0</v>
      </c>
      <c r="Y214" s="19">
        <v>7.0</v>
      </c>
      <c r="Z214" s="19">
        <v>0.0</v>
      </c>
      <c r="AA214" s="19">
        <v>0.0</v>
      </c>
      <c r="AB214" s="19">
        <v>0.0</v>
      </c>
      <c r="AC214" s="19">
        <v>1.0</v>
      </c>
      <c r="AD214" s="19">
        <v>1.0</v>
      </c>
      <c r="AE214" s="13">
        <f t="shared" si="33"/>
        <v>50</v>
      </c>
      <c r="AF214" s="5"/>
      <c r="AG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3.0</v>
      </c>
      <c r="J215" s="19">
        <v>0.0</v>
      </c>
      <c r="K215" s="19">
        <v>1.0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0.0</v>
      </c>
      <c r="R215" s="19">
        <v>0.0</v>
      </c>
      <c r="S215" s="19">
        <v>0.0</v>
      </c>
      <c r="T215" s="19">
        <v>1.0</v>
      </c>
      <c r="U215" s="19">
        <v>1.0</v>
      </c>
      <c r="V215" s="19">
        <v>1.0</v>
      </c>
      <c r="W215" s="19">
        <v>1.0</v>
      </c>
      <c r="X215" s="19">
        <v>11.0</v>
      </c>
      <c r="Y215" s="19">
        <v>3.0</v>
      </c>
      <c r="Z215" s="19">
        <v>33.0</v>
      </c>
      <c r="AA215" s="19">
        <v>9.0</v>
      </c>
      <c r="AB215" s="19">
        <v>6.0</v>
      </c>
      <c r="AC215" s="19">
        <v>7.0</v>
      </c>
      <c r="AD215" s="19">
        <v>6.0</v>
      </c>
      <c r="AE215" s="13">
        <f t="shared" si="33"/>
        <v>84</v>
      </c>
      <c r="AF215" s="5"/>
      <c r="AG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1.0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3">
        <f t="shared" si="33"/>
        <v>6</v>
      </c>
      <c r="AF216" s="5"/>
      <c r="AG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3">
        <f t="shared" si="33"/>
        <v>1</v>
      </c>
      <c r="AF217" s="5"/>
      <c r="AG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3">
        <f t="shared" si="33"/>
        <v>1</v>
      </c>
      <c r="AF218" s="1"/>
      <c r="AG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3">
        <f t="shared" si="33"/>
        <v>0</v>
      </c>
      <c r="AF219" s="52"/>
      <c r="AG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1.0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3">
        <f t="shared" si="33"/>
        <v>1</v>
      </c>
      <c r="AF220" s="5"/>
      <c r="AG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74"/>
      <c r="AF221" s="5"/>
      <c r="AG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74"/>
      <c r="AF222" s="5"/>
      <c r="AG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D223" si="34">SUM(E213:E220)</f>
        <v>1</v>
      </c>
      <c r="F223" s="13">
        <f t="shared" si="34"/>
        <v>7</v>
      </c>
      <c r="G223" s="13">
        <f t="shared" si="34"/>
        <v>8</v>
      </c>
      <c r="H223" s="13">
        <f t="shared" si="34"/>
        <v>0</v>
      </c>
      <c r="I223" s="13">
        <f t="shared" si="34"/>
        <v>3</v>
      </c>
      <c r="J223" s="13">
        <f t="shared" si="34"/>
        <v>0</v>
      </c>
      <c r="K223" s="13">
        <f t="shared" si="34"/>
        <v>2</v>
      </c>
      <c r="L223" s="13">
        <f t="shared" si="34"/>
        <v>3</v>
      </c>
      <c r="M223" s="13">
        <f t="shared" si="34"/>
        <v>2</v>
      </c>
      <c r="N223" s="13">
        <f t="shared" si="34"/>
        <v>6</v>
      </c>
      <c r="O223" s="13">
        <f t="shared" si="34"/>
        <v>4</v>
      </c>
      <c r="P223" s="13">
        <f t="shared" si="34"/>
        <v>1</v>
      </c>
      <c r="Q223" s="13">
        <f t="shared" si="34"/>
        <v>5</v>
      </c>
      <c r="R223" s="13">
        <f t="shared" si="34"/>
        <v>2</v>
      </c>
      <c r="S223" s="13">
        <f t="shared" si="34"/>
        <v>6</v>
      </c>
      <c r="T223" s="13">
        <f t="shared" si="34"/>
        <v>8</v>
      </c>
      <c r="U223" s="13">
        <f t="shared" si="34"/>
        <v>2</v>
      </c>
      <c r="V223" s="13">
        <f t="shared" si="34"/>
        <v>2</v>
      </c>
      <c r="W223" s="13">
        <f t="shared" si="34"/>
        <v>6</v>
      </c>
      <c r="X223" s="13">
        <f t="shared" si="34"/>
        <v>16</v>
      </c>
      <c r="Y223" s="13">
        <f t="shared" si="34"/>
        <v>14</v>
      </c>
      <c r="Z223" s="13">
        <f t="shared" si="34"/>
        <v>38</v>
      </c>
      <c r="AA223" s="13">
        <f t="shared" si="34"/>
        <v>10</v>
      </c>
      <c r="AB223" s="13">
        <f t="shared" si="34"/>
        <v>6</v>
      </c>
      <c r="AC223" s="13">
        <f t="shared" si="34"/>
        <v>10</v>
      </c>
      <c r="AD223" s="13">
        <f t="shared" si="34"/>
        <v>8</v>
      </c>
      <c r="AE223" s="13">
        <f>SUM(E223:AD223)</f>
        <v>170</v>
      </c>
      <c r="AF223" s="5"/>
      <c r="AG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5"/>
      <c r="AG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3">
        <f t="shared" ref="AE225:AE232" si="35">SUM(E225:AD225)</f>
        <v>2</v>
      </c>
      <c r="AF225" s="5"/>
      <c r="AG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1.0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0.0</v>
      </c>
      <c r="O226" s="19">
        <v>2.0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1.0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3">
        <f t="shared" si="35"/>
        <v>5</v>
      </c>
      <c r="AF226" s="5"/>
      <c r="AG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3">
        <f t="shared" si="35"/>
        <v>0</v>
      </c>
      <c r="AF227" s="5"/>
      <c r="AG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1.0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3">
        <f t="shared" si="35"/>
        <v>1</v>
      </c>
      <c r="AF228" s="5"/>
      <c r="AG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3">
        <f t="shared" si="35"/>
        <v>0</v>
      </c>
      <c r="AF229" s="1"/>
      <c r="AG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3">
        <f t="shared" si="35"/>
        <v>0</v>
      </c>
      <c r="AF230" s="52"/>
      <c r="AG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3">
        <f t="shared" si="35"/>
        <v>0</v>
      </c>
      <c r="AF231" s="5"/>
      <c r="AG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4.0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3">
        <f t="shared" si="35"/>
        <v>5</v>
      </c>
      <c r="AF232" s="5"/>
      <c r="AG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74"/>
      <c r="AF233" s="5"/>
      <c r="AG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74"/>
      <c r="AF234" s="5"/>
      <c r="AG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D235" si="36">SUM(E225:E232)</f>
        <v>0</v>
      </c>
      <c r="F235" s="13">
        <f t="shared" si="36"/>
        <v>0</v>
      </c>
      <c r="G235" s="13">
        <f t="shared" si="36"/>
        <v>0</v>
      </c>
      <c r="H235" s="13">
        <f t="shared" si="36"/>
        <v>1</v>
      </c>
      <c r="I235" s="13">
        <f t="shared" si="36"/>
        <v>0</v>
      </c>
      <c r="J235" s="13">
        <f t="shared" si="36"/>
        <v>0</v>
      </c>
      <c r="K235" s="13">
        <f t="shared" si="36"/>
        <v>1</v>
      </c>
      <c r="L235" s="13">
        <f t="shared" si="36"/>
        <v>1</v>
      </c>
      <c r="M235" s="13">
        <f t="shared" si="36"/>
        <v>0</v>
      </c>
      <c r="N235" s="13">
        <f t="shared" si="36"/>
        <v>0</v>
      </c>
      <c r="O235" s="13">
        <f t="shared" si="36"/>
        <v>6</v>
      </c>
      <c r="P235" s="13">
        <f t="shared" si="36"/>
        <v>1</v>
      </c>
      <c r="Q235" s="13">
        <f t="shared" si="36"/>
        <v>1</v>
      </c>
      <c r="R235" s="13">
        <f t="shared" si="36"/>
        <v>0</v>
      </c>
      <c r="S235" s="13">
        <f t="shared" si="36"/>
        <v>0</v>
      </c>
      <c r="T235" s="13">
        <f t="shared" si="36"/>
        <v>0</v>
      </c>
      <c r="U235" s="13">
        <f t="shared" si="36"/>
        <v>0</v>
      </c>
      <c r="V235" s="13">
        <f t="shared" si="36"/>
        <v>2</v>
      </c>
      <c r="W235" s="13">
        <f t="shared" si="36"/>
        <v>0</v>
      </c>
      <c r="X235" s="13">
        <f t="shared" si="36"/>
        <v>0</v>
      </c>
      <c r="Y235" s="13">
        <f t="shared" si="36"/>
        <v>0</v>
      </c>
      <c r="Z235" s="13">
        <f t="shared" si="36"/>
        <v>0</v>
      </c>
      <c r="AA235" s="13">
        <f t="shared" si="36"/>
        <v>0</v>
      </c>
      <c r="AB235" s="13">
        <f t="shared" si="36"/>
        <v>0</v>
      </c>
      <c r="AC235" s="13">
        <f t="shared" si="36"/>
        <v>0</v>
      </c>
      <c r="AD235" s="13">
        <f t="shared" si="36"/>
        <v>0</v>
      </c>
      <c r="AE235" s="13">
        <f>SUM(E235:AD235)</f>
        <v>13</v>
      </c>
      <c r="AF235" s="5"/>
      <c r="AG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5"/>
      <c r="AG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2.0</v>
      </c>
      <c r="J237" s="19">
        <v>0.0</v>
      </c>
      <c r="K237" s="19">
        <v>0.0</v>
      </c>
      <c r="L237" s="19">
        <v>0.0</v>
      </c>
      <c r="M237" s="19">
        <v>2.0</v>
      </c>
      <c r="N237" s="19">
        <v>0.0</v>
      </c>
      <c r="O237" s="19">
        <v>4.0</v>
      </c>
      <c r="P237" s="19">
        <v>0.0</v>
      </c>
      <c r="Q237" s="19">
        <v>0.0</v>
      </c>
      <c r="R237" s="19">
        <v>0.0</v>
      </c>
      <c r="S237" s="19">
        <v>1.0</v>
      </c>
      <c r="T237" s="19">
        <v>2.0</v>
      </c>
      <c r="U237" s="19">
        <v>1.0</v>
      </c>
      <c r="V237" s="19">
        <v>1.0</v>
      </c>
      <c r="W237" s="19">
        <v>1.0</v>
      </c>
      <c r="X237" s="19">
        <v>0.0</v>
      </c>
      <c r="Y237" s="19">
        <v>0.0</v>
      </c>
      <c r="Z237" s="19">
        <v>0.0</v>
      </c>
      <c r="AA237" s="19">
        <v>2.0</v>
      </c>
      <c r="AB237" s="19">
        <v>1.0</v>
      </c>
      <c r="AC237" s="19">
        <v>1.0</v>
      </c>
      <c r="AD237" s="19">
        <v>0.0</v>
      </c>
      <c r="AE237" s="13">
        <f t="shared" ref="AE237:AE244" si="37">SUM(E237:AD237)</f>
        <v>19</v>
      </c>
      <c r="AF237" s="5"/>
      <c r="AG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3.0</v>
      </c>
      <c r="K238" s="19">
        <v>0.0</v>
      </c>
      <c r="L238" s="19">
        <v>0.0</v>
      </c>
      <c r="M238" s="19">
        <v>1.0</v>
      </c>
      <c r="N238" s="19">
        <v>1.0</v>
      </c>
      <c r="O238" s="19">
        <v>2.0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1.0</v>
      </c>
      <c r="AB238" s="19">
        <v>0.0</v>
      </c>
      <c r="AC238" s="19">
        <v>0.0</v>
      </c>
      <c r="AD238" s="19">
        <v>1.0</v>
      </c>
      <c r="AE238" s="13">
        <f t="shared" si="37"/>
        <v>11</v>
      </c>
      <c r="AF238" s="5"/>
      <c r="AG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3.0</v>
      </c>
      <c r="J239" s="19">
        <v>1.0</v>
      </c>
      <c r="K239" s="19">
        <v>0.0</v>
      </c>
      <c r="L239" s="19">
        <v>0.0</v>
      </c>
      <c r="M239" s="19">
        <v>4.0</v>
      </c>
      <c r="N239" s="19">
        <v>0.0</v>
      </c>
      <c r="O239" s="19">
        <v>1.0</v>
      </c>
      <c r="P239" s="19">
        <v>0.0</v>
      </c>
      <c r="Q239" s="19">
        <v>1.0</v>
      </c>
      <c r="R239" s="19">
        <v>0.0</v>
      </c>
      <c r="S239" s="19">
        <v>2.0</v>
      </c>
      <c r="T239" s="19">
        <v>1.0</v>
      </c>
      <c r="U239" s="19">
        <v>1.0</v>
      </c>
      <c r="V239" s="19">
        <v>6.0</v>
      </c>
      <c r="W239" s="19">
        <v>3.0</v>
      </c>
      <c r="X239" s="19">
        <v>0.0</v>
      </c>
      <c r="Y239" s="19">
        <v>0.0</v>
      </c>
      <c r="Z239" s="19">
        <v>1.0</v>
      </c>
      <c r="AA239" s="19">
        <v>0.0</v>
      </c>
      <c r="AB239" s="19">
        <v>0.0</v>
      </c>
      <c r="AC239" s="19">
        <v>0.0</v>
      </c>
      <c r="AD239" s="19">
        <v>0.0</v>
      </c>
      <c r="AE239" s="13">
        <f t="shared" si="37"/>
        <v>24</v>
      </c>
      <c r="AF239" s="5"/>
      <c r="AG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3">
        <f t="shared" si="37"/>
        <v>4</v>
      </c>
      <c r="AF240" s="1"/>
      <c r="AG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3">
        <f t="shared" si="37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3">
        <f t="shared" si="37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1.0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1.0</v>
      </c>
      <c r="AB243" s="19">
        <v>0.0</v>
      </c>
      <c r="AC243" s="19">
        <v>0.0</v>
      </c>
      <c r="AD243" s="19">
        <v>0.0</v>
      </c>
      <c r="AE243" s="13">
        <f t="shared" si="37"/>
        <v>4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3.0</v>
      </c>
      <c r="H244" s="19">
        <v>1.0</v>
      </c>
      <c r="I244" s="19">
        <v>0.0</v>
      </c>
      <c r="J244" s="19">
        <v>0.0</v>
      </c>
      <c r="K244" s="19">
        <v>39.0</v>
      </c>
      <c r="L244" s="19">
        <v>18.0</v>
      </c>
      <c r="M244" s="19">
        <v>4.0</v>
      </c>
      <c r="N244" s="19">
        <v>2.0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5.0</v>
      </c>
      <c r="U244" s="19">
        <v>0.0</v>
      </c>
      <c r="V244" s="19">
        <v>4.0</v>
      </c>
      <c r="W244" s="19">
        <v>1.0</v>
      </c>
      <c r="X244" s="19">
        <v>0.0</v>
      </c>
      <c r="Y244" s="19">
        <v>0.0</v>
      </c>
      <c r="Z244" s="19">
        <v>0.0</v>
      </c>
      <c r="AA244" s="19">
        <v>6.0</v>
      </c>
      <c r="AB244" s="19">
        <v>0.0</v>
      </c>
      <c r="AC244" s="19">
        <v>1.0</v>
      </c>
      <c r="AD244" s="19">
        <v>0.0</v>
      </c>
      <c r="AE244" s="13">
        <f t="shared" si="37"/>
        <v>85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D247" si="38">SUM(E237:E244)</f>
        <v>1</v>
      </c>
      <c r="F247" s="13">
        <f t="shared" si="38"/>
        <v>1</v>
      </c>
      <c r="G247" s="13">
        <f t="shared" si="38"/>
        <v>4</v>
      </c>
      <c r="H247" s="13">
        <f t="shared" si="38"/>
        <v>1</v>
      </c>
      <c r="I247" s="13">
        <f t="shared" si="38"/>
        <v>7</v>
      </c>
      <c r="J247" s="13">
        <f t="shared" si="38"/>
        <v>4</v>
      </c>
      <c r="K247" s="13">
        <f t="shared" si="38"/>
        <v>40</v>
      </c>
      <c r="L247" s="13">
        <f t="shared" si="38"/>
        <v>18</v>
      </c>
      <c r="M247" s="13">
        <f t="shared" si="38"/>
        <v>13</v>
      </c>
      <c r="N247" s="13">
        <f t="shared" si="38"/>
        <v>3</v>
      </c>
      <c r="O247" s="13">
        <f t="shared" si="38"/>
        <v>7</v>
      </c>
      <c r="P247" s="13">
        <f t="shared" si="38"/>
        <v>0</v>
      </c>
      <c r="Q247" s="13">
        <f t="shared" si="38"/>
        <v>2</v>
      </c>
      <c r="R247" s="13">
        <f t="shared" si="38"/>
        <v>0</v>
      </c>
      <c r="S247" s="13">
        <f t="shared" si="38"/>
        <v>3</v>
      </c>
      <c r="T247" s="13">
        <f t="shared" si="38"/>
        <v>9</v>
      </c>
      <c r="U247" s="13">
        <f t="shared" si="38"/>
        <v>2</v>
      </c>
      <c r="V247" s="13">
        <f t="shared" si="38"/>
        <v>12</v>
      </c>
      <c r="W247" s="13">
        <f t="shared" si="38"/>
        <v>6</v>
      </c>
      <c r="X247" s="13">
        <f t="shared" si="38"/>
        <v>0</v>
      </c>
      <c r="Y247" s="13">
        <f t="shared" si="38"/>
        <v>0</v>
      </c>
      <c r="Z247" s="13">
        <f t="shared" si="38"/>
        <v>1</v>
      </c>
      <c r="AA247" s="13">
        <f t="shared" si="38"/>
        <v>11</v>
      </c>
      <c r="AB247" s="13">
        <f t="shared" si="38"/>
        <v>1</v>
      </c>
      <c r="AC247" s="13">
        <f t="shared" si="38"/>
        <v>2</v>
      </c>
      <c r="AD247" s="13">
        <f t="shared" si="38"/>
        <v>1</v>
      </c>
      <c r="AE247" s="13">
        <f>SUM(E247:AD247)</f>
        <v>149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1.0</v>
      </c>
      <c r="AD249" s="19">
        <v>0.0</v>
      </c>
      <c r="AE249" s="13">
        <f t="shared" ref="AE249:AE255" si="39">SUM(E249:AD249)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2.0</v>
      </c>
      <c r="AE250" s="13">
        <f t="shared" si="39"/>
        <v>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1.0</v>
      </c>
      <c r="AE251" s="13">
        <f t="shared" si="39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3">
        <f t="shared" si="39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1.0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3">
        <f t="shared" si="39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3">
        <f t="shared" si="39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1.0</v>
      </c>
      <c r="AB255" s="19">
        <v>0.0</v>
      </c>
      <c r="AC255" s="19">
        <v>0.0</v>
      </c>
      <c r="AD255" s="19">
        <v>0.0</v>
      </c>
      <c r="AE255" s="13">
        <f t="shared" si="39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D259" si="40">SUM(E249:E255)</f>
        <v>0</v>
      </c>
      <c r="F259" s="13">
        <f t="shared" si="40"/>
        <v>0</v>
      </c>
      <c r="G259" s="13">
        <f t="shared" si="40"/>
        <v>0</v>
      </c>
      <c r="H259" s="13">
        <f t="shared" si="40"/>
        <v>1</v>
      </c>
      <c r="I259" s="13">
        <f t="shared" si="40"/>
        <v>0</v>
      </c>
      <c r="J259" s="13">
        <f t="shared" si="40"/>
        <v>0</v>
      </c>
      <c r="K259" s="13">
        <f t="shared" si="40"/>
        <v>0</v>
      </c>
      <c r="L259" s="13">
        <f t="shared" si="40"/>
        <v>1</v>
      </c>
      <c r="M259" s="13">
        <f t="shared" si="40"/>
        <v>0</v>
      </c>
      <c r="N259" s="13">
        <f t="shared" si="40"/>
        <v>0</v>
      </c>
      <c r="O259" s="13">
        <f t="shared" si="40"/>
        <v>0</v>
      </c>
      <c r="P259" s="13">
        <f t="shared" si="40"/>
        <v>0</v>
      </c>
      <c r="Q259" s="13">
        <f t="shared" si="40"/>
        <v>0</v>
      </c>
      <c r="R259" s="13">
        <f t="shared" si="40"/>
        <v>0</v>
      </c>
      <c r="S259" s="13">
        <f t="shared" si="40"/>
        <v>2</v>
      </c>
      <c r="T259" s="13">
        <f t="shared" si="40"/>
        <v>0</v>
      </c>
      <c r="U259" s="13">
        <f t="shared" si="40"/>
        <v>0</v>
      </c>
      <c r="V259" s="13">
        <f t="shared" si="40"/>
        <v>0</v>
      </c>
      <c r="W259" s="13">
        <f t="shared" si="40"/>
        <v>0</v>
      </c>
      <c r="X259" s="13">
        <f t="shared" si="40"/>
        <v>0</v>
      </c>
      <c r="Y259" s="13">
        <f t="shared" si="40"/>
        <v>0</v>
      </c>
      <c r="Z259" s="13">
        <f t="shared" si="40"/>
        <v>0</v>
      </c>
      <c r="AA259" s="13">
        <f t="shared" si="40"/>
        <v>1</v>
      </c>
      <c r="AB259" s="13">
        <f t="shared" si="40"/>
        <v>0</v>
      </c>
      <c r="AC259" s="13">
        <f t="shared" si="40"/>
        <v>1</v>
      </c>
      <c r="AD259" s="13">
        <f t="shared" si="40"/>
        <v>3</v>
      </c>
      <c r="AE259" s="13">
        <f>SUM(E259:AD259)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v>204.0</v>
      </c>
      <c r="F262" s="19">
        <v>205.0</v>
      </c>
      <c r="G262" s="19">
        <v>232.0</v>
      </c>
      <c r="H262" s="19">
        <v>178.0</v>
      </c>
      <c r="I262" s="19">
        <v>209.0</v>
      </c>
      <c r="J262" s="19">
        <v>162.0</v>
      </c>
      <c r="K262" s="19">
        <v>230.0</v>
      </c>
      <c r="L262" s="19">
        <v>183.0</v>
      </c>
      <c r="M262" s="19">
        <v>196.0</v>
      </c>
      <c r="N262" s="19">
        <v>178.0</v>
      </c>
      <c r="O262" s="19">
        <v>182.0</v>
      </c>
      <c r="P262" s="19">
        <v>198.0</v>
      </c>
      <c r="Q262" s="19">
        <v>227.0</v>
      </c>
      <c r="R262" s="19">
        <v>222.0</v>
      </c>
      <c r="S262" s="19">
        <v>193.0</v>
      </c>
      <c r="T262" s="19">
        <v>187.0</v>
      </c>
      <c r="U262" s="19">
        <v>209.0</v>
      </c>
      <c r="V262" s="19">
        <v>223.0</v>
      </c>
      <c r="W262" s="19">
        <v>219.0</v>
      </c>
      <c r="X262" s="19">
        <v>206.0</v>
      </c>
      <c r="Y262" s="19">
        <v>182.0</v>
      </c>
      <c r="Z262" s="19">
        <v>201.0</v>
      </c>
      <c r="AA262" s="19">
        <v>172.0</v>
      </c>
      <c r="AB262" s="19">
        <v>158.0</v>
      </c>
      <c r="AC262" s="19">
        <v>208.0</v>
      </c>
      <c r="AD262" s="19">
        <v>170.0</v>
      </c>
      <c r="AE262" s="13">
        <f t="shared" ref="AE262:AE264" si="41">SUM(E262:AD262)</f>
        <v>5134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6.0</v>
      </c>
      <c r="F263" s="19">
        <v>9.0</v>
      </c>
      <c r="G263" s="19">
        <v>4.0</v>
      </c>
      <c r="H263" s="19">
        <v>14.0</v>
      </c>
      <c r="I263" s="19">
        <v>2.0</v>
      </c>
      <c r="J263" s="19">
        <v>4.0</v>
      </c>
      <c r="K263" s="19">
        <v>7.0</v>
      </c>
      <c r="L263" s="19">
        <v>13.0</v>
      </c>
      <c r="M263" s="19">
        <v>9.0</v>
      </c>
      <c r="N263" s="19">
        <v>15.0</v>
      </c>
      <c r="O263" s="19">
        <v>13.0</v>
      </c>
      <c r="P263" s="19">
        <v>14.0</v>
      </c>
      <c r="Q263" s="19">
        <v>13.0</v>
      </c>
      <c r="R263" s="19">
        <v>14.0</v>
      </c>
      <c r="S263" s="19">
        <v>16.0</v>
      </c>
      <c r="T263" s="19">
        <v>22.0</v>
      </c>
      <c r="U263" s="19">
        <v>15.0</v>
      </c>
      <c r="V263" s="19">
        <v>14.0</v>
      </c>
      <c r="W263" s="19">
        <v>15.0</v>
      </c>
      <c r="X263" s="19">
        <v>14.0</v>
      </c>
      <c r="Y263" s="19">
        <v>32.0</v>
      </c>
      <c r="Z263" s="19">
        <v>12.0</v>
      </c>
      <c r="AA263" s="19">
        <v>16.0</v>
      </c>
      <c r="AB263" s="19">
        <v>17.0</v>
      </c>
      <c r="AC263" s="19">
        <v>12.0</v>
      </c>
      <c r="AD263" s="19">
        <v>11.0</v>
      </c>
      <c r="AE263" s="13">
        <f t="shared" si="41"/>
        <v>333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v>210.0</v>
      </c>
      <c r="F264" s="13">
        <v>214.0</v>
      </c>
      <c r="G264" s="13">
        <v>236.0</v>
      </c>
      <c r="H264" s="13">
        <v>192.0</v>
      </c>
      <c r="I264" s="13">
        <v>211.0</v>
      </c>
      <c r="J264" s="13">
        <v>166.0</v>
      </c>
      <c r="K264" s="13">
        <v>237.0</v>
      </c>
      <c r="L264" s="13">
        <v>196.0</v>
      </c>
      <c r="M264" s="13">
        <v>205.0</v>
      </c>
      <c r="N264" s="13">
        <v>193.0</v>
      </c>
      <c r="O264" s="13">
        <v>195.0</v>
      </c>
      <c r="P264" s="13">
        <v>212.0</v>
      </c>
      <c r="Q264" s="13">
        <v>240.0</v>
      </c>
      <c r="R264" s="13">
        <v>236.0</v>
      </c>
      <c r="S264" s="13">
        <v>209.0</v>
      </c>
      <c r="T264" s="13">
        <v>209.0</v>
      </c>
      <c r="U264" s="13">
        <v>224.0</v>
      </c>
      <c r="V264" s="13">
        <v>237.0</v>
      </c>
      <c r="W264" s="13">
        <v>234.0</v>
      </c>
      <c r="X264" s="13">
        <v>220.0</v>
      </c>
      <c r="Y264" s="13">
        <v>214.0</v>
      </c>
      <c r="Z264" s="13">
        <v>213.0</v>
      </c>
      <c r="AA264" s="13">
        <v>188.0</v>
      </c>
      <c r="AB264" s="13">
        <v>175.0</v>
      </c>
      <c r="AC264" s="13">
        <v>220.0</v>
      </c>
      <c r="AD264" s="13">
        <v>181.0</v>
      </c>
      <c r="AE264" s="13">
        <f t="shared" si="41"/>
        <v>5467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D15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E30&lt;&gt;E47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conditionalFormatting sqref="U34:AD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8">
        <v>143.0</v>
      </c>
      <c r="F14" s="79">
        <v>119.0</v>
      </c>
      <c r="G14" s="79">
        <v>113.0</v>
      </c>
      <c r="H14" s="79">
        <v>127.0</v>
      </c>
      <c r="I14" s="79">
        <v>135.0</v>
      </c>
      <c r="J14" s="79">
        <v>129.0</v>
      </c>
      <c r="K14" s="79">
        <v>128.0</v>
      </c>
      <c r="L14" s="79">
        <v>102.0</v>
      </c>
      <c r="M14" s="79">
        <v>122.0</v>
      </c>
      <c r="N14" s="79">
        <v>114.0</v>
      </c>
      <c r="O14" s="79">
        <v>136.0</v>
      </c>
      <c r="P14" s="79">
        <v>113.0</v>
      </c>
      <c r="Q14" s="79">
        <v>124.0</v>
      </c>
      <c r="R14" s="79">
        <v>135.0</v>
      </c>
      <c r="S14" s="79">
        <v>125.0</v>
      </c>
      <c r="T14" s="79">
        <v>110.0</v>
      </c>
      <c r="U14" s="79">
        <v>115.0</v>
      </c>
      <c r="V14" s="79">
        <v>126.0</v>
      </c>
      <c r="W14" s="79">
        <v>143.0</v>
      </c>
      <c r="X14" s="79">
        <v>155.0</v>
      </c>
      <c r="Y14" s="79">
        <v>143.0</v>
      </c>
      <c r="Z14" s="79">
        <v>137.0</v>
      </c>
      <c r="AA14" s="13">
        <f t="shared" ref="AA14:AA16" si="1">SUM(E14:Z14)</f>
        <v>2794</v>
      </c>
    </row>
    <row r="15" ht="12.75" customHeight="1">
      <c r="A15" s="18"/>
      <c r="B15" s="26"/>
      <c r="C15" s="27"/>
      <c r="D15" s="19" t="s">
        <v>13</v>
      </c>
      <c r="E15" s="79">
        <v>125.0</v>
      </c>
      <c r="F15" s="79">
        <v>134.0</v>
      </c>
      <c r="G15" s="79">
        <v>114.0</v>
      </c>
      <c r="H15" s="79">
        <v>133.0</v>
      </c>
      <c r="I15" s="79">
        <v>137.0</v>
      </c>
      <c r="J15" s="79">
        <v>152.0</v>
      </c>
      <c r="K15" s="79">
        <v>136.0</v>
      </c>
      <c r="L15" s="79">
        <v>110.0</v>
      </c>
      <c r="M15" s="79">
        <v>120.0</v>
      </c>
      <c r="N15" s="79">
        <v>117.0</v>
      </c>
      <c r="O15" s="79">
        <v>129.0</v>
      </c>
      <c r="P15" s="79">
        <v>135.0</v>
      </c>
      <c r="Q15" s="79">
        <v>118.0</v>
      </c>
      <c r="R15" s="79">
        <v>137.0</v>
      </c>
      <c r="S15" s="79">
        <v>122.0</v>
      </c>
      <c r="T15" s="79">
        <v>115.0</v>
      </c>
      <c r="U15" s="79">
        <v>114.0</v>
      </c>
      <c r="V15" s="79">
        <v>139.0</v>
      </c>
      <c r="W15" s="79">
        <v>137.0</v>
      </c>
      <c r="X15" s="79">
        <v>142.0</v>
      </c>
      <c r="Y15" s="79">
        <v>149.0</v>
      </c>
      <c r="Z15" s="79">
        <v>132.0</v>
      </c>
      <c r="AA15" s="13">
        <f t="shared" si="1"/>
        <v>2847</v>
      </c>
    </row>
    <row r="16" ht="12.75" customHeight="1">
      <c r="A16" s="25"/>
      <c r="B16" s="21"/>
      <c r="C16" s="28"/>
      <c r="D16" s="13" t="s">
        <v>14</v>
      </c>
      <c r="E16" s="80">
        <v>268.0</v>
      </c>
      <c r="F16" s="80">
        <v>253.0</v>
      </c>
      <c r="G16" s="80">
        <v>227.0</v>
      </c>
      <c r="H16" s="80">
        <v>260.0</v>
      </c>
      <c r="I16" s="80">
        <v>272.0</v>
      </c>
      <c r="J16" s="80">
        <v>281.0</v>
      </c>
      <c r="K16" s="80">
        <v>264.0</v>
      </c>
      <c r="L16" s="80">
        <v>212.0</v>
      </c>
      <c r="M16" s="80">
        <v>242.0</v>
      </c>
      <c r="N16" s="80">
        <v>231.0</v>
      </c>
      <c r="O16" s="80">
        <v>265.0</v>
      </c>
      <c r="P16" s="80">
        <v>248.0</v>
      </c>
      <c r="Q16" s="80">
        <v>242.0</v>
      </c>
      <c r="R16" s="80">
        <v>272.0</v>
      </c>
      <c r="S16" s="80">
        <v>247.0</v>
      </c>
      <c r="T16" s="80">
        <v>225.0</v>
      </c>
      <c r="U16" s="80">
        <v>229.0</v>
      </c>
      <c r="V16" s="80">
        <v>265.0</v>
      </c>
      <c r="W16" s="80">
        <v>280.0</v>
      </c>
      <c r="X16" s="80">
        <v>297.0</v>
      </c>
      <c r="Y16" s="80">
        <v>292.0</v>
      </c>
      <c r="Z16" s="80">
        <v>269.0</v>
      </c>
      <c r="AA16" s="13">
        <f t="shared" si="1"/>
        <v>5641</v>
      </c>
    </row>
    <row r="17" ht="12.75" customHeight="1">
      <c r="A17" s="24"/>
      <c r="B17" s="15"/>
      <c r="C17" s="15"/>
      <c r="D17" s="16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68"/>
    </row>
    <row r="18" ht="12.75" customHeight="1">
      <c r="A18" s="30" t="s">
        <v>15</v>
      </c>
      <c r="B18" s="20" t="s">
        <v>16</v>
      </c>
      <c r="C18" s="15"/>
      <c r="D18" s="16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9">
        <v>103.0</v>
      </c>
      <c r="F19" s="79">
        <v>93.0</v>
      </c>
      <c r="G19" s="79">
        <v>79.0</v>
      </c>
      <c r="H19" s="79">
        <v>82.0</v>
      </c>
      <c r="I19" s="79">
        <v>98.0</v>
      </c>
      <c r="J19" s="79">
        <v>95.0</v>
      </c>
      <c r="K19" s="79">
        <v>91.0</v>
      </c>
      <c r="L19" s="79">
        <v>71.0</v>
      </c>
      <c r="M19" s="79">
        <v>92.0</v>
      </c>
      <c r="N19" s="79">
        <v>78.0</v>
      </c>
      <c r="O19" s="79">
        <v>103.0</v>
      </c>
      <c r="P19" s="79">
        <v>94.0</v>
      </c>
      <c r="Q19" s="79">
        <v>96.0</v>
      </c>
      <c r="R19" s="79">
        <v>96.0</v>
      </c>
      <c r="S19" s="79">
        <v>88.0</v>
      </c>
      <c r="T19" s="79">
        <v>78.0</v>
      </c>
      <c r="U19" s="79">
        <v>94.0</v>
      </c>
      <c r="V19" s="79">
        <v>85.0</v>
      </c>
      <c r="W19" s="79">
        <v>85.0</v>
      </c>
      <c r="X19" s="79">
        <v>119.0</v>
      </c>
      <c r="Y19" s="79">
        <v>103.0</v>
      </c>
      <c r="Z19" s="79">
        <v>115.0</v>
      </c>
      <c r="AA19" s="13">
        <f t="shared" ref="AA19:AA30" si="2">SUM(E19:Z19)</f>
        <v>2038</v>
      </c>
    </row>
    <row r="20" ht="12.75" customHeight="1">
      <c r="A20" s="33"/>
      <c r="B20" s="27"/>
      <c r="C20" s="34"/>
      <c r="D20" s="19" t="s">
        <v>13</v>
      </c>
      <c r="E20" s="79">
        <v>104.0</v>
      </c>
      <c r="F20" s="79">
        <v>113.0</v>
      </c>
      <c r="G20" s="79">
        <v>88.0</v>
      </c>
      <c r="H20" s="79">
        <v>106.0</v>
      </c>
      <c r="I20" s="79">
        <v>104.0</v>
      </c>
      <c r="J20" s="79">
        <v>124.0</v>
      </c>
      <c r="K20" s="79">
        <v>107.0</v>
      </c>
      <c r="L20" s="79">
        <v>74.0</v>
      </c>
      <c r="M20" s="79">
        <v>101.0</v>
      </c>
      <c r="N20" s="79">
        <v>84.0</v>
      </c>
      <c r="O20" s="79">
        <v>103.0</v>
      </c>
      <c r="P20" s="79">
        <v>113.0</v>
      </c>
      <c r="Q20" s="79">
        <v>97.0</v>
      </c>
      <c r="R20" s="79">
        <v>111.0</v>
      </c>
      <c r="S20" s="79">
        <v>94.0</v>
      </c>
      <c r="T20" s="79">
        <v>87.0</v>
      </c>
      <c r="U20" s="79">
        <v>87.0</v>
      </c>
      <c r="V20" s="79">
        <v>118.0</v>
      </c>
      <c r="W20" s="79">
        <v>118.0</v>
      </c>
      <c r="X20" s="79">
        <v>122.0</v>
      </c>
      <c r="Y20" s="79">
        <v>122.0</v>
      </c>
      <c r="Z20" s="79">
        <v>113.0</v>
      </c>
      <c r="AA20" s="13">
        <f t="shared" si="2"/>
        <v>2290</v>
      </c>
    </row>
    <row r="21" ht="12.75" customHeight="1">
      <c r="A21" s="35"/>
      <c r="B21" s="28"/>
      <c r="C21" s="36"/>
      <c r="D21" s="13" t="s">
        <v>14</v>
      </c>
      <c r="E21" s="80">
        <v>207.0</v>
      </c>
      <c r="F21" s="80">
        <v>206.0</v>
      </c>
      <c r="G21" s="80">
        <v>167.0</v>
      </c>
      <c r="H21" s="80">
        <v>188.0</v>
      </c>
      <c r="I21" s="80">
        <v>202.0</v>
      </c>
      <c r="J21" s="80">
        <v>219.0</v>
      </c>
      <c r="K21" s="80">
        <v>198.0</v>
      </c>
      <c r="L21" s="80">
        <v>145.0</v>
      </c>
      <c r="M21" s="80">
        <v>193.0</v>
      </c>
      <c r="N21" s="80">
        <v>162.0</v>
      </c>
      <c r="O21" s="80">
        <v>206.0</v>
      </c>
      <c r="P21" s="80">
        <v>207.0</v>
      </c>
      <c r="Q21" s="80">
        <v>193.0</v>
      </c>
      <c r="R21" s="80">
        <v>207.0</v>
      </c>
      <c r="S21" s="80">
        <v>182.0</v>
      </c>
      <c r="T21" s="80">
        <v>165.0</v>
      </c>
      <c r="U21" s="80">
        <v>181.0</v>
      </c>
      <c r="V21" s="80">
        <v>203.0</v>
      </c>
      <c r="W21" s="80">
        <v>203.0</v>
      </c>
      <c r="X21" s="80">
        <v>241.0</v>
      </c>
      <c r="Y21" s="80">
        <v>225.0</v>
      </c>
      <c r="Z21" s="80">
        <v>228.0</v>
      </c>
      <c r="AA21" s="13">
        <f t="shared" si="2"/>
        <v>4328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1.0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13">
        <f t="shared" si="2"/>
        <v>1</v>
      </c>
    </row>
    <row r="23" ht="12.75" customHeight="1">
      <c r="A23" s="33"/>
      <c r="B23" s="27"/>
      <c r="C23" s="34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13">
        <f t="shared" si="2"/>
        <v>0</v>
      </c>
    </row>
    <row r="24" ht="12.75" customHeight="1">
      <c r="A24" s="35"/>
      <c r="B24" s="28"/>
      <c r="C24" s="36"/>
      <c r="D24" s="13" t="s">
        <v>14</v>
      </c>
      <c r="E24" s="80">
        <v>0.0</v>
      </c>
      <c r="F24" s="80">
        <v>0.0</v>
      </c>
      <c r="G24" s="80">
        <v>0.0</v>
      </c>
      <c r="H24" s="80">
        <v>0.0</v>
      </c>
      <c r="I24" s="80">
        <v>0.0</v>
      </c>
      <c r="J24" s="80">
        <v>0.0</v>
      </c>
      <c r="K24" s="80">
        <v>1.0</v>
      </c>
      <c r="L24" s="80">
        <v>0.0</v>
      </c>
      <c r="M24" s="80">
        <v>0.0</v>
      </c>
      <c r="N24" s="80">
        <v>0.0</v>
      </c>
      <c r="O24" s="80">
        <v>0.0</v>
      </c>
      <c r="P24" s="80">
        <v>0.0</v>
      </c>
      <c r="Q24" s="80">
        <v>0.0</v>
      </c>
      <c r="R24" s="80">
        <v>0.0</v>
      </c>
      <c r="S24" s="80">
        <v>0.0</v>
      </c>
      <c r="T24" s="80">
        <v>0.0</v>
      </c>
      <c r="U24" s="80">
        <v>0.0</v>
      </c>
      <c r="V24" s="80">
        <v>0.0</v>
      </c>
      <c r="W24" s="80">
        <v>0.0</v>
      </c>
      <c r="X24" s="80">
        <v>0.0</v>
      </c>
      <c r="Y24" s="80">
        <v>0.0</v>
      </c>
      <c r="Z24" s="80">
        <v>0.0</v>
      </c>
      <c r="AA24" s="13">
        <f t="shared" si="2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9">
        <v>3.0</v>
      </c>
      <c r="F25" s="79">
        <v>1.0</v>
      </c>
      <c r="G25" s="79">
        <v>2.0</v>
      </c>
      <c r="H25" s="79">
        <v>0.0</v>
      </c>
      <c r="I25" s="79">
        <v>2.0</v>
      </c>
      <c r="J25" s="79">
        <v>3.0</v>
      </c>
      <c r="K25" s="79">
        <v>1.0</v>
      </c>
      <c r="L25" s="79">
        <v>1.0</v>
      </c>
      <c r="M25" s="79">
        <v>1.0</v>
      </c>
      <c r="N25" s="79">
        <v>2.0</v>
      </c>
      <c r="O25" s="79">
        <v>0.0</v>
      </c>
      <c r="P25" s="79">
        <v>0.0</v>
      </c>
      <c r="Q25" s="79">
        <v>2.0</v>
      </c>
      <c r="R25" s="79">
        <v>3.0</v>
      </c>
      <c r="S25" s="79">
        <v>2.0</v>
      </c>
      <c r="T25" s="79">
        <v>0.0</v>
      </c>
      <c r="U25" s="79">
        <v>1.0</v>
      </c>
      <c r="V25" s="79">
        <v>2.0</v>
      </c>
      <c r="W25" s="79">
        <v>2.0</v>
      </c>
      <c r="X25" s="79">
        <v>0.0</v>
      </c>
      <c r="Y25" s="79">
        <v>0.0</v>
      </c>
      <c r="Z25" s="79">
        <v>0.0</v>
      </c>
      <c r="AA25" s="13">
        <f t="shared" si="2"/>
        <v>28</v>
      </c>
    </row>
    <row r="26" ht="12.75" customHeight="1">
      <c r="A26" s="33"/>
      <c r="B26" s="27"/>
      <c r="C26" s="34"/>
      <c r="D26" s="19" t="s">
        <v>13</v>
      </c>
      <c r="E26" s="79">
        <v>2.0</v>
      </c>
      <c r="F26" s="79">
        <v>3.0</v>
      </c>
      <c r="G26" s="79">
        <v>2.0</v>
      </c>
      <c r="H26" s="79">
        <v>1.0</v>
      </c>
      <c r="I26" s="79">
        <v>2.0</v>
      </c>
      <c r="J26" s="79">
        <v>2.0</v>
      </c>
      <c r="K26" s="79">
        <v>0.0</v>
      </c>
      <c r="L26" s="79">
        <v>3.0</v>
      </c>
      <c r="M26" s="79">
        <v>4.0</v>
      </c>
      <c r="N26" s="79">
        <v>3.0</v>
      </c>
      <c r="O26" s="79">
        <v>3.0</v>
      </c>
      <c r="P26" s="79">
        <v>3.0</v>
      </c>
      <c r="Q26" s="79">
        <v>2.0</v>
      </c>
      <c r="R26" s="79">
        <v>3.0</v>
      </c>
      <c r="S26" s="79">
        <v>4.0</v>
      </c>
      <c r="T26" s="79">
        <v>0.0</v>
      </c>
      <c r="U26" s="79">
        <v>4.0</v>
      </c>
      <c r="V26" s="79">
        <v>2.0</v>
      </c>
      <c r="W26" s="79">
        <v>0.0</v>
      </c>
      <c r="X26" s="79">
        <v>0.0</v>
      </c>
      <c r="Y26" s="79">
        <v>0.0</v>
      </c>
      <c r="Z26" s="79">
        <v>0.0</v>
      </c>
      <c r="AA26" s="13">
        <f t="shared" si="2"/>
        <v>43</v>
      </c>
    </row>
    <row r="27" ht="12.75" customHeight="1">
      <c r="A27" s="35"/>
      <c r="B27" s="28"/>
      <c r="C27" s="36"/>
      <c r="D27" s="13" t="s">
        <v>14</v>
      </c>
      <c r="E27" s="80">
        <v>5.0</v>
      </c>
      <c r="F27" s="80">
        <v>4.0</v>
      </c>
      <c r="G27" s="80">
        <v>4.0</v>
      </c>
      <c r="H27" s="80">
        <v>1.0</v>
      </c>
      <c r="I27" s="80">
        <v>4.0</v>
      </c>
      <c r="J27" s="80">
        <v>5.0</v>
      </c>
      <c r="K27" s="80">
        <v>1.0</v>
      </c>
      <c r="L27" s="80">
        <v>4.0</v>
      </c>
      <c r="M27" s="80">
        <v>5.0</v>
      </c>
      <c r="N27" s="80">
        <v>5.0</v>
      </c>
      <c r="O27" s="80">
        <v>3.0</v>
      </c>
      <c r="P27" s="80">
        <v>3.0</v>
      </c>
      <c r="Q27" s="80">
        <v>4.0</v>
      </c>
      <c r="R27" s="80">
        <v>6.0</v>
      </c>
      <c r="S27" s="80">
        <v>6.0</v>
      </c>
      <c r="T27" s="80">
        <v>0.0</v>
      </c>
      <c r="U27" s="80">
        <v>5.0</v>
      </c>
      <c r="V27" s="80">
        <v>4.0</v>
      </c>
      <c r="W27" s="80">
        <v>2.0</v>
      </c>
      <c r="X27" s="80">
        <v>0.0</v>
      </c>
      <c r="Y27" s="80">
        <v>0.0</v>
      </c>
      <c r="Z27" s="80">
        <v>0.0</v>
      </c>
      <c r="AA27" s="13">
        <f t="shared" si="2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0">
        <v>106.0</v>
      </c>
      <c r="F28" s="80">
        <v>94.0</v>
      </c>
      <c r="G28" s="80">
        <v>81.0</v>
      </c>
      <c r="H28" s="80">
        <v>82.0</v>
      </c>
      <c r="I28" s="80">
        <v>100.0</v>
      </c>
      <c r="J28" s="80">
        <v>98.0</v>
      </c>
      <c r="K28" s="80">
        <v>93.0</v>
      </c>
      <c r="L28" s="80">
        <v>72.0</v>
      </c>
      <c r="M28" s="80">
        <v>93.0</v>
      </c>
      <c r="N28" s="80">
        <v>80.0</v>
      </c>
      <c r="O28" s="80">
        <v>103.0</v>
      </c>
      <c r="P28" s="80">
        <v>94.0</v>
      </c>
      <c r="Q28" s="80">
        <v>98.0</v>
      </c>
      <c r="R28" s="80">
        <v>99.0</v>
      </c>
      <c r="S28" s="80">
        <v>90.0</v>
      </c>
      <c r="T28" s="80">
        <v>78.0</v>
      </c>
      <c r="U28" s="80">
        <v>95.0</v>
      </c>
      <c r="V28" s="80">
        <v>87.0</v>
      </c>
      <c r="W28" s="80">
        <v>98.0</v>
      </c>
      <c r="X28" s="80">
        <v>119.0</v>
      </c>
      <c r="Y28" s="80">
        <v>103.0</v>
      </c>
      <c r="Z28" s="80">
        <v>115.0</v>
      </c>
      <c r="AA28" s="13">
        <f t="shared" si="2"/>
        <v>2078</v>
      </c>
    </row>
    <row r="29" ht="12.75" customHeight="1">
      <c r="A29" s="35"/>
      <c r="B29" s="27"/>
      <c r="C29" s="34"/>
      <c r="D29" s="13" t="s">
        <v>13</v>
      </c>
      <c r="E29" s="80">
        <v>106.0</v>
      </c>
      <c r="F29" s="80">
        <v>116.0</v>
      </c>
      <c r="G29" s="80">
        <v>90.0</v>
      </c>
      <c r="H29" s="80">
        <v>107.0</v>
      </c>
      <c r="I29" s="80">
        <v>106.0</v>
      </c>
      <c r="J29" s="80">
        <v>126.0</v>
      </c>
      <c r="K29" s="80">
        <v>107.0</v>
      </c>
      <c r="L29" s="80">
        <v>77.0</v>
      </c>
      <c r="M29" s="80">
        <v>105.0</v>
      </c>
      <c r="N29" s="80">
        <v>87.0</v>
      </c>
      <c r="O29" s="80">
        <v>106.0</v>
      </c>
      <c r="P29" s="80">
        <v>116.0</v>
      </c>
      <c r="Q29" s="80">
        <v>99.0</v>
      </c>
      <c r="R29" s="80">
        <v>114.0</v>
      </c>
      <c r="S29" s="80">
        <v>98.0</v>
      </c>
      <c r="T29" s="80">
        <v>87.0</v>
      </c>
      <c r="U29" s="80">
        <v>91.0</v>
      </c>
      <c r="V29" s="80">
        <v>120.0</v>
      </c>
      <c r="W29" s="80">
        <v>104.0</v>
      </c>
      <c r="X29" s="80">
        <v>122.0</v>
      </c>
      <c r="Y29" s="80">
        <v>122.0</v>
      </c>
      <c r="Z29" s="80">
        <v>113.0</v>
      </c>
      <c r="AA29" s="13">
        <f t="shared" si="2"/>
        <v>2319</v>
      </c>
    </row>
    <row r="30" ht="12.75" customHeight="1">
      <c r="A30" s="35"/>
      <c r="B30" s="28"/>
      <c r="C30" s="36"/>
      <c r="D30" s="13" t="s">
        <v>14</v>
      </c>
      <c r="E30" s="82">
        <v>212.0</v>
      </c>
      <c r="F30" s="82">
        <v>210.0</v>
      </c>
      <c r="G30" s="82">
        <v>171.0</v>
      </c>
      <c r="H30" s="82">
        <v>189.0</v>
      </c>
      <c r="I30" s="82">
        <v>206.0</v>
      </c>
      <c r="J30" s="82">
        <v>224.0</v>
      </c>
      <c r="K30" s="82">
        <v>200.0</v>
      </c>
      <c r="L30" s="82">
        <v>149.0</v>
      </c>
      <c r="M30" s="82">
        <v>198.0</v>
      </c>
      <c r="N30" s="82">
        <v>167.0</v>
      </c>
      <c r="O30" s="82">
        <v>209.0</v>
      </c>
      <c r="P30" s="82">
        <v>210.0</v>
      </c>
      <c r="Q30" s="82">
        <v>197.0</v>
      </c>
      <c r="R30" s="82">
        <v>213.0</v>
      </c>
      <c r="S30" s="82">
        <v>188.0</v>
      </c>
      <c r="T30" s="82">
        <v>165.0</v>
      </c>
      <c r="U30" s="82">
        <v>186.0</v>
      </c>
      <c r="V30" s="82">
        <v>207.0</v>
      </c>
      <c r="W30" s="82">
        <v>202.0</v>
      </c>
      <c r="X30" s="82">
        <v>241.0</v>
      </c>
      <c r="Y30" s="82">
        <v>225.0</v>
      </c>
      <c r="Z30" s="82">
        <v>228.0</v>
      </c>
      <c r="AA30" s="13">
        <f t="shared" si="2"/>
        <v>4397</v>
      </c>
    </row>
    <row r="31" ht="12.75" customHeight="1">
      <c r="A31" s="24"/>
      <c r="B31" s="15"/>
      <c r="C31" s="15"/>
      <c r="D31" s="16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68"/>
    </row>
    <row r="32" ht="12.75" customHeight="1">
      <c r="A32" s="41" t="s">
        <v>25</v>
      </c>
      <c r="B32" s="14" t="s">
        <v>26</v>
      </c>
      <c r="C32" s="15"/>
      <c r="D32" s="16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68"/>
    </row>
    <row r="33" ht="12.75" customHeight="1">
      <c r="A33" s="19">
        <v>1.0</v>
      </c>
      <c r="B33" s="20" t="s">
        <v>27</v>
      </c>
      <c r="C33" s="15"/>
      <c r="D33" s="16"/>
      <c r="E33" s="79">
        <v>275.0</v>
      </c>
      <c r="F33" s="79">
        <v>259.0</v>
      </c>
      <c r="G33" s="79">
        <v>232.0</v>
      </c>
      <c r="H33" s="79">
        <v>256.0</v>
      </c>
      <c r="I33" s="79">
        <v>278.0</v>
      </c>
      <c r="J33" s="79">
        <v>277.0</v>
      </c>
      <c r="K33" s="79">
        <v>270.0</v>
      </c>
      <c r="L33" s="79">
        <v>218.0</v>
      </c>
      <c r="M33" s="79">
        <v>237.0</v>
      </c>
      <c r="N33" s="79">
        <v>236.0</v>
      </c>
      <c r="O33" s="79">
        <v>261.0</v>
      </c>
      <c r="P33" s="79">
        <v>253.0</v>
      </c>
      <c r="Q33" s="79">
        <v>247.0</v>
      </c>
      <c r="R33" s="79">
        <v>257.0</v>
      </c>
      <c r="S33" s="79">
        <v>252.0</v>
      </c>
      <c r="T33" s="79">
        <v>210.0</v>
      </c>
      <c r="U33" s="79">
        <v>234.0</v>
      </c>
      <c r="V33" s="79">
        <v>271.0</v>
      </c>
      <c r="W33" s="79">
        <v>275.0</v>
      </c>
      <c r="X33" s="79">
        <v>303.0</v>
      </c>
      <c r="Y33" s="79">
        <v>298.0</v>
      </c>
      <c r="Z33" s="79">
        <v>275.0</v>
      </c>
      <c r="AA33" s="13">
        <f t="shared" ref="AA33:AA36" si="3">SUM(E33:Z33)</f>
        <v>5674</v>
      </c>
    </row>
    <row r="34" ht="12.75" customHeight="1">
      <c r="A34" s="19">
        <v>2.0</v>
      </c>
      <c r="B34" s="20" t="s">
        <v>28</v>
      </c>
      <c r="C34" s="15"/>
      <c r="D34" s="16"/>
      <c r="E34" s="83">
        <v>212.0</v>
      </c>
      <c r="F34" s="83">
        <v>210.0</v>
      </c>
      <c r="G34" s="83">
        <v>171.0</v>
      </c>
      <c r="H34" s="83">
        <v>189.0</v>
      </c>
      <c r="I34" s="83">
        <v>206.0</v>
      </c>
      <c r="J34" s="83">
        <v>224.0</v>
      </c>
      <c r="K34" s="83">
        <v>200.0</v>
      </c>
      <c r="L34" s="83">
        <v>149.0</v>
      </c>
      <c r="M34" s="83">
        <v>203.0</v>
      </c>
      <c r="N34" s="83">
        <v>179.0</v>
      </c>
      <c r="O34" s="83">
        <v>209.0</v>
      </c>
      <c r="P34" s="83">
        <v>210.0</v>
      </c>
      <c r="Q34" s="83">
        <v>197.0</v>
      </c>
      <c r="R34" s="83">
        <v>213.0</v>
      </c>
      <c r="S34" s="83">
        <v>188.0</v>
      </c>
      <c r="T34" s="83">
        <v>165.0</v>
      </c>
      <c r="U34" s="83">
        <v>186.0</v>
      </c>
      <c r="V34" s="83">
        <v>207.0</v>
      </c>
      <c r="W34" s="83">
        <v>202.0</v>
      </c>
      <c r="X34" s="83">
        <v>241.0</v>
      </c>
      <c r="Y34" s="83">
        <v>225.0</v>
      </c>
      <c r="Z34" s="83">
        <v>228.0</v>
      </c>
      <c r="AA34" s="13">
        <f t="shared" si="3"/>
        <v>4414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1.0</v>
      </c>
      <c r="I35" s="79">
        <v>0.0</v>
      </c>
      <c r="J35" s="79">
        <v>1.0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1.0</v>
      </c>
      <c r="Q35" s="79">
        <v>1.0</v>
      </c>
      <c r="R35" s="79">
        <v>0.0</v>
      </c>
      <c r="S35" s="79">
        <v>0.0</v>
      </c>
      <c r="T35" s="79">
        <v>0.0</v>
      </c>
      <c r="U35" s="79">
        <v>0.0</v>
      </c>
      <c r="V35" s="79">
        <v>2.0</v>
      </c>
      <c r="W35" s="79">
        <v>0.0</v>
      </c>
      <c r="X35" s="79">
        <v>0.0</v>
      </c>
      <c r="Y35" s="79">
        <v>0.0</v>
      </c>
      <c r="Z35" s="79">
        <v>0.0</v>
      </c>
      <c r="AA35" s="13">
        <f t="shared" si="3"/>
        <v>6</v>
      </c>
    </row>
    <row r="36" ht="12.75" customHeight="1">
      <c r="A36" s="19">
        <v>4.0</v>
      </c>
      <c r="B36" s="20" t="s">
        <v>30</v>
      </c>
      <c r="C36" s="15"/>
      <c r="D36" s="16"/>
      <c r="E36" s="80">
        <v>63.0</v>
      </c>
      <c r="F36" s="80">
        <v>49.0</v>
      </c>
      <c r="G36" s="80">
        <v>61.0</v>
      </c>
      <c r="H36" s="80">
        <v>66.0</v>
      </c>
      <c r="I36" s="80">
        <v>72.0</v>
      </c>
      <c r="J36" s="80">
        <v>82.0</v>
      </c>
      <c r="K36" s="80">
        <v>70.0</v>
      </c>
      <c r="L36" s="80">
        <v>69.0</v>
      </c>
      <c r="M36" s="80">
        <v>39.0</v>
      </c>
      <c r="N36" s="80">
        <v>69.0</v>
      </c>
      <c r="O36" s="80">
        <v>52.0</v>
      </c>
      <c r="P36" s="80">
        <v>42.0</v>
      </c>
      <c r="Q36" s="80">
        <v>49.0</v>
      </c>
      <c r="R36" s="80">
        <v>44.0</v>
      </c>
      <c r="S36" s="80">
        <v>64.0</v>
      </c>
      <c r="T36" s="80">
        <v>45.0</v>
      </c>
      <c r="U36" s="80">
        <v>48.0</v>
      </c>
      <c r="V36" s="80">
        <v>62.0</v>
      </c>
      <c r="W36" s="80">
        <v>73.0</v>
      </c>
      <c r="X36" s="80">
        <v>62.0</v>
      </c>
      <c r="Y36" s="80">
        <v>73.0</v>
      </c>
      <c r="Z36" s="80">
        <v>47.0</v>
      </c>
      <c r="AA36" s="13">
        <f t="shared" si="3"/>
        <v>1301</v>
      </c>
    </row>
    <row r="37" ht="12.75" customHeight="1">
      <c r="A37" s="24"/>
      <c r="B37" s="15"/>
      <c r="C37" s="15"/>
      <c r="D37" s="15"/>
      <c r="E37" s="8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81"/>
      <c r="T37" s="81"/>
      <c r="U37" s="81"/>
      <c r="V37" s="81"/>
      <c r="W37" s="81"/>
      <c r="X37" s="84"/>
      <c r="Y37" s="84"/>
      <c r="Z37" s="84"/>
      <c r="AA37" s="68"/>
    </row>
    <row r="38" ht="12.75" customHeight="1">
      <c r="A38" s="42" t="s">
        <v>31</v>
      </c>
      <c r="B38" s="14" t="s">
        <v>32</v>
      </c>
      <c r="C38" s="15"/>
      <c r="D38" s="16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68"/>
    </row>
    <row r="39" ht="12.75" customHeight="1">
      <c r="A39" s="30"/>
      <c r="B39" s="43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2.0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13">
        <f t="shared" ref="AA39:AA41" si="4">SUM(E39:Z39)</f>
        <v>2</v>
      </c>
    </row>
    <row r="40" ht="12.75" customHeight="1">
      <c r="A40" s="33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13">
        <f t="shared" si="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5">SUM(E39:E40)</f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0</v>
      </c>
      <c r="K41" s="13">
        <f t="shared" si="5"/>
        <v>0</v>
      </c>
      <c r="L41" s="13">
        <f t="shared" si="5"/>
        <v>0</v>
      </c>
      <c r="M41" s="13">
        <f t="shared" si="5"/>
        <v>0</v>
      </c>
      <c r="N41" s="13">
        <f t="shared" si="5"/>
        <v>0</v>
      </c>
      <c r="O41" s="13">
        <f t="shared" si="5"/>
        <v>0</v>
      </c>
      <c r="P41" s="13">
        <f t="shared" si="5"/>
        <v>0</v>
      </c>
      <c r="Q41" s="13">
        <f t="shared" si="5"/>
        <v>0</v>
      </c>
      <c r="R41" s="13">
        <f t="shared" si="5"/>
        <v>2</v>
      </c>
      <c r="S41" s="13">
        <f t="shared" si="5"/>
        <v>0</v>
      </c>
      <c r="T41" s="13">
        <f t="shared" si="5"/>
        <v>0</v>
      </c>
      <c r="U41" s="13">
        <f t="shared" si="5"/>
        <v>0</v>
      </c>
      <c r="V41" s="13">
        <f t="shared" si="5"/>
        <v>0</v>
      </c>
      <c r="W41" s="13">
        <f t="shared" si="5"/>
        <v>0</v>
      </c>
      <c r="X41" s="13">
        <f t="shared" si="5"/>
        <v>0</v>
      </c>
      <c r="Y41" s="13">
        <f t="shared" si="5"/>
        <v>0</v>
      </c>
      <c r="Z41" s="13">
        <f t="shared" si="5"/>
        <v>0</v>
      </c>
      <c r="AA41" s="13">
        <f t="shared" si="4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22.0</v>
      </c>
      <c r="F45" s="19">
        <v>5.0</v>
      </c>
      <c r="G45" s="19">
        <v>4.0</v>
      </c>
      <c r="H45" s="19">
        <v>8.0</v>
      </c>
      <c r="I45" s="19">
        <v>12.0</v>
      </c>
      <c r="J45" s="19">
        <v>7.0</v>
      </c>
      <c r="K45" s="19">
        <v>5.0</v>
      </c>
      <c r="L45" s="19">
        <v>1.0</v>
      </c>
      <c r="M45" s="19">
        <v>5.0</v>
      </c>
      <c r="N45" s="19">
        <v>5.0</v>
      </c>
      <c r="O45" s="19">
        <v>12.0</v>
      </c>
      <c r="P45" s="19">
        <v>5.0</v>
      </c>
      <c r="Q45" s="19">
        <v>2.0</v>
      </c>
      <c r="R45" s="19">
        <v>6.0</v>
      </c>
      <c r="S45" s="19">
        <v>1.0</v>
      </c>
      <c r="T45" s="19">
        <v>2.0</v>
      </c>
      <c r="U45" s="19">
        <v>3.0</v>
      </c>
      <c r="V45" s="19">
        <v>8.0</v>
      </c>
      <c r="W45" s="19">
        <v>8.0</v>
      </c>
      <c r="X45" s="19">
        <v>4.0</v>
      </c>
      <c r="Y45" s="19">
        <v>6.0</v>
      </c>
      <c r="Z45" s="19">
        <v>4.0</v>
      </c>
      <c r="AA45" s="13">
        <f t="shared" ref="AA45:AA52" si="6">SUM(E45:Z45)</f>
        <v>135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52.0</v>
      </c>
      <c r="F46" s="19">
        <v>19.0</v>
      </c>
      <c r="G46" s="19">
        <v>8.0</v>
      </c>
      <c r="H46" s="19">
        <v>24.0</v>
      </c>
      <c r="I46" s="19">
        <v>28.0</v>
      </c>
      <c r="J46" s="19">
        <v>31.0</v>
      </c>
      <c r="K46" s="19">
        <v>18.0</v>
      </c>
      <c r="L46" s="19">
        <v>7.0</v>
      </c>
      <c r="M46" s="19">
        <v>8.0</v>
      </c>
      <c r="N46" s="19">
        <v>7.0</v>
      </c>
      <c r="O46" s="19">
        <v>21.0</v>
      </c>
      <c r="P46" s="19">
        <v>7.0</v>
      </c>
      <c r="Q46" s="19">
        <v>10.0</v>
      </c>
      <c r="R46" s="19">
        <v>2.0</v>
      </c>
      <c r="S46" s="19">
        <v>7.0</v>
      </c>
      <c r="T46" s="19">
        <v>5.0</v>
      </c>
      <c r="U46" s="19">
        <v>13.0</v>
      </c>
      <c r="V46" s="19">
        <v>21.0</v>
      </c>
      <c r="W46" s="19">
        <v>9.0</v>
      </c>
      <c r="X46" s="19">
        <v>42.0</v>
      </c>
      <c r="Y46" s="19">
        <v>20.0</v>
      </c>
      <c r="Z46" s="19">
        <v>7.0</v>
      </c>
      <c r="AA46" s="13">
        <f t="shared" si="6"/>
        <v>366</v>
      </c>
    </row>
    <row r="47" ht="12.75" customHeight="1">
      <c r="A47" s="18"/>
      <c r="B47" s="55">
        <v>2.0</v>
      </c>
      <c r="C47" s="50" t="s">
        <v>41</v>
      </c>
      <c r="D47" s="16"/>
      <c r="E47" s="19">
        <v>19.0</v>
      </c>
      <c r="F47" s="19">
        <v>22.0</v>
      </c>
      <c r="G47" s="19">
        <v>0.0</v>
      </c>
      <c r="H47" s="19">
        <v>7.0</v>
      </c>
      <c r="I47" s="19">
        <v>7.0</v>
      </c>
      <c r="J47" s="19">
        <v>3.0</v>
      </c>
      <c r="K47" s="19">
        <v>2.0</v>
      </c>
      <c r="L47" s="19">
        <v>16.0</v>
      </c>
      <c r="M47" s="19">
        <v>6.0</v>
      </c>
      <c r="N47" s="19">
        <v>12.0</v>
      </c>
      <c r="O47" s="19">
        <v>10.0</v>
      </c>
      <c r="P47" s="19">
        <v>0.0</v>
      </c>
      <c r="Q47" s="19">
        <v>2.0</v>
      </c>
      <c r="R47" s="19">
        <v>3.0</v>
      </c>
      <c r="S47" s="19">
        <v>1.0</v>
      </c>
      <c r="T47" s="19">
        <v>1.0</v>
      </c>
      <c r="U47" s="19">
        <v>3.0</v>
      </c>
      <c r="V47" s="19">
        <v>76.0</v>
      </c>
      <c r="W47" s="19">
        <v>75.0</v>
      </c>
      <c r="X47" s="19">
        <v>33.0</v>
      </c>
      <c r="Y47" s="19">
        <v>16.0</v>
      </c>
      <c r="Z47" s="19">
        <v>39.0</v>
      </c>
      <c r="AA47" s="13">
        <f t="shared" si="6"/>
        <v>353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2.0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1.0</v>
      </c>
      <c r="W48" s="19">
        <v>7.0</v>
      </c>
      <c r="X48" s="19">
        <v>2.0</v>
      </c>
      <c r="Y48" s="19">
        <v>0.0</v>
      </c>
      <c r="Z48" s="19">
        <v>1.0</v>
      </c>
      <c r="AA48" s="13">
        <f t="shared" si="6"/>
        <v>18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2.0</v>
      </c>
      <c r="I49" s="19">
        <v>0.0</v>
      </c>
      <c r="J49" s="19">
        <v>0.0</v>
      </c>
      <c r="K49" s="19">
        <v>2.0</v>
      </c>
      <c r="L49" s="19">
        <v>2.0</v>
      </c>
      <c r="M49" s="19">
        <v>1.0</v>
      </c>
      <c r="N49" s="19">
        <v>1.0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1.0</v>
      </c>
      <c r="U49" s="19">
        <v>0.0</v>
      </c>
      <c r="V49" s="19">
        <v>3.0</v>
      </c>
      <c r="W49" s="19">
        <v>0.0</v>
      </c>
      <c r="X49" s="19">
        <v>1.0</v>
      </c>
      <c r="Y49" s="19">
        <v>2.0</v>
      </c>
      <c r="Z49" s="19">
        <v>0.0</v>
      </c>
      <c r="AA49" s="13">
        <f t="shared" si="6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1.0</v>
      </c>
      <c r="V50" s="19">
        <v>2.0</v>
      </c>
      <c r="W50" s="19">
        <v>1.0</v>
      </c>
      <c r="X50" s="19">
        <v>0.0</v>
      </c>
      <c r="Y50" s="19">
        <v>0.0</v>
      </c>
      <c r="Z50" s="19">
        <v>0.0</v>
      </c>
      <c r="AA50" s="13">
        <f t="shared" si="6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2.0</v>
      </c>
      <c r="I51" s="19">
        <v>1.0</v>
      </c>
      <c r="J51" s="19">
        <v>0.0</v>
      </c>
      <c r="K51" s="19">
        <v>1.0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1.0</v>
      </c>
      <c r="W51" s="19">
        <v>2.0</v>
      </c>
      <c r="X51" s="19">
        <v>1.0</v>
      </c>
      <c r="Y51" s="19">
        <v>1.0</v>
      </c>
      <c r="Z51" s="19">
        <v>0.0</v>
      </c>
      <c r="AA51" s="13">
        <f t="shared" si="6"/>
        <v>12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4.0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2.0</v>
      </c>
      <c r="W52" s="19">
        <v>0.0</v>
      </c>
      <c r="X52" s="19">
        <v>0.0</v>
      </c>
      <c r="Y52" s="19">
        <v>0.0</v>
      </c>
      <c r="Z52" s="19">
        <v>0.0</v>
      </c>
      <c r="AA52" s="13">
        <f t="shared" si="6"/>
        <v>7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Z55" si="7">SUM(E45:E52)</f>
        <v>95</v>
      </c>
      <c r="F55" s="13">
        <f t="shared" si="7"/>
        <v>51</v>
      </c>
      <c r="G55" s="13">
        <f t="shared" si="7"/>
        <v>15</v>
      </c>
      <c r="H55" s="13">
        <f t="shared" si="7"/>
        <v>45</v>
      </c>
      <c r="I55" s="13">
        <f t="shared" si="7"/>
        <v>48</v>
      </c>
      <c r="J55" s="13">
        <f t="shared" si="7"/>
        <v>41</v>
      </c>
      <c r="K55" s="13">
        <f t="shared" si="7"/>
        <v>28</v>
      </c>
      <c r="L55" s="13">
        <f t="shared" si="7"/>
        <v>26</v>
      </c>
      <c r="M55" s="13">
        <f t="shared" si="7"/>
        <v>20</v>
      </c>
      <c r="N55" s="13">
        <f t="shared" si="7"/>
        <v>28</v>
      </c>
      <c r="O55" s="13">
        <f t="shared" si="7"/>
        <v>44</v>
      </c>
      <c r="P55" s="13">
        <f t="shared" si="7"/>
        <v>12</v>
      </c>
      <c r="Q55" s="13">
        <f t="shared" si="7"/>
        <v>16</v>
      </c>
      <c r="R55" s="13">
        <f t="shared" si="7"/>
        <v>12</v>
      </c>
      <c r="S55" s="13">
        <f t="shared" si="7"/>
        <v>9</v>
      </c>
      <c r="T55" s="13">
        <f t="shared" si="7"/>
        <v>10</v>
      </c>
      <c r="U55" s="13">
        <f t="shared" si="7"/>
        <v>20</v>
      </c>
      <c r="V55" s="13">
        <f t="shared" si="7"/>
        <v>114</v>
      </c>
      <c r="W55" s="13">
        <f t="shared" si="7"/>
        <v>102</v>
      </c>
      <c r="X55" s="13">
        <f t="shared" si="7"/>
        <v>83</v>
      </c>
      <c r="Y55" s="13">
        <f t="shared" si="7"/>
        <v>45</v>
      </c>
      <c r="Z55" s="13">
        <f t="shared" si="7"/>
        <v>51</v>
      </c>
      <c r="AA55" s="13">
        <f>SUM(E55:Z55)</f>
        <v>915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3.0</v>
      </c>
      <c r="G57" s="19">
        <v>5.0</v>
      </c>
      <c r="H57" s="19">
        <v>10.0</v>
      </c>
      <c r="I57" s="19">
        <v>24.0</v>
      </c>
      <c r="J57" s="19">
        <v>9.0</v>
      </c>
      <c r="K57" s="19">
        <v>13.0</v>
      </c>
      <c r="L57" s="19">
        <v>14.0</v>
      </c>
      <c r="M57" s="19">
        <v>5.0</v>
      </c>
      <c r="N57" s="19">
        <v>7.0</v>
      </c>
      <c r="O57" s="19">
        <v>8.0</v>
      </c>
      <c r="P57" s="19">
        <v>9.0</v>
      </c>
      <c r="Q57" s="19">
        <v>6.0</v>
      </c>
      <c r="R57" s="19">
        <v>15.0</v>
      </c>
      <c r="S57" s="19">
        <v>13.0</v>
      </c>
      <c r="T57" s="19">
        <v>3.0</v>
      </c>
      <c r="U57" s="19">
        <v>6.0</v>
      </c>
      <c r="V57" s="19">
        <v>14.0</v>
      </c>
      <c r="W57" s="19">
        <v>17.0</v>
      </c>
      <c r="X57" s="19">
        <v>5.0</v>
      </c>
      <c r="Y57" s="19">
        <v>9.0</v>
      </c>
      <c r="Z57" s="19">
        <v>8.0</v>
      </c>
      <c r="AA57" s="13">
        <f t="shared" ref="AA57:AA64" si="8">SUM(E57:Z57)</f>
        <v>213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6.0</v>
      </c>
      <c r="F58" s="19">
        <v>7.0</v>
      </c>
      <c r="G58" s="19">
        <v>42.0</v>
      </c>
      <c r="H58" s="19">
        <v>8.0</v>
      </c>
      <c r="I58" s="19">
        <v>13.0</v>
      </c>
      <c r="J58" s="19">
        <v>6.0</v>
      </c>
      <c r="K58" s="19">
        <v>6.0</v>
      </c>
      <c r="L58" s="19">
        <v>3.0</v>
      </c>
      <c r="M58" s="19">
        <v>14.0</v>
      </c>
      <c r="N58" s="19">
        <v>5.0</v>
      </c>
      <c r="O58" s="19">
        <v>8.0</v>
      </c>
      <c r="P58" s="19">
        <v>3.0</v>
      </c>
      <c r="Q58" s="19">
        <v>4.0</v>
      </c>
      <c r="R58" s="19">
        <v>40.0</v>
      </c>
      <c r="S58" s="19">
        <v>42.0</v>
      </c>
      <c r="T58" s="19">
        <v>25.0</v>
      </c>
      <c r="U58" s="19">
        <v>32.0</v>
      </c>
      <c r="V58" s="19">
        <v>2.0</v>
      </c>
      <c r="W58" s="19">
        <v>3.0</v>
      </c>
      <c r="X58" s="19">
        <v>24.0</v>
      </c>
      <c r="Y58" s="19">
        <v>4.0</v>
      </c>
      <c r="Z58" s="19">
        <v>4.0</v>
      </c>
      <c r="AA58" s="13">
        <f t="shared" si="8"/>
        <v>301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6.0</v>
      </c>
      <c r="G59" s="19">
        <v>2.0</v>
      </c>
      <c r="H59" s="19">
        <v>26.0</v>
      </c>
      <c r="I59" s="19">
        <v>20.0</v>
      </c>
      <c r="J59" s="19">
        <v>35.0</v>
      </c>
      <c r="K59" s="19">
        <v>6.0</v>
      </c>
      <c r="L59" s="19">
        <v>6.0</v>
      </c>
      <c r="M59" s="19">
        <v>8.0</v>
      </c>
      <c r="N59" s="19">
        <v>5.0</v>
      </c>
      <c r="O59" s="19">
        <v>7.0</v>
      </c>
      <c r="P59" s="19">
        <v>1.0</v>
      </c>
      <c r="Q59" s="19">
        <v>47.0</v>
      </c>
      <c r="R59" s="19">
        <v>8.0</v>
      </c>
      <c r="S59" s="19">
        <v>4.0</v>
      </c>
      <c r="T59" s="19">
        <v>3.0</v>
      </c>
      <c r="U59" s="19">
        <v>3.0</v>
      </c>
      <c r="V59" s="19">
        <v>15.0</v>
      </c>
      <c r="W59" s="19">
        <v>8.0</v>
      </c>
      <c r="X59" s="19">
        <v>19.0</v>
      </c>
      <c r="Y59" s="19">
        <v>11.0</v>
      </c>
      <c r="Z59" s="19">
        <v>5.0</v>
      </c>
      <c r="AA59" s="13">
        <f t="shared" si="8"/>
        <v>248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3.0</v>
      </c>
      <c r="I60" s="19">
        <v>1.0</v>
      </c>
      <c r="J60" s="19">
        <v>2.0</v>
      </c>
      <c r="K60" s="19">
        <v>0.0</v>
      </c>
      <c r="L60" s="19">
        <v>13.0</v>
      </c>
      <c r="M60" s="19">
        <v>0.0</v>
      </c>
      <c r="N60" s="19">
        <v>11.0</v>
      </c>
      <c r="O60" s="19">
        <v>0.0</v>
      </c>
      <c r="P60" s="19">
        <v>3.0</v>
      </c>
      <c r="Q60" s="19">
        <v>0.0</v>
      </c>
      <c r="R60" s="19">
        <v>4.0</v>
      </c>
      <c r="S60" s="19">
        <v>1.0</v>
      </c>
      <c r="T60" s="19">
        <v>1.0</v>
      </c>
      <c r="U60" s="19">
        <v>0.0</v>
      </c>
      <c r="V60" s="19">
        <v>1.0</v>
      </c>
      <c r="W60" s="19">
        <v>2.0</v>
      </c>
      <c r="X60" s="19">
        <v>0.0</v>
      </c>
      <c r="Y60" s="19">
        <v>0.0</v>
      </c>
      <c r="Z60" s="19">
        <v>2.0</v>
      </c>
      <c r="AA60" s="13">
        <f t="shared" si="8"/>
        <v>45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0.0</v>
      </c>
      <c r="H61" s="19">
        <v>0.0</v>
      </c>
      <c r="I61" s="19">
        <v>1.0</v>
      </c>
      <c r="J61" s="19">
        <v>2.0</v>
      </c>
      <c r="K61" s="19">
        <v>3.0</v>
      </c>
      <c r="L61" s="19">
        <v>0.0</v>
      </c>
      <c r="M61" s="19">
        <v>0.0</v>
      </c>
      <c r="N61" s="19">
        <v>1.0</v>
      </c>
      <c r="O61" s="19">
        <v>1.0</v>
      </c>
      <c r="P61" s="19">
        <v>1.0</v>
      </c>
      <c r="Q61" s="19">
        <v>1.0</v>
      </c>
      <c r="R61" s="19">
        <v>0.0</v>
      </c>
      <c r="S61" s="19">
        <v>0.0</v>
      </c>
      <c r="T61" s="19">
        <v>2.0</v>
      </c>
      <c r="U61" s="19">
        <v>1.0</v>
      </c>
      <c r="V61" s="19">
        <v>0.0</v>
      </c>
      <c r="W61" s="19">
        <v>1.0</v>
      </c>
      <c r="X61" s="19">
        <v>0.0</v>
      </c>
      <c r="Y61" s="19">
        <v>0.0</v>
      </c>
      <c r="Z61" s="19">
        <v>0.0</v>
      </c>
      <c r="AA61" s="13">
        <f t="shared" si="8"/>
        <v>17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1.0</v>
      </c>
      <c r="AA62" s="13">
        <f t="shared" si="8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3.0</v>
      </c>
      <c r="I63" s="19">
        <v>0.0</v>
      </c>
      <c r="J63" s="19">
        <v>0.0</v>
      </c>
      <c r="K63" s="19">
        <v>3.0</v>
      </c>
      <c r="L63" s="19">
        <v>1.0</v>
      </c>
      <c r="M63" s="19">
        <v>0.0</v>
      </c>
      <c r="N63" s="19">
        <v>2.0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1.0</v>
      </c>
      <c r="U63" s="19">
        <v>0.0</v>
      </c>
      <c r="V63" s="19">
        <v>0.0</v>
      </c>
      <c r="W63" s="19">
        <v>1.0</v>
      </c>
      <c r="X63" s="19">
        <v>0.0</v>
      </c>
      <c r="Y63" s="19">
        <v>0.0</v>
      </c>
      <c r="Z63" s="19">
        <v>0.0</v>
      </c>
      <c r="AA63" s="13">
        <f t="shared" si="8"/>
        <v>12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1.0</v>
      </c>
      <c r="O64" s="19">
        <v>0.0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3">
        <f t="shared" si="8"/>
        <v>3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Z67" si="9">SUM(E57:E64)</f>
        <v>21</v>
      </c>
      <c r="F67" s="13">
        <f t="shared" si="9"/>
        <v>19</v>
      </c>
      <c r="G67" s="13">
        <f t="shared" si="9"/>
        <v>49</v>
      </c>
      <c r="H67" s="13">
        <f t="shared" si="9"/>
        <v>50</v>
      </c>
      <c r="I67" s="13">
        <f t="shared" si="9"/>
        <v>59</v>
      </c>
      <c r="J67" s="13">
        <f t="shared" si="9"/>
        <v>54</v>
      </c>
      <c r="K67" s="13">
        <f t="shared" si="9"/>
        <v>31</v>
      </c>
      <c r="L67" s="13">
        <f t="shared" si="9"/>
        <v>38</v>
      </c>
      <c r="M67" s="13">
        <f t="shared" si="9"/>
        <v>28</v>
      </c>
      <c r="N67" s="13">
        <f t="shared" si="9"/>
        <v>33</v>
      </c>
      <c r="O67" s="13">
        <f t="shared" si="9"/>
        <v>24</v>
      </c>
      <c r="P67" s="13">
        <f t="shared" si="9"/>
        <v>17</v>
      </c>
      <c r="Q67" s="13">
        <f t="shared" si="9"/>
        <v>58</v>
      </c>
      <c r="R67" s="13">
        <f t="shared" si="9"/>
        <v>68</v>
      </c>
      <c r="S67" s="13">
        <f t="shared" si="9"/>
        <v>60</v>
      </c>
      <c r="T67" s="13">
        <f t="shared" si="9"/>
        <v>35</v>
      </c>
      <c r="U67" s="13">
        <f t="shared" si="9"/>
        <v>42</v>
      </c>
      <c r="V67" s="13">
        <f t="shared" si="9"/>
        <v>33</v>
      </c>
      <c r="W67" s="13">
        <f t="shared" si="9"/>
        <v>32</v>
      </c>
      <c r="X67" s="13">
        <f t="shared" si="9"/>
        <v>48</v>
      </c>
      <c r="Y67" s="13">
        <f t="shared" si="9"/>
        <v>24</v>
      </c>
      <c r="Z67" s="13">
        <f t="shared" si="9"/>
        <v>20</v>
      </c>
      <c r="AA67" s="13">
        <f>SUM(E67:Z67)</f>
        <v>843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3.0</v>
      </c>
      <c r="G69" s="19">
        <v>1.0</v>
      </c>
      <c r="H69" s="19">
        <v>8.0</v>
      </c>
      <c r="I69" s="19">
        <v>7.0</v>
      </c>
      <c r="J69" s="19">
        <v>7.0</v>
      </c>
      <c r="K69" s="19">
        <v>2.0</v>
      </c>
      <c r="L69" s="19">
        <v>8.0</v>
      </c>
      <c r="M69" s="19">
        <v>2.0</v>
      </c>
      <c r="N69" s="19">
        <v>2.0</v>
      </c>
      <c r="O69" s="19">
        <v>4.0</v>
      </c>
      <c r="P69" s="19">
        <v>8.0</v>
      </c>
      <c r="Q69" s="19">
        <v>19.0</v>
      </c>
      <c r="R69" s="19">
        <v>14.0</v>
      </c>
      <c r="S69" s="19">
        <v>5.0</v>
      </c>
      <c r="T69" s="19">
        <v>8.0</v>
      </c>
      <c r="U69" s="19">
        <v>6.0</v>
      </c>
      <c r="V69" s="19">
        <v>4.0</v>
      </c>
      <c r="W69" s="19">
        <v>12.0</v>
      </c>
      <c r="X69" s="19">
        <v>2.0</v>
      </c>
      <c r="Y69" s="19">
        <v>7.0</v>
      </c>
      <c r="Z69" s="19">
        <v>6.0</v>
      </c>
      <c r="AA69" s="13">
        <f t="shared" ref="AA69:AA76" si="10">SUM(E69:Z69)</f>
        <v>140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15.0</v>
      </c>
      <c r="F70" s="19">
        <v>6.0</v>
      </c>
      <c r="G70" s="19">
        <v>1.0</v>
      </c>
      <c r="H70" s="19">
        <v>12.0</v>
      </c>
      <c r="I70" s="19">
        <v>8.0</v>
      </c>
      <c r="J70" s="19">
        <v>4.0</v>
      </c>
      <c r="K70" s="19">
        <v>0.0</v>
      </c>
      <c r="L70" s="19">
        <v>20.0</v>
      </c>
      <c r="M70" s="19">
        <v>33.0</v>
      </c>
      <c r="N70" s="19">
        <v>17.0</v>
      </c>
      <c r="O70" s="19">
        <v>11.0</v>
      </c>
      <c r="P70" s="19">
        <v>16.0</v>
      </c>
      <c r="Q70" s="19">
        <v>23.0</v>
      </c>
      <c r="R70" s="19">
        <v>25.0</v>
      </c>
      <c r="S70" s="19">
        <v>18.0</v>
      </c>
      <c r="T70" s="19">
        <v>5.0</v>
      </c>
      <c r="U70" s="19">
        <v>16.0</v>
      </c>
      <c r="V70" s="19">
        <v>5.0</v>
      </c>
      <c r="W70" s="19">
        <v>1.0</v>
      </c>
      <c r="X70" s="19">
        <v>17.0</v>
      </c>
      <c r="Y70" s="19">
        <v>6.0</v>
      </c>
      <c r="Z70" s="19">
        <v>4.0</v>
      </c>
      <c r="AA70" s="13">
        <f t="shared" si="10"/>
        <v>263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0.0</v>
      </c>
      <c r="G71" s="19">
        <v>6.0</v>
      </c>
      <c r="H71" s="19">
        <v>5.0</v>
      </c>
      <c r="I71" s="19">
        <v>3.0</v>
      </c>
      <c r="J71" s="19">
        <v>2.0</v>
      </c>
      <c r="K71" s="19">
        <v>14.0</v>
      </c>
      <c r="L71" s="19">
        <v>0.0</v>
      </c>
      <c r="M71" s="19">
        <v>0.0</v>
      </c>
      <c r="N71" s="19">
        <v>2.0</v>
      </c>
      <c r="O71" s="19">
        <v>5.0</v>
      </c>
      <c r="P71" s="19">
        <v>2.0</v>
      </c>
      <c r="Q71" s="19">
        <v>2.0</v>
      </c>
      <c r="R71" s="19">
        <v>1.0</v>
      </c>
      <c r="S71" s="19">
        <v>0.0</v>
      </c>
      <c r="T71" s="19">
        <v>2.0</v>
      </c>
      <c r="U71" s="19">
        <v>5.0</v>
      </c>
      <c r="V71" s="19">
        <v>2.0</v>
      </c>
      <c r="W71" s="19">
        <v>2.0</v>
      </c>
      <c r="X71" s="19">
        <v>5.0</v>
      </c>
      <c r="Y71" s="19">
        <v>3.0</v>
      </c>
      <c r="Z71" s="19">
        <v>6.0</v>
      </c>
      <c r="AA71" s="13">
        <f t="shared" si="10"/>
        <v>68</v>
      </c>
    </row>
    <row r="72" ht="12.75" customHeight="1">
      <c r="A72" s="18"/>
      <c r="B72" s="55">
        <v>3.0</v>
      </c>
      <c r="C72" s="50" t="s">
        <v>59</v>
      </c>
      <c r="D72" s="57"/>
      <c r="E72" s="19">
        <v>6.0</v>
      </c>
      <c r="F72" s="19">
        <v>0.0</v>
      </c>
      <c r="G72" s="19">
        <v>2.0</v>
      </c>
      <c r="H72" s="19">
        <v>3.0</v>
      </c>
      <c r="I72" s="19">
        <v>7.0</v>
      </c>
      <c r="J72" s="19">
        <v>3.0</v>
      </c>
      <c r="K72" s="19">
        <v>3.0</v>
      </c>
      <c r="L72" s="19">
        <v>4.0</v>
      </c>
      <c r="M72" s="19">
        <v>0.0</v>
      </c>
      <c r="N72" s="19">
        <v>2.0</v>
      </c>
      <c r="O72" s="19">
        <v>7.0</v>
      </c>
      <c r="P72" s="19">
        <v>1.0</v>
      </c>
      <c r="Q72" s="19">
        <v>6.0</v>
      </c>
      <c r="R72" s="19">
        <v>8.0</v>
      </c>
      <c r="S72" s="19">
        <v>0.0</v>
      </c>
      <c r="T72" s="19">
        <v>2.0</v>
      </c>
      <c r="U72" s="19">
        <v>2.0</v>
      </c>
      <c r="V72" s="19">
        <v>1.0</v>
      </c>
      <c r="W72" s="19">
        <v>5.0</v>
      </c>
      <c r="X72" s="19">
        <v>10.0</v>
      </c>
      <c r="Y72" s="19">
        <v>11.0</v>
      </c>
      <c r="Z72" s="19">
        <v>4.0</v>
      </c>
      <c r="AA72" s="13">
        <f t="shared" si="10"/>
        <v>87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1.0</v>
      </c>
      <c r="R73" s="19">
        <v>1.0</v>
      </c>
      <c r="S73" s="19">
        <v>1.0</v>
      </c>
      <c r="T73" s="19">
        <v>0.0</v>
      </c>
      <c r="U73" s="19">
        <v>1.0</v>
      </c>
      <c r="V73" s="19">
        <v>0.0</v>
      </c>
      <c r="W73" s="19">
        <v>2.0</v>
      </c>
      <c r="X73" s="19">
        <v>0.0</v>
      </c>
      <c r="Y73" s="19">
        <v>0.0</v>
      </c>
      <c r="Z73" s="19">
        <v>1.0</v>
      </c>
      <c r="AA73" s="13">
        <f t="shared" si="10"/>
        <v>9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2.0</v>
      </c>
      <c r="G74" s="19">
        <v>0.0</v>
      </c>
      <c r="H74" s="19">
        <v>0.0</v>
      </c>
      <c r="I74" s="19">
        <v>1.0</v>
      </c>
      <c r="J74" s="19">
        <v>3.0</v>
      </c>
      <c r="K74" s="19">
        <v>4.0</v>
      </c>
      <c r="L74" s="19">
        <v>3.0</v>
      </c>
      <c r="M74" s="19">
        <v>0.0</v>
      </c>
      <c r="N74" s="19">
        <v>2.0</v>
      </c>
      <c r="O74" s="19">
        <v>7.0</v>
      </c>
      <c r="P74" s="19">
        <v>4.0</v>
      </c>
      <c r="Q74" s="19">
        <v>15.0</v>
      </c>
      <c r="R74" s="19">
        <v>3.0</v>
      </c>
      <c r="S74" s="19">
        <v>3.0</v>
      </c>
      <c r="T74" s="19">
        <v>1.0</v>
      </c>
      <c r="U74" s="19">
        <v>1.0</v>
      </c>
      <c r="V74" s="19">
        <v>0.0</v>
      </c>
      <c r="W74" s="19">
        <v>1.0</v>
      </c>
      <c r="X74" s="19">
        <v>0.0</v>
      </c>
      <c r="Y74" s="19">
        <v>0.0</v>
      </c>
      <c r="Z74" s="19">
        <v>2.0</v>
      </c>
      <c r="AA74" s="13">
        <f t="shared" si="10"/>
        <v>53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1.0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1.0</v>
      </c>
      <c r="U75" s="19">
        <v>0.0</v>
      </c>
      <c r="V75" s="19">
        <v>0.0</v>
      </c>
      <c r="W75" s="19">
        <v>1.0</v>
      </c>
      <c r="X75" s="19">
        <v>1.0</v>
      </c>
      <c r="Y75" s="19">
        <v>1.0</v>
      </c>
      <c r="Z75" s="19">
        <v>1.0</v>
      </c>
      <c r="AA75" s="13">
        <f t="shared" si="10"/>
        <v>9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1.0</v>
      </c>
      <c r="M76" s="19">
        <v>1.0</v>
      </c>
      <c r="N76" s="19">
        <v>0.0</v>
      </c>
      <c r="O76" s="19">
        <v>2.0</v>
      </c>
      <c r="P76" s="19">
        <v>1.0</v>
      </c>
      <c r="Q76" s="19">
        <v>5.0</v>
      </c>
      <c r="R76" s="19">
        <v>4.0</v>
      </c>
      <c r="S76" s="19">
        <v>1.0</v>
      </c>
      <c r="T76" s="19">
        <v>1.0</v>
      </c>
      <c r="U76" s="19">
        <v>1.0</v>
      </c>
      <c r="V76" s="19">
        <v>0.0</v>
      </c>
      <c r="W76" s="19">
        <v>1.0</v>
      </c>
      <c r="X76" s="19">
        <v>2.0</v>
      </c>
      <c r="Y76" s="19">
        <v>0.0</v>
      </c>
      <c r="Z76" s="19">
        <v>2.0</v>
      </c>
      <c r="AA76" s="13">
        <f t="shared" si="10"/>
        <v>23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Z79" si="11">SUM(E69:E76)</f>
        <v>30</v>
      </c>
      <c r="F79" s="13">
        <f t="shared" si="11"/>
        <v>11</v>
      </c>
      <c r="G79" s="13">
        <f t="shared" si="11"/>
        <v>10</v>
      </c>
      <c r="H79" s="13">
        <f t="shared" si="11"/>
        <v>29</v>
      </c>
      <c r="I79" s="13">
        <f t="shared" si="11"/>
        <v>26</v>
      </c>
      <c r="J79" s="13">
        <f t="shared" si="11"/>
        <v>19</v>
      </c>
      <c r="K79" s="13">
        <f t="shared" si="11"/>
        <v>23</v>
      </c>
      <c r="L79" s="13">
        <f t="shared" si="11"/>
        <v>37</v>
      </c>
      <c r="M79" s="13">
        <f t="shared" si="11"/>
        <v>38</v>
      </c>
      <c r="N79" s="13">
        <f t="shared" si="11"/>
        <v>25</v>
      </c>
      <c r="O79" s="13">
        <f t="shared" si="11"/>
        <v>36</v>
      </c>
      <c r="P79" s="13">
        <f t="shared" si="11"/>
        <v>32</v>
      </c>
      <c r="Q79" s="13">
        <f t="shared" si="11"/>
        <v>72</v>
      </c>
      <c r="R79" s="13">
        <f t="shared" si="11"/>
        <v>56</v>
      </c>
      <c r="S79" s="13">
        <f t="shared" si="11"/>
        <v>28</v>
      </c>
      <c r="T79" s="13">
        <f t="shared" si="11"/>
        <v>20</v>
      </c>
      <c r="U79" s="13">
        <f t="shared" si="11"/>
        <v>32</v>
      </c>
      <c r="V79" s="13">
        <f t="shared" si="11"/>
        <v>12</v>
      </c>
      <c r="W79" s="13">
        <f t="shared" si="11"/>
        <v>25</v>
      </c>
      <c r="X79" s="13">
        <f t="shared" si="11"/>
        <v>37</v>
      </c>
      <c r="Y79" s="13">
        <f t="shared" si="11"/>
        <v>28</v>
      </c>
      <c r="Z79" s="13">
        <f t="shared" si="11"/>
        <v>26</v>
      </c>
      <c r="AA79" s="13">
        <f>SUM(E79:Z79)</f>
        <v>652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6.0</v>
      </c>
      <c r="G81" s="19">
        <v>7.0</v>
      </c>
      <c r="H81" s="19">
        <v>10.0</v>
      </c>
      <c r="I81" s="19">
        <v>7.0</v>
      </c>
      <c r="J81" s="19">
        <v>5.0</v>
      </c>
      <c r="K81" s="19">
        <v>10.0</v>
      </c>
      <c r="L81" s="19">
        <v>4.0</v>
      </c>
      <c r="M81" s="19">
        <v>3.0</v>
      </c>
      <c r="N81" s="19">
        <v>6.0</v>
      </c>
      <c r="O81" s="19">
        <v>4.0</v>
      </c>
      <c r="P81" s="19">
        <v>11.0</v>
      </c>
      <c r="Q81" s="19">
        <v>3.0</v>
      </c>
      <c r="R81" s="19">
        <v>7.0</v>
      </c>
      <c r="S81" s="19">
        <v>2.0</v>
      </c>
      <c r="T81" s="19">
        <v>0.0</v>
      </c>
      <c r="U81" s="19">
        <v>0.0</v>
      </c>
      <c r="V81" s="19">
        <v>0.0</v>
      </c>
      <c r="W81" s="19">
        <v>1.0</v>
      </c>
      <c r="X81" s="19">
        <v>8.0</v>
      </c>
      <c r="Y81" s="19">
        <v>13.0</v>
      </c>
      <c r="Z81" s="19">
        <v>19.0</v>
      </c>
      <c r="AA81" s="13">
        <f t="shared" ref="AA81:AA88" si="12">SUM(E81:Z81)</f>
        <v>127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2.0</v>
      </c>
      <c r="F82" s="19">
        <v>31.0</v>
      </c>
      <c r="G82" s="19">
        <v>66.0</v>
      </c>
      <c r="H82" s="19">
        <v>17.0</v>
      </c>
      <c r="I82" s="19">
        <v>11.0</v>
      </c>
      <c r="J82" s="19">
        <v>24.0</v>
      </c>
      <c r="K82" s="19">
        <v>6.0</v>
      </c>
      <c r="L82" s="19">
        <v>6.0</v>
      </c>
      <c r="M82" s="19">
        <v>7.0</v>
      </c>
      <c r="N82" s="19">
        <v>2.0</v>
      </c>
      <c r="O82" s="19">
        <v>3.0</v>
      </c>
      <c r="P82" s="19">
        <v>10.0</v>
      </c>
      <c r="Q82" s="19">
        <v>0.0</v>
      </c>
      <c r="R82" s="19">
        <v>10.0</v>
      </c>
      <c r="S82" s="19">
        <v>0.0</v>
      </c>
      <c r="T82" s="19">
        <v>0.0</v>
      </c>
      <c r="U82" s="19">
        <v>0.0</v>
      </c>
      <c r="V82" s="19">
        <v>1.0</v>
      </c>
      <c r="W82" s="19">
        <v>2.0</v>
      </c>
      <c r="X82" s="19">
        <v>37.0</v>
      </c>
      <c r="Y82" s="19">
        <v>95.0</v>
      </c>
      <c r="Z82" s="19">
        <v>56.0</v>
      </c>
      <c r="AA82" s="13">
        <f t="shared" si="12"/>
        <v>386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2.0</v>
      </c>
      <c r="G83" s="19">
        <v>5.0</v>
      </c>
      <c r="H83" s="19">
        <v>5.0</v>
      </c>
      <c r="I83" s="19">
        <v>10.0</v>
      </c>
      <c r="J83" s="19">
        <v>10.0</v>
      </c>
      <c r="K83" s="19">
        <v>10.0</v>
      </c>
      <c r="L83" s="19">
        <v>6.0</v>
      </c>
      <c r="M83" s="19">
        <v>1.0</v>
      </c>
      <c r="N83" s="19">
        <v>7.0</v>
      </c>
      <c r="O83" s="19">
        <v>2.0</v>
      </c>
      <c r="P83" s="19">
        <v>4.0</v>
      </c>
      <c r="Q83" s="19">
        <v>1.0</v>
      </c>
      <c r="R83" s="19">
        <v>1.0</v>
      </c>
      <c r="S83" s="19">
        <v>3.0</v>
      </c>
      <c r="T83" s="19">
        <v>1.0</v>
      </c>
      <c r="U83" s="19">
        <v>0.0</v>
      </c>
      <c r="V83" s="19">
        <v>0.0</v>
      </c>
      <c r="W83" s="19">
        <v>0.0</v>
      </c>
      <c r="X83" s="19">
        <v>3.0</v>
      </c>
      <c r="Y83" s="19">
        <v>10.0</v>
      </c>
      <c r="Z83" s="19">
        <v>3.0</v>
      </c>
      <c r="AA83" s="13">
        <f t="shared" si="12"/>
        <v>84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1.0</v>
      </c>
      <c r="L84" s="19">
        <v>1.0</v>
      </c>
      <c r="M84" s="19">
        <v>0.0</v>
      </c>
      <c r="N84" s="19">
        <v>1.0</v>
      </c>
      <c r="O84" s="19">
        <v>3.0</v>
      </c>
      <c r="P84" s="19">
        <v>1.0</v>
      </c>
      <c r="Q84" s="19">
        <v>1.0</v>
      </c>
      <c r="R84" s="19">
        <v>1.0</v>
      </c>
      <c r="S84" s="19">
        <v>0.0</v>
      </c>
      <c r="T84" s="19">
        <v>0.0</v>
      </c>
      <c r="U84" s="19">
        <v>1.0</v>
      </c>
      <c r="V84" s="19">
        <v>0.0</v>
      </c>
      <c r="W84" s="19">
        <v>0.0</v>
      </c>
      <c r="X84" s="19">
        <v>0.0</v>
      </c>
      <c r="Y84" s="19">
        <v>1.0</v>
      </c>
      <c r="Z84" s="19">
        <v>1.0</v>
      </c>
      <c r="AA84" s="13">
        <f t="shared" si="12"/>
        <v>14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2.0</v>
      </c>
      <c r="G85" s="19">
        <v>0.0</v>
      </c>
      <c r="H85" s="19">
        <v>1.0</v>
      </c>
      <c r="I85" s="19">
        <v>0.0</v>
      </c>
      <c r="J85" s="19">
        <v>2.0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2.0</v>
      </c>
      <c r="Y85" s="19">
        <v>0.0</v>
      </c>
      <c r="Z85" s="19">
        <v>1.0</v>
      </c>
      <c r="AA85" s="13">
        <f t="shared" si="12"/>
        <v>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1.0</v>
      </c>
      <c r="H86" s="19">
        <v>0.0</v>
      </c>
      <c r="I86" s="19">
        <v>1.0</v>
      </c>
      <c r="J86" s="19">
        <v>2.0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3">
        <f t="shared" si="12"/>
        <v>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0.0</v>
      </c>
      <c r="AA87" s="13">
        <f t="shared" si="12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3">
        <f t="shared" si="12"/>
        <v>1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Z91" si="13">SUM(E81:E88)</f>
        <v>3</v>
      </c>
      <c r="F91" s="13">
        <f t="shared" si="13"/>
        <v>43</v>
      </c>
      <c r="G91" s="13">
        <f t="shared" si="13"/>
        <v>79</v>
      </c>
      <c r="H91" s="13">
        <f t="shared" si="13"/>
        <v>33</v>
      </c>
      <c r="I91" s="13">
        <f t="shared" si="13"/>
        <v>30</v>
      </c>
      <c r="J91" s="13">
        <f t="shared" si="13"/>
        <v>44</v>
      </c>
      <c r="K91" s="13">
        <f t="shared" si="13"/>
        <v>27</v>
      </c>
      <c r="L91" s="13">
        <f t="shared" si="13"/>
        <v>17</v>
      </c>
      <c r="M91" s="13">
        <f t="shared" si="13"/>
        <v>12</v>
      </c>
      <c r="N91" s="13">
        <f t="shared" si="13"/>
        <v>16</v>
      </c>
      <c r="O91" s="13">
        <f t="shared" si="13"/>
        <v>12</v>
      </c>
      <c r="P91" s="13">
        <f t="shared" si="13"/>
        <v>27</v>
      </c>
      <c r="Q91" s="13">
        <f t="shared" si="13"/>
        <v>5</v>
      </c>
      <c r="R91" s="13">
        <f t="shared" si="13"/>
        <v>19</v>
      </c>
      <c r="S91" s="13">
        <f t="shared" si="13"/>
        <v>5</v>
      </c>
      <c r="T91" s="13">
        <f t="shared" si="13"/>
        <v>1</v>
      </c>
      <c r="U91" s="13">
        <f t="shared" si="13"/>
        <v>1</v>
      </c>
      <c r="V91" s="13">
        <f t="shared" si="13"/>
        <v>2</v>
      </c>
      <c r="W91" s="13">
        <f t="shared" si="13"/>
        <v>4</v>
      </c>
      <c r="X91" s="13">
        <f t="shared" si="13"/>
        <v>50</v>
      </c>
      <c r="Y91" s="13">
        <f t="shared" si="13"/>
        <v>119</v>
      </c>
      <c r="Z91" s="13">
        <f t="shared" si="13"/>
        <v>80</v>
      </c>
      <c r="AA91" s="13">
        <f>SUM(E91:Z91)</f>
        <v>629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0.0</v>
      </c>
      <c r="J93" s="19">
        <v>0.0</v>
      </c>
      <c r="K93" s="19">
        <v>3.0</v>
      </c>
      <c r="L93" s="19">
        <v>0.0</v>
      </c>
      <c r="M93" s="19">
        <v>1.0</v>
      </c>
      <c r="N93" s="19">
        <v>2.0</v>
      </c>
      <c r="O93" s="19">
        <v>0.0</v>
      </c>
      <c r="P93" s="19">
        <v>3.0</v>
      </c>
      <c r="Q93" s="19">
        <v>0.0</v>
      </c>
      <c r="R93" s="19">
        <v>0.0</v>
      </c>
      <c r="S93" s="19">
        <v>0.0</v>
      </c>
      <c r="T93" s="19">
        <v>1.0</v>
      </c>
      <c r="U93" s="19">
        <v>1.0</v>
      </c>
      <c r="V93" s="19">
        <v>3.0</v>
      </c>
      <c r="W93" s="19">
        <v>1.0</v>
      </c>
      <c r="X93" s="19">
        <v>0.0</v>
      </c>
      <c r="Y93" s="19">
        <v>0.0</v>
      </c>
      <c r="Z93" s="19">
        <v>1.0</v>
      </c>
      <c r="AA93" s="13">
        <f t="shared" ref="AA93:AA100" si="14">SUM(E93:Z93)</f>
        <v>17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1.0</v>
      </c>
      <c r="J94" s="19">
        <v>6.0</v>
      </c>
      <c r="K94" s="19">
        <v>0.0</v>
      </c>
      <c r="L94" s="19">
        <v>1.0</v>
      </c>
      <c r="M94" s="19">
        <v>1.0</v>
      </c>
      <c r="N94" s="19">
        <v>2.0</v>
      </c>
      <c r="O94" s="19">
        <v>2.0</v>
      </c>
      <c r="P94" s="19">
        <v>1.0</v>
      </c>
      <c r="Q94" s="19">
        <v>1.0</v>
      </c>
      <c r="R94" s="19">
        <v>0.0</v>
      </c>
      <c r="S94" s="19">
        <v>0.0</v>
      </c>
      <c r="T94" s="19">
        <v>0.0</v>
      </c>
      <c r="U94" s="19">
        <v>2.0</v>
      </c>
      <c r="V94" s="19">
        <v>1.0</v>
      </c>
      <c r="W94" s="19">
        <v>0.0</v>
      </c>
      <c r="X94" s="19">
        <v>0.0</v>
      </c>
      <c r="Y94" s="19">
        <v>1.0</v>
      </c>
      <c r="Z94" s="19">
        <v>2.0</v>
      </c>
      <c r="AA94" s="13">
        <f t="shared" si="14"/>
        <v>21</v>
      </c>
    </row>
    <row r="95" ht="12.75" customHeight="1">
      <c r="A95" s="18"/>
      <c r="B95" s="55">
        <v>2.0</v>
      </c>
      <c r="C95" s="50" t="s">
        <v>75</v>
      </c>
      <c r="D95" s="57"/>
      <c r="E95" s="19">
        <v>3.0</v>
      </c>
      <c r="F95" s="19">
        <v>13.0</v>
      </c>
      <c r="G95" s="19">
        <v>1.0</v>
      </c>
      <c r="H95" s="19">
        <v>2.0</v>
      </c>
      <c r="I95" s="19">
        <v>1.0</v>
      </c>
      <c r="J95" s="19">
        <v>3.0</v>
      </c>
      <c r="K95" s="19">
        <v>0.0</v>
      </c>
      <c r="L95" s="19">
        <v>2.0</v>
      </c>
      <c r="M95" s="19">
        <v>2.0</v>
      </c>
      <c r="N95" s="19">
        <v>22.0</v>
      </c>
      <c r="O95" s="19">
        <v>22.0</v>
      </c>
      <c r="P95" s="19">
        <v>40.0</v>
      </c>
      <c r="Q95" s="19">
        <v>1.0</v>
      </c>
      <c r="R95" s="19">
        <v>24.0</v>
      </c>
      <c r="S95" s="19">
        <v>44.0</v>
      </c>
      <c r="T95" s="19">
        <v>41.0</v>
      </c>
      <c r="U95" s="19">
        <v>54.0</v>
      </c>
      <c r="V95" s="19">
        <v>2.0</v>
      </c>
      <c r="W95" s="19">
        <v>7.0</v>
      </c>
      <c r="X95" s="19">
        <v>0.0</v>
      </c>
      <c r="Y95" s="19">
        <v>0.0</v>
      </c>
      <c r="Z95" s="19">
        <v>0.0</v>
      </c>
      <c r="AA95" s="13">
        <f t="shared" si="14"/>
        <v>284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3">
        <f t="shared" si="14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2.0</v>
      </c>
      <c r="I97" s="19">
        <v>0.0</v>
      </c>
      <c r="J97" s="19">
        <v>19.0</v>
      </c>
      <c r="K97" s="19">
        <v>9.0</v>
      </c>
      <c r="L97" s="19">
        <v>0.0</v>
      </c>
      <c r="M97" s="19">
        <v>8.0</v>
      </c>
      <c r="N97" s="19">
        <v>0.0</v>
      </c>
      <c r="O97" s="19">
        <v>7.0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0.0</v>
      </c>
      <c r="V97" s="19">
        <v>2.0</v>
      </c>
      <c r="W97" s="19">
        <v>0.0</v>
      </c>
      <c r="X97" s="19">
        <v>0.0</v>
      </c>
      <c r="Y97" s="19">
        <v>0.0</v>
      </c>
      <c r="Z97" s="19">
        <v>0.0</v>
      </c>
      <c r="AA97" s="13">
        <f t="shared" si="14"/>
        <v>48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14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14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14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Z103" si="15">SUM(E93:E100)</f>
        <v>3</v>
      </c>
      <c r="F103" s="13">
        <f t="shared" si="15"/>
        <v>13</v>
      </c>
      <c r="G103" s="13">
        <f t="shared" si="15"/>
        <v>1</v>
      </c>
      <c r="H103" s="13">
        <f t="shared" si="15"/>
        <v>6</v>
      </c>
      <c r="I103" s="13">
        <f t="shared" si="15"/>
        <v>2</v>
      </c>
      <c r="J103" s="13">
        <f t="shared" si="15"/>
        <v>28</v>
      </c>
      <c r="K103" s="13">
        <f t="shared" si="15"/>
        <v>12</v>
      </c>
      <c r="L103" s="13">
        <f t="shared" si="15"/>
        <v>3</v>
      </c>
      <c r="M103" s="13">
        <f t="shared" si="15"/>
        <v>12</v>
      </c>
      <c r="N103" s="13">
        <f t="shared" si="15"/>
        <v>26</v>
      </c>
      <c r="O103" s="13">
        <f t="shared" si="15"/>
        <v>32</v>
      </c>
      <c r="P103" s="13">
        <f t="shared" si="15"/>
        <v>44</v>
      </c>
      <c r="Q103" s="13">
        <f t="shared" si="15"/>
        <v>2</v>
      </c>
      <c r="R103" s="13">
        <f t="shared" si="15"/>
        <v>24</v>
      </c>
      <c r="S103" s="13">
        <f t="shared" si="15"/>
        <v>44</v>
      </c>
      <c r="T103" s="13">
        <f t="shared" si="15"/>
        <v>43</v>
      </c>
      <c r="U103" s="13">
        <f t="shared" si="15"/>
        <v>57</v>
      </c>
      <c r="V103" s="13">
        <f t="shared" si="15"/>
        <v>8</v>
      </c>
      <c r="W103" s="13">
        <f t="shared" si="15"/>
        <v>8</v>
      </c>
      <c r="X103" s="13">
        <f t="shared" si="15"/>
        <v>0</v>
      </c>
      <c r="Y103" s="13">
        <f t="shared" si="15"/>
        <v>1</v>
      </c>
      <c r="Z103" s="13">
        <f t="shared" si="15"/>
        <v>3</v>
      </c>
      <c r="AA103" s="13">
        <f>SUM(E103:Z103)</f>
        <v>372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1.0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3">
        <f t="shared" ref="AA105:AA112" si="16">SUM(E105:Z105)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3">
        <f t="shared" si="16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3">
        <f t="shared" si="16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2.0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16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16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16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16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16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Z115" si="17">SUM(E105:E112)</f>
        <v>0</v>
      </c>
      <c r="F115" s="13">
        <f t="shared" si="17"/>
        <v>0</v>
      </c>
      <c r="G115" s="13">
        <f t="shared" si="17"/>
        <v>0</v>
      </c>
      <c r="H115" s="13">
        <f t="shared" si="17"/>
        <v>1</v>
      </c>
      <c r="I115" s="13">
        <f t="shared" si="17"/>
        <v>1</v>
      </c>
      <c r="J115" s="13">
        <f t="shared" si="17"/>
        <v>0</v>
      </c>
      <c r="K115" s="13">
        <f t="shared" si="17"/>
        <v>1</v>
      </c>
      <c r="L115" s="13">
        <f t="shared" si="17"/>
        <v>1</v>
      </c>
      <c r="M115" s="13">
        <f t="shared" si="17"/>
        <v>0</v>
      </c>
      <c r="N115" s="13">
        <f t="shared" si="17"/>
        <v>1</v>
      </c>
      <c r="O115" s="13">
        <f t="shared" si="17"/>
        <v>3</v>
      </c>
      <c r="P115" s="13">
        <f t="shared" si="17"/>
        <v>0</v>
      </c>
      <c r="Q115" s="13">
        <f t="shared" si="17"/>
        <v>2</v>
      </c>
      <c r="R115" s="13">
        <f t="shared" si="17"/>
        <v>0</v>
      </c>
      <c r="S115" s="13">
        <f t="shared" si="17"/>
        <v>0</v>
      </c>
      <c r="T115" s="13">
        <f t="shared" si="17"/>
        <v>1</v>
      </c>
      <c r="U115" s="13">
        <f t="shared" si="17"/>
        <v>0</v>
      </c>
      <c r="V115" s="13">
        <f t="shared" si="17"/>
        <v>0</v>
      </c>
      <c r="W115" s="13">
        <f t="shared" si="17"/>
        <v>2</v>
      </c>
      <c r="X115" s="13">
        <f t="shared" si="17"/>
        <v>0</v>
      </c>
      <c r="Y115" s="13">
        <f t="shared" si="17"/>
        <v>0</v>
      </c>
      <c r="Z115" s="13">
        <f t="shared" si="17"/>
        <v>1</v>
      </c>
      <c r="AA115" s="13">
        <f>SUM(E115:Z115)</f>
        <v>14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1.0</v>
      </c>
      <c r="V117" s="19">
        <v>0.0</v>
      </c>
      <c r="W117" s="19">
        <v>0.0</v>
      </c>
      <c r="X117" s="19">
        <v>1.0</v>
      </c>
      <c r="Y117" s="19">
        <v>0.0</v>
      </c>
      <c r="Z117" s="19">
        <v>1.0</v>
      </c>
      <c r="AA117" s="13">
        <f t="shared" ref="AA117:AA120" si="18">SUM(E117:Z117)</f>
        <v>5</v>
      </c>
      <c r="AB117" s="5"/>
      <c r="AC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3">
        <f t="shared" si="18"/>
        <v>2</v>
      </c>
      <c r="AB118" s="5"/>
      <c r="AC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3">
        <f t="shared" si="18"/>
        <v>1</v>
      </c>
      <c r="AB119" s="5"/>
      <c r="AC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18"/>
        <v>0</v>
      </c>
      <c r="AB120" s="5"/>
      <c r="AC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74"/>
      <c r="AB121" s="5"/>
      <c r="AC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74"/>
      <c r="AB122" s="5"/>
      <c r="AC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74"/>
      <c r="AB123" s="5"/>
      <c r="AC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74"/>
      <c r="AB124" s="5"/>
      <c r="AC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74"/>
      <c r="AB125" s="5"/>
      <c r="AC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74"/>
      <c r="AB126" s="5"/>
      <c r="AC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Z127" si="19">SUM(E117:E120)</f>
        <v>0</v>
      </c>
      <c r="F127" s="58">
        <f t="shared" si="19"/>
        <v>0</v>
      </c>
      <c r="G127" s="58">
        <f t="shared" si="19"/>
        <v>0</v>
      </c>
      <c r="H127" s="58">
        <f t="shared" si="19"/>
        <v>0</v>
      </c>
      <c r="I127" s="58">
        <f t="shared" si="19"/>
        <v>0</v>
      </c>
      <c r="J127" s="58">
        <f t="shared" si="19"/>
        <v>0</v>
      </c>
      <c r="K127" s="58">
        <f t="shared" si="19"/>
        <v>0</v>
      </c>
      <c r="L127" s="58">
        <f t="shared" si="19"/>
        <v>0</v>
      </c>
      <c r="M127" s="58">
        <f t="shared" si="19"/>
        <v>0</v>
      </c>
      <c r="N127" s="58">
        <f t="shared" si="19"/>
        <v>1</v>
      </c>
      <c r="O127" s="58">
        <f t="shared" si="19"/>
        <v>0</v>
      </c>
      <c r="P127" s="58">
        <f t="shared" si="19"/>
        <v>1</v>
      </c>
      <c r="Q127" s="58">
        <f t="shared" si="19"/>
        <v>1</v>
      </c>
      <c r="R127" s="58">
        <f t="shared" si="19"/>
        <v>0</v>
      </c>
      <c r="S127" s="58">
        <f t="shared" si="19"/>
        <v>1</v>
      </c>
      <c r="T127" s="58">
        <f t="shared" si="19"/>
        <v>0</v>
      </c>
      <c r="U127" s="58">
        <f t="shared" si="19"/>
        <v>1</v>
      </c>
      <c r="V127" s="58">
        <f t="shared" si="19"/>
        <v>0</v>
      </c>
      <c r="W127" s="58">
        <f t="shared" si="19"/>
        <v>1</v>
      </c>
      <c r="X127" s="58">
        <f t="shared" si="19"/>
        <v>1</v>
      </c>
      <c r="Y127" s="58">
        <f t="shared" si="19"/>
        <v>0</v>
      </c>
      <c r="Z127" s="58">
        <f t="shared" si="19"/>
        <v>1</v>
      </c>
      <c r="AA127" s="13">
        <f>SUM(E127:Z127)</f>
        <v>8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5"/>
      <c r="AC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3.0</v>
      </c>
      <c r="F129" s="19">
        <v>1.0</v>
      </c>
      <c r="G129" s="19">
        <v>0.0</v>
      </c>
      <c r="H129" s="19">
        <v>0.0</v>
      </c>
      <c r="I129" s="19">
        <v>2.0</v>
      </c>
      <c r="J129" s="19">
        <v>0.0</v>
      </c>
      <c r="K129" s="19">
        <v>2.0</v>
      </c>
      <c r="L129" s="19">
        <v>0.0</v>
      </c>
      <c r="M129" s="19">
        <v>0.0</v>
      </c>
      <c r="N129" s="19">
        <v>0.0</v>
      </c>
      <c r="O129" s="19">
        <v>0.0</v>
      </c>
      <c r="P129" s="19">
        <v>3.0</v>
      </c>
      <c r="Q129" s="19">
        <v>0.0</v>
      </c>
      <c r="R129" s="19">
        <v>0.0</v>
      </c>
      <c r="S129" s="19">
        <v>0.0</v>
      </c>
      <c r="T129" s="19">
        <v>1.0</v>
      </c>
      <c r="U129" s="19">
        <v>2.0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3">
        <f t="shared" ref="AA129:AA136" si="20">SUM(E129:Z129)</f>
        <v>14</v>
      </c>
      <c r="AB129" s="5"/>
      <c r="AC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5.0</v>
      </c>
      <c r="G130" s="19">
        <v>1.0</v>
      </c>
      <c r="H130" s="19">
        <v>4.0</v>
      </c>
      <c r="I130" s="19">
        <v>0.0</v>
      </c>
      <c r="J130" s="19">
        <v>0.0</v>
      </c>
      <c r="K130" s="19">
        <v>4.0</v>
      </c>
      <c r="L130" s="19">
        <v>0.0</v>
      </c>
      <c r="M130" s="19">
        <v>0.0</v>
      </c>
      <c r="N130" s="19">
        <v>5.0</v>
      </c>
      <c r="O130" s="19">
        <v>0.0</v>
      </c>
      <c r="P130" s="19">
        <v>2.0</v>
      </c>
      <c r="Q130" s="19">
        <v>0.0</v>
      </c>
      <c r="R130" s="19">
        <v>0.0</v>
      </c>
      <c r="S130" s="19">
        <v>0.0</v>
      </c>
      <c r="T130" s="19">
        <v>0.0</v>
      </c>
      <c r="U130" s="19">
        <v>1.0</v>
      </c>
      <c r="V130" s="19">
        <v>1.0</v>
      </c>
      <c r="W130" s="19">
        <v>0.0</v>
      </c>
      <c r="X130" s="19">
        <v>0.0</v>
      </c>
      <c r="Y130" s="19">
        <v>0.0</v>
      </c>
      <c r="Z130" s="19">
        <v>0.0</v>
      </c>
      <c r="AA130" s="13">
        <f t="shared" si="20"/>
        <v>23</v>
      </c>
      <c r="AB130" s="1"/>
      <c r="AC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1.0</v>
      </c>
      <c r="O131" s="19">
        <v>0.0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1.0</v>
      </c>
      <c r="W131" s="19">
        <v>1.0</v>
      </c>
      <c r="X131" s="19">
        <v>0.0</v>
      </c>
      <c r="Y131" s="19">
        <v>1.0</v>
      </c>
      <c r="Z131" s="19">
        <v>0.0</v>
      </c>
      <c r="AA131" s="13">
        <f t="shared" si="20"/>
        <v>6</v>
      </c>
      <c r="AB131" s="52"/>
      <c r="AC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3">
        <f t="shared" si="20"/>
        <v>0</v>
      </c>
      <c r="AB132" s="5"/>
      <c r="AC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3">
        <f t="shared" si="20"/>
        <v>1</v>
      </c>
      <c r="AB133" s="5"/>
      <c r="AC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20"/>
        <v>0</v>
      </c>
      <c r="AB134" s="5"/>
      <c r="AC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3">
        <f t="shared" si="20"/>
        <v>0</v>
      </c>
      <c r="AB135" s="5"/>
      <c r="AC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3">
        <f t="shared" si="20"/>
        <v>0</v>
      </c>
      <c r="AB136" s="5"/>
      <c r="AC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74"/>
      <c r="AB137" s="5"/>
      <c r="AC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74"/>
      <c r="AB138" s="5"/>
      <c r="AC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Z139" si="21">SUM(E129:E136)</f>
        <v>3</v>
      </c>
      <c r="F139" s="13">
        <f t="shared" si="21"/>
        <v>6</v>
      </c>
      <c r="G139" s="13">
        <f t="shared" si="21"/>
        <v>1</v>
      </c>
      <c r="H139" s="13">
        <f t="shared" si="21"/>
        <v>4</v>
      </c>
      <c r="I139" s="13">
        <f t="shared" si="21"/>
        <v>2</v>
      </c>
      <c r="J139" s="13">
        <f t="shared" si="21"/>
        <v>0</v>
      </c>
      <c r="K139" s="13">
        <f t="shared" si="21"/>
        <v>8</v>
      </c>
      <c r="L139" s="13">
        <f t="shared" si="21"/>
        <v>0</v>
      </c>
      <c r="M139" s="13">
        <f t="shared" si="21"/>
        <v>0</v>
      </c>
      <c r="N139" s="13">
        <f t="shared" si="21"/>
        <v>6</v>
      </c>
      <c r="O139" s="13">
        <f t="shared" si="21"/>
        <v>0</v>
      </c>
      <c r="P139" s="13">
        <f t="shared" si="21"/>
        <v>6</v>
      </c>
      <c r="Q139" s="13">
        <f t="shared" si="21"/>
        <v>0</v>
      </c>
      <c r="R139" s="13">
        <f t="shared" si="21"/>
        <v>0</v>
      </c>
      <c r="S139" s="13">
        <f t="shared" si="21"/>
        <v>0</v>
      </c>
      <c r="T139" s="13">
        <f t="shared" si="21"/>
        <v>1</v>
      </c>
      <c r="U139" s="13">
        <f t="shared" si="21"/>
        <v>3</v>
      </c>
      <c r="V139" s="13">
        <f t="shared" si="21"/>
        <v>2</v>
      </c>
      <c r="W139" s="13">
        <f t="shared" si="21"/>
        <v>1</v>
      </c>
      <c r="X139" s="13">
        <f t="shared" si="21"/>
        <v>0</v>
      </c>
      <c r="Y139" s="13">
        <f t="shared" si="21"/>
        <v>1</v>
      </c>
      <c r="Z139" s="13">
        <f t="shared" si="21"/>
        <v>0</v>
      </c>
      <c r="AA139" s="13">
        <f>SUM(E139:Z139)</f>
        <v>44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5"/>
      <c r="AC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48" si="22">SUM(E141:Z141)</f>
        <v>1</v>
      </c>
      <c r="AB141" s="1"/>
      <c r="AC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22"/>
        <v>0</v>
      </c>
      <c r="AB142" s="52"/>
      <c r="AC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1.0</v>
      </c>
      <c r="Y143" s="19">
        <v>0.0</v>
      </c>
      <c r="Z143" s="19">
        <v>0.0</v>
      </c>
      <c r="AA143" s="13">
        <f t="shared" si="22"/>
        <v>1</v>
      </c>
      <c r="AB143" s="5"/>
      <c r="AC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22"/>
        <v>0</v>
      </c>
      <c r="AB144" s="5"/>
      <c r="AC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22"/>
        <v>0</v>
      </c>
      <c r="AB145" s="5"/>
      <c r="AC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22"/>
        <v>0</v>
      </c>
      <c r="AB146" s="5"/>
      <c r="AC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22"/>
        <v>0</v>
      </c>
      <c r="AB147" s="5"/>
      <c r="AC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22"/>
        <v>0</v>
      </c>
      <c r="AB148" s="5"/>
      <c r="AC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74"/>
      <c r="AB149" s="5"/>
      <c r="AC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74"/>
      <c r="AB150" s="5"/>
      <c r="AC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Z151" si="23">SUM(E141:E148)</f>
        <v>0</v>
      </c>
      <c r="F151" s="13">
        <f t="shared" si="23"/>
        <v>1</v>
      </c>
      <c r="G151" s="13">
        <f t="shared" si="23"/>
        <v>0</v>
      </c>
      <c r="H151" s="13">
        <f t="shared" si="23"/>
        <v>0</v>
      </c>
      <c r="I151" s="13">
        <f t="shared" si="23"/>
        <v>0</v>
      </c>
      <c r="J151" s="13">
        <f t="shared" si="23"/>
        <v>0</v>
      </c>
      <c r="K151" s="13">
        <f t="shared" si="23"/>
        <v>0</v>
      </c>
      <c r="L151" s="13">
        <f t="shared" si="23"/>
        <v>0</v>
      </c>
      <c r="M151" s="13">
        <f t="shared" si="23"/>
        <v>0</v>
      </c>
      <c r="N151" s="13">
        <f t="shared" si="23"/>
        <v>0</v>
      </c>
      <c r="O151" s="13">
        <f t="shared" si="23"/>
        <v>0</v>
      </c>
      <c r="P151" s="13">
        <f t="shared" si="23"/>
        <v>0</v>
      </c>
      <c r="Q151" s="13">
        <f t="shared" si="23"/>
        <v>0</v>
      </c>
      <c r="R151" s="13">
        <f t="shared" si="23"/>
        <v>0</v>
      </c>
      <c r="S151" s="13">
        <f t="shared" si="23"/>
        <v>0</v>
      </c>
      <c r="T151" s="13">
        <f t="shared" si="23"/>
        <v>0</v>
      </c>
      <c r="U151" s="13">
        <f t="shared" si="23"/>
        <v>0</v>
      </c>
      <c r="V151" s="13">
        <f t="shared" si="23"/>
        <v>0</v>
      </c>
      <c r="W151" s="13">
        <f t="shared" si="23"/>
        <v>0</v>
      </c>
      <c r="X151" s="13">
        <f t="shared" si="23"/>
        <v>1</v>
      </c>
      <c r="Y151" s="13">
        <f t="shared" si="23"/>
        <v>0</v>
      </c>
      <c r="Z151" s="13">
        <f t="shared" si="23"/>
        <v>0</v>
      </c>
      <c r="AA151" s="13">
        <f>SUM(E151:Z151)</f>
        <v>2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13"/>
      <c r="AB152" s="52"/>
      <c r="AC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3">
        <f t="shared" ref="AA153:AA156" si="24">SUM(E154:Z154)</f>
        <v>1</v>
      </c>
      <c r="AB153" s="5"/>
      <c r="AC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3">
        <f t="shared" si="24"/>
        <v>0</v>
      </c>
      <c r="AB154" s="5"/>
      <c r="AC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3">
        <f t="shared" si="24"/>
        <v>0</v>
      </c>
      <c r="AB155" s="5"/>
      <c r="AC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24"/>
        <v>1</v>
      </c>
      <c r="AB156" s="5"/>
      <c r="AC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>SUM(E163:Z163)</f>
        <v>3</v>
      </c>
      <c r="AB157" s="5"/>
      <c r="AC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74"/>
      <c r="AB158" s="5"/>
      <c r="AC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74"/>
      <c r="AB159" s="5"/>
      <c r="AC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74"/>
      <c r="AB160" s="5"/>
      <c r="AC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74"/>
      <c r="AB161" s="5"/>
      <c r="AC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74"/>
      <c r="AB162" s="5"/>
      <c r="AC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Z163" si="25">SUM(E153:E157)</f>
        <v>0</v>
      </c>
      <c r="F163" s="13">
        <f t="shared" si="25"/>
        <v>0</v>
      </c>
      <c r="G163" s="13">
        <f t="shared" si="25"/>
        <v>0</v>
      </c>
      <c r="H163" s="13">
        <f t="shared" si="25"/>
        <v>1</v>
      </c>
      <c r="I163" s="13">
        <f t="shared" si="25"/>
        <v>0</v>
      </c>
      <c r="J163" s="13">
        <f t="shared" si="25"/>
        <v>0</v>
      </c>
      <c r="K163" s="13">
        <f t="shared" si="25"/>
        <v>0</v>
      </c>
      <c r="L163" s="13">
        <f t="shared" si="25"/>
        <v>0</v>
      </c>
      <c r="M163" s="13">
        <f t="shared" si="25"/>
        <v>0</v>
      </c>
      <c r="N163" s="13">
        <f t="shared" si="25"/>
        <v>0</v>
      </c>
      <c r="O163" s="13">
        <f t="shared" si="25"/>
        <v>0</v>
      </c>
      <c r="P163" s="13">
        <f t="shared" si="25"/>
        <v>0</v>
      </c>
      <c r="Q163" s="13">
        <f t="shared" si="25"/>
        <v>0</v>
      </c>
      <c r="R163" s="13">
        <f t="shared" si="25"/>
        <v>0</v>
      </c>
      <c r="S163" s="13">
        <f t="shared" si="25"/>
        <v>1</v>
      </c>
      <c r="T163" s="13">
        <f t="shared" si="25"/>
        <v>1</v>
      </c>
      <c r="U163" s="13">
        <f t="shared" si="25"/>
        <v>0</v>
      </c>
      <c r="V163" s="13">
        <f t="shared" si="25"/>
        <v>0</v>
      </c>
      <c r="W163" s="13">
        <f t="shared" si="25"/>
        <v>0</v>
      </c>
      <c r="X163" s="13">
        <f t="shared" si="25"/>
        <v>0</v>
      </c>
      <c r="Y163" s="13">
        <f t="shared" si="25"/>
        <v>0</v>
      </c>
      <c r="Z163" s="13">
        <f t="shared" si="25"/>
        <v>0</v>
      </c>
      <c r="AA163" s="13">
        <f>SUM(E164:Z164)</f>
        <v>0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5"/>
      <c r="AC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2.0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2" si="26">SUM(E165:Z165)</f>
        <v>5</v>
      </c>
      <c r="AB165" s="1"/>
      <c r="AC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1.0</v>
      </c>
      <c r="AA166" s="13">
        <f t="shared" si="26"/>
        <v>3</v>
      </c>
      <c r="AB166" s="52"/>
      <c r="AC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3">
        <f t="shared" si="26"/>
        <v>1</v>
      </c>
      <c r="AB167" s="5"/>
      <c r="AC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1.0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26"/>
        <v>2</v>
      </c>
      <c r="AB168" s="5"/>
      <c r="AC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26"/>
        <v>0</v>
      </c>
      <c r="AB169" s="5"/>
      <c r="AC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26"/>
        <v>0</v>
      </c>
      <c r="AB170" s="5"/>
      <c r="AC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26"/>
        <v>0</v>
      </c>
      <c r="AB171" s="5"/>
      <c r="AC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26"/>
        <v>0</v>
      </c>
      <c r="AB172" s="5"/>
      <c r="AC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74"/>
      <c r="AB173" s="5"/>
      <c r="AC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74"/>
      <c r="AB174" s="5"/>
      <c r="AC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Z175" si="27">SUM(E165:E172)</f>
        <v>0</v>
      </c>
      <c r="F175" s="13">
        <f t="shared" si="27"/>
        <v>1</v>
      </c>
      <c r="G175" s="13">
        <f t="shared" si="27"/>
        <v>0</v>
      </c>
      <c r="H175" s="13">
        <f t="shared" si="27"/>
        <v>1</v>
      </c>
      <c r="I175" s="13">
        <f t="shared" si="27"/>
        <v>0</v>
      </c>
      <c r="J175" s="13">
        <f t="shared" si="27"/>
        <v>0</v>
      </c>
      <c r="K175" s="13">
        <f t="shared" si="27"/>
        <v>0</v>
      </c>
      <c r="L175" s="13">
        <f t="shared" si="27"/>
        <v>0</v>
      </c>
      <c r="M175" s="13">
        <f t="shared" si="27"/>
        <v>1</v>
      </c>
      <c r="N175" s="13">
        <f t="shared" si="27"/>
        <v>0</v>
      </c>
      <c r="O175" s="13">
        <f t="shared" si="27"/>
        <v>0</v>
      </c>
      <c r="P175" s="13">
        <f t="shared" si="27"/>
        <v>1</v>
      </c>
      <c r="Q175" s="13">
        <f t="shared" si="27"/>
        <v>3</v>
      </c>
      <c r="R175" s="13">
        <f t="shared" si="27"/>
        <v>1</v>
      </c>
      <c r="S175" s="13">
        <f t="shared" si="27"/>
        <v>0</v>
      </c>
      <c r="T175" s="13">
        <f t="shared" si="27"/>
        <v>0</v>
      </c>
      <c r="U175" s="13">
        <f t="shared" si="27"/>
        <v>1</v>
      </c>
      <c r="V175" s="13">
        <f t="shared" si="27"/>
        <v>0</v>
      </c>
      <c r="W175" s="13">
        <f t="shared" si="27"/>
        <v>0</v>
      </c>
      <c r="X175" s="13">
        <f t="shared" si="27"/>
        <v>1</v>
      </c>
      <c r="Y175" s="13">
        <f t="shared" si="27"/>
        <v>0</v>
      </c>
      <c r="Z175" s="13">
        <f t="shared" si="27"/>
        <v>1</v>
      </c>
      <c r="AA175" s="13">
        <f>SUM(E175:Z175)</f>
        <v>11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1"/>
      <c r="AC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1.0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1.0</v>
      </c>
      <c r="R177" s="19">
        <v>0.0</v>
      </c>
      <c r="S177" s="19">
        <v>1.0</v>
      </c>
      <c r="T177" s="19">
        <v>4.0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3">
        <f t="shared" ref="AA177:AA184" si="28">SUM(E177:Z177)</f>
        <v>10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3">
        <f t="shared" si="28"/>
        <v>5</v>
      </c>
      <c r="AB178" s="5"/>
      <c r="AC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3.0</v>
      </c>
      <c r="N179" s="19">
        <v>0.0</v>
      </c>
      <c r="O179" s="19">
        <v>0.0</v>
      </c>
      <c r="P179" s="19">
        <v>1.0</v>
      </c>
      <c r="Q179" s="19">
        <v>2.0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3">
        <f t="shared" si="28"/>
        <v>8</v>
      </c>
      <c r="AB179" s="5"/>
      <c r="AC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1.0</v>
      </c>
      <c r="Z180" s="19">
        <v>0.0</v>
      </c>
      <c r="AA180" s="13">
        <f t="shared" si="28"/>
        <v>4</v>
      </c>
      <c r="AB180" s="5"/>
      <c r="AC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3">
        <f t="shared" si="28"/>
        <v>3</v>
      </c>
      <c r="AB181" s="5"/>
      <c r="AC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3">
        <f t="shared" si="28"/>
        <v>0</v>
      </c>
      <c r="AB182" s="5"/>
      <c r="AC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3">
        <f t="shared" si="28"/>
        <v>0</v>
      </c>
      <c r="AB183" s="5"/>
      <c r="AC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3">
        <f t="shared" si="28"/>
        <v>1</v>
      </c>
      <c r="AB184" s="5"/>
      <c r="AC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74"/>
      <c r="AB185" s="5"/>
      <c r="AC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74"/>
      <c r="AB186" s="5"/>
      <c r="AC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Z187" si="29">SUM(E177:E184)</f>
        <v>3</v>
      </c>
      <c r="F187" s="13">
        <f t="shared" si="29"/>
        <v>1</v>
      </c>
      <c r="G187" s="13">
        <f t="shared" si="29"/>
        <v>0</v>
      </c>
      <c r="H187" s="13">
        <f t="shared" si="29"/>
        <v>0</v>
      </c>
      <c r="I187" s="13">
        <f t="shared" si="29"/>
        <v>2</v>
      </c>
      <c r="J187" s="13">
        <f t="shared" si="29"/>
        <v>1</v>
      </c>
      <c r="K187" s="13">
        <f t="shared" si="29"/>
        <v>2</v>
      </c>
      <c r="L187" s="13">
        <f t="shared" si="29"/>
        <v>1</v>
      </c>
      <c r="M187" s="13">
        <f t="shared" si="29"/>
        <v>4</v>
      </c>
      <c r="N187" s="13">
        <f t="shared" si="29"/>
        <v>0</v>
      </c>
      <c r="O187" s="13">
        <f t="shared" si="29"/>
        <v>2</v>
      </c>
      <c r="P187" s="13">
        <f t="shared" si="29"/>
        <v>2</v>
      </c>
      <c r="Q187" s="13">
        <f t="shared" si="29"/>
        <v>3</v>
      </c>
      <c r="R187" s="13">
        <f t="shared" si="29"/>
        <v>0</v>
      </c>
      <c r="S187" s="13">
        <f t="shared" si="29"/>
        <v>2</v>
      </c>
      <c r="T187" s="13">
        <f t="shared" si="29"/>
        <v>6</v>
      </c>
      <c r="U187" s="13">
        <f t="shared" si="29"/>
        <v>0</v>
      </c>
      <c r="V187" s="13">
        <f t="shared" si="29"/>
        <v>0</v>
      </c>
      <c r="W187" s="13">
        <f t="shared" si="29"/>
        <v>1</v>
      </c>
      <c r="X187" s="13">
        <f t="shared" si="29"/>
        <v>0</v>
      </c>
      <c r="Y187" s="13">
        <f t="shared" si="29"/>
        <v>1</v>
      </c>
      <c r="Z187" s="13">
        <f t="shared" si="29"/>
        <v>0</v>
      </c>
      <c r="AA187" s="13">
        <f>SUM(E187:Z187)</f>
        <v>31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3">
        <f t="shared" ref="AA189:AA196" si="30">SUM(E189:Z189)</f>
        <v>1</v>
      </c>
      <c r="AB189" s="5"/>
      <c r="AC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0"/>
        <v>0</v>
      </c>
      <c r="AB190" s="5"/>
      <c r="AC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3">
        <f t="shared" si="30"/>
        <v>1</v>
      </c>
      <c r="AB191" s="5"/>
      <c r="AC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0"/>
        <v>0</v>
      </c>
      <c r="AB192" s="5"/>
      <c r="AC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0"/>
        <v>0</v>
      </c>
      <c r="AB193" s="5"/>
      <c r="AC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0"/>
        <v>0</v>
      </c>
      <c r="AB194" s="5"/>
      <c r="AC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0"/>
        <v>0</v>
      </c>
      <c r="AB195" s="5"/>
      <c r="AC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3">
        <f t="shared" si="30"/>
        <v>0</v>
      </c>
      <c r="AB196" s="1"/>
      <c r="AC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74"/>
      <c r="AB197" s="1"/>
      <c r="AC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74"/>
      <c r="AB198" s="1"/>
      <c r="AC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Z199" si="31">SUM(E189:E196)</f>
        <v>0</v>
      </c>
      <c r="F199" s="13">
        <f t="shared" si="31"/>
        <v>1</v>
      </c>
      <c r="G199" s="13">
        <f t="shared" si="31"/>
        <v>0</v>
      </c>
      <c r="H199" s="13">
        <f t="shared" si="31"/>
        <v>0</v>
      </c>
      <c r="I199" s="13">
        <f t="shared" si="31"/>
        <v>0</v>
      </c>
      <c r="J199" s="13">
        <f t="shared" si="31"/>
        <v>0</v>
      </c>
      <c r="K199" s="13">
        <f t="shared" si="31"/>
        <v>0</v>
      </c>
      <c r="L199" s="13">
        <f t="shared" si="31"/>
        <v>0</v>
      </c>
      <c r="M199" s="13">
        <f t="shared" si="31"/>
        <v>0</v>
      </c>
      <c r="N199" s="13">
        <f t="shared" si="31"/>
        <v>0</v>
      </c>
      <c r="O199" s="13">
        <f t="shared" si="31"/>
        <v>0</v>
      </c>
      <c r="P199" s="13">
        <f t="shared" si="31"/>
        <v>0</v>
      </c>
      <c r="Q199" s="13">
        <f t="shared" si="31"/>
        <v>0</v>
      </c>
      <c r="R199" s="13">
        <f t="shared" si="31"/>
        <v>0</v>
      </c>
      <c r="S199" s="13">
        <f t="shared" si="31"/>
        <v>0</v>
      </c>
      <c r="T199" s="13">
        <f t="shared" si="31"/>
        <v>0</v>
      </c>
      <c r="U199" s="13">
        <f t="shared" si="31"/>
        <v>0</v>
      </c>
      <c r="V199" s="13">
        <f t="shared" si="31"/>
        <v>0</v>
      </c>
      <c r="W199" s="13">
        <f t="shared" si="31"/>
        <v>1</v>
      </c>
      <c r="X199" s="13">
        <f t="shared" si="31"/>
        <v>0</v>
      </c>
      <c r="Y199" s="13">
        <f t="shared" si="31"/>
        <v>0</v>
      </c>
      <c r="Z199" s="13">
        <f t="shared" si="31"/>
        <v>0</v>
      </c>
      <c r="AA199" s="13">
        <f>SUM(E199:Z199)</f>
        <v>2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5"/>
      <c r="AC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4.0</v>
      </c>
      <c r="G201" s="19">
        <v>0.0</v>
      </c>
      <c r="H201" s="19">
        <v>2.0</v>
      </c>
      <c r="I201" s="19">
        <v>5.0</v>
      </c>
      <c r="J201" s="19">
        <v>2.0</v>
      </c>
      <c r="K201" s="19">
        <v>2.0</v>
      </c>
      <c r="L201" s="19">
        <v>2.0</v>
      </c>
      <c r="M201" s="19">
        <v>0.0</v>
      </c>
      <c r="N201" s="19">
        <v>1.0</v>
      </c>
      <c r="O201" s="19">
        <v>5.0</v>
      </c>
      <c r="P201" s="19">
        <v>1.0</v>
      </c>
      <c r="Q201" s="19">
        <v>4.0</v>
      </c>
      <c r="R201" s="19">
        <v>2.0</v>
      </c>
      <c r="S201" s="19">
        <v>4.0</v>
      </c>
      <c r="T201" s="19">
        <v>2.0</v>
      </c>
      <c r="U201" s="19">
        <v>1.0</v>
      </c>
      <c r="V201" s="19">
        <v>3.0</v>
      </c>
      <c r="W201" s="19">
        <v>0.0</v>
      </c>
      <c r="X201" s="19">
        <v>0.0</v>
      </c>
      <c r="Y201" s="19">
        <v>1.0</v>
      </c>
      <c r="Z201" s="19">
        <v>2.0</v>
      </c>
      <c r="AA201" s="13">
        <f t="shared" ref="AA201:AA208" si="32">SUM(E201:Z201)</f>
        <v>46</v>
      </c>
      <c r="AB201" s="5"/>
      <c r="AC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8.0</v>
      </c>
      <c r="G202" s="19">
        <v>2.0</v>
      </c>
      <c r="H202" s="19">
        <v>1.0</v>
      </c>
      <c r="I202" s="19">
        <v>7.0</v>
      </c>
      <c r="J202" s="19">
        <v>1.0</v>
      </c>
      <c r="K202" s="19">
        <v>8.0</v>
      </c>
      <c r="L202" s="19">
        <v>0.0</v>
      </c>
      <c r="M202" s="19">
        <v>0.0</v>
      </c>
      <c r="N202" s="19">
        <v>3.0</v>
      </c>
      <c r="O202" s="19">
        <v>6.0</v>
      </c>
      <c r="P202" s="19">
        <v>3.0</v>
      </c>
      <c r="Q202" s="19">
        <v>1.0</v>
      </c>
      <c r="R202" s="19">
        <v>1.0</v>
      </c>
      <c r="S202" s="19">
        <v>0.0</v>
      </c>
      <c r="T202" s="19">
        <v>4.0</v>
      </c>
      <c r="U202" s="19">
        <v>4.0</v>
      </c>
      <c r="V202" s="19">
        <v>3.0</v>
      </c>
      <c r="W202" s="19">
        <v>1.0</v>
      </c>
      <c r="X202" s="19">
        <v>0.0</v>
      </c>
      <c r="Y202" s="19">
        <v>1.0</v>
      </c>
      <c r="Z202" s="19">
        <v>6.0</v>
      </c>
      <c r="AA202" s="13">
        <f t="shared" si="32"/>
        <v>65</v>
      </c>
      <c r="AB202" s="5"/>
      <c r="AC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4.0</v>
      </c>
      <c r="G203" s="19">
        <v>0.0</v>
      </c>
      <c r="H203" s="19">
        <v>0.0</v>
      </c>
      <c r="I203" s="19">
        <v>0.0</v>
      </c>
      <c r="J203" s="19">
        <v>1.0</v>
      </c>
      <c r="K203" s="19">
        <v>2.0</v>
      </c>
      <c r="L203" s="19">
        <v>0.0</v>
      </c>
      <c r="M203" s="19">
        <v>3.0</v>
      </c>
      <c r="N203" s="19">
        <v>1.0</v>
      </c>
      <c r="O203" s="19">
        <v>5.0</v>
      </c>
      <c r="P203" s="19">
        <v>4.0</v>
      </c>
      <c r="Q203" s="19">
        <v>2.0</v>
      </c>
      <c r="R203" s="19">
        <v>2.0</v>
      </c>
      <c r="S203" s="19">
        <v>1.0</v>
      </c>
      <c r="T203" s="19">
        <v>0.0</v>
      </c>
      <c r="U203" s="19">
        <v>0.0</v>
      </c>
      <c r="V203" s="19">
        <v>0.0</v>
      </c>
      <c r="W203" s="19">
        <v>3.0</v>
      </c>
      <c r="X203" s="19">
        <v>2.0</v>
      </c>
      <c r="Y203" s="19">
        <v>0.0</v>
      </c>
      <c r="Z203" s="19">
        <v>0.0</v>
      </c>
      <c r="AA203" s="13">
        <f t="shared" si="32"/>
        <v>32</v>
      </c>
      <c r="AB203" s="5"/>
      <c r="AC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0.0</v>
      </c>
      <c r="H204" s="19">
        <v>1.0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3">
        <f t="shared" si="32"/>
        <v>4</v>
      </c>
      <c r="AB204" s="5"/>
      <c r="AC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16.0</v>
      </c>
      <c r="G205" s="19">
        <v>1.0</v>
      </c>
      <c r="H205" s="19">
        <v>0.0</v>
      </c>
      <c r="I205" s="19">
        <v>2.0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0.0</v>
      </c>
      <c r="W205" s="19">
        <v>2.0</v>
      </c>
      <c r="X205" s="19">
        <v>1.0</v>
      </c>
      <c r="Y205" s="19">
        <v>0.0</v>
      </c>
      <c r="Z205" s="19">
        <v>1.0</v>
      </c>
      <c r="AA205" s="13">
        <f t="shared" si="32"/>
        <v>25</v>
      </c>
      <c r="AB205" s="5"/>
      <c r="AC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3">
        <f t="shared" si="32"/>
        <v>2</v>
      </c>
      <c r="AB206" s="5"/>
      <c r="AC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3">
        <f t="shared" si="32"/>
        <v>2</v>
      </c>
      <c r="AB207" s="1"/>
      <c r="AC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0.0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3">
        <f t="shared" si="32"/>
        <v>3</v>
      </c>
      <c r="AB208" s="52"/>
      <c r="AC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74"/>
      <c r="AB209" s="52"/>
      <c r="AC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74"/>
      <c r="AB210" s="52"/>
      <c r="AC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Z211" si="33">SUM(E201:E208)</f>
        <v>11</v>
      </c>
      <c r="F211" s="13">
        <f t="shared" si="33"/>
        <v>33</v>
      </c>
      <c r="G211" s="13">
        <f t="shared" si="33"/>
        <v>3</v>
      </c>
      <c r="H211" s="13">
        <f t="shared" si="33"/>
        <v>4</v>
      </c>
      <c r="I211" s="13">
        <f t="shared" si="33"/>
        <v>17</v>
      </c>
      <c r="J211" s="13">
        <f t="shared" si="33"/>
        <v>4</v>
      </c>
      <c r="K211" s="13">
        <f t="shared" si="33"/>
        <v>13</v>
      </c>
      <c r="L211" s="13">
        <f t="shared" si="33"/>
        <v>2</v>
      </c>
      <c r="M211" s="13">
        <f t="shared" si="33"/>
        <v>3</v>
      </c>
      <c r="N211" s="13">
        <f t="shared" si="33"/>
        <v>6</v>
      </c>
      <c r="O211" s="13">
        <f t="shared" si="33"/>
        <v>19</v>
      </c>
      <c r="P211" s="13">
        <f t="shared" si="33"/>
        <v>8</v>
      </c>
      <c r="Q211" s="13">
        <f t="shared" si="33"/>
        <v>7</v>
      </c>
      <c r="R211" s="13">
        <f t="shared" si="33"/>
        <v>5</v>
      </c>
      <c r="S211" s="13">
        <f t="shared" si="33"/>
        <v>5</v>
      </c>
      <c r="T211" s="13">
        <f t="shared" si="33"/>
        <v>7</v>
      </c>
      <c r="U211" s="13">
        <f t="shared" si="33"/>
        <v>6</v>
      </c>
      <c r="V211" s="13">
        <f t="shared" si="33"/>
        <v>6</v>
      </c>
      <c r="W211" s="13">
        <f t="shared" si="33"/>
        <v>6</v>
      </c>
      <c r="X211" s="13">
        <f t="shared" si="33"/>
        <v>3</v>
      </c>
      <c r="Y211" s="13">
        <f t="shared" si="33"/>
        <v>2</v>
      </c>
      <c r="Z211" s="13">
        <f t="shared" si="33"/>
        <v>9</v>
      </c>
      <c r="AA211" s="13">
        <f>SUM(E211:Z211)</f>
        <v>179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5"/>
      <c r="AC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1.0</v>
      </c>
      <c r="H213" s="19">
        <v>1.0</v>
      </c>
      <c r="I213" s="19">
        <v>0.0</v>
      </c>
      <c r="J213" s="19">
        <v>8.0</v>
      </c>
      <c r="K213" s="19">
        <v>1.0</v>
      </c>
      <c r="L213" s="19">
        <v>1.0</v>
      </c>
      <c r="M213" s="19">
        <v>7.0</v>
      </c>
      <c r="N213" s="19">
        <v>4.0</v>
      </c>
      <c r="O213" s="19">
        <v>7.0</v>
      </c>
      <c r="P213" s="19">
        <v>2.0</v>
      </c>
      <c r="Q213" s="19">
        <v>1.0</v>
      </c>
      <c r="R213" s="19">
        <v>0.0</v>
      </c>
      <c r="S213" s="19">
        <v>0.0</v>
      </c>
      <c r="T213" s="19">
        <v>0.0</v>
      </c>
      <c r="U213" s="19">
        <v>1.0</v>
      </c>
      <c r="V213" s="19">
        <v>3.0</v>
      </c>
      <c r="W213" s="19">
        <v>1.0</v>
      </c>
      <c r="X213" s="19">
        <v>0.0</v>
      </c>
      <c r="Y213" s="19">
        <v>0.0</v>
      </c>
      <c r="Z213" s="19">
        <v>0.0</v>
      </c>
      <c r="AA213" s="13">
        <f t="shared" ref="AA213:AA220" si="34">SUM(E213:Z213)</f>
        <v>39</v>
      </c>
      <c r="AB213" s="5"/>
      <c r="AC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2.0</v>
      </c>
      <c r="K214" s="19">
        <v>1.0</v>
      </c>
      <c r="L214" s="19">
        <v>6.0</v>
      </c>
      <c r="M214" s="19">
        <v>50.0</v>
      </c>
      <c r="N214" s="19">
        <v>3.0</v>
      </c>
      <c r="O214" s="19">
        <v>1.0</v>
      </c>
      <c r="P214" s="19">
        <v>0.0</v>
      </c>
      <c r="Q214" s="19">
        <v>2.0</v>
      </c>
      <c r="R214" s="19">
        <v>1.0</v>
      </c>
      <c r="S214" s="19">
        <v>0.0</v>
      </c>
      <c r="T214" s="19">
        <v>3.0</v>
      </c>
      <c r="U214" s="19">
        <v>0.0</v>
      </c>
      <c r="V214" s="19">
        <v>3.0</v>
      </c>
      <c r="W214" s="19">
        <v>0.0</v>
      </c>
      <c r="X214" s="19">
        <v>0.0</v>
      </c>
      <c r="Y214" s="19">
        <v>0.0</v>
      </c>
      <c r="Z214" s="19">
        <v>0.0</v>
      </c>
      <c r="AA214" s="13">
        <f t="shared" si="34"/>
        <v>72</v>
      </c>
      <c r="AB214" s="5"/>
      <c r="AC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0.0</v>
      </c>
      <c r="G215" s="19">
        <v>0.0</v>
      </c>
      <c r="H215" s="19">
        <v>1.0</v>
      </c>
      <c r="I215" s="19">
        <v>0.0</v>
      </c>
      <c r="J215" s="19">
        <v>0.0</v>
      </c>
      <c r="K215" s="19">
        <v>1.0</v>
      </c>
      <c r="L215" s="19">
        <v>0.0</v>
      </c>
      <c r="M215" s="19">
        <v>0.0</v>
      </c>
      <c r="N215" s="19">
        <v>0.0</v>
      </c>
      <c r="O215" s="19">
        <v>2.0</v>
      </c>
      <c r="P215" s="19">
        <v>0.0</v>
      </c>
      <c r="Q215" s="19">
        <v>2.0</v>
      </c>
      <c r="R215" s="19">
        <v>2.0</v>
      </c>
      <c r="S215" s="19">
        <v>9.0</v>
      </c>
      <c r="T215" s="19">
        <v>2.0</v>
      </c>
      <c r="U215" s="19">
        <v>1.0</v>
      </c>
      <c r="V215" s="19">
        <v>4.0</v>
      </c>
      <c r="W215" s="19">
        <v>1.0</v>
      </c>
      <c r="X215" s="19">
        <v>0.0</v>
      </c>
      <c r="Y215" s="19">
        <v>0.0</v>
      </c>
      <c r="Z215" s="19">
        <v>1.0</v>
      </c>
      <c r="AA215" s="13">
        <f t="shared" si="34"/>
        <v>29</v>
      </c>
      <c r="AB215" s="5"/>
      <c r="AC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1.0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3">
        <f t="shared" si="34"/>
        <v>4</v>
      </c>
      <c r="AB216" s="5"/>
      <c r="AC216" s="5"/>
    </row>
    <row r="217" ht="12.75" customHeight="1">
      <c r="A217" s="18"/>
      <c r="B217" s="55">
        <v>4.0</v>
      </c>
      <c r="C217" s="50" t="s">
        <v>160</v>
      </c>
      <c r="D217" s="56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34"/>
        <v>2</v>
      </c>
      <c r="AB217" s="5"/>
      <c r="AC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1.0</v>
      </c>
      <c r="Z218" s="19">
        <v>0.0</v>
      </c>
      <c r="AA218" s="13">
        <f t="shared" si="34"/>
        <v>4</v>
      </c>
      <c r="AB218" s="1"/>
      <c r="AC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2.0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3">
        <f t="shared" si="34"/>
        <v>2</v>
      </c>
      <c r="AB219" s="52"/>
      <c r="AC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1.0</v>
      </c>
      <c r="X220" s="19">
        <v>0.0</v>
      </c>
      <c r="Y220" s="19">
        <v>0.0</v>
      </c>
      <c r="Z220" s="19">
        <v>0.0</v>
      </c>
      <c r="AA220" s="13">
        <f t="shared" si="34"/>
        <v>4</v>
      </c>
      <c r="AB220" s="5"/>
      <c r="AC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74"/>
      <c r="AB221" s="5"/>
      <c r="AC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74"/>
      <c r="AB222" s="5"/>
      <c r="AC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Z223" si="35">SUM(E213:E220)</f>
        <v>6</v>
      </c>
      <c r="F223" s="13">
        <f t="shared" si="35"/>
        <v>0</v>
      </c>
      <c r="G223" s="13">
        <f t="shared" si="35"/>
        <v>1</v>
      </c>
      <c r="H223" s="13">
        <f t="shared" si="35"/>
        <v>2</v>
      </c>
      <c r="I223" s="13">
        <f t="shared" si="35"/>
        <v>0</v>
      </c>
      <c r="J223" s="13">
        <f t="shared" si="35"/>
        <v>11</v>
      </c>
      <c r="K223" s="13">
        <f t="shared" si="35"/>
        <v>6</v>
      </c>
      <c r="L223" s="13">
        <f t="shared" si="35"/>
        <v>8</v>
      </c>
      <c r="M223" s="13">
        <f t="shared" si="35"/>
        <v>58</v>
      </c>
      <c r="N223" s="13">
        <f t="shared" si="35"/>
        <v>9</v>
      </c>
      <c r="O223" s="13">
        <f t="shared" si="35"/>
        <v>10</v>
      </c>
      <c r="P223" s="13">
        <f t="shared" si="35"/>
        <v>3</v>
      </c>
      <c r="Q223" s="13">
        <f t="shared" si="35"/>
        <v>5</v>
      </c>
      <c r="R223" s="13">
        <f t="shared" si="35"/>
        <v>3</v>
      </c>
      <c r="S223" s="13">
        <f t="shared" si="35"/>
        <v>10</v>
      </c>
      <c r="T223" s="13">
        <f t="shared" si="35"/>
        <v>5</v>
      </c>
      <c r="U223" s="13">
        <f t="shared" si="35"/>
        <v>2</v>
      </c>
      <c r="V223" s="13">
        <f t="shared" si="35"/>
        <v>11</v>
      </c>
      <c r="W223" s="13">
        <f t="shared" si="35"/>
        <v>3</v>
      </c>
      <c r="X223" s="13">
        <f t="shared" si="35"/>
        <v>0</v>
      </c>
      <c r="Y223" s="13">
        <f t="shared" si="35"/>
        <v>1</v>
      </c>
      <c r="Z223" s="13">
        <f t="shared" si="35"/>
        <v>2</v>
      </c>
      <c r="AA223" s="13">
        <f>SUM(E223:Z223)</f>
        <v>156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5"/>
      <c r="AC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3">
        <f t="shared" ref="AA225:AA232" si="36">SUM(E225:Z225)</f>
        <v>1</v>
      </c>
      <c r="AB225" s="5"/>
      <c r="AC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3">
        <f t="shared" si="36"/>
        <v>2</v>
      </c>
      <c r="AB226" s="5"/>
      <c r="AC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2.0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36"/>
        <v>3</v>
      </c>
      <c r="AB227" s="5"/>
      <c r="AC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1.0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36"/>
        <v>1</v>
      </c>
      <c r="AB228" s="5"/>
      <c r="AC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36"/>
        <v>0</v>
      </c>
      <c r="AB229" s="1"/>
      <c r="AC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36"/>
        <v>0</v>
      </c>
      <c r="AB230" s="52"/>
      <c r="AC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36"/>
        <v>0</v>
      </c>
      <c r="AB231" s="5"/>
      <c r="AC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3">
        <f t="shared" si="36"/>
        <v>0</v>
      </c>
      <c r="AB232" s="5"/>
      <c r="AC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74"/>
      <c r="AB233" s="5"/>
      <c r="AC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74"/>
      <c r="AB234" s="5"/>
      <c r="AC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Z235" si="37">SUM(E225:E232)</f>
        <v>0</v>
      </c>
      <c r="F235" s="13">
        <f t="shared" si="37"/>
        <v>0</v>
      </c>
      <c r="G235" s="13">
        <f t="shared" si="37"/>
        <v>0</v>
      </c>
      <c r="H235" s="13">
        <f t="shared" si="37"/>
        <v>0</v>
      </c>
      <c r="I235" s="13">
        <f t="shared" si="37"/>
        <v>0</v>
      </c>
      <c r="J235" s="13">
        <f t="shared" si="37"/>
        <v>0</v>
      </c>
      <c r="K235" s="13">
        <f t="shared" si="37"/>
        <v>1</v>
      </c>
      <c r="L235" s="13">
        <f t="shared" si="37"/>
        <v>1</v>
      </c>
      <c r="M235" s="13">
        <f t="shared" si="37"/>
        <v>1</v>
      </c>
      <c r="N235" s="13">
        <f t="shared" si="37"/>
        <v>0</v>
      </c>
      <c r="O235" s="13">
        <f t="shared" si="37"/>
        <v>0</v>
      </c>
      <c r="P235" s="13">
        <f t="shared" si="37"/>
        <v>0</v>
      </c>
      <c r="Q235" s="13">
        <f t="shared" si="37"/>
        <v>0</v>
      </c>
      <c r="R235" s="13">
        <f t="shared" si="37"/>
        <v>0</v>
      </c>
      <c r="S235" s="13">
        <f t="shared" si="37"/>
        <v>1</v>
      </c>
      <c r="T235" s="13">
        <f t="shared" si="37"/>
        <v>1</v>
      </c>
      <c r="U235" s="13">
        <f t="shared" si="37"/>
        <v>2</v>
      </c>
      <c r="V235" s="13">
        <f t="shared" si="37"/>
        <v>0</v>
      </c>
      <c r="W235" s="13">
        <f t="shared" si="37"/>
        <v>0</v>
      </c>
      <c r="X235" s="13">
        <f t="shared" si="37"/>
        <v>0</v>
      </c>
      <c r="Y235" s="13">
        <f t="shared" si="37"/>
        <v>0</v>
      </c>
      <c r="Z235" s="13">
        <f t="shared" si="37"/>
        <v>0</v>
      </c>
      <c r="AA235" s="13">
        <f>SUM(E235:Z235)</f>
        <v>7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5"/>
      <c r="AC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1.0</v>
      </c>
      <c r="I237" s="19">
        <v>0.0</v>
      </c>
      <c r="J237" s="19">
        <v>0.0</v>
      </c>
      <c r="K237" s="19">
        <v>5.0</v>
      </c>
      <c r="L237" s="19">
        <v>0.0</v>
      </c>
      <c r="M237" s="19">
        <v>0.0</v>
      </c>
      <c r="N237" s="19">
        <v>0.0</v>
      </c>
      <c r="O237" s="19">
        <v>1.0</v>
      </c>
      <c r="P237" s="19">
        <v>3.0</v>
      </c>
      <c r="Q237" s="19">
        <v>1.0</v>
      </c>
      <c r="R237" s="19">
        <v>1.0</v>
      </c>
      <c r="S237" s="19">
        <v>0.0</v>
      </c>
      <c r="T237" s="19">
        <v>4.0</v>
      </c>
      <c r="U237" s="19">
        <v>1.0</v>
      </c>
      <c r="V237" s="19">
        <v>1.0</v>
      </c>
      <c r="W237" s="19">
        <v>1.0</v>
      </c>
      <c r="X237" s="19">
        <v>0.0</v>
      </c>
      <c r="Y237" s="19">
        <v>1.0</v>
      </c>
      <c r="Z237" s="19">
        <v>0.0</v>
      </c>
      <c r="AA237" s="13">
        <f t="shared" ref="AA237:AA244" si="38">SUM(E237:Z237)</f>
        <v>22</v>
      </c>
      <c r="AB237" s="5"/>
      <c r="AC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1.0</v>
      </c>
      <c r="H238" s="19">
        <v>0.0</v>
      </c>
      <c r="I238" s="19">
        <v>0.0</v>
      </c>
      <c r="J238" s="19">
        <v>1.0</v>
      </c>
      <c r="K238" s="19">
        <v>2.0</v>
      </c>
      <c r="L238" s="19">
        <v>1.0</v>
      </c>
      <c r="M238" s="19">
        <v>2.0</v>
      </c>
      <c r="N238" s="19">
        <v>0.0</v>
      </c>
      <c r="O238" s="19">
        <v>0.0</v>
      </c>
      <c r="P238" s="19">
        <v>2.0</v>
      </c>
      <c r="Q238" s="19">
        <v>0.0</v>
      </c>
      <c r="R238" s="19">
        <v>0.0</v>
      </c>
      <c r="S238" s="19">
        <v>3.0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0.0</v>
      </c>
      <c r="AA238" s="13">
        <f t="shared" si="38"/>
        <v>15</v>
      </c>
      <c r="AB238" s="5"/>
      <c r="AC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1.0</v>
      </c>
      <c r="G239" s="19">
        <v>1.0</v>
      </c>
      <c r="H239" s="19">
        <v>0.0</v>
      </c>
      <c r="I239" s="19">
        <v>0.0</v>
      </c>
      <c r="J239" s="19">
        <v>0.0</v>
      </c>
      <c r="K239" s="19">
        <v>4.0</v>
      </c>
      <c r="L239" s="19">
        <v>0.0</v>
      </c>
      <c r="M239" s="19">
        <v>1.0</v>
      </c>
      <c r="N239" s="19">
        <v>0.0</v>
      </c>
      <c r="O239" s="19">
        <v>0.0</v>
      </c>
      <c r="P239" s="19">
        <v>2.0</v>
      </c>
      <c r="Q239" s="19">
        <v>1.0</v>
      </c>
      <c r="R239" s="19">
        <v>0.0</v>
      </c>
      <c r="S239" s="19">
        <v>2.0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3">
        <f t="shared" si="38"/>
        <v>13</v>
      </c>
      <c r="AB239" s="5"/>
      <c r="AC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38"/>
        <v>1</v>
      </c>
      <c r="AB240" s="1"/>
      <c r="AC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9">
        <v>1.0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3">
        <f t="shared" si="38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38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38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11.0</v>
      </c>
      <c r="F244" s="19">
        <v>10.0</v>
      </c>
      <c r="G244" s="19">
        <v>1.0</v>
      </c>
      <c r="H244" s="19">
        <v>0.0</v>
      </c>
      <c r="I244" s="19">
        <v>1.0</v>
      </c>
      <c r="J244" s="19">
        <v>0.0</v>
      </c>
      <c r="K244" s="19">
        <v>8.0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2.0</v>
      </c>
      <c r="T244" s="19">
        <v>4.0</v>
      </c>
      <c r="U244" s="19">
        <v>9.0</v>
      </c>
      <c r="V244" s="19">
        <v>3.0</v>
      </c>
      <c r="W244" s="19">
        <v>0.0</v>
      </c>
      <c r="X244" s="19">
        <v>0.0</v>
      </c>
      <c r="Y244" s="19">
        <v>0.0</v>
      </c>
      <c r="Z244" s="19">
        <v>0.0</v>
      </c>
      <c r="AA244" s="13">
        <f t="shared" si="38"/>
        <v>49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Z247" si="39">SUM(E237:E244)</f>
        <v>13</v>
      </c>
      <c r="F247" s="13">
        <f t="shared" si="39"/>
        <v>13</v>
      </c>
      <c r="G247" s="13">
        <f t="shared" si="39"/>
        <v>5</v>
      </c>
      <c r="H247" s="13">
        <f t="shared" si="39"/>
        <v>1</v>
      </c>
      <c r="I247" s="13">
        <f t="shared" si="39"/>
        <v>1</v>
      </c>
      <c r="J247" s="13">
        <f t="shared" si="39"/>
        <v>1</v>
      </c>
      <c r="K247" s="13">
        <f t="shared" si="39"/>
        <v>21</v>
      </c>
      <c r="L247" s="13">
        <f t="shared" si="39"/>
        <v>1</v>
      </c>
      <c r="M247" s="13">
        <f t="shared" si="39"/>
        <v>3</v>
      </c>
      <c r="N247" s="13">
        <f t="shared" si="39"/>
        <v>0</v>
      </c>
      <c r="O247" s="13">
        <f t="shared" si="39"/>
        <v>1</v>
      </c>
      <c r="P247" s="13">
        <f t="shared" si="39"/>
        <v>8</v>
      </c>
      <c r="Q247" s="13">
        <f t="shared" si="39"/>
        <v>2</v>
      </c>
      <c r="R247" s="13">
        <f t="shared" si="39"/>
        <v>2</v>
      </c>
      <c r="S247" s="13">
        <f t="shared" si="39"/>
        <v>7</v>
      </c>
      <c r="T247" s="13">
        <f t="shared" si="39"/>
        <v>8</v>
      </c>
      <c r="U247" s="13">
        <f t="shared" si="39"/>
        <v>12</v>
      </c>
      <c r="V247" s="13">
        <f t="shared" si="39"/>
        <v>5</v>
      </c>
      <c r="W247" s="13">
        <f t="shared" si="39"/>
        <v>1</v>
      </c>
      <c r="X247" s="13">
        <f t="shared" si="39"/>
        <v>0</v>
      </c>
      <c r="Y247" s="13">
        <f t="shared" si="39"/>
        <v>1</v>
      </c>
      <c r="Z247" s="13">
        <f t="shared" si="39"/>
        <v>1</v>
      </c>
      <c r="AA247" s="13">
        <f>SUM(E247:Z247)</f>
        <v>107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2.0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0.0</v>
      </c>
      <c r="Y249" s="19">
        <v>0.0</v>
      </c>
      <c r="Z249" s="19">
        <v>0.0</v>
      </c>
      <c r="AA249" s="13">
        <f t="shared" ref="AA249:AA255" si="40">SUM(E249:Z249)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0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1.0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0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0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0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0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1.0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3">
        <f t="shared" si="40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Z259" si="41">SUM(E249:E255)</f>
        <v>0</v>
      </c>
      <c r="F259" s="13">
        <f t="shared" si="41"/>
        <v>2</v>
      </c>
      <c r="G259" s="13">
        <f t="shared" si="41"/>
        <v>0</v>
      </c>
      <c r="H259" s="13">
        <f t="shared" si="41"/>
        <v>1</v>
      </c>
      <c r="I259" s="13">
        <f t="shared" si="41"/>
        <v>0</v>
      </c>
      <c r="J259" s="13">
        <f t="shared" si="41"/>
        <v>0</v>
      </c>
      <c r="K259" s="13">
        <f t="shared" si="41"/>
        <v>0</v>
      </c>
      <c r="L259" s="13">
        <f t="shared" si="41"/>
        <v>0</v>
      </c>
      <c r="M259" s="13">
        <f t="shared" si="41"/>
        <v>1</v>
      </c>
      <c r="N259" s="13">
        <f t="shared" si="41"/>
        <v>0</v>
      </c>
      <c r="O259" s="13">
        <f t="shared" si="41"/>
        <v>0</v>
      </c>
      <c r="P259" s="13">
        <f t="shared" si="41"/>
        <v>2</v>
      </c>
      <c r="Q259" s="13">
        <f t="shared" si="41"/>
        <v>0</v>
      </c>
      <c r="R259" s="13">
        <f t="shared" si="41"/>
        <v>0</v>
      </c>
      <c r="S259" s="13">
        <f t="shared" si="41"/>
        <v>0</v>
      </c>
      <c r="T259" s="13">
        <f t="shared" si="41"/>
        <v>0</v>
      </c>
      <c r="U259" s="13">
        <f t="shared" si="41"/>
        <v>0</v>
      </c>
      <c r="V259" s="13">
        <f t="shared" si="41"/>
        <v>0</v>
      </c>
      <c r="W259" s="13">
        <f t="shared" si="41"/>
        <v>1</v>
      </c>
      <c r="X259" s="13">
        <f t="shared" si="41"/>
        <v>0</v>
      </c>
      <c r="Y259" s="13">
        <f t="shared" si="41"/>
        <v>0</v>
      </c>
      <c r="Z259" s="13">
        <f t="shared" si="41"/>
        <v>0</v>
      </c>
      <c r="AA259" s="13">
        <f>SUM(E259:Z259)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Z262" si="42">E55+E67+E79+E91+E103+E115+E127+E139+E151+E163+E175+E187+E199+E211+E223+E235+E247+E259</f>
        <v>188</v>
      </c>
      <c r="F262" s="19">
        <f t="shared" si="42"/>
        <v>195</v>
      </c>
      <c r="G262" s="19">
        <f t="shared" si="42"/>
        <v>164</v>
      </c>
      <c r="H262" s="19">
        <f t="shared" si="42"/>
        <v>178</v>
      </c>
      <c r="I262" s="19">
        <f t="shared" si="42"/>
        <v>188</v>
      </c>
      <c r="J262" s="19">
        <f t="shared" si="42"/>
        <v>203</v>
      </c>
      <c r="K262" s="19">
        <f t="shared" si="42"/>
        <v>173</v>
      </c>
      <c r="L262" s="19">
        <f t="shared" si="42"/>
        <v>135</v>
      </c>
      <c r="M262" s="19">
        <f t="shared" si="42"/>
        <v>181</v>
      </c>
      <c r="N262" s="19">
        <f t="shared" si="42"/>
        <v>151</v>
      </c>
      <c r="O262" s="19">
        <f t="shared" si="42"/>
        <v>183</v>
      </c>
      <c r="P262" s="19">
        <f t="shared" si="42"/>
        <v>163</v>
      </c>
      <c r="Q262" s="19">
        <f t="shared" si="42"/>
        <v>176</v>
      </c>
      <c r="R262" s="19">
        <f t="shared" si="42"/>
        <v>190</v>
      </c>
      <c r="S262" s="19">
        <f t="shared" si="42"/>
        <v>173</v>
      </c>
      <c r="T262" s="19">
        <f t="shared" si="42"/>
        <v>139</v>
      </c>
      <c r="U262" s="19">
        <f t="shared" si="42"/>
        <v>179</v>
      </c>
      <c r="V262" s="19">
        <f t="shared" si="42"/>
        <v>193</v>
      </c>
      <c r="W262" s="19">
        <f t="shared" si="42"/>
        <v>188</v>
      </c>
      <c r="X262" s="19">
        <f t="shared" si="42"/>
        <v>224</v>
      </c>
      <c r="Y262" s="19">
        <f t="shared" si="42"/>
        <v>223</v>
      </c>
      <c r="Z262" s="19">
        <f t="shared" si="42"/>
        <v>195</v>
      </c>
      <c r="AA262" s="13">
        <f t="shared" ref="AA262:AA264" si="43">SUM(E262:Z262)</f>
        <v>3982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24.0</v>
      </c>
      <c r="F263" s="19">
        <v>15.0</v>
      </c>
      <c r="G263" s="19">
        <v>7.0</v>
      </c>
      <c r="H263" s="19">
        <v>11.0</v>
      </c>
      <c r="I263" s="19">
        <v>18.0</v>
      </c>
      <c r="J263" s="19">
        <v>21.0</v>
      </c>
      <c r="K263" s="19">
        <v>27.0</v>
      </c>
      <c r="L263" s="19">
        <v>13.0</v>
      </c>
      <c r="M263" s="19">
        <v>18.0</v>
      </c>
      <c r="N263" s="19">
        <v>16.0</v>
      </c>
      <c r="O263" s="19">
        <v>26.0</v>
      </c>
      <c r="P263" s="19">
        <v>47.0</v>
      </c>
      <c r="Q263" s="19">
        <v>21.0</v>
      </c>
      <c r="R263" s="19">
        <v>23.0</v>
      </c>
      <c r="S263" s="19">
        <v>15.0</v>
      </c>
      <c r="T263" s="19">
        <v>26.0</v>
      </c>
      <c r="U263" s="19">
        <v>7.0</v>
      </c>
      <c r="V263" s="19">
        <v>14.0</v>
      </c>
      <c r="W263" s="19">
        <v>14.0</v>
      </c>
      <c r="X263" s="19">
        <v>17.0</v>
      </c>
      <c r="Y263" s="19">
        <v>2.0</v>
      </c>
      <c r="Z263" s="19">
        <v>33.0</v>
      </c>
      <c r="AA263" s="13">
        <f t="shared" si="43"/>
        <v>415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Z264" si="44">SUM(E262:E263)</f>
        <v>212</v>
      </c>
      <c r="F264" s="13">
        <f t="shared" si="44"/>
        <v>210</v>
      </c>
      <c r="G264" s="13">
        <f t="shared" si="44"/>
        <v>171</v>
      </c>
      <c r="H264" s="13">
        <f t="shared" si="44"/>
        <v>189</v>
      </c>
      <c r="I264" s="13">
        <f t="shared" si="44"/>
        <v>206</v>
      </c>
      <c r="J264" s="13">
        <f t="shared" si="44"/>
        <v>224</v>
      </c>
      <c r="K264" s="13">
        <f t="shared" si="44"/>
        <v>200</v>
      </c>
      <c r="L264" s="13">
        <f t="shared" si="44"/>
        <v>148</v>
      </c>
      <c r="M264" s="13">
        <f t="shared" si="44"/>
        <v>199</v>
      </c>
      <c r="N264" s="13">
        <f t="shared" si="44"/>
        <v>167</v>
      </c>
      <c r="O264" s="13">
        <f t="shared" si="44"/>
        <v>209</v>
      </c>
      <c r="P264" s="13">
        <f t="shared" si="44"/>
        <v>210</v>
      </c>
      <c r="Q264" s="13">
        <f t="shared" si="44"/>
        <v>197</v>
      </c>
      <c r="R264" s="13">
        <f t="shared" si="44"/>
        <v>213</v>
      </c>
      <c r="S264" s="13">
        <f t="shared" si="44"/>
        <v>188</v>
      </c>
      <c r="T264" s="13">
        <f t="shared" si="44"/>
        <v>165</v>
      </c>
      <c r="U264" s="13">
        <f t="shared" si="44"/>
        <v>186</v>
      </c>
      <c r="V264" s="13">
        <f t="shared" si="44"/>
        <v>207</v>
      </c>
      <c r="W264" s="13">
        <f t="shared" si="44"/>
        <v>202</v>
      </c>
      <c r="X264" s="13">
        <f t="shared" si="44"/>
        <v>241</v>
      </c>
      <c r="Y264" s="13">
        <f t="shared" si="44"/>
        <v>225</v>
      </c>
      <c r="Z264" s="13">
        <f t="shared" si="44"/>
        <v>228</v>
      </c>
      <c r="AA264" s="13">
        <f t="shared" si="43"/>
        <v>4397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conditionalFormatting sqref="U34:Z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79">
        <v>123.0</v>
      </c>
      <c r="F14" s="79">
        <v>126.0</v>
      </c>
      <c r="G14" s="79">
        <v>140.0</v>
      </c>
      <c r="H14" s="79">
        <v>149.0</v>
      </c>
      <c r="I14" s="79">
        <v>141.0</v>
      </c>
      <c r="J14" s="79">
        <v>133.0</v>
      </c>
      <c r="K14" s="79">
        <v>140.0</v>
      </c>
      <c r="L14" s="79">
        <v>143.0</v>
      </c>
      <c r="M14" s="79">
        <v>128.0</v>
      </c>
      <c r="N14" s="79">
        <v>131.0</v>
      </c>
      <c r="O14" s="79">
        <v>126.0</v>
      </c>
      <c r="P14" s="79">
        <v>120.0</v>
      </c>
      <c r="Q14" s="79">
        <v>133.0</v>
      </c>
      <c r="R14" s="79">
        <v>139.0</v>
      </c>
      <c r="S14" s="79">
        <v>136.0</v>
      </c>
      <c r="T14" s="79">
        <v>139.0</v>
      </c>
      <c r="U14" s="79">
        <v>134.0</v>
      </c>
      <c r="V14" s="79">
        <v>136.0</v>
      </c>
      <c r="W14" s="79">
        <v>146.0</v>
      </c>
      <c r="X14" s="79">
        <v>127.0</v>
      </c>
      <c r="Y14" s="79">
        <v>128.0</v>
      </c>
      <c r="Z14" s="79">
        <v>132.0</v>
      </c>
      <c r="AA14" s="79">
        <v>133.0</v>
      </c>
      <c r="AB14" s="79">
        <v>122.0</v>
      </c>
      <c r="AC14" s="13">
        <f t="shared" ref="AC14:AC16" si="1">SUM(E14:AB14)</f>
        <v>3205</v>
      </c>
    </row>
    <row r="15" ht="12.75" customHeight="1">
      <c r="A15" s="18"/>
      <c r="B15" s="26"/>
      <c r="C15" s="27"/>
      <c r="D15" s="19" t="s">
        <v>13</v>
      </c>
      <c r="E15" s="79">
        <v>146.0</v>
      </c>
      <c r="F15" s="79">
        <v>131.0</v>
      </c>
      <c r="G15" s="79">
        <v>129.0</v>
      </c>
      <c r="H15" s="79">
        <v>138.0</v>
      </c>
      <c r="I15" s="79">
        <v>132.0</v>
      </c>
      <c r="J15" s="79">
        <v>144.0</v>
      </c>
      <c r="K15" s="79">
        <v>136.0</v>
      </c>
      <c r="L15" s="79">
        <v>148.0</v>
      </c>
      <c r="M15" s="79">
        <v>127.0</v>
      </c>
      <c r="N15" s="79">
        <v>123.0</v>
      </c>
      <c r="O15" s="79">
        <v>129.0</v>
      </c>
      <c r="P15" s="79">
        <v>117.0</v>
      </c>
      <c r="Q15" s="79">
        <v>120.0</v>
      </c>
      <c r="R15" s="79">
        <v>153.0</v>
      </c>
      <c r="S15" s="79">
        <v>135.0</v>
      </c>
      <c r="T15" s="79">
        <v>142.0</v>
      </c>
      <c r="U15" s="79">
        <v>130.0</v>
      </c>
      <c r="V15" s="79">
        <v>157.0</v>
      </c>
      <c r="W15" s="79">
        <v>133.0</v>
      </c>
      <c r="X15" s="79">
        <v>162.0</v>
      </c>
      <c r="Y15" s="79">
        <v>127.0</v>
      </c>
      <c r="Z15" s="79">
        <v>145.0</v>
      </c>
      <c r="AA15" s="79">
        <v>124.0</v>
      </c>
      <c r="AB15" s="79">
        <v>112.0</v>
      </c>
      <c r="AC15" s="13">
        <f t="shared" si="1"/>
        <v>3240</v>
      </c>
    </row>
    <row r="16" ht="12.75" customHeight="1">
      <c r="A16" s="25"/>
      <c r="B16" s="21"/>
      <c r="C16" s="28"/>
      <c r="D16" s="13" t="s">
        <v>14</v>
      </c>
      <c r="E16" s="80">
        <f t="shared" ref="E16:AB16" si="2">SUM(E14:E15)</f>
        <v>269</v>
      </c>
      <c r="F16" s="80">
        <f t="shared" si="2"/>
        <v>257</v>
      </c>
      <c r="G16" s="80">
        <f t="shared" si="2"/>
        <v>269</v>
      </c>
      <c r="H16" s="80">
        <f t="shared" si="2"/>
        <v>287</v>
      </c>
      <c r="I16" s="80">
        <f t="shared" si="2"/>
        <v>273</v>
      </c>
      <c r="J16" s="80">
        <f t="shared" si="2"/>
        <v>277</v>
      </c>
      <c r="K16" s="80">
        <f t="shared" si="2"/>
        <v>276</v>
      </c>
      <c r="L16" s="80">
        <f t="shared" si="2"/>
        <v>291</v>
      </c>
      <c r="M16" s="80">
        <f t="shared" si="2"/>
        <v>255</v>
      </c>
      <c r="N16" s="80">
        <f t="shared" si="2"/>
        <v>254</v>
      </c>
      <c r="O16" s="80">
        <f t="shared" si="2"/>
        <v>255</v>
      </c>
      <c r="P16" s="80">
        <f t="shared" si="2"/>
        <v>237</v>
      </c>
      <c r="Q16" s="80">
        <f t="shared" si="2"/>
        <v>253</v>
      </c>
      <c r="R16" s="80">
        <f t="shared" si="2"/>
        <v>292</v>
      </c>
      <c r="S16" s="80">
        <f t="shared" si="2"/>
        <v>271</v>
      </c>
      <c r="T16" s="80">
        <f t="shared" si="2"/>
        <v>281</v>
      </c>
      <c r="U16" s="80">
        <f t="shared" si="2"/>
        <v>264</v>
      </c>
      <c r="V16" s="80">
        <f t="shared" si="2"/>
        <v>293</v>
      </c>
      <c r="W16" s="80">
        <f t="shared" si="2"/>
        <v>279</v>
      </c>
      <c r="X16" s="80">
        <f t="shared" si="2"/>
        <v>289</v>
      </c>
      <c r="Y16" s="80">
        <f t="shared" si="2"/>
        <v>255</v>
      </c>
      <c r="Z16" s="80">
        <f t="shared" si="2"/>
        <v>277</v>
      </c>
      <c r="AA16" s="80">
        <f t="shared" si="2"/>
        <v>257</v>
      </c>
      <c r="AB16" s="80">
        <f t="shared" si="2"/>
        <v>234</v>
      </c>
      <c r="AC16" s="13">
        <f t="shared" si="1"/>
        <v>6445</v>
      </c>
    </row>
    <row r="17" ht="12.75" customHeight="1">
      <c r="A17" s="24"/>
      <c r="B17" s="15"/>
      <c r="C17" s="15"/>
      <c r="D17" s="16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68"/>
    </row>
    <row r="18" ht="12.75" customHeight="1">
      <c r="A18" s="30" t="s">
        <v>15</v>
      </c>
      <c r="B18" s="20" t="s">
        <v>16</v>
      </c>
      <c r="C18" s="15"/>
      <c r="D18" s="16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9">
        <v>89.0</v>
      </c>
      <c r="F19" s="79">
        <v>100.0</v>
      </c>
      <c r="G19" s="79">
        <v>104.0</v>
      </c>
      <c r="H19" s="79">
        <v>110.0</v>
      </c>
      <c r="I19" s="79">
        <v>120.0</v>
      </c>
      <c r="J19" s="79">
        <v>101.0</v>
      </c>
      <c r="K19" s="79">
        <v>105.0</v>
      </c>
      <c r="L19" s="79">
        <v>112.0</v>
      </c>
      <c r="M19" s="79">
        <v>104.0</v>
      </c>
      <c r="N19" s="79">
        <v>99.0</v>
      </c>
      <c r="O19" s="79">
        <v>95.0</v>
      </c>
      <c r="P19" s="79">
        <v>92.0</v>
      </c>
      <c r="Q19" s="79">
        <v>91.0</v>
      </c>
      <c r="R19" s="79">
        <v>106.0</v>
      </c>
      <c r="S19" s="79">
        <v>91.0</v>
      </c>
      <c r="T19" s="79">
        <v>100.0</v>
      </c>
      <c r="U19" s="79">
        <v>102.0</v>
      </c>
      <c r="V19" s="79">
        <v>104.0</v>
      </c>
      <c r="W19" s="79">
        <v>116.0</v>
      </c>
      <c r="X19" s="79">
        <v>106.0</v>
      </c>
      <c r="Y19" s="79">
        <v>93.0</v>
      </c>
      <c r="Z19" s="79">
        <v>102.0</v>
      </c>
      <c r="AA19" s="79">
        <v>101.0</v>
      </c>
      <c r="AB19" s="79">
        <v>97.0</v>
      </c>
      <c r="AC19" s="13">
        <f t="shared" ref="AC19:AC30" si="3">SUM(E19:AB19)</f>
        <v>2440</v>
      </c>
    </row>
    <row r="20" ht="12.75" customHeight="1">
      <c r="A20" s="33"/>
      <c r="B20" s="27"/>
      <c r="C20" s="34"/>
      <c r="D20" s="19" t="s">
        <v>13</v>
      </c>
      <c r="E20" s="79">
        <v>115.0</v>
      </c>
      <c r="F20" s="79">
        <v>107.0</v>
      </c>
      <c r="G20" s="79">
        <v>103.0</v>
      </c>
      <c r="H20" s="79">
        <v>110.0</v>
      </c>
      <c r="I20" s="79">
        <v>114.0</v>
      </c>
      <c r="J20" s="79">
        <v>116.0</v>
      </c>
      <c r="K20" s="79">
        <v>112.0</v>
      </c>
      <c r="L20" s="79">
        <v>123.0</v>
      </c>
      <c r="M20" s="79">
        <v>110.0</v>
      </c>
      <c r="N20" s="79">
        <v>98.0</v>
      </c>
      <c r="O20" s="79">
        <v>102.0</v>
      </c>
      <c r="P20" s="79">
        <v>93.0</v>
      </c>
      <c r="Q20" s="79">
        <v>86.0</v>
      </c>
      <c r="R20" s="79">
        <v>121.0</v>
      </c>
      <c r="S20" s="79">
        <v>107.0</v>
      </c>
      <c r="T20" s="79">
        <v>109.0</v>
      </c>
      <c r="U20" s="79">
        <v>106.0</v>
      </c>
      <c r="V20" s="79">
        <v>119.0</v>
      </c>
      <c r="W20" s="79">
        <v>110.0</v>
      </c>
      <c r="X20" s="79">
        <v>133.0</v>
      </c>
      <c r="Y20" s="79">
        <v>99.0</v>
      </c>
      <c r="Z20" s="79">
        <v>107.0</v>
      </c>
      <c r="AA20" s="79">
        <v>110.0</v>
      </c>
      <c r="AB20" s="79">
        <v>87.0</v>
      </c>
      <c r="AC20" s="13">
        <f t="shared" si="3"/>
        <v>2597</v>
      </c>
    </row>
    <row r="21" ht="12.75" customHeight="1">
      <c r="A21" s="35"/>
      <c r="B21" s="28"/>
      <c r="C21" s="36"/>
      <c r="D21" s="13" t="s">
        <v>14</v>
      </c>
      <c r="E21" s="80">
        <f t="shared" ref="E21:AB21" si="4">SUM(E19:E20)</f>
        <v>204</v>
      </c>
      <c r="F21" s="80">
        <f t="shared" si="4"/>
        <v>207</v>
      </c>
      <c r="G21" s="80">
        <f t="shared" si="4"/>
        <v>207</v>
      </c>
      <c r="H21" s="80">
        <f t="shared" si="4"/>
        <v>220</v>
      </c>
      <c r="I21" s="80">
        <f t="shared" si="4"/>
        <v>234</v>
      </c>
      <c r="J21" s="80">
        <f t="shared" si="4"/>
        <v>217</v>
      </c>
      <c r="K21" s="80">
        <f t="shared" si="4"/>
        <v>217</v>
      </c>
      <c r="L21" s="80">
        <f t="shared" si="4"/>
        <v>235</v>
      </c>
      <c r="M21" s="80">
        <f t="shared" si="4"/>
        <v>214</v>
      </c>
      <c r="N21" s="80">
        <f t="shared" si="4"/>
        <v>197</v>
      </c>
      <c r="O21" s="80">
        <f t="shared" si="4"/>
        <v>197</v>
      </c>
      <c r="P21" s="80">
        <f t="shared" si="4"/>
        <v>185</v>
      </c>
      <c r="Q21" s="80">
        <f t="shared" si="4"/>
        <v>177</v>
      </c>
      <c r="R21" s="80">
        <f t="shared" si="4"/>
        <v>227</v>
      </c>
      <c r="S21" s="80">
        <f t="shared" si="4"/>
        <v>198</v>
      </c>
      <c r="T21" s="80">
        <f t="shared" si="4"/>
        <v>209</v>
      </c>
      <c r="U21" s="80">
        <f t="shared" si="4"/>
        <v>208</v>
      </c>
      <c r="V21" s="80">
        <f t="shared" si="4"/>
        <v>223</v>
      </c>
      <c r="W21" s="80">
        <f t="shared" si="4"/>
        <v>226</v>
      </c>
      <c r="X21" s="80">
        <f t="shared" si="4"/>
        <v>239</v>
      </c>
      <c r="Y21" s="80">
        <f t="shared" si="4"/>
        <v>192</v>
      </c>
      <c r="Z21" s="80">
        <f t="shared" si="4"/>
        <v>209</v>
      </c>
      <c r="AA21" s="80">
        <f t="shared" si="4"/>
        <v>211</v>
      </c>
      <c r="AB21" s="80">
        <f t="shared" si="4"/>
        <v>184</v>
      </c>
      <c r="AC21" s="13">
        <f t="shared" si="3"/>
        <v>5037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1.0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9">
        <v>0.0</v>
      </c>
      <c r="F23" s="79">
        <v>1.0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1.0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80">
        <f t="shared" ref="E24:S24" si="5">SUM(E22:E23)</f>
        <v>0</v>
      </c>
      <c r="F24" s="80">
        <f t="shared" si="5"/>
        <v>1</v>
      </c>
      <c r="G24" s="80">
        <f t="shared" si="5"/>
        <v>0</v>
      </c>
      <c r="H24" s="80">
        <f t="shared" si="5"/>
        <v>0</v>
      </c>
      <c r="I24" s="80">
        <f t="shared" si="5"/>
        <v>0</v>
      </c>
      <c r="J24" s="80">
        <f t="shared" si="5"/>
        <v>0</v>
      </c>
      <c r="K24" s="80">
        <f t="shared" si="5"/>
        <v>0</v>
      </c>
      <c r="L24" s="80">
        <f t="shared" si="5"/>
        <v>0</v>
      </c>
      <c r="M24" s="80">
        <f t="shared" si="5"/>
        <v>0</v>
      </c>
      <c r="N24" s="80">
        <f t="shared" si="5"/>
        <v>0</v>
      </c>
      <c r="O24" s="80">
        <f t="shared" si="5"/>
        <v>0</v>
      </c>
      <c r="P24" s="80">
        <f t="shared" si="5"/>
        <v>0</v>
      </c>
      <c r="Q24" s="80">
        <f t="shared" si="5"/>
        <v>0</v>
      </c>
      <c r="R24" s="80">
        <f t="shared" si="5"/>
        <v>1</v>
      </c>
      <c r="S24" s="80">
        <f t="shared" si="5"/>
        <v>0</v>
      </c>
      <c r="T24" s="80">
        <v>0.0</v>
      </c>
      <c r="U24" s="80">
        <f t="shared" ref="U24:AB24" si="6">SUM(U22:U23)</f>
        <v>0</v>
      </c>
      <c r="V24" s="80">
        <f t="shared" si="6"/>
        <v>0</v>
      </c>
      <c r="W24" s="80">
        <f t="shared" si="6"/>
        <v>0</v>
      </c>
      <c r="X24" s="80">
        <f t="shared" si="6"/>
        <v>0</v>
      </c>
      <c r="Y24" s="80">
        <f t="shared" si="6"/>
        <v>0</v>
      </c>
      <c r="Z24" s="80">
        <f t="shared" si="6"/>
        <v>0</v>
      </c>
      <c r="AA24" s="80">
        <f t="shared" si="6"/>
        <v>0</v>
      </c>
      <c r="AB24" s="80">
        <f t="shared" si="6"/>
        <v>1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9">
        <v>0.0</v>
      </c>
      <c r="F25" s="79">
        <v>1.0</v>
      </c>
      <c r="G25" s="79">
        <v>1.0</v>
      </c>
      <c r="H25" s="79">
        <v>1.0</v>
      </c>
      <c r="I25" s="79">
        <v>0.0</v>
      </c>
      <c r="J25" s="79">
        <v>0.0</v>
      </c>
      <c r="K25" s="79">
        <v>0.0</v>
      </c>
      <c r="L25" s="79">
        <v>1.0</v>
      </c>
      <c r="M25" s="79">
        <v>0.0</v>
      </c>
      <c r="N25" s="79">
        <v>0.0</v>
      </c>
      <c r="O25" s="79">
        <v>3.0</v>
      </c>
      <c r="P25" s="79">
        <v>1.0</v>
      </c>
      <c r="Q25" s="79">
        <v>2.0</v>
      </c>
      <c r="R25" s="79">
        <v>3.0</v>
      </c>
      <c r="S25" s="79">
        <v>0.0</v>
      </c>
      <c r="T25" s="79">
        <v>0.0</v>
      </c>
      <c r="U25" s="79">
        <v>0.0</v>
      </c>
      <c r="V25" s="79">
        <v>1.0</v>
      </c>
      <c r="W25" s="79">
        <v>0.0</v>
      </c>
      <c r="X25" s="79">
        <v>0.0</v>
      </c>
      <c r="Y25" s="79">
        <v>0.0</v>
      </c>
      <c r="Z25" s="79">
        <v>0.0</v>
      </c>
      <c r="AA25" s="79">
        <v>1.0</v>
      </c>
      <c r="AB25" s="7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79">
        <v>0.0</v>
      </c>
      <c r="F26" s="79">
        <v>1.0</v>
      </c>
      <c r="G26" s="79">
        <v>0.0</v>
      </c>
      <c r="H26" s="79">
        <v>1.0</v>
      </c>
      <c r="I26" s="79">
        <v>0.0</v>
      </c>
      <c r="J26" s="79">
        <v>2.0</v>
      </c>
      <c r="K26" s="79">
        <v>0.0</v>
      </c>
      <c r="L26" s="79">
        <v>0.0</v>
      </c>
      <c r="M26" s="79">
        <v>0.0</v>
      </c>
      <c r="N26" s="79">
        <v>0.0</v>
      </c>
      <c r="O26" s="79">
        <v>1.0</v>
      </c>
      <c r="P26" s="79">
        <v>0.0</v>
      </c>
      <c r="Q26" s="79">
        <v>1.0</v>
      </c>
      <c r="R26" s="79">
        <v>0.0</v>
      </c>
      <c r="S26" s="79">
        <v>0.0</v>
      </c>
      <c r="T26" s="79">
        <v>1.0</v>
      </c>
      <c r="U26" s="79">
        <v>0.0</v>
      </c>
      <c r="V26" s="79">
        <v>0.0</v>
      </c>
      <c r="W26" s="79">
        <v>1.0</v>
      </c>
      <c r="X26" s="79">
        <v>0.0</v>
      </c>
      <c r="Y26" s="79">
        <v>0.0</v>
      </c>
      <c r="Z26" s="79">
        <v>1.0</v>
      </c>
      <c r="AA26" s="79">
        <v>1.0</v>
      </c>
      <c r="AB26" s="79">
        <v>2.0</v>
      </c>
      <c r="AC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80">
        <f t="shared" ref="E27:AB27" si="7">SUM(E25:E26)</f>
        <v>0</v>
      </c>
      <c r="F27" s="80">
        <f t="shared" si="7"/>
        <v>2</v>
      </c>
      <c r="G27" s="80">
        <f t="shared" si="7"/>
        <v>1</v>
      </c>
      <c r="H27" s="80">
        <f t="shared" si="7"/>
        <v>2</v>
      </c>
      <c r="I27" s="80">
        <f t="shared" si="7"/>
        <v>0</v>
      </c>
      <c r="J27" s="80">
        <f t="shared" si="7"/>
        <v>2</v>
      </c>
      <c r="K27" s="80">
        <f t="shared" si="7"/>
        <v>0</v>
      </c>
      <c r="L27" s="80">
        <f t="shared" si="7"/>
        <v>1</v>
      </c>
      <c r="M27" s="80">
        <f t="shared" si="7"/>
        <v>0</v>
      </c>
      <c r="N27" s="80">
        <f t="shared" si="7"/>
        <v>0</v>
      </c>
      <c r="O27" s="80">
        <f t="shared" si="7"/>
        <v>4</v>
      </c>
      <c r="P27" s="80">
        <f t="shared" si="7"/>
        <v>1</v>
      </c>
      <c r="Q27" s="80">
        <f t="shared" si="7"/>
        <v>3</v>
      </c>
      <c r="R27" s="80">
        <f t="shared" si="7"/>
        <v>3</v>
      </c>
      <c r="S27" s="80">
        <f t="shared" si="7"/>
        <v>0</v>
      </c>
      <c r="T27" s="80">
        <f t="shared" si="7"/>
        <v>1</v>
      </c>
      <c r="U27" s="80">
        <f t="shared" si="7"/>
        <v>0</v>
      </c>
      <c r="V27" s="80">
        <f t="shared" si="7"/>
        <v>1</v>
      </c>
      <c r="W27" s="80">
        <f t="shared" si="7"/>
        <v>1</v>
      </c>
      <c r="X27" s="80">
        <f t="shared" si="7"/>
        <v>0</v>
      </c>
      <c r="Y27" s="80">
        <f t="shared" si="7"/>
        <v>0</v>
      </c>
      <c r="Z27" s="80">
        <f t="shared" si="7"/>
        <v>1</v>
      </c>
      <c r="AA27" s="80">
        <f t="shared" si="7"/>
        <v>2</v>
      </c>
      <c r="AB27" s="80">
        <f t="shared" si="7"/>
        <v>2</v>
      </c>
      <c r="AC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0">
        <f t="shared" ref="E28:AB28" si="8">SUM(E19,E22,E25)</f>
        <v>89</v>
      </c>
      <c r="F28" s="80">
        <f t="shared" si="8"/>
        <v>101</v>
      </c>
      <c r="G28" s="80">
        <f t="shared" si="8"/>
        <v>105</v>
      </c>
      <c r="H28" s="80">
        <f t="shared" si="8"/>
        <v>111</v>
      </c>
      <c r="I28" s="80">
        <f t="shared" si="8"/>
        <v>120</v>
      </c>
      <c r="J28" s="80">
        <f t="shared" si="8"/>
        <v>101</v>
      </c>
      <c r="K28" s="80">
        <f t="shared" si="8"/>
        <v>105</v>
      </c>
      <c r="L28" s="80">
        <f t="shared" si="8"/>
        <v>113</v>
      </c>
      <c r="M28" s="80">
        <f t="shared" si="8"/>
        <v>104</v>
      </c>
      <c r="N28" s="80">
        <f t="shared" si="8"/>
        <v>99</v>
      </c>
      <c r="O28" s="80">
        <f t="shared" si="8"/>
        <v>98</v>
      </c>
      <c r="P28" s="80">
        <f t="shared" si="8"/>
        <v>93</v>
      </c>
      <c r="Q28" s="80">
        <f t="shared" si="8"/>
        <v>93</v>
      </c>
      <c r="R28" s="80">
        <f t="shared" si="8"/>
        <v>109</v>
      </c>
      <c r="S28" s="80">
        <f t="shared" si="8"/>
        <v>91</v>
      </c>
      <c r="T28" s="80">
        <f t="shared" si="8"/>
        <v>100</v>
      </c>
      <c r="U28" s="80">
        <f t="shared" si="8"/>
        <v>102</v>
      </c>
      <c r="V28" s="80">
        <f t="shared" si="8"/>
        <v>105</v>
      </c>
      <c r="W28" s="80">
        <f t="shared" si="8"/>
        <v>116</v>
      </c>
      <c r="X28" s="80">
        <f t="shared" si="8"/>
        <v>106</v>
      </c>
      <c r="Y28" s="80">
        <f t="shared" si="8"/>
        <v>93</v>
      </c>
      <c r="Z28" s="80">
        <f t="shared" si="8"/>
        <v>102</v>
      </c>
      <c r="AA28" s="80">
        <f t="shared" si="8"/>
        <v>102</v>
      </c>
      <c r="AB28" s="80">
        <f t="shared" si="8"/>
        <v>98</v>
      </c>
      <c r="AC28" s="13">
        <f t="shared" si="3"/>
        <v>2456</v>
      </c>
    </row>
    <row r="29" ht="12.75" customHeight="1">
      <c r="A29" s="35"/>
      <c r="B29" s="27"/>
      <c r="C29" s="34"/>
      <c r="D29" s="13" t="s">
        <v>13</v>
      </c>
      <c r="E29" s="80">
        <f t="shared" ref="E29:AB29" si="9">SUM(E20,E23,E26)</f>
        <v>115</v>
      </c>
      <c r="F29" s="80">
        <f t="shared" si="9"/>
        <v>109</v>
      </c>
      <c r="G29" s="80">
        <f t="shared" si="9"/>
        <v>103</v>
      </c>
      <c r="H29" s="80">
        <f t="shared" si="9"/>
        <v>111</v>
      </c>
      <c r="I29" s="80">
        <f t="shared" si="9"/>
        <v>114</v>
      </c>
      <c r="J29" s="80">
        <f t="shared" si="9"/>
        <v>118</v>
      </c>
      <c r="K29" s="80">
        <f t="shared" si="9"/>
        <v>112</v>
      </c>
      <c r="L29" s="80">
        <f t="shared" si="9"/>
        <v>123</v>
      </c>
      <c r="M29" s="80">
        <f t="shared" si="9"/>
        <v>110</v>
      </c>
      <c r="N29" s="80">
        <f t="shared" si="9"/>
        <v>98</v>
      </c>
      <c r="O29" s="80">
        <f t="shared" si="9"/>
        <v>103</v>
      </c>
      <c r="P29" s="80">
        <f t="shared" si="9"/>
        <v>93</v>
      </c>
      <c r="Q29" s="80">
        <f t="shared" si="9"/>
        <v>87</v>
      </c>
      <c r="R29" s="80">
        <f t="shared" si="9"/>
        <v>122</v>
      </c>
      <c r="S29" s="80">
        <f t="shared" si="9"/>
        <v>107</v>
      </c>
      <c r="T29" s="80">
        <f t="shared" si="9"/>
        <v>110</v>
      </c>
      <c r="U29" s="80">
        <f t="shared" si="9"/>
        <v>106</v>
      </c>
      <c r="V29" s="80">
        <f t="shared" si="9"/>
        <v>119</v>
      </c>
      <c r="W29" s="80">
        <f t="shared" si="9"/>
        <v>111</v>
      </c>
      <c r="X29" s="80">
        <f t="shared" si="9"/>
        <v>133</v>
      </c>
      <c r="Y29" s="80">
        <f t="shared" si="9"/>
        <v>99</v>
      </c>
      <c r="Z29" s="80">
        <f t="shared" si="9"/>
        <v>108</v>
      </c>
      <c r="AA29" s="80">
        <f t="shared" si="9"/>
        <v>111</v>
      </c>
      <c r="AB29" s="80">
        <f t="shared" si="9"/>
        <v>89</v>
      </c>
      <c r="AC29" s="13">
        <f t="shared" si="3"/>
        <v>2611</v>
      </c>
    </row>
    <row r="30" ht="12.75" customHeight="1">
      <c r="A30" s="35"/>
      <c r="B30" s="28"/>
      <c r="C30" s="36"/>
      <c r="D30" s="13" t="s">
        <v>14</v>
      </c>
      <c r="E30" s="82">
        <f t="shared" ref="E30:AB30" si="10">SUM(E28:E29)</f>
        <v>204</v>
      </c>
      <c r="F30" s="82">
        <f t="shared" si="10"/>
        <v>210</v>
      </c>
      <c r="G30" s="82">
        <f t="shared" si="10"/>
        <v>208</v>
      </c>
      <c r="H30" s="82">
        <f t="shared" si="10"/>
        <v>222</v>
      </c>
      <c r="I30" s="82">
        <f t="shared" si="10"/>
        <v>234</v>
      </c>
      <c r="J30" s="82">
        <f t="shared" si="10"/>
        <v>219</v>
      </c>
      <c r="K30" s="82">
        <f t="shared" si="10"/>
        <v>217</v>
      </c>
      <c r="L30" s="82">
        <f t="shared" si="10"/>
        <v>236</v>
      </c>
      <c r="M30" s="82">
        <f t="shared" si="10"/>
        <v>214</v>
      </c>
      <c r="N30" s="82">
        <f t="shared" si="10"/>
        <v>197</v>
      </c>
      <c r="O30" s="82">
        <f t="shared" si="10"/>
        <v>201</v>
      </c>
      <c r="P30" s="82">
        <f t="shared" si="10"/>
        <v>186</v>
      </c>
      <c r="Q30" s="82">
        <f t="shared" si="10"/>
        <v>180</v>
      </c>
      <c r="R30" s="82">
        <f t="shared" si="10"/>
        <v>231</v>
      </c>
      <c r="S30" s="82">
        <f t="shared" si="10"/>
        <v>198</v>
      </c>
      <c r="T30" s="82">
        <f t="shared" si="10"/>
        <v>210</v>
      </c>
      <c r="U30" s="82">
        <f t="shared" si="10"/>
        <v>208</v>
      </c>
      <c r="V30" s="82">
        <f t="shared" si="10"/>
        <v>224</v>
      </c>
      <c r="W30" s="82">
        <f t="shared" si="10"/>
        <v>227</v>
      </c>
      <c r="X30" s="82">
        <f t="shared" si="10"/>
        <v>239</v>
      </c>
      <c r="Y30" s="82">
        <f t="shared" si="10"/>
        <v>192</v>
      </c>
      <c r="Z30" s="82">
        <f t="shared" si="10"/>
        <v>210</v>
      </c>
      <c r="AA30" s="82">
        <f t="shared" si="10"/>
        <v>213</v>
      </c>
      <c r="AB30" s="82">
        <f t="shared" si="10"/>
        <v>187</v>
      </c>
      <c r="AC30" s="13">
        <f t="shared" si="3"/>
        <v>5067</v>
      </c>
    </row>
    <row r="31" ht="12.75" customHeight="1">
      <c r="A31" s="24"/>
      <c r="B31" s="15"/>
      <c r="C31" s="15"/>
      <c r="D31" s="16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68"/>
    </row>
    <row r="32" ht="12.75" customHeight="1">
      <c r="A32" s="41" t="s">
        <v>25</v>
      </c>
      <c r="B32" s="14" t="s">
        <v>26</v>
      </c>
      <c r="C32" s="15"/>
      <c r="D32" s="16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68"/>
    </row>
    <row r="33" ht="12.75" customHeight="1">
      <c r="A33" s="19">
        <v>1.0</v>
      </c>
      <c r="B33" s="20" t="s">
        <v>27</v>
      </c>
      <c r="C33" s="15"/>
      <c r="D33" s="16"/>
      <c r="E33" s="79">
        <v>275.0</v>
      </c>
      <c r="F33" s="79">
        <v>263.0</v>
      </c>
      <c r="G33" s="79">
        <v>275.0</v>
      </c>
      <c r="H33" s="79">
        <v>293.0</v>
      </c>
      <c r="I33" s="79">
        <v>279.0</v>
      </c>
      <c r="J33" s="79">
        <v>283.0</v>
      </c>
      <c r="K33" s="79">
        <v>282.0</v>
      </c>
      <c r="L33" s="79">
        <v>297.0</v>
      </c>
      <c r="M33" s="79">
        <v>261.0</v>
      </c>
      <c r="N33" s="79">
        <v>261.0</v>
      </c>
      <c r="O33" s="79">
        <v>261.0</v>
      </c>
      <c r="P33" s="79">
        <v>242.0</v>
      </c>
      <c r="Q33" s="79">
        <v>259.0</v>
      </c>
      <c r="R33" s="79">
        <v>299.0</v>
      </c>
      <c r="S33" s="79">
        <v>277.0</v>
      </c>
      <c r="T33" s="79">
        <v>285.0</v>
      </c>
      <c r="U33" s="79">
        <v>270.0</v>
      </c>
      <c r="V33" s="79">
        <v>299.0</v>
      </c>
      <c r="W33" s="79">
        <v>285.0</v>
      </c>
      <c r="X33" s="79">
        <v>295.0</v>
      </c>
      <c r="Y33" s="79">
        <v>261.0</v>
      </c>
      <c r="Z33" s="79">
        <v>283.0</v>
      </c>
      <c r="AA33" s="79">
        <v>263.0</v>
      </c>
      <c r="AB33" s="79">
        <v>239.0</v>
      </c>
      <c r="AC33" s="13">
        <f t="shared" ref="AC33:AC36" si="11">SUM(E33:AB33)</f>
        <v>6587</v>
      </c>
    </row>
    <row r="34" ht="12.75" customHeight="1">
      <c r="A34" s="19">
        <v>2.0</v>
      </c>
      <c r="B34" s="20" t="s">
        <v>28</v>
      </c>
      <c r="C34" s="15"/>
      <c r="D34" s="16"/>
      <c r="E34" s="83">
        <v>204.0</v>
      </c>
      <c r="F34" s="83">
        <v>210.0</v>
      </c>
      <c r="G34" s="83">
        <v>208.0</v>
      </c>
      <c r="H34" s="83">
        <v>222.0</v>
      </c>
      <c r="I34" s="83">
        <v>234.0</v>
      </c>
      <c r="J34" s="83">
        <v>219.0</v>
      </c>
      <c r="K34" s="83">
        <v>217.0</v>
      </c>
      <c r="L34" s="83">
        <v>236.0</v>
      </c>
      <c r="M34" s="83">
        <v>214.0</v>
      </c>
      <c r="N34" s="83">
        <v>197.0</v>
      </c>
      <c r="O34" s="83">
        <v>201.0</v>
      </c>
      <c r="P34" s="83">
        <v>186.0</v>
      </c>
      <c r="Q34" s="83">
        <v>180.0</v>
      </c>
      <c r="R34" s="83">
        <v>231.0</v>
      </c>
      <c r="S34" s="83">
        <v>198.0</v>
      </c>
      <c r="T34" s="83">
        <v>210.0</v>
      </c>
      <c r="U34" s="83">
        <v>208.0</v>
      </c>
      <c r="V34" s="83">
        <v>224.0</v>
      </c>
      <c r="W34" s="83">
        <v>227.0</v>
      </c>
      <c r="X34" s="83">
        <v>239.0</v>
      </c>
      <c r="Y34" s="83">
        <v>192.0</v>
      </c>
      <c r="Z34" s="83">
        <v>210.0</v>
      </c>
      <c r="AA34" s="83">
        <v>213.0</v>
      </c>
      <c r="AB34" s="83">
        <v>187.0</v>
      </c>
      <c r="AC34" s="13">
        <f t="shared" si="11"/>
        <v>5067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1.0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1.0</v>
      </c>
      <c r="W35" s="79">
        <v>0.0</v>
      </c>
      <c r="X35" s="79">
        <v>0.0</v>
      </c>
      <c r="Y35" s="79">
        <v>0.0</v>
      </c>
      <c r="Z35" s="79">
        <v>0.0</v>
      </c>
      <c r="AA35" s="79">
        <v>0.0</v>
      </c>
      <c r="AB35" s="79">
        <v>0.0</v>
      </c>
      <c r="AC35" s="13">
        <f t="shared" si="11"/>
        <v>2</v>
      </c>
    </row>
    <row r="36" ht="12.75" customHeight="1">
      <c r="A36" s="19">
        <v>4.0</v>
      </c>
      <c r="B36" s="20" t="s">
        <v>30</v>
      </c>
      <c r="C36" s="15"/>
      <c r="D36" s="16"/>
      <c r="E36" s="80">
        <f t="shared" ref="E36:AB36" si="12">E33-(E34+E35)</f>
        <v>71</v>
      </c>
      <c r="F36" s="80">
        <f t="shared" si="12"/>
        <v>53</v>
      </c>
      <c r="G36" s="80">
        <f t="shared" si="12"/>
        <v>67</v>
      </c>
      <c r="H36" s="80">
        <f t="shared" si="12"/>
        <v>70</v>
      </c>
      <c r="I36" s="80">
        <f t="shared" si="12"/>
        <v>45</v>
      </c>
      <c r="J36" s="80">
        <f t="shared" si="12"/>
        <v>64</v>
      </c>
      <c r="K36" s="80">
        <f t="shared" si="12"/>
        <v>65</v>
      </c>
      <c r="L36" s="80">
        <f t="shared" si="12"/>
        <v>61</v>
      </c>
      <c r="M36" s="80">
        <f t="shared" si="12"/>
        <v>47</v>
      </c>
      <c r="N36" s="80">
        <f t="shared" si="12"/>
        <v>64</v>
      </c>
      <c r="O36" s="80">
        <f t="shared" si="12"/>
        <v>60</v>
      </c>
      <c r="P36" s="80">
        <f t="shared" si="12"/>
        <v>56</v>
      </c>
      <c r="Q36" s="80">
        <f t="shared" si="12"/>
        <v>79</v>
      </c>
      <c r="R36" s="80">
        <f t="shared" si="12"/>
        <v>68</v>
      </c>
      <c r="S36" s="80">
        <f t="shared" si="12"/>
        <v>79</v>
      </c>
      <c r="T36" s="80">
        <f t="shared" si="12"/>
        <v>75</v>
      </c>
      <c r="U36" s="80">
        <f t="shared" si="12"/>
        <v>62</v>
      </c>
      <c r="V36" s="80">
        <f t="shared" si="12"/>
        <v>74</v>
      </c>
      <c r="W36" s="80">
        <f t="shared" si="12"/>
        <v>58</v>
      </c>
      <c r="X36" s="80">
        <f t="shared" si="12"/>
        <v>56</v>
      </c>
      <c r="Y36" s="80">
        <f t="shared" si="12"/>
        <v>69</v>
      </c>
      <c r="Z36" s="80">
        <f t="shared" si="12"/>
        <v>73</v>
      </c>
      <c r="AA36" s="80">
        <f t="shared" si="12"/>
        <v>50</v>
      </c>
      <c r="AB36" s="80">
        <f t="shared" si="12"/>
        <v>52</v>
      </c>
      <c r="AC36" s="13">
        <f t="shared" si="11"/>
        <v>1518</v>
      </c>
    </row>
    <row r="37" ht="12.75" customHeight="1">
      <c r="A37" s="24"/>
      <c r="B37" s="15"/>
      <c r="C37" s="15"/>
      <c r="D37" s="15"/>
      <c r="E37" s="8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81"/>
      <c r="AA37" s="81"/>
      <c r="AB37" s="81"/>
      <c r="AC37" s="68"/>
    </row>
    <row r="38" ht="12.75" customHeight="1">
      <c r="A38" s="42" t="s">
        <v>31</v>
      </c>
      <c r="B38" s="14" t="s">
        <v>32</v>
      </c>
      <c r="C38" s="15"/>
      <c r="D38" s="16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68"/>
    </row>
    <row r="39" ht="12.75" customHeight="1">
      <c r="A39" s="30"/>
      <c r="B39" s="43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2.0</v>
      </c>
      <c r="X39" s="79">
        <v>0.0</v>
      </c>
      <c r="Y39" s="79">
        <v>1.0</v>
      </c>
      <c r="Z39" s="79">
        <v>0.0</v>
      </c>
      <c r="AA39" s="79">
        <v>0.0</v>
      </c>
      <c r="AB39" s="79">
        <v>0.0</v>
      </c>
      <c r="AC39" s="13">
        <f t="shared" ref="AC39:AC41" si="13">SUM(E39:AB39)</f>
        <v>3</v>
      </c>
    </row>
    <row r="40" ht="12.75" customHeight="1">
      <c r="A40" s="33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1.0</v>
      </c>
      <c r="T40" s="79">
        <v>0.0</v>
      </c>
      <c r="U40" s="79">
        <v>0.0</v>
      </c>
      <c r="V40" s="79">
        <v>1.0</v>
      </c>
      <c r="W40" s="79">
        <v>1.0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13">
        <f t="shared" si="13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1</v>
      </c>
      <c r="T41" s="13">
        <f t="shared" si="14"/>
        <v>0</v>
      </c>
      <c r="U41" s="13">
        <f t="shared" si="14"/>
        <v>0</v>
      </c>
      <c r="V41" s="13">
        <f t="shared" si="14"/>
        <v>1</v>
      </c>
      <c r="W41" s="13">
        <f t="shared" si="14"/>
        <v>3</v>
      </c>
      <c r="X41" s="13">
        <f t="shared" si="14"/>
        <v>0</v>
      </c>
      <c r="Y41" s="13">
        <f t="shared" si="14"/>
        <v>1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3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8.0</v>
      </c>
      <c r="G45" s="19">
        <v>7.0</v>
      </c>
      <c r="H45" s="19">
        <v>10.0</v>
      </c>
      <c r="I45" s="19">
        <v>6.0</v>
      </c>
      <c r="J45" s="19">
        <v>11.0</v>
      </c>
      <c r="K45" s="19">
        <v>7.0</v>
      </c>
      <c r="L45" s="19">
        <v>10.0</v>
      </c>
      <c r="M45" s="19">
        <v>5.0</v>
      </c>
      <c r="N45" s="19">
        <v>9.0</v>
      </c>
      <c r="O45" s="19">
        <v>2.0</v>
      </c>
      <c r="P45" s="19">
        <v>6.0</v>
      </c>
      <c r="Q45" s="19">
        <v>5.0</v>
      </c>
      <c r="R45" s="19">
        <v>4.0</v>
      </c>
      <c r="S45" s="19">
        <v>8.0</v>
      </c>
      <c r="T45" s="19">
        <v>8.0</v>
      </c>
      <c r="U45" s="19">
        <v>13.0</v>
      </c>
      <c r="V45" s="19">
        <v>9.0</v>
      </c>
      <c r="W45" s="19">
        <v>16.0</v>
      </c>
      <c r="X45" s="19">
        <v>6.0</v>
      </c>
      <c r="Y45" s="19">
        <v>5.0</v>
      </c>
      <c r="Z45" s="19">
        <v>8.0</v>
      </c>
      <c r="AA45" s="19">
        <v>5.0</v>
      </c>
      <c r="AB45" s="19">
        <v>15.0</v>
      </c>
      <c r="AC45" s="13">
        <f t="shared" ref="AC45:AC52" si="15">SUM(E45:AB45)</f>
        <v>189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20.0</v>
      </c>
      <c r="F46" s="19">
        <v>25.0</v>
      </c>
      <c r="G46" s="19">
        <v>40.0</v>
      </c>
      <c r="H46" s="19">
        <v>19.0</v>
      </c>
      <c r="I46" s="19">
        <v>32.0</v>
      </c>
      <c r="J46" s="19">
        <v>34.0</v>
      </c>
      <c r="K46" s="19">
        <v>40.0</v>
      </c>
      <c r="L46" s="19">
        <v>19.0</v>
      </c>
      <c r="M46" s="19">
        <v>15.0</v>
      </c>
      <c r="N46" s="19">
        <v>7.0</v>
      </c>
      <c r="O46" s="19">
        <v>12.0</v>
      </c>
      <c r="P46" s="19">
        <v>23.0</v>
      </c>
      <c r="Q46" s="19">
        <v>1.0</v>
      </c>
      <c r="R46" s="19">
        <v>5.0</v>
      </c>
      <c r="S46" s="19">
        <v>6.0</v>
      </c>
      <c r="T46" s="19">
        <v>6.0</v>
      </c>
      <c r="U46" s="19">
        <v>15.0</v>
      </c>
      <c r="V46" s="19">
        <v>17.0</v>
      </c>
      <c r="W46" s="19">
        <v>19.0</v>
      </c>
      <c r="X46" s="19">
        <v>28.0</v>
      </c>
      <c r="Y46" s="19">
        <v>21.0</v>
      </c>
      <c r="Z46" s="19">
        <v>20.0</v>
      </c>
      <c r="AA46" s="19">
        <v>18.0</v>
      </c>
      <c r="AB46" s="19">
        <v>41.0</v>
      </c>
      <c r="AC46" s="13">
        <f t="shared" si="15"/>
        <v>483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3.0</v>
      </c>
      <c r="G47" s="19">
        <v>1.0</v>
      </c>
      <c r="H47" s="19">
        <v>4.0</v>
      </c>
      <c r="I47" s="19">
        <v>2.0</v>
      </c>
      <c r="J47" s="19">
        <v>7.0</v>
      </c>
      <c r="K47" s="19">
        <v>1.0</v>
      </c>
      <c r="L47" s="19">
        <v>4.0</v>
      </c>
      <c r="M47" s="19">
        <v>3.0</v>
      </c>
      <c r="N47" s="19">
        <v>3.0</v>
      </c>
      <c r="O47" s="19">
        <v>0.0</v>
      </c>
      <c r="P47" s="19">
        <v>8.0</v>
      </c>
      <c r="Q47" s="19">
        <v>5.0</v>
      </c>
      <c r="R47" s="19">
        <v>3.0</v>
      </c>
      <c r="S47" s="19">
        <v>3.0</v>
      </c>
      <c r="T47" s="19">
        <v>0.0</v>
      </c>
      <c r="U47" s="19">
        <v>6.0</v>
      </c>
      <c r="V47" s="19">
        <v>1.0</v>
      </c>
      <c r="W47" s="19">
        <v>9.0</v>
      </c>
      <c r="X47" s="19">
        <v>2.0</v>
      </c>
      <c r="Y47" s="19">
        <v>2.0</v>
      </c>
      <c r="Z47" s="19">
        <v>1.0</v>
      </c>
      <c r="AA47" s="19">
        <v>1.0</v>
      </c>
      <c r="AB47" s="19">
        <v>2.0</v>
      </c>
      <c r="AC47" s="13">
        <f t="shared" si="15"/>
        <v>73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1.0</v>
      </c>
      <c r="J48" s="19">
        <v>2.0</v>
      </c>
      <c r="K48" s="19">
        <v>1.0</v>
      </c>
      <c r="L48" s="19">
        <v>0.0</v>
      </c>
      <c r="M48" s="19">
        <v>2.0</v>
      </c>
      <c r="N48" s="19">
        <v>0.0</v>
      </c>
      <c r="O48" s="19">
        <v>1.0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9">
        <v>0.0</v>
      </c>
      <c r="AC48" s="13">
        <f t="shared" si="15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1.0</v>
      </c>
      <c r="O49" s="19">
        <v>0.0</v>
      </c>
      <c r="P49" s="19">
        <v>4.0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2.0</v>
      </c>
      <c r="AB49" s="19">
        <v>0.0</v>
      </c>
      <c r="AC49" s="13">
        <f t="shared" si="15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2.0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1.0</v>
      </c>
      <c r="W50" s="19">
        <v>2.0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3">
        <f t="shared" si="15"/>
        <v>10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2.0</v>
      </c>
      <c r="H51" s="19">
        <v>1.0</v>
      </c>
      <c r="I51" s="19">
        <v>0.0</v>
      </c>
      <c r="J51" s="19">
        <v>2.0</v>
      </c>
      <c r="K51" s="19">
        <v>2.0</v>
      </c>
      <c r="L51" s="19">
        <v>1.0</v>
      </c>
      <c r="M51" s="19">
        <v>0.0</v>
      </c>
      <c r="N51" s="19">
        <v>0.0</v>
      </c>
      <c r="O51" s="19">
        <v>1.0</v>
      </c>
      <c r="P51" s="19">
        <v>2.0</v>
      </c>
      <c r="Q51" s="19">
        <v>1.0</v>
      </c>
      <c r="R51" s="19">
        <v>1.0</v>
      </c>
      <c r="S51" s="19">
        <v>0.0</v>
      </c>
      <c r="T51" s="19">
        <v>1.0</v>
      </c>
      <c r="U51" s="19">
        <v>2.0</v>
      </c>
      <c r="V51" s="19">
        <v>1.0</v>
      </c>
      <c r="W51" s="19">
        <v>5.0</v>
      </c>
      <c r="X51" s="19">
        <v>1.0</v>
      </c>
      <c r="Y51" s="19">
        <v>1.0</v>
      </c>
      <c r="Z51" s="19">
        <v>1.0</v>
      </c>
      <c r="AA51" s="19">
        <v>0.0</v>
      </c>
      <c r="AB51" s="19">
        <v>1.0</v>
      </c>
      <c r="AC51" s="13">
        <f t="shared" si="15"/>
        <v>27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1.0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2.0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9">
        <v>0.0</v>
      </c>
      <c r="Y52" s="19">
        <v>1.0</v>
      </c>
      <c r="Z52" s="19">
        <v>0.0</v>
      </c>
      <c r="AA52" s="19">
        <v>0.0</v>
      </c>
      <c r="AB52" s="19">
        <v>0.0</v>
      </c>
      <c r="AC52" s="13">
        <f t="shared" si="15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6">SUM(E45:E52)</f>
        <v>31</v>
      </c>
      <c r="F55" s="13">
        <f t="shared" si="16"/>
        <v>36</v>
      </c>
      <c r="G55" s="13">
        <f t="shared" si="16"/>
        <v>52</v>
      </c>
      <c r="H55" s="13">
        <f t="shared" si="16"/>
        <v>37</v>
      </c>
      <c r="I55" s="13">
        <f t="shared" si="16"/>
        <v>42</v>
      </c>
      <c r="J55" s="13">
        <f t="shared" si="16"/>
        <v>58</v>
      </c>
      <c r="K55" s="13">
        <f t="shared" si="16"/>
        <v>52</v>
      </c>
      <c r="L55" s="13">
        <f t="shared" si="16"/>
        <v>34</v>
      </c>
      <c r="M55" s="13">
        <f t="shared" si="16"/>
        <v>26</v>
      </c>
      <c r="N55" s="13">
        <f t="shared" si="16"/>
        <v>20</v>
      </c>
      <c r="O55" s="13">
        <f t="shared" si="16"/>
        <v>16</v>
      </c>
      <c r="P55" s="13">
        <f t="shared" si="16"/>
        <v>46</v>
      </c>
      <c r="Q55" s="13">
        <f t="shared" si="16"/>
        <v>13</v>
      </c>
      <c r="R55" s="13">
        <f t="shared" si="16"/>
        <v>15</v>
      </c>
      <c r="S55" s="13">
        <f t="shared" si="16"/>
        <v>17</v>
      </c>
      <c r="T55" s="13">
        <f t="shared" si="16"/>
        <v>15</v>
      </c>
      <c r="U55" s="13">
        <f t="shared" si="16"/>
        <v>38</v>
      </c>
      <c r="V55" s="13">
        <f t="shared" si="16"/>
        <v>30</v>
      </c>
      <c r="W55" s="13">
        <f t="shared" si="16"/>
        <v>51</v>
      </c>
      <c r="X55" s="13">
        <f t="shared" si="16"/>
        <v>39</v>
      </c>
      <c r="Y55" s="13">
        <f t="shared" si="16"/>
        <v>30</v>
      </c>
      <c r="Z55" s="13">
        <f t="shared" si="16"/>
        <v>30</v>
      </c>
      <c r="AA55" s="13">
        <f t="shared" si="16"/>
        <v>26</v>
      </c>
      <c r="AB55" s="13">
        <f t="shared" si="16"/>
        <v>59</v>
      </c>
      <c r="AC55" s="13">
        <f>SUM(E55:AB55)</f>
        <v>813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12.0</v>
      </c>
      <c r="G57" s="19">
        <v>3.0</v>
      </c>
      <c r="H57" s="19">
        <v>9.0</v>
      </c>
      <c r="I57" s="19">
        <v>9.0</v>
      </c>
      <c r="J57" s="19">
        <v>7.0</v>
      </c>
      <c r="K57" s="19">
        <v>6.0</v>
      </c>
      <c r="L57" s="19">
        <v>9.0</v>
      </c>
      <c r="M57" s="19">
        <v>6.0</v>
      </c>
      <c r="N57" s="19">
        <v>7.0</v>
      </c>
      <c r="O57" s="19">
        <v>5.0</v>
      </c>
      <c r="P57" s="19">
        <v>12.0</v>
      </c>
      <c r="Q57" s="19">
        <v>4.0</v>
      </c>
      <c r="R57" s="19">
        <v>12.0</v>
      </c>
      <c r="S57" s="19">
        <v>11.0</v>
      </c>
      <c r="T57" s="19">
        <v>9.0</v>
      </c>
      <c r="U57" s="19">
        <v>23.0</v>
      </c>
      <c r="V57" s="19">
        <v>15.0</v>
      </c>
      <c r="W57" s="19">
        <v>12.0</v>
      </c>
      <c r="X57" s="19">
        <v>12.0</v>
      </c>
      <c r="Y57" s="19">
        <v>7.0</v>
      </c>
      <c r="Z57" s="19">
        <v>14.0</v>
      </c>
      <c r="AA57" s="19">
        <v>3.0</v>
      </c>
      <c r="AB57" s="19">
        <v>11.0</v>
      </c>
      <c r="AC57" s="13">
        <f t="shared" ref="AC57:AC64" si="17">SUM(E57:AB57)</f>
        <v>221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15.0</v>
      </c>
      <c r="F58" s="19">
        <v>4.0</v>
      </c>
      <c r="G58" s="19">
        <v>5.0</v>
      </c>
      <c r="H58" s="19">
        <v>5.0</v>
      </c>
      <c r="I58" s="19">
        <v>5.0</v>
      </c>
      <c r="J58" s="19">
        <v>2.0</v>
      </c>
      <c r="K58" s="19">
        <v>4.0</v>
      </c>
      <c r="L58" s="19">
        <v>1.0</v>
      </c>
      <c r="M58" s="19">
        <v>8.0</v>
      </c>
      <c r="N58" s="19">
        <v>4.0</v>
      </c>
      <c r="O58" s="19">
        <v>5.0</v>
      </c>
      <c r="P58" s="19">
        <v>4.0</v>
      </c>
      <c r="Q58" s="19">
        <v>3.0</v>
      </c>
      <c r="R58" s="19">
        <v>3.0</v>
      </c>
      <c r="S58" s="19">
        <v>8.0</v>
      </c>
      <c r="T58" s="19">
        <v>7.0</v>
      </c>
      <c r="U58" s="19">
        <v>12.0</v>
      </c>
      <c r="V58" s="19">
        <v>14.0</v>
      </c>
      <c r="W58" s="19">
        <v>12.0</v>
      </c>
      <c r="X58" s="19">
        <v>11.0</v>
      </c>
      <c r="Y58" s="19">
        <v>4.0</v>
      </c>
      <c r="Z58" s="19">
        <v>5.0</v>
      </c>
      <c r="AA58" s="19">
        <v>3.0</v>
      </c>
      <c r="AB58" s="19">
        <v>8.0</v>
      </c>
      <c r="AC58" s="13">
        <f t="shared" si="17"/>
        <v>152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6.0</v>
      </c>
      <c r="G59" s="19">
        <v>8.0</v>
      </c>
      <c r="H59" s="19">
        <v>10.0</v>
      </c>
      <c r="I59" s="19">
        <v>21.0</v>
      </c>
      <c r="J59" s="19">
        <v>29.0</v>
      </c>
      <c r="K59" s="19">
        <v>4.0</v>
      </c>
      <c r="L59" s="19">
        <v>2.0</v>
      </c>
      <c r="M59" s="19">
        <v>1.0</v>
      </c>
      <c r="N59" s="19">
        <v>12.0</v>
      </c>
      <c r="O59" s="19">
        <v>12.0</v>
      </c>
      <c r="P59" s="19">
        <v>24.0</v>
      </c>
      <c r="Q59" s="19">
        <v>9.0</v>
      </c>
      <c r="R59" s="19">
        <v>15.0</v>
      </c>
      <c r="S59" s="19">
        <v>2.0</v>
      </c>
      <c r="T59" s="19">
        <v>14.0</v>
      </c>
      <c r="U59" s="19">
        <v>12.0</v>
      </c>
      <c r="V59" s="19">
        <v>13.0</v>
      </c>
      <c r="W59" s="19">
        <v>30.0</v>
      </c>
      <c r="X59" s="19">
        <v>41.0</v>
      </c>
      <c r="Y59" s="19">
        <v>8.0</v>
      </c>
      <c r="Z59" s="19">
        <v>3.0</v>
      </c>
      <c r="AA59" s="19">
        <v>5.0</v>
      </c>
      <c r="AB59" s="19">
        <v>15.0</v>
      </c>
      <c r="AC59" s="13">
        <f t="shared" si="17"/>
        <v>298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2.0</v>
      </c>
      <c r="G60" s="19">
        <v>0.0</v>
      </c>
      <c r="H60" s="19">
        <v>1.0</v>
      </c>
      <c r="I60" s="19">
        <v>2.0</v>
      </c>
      <c r="J60" s="19">
        <v>1.0</v>
      </c>
      <c r="K60" s="19">
        <v>0.0</v>
      </c>
      <c r="L60" s="19">
        <v>0.0</v>
      </c>
      <c r="M60" s="19">
        <v>1.0</v>
      </c>
      <c r="N60" s="19">
        <v>0.0</v>
      </c>
      <c r="O60" s="19">
        <v>0.0</v>
      </c>
      <c r="P60" s="19">
        <v>0.0</v>
      </c>
      <c r="Q60" s="19">
        <v>1.0</v>
      </c>
      <c r="R60" s="19">
        <v>1.0</v>
      </c>
      <c r="S60" s="19">
        <v>1.0</v>
      </c>
      <c r="T60" s="19">
        <v>0.0</v>
      </c>
      <c r="U60" s="19">
        <v>1.0</v>
      </c>
      <c r="V60" s="19">
        <v>2.0</v>
      </c>
      <c r="W60" s="19">
        <v>1.0</v>
      </c>
      <c r="X60" s="19">
        <v>0.0</v>
      </c>
      <c r="Y60" s="19">
        <v>3.0</v>
      </c>
      <c r="Z60" s="19">
        <v>0.0</v>
      </c>
      <c r="AA60" s="19">
        <v>0.0</v>
      </c>
      <c r="AB60" s="19">
        <v>1.0</v>
      </c>
      <c r="AC60" s="13">
        <f t="shared" si="17"/>
        <v>19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2.0</v>
      </c>
      <c r="H61" s="19">
        <v>0.0</v>
      </c>
      <c r="I61" s="19">
        <v>1.0</v>
      </c>
      <c r="J61" s="19">
        <v>0.0</v>
      </c>
      <c r="K61" s="19">
        <v>2.0</v>
      </c>
      <c r="L61" s="19">
        <v>2.0</v>
      </c>
      <c r="M61" s="19">
        <v>3.0</v>
      </c>
      <c r="N61" s="19">
        <v>1.0</v>
      </c>
      <c r="O61" s="19">
        <v>0.0</v>
      </c>
      <c r="P61" s="19">
        <v>3.0</v>
      </c>
      <c r="Q61" s="19">
        <v>0.0</v>
      </c>
      <c r="R61" s="19">
        <v>0.0</v>
      </c>
      <c r="S61" s="19">
        <v>0.0</v>
      </c>
      <c r="T61" s="19">
        <v>2.0</v>
      </c>
      <c r="U61" s="19">
        <v>0.0</v>
      </c>
      <c r="V61" s="19">
        <v>0.0</v>
      </c>
      <c r="W61" s="19">
        <v>2.0</v>
      </c>
      <c r="X61" s="19">
        <v>1.0</v>
      </c>
      <c r="Y61" s="19">
        <v>3.0</v>
      </c>
      <c r="Z61" s="19">
        <v>19.0</v>
      </c>
      <c r="AA61" s="19">
        <v>1.0</v>
      </c>
      <c r="AB61" s="19">
        <v>3.0</v>
      </c>
      <c r="AC61" s="13">
        <f t="shared" si="17"/>
        <v>45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1.0</v>
      </c>
      <c r="I62" s="19">
        <v>0.0</v>
      </c>
      <c r="J62" s="19">
        <v>2.0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1.0</v>
      </c>
      <c r="V62" s="19">
        <v>0.0</v>
      </c>
      <c r="W62" s="19">
        <v>1.0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3">
        <f t="shared" si="17"/>
        <v>9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2.0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1.0</v>
      </c>
      <c r="N63" s="19">
        <v>0.0</v>
      </c>
      <c r="O63" s="19">
        <v>3.0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3.0</v>
      </c>
      <c r="X63" s="19">
        <v>2.0</v>
      </c>
      <c r="Y63" s="19">
        <v>1.0</v>
      </c>
      <c r="Z63" s="19">
        <v>0.0</v>
      </c>
      <c r="AA63" s="19">
        <v>0.0</v>
      </c>
      <c r="AB63" s="19">
        <v>0.0</v>
      </c>
      <c r="AC63" s="13">
        <f t="shared" si="17"/>
        <v>15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2.0</v>
      </c>
      <c r="X64" s="19">
        <v>0.0</v>
      </c>
      <c r="Y64" s="19">
        <v>0.0</v>
      </c>
      <c r="Z64" s="19">
        <v>1.0</v>
      </c>
      <c r="AA64" s="19">
        <v>0.0</v>
      </c>
      <c r="AB64" s="19">
        <v>0.0</v>
      </c>
      <c r="AC64" s="13">
        <f t="shared" si="17"/>
        <v>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8">SUM(E57:E64)</f>
        <v>21</v>
      </c>
      <c r="F67" s="13">
        <f t="shared" si="18"/>
        <v>27</v>
      </c>
      <c r="G67" s="13">
        <f t="shared" si="18"/>
        <v>18</v>
      </c>
      <c r="H67" s="13">
        <f t="shared" si="18"/>
        <v>26</v>
      </c>
      <c r="I67" s="13">
        <f t="shared" si="18"/>
        <v>38</v>
      </c>
      <c r="J67" s="13">
        <f t="shared" si="18"/>
        <v>41</v>
      </c>
      <c r="K67" s="13">
        <f t="shared" si="18"/>
        <v>18</v>
      </c>
      <c r="L67" s="13">
        <f t="shared" si="18"/>
        <v>14</v>
      </c>
      <c r="M67" s="13">
        <f t="shared" si="18"/>
        <v>21</v>
      </c>
      <c r="N67" s="13">
        <f t="shared" si="18"/>
        <v>24</v>
      </c>
      <c r="O67" s="13">
        <f t="shared" si="18"/>
        <v>25</v>
      </c>
      <c r="P67" s="13">
        <f t="shared" si="18"/>
        <v>44</v>
      </c>
      <c r="Q67" s="13">
        <f t="shared" si="18"/>
        <v>17</v>
      </c>
      <c r="R67" s="13">
        <f t="shared" si="18"/>
        <v>31</v>
      </c>
      <c r="S67" s="13">
        <f t="shared" si="18"/>
        <v>22</v>
      </c>
      <c r="T67" s="13">
        <f t="shared" si="18"/>
        <v>33</v>
      </c>
      <c r="U67" s="13">
        <f t="shared" si="18"/>
        <v>49</v>
      </c>
      <c r="V67" s="13">
        <f t="shared" si="18"/>
        <v>45</v>
      </c>
      <c r="W67" s="13">
        <f t="shared" si="18"/>
        <v>63</v>
      </c>
      <c r="X67" s="13">
        <f t="shared" si="18"/>
        <v>67</v>
      </c>
      <c r="Y67" s="13">
        <f t="shared" si="18"/>
        <v>27</v>
      </c>
      <c r="Z67" s="13">
        <f t="shared" si="18"/>
        <v>42</v>
      </c>
      <c r="AA67" s="13">
        <f t="shared" si="18"/>
        <v>12</v>
      </c>
      <c r="AB67" s="13">
        <f t="shared" si="18"/>
        <v>38</v>
      </c>
      <c r="AC67" s="13">
        <f>SUM(E67:AB67)</f>
        <v>763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13.0</v>
      </c>
      <c r="F69" s="19">
        <v>13.0</v>
      </c>
      <c r="G69" s="19">
        <v>9.0</v>
      </c>
      <c r="H69" s="19">
        <v>10.0</v>
      </c>
      <c r="I69" s="19">
        <v>13.0</v>
      </c>
      <c r="J69" s="19">
        <v>4.0</v>
      </c>
      <c r="K69" s="19">
        <v>6.0</v>
      </c>
      <c r="L69" s="19">
        <v>9.0</v>
      </c>
      <c r="M69" s="19">
        <v>10.0</v>
      </c>
      <c r="N69" s="19">
        <v>12.0</v>
      </c>
      <c r="O69" s="19">
        <v>9.0</v>
      </c>
      <c r="P69" s="19">
        <v>3.0</v>
      </c>
      <c r="Q69" s="19">
        <v>4.0</v>
      </c>
      <c r="R69" s="19">
        <v>14.0</v>
      </c>
      <c r="S69" s="19">
        <v>6.0</v>
      </c>
      <c r="T69" s="19">
        <v>9.0</v>
      </c>
      <c r="U69" s="19">
        <v>10.0</v>
      </c>
      <c r="V69" s="19">
        <v>10.0</v>
      </c>
      <c r="W69" s="19">
        <v>10.0</v>
      </c>
      <c r="X69" s="19">
        <v>7.0</v>
      </c>
      <c r="Y69" s="19">
        <v>15.0</v>
      </c>
      <c r="Z69" s="19">
        <v>15.0</v>
      </c>
      <c r="AA69" s="19">
        <v>7.0</v>
      </c>
      <c r="AB69" s="19">
        <v>5.0</v>
      </c>
      <c r="AC69" s="13">
        <f t="shared" ref="AC69:AC76" si="19">SUM(E69:AB69)</f>
        <v>223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8.0</v>
      </c>
      <c r="G70" s="19">
        <v>15.0</v>
      </c>
      <c r="H70" s="19">
        <v>20.0</v>
      </c>
      <c r="I70" s="19">
        <v>29.0</v>
      </c>
      <c r="J70" s="19">
        <v>15.0</v>
      </c>
      <c r="K70" s="19">
        <v>11.0</v>
      </c>
      <c r="L70" s="19">
        <v>17.0</v>
      </c>
      <c r="M70" s="19">
        <v>2.0</v>
      </c>
      <c r="N70" s="19">
        <v>3.0</v>
      </c>
      <c r="O70" s="19">
        <v>4.0</v>
      </c>
      <c r="P70" s="19">
        <v>5.0</v>
      </c>
      <c r="Q70" s="19">
        <v>1.0</v>
      </c>
      <c r="R70" s="19">
        <v>11.0</v>
      </c>
      <c r="S70" s="19">
        <v>4.0</v>
      </c>
      <c r="T70" s="19">
        <v>4.0</v>
      </c>
      <c r="U70" s="19">
        <v>5.0</v>
      </c>
      <c r="V70" s="19">
        <v>4.0</v>
      </c>
      <c r="W70" s="19">
        <v>9.0</v>
      </c>
      <c r="X70" s="19">
        <v>11.0</v>
      </c>
      <c r="Y70" s="19">
        <v>10.0</v>
      </c>
      <c r="Z70" s="19">
        <v>13.0</v>
      </c>
      <c r="AA70" s="19">
        <v>55.0</v>
      </c>
      <c r="AB70" s="19">
        <v>26.0</v>
      </c>
      <c r="AC70" s="13">
        <f t="shared" si="19"/>
        <v>286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3.0</v>
      </c>
      <c r="G71" s="19">
        <v>4.0</v>
      </c>
      <c r="H71" s="19">
        <v>1.0</v>
      </c>
      <c r="I71" s="19">
        <v>2.0</v>
      </c>
      <c r="J71" s="19">
        <v>2.0</v>
      </c>
      <c r="K71" s="19">
        <v>3.0</v>
      </c>
      <c r="L71" s="19">
        <v>6.0</v>
      </c>
      <c r="M71" s="19">
        <v>1.0</v>
      </c>
      <c r="N71" s="19">
        <v>3.0</v>
      </c>
      <c r="O71" s="19">
        <v>2.0</v>
      </c>
      <c r="P71" s="19">
        <v>1.0</v>
      </c>
      <c r="Q71" s="19">
        <v>2.0</v>
      </c>
      <c r="R71" s="19">
        <v>7.0</v>
      </c>
      <c r="S71" s="19">
        <v>21.0</v>
      </c>
      <c r="T71" s="19">
        <v>5.0</v>
      </c>
      <c r="U71" s="19">
        <v>21.0</v>
      </c>
      <c r="V71" s="19">
        <v>4.0</v>
      </c>
      <c r="W71" s="19">
        <v>2.0</v>
      </c>
      <c r="X71" s="19">
        <v>5.0</v>
      </c>
      <c r="Y71" s="19">
        <v>2.0</v>
      </c>
      <c r="Z71" s="19">
        <v>28.0</v>
      </c>
      <c r="AA71" s="19">
        <v>2.0</v>
      </c>
      <c r="AB71" s="19">
        <v>0.0</v>
      </c>
      <c r="AC71" s="13">
        <f t="shared" si="19"/>
        <v>129</v>
      </c>
    </row>
    <row r="72" ht="12.75" customHeight="1">
      <c r="A72" s="18"/>
      <c r="B72" s="55">
        <v>3.0</v>
      </c>
      <c r="C72" s="50" t="s">
        <v>59</v>
      </c>
      <c r="D72" s="57"/>
      <c r="E72" s="19">
        <v>12.0</v>
      </c>
      <c r="F72" s="19">
        <v>5.0</v>
      </c>
      <c r="G72" s="19">
        <v>1.0</v>
      </c>
      <c r="H72" s="19">
        <v>10.0</v>
      </c>
      <c r="I72" s="19">
        <v>13.0</v>
      </c>
      <c r="J72" s="19">
        <v>0.0</v>
      </c>
      <c r="K72" s="19">
        <v>10.0</v>
      </c>
      <c r="L72" s="19">
        <v>4.0</v>
      </c>
      <c r="M72" s="19">
        <v>12.0</v>
      </c>
      <c r="N72" s="19">
        <v>21.0</v>
      </c>
      <c r="O72" s="19">
        <v>27.0</v>
      </c>
      <c r="P72" s="19">
        <v>3.0</v>
      </c>
      <c r="Q72" s="19">
        <v>11.0</v>
      </c>
      <c r="R72" s="19">
        <v>22.0</v>
      </c>
      <c r="S72" s="19">
        <v>4.0</v>
      </c>
      <c r="T72" s="19">
        <v>15.0</v>
      </c>
      <c r="U72" s="19">
        <v>6.0</v>
      </c>
      <c r="V72" s="19">
        <v>14.0</v>
      </c>
      <c r="W72" s="19">
        <v>17.0</v>
      </c>
      <c r="X72" s="19">
        <v>9.0</v>
      </c>
      <c r="Y72" s="19">
        <v>2.0</v>
      </c>
      <c r="Z72" s="19">
        <v>4.0</v>
      </c>
      <c r="AA72" s="19">
        <v>2.0</v>
      </c>
      <c r="AB72" s="19">
        <v>3.0</v>
      </c>
      <c r="AC72" s="13">
        <f t="shared" si="19"/>
        <v>227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0.0</v>
      </c>
      <c r="U73" s="19">
        <v>1.0</v>
      </c>
      <c r="V73" s="19">
        <v>0.0</v>
      </c>
      <c r="W73" s="19">
        <v>1.0</v>
      </c>
      <c r="X73" s="19">
        <v>1.0</v>
      </c>
      <c r="Y73" s="19">
        <v>0.0</v>
      </c>
      <c r="Z73" s="19">
        <v>0.0</v>
      </c>
      <c r="AA73" s="19">
        <v>0.0</v>
      </c>
      <c r="AB73" s="19">
        <v>0.0</v>
      </c>
      <c r="AC73" s="13">
        <f t="shared" si="19"/>
        <v>7</v>
      </c>
    </row>
    <row r="74" ht="12.75" customHeight="1">
      <c r="A74" s="18"/>
      <c r="B74" s="55">
        <v>5.0</v>
      </c>
      <c r="C74" s="50" t="s">
        <v>61</v>
      </c>
      <c r="D74" s="57"/>
      <c r="E74" s="19">
        <v>8.0</v>
      </c>
      <c r="F74" s="19">
        <v>1.0</v>
      </c>
      <c r="G74" s="19">
        <v>0.0</v>
      </c>
      <c r="H74" s="19">
        <v>0.0</v>
      </c>
      <c r="I74" s="19">
        <v>1.0</v>
      </c>
      <c r="J74" s="19">
        <v>0.0</v>
      </c>
      <c r="K74" s="19">
        <v>11.0</v>
      </c>
      <c r="L74" s="19">
        <v>6.0</v>
      </c>
      <c r="M74" s="19">
        <v>4.0</v>
      </c>
      <c r="N74" s="19">
        <v>3.0</v>
      </c>
      <c r="O74" s="19">
        <v>4.0</v>
      </c>
      <c r="P74" s="19">
        <v>2.0</v>
      </c>
      <c r="Q74" s="19">
        <v>1.0</v>
      </c>
      <c r="R74" s="19">
        <v>1.0</v>
      </c>
      <c r="S74" s="19">
        <v>1.0</v>
      </c>
      <c r="T74" s="19">
        <v>1.0</v>
      </c>
      <c r="U74" s="19">
        <v>0.0</v>
      </c>
      <c r="V74" s="19">
        <v>1.0</v>
      </c>
      <c r="W74" s="19">
        <v>1.0</v>
      </c>
      <c r="X74" s="19">
        <v>2.0</v>
      </c>
      <c r="Y74" s="19">
        <v>1.0</v>
      </c>
      <c r="Z74" s="19">
        <v>0.0</v>
      </c>
      <c r="AA74" s="19">
        <v>2.0</v>
      </c>
      <c r="AB74" s="19">
        <v>0.0</v>
      </c>
      <c r="AC74" s="13">
        <f t="shared" si="19"/>
        <v>51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0.0</v>
      </c>
      <c r="N75" s="19">
        <v>2.0</v>
      </c>
      <c r="O75" s="19">
        <v>2.0</v>
      </c>
      <c r="P75" s="19">
        <v>0.0</v>
      </c>
      <c r="Q75" s="19">
        <v>1.0</v>
      </c>
      <c r="R75" s="19">
        <v>1.0</v>
      </c>
      <c r="S75" s="19">
        <v>1.0</v>
      </c>
      <c r="T75" s="19">
        <v>0.0</v>
      </c>
      <c r="U75" s="19">
        <v>0.0</v>
      </c>
      <c r="V75" s="19">
        <v>2.0</v>
      </c>
      <c r="W75" s="19">
        <v>1.0</v>
      </c>
      <c r="X75" s="19">
        <v>3.0</v>
      </c>
      <c r="Y75" s="19">
        <v>1.0</v>
      </c>
      <c r="Z75" s="19">
        <v>1.0</v>
      </c>
      <c r="AA75" s="19">
        <v>0.0</v>
      </c>
      <c r="AB75" s="19">
        <v>0.0</v>
      </c>
      <c r="AC75" s="13">
        <f t="shared" si="19"/>
        <v>17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2.0</v>
      </c>
      <c r="H76" s="19">
        <v>0.0</v>
      </c>
      <c r="I76" s="19">
        <v>0.0</v>
      </c>
      <c r="J76" s="19">
        <v>1.0</v>
      </c>
      <c r="K76" s="19">
        <v>0.0</v>
      </c>
      <c r="L76" s="19">
        <v>4.0</v>
      </c>
      <c r="M76" s="19">
        <v>3.0</v>
      </c>
      <c r="N76" s="19">
        <v>1.0</v>
      </c>
      <c r="O76" s="19">
        <v>0.0</v>
      </c>
      <c r="P76" s="19">
        <v>0.0</v>
      </c>
      <c r="Q76" s="19">
        <v>2.0</v>
      </c>
      <c r="R76" s="19">
        <v>1.0</v>
      </c>
      <c r="S76" s="19">
        <v>2.0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9">
        <v>1.0</v>
      </c>
      <c r="Z76" s="19">
        <v>0.0</v>
      </c>
      <c r="AA76" s="19">
        <v>0.0</v>
      </c>
      <c r="AB76" s="19">
        <v>0.0</v>
      </c>
      <c r="AC76" s="13">
        <f t="shared" si="19"/>
        <v>18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20">SUM(E69:E76)</f>
        <v>40</v>
      </c>
      <c r="F79" s="13">
        <f t="shared" si="20"/>
        <v>31</v>
      </c>
      <c r="G79" s="13">
        <f t="shared" si="20"/>
        <v>32</v>
      </c>
      <c r="H79" s="13">
        <f t="shared" si="20"/>
        <v>41</v>
      </c>
      <c r="I79" s="13">
        <f t="shared" si="20"/>
        <v>58</v>
      </c>
      <c r="J79" s="13">
        <f t="shared" si="20"/>
        <v>22</v>
      </c>
      <c r="K79" s="13">
        <f t="shared" si="20"/>
        <v>42</v>
      </c>
      <c r="L79" s="13">
        <f t="shared" si="20"/>
        <v>47</v>
      </c>
      <c r="M79" s="13">
        <f t="shared" si="20"/>
        <v>32</v>
      </c>
      <c r="N79" s="13">
        <f t="shared" si="20"/>
        <v>45</v>
      </c>
      <c r="O79" s="13">
        <f t="shared" si="20"/>
        <v>48</v>
      </c>
      <c r="P79" s="13">
        <f t="shared" si="20"/>
        <v>14</v>
      </c>
      <c r="Q79" s="13">
        <f t="shared" si="20"/>
        <v>23</v>
      </c>
      <c r="R79" s="13">
        <f t="shared" si="20"/>
        <v>57</v>
      </c>
      <c r="S79" s="13">
        <f t="shared" si="20"/>
        <v>39</v>
      </c>
      <c r="T79" s="13">
        <f t="shared" si="20"/>
        <v>34</v>
      </c>
      <c r="U79" s="13">
        <f t="shared" si="20"/>
        <v>43</v>
      </c>
      <c r="V79" s="13">
        <f t="shared" si="20"/>
        <v>36</v>
      </c>
      <c r="W79" s="13">
        <f t="shared" si="20"/>
        <v>41</v>
      </c>
      <c r="X79" s="13">
        <f t="shared" si="20"/>
        <v>38</v>
      </c>
      <c r="Y79" s="13">
        <f t="shared" si="20"/>
        <v>32</v>
      </c>
      <c r="Z79" s="13">
        <f t="shared" si="20"/>
        <v>61</v>
      </c>
      <c r="AA79" s="13">
        <f t="shared" si="20"/>
        <v>68</v>
      </c>
      <c r="AB79" s="13">
        <f t="shared" si="20"/>
        <v>34</v>
      </c>
      <c r="AC79" s="13">
        <f>SUM(E79:AB79)</f>
        <v>958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7.0</v>
      </c>
      <c r="G81" s="19">
        <v>3.0</v>
      </c>
      <c r="H81" s="19">
        <v>8.0</v>
      </c>
      <c r="I81" s="19">
        <v>9.0</v>
      </c>
      <c r="J81" s="19">
        <v>5.0</v>
      </c>
      <c r="K81" s="19">
        <v>2.0</v>
      </c>
      <c r="L81" s="19">
        <v>10.0</v>
      </c>
      <c r="M81" s="19">
        <v>6.0</v>
      </c>
      <c r="N81" s="19">
        <v>4.0</v>
      </c>
      <c r="O81" s="19">
        <v>4.0</v>
      </c>
      <c r="P81" s="19">
        <v>1.0</v>
      </c>
      <c r="Q81" s="19">
        <v>3.0</v>
      </c>
      <c r="R81" s="19">
        <v>6.0</v>
      </c>
      <c r="S81" s="19">
        <v>5.0</v>
      </c>
      <c r="T81" s="19">
        <v>10.0</v>
      </c>
      <c r="U81" s="19">
        <v>7.0</v>
      </c>
      <c r="V81" s="19">
        <v>4.0</v>
      </c>
      <c r="W81" s="19">
        <v>1.0</v>
      </c>
      <c r="X81" s="19">
        <v>3.0</v>
      </c>
      <c r="Y81" s="19">
        <v>4.0</v>
      </c>
      <c r="Z81" s="19">
        <v>3.0</v>
      </c>
      <c r="AA81" s="19">
        <v>3.0</v>
      </c>
      <c r="AB81" s="19">
        <v>4.0</v>
      </c>
      <c r="AC81" s="13">
        <f t="shared" ref="AC81:AC88" si="21">SUM(E81:AB81)</f>
        <v>116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27.0</v>
      </c>
      <c r="F82" s="19">
        <v>17.0</v>
      </c>
      <c r="G82" s="19">
        <v>18.0</v>
      </c>
      <c r="H82" s="19">
        <v>35.0</v>
      </c>
      <c r="I82" s="19">
        <v>21.0</v>
      </c>
      <c r="J82" s="19">
        <v>29.0</v>
      </c>
      <c r="K82" s="19">
        <v>41.0</v>
      </c>
      <c r="L82" s="19">
        <v>41.0</v>
      </c>
      <c r="M82" s="19">
        <v>47.0</v>
      </c>
      <c r="N82" s="19">
        <v>27.0</v>
      </c>
      <c r="O82" s="19">
        <v>14.0</v>
      </c>
      <c r="P82" s="19">
        <v>9.0</v>
      </c>
      <c r="Q82" s="19">
        <v>18.0</v>
      </c>
      <c r="R82" s="19">
        <v>7.0</v>
      </c>
      <c r="S82" s="19">
        <v>41.0</v>
      </c>
      <c r="T82" s="19">
        <v>59.0</v>
      </c>
      <c r="U82" s="19">
        <v>22.0</v>
      </c>
      <c r="V82" s="19">
        <v>32.0</v>
      </c>
      <c r="W82" s="19">
        <v>9.0</v>
      </c>
      <c r="X82" s="19">
        <v>12.0</v>
      </c>
      <c r="Y82" s="19">
        <v>22.0</v>
      </c>
      <c r="Z82" s="19">
        <v>27.0</v>
      </c>
      <c r="AA82" s="19">
        <v>6.0</v>
      </c>
      <c r="AB82" s="19">
        <v>13.0</v>
      </c>
      <c r="AC82" s="13">
        <f t="shared" si="21"/>
        <v>594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4.0</v>
      </c>
      <c r="G83" s="19">
        <v>4.0</v>
      </c>
      <c r="H83" s="19">
        <v>4.0</v>
      </c>
      <c r="I83" s="19">
        <v>3.0</v>
      </c>
      <c r="J83" s="19">
        <v>2.0</v>
      </c>
      <c r="K83" s="19">
        <v>3.0</v>
      </c>
      <c r="L83" s="19">
        <v>3.0</v>
      </c>
      <c r="M83" s="19">
        <v>5.0</v>
      </c>
      <c r="N83" s="19">
        <v>1.0</v>
      </c>
      <c r="O83" s="19">
        <v>4.0</v>
      </c>
      <c r="P83" s="19">
        <v>1.0</v>
      </c>
      <c r="Q83" s="19">
        <v>3.0</v>
      </c>
      <c r="R83" s="19">
        <v>1.0</v>
      </c>
      <c r="S83" s="19">
        <v>2.0</v>
      </c>
      <c r="T83" s="19">
        <v>0.0</v>
      </c>
      <c r="U83" s="19">
        <v>2.0</v>
      </c>
      <c r="V83" s="19">
        <v>1.0</v>
      </c>
      <c r="W83" s="19">
        <v>0.0</v>
      </c>
      <c r="X83" s="19">
        <v>2.0</v>
      </c>
      <c r="Y83" s="19">
        <v>2.0</v>
      </c>
      <c r="Z83" s="19">
        <v>2.0</v>
      </c>
      <c r="AA83" s="19">
        <v>3.0</v>
      </c>
      <c r="AB83" s="19">
        <v>0.0</v>
      </c>
      <c r="AC83" s="13">
        <f t="shared" si="21"/>
        <v>53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1.0</v>
      </c>
      <c r="L84" s="19">
        <v>3.0</v>
      </c>
      <c r="M84" s="19">
        <v>4.0</v>
      </c>
      <c r="N84" s="19">
        <v>2.0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1.0</v>
      </c>
      <c r="U84" s="19">
        <v>0.0</v>
      </c>
      <c r="V84" s="19">
        <v>1.0</v>
      </c>
      <c r="W84" s="19">
        <v>0.0</v>
      </c>
      <c r="X84" s="19">
        <v>1.0</v>
      </c>
      <c r="Y84" s="19">
        <v>1.0</v>
      </c>
      <c r="Z84" s="19">
        <v>0.0</v>
      </c>
      <c r="AA84" s="19">
        <v>1.0</v>
      </c>
      <c r="AB84" s="19">
        <v>0.0</v>
      </c>
      <c r="AC84" s="13">
        <f t="shared" si="21"/>
        <v>17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2.0</v>
      </c>
      <c r="J85" s="19">
        <v>0.0</v>
      </c>
      <c r="K85" s="19">
        <v>0.0</v>
      </c>
      <c r="L85" s="19">
        <v>0.0</v>
      </c>
      <c r="M85" s="19">
        <v>3.0</v>
      </c>
      <c r="N85" s="19">
        <v>0.0</v>
      </c>
      <c r="O85" s="19">
        <v>0.0</v>
      </c>
      <c r="P85" s="19">
        <v>1.0</v>
      </c>
      <c r="Q85" s="19">
        <v>0.0</v>
      </c>
      <c r="R85" s="19">
        <v>1.0</v>
      </c>
      <c r="S85" s="19">
        <v>1.0</v>
      </c>
      <c r="T85" s="19">
        <v>0.0</v>
      </c>
      <c r="U85" s="19">
        <v>0.0</v>
      </c>
      <c r="V85" s="19">
        <v>1.0</v>
      </c>
      <c r="W85" s="19">
        <v>0.0</v>
      </c>
      <c r="X85" s="19">
        <v>0.0</v>
      </c>
      <c r="Y85" s="19">
        <v>1.0</v>
      </c>
      <c r="Z85" s="19">
        <v>0.0</v>
      </c>
      <c r="AA85" s="19">
        <v>1.0</v>
      </c>
      <c r="AB85" s="19">
        <v>1.0</v>
      </c>
      <c r="AC85" s="13">
        <f t="shared" si="21"/>
        <v>12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1.0</v>
      </c>
      <c r="K86" s="19">
        <v>0.0</v>
      </c>
      <c r="L86" s="19">
        <v>1.0</v>
      </c>
      <c r="M86" s="19">
        <v>1.0</v>
      </c>
      <c r="N86" s="19">
        <v>0.0</v>
      </c>
      <c r="O86" s="19">
        <v>1.0</v>
      </c>
      <c r="P86" s="19">
        <v>0.0</v>
      </c>
      <c r="Q86" s="19">
        <v>2.0</v>
      </c>
      <c r="R86" s="19">
        <v>42.0</v>
      </c>
      <c r="S86" s="19">
        <v>1.0</v>
      </c>
      <c r="T86" s="19">
        <v>0.0</v>
      </c>
      <c r="U86" s="19">
        <v>0.0</v>
      </c>
      <c r="V86" s="19">
        <v>0.0</v>
      </c>
      <c r="W86" s="19">
        <v>0.0</v>
      </c>
      <c r="X86" s="19">
        <v>1.0</v>
      </c>
      <c r="Y86" s="19">
        <v>2.0</v>
      </c>
      <c r="Z86" s="19">
        <v>0.0</v>
      </c>
      <c r="AA86" s="19">
        <v>0.0</v>
      </c>
      <c r="AB86" s="19">
        <v>0.0</v>
      </c>
      <c r="AC86" s="13">
        <f t="shared" si="21"/>
        <v>53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3">
        <f t="shared" si="21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1.0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1"/>
        <v>5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2">SUM(E81:E88)</f>
        <v>34</v>
      </c>
      <c r="F91" s="13">
        <f t="shared" si="22"/>
        <v>28</v>
      </c>
      <c r="G91" s="13">
        <f t="shared" si="22"/>
        <v>26</v>
      </c>
      <c r="H91" s="13">
        <f t="shared" si="22"/>
        <v>48</v>
      </c>
      <c r="I91" s="13">
        <f t="shared" si="22"/>
        <v>36</v>
      </c>
      <c r="J91" s="13">
        <f t="shared" si="22"/>
        <v>37</v>
      </c>
      <c r="K91" s="13">
        <f t="shared" si="22"/>
        <v>47</v>
      </c>
      <c r="L91" s="13">
        <f t="shared" si="22"/>
        <v>58</v>
      </c>
      <c r="M91" s="13">
        <f t="shared" si="22"/>
        <v>66</v>
      </c>
      <c r="N91" s="13">
        <f t="shared" si="22"/>
        <v>35</v>
      </c>
      <c r="O91" s="13">
        <f t="shared" si="22"/>
        <v>23</v>
      </c>
      <c r="P91" s="13">
        <f t="shared" si="22"/>
        <v>13</v>
      </c>
      <c r="Q91" s="13">
        <f t="shared" si="22"/>
        <v>27</v>
      </c>
      <c r="R91" s="13">
        <f t="shared" si="22"/>
        <v>58</v>
      </c>
      <c r="S91" s="13">
        <f t="shared" si="22"/>
        <v>50</v>
      </c>
      <c r="T91" s="13">
        <f t="shared" si="22"/>
        <v>70</v>
      </c>
      <c r="U91" s="13">
        <f t="shared" si="22"/>
        <v>31</v>
      </c>
      <c r="V91" s="13">
        <f t="shared" si="22"/>
        <v>39</v>
      </c>
      <c r="W91" s="13">
        <f t="shared" si="22"/>
        <v>11</v>
      </c>
      <c r="X91" s="13">
        <f t="shared" si="22"/>
        <v>20</v>
      </c>
      <c r="Y91" s="13">
        <f t="shared" si="22"/>
        <v>32</v>
      </c>
      <c r="Z91" s="13">
        <f t="shared" si="22"/>
        <v>33</v>
      </c>
      <c r="AA91" s="13">
        <f t="shared" si="22"/>
        <v>14</v>
      </c>
      <c r="AB91" s="13">
        <f t="shared" si="22"/>
        <v>18</v>
      </c>
      <c r="AC91" s="13">
        <f>SUM(E91:AB91)</f>
        <v>854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2.0</v>
      </c>
      <c r="L93" s="19">
        <v>0.0</v>
      </c>
      <c r="M93" s="19">
        <v>1.0</v>
      </c>
      <c r="N93" s="19">
        <v>2.0</v>
      </c>
      <c r="O93" s="19">
        <v>0.0</v>
      </c>
      <c r="P93" s="19">
        <v>3.0</v>
      </c>
      <c r="Q93" s="19">
        <v>0.0</v>
      </c>
      <c r="R93" s="19">
        <v>0.0</v>
      </c>
      <c r="S93" s="19">
        <v>3.0</v>
      </c>
      <c r="T93" s="19">
        <v>1.0</v>
      </c>
      <c r="U93" s="19">
        <v>0.0</v>
      </c>
      <c r="V93" s="19">
        <v>3.0</v>
      </c>
      <c r="W93" s="19">
        <v>1.0</v>
      </c>
      <c r="X93" s="19">
        <v>0.0</v>
      </c>
      <c r="Y93" s="19">
        <v>1.0</v>
      </c>
      <c r="Z93" s="19">
        <v>0.0</v>
      </c>
      <c r="AA93" s="19">
        <v>0.0</v>
      </c>
      <c r="AB93" s="19">
        <v>0.0</v>
      </c>
      <c r="AC93" s="13">
        <f t="shared" ref="AC93:AC100" si="23">SUM(E93:AB93)</f>
        <v>18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1.0</v>
      </c>
      <c r="I94" s="19">
        <v>1.0</v>
      </c>
      <c r="J94" s="19">
        <v>0.0</v>
      </c>
      <c r="K94" s="19">
        <v>1.0</v>
      </c>
      <c r="L94" s="19">
        <v>0.0</v>
      </c>
      <c r="M94" s="19">
        <v>0.0</v>
      </c>
      <c r="N94" s="19">
        <v>1.0</v>
      </c>
      <c r="O94" s="19">
        <v>0.0</v>
      </c>
      <c r="P94" s="19">
        <v>0.0</v>
      </c>
      <c r="Q94" s="19">
        <v>0.0</v>
      </c>
      <c r="R94" s="19">
        <v>3.0</v>
      </c>
      <c r="S94" s="19">
        <v>4.0</v>
      </c>
      <c r="T94" s="19">
        <v>3.0</v>
      </c>
      <c r="U94" s="19">
        <v>0.0</v>
      </c>
      <c r="V94" s="19">
        <v>1.0</v>
      </c>
      <c r="W94" s="19">
        <v>0.0</v>
      </c>
      <c r="X94" s="19">
        <v>4.0</v>
      </c>
      <c r="Y94" s="19">
        <v>1.0</v>
      </c>
      <c r="Z94" s="19">
        <v>1.0</v>
      </c>
      <c r="AA94" s="19">
        <v>0.0</v>
      </c>
      <c r="AB94" s="19">
        <v>0.0</v>
      </c>
      <c r="AC94" s="13">
        <f t="shared" si="23"/>
        <v>21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3.0</v>
      </c>
      <c r="S95" s="19">
        <v>0.0</v>
      </c>
      <c r="T95" s="19">
        <v>1.0</v>
      </c>
      <c r="U95" s="19">
        <v>2.0</v>
      </c>
      <c r="V95" s="19">
        <v>3.0</v>
      </c>
      <c r="W95" s="19">
        <v>12.0</v>
      </c>
      <c r="X95" s="19">
        <v>14.0</v>
      </c>
      <c r="Y95" s="19">
        <v>3.0</v>
      </c>
      <c r="Z95" s="19">
        <v>0.0</v>
      </c>
      <c r="AA95" s="19">
        <v>0.0</v>
      </c>
      <c r="AB95" s="19">
        <v>0.0</v>
      </c>
      <c r="AC95" s="13">
        <f t="shared" si="23"/>
        <v>39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1.0</v>
      </c>
      <c r="AA96" s="19">
        <v>0.0</v>
      </c>
      <c r="AB96" s="19">
        <v>0.0</v>
      </c>
      <c r="AC96" s="13">
        <f t="shared" si="23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1.0</v>
      </c>
      <c r="M97" s="19">
        <v>1.0</v>
      </c>
      <c r="N97" s="19">
        <v>0.0</v>
      </c>
      <c r="O97" s="19">
        <v>0.0</v>
      </c>
      <c r="P97" s="19">
        <v>1.0</v>
      </c>
      <c r="Q97" s="19">
        <v>0.0</v>
      </c>
      <c r="R97" s="19">
        <v>1.0</v>
      </c>
      <c r="S97" s="19">
        <v>0.0</v>
      </c>
      <c r="T97" s="19">
        <v>1.0</v>
      </c>
      <c r="U97" s="19">
        <v>1.0</v>
      </c>
      <c r="V97" s="19">
        <v>1.0</v>
      </c>
      <c r="W97" s="19">
        <v>5.0</v>
      </c>
      <c r="X97" s="19">
        <v>16.0</v>
      </c>
      <c r="Y97" s="19">
        <v>3.0</v>
      </c>
      <c r="Z97" s="19">
        <v>1.0</v>
      </c>
      <c r="AA97" s="19">
        <v>2.0</v>
      </c>
      <c r="AB97" s="19">
        <v>0.0</v>
      </c>
      <c r="AC97" s="13">
        <f t="shared" si="23"/>
        <v>35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3">
        <f t="shared" si="23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3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3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4">SUM(E93:E100)</f>
        <v>1</v>
      </c>
      <c r="F103" s="13">
        <f t="shared" si="24"/>
        <v>0</v>
      </c>
      <c r="G103" s="13">
        <f t="shared" si="24"/>
        <v>0</v>
      </c>
      <c r="H103" s="13">
        <f t="shared" si="24"/>
        <v>1</v>
      </c>
      <c r="I103" s="13">
        <f t="shared" si="24"/>
        <v>1</v>
      </c>
      <c r="J103" s="13">
        <f t="shared" si="24"/>
        <v>2</v>
      </c>
      <c r="K103" s="13">
        <f t="shared" si="24"/>
        <v>5</v>
      </c>
      <c r="L103" s="13">
        <f t="shared" si="24"/>
        <v>2</v>
      </c>
      <c r="M103" s="13">
        <f t="shared" si="24"/>
        <v>2</v>
      </c>
      <c r="N103" s="13">
        <f t="shared" si="24"/>
        <v>3</v>
      </c>
      <c r="O103" s="13">
        <f t="shared" si="24"/>
        <v>0</v>
      </c>
      <c r="P103" s="13">
        <f t="shared" si="24"/>
        <v>4</v>
      </c>
      <c r="Q103" s="13">
        <f t="shared" si="24"/>
        <v>0</v>
      </c>
      <c r="R103" s="13">
        <f t="shared" si="24"/>
        <v>8</v>
      </c>
      <c r="S103" s="13">
        <f t="shared" si="24"/>
        <v>7</v>
      </c>
      <c r="T103" s="13">
        <f t="shared" si="24"/>
        <v>7</v>
      </c>
      <c r="U103" s="13">
        <f t="shared" si="24"/>
        <v>3</v>
      </c>
      <c r="V103" s="13">
        <f t="shared" si="24"/>
        <v>8</v>
      </c>
      <c r="W103" s="13">
        <f t="shared" si="24"/>
        <v>18</v>
      </c>
      <c r="X103" s="13">
        <f t="shared" si="24"/>
        <v>34</v>
      </c>
      <c r="Y103" s="13">
        <f t="shared" si="24"/>
        <v>9</v>
      </c>
      <c r="Z103" s="13">
        <f t="shared" si="24"/>
        <v>3</v>
      </c>
      <c r="AA103" s="13">
        <f t="shared" si="24"/>
        <v>2</v>
      </c>
      <c r="AB103" s="13">
        <f t="shared" si="24"/>
        <v>0</v>
      </c>
      <c r="AC103" s="13">
        <f>SUM(E103:AB103)</f>
        <v>120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1.0</v>
      </c>
      <c r="I105" s="19">
        <v>3.0</v>
      </c>
      <c r="J105" s="19">
        <v>2.0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1.0</v>
      </c>
      <c r="S105" s="19">
        <v>1.0</v>
      </c>
      <c r="T105" s="19">
        <v>0.0</v>
      </c>
      <c r="U105" s="19">
        <v>0.0</v>
      </c>
      <c r="V105" s="19">
        <v>0.0</v>
      </c>
      <c r="W105" s="19">
        <v>2.0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2.0</v>
      </c>
      <c r="AC105" s="13">
        <f t="shared" ref="AC105:AC112" si="25">SUM(E105:AB105)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3">
        <f t="shared" si="25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25"/>
        <v>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3">
        <f t="shared" si="25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3">
        <f t="shared" si="25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5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1.0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5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5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6">SUM(E105:E112)</f>
        <v>1</v>
      </c>
      <c r="F115" s="13">
        <f t="shared" si="26"/>
        <v>1</v>
      </c>
      <c r="G115" s="13">
        <f t="shared" si="26"/>
        <v>2</v>
      </c>
      <c r="H115" s="13">
        <f t="shared" si="26"/>
        <v>1</v>
      </c>
      <c r="I115" s="13">
        <f t="shared" si="26"/>
        <v>4</v>
      </c>
      <c r="J115" s="13">
        <f t="shared" si="26"/>
        <v>2</v>
      </c>
      <c r="K115" s="13">
        <f t="shared" si="26"/>
        <v>0</v>
      </c>
      <c r="L115" s="13">
        <f t="shared" si="26"/>
        <v>0</v>
      </c>
      <c r="M115" s="13">
        <f t="shared" si="26"/>
        <v>1</v>
      </c>
      <c r="N115" s="13">
        <f t="shared" si="26"/>
        <v>0</v>
      </c>
      <c r="O115" s="13">
        <f t="shared" si="26"/>
        <v>0</v>
      </c>
      <c r="P115" s="13">
        <f t="shared" si="26"/>
        <v>1</v>
      </c>
      <c r="Q115" s="13">
        <f t="shared" si="26"/>
        <v>0</v>
      </c>
      <c r="R115" s="13">
        <f t="shared" si="26"/>
        <v>1</v>
      </c>
      <c r="S115" s="13">
        <f t="shared" si="26"/>
        <v>1</v>
      </c>
      <c r="T115" s="13">
        <f t="shared" si="26"/>
        <v>1</v>
      </c>
      <c r="U115" s="13">
        <f t="shared" si="26"/>
        <v>1</v>
      </c>
      <c r="V115" s="13">
        <f t="shared" si="26"/>
        <v>0</v>
      </c>
      <c r="W115" s="13">
        <f t="shared" si="26"/>
        <v>3</v>
      </c>
      <c r="X115" s="13">
        <f t="shared" si="26"/>
        <v>0</v>
      </c>
      <c r="Y115" s="13">
        <f t="shared" si="26"/>
        <v>0</v>
      </c>
      <c r="Z115" s="13">
        <f t="shared" si="26"/>
        <v>1</v>
      </c>
      <c r="AA115" s="13">
        <f t="shared" si="26"/>
        <v>0</v>
      </c>
      <c r="AB115" s="13">
        <f t="shared" si="26"/>
        <v>3</v>
      </c>
      <c r="AC115" s="13">
        <f>SUM(E115:AB115)</f>
        <v>24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1.0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1.0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0.0</v>
      </c>
      <c r="Y117" s="19">
        <v>1.0</v>
      </c>
      <c r="Z117" s="19">
        <v>3.0</v>
      </c>
      <c r="AA117" s="19">
        <v>2.0</v>
      </c>
      <c r="AB117" s="19">
        <v>0.0</v>
      </c>
      <c r="AC117" s="13">
        <f t="shared" ref="AC117:AC120" si="27">SUM(E117:AB117)</f>
        <v>13</v>
      </c>
      <c r="AD117" s="5"/>
      <c r="AE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1.0</v>
      </c>
      <c r="K118" s="19">
        <v>1.0</v>
      </c>
      <c r="L118" s="19">
        <v>1.0</v>
      </c>
      <c r="M118" s="19">
        <v>0.0</v>
      </c>
      <c r="N118" s="19">
        <v>1.0</v>
      </c>
      <c r="O118" s="19">
        <v>1.0</v>
      </c>
      <c r="P118" s="19">
        <v>1.0</v>
      </c>
      <c r="Q118" s="19">
        <v>1.0</v>
      </c>
      <c r="R118" s="19">
        <v>0.0</v>
      </c>
      <c r="S118" s="19">
        <v>2.0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9">
        <v>0.0</v>
      </c>
      <c r="AB118" s="19">
        <v>0.0</v>
      </c>
      <c r="AC118" s="13">
        <f t="shared" si="27"/>
        <v>11</v>
      </c>
      <c r="AD118" s="5"/>
      <c r="AE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27"/>
        <v>1</v>
      </c>
      <c r="AD119" s="5"/>
      <c r="AE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9">
        <v>0.0</v>
      </c>
      <c r="AC120" s="13">
        <f t="shared" si="27"/>
        <v>2</v>
      </c>
      <c r="AD120" s="5"/>
      <c r="AE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74"/>
      <c r="AD121" s="5"/>
      <c r="AE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74"/>
      <c r="AD122" s="5"/>
      <c r="AE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74"/>
      <c r="AD123" s="5"/>
      <c r="AE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74"/>
      <c r="AD124" s="5"/>
      <c r="AE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74"/>
      <c r="AD125" s="5"/>
      <c r="AE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74"/>
      <c r="AD126" s="5"/>
      <c r="AE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B127" si="28">SUM(E117:E120)</f>
        <v>2</v>
      </c>
      <c r="F127" s="58">
        <f t="shared" si="28"/>
        <v>1</v>
      </c>
      <c r="G127" s="58">
        <f t="shared" si="28"/>
        <v>0</v>
      </c>
      <c r="H127" s="58">
        <f t="shared" si="28"/>
        <v>1</v>
      </c>
      <c r="I127" s="58">
        <f t="shared" si="28"/>
        <v>1</v>
      </c>
      <c r="J127" s="58">
        <f t="shared" si="28"/>
        <v>1</v>
      </c>
      <c r="K127" s="58">
        <f t="shared" si="28"/>
        <v>1</v>
      </c>
      <c r="L127" s="58">
        <f t="shared" si="28"/>
        <v>1</v>
      </c>
      <c r="M127" s="58">
        <f t="shared" si="28"/>
        <v>1</v>
      </c>
      <c r="N127" s="58">
        <f t="shared" si="28"/>
        <v>3</v>
      </c>
      <c r="O127" s="58">
        <f t="shared" si="28"/>
        <v>1</v>
      </c>
      <c r="P127" s="58">
        <f t="shared" si="28"/>
        <v>1</v>
      </c>
      <c r="Q127" s="58">
        <f t="shared" si="28"/>
        <v>1</v>
      </c>
      <c r="R127" s="58">
        <f t="shared" si="28"/>
        <v>0</v>
      </c>
      <c r="S127" s="58">
        <f t="shared" si="28"/>
        <v>2</v>
      </c>
      <c r="T127" s="58">
        <f t="shared" si="28"/>
        <v>0</v>
      </c>
      <c r="U127" s="58">
        <f t="shared" si="28"/>
        <v>1</v>
      </c>
      <c r="V127" s="58">
        <f t="shared" si="28"/>
        <v>1</v>
      </c>
      <c r="W127" s="58">
        <f t="shared" si="28"/>
        <v>0</v>
      </c>
      <c r="X127" s="58">
        <f t="shared" si="28"/>
        <v>0</v>
      </c>
      <c r="Y127" s="58">
        <f t="shared" si="28"/>
        <v>2</v>
      </c>
      <c r="Z127" s="58">
        <f t="shared" si="28"/>
        <v>4</v>
      </c>
      <c r="AA127" s="58">
        <f t="shared" si="28"/>
        <v>2</v>
      </c>
      <c r="AB127" s="58">
        <f t="shared" si="28"/>
        <v>0</v>
      </c>
      <c r="AC127" s="13">
        <f>SUM(E127:AB127)</f>
        <v>27</v>
      </c>
      <c r="AD127" s="5"/>
      <c r="AE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5"/>
      <c r="AE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2.0</v>
      </c>
      <c r="H129" s="19">
        <v>2.0</v>
      </c>
      <c r="I129" s="19">
        <v>0.0</v>
      </c>
      <c r="J129" s="19">
        <v>1.0</v>
      </c>
      <c r="K129" s="19">
        <v>1.0</v>
      </c>
      <c r="L129" s="19">
        <v>0.0</v>
      </c>
      <c r="M129" s="19">
        <v>0.0</v>
      </c>
      <c r="N129" s="19">
        <v>2.0</v>
      </c>
      <c r="O129" s="19">
        <v>0.0</v>
      </c>
      <c r="P129" s="19">
        <v>3.0</v>
      </c>
      <c r="Q129" s="19">
        <v>1.0</v>
      </c>
      <c r="R129" s="19">
        <v>0.0</v>
      </c>
      <c r="S129" s="19">
        <v>0.0</v>
      </c>
      <c r="T129" s="19">
        <v>1.0</v>
      </c>
      <c r="U129" s="19">
        <v>1.0</v>
      </c>
      <c r="V129" s="19">
        <v>2.0</v>
      </c>
      <c r="W129" s="19">
        <v>0.0</v>
      </c>
      <c r="X129" s="19">
        <v>0.0</v>
      </c>
      <c r="Y129" s="19">
        <v>0.0</v>
      </c>
      <c r="Z129" s="19">
        <v>1.0</v>
      </c>
      <c r="AA129" s="19">
        <v>0.0</v>
      </c>
      <c r="AB129" s="19">
        <v>1.0</v>
      </c>
      <c r="AC129" s="13">
        <f t="shared" ref="AC129:AC136" si="29">SUM(E129:AB129)</f>
        <v>18</v>
      </c>
      <c r="AD129" s="5"/>
      <c r="AE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2.0</v>
      </c>
      <c r="K130" s="19">
        <v>0.0</v>
      </c>
      <c r="L130" s="19">
        <v>0.0</v>
      </c>
      <c r="M130" s="19">
        <v>1.0</v>
      </c>
      <c r="N130" s="19">
        <v>0.0</v>
      </c>
      <c r="O130" s="19">
        <v>5.0</v>
      </c>
      <c r="P130" s="19">
        <v>3.0</v>
      </c>
      <c r="Q130" s="19">
        <v>1.0</v>
      </c>
      <c r="R130" s="19">
        <v>0.0</v>
      </c>
      <c r="S130" s="19">
        <v>3.0</v>
      </c>
      <c r="T130" s="19">
        <v>1.0</v>
      </c>
      <c r="U130" s="19">
        <v>1.0</v>
      </c>
      <c r="V130" s="19">
        <v>3.0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1.0</v>
      </c>
      <c r="AB130" s="19">
        <v>0.0</v>
      </c>
      <c r="AC130" s="13">
        <f t="shared" si="29"/>
        <v>22</v>
      </c>
      <c r="AD130" s="1"/>
      <c r="AE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1.0</v>
      </c>
      <c r="L131" s="19">
        <v>2.0</v>
      </c>
      <c r="M131" s="19">
        <v>0.0</v>
      </c>
      <c r="N131" s="19">
        <v>0.0</v>
      </c>
      <c r="O131" s="19">
        <v>2.0</v>
      </c>
      <c r="P131" s="19">
        <v>0.0</v>
      </c>
      <c r="Q131" s="19">
        <v>0.0</v>
      </c>
      <c r="R131" s="19">
        <v>0.0</v>
      </c>
      <c r="S131" s="19">
        <v>1.0</v>
      </c>
      <c r="T131" s="19">
        <v>1.0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1.0</v>
      </c>
      <c r="AA131" s="19">
        <v>0.0</v>
      </c>
      <c r="AB131" s="19">
        <v>0.0</v>
      </c>
      <c r="AC131" s="13">
        <f t="shared" si="29"/>
        <v>10</v>
      </c>
      <c r="AD131" s="52"/>
      <c r="AE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0.0</v>
      </c>
      <c r="AC132" s="13">
        <f t="shared" si="29"/>
        <v>1</v>
      </c>
      <c r="AD132" s="5"/>
      <c r="AE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9"/>
        <v>1</v>
      </c>
      <c r="AD133" s="5"/>
      <c r="AE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9"/>
        <v>0</v>
      </c>
      <c r="AD134" s="5"/>
      <c r="AE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9"/>
        <v>0</v>
      </c>
      <c r="AD135" s="5"/>
      <c r="AE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1.0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9"/>
        <v>1</v>
      </c>
      <c r="AD136" s="5"/>
      <c r="AE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74"/>
      <c r="AD137" s="5"/>
      <c r="AE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74"/>
      <c r="AD138" s="5"/>
      <c r="AE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30">SUM(E129:E136)</f>
        <v>0</v>
      </c>
      <c r="F139" s="13">
        <f t="shared" si="30"/>
        <v>0</v>
      </c>
      <c r="G139" s="13">
        <f t="shared" si="30"/>
        <v>3</v>
      </c>
      <c r="H139" s="13">
        <f t="shared" si="30"/>
        <v>2</v>
      </c>
      <c r="I139" s="13">
        <f t="shared" si="30"/>
        <v>0</v>
      </c>
      <c r="J139" s="13">
        <f t="shared" si="30"/>
        <v>3</v>
      </c>
      <c r="K139" s="13">
        <f t="shared" si="30"/>
        <v>2</v>
      </c>
      <c r="L139" s="13">
        <f t="shared" si="30"/>
        <v>2</v>
      </c>
      <c r="M139" s="13">
        <f t="shared" si="30"/>
        <v>1</v>
      </c>
      <c r="N139" s="13">
        <f t="shared" si="30"/>
        <v>2</v>
      </c>
      <c r="O139" s="13">
        <f t="shared" si="30"/>
        <v>7</v>
      </c>
      <c r="P139" s="13">
        <f t="shared" si="30"/>
        <v>6</v>
      </c>
      <c r="Q139" s="13">
        <f t="shared" si="30"/>
        <v>3</v>
      </c>
      <c r="R139" s="13">
        <f t="shared" si="30"/>
        <v>0</v>
      </c>
      <c r="S139" s="13">
        <f t="shared" si="30"/>
        <v>4</v>
      </c>
      <c r="T139" s="13">
        <f t="shared" si="30"/>
        <v>3</v>
      </c>
      <c r="U139" s="13">
        <f t="shared" si="30"/>
        <v>3</v>
      </c>
      <c r="V139" s="13">
        <f t="shared" si="30"/>
        <v>5</v>
      </c>
      <c r="W139" s="13">
        <f t="shared" si="30"/>
        <v>1</v>
      </c>
      <c r="X139" s="13">
        <f t="shared" si="30"/>
        <v>0</v>
      </c>
      <c r="Y139" s="13">
        <f t="shared" si="30"/>
        <v>0</v>
      </c>
      <c r="Z139" s="13">
        <f t="shared" si="30"/>
        <v>4</v>
      </c>
      <c r="AA139" s="13">
        <f t="shared" si="30"/>
        <v>1</v>
      </c>
      <c r="AB139" s="13">
        <f t="shared" si="30"/>
        <v>1</v>
      </c>
      <c r="AC139" s="13">
        <f>SUM(E139:AB139)</f>
        <v>53</v>
      </c>
      <c r="AD139" s="5"/>
      <c r="AE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5"/>
      <c r="AE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ref="AC141:AC148" si="31">SUM(E141:AB141)</f>
        <v>2</v>
      </c>
      <c r="AD141" s="1"/>
      <c r="AE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1"/>
        <v>0</v>
      </c>
      <c r="AD142" s="52"/>
      <c r="AE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1"/>
        <v>0</v>
      </c>
      <c r="AD143" s="5"/>
      <c r="AE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1.0</v>
      </c>
      <c r="AC144" s="13">
        <f t="shared" si="31"/>
        <v>1</v>
      </c>
      <c r="AD144" s="5"/>
      <c r="AE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1"/>
        <v>0</v>
      </c>
      <c r="AD145" s="5"/>
      <c r="AE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1"/>
        <v>0</v>
      </c>
      <c r="AD146" s="5"/>
      <c r="AE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1"/>
        <v>0</v>
      </c>
      <c r="AD147" s="5"/>
      <c r="AE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1"/>
        <v>0</v>
      </c>
      <c r="AD148" s="5"/>
      <c r="AE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74"/>
      <c r="AD149" s="5"/>
      <c r="AE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74"/>
      <c r="AD150" s="5"/>
      <c r="AE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B151" si="32">SUM(E141:E148)</f>
        <v>1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0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0</v>
      </c>
      <c r="S151" s="13">
        <f t="shared" si="32"/>
        <v>0</v>
      </c>
      <c r="T151" s="13">
        <f t="shared" si="32"/>
        <v>1</v>
      </c>
      <c r="U151" s="13">
        <f t="shared" si="32"/>
        <v>0</v>
      </c>
      <c r="V151" s="13">
        <f t="shared" si="32"/>
        <v>0</v>
      </c>
      <c r="W151" s="13">
        <f t="shared" si="32"/>
        <v>0</v>
      </c>
      <c r="X151" s="13">
        <f t="shared" si="32"/>
        <v>0</v>
      </c>
      <c r="Y151" s="13">
        <f t="shared" si="32"/>
        <v>0</v>
      </c>
      <c r="Z151" s="13">
        <f t="shared" si="32"/>
        <v>0</v>
      </c>
      <c r="AA151" s="13">
        <f t="shared" si="32"/>
        <v>0</v>
      </c>
      <c r="AB151" s="13">
        <f t="shared" si="32"/>
        <v>1</v>
      </c>
      <c r="AC151" s="13">
        <f>SUM(E151:AB151)</f>
        <v>3</v>
      </c>
      <c r="AD151" s="1"/>
      <c r="AE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13"/>
      <c r="AD152" s="52"/>
      <c r="AE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3">
        <f t="shared" ref="AC153:AC156" si="33">SUM(E154:AB154)</f>
        <v>2</v>
      </c>
      <c r="AD153" s="5"/>
      <c r="AE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3">
        <f t="shared" si="33"/>
        <v>2</v>
      </c>
      <c r="AD154" s="5"/>
      <c r="AE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9">
        <v>0.0</v>
      </c>
      <c r="AC155" s="13">
        <f t="shared" si="33"/>
        <v>0</v>
      </c>
      <c r="AD155" s="5"/>
      <c r="AE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3"/>
        <v>0</v>
      </c>
      <c r="AD156" s="5"/>
      <c r="AE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>SUM(E163:AB163)</f>
        <v>5</v>
      </c>
      <c r="AD157" s="5"/>
      <c r="AE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74"/>
      <c r="AD158" s="5"/>
      <c r="AE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74"/>
      <c r="AD159" s="5"/>
      <c r="AE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74"/>
      <c r="AD160" s="5"/>
      <c r="AE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74"/>
      <c r="AD161" s="5"/>
      <c r="AE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74"/>
      <c r="AD162" s="5"/>
      <c r="AE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B163" si="34">SUM(E153:E157)</f>
        <v>0</v>
      </c>
      <c r="F163" s="13">
        <f t="shared" si="34"/>
        <v>1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0</v>
      </c>
      <c r="AB163" s="13">
        <f t="shared" si="34"/>
        <v>0</v>
      </c>
      <c r="AC163" s="13">
        <f>SUM(E164:AB164)</f>
        <v>0</v>
      </c>
      <c r="AD163" s="5"/>
      <c r="AE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5"/>
      <c r="AE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2.0</v>
      </c>
      <c r="U165" s="19">
        <v>0.0</v>
      </c>
      <c r="V165" s="19">
        <v>1.0</v>
      </c>
      <c r="W165" s="19">
        <v>0.0</v>
      </c>
      <c r="X165" s="19">
        <v>1.0</v>
      </c>
      <c r="Y165" s="19">
        <v>0.0</v>
      </c>
      <c r="Z165" s="19">
        <v>1.0</v>
      </c>
      <c r="AA165" s="19">
        <v>0.0</v>
      </c>
      <c r="AB165" s="19">
        <v>0.0</v>
      </c>
      <c r="AC165" s="13">
        <f t="shared" ref="AC165:AC172" si="35">SUM(E165:AB165)</f>
        <v>6</v>
      </c>
      <c r="AD165" s="1"/>
      <c r="AE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3">
        <f t="shared" si="35"/>
        <v>3</v>
      </c>
      <c r="AD166" s="52"/>
      <c r="AE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3">
        <f t="shared" si="35"/>
        <v>2</v>
      </c>
      <c r="AD167" s="5"/>
      <c r="AE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1.0</v>
      </c>
      <c r="AB168" s="19">
        <v>1.0</v>
      </c>
      <c r="AC168" s="13">
        <f t="shared" si="35"/>
        <v>3</v>
      </c>
      <c r="AD168" s="5"/>
      <c r="AE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1.0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3">
        <f t="shared" si="35"/>
        <v>1</v>
      </c>
      <c r="AD169" s="5"/>
      <c r="AE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5"/>
        <v>0</v>
      </c>
      <c r="AD170" s="5"/>
      <c r="AE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1.0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1.0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5"/>
        <v>2</v>
      </c>
      <c r="AD171" s="5"/>
      <c r="AE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5"/>
        <v>0</v>
      </c>
      <c r="AD172" s="5"/>
      <c r="AE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74"/>
      <c r="AD173" s="5"/>
      <c r="AE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74"/>
      <c r="AD174" s="5"/>
      <c r="AE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6">SUM(E165:E172)</f>
        <v>1</v>
      </c>
      <c r="F175" s="13">
        <f t="shared" si="36"/>
        <v>2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2</v>
      </c>
      <c r="R175" s="13">
        <f t="shared" si="36"/>
        <v>1</v>
      </c>
      <c r="S175" s="13">
        <f t="shared" si="36"/>
        <v>0</v>
      </c>
      <c r="T175" s="13">
        <f t="shared" si="36"/>
        <v>2</v>
      </c>
      <c r="U175" s="13">
        <f t="shared" si="36"/>
        <v>0</v>
      </c>
      <c r="V175" s="13">
        <f t="shared" si="36"/>
        <v>1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1</v>
      </c>
      <c r="AA175" s="13">
        <f t="shared" si="36"/>
        <v>1</v>
      </c>
      <c r="AB175" s="13">
        <f t="shared" si="36"/>
        <v>1</v>
      </c>
      <c r="AC175" s="13">
        <f>SUM(E175:AB175)</f>
        <v>17</v>
      </c>
      <c r="AD175" s="5"/>
      <c r="AE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1"/>
      <c r="AE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2.0</v>
      </c>
      <c r="I177" s="19">
        <v>0.0</v>
      </c>
      <c r="J177" s="19">
        <v>2.0</v>
      </c>
      <c r="K177" s="19">
        <v>0.0</v>
      </c>
      <c r="L177" s="19">
        <v>1.0</v>
      </c>
      <c r="M177" s="19">
        <v>0.0</v>
      </c>
      <c r="N177" s="19">
        <v>1.0</v>
      </c>
      <c r="O177" s="19">
        <v>1.0</v>
      </c>
      <c r="P177" s="19">
        <v>1.0</v>
      </c>
      <c r="Q177" s="19">
        <v>0.0</v>
      </c>
      <c r="R177" s="19">
        <v>0.0</v>
      </c>
      <c r="S177" s="19">
        <v>0.0</v>
      </c>
      <c r="T177" s="19">
        <v>1.0</v>
      </c>
      <c r="U177" s="19">
        <v>3.0</v>
      </c>
      <c r="V177" s="19">
        <v>5.0</v>
      </c>
      <c r="W177" s="19">
        <v>0.0</v>
      </c>
      <c r="X177" s="19">
        <v>1.0</v>
      </c>
      <c r="Y177" s="19">
        <v>2.0</v>
      </c>
      <c r="Z177" s="19">
        <v>1.0</v>
      </c>
      <c r="AA177" s="19">
        <v>0.0</v>
      </c>
      <c r="AB177" s="19">
        <v>0.0</v>
      </c>
      <c r="AC177" s="13">
        <f t="shared" ref="AC177:AC184" si="37">SUM(E177:AB177)</f>
        <v>22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3.0</v>
      </c>
      <c r="G178" s="19">
        <v>0.0</v>
      </c>
      <c r="H178" s="19">
        <v>0.0</v>
      </c>
      <c r="I178" s="19">
        <v>0.0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1.0</v>
      </c>
      <c r="V178" s="19">
        <v>1.0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3">
        <f t="shared" si="37"/>
        <v>10</v>
      </c>
      <c r="AD178" s="5"/>
      <c r="AE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1.0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2.0</v>
      </c>
      <c r="P179" s="19">
        <v>2.0</v>
      </c>
      <c r="Q179" s="19">
        <v>0.0</v>
      </c>
      <c r="R179" s="19">
        <v>1.0</v>
      </c>
      <c r="S179" s="19">
        <v>2.0</v>
      </c>
      <c r="T179" s="19">
        <v>1.0</v>
      </c>
      <c r="U179" s="19">
        <v>0.0</v>
      </c>
      <c r="V179" s="19">
        <v>1.0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0.0</v>
      </c>
      <c r="AC179" s="13">
        <f t="shared" si="37"/>
        <v>13</v>
      </c>
      <c r="AD179" s="5"/>
      <c r="AE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1.0</v>
      </c>
      <c r="R180" s="19">
        <v>0.0</v>
      </c>
      <c r="S180" s="19">
        <v>1.0</v>
      </c>
      <c r="T180" s="19">
        <v>0.0</v>
      </c>
      <c r="U180" s="19">
        <v>2.0</v>
      </c>
      <c r="V180" s="19">
        <v>2.0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1.0</v>
      </c>
      <c r="AB180" s="19">
        <v>0.0</v>
      </c>
      <c r="AC180" s="13">
        <f t="shared" si="37"/>
        <v>10</v>
      </c>
      <c r="AD180" s="5"/>
      <c r="AE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1.0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37"/>
        <v>5</v>
      </c>
      <c r="AD181" s="5"/>
      <c r="AE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7"/>
        <v>0</v>
      </c>
      <c r="AD182" s="5"/>
      <c r="AE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1.0</v>
      </c>
      <c r="AB183" s="19">
        <v>0.0</v>
      </c>
      <c r="AC183" s="13">
        <f t="shared" si="37"/>
        <v>2</v>
      </c>
      <c r="AD183" s="5"/>
      <c r="AE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37"/>
        <v>0</v>
      </c>
      <c r="AD184" s="5"/>
      <c r="AE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74"/>
      <c r="AD185" s="5"/>
      <c r="AE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74"/>
      <c r="AD186" s="5"/>
      <c r="AE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8">SUM(E177:E184)</f>
        <v>1</v>
      </c>
      <c r="F187" s="13">
        <f t="shared" si="38"/>
        <v>6</v>
      </c>
      <c r="G187" s="13">
        <f t="shared" si="38"/>
        <v>0</v>
      </c>
      <c r="H187" s="13">
        <f t="shared" si="38"/>
        <v>4</v>
      </c>
      <c r="I187" s="13">
        <f t="shared" si="38"/>
        <v>0</v>
      </c>
      <c r="J187" s="13">
        <f t="shared" si="38"/>
        <v>5</v>
      </c>
      <c r="K187" s="13">
        <f t="shared" si="38"/>
        <v>1</v>
      </c>
      <c r="L187" s="13">
        <f t="shared" si="38"/>
        <v>1</v>
      </c>
      <c r="M187" s="13">
        <f t="shared" si="38"/>
        <v>0</v>
      </c>
      <c r="N187" s="13">
        <f t="shared" si="38"/>
        <v>1</v>
      </c>
      <c r="O187" s="13">
        <f t="shared" si="38"/>
        <v>5</v>
      </c>
      <c r="P187" s="13">
        <f t="shared" si="38"/>
        <v>4</v>
      </c>
      <c r="Q187" s="13">
        <f t="shared" si="38"/>
        <v>2</v>
      </c>
      <c r="R187" s="13">
        <f t="shared" si="38"/>
        <v>1</v>
      </c>
      <c r="S187" s="13">
        <f t="shared" si="38"/>
        <v>4</v>
      </c>
      <c r="T187" s="13">
        <f t="shared" si="38"/>
        <v>3</v>
      </c>
      <c r="U187" s="13">
        <f t="shared" si="38"/>
        <v>7</v>
      </c>
      <c r="V187" s="13">
        <f t="shared" si="38"/>
        <v>9</v>
      </c>
      <c r="W187" s="13">
        <f t="shared" si="38"/>
        <v>0</v>
      </c>
      <c r="X187" s="13">
        <f t="shared" si="38"/>
        <v>2</v>
      </c>
      <c r="Y187" s="13">
        <f t="shared" si="38"/>
        <v>3</v>
      </c>
      <c r="Z187" s="13">
        <f t="shared" si="38"/>
        <v>1</v>
      </c>
      <c r="AA187" s="13">
        <f t="shared" si="38"/>
        <v>2</v>
      </c>
      <c r="AB187" s="13">
        <f t="shared" si="38"/>
        <v>0</v>
      </c>
      <c r="AC187" s="13">
        <f>SUM(E187:AB187)</f>
        <v>62</v>
      </c>
      <c r="AD187" s="1"/>
      <c r="AE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ref="AC189:AC196" si="39">SUM(E189:AB189)</f>
        <v>2</v>
      </c>
      <c r="AD189" s="5"/>
      <c r="AE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1.0</v>
      </c>
      <c r="G190" s="19">
        <v>0.0</v>
      </c>
      <c r="H190" s="19">
        <v>0.0</v>
      </c>
      <c r="I190" s="19">
        <v>1.0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3">
        <f t="shared" si="39"/>
        <v>3</v>
      </c>
      <c r="AD190" s="5"/>
      <c r="AE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39"/>
        <v>1</v>
      </c>
      <c r="AD191" s="5"/>
      <c r="AE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2.0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9"/>
        <v>2</v>
      </c>
      <c r="AD192" s="5"/>
      <c r="AE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9"/>
        <v>0</v>
      </c>
      <c r="AD193" s="5"/>
      <c r="AE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9"/>
        <v>0</v>
      </c>
      <c r="AD194" s="5"/>
      <c r="AE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1.0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9"/>
        <v>1</v>
      </c>
      <c r="AD195" s="5"/>
      <c r="AE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3">
        <f t="shared" si="39"/>
        <v>0</v>
      </c>
      <c r="AD196" s="1"/>
      <c r="AE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74"/>
      <c r="AD197" s="1"/>
      <c r="AE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74"/>
      <c r="AD198" s="1"/>
      <c r="AE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40">SUM(E189:E196)</f>
        <v>0</v>
      </c>
      <c r="F199" s="13">
        <f t="shared" si="40"/>
        <v>2</v>
      </c>
      <c r="G199" s="13">
        <f t="shared" si="40"/>
        <v>1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0</v>
      </c>
      <c r="N199" s="13">
        <f t="shared" si="40"/>
        <v>3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>SUM(E199:AB199)</f>
        <v>9</v>
      </c>
      <c r="AD199" s="52"/>
      <c r="AE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5"/>
      <c r="AE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3.0</v>
      </c>
      <c r="G201" s="19">
        <v>3.0</v>
      </c>
      <c r="H201" s="19">
        <v>5.0</v>
      </c>
      <c r="I201" s="19">
        <v>6.0</v>
      </c>
      <c r="J201" s="19">
        <v>4.0</v>
      </c>
      <c r="K201" s="19">
        <v>1.0</v>
      </c>
      <c r="L201" s="19">
        <v>0.0</v>
      </c>
      <c r="M201" s="19">
        <v>4.0</v>
      </c>
      <c r="N201" s="19">
        <v>12.0</v>
      </c>
      <c r="O201" s="19">
        <v>0.0</v>
      </c>
      <c r="P201" s="19">
        <v>2.0</v>
      </c>
      <c r="Q201" s="19">
        <v>1.0</v>
      </c>
      <c r="R201" s="19">
        <v>1.0</v>
      </c>
      <c r="S201" s="19">
        <v>2.0</v>
      </c>
      <c r="T201" s="19">
        <v>2.0</v>
      </c>
      <c r="U201" s="19">
        <v>3.0</v>
      </c>
      <c r="V201" s="19">
        <v>7.0</v>
      </c>
      <c r="W201" s="19">
        <v>3.0</v>
      </c>
      <c r="X201" s="19">
        <v>0.0</v>
      </c>
      <c r="Y201" s="19">
        <v>1.0</v>
      </c>
      <c r="Z201" s="19">
        <v>3.0</v>
      </c>
      <c r="AA201" s="19">
        <v>6.0</v>
      </c>
      <c r="AB201" s="19">
        <v>5.0</v>
      </c>
      <c r="AC201" s="13">
        <f t="shared" ref="AC201:AC208" si="41">SUM(E201:AB201)</f>
        <v>79</v>
      </c>
      <c r="AD201" s="5"/>
      <c r="AE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2.0</v>
      </c>
      <c r="G202" s="19">
        <v>3.0</v>
      </c>
      <c r="H202" s="19">
        <v>3.0</v>
      </c>
      <c r="I202" s="19">
        <v>2.0</v>
      </c>
      <c r="J202" s="19">
        <v>4.0</v>
      </c>
      <c r="K202" s="19">
        <v>5.0</v>
      </c>
      <c r="L202" s="19">
        <v>5.0</v>
      </c>
      <c r="M202" s="19">
        <v>2.0</v>
      </c>
      <c r="N202" s="19">
        <v>2.0</v>
      </c>
      <c r="O202" s="19">
        <v>4.0</v>
      </c>
      <c r="P202" s="19">
        <v>2.0</v>
      </c>
      <c r="Q202" s="19">
        <v>3.0</v>
      </c>
      <c r="R202" s="19">
        <v>0.0</v>
      </c>
      <c r="S202" s="19">
        <v>10.0</v>
      </c>
      <c r="T202" s="19">
        <v>7.0</v>
      </c>
      <c r="U202" s="19">
        <v>1.0</v>
      </c>
      <c r="V202" s="19">
        <v>7.0</v>
      </c>
      <c r="W202" s="19">
        <v>2.0</v>
      </c>
      <c r="X202" s="19">
        <v>4.0</v>
      </c>
      <c r="Y202" s="19">
        <v>3.0</v>
      </c>
      <c r="Z202" s="19">
        <v>3.0</v>
      </c>
      <c r="AA202" s="19">
        <v>8.0</v>
      </c>
      <c r="AB202" s="19">
        <v>5.0</v>
      </c>
      <c r="AC202" s="13">
        <f t="shared" si="41"/>
        <v>92</v>
      </c>
      <c r="AD202" s="5"/>
      <c r="AE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0.0</v>
      </c>
      <c r="G203" s="19">
        <v>0.0</v>
      </c>
      <c r="H203" s="19">
        <v>0.0</v>
      </c>
      <c r="I203" s="19">
        <v>2.0</v>
      </c>
      <c r="J203" s="19">
        <v>2.0</v>
      </c>
      <c r="K203" s="19">
        <v>3.0</v>
      </c>
      <c r="L203" s="19">
        <v>2.0</v>
      </c>
      <c r="M203" s="19">
        <v>0.0</v>
      </c>
      <c r="N203" s="19">
        <v>1.0</v>
      </c>
      <c r="O203" s="19">
        <v>2.0</v>
      </c>
      <c r="P203" s="19">
        <v>0.0</v>
      </c>
      <c r="Q203" s="19">
        <v>1.0</v>
      </c>
      <c r="R203" s="19">
        <v>0.0</v>
      </c>
      <c r="S203" s="19">
        <v>1.0</v>
      </c>
      <c r="T203" s="19">
        <v>2.0</v>
      </c>
      <c r="U203" s="19">
        <v>2.0</v>
      </c>
      <c r="V203" s="19">
        <v>3.0</v>
      </c>
      <c r="W203" s="19">
        <v>2.0</v>
      </c>
      <c r="X203" s="19">
        <v>3.0</v>
      </c>
      <c r="Y203" s="19">
        <v>1.0</v>
      </c>
      <c r="Z203" s="19">
        <v>0.0</v>
      </c>
      <c r="AA203" s="19">
        <v>18.0</v>
      </c>
      <c r="AB203" s="19">
        <v>2.0</v>
      </c>
      <c r="AC203" s="13">
        <f t="shared" si="41"/>
        <v>49</v>
      </c>
      <c r="AD203" s="5"/>
      <c r="AE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2.0</v>
      </c>
      <c r="AC204" s="13">
        <f t="shared" si="41"/>
        <v>3</v>
      </c>
      <c r="AD204" s="5"/>
      <c r="AE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0.0</v>
      </c>
      <c r="H205" s="19">
        <v>0.0</v>
      </c>
      <c r="I205" s="19">
        <v>1.0</v>
      </c>
      <c r="J205" s="19">
        <v>1.0</v>
      </c>
      <c r="K205" s="19">
        <v>0.0</v>
      </c>
      <c r="L205" s="19">
        <v>3.0</v>
      </c>
      <c r="M205" s="19">
        <v>4.0</v>
      </c>
      <c r="N205" s="19">
        <v>5.0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3.0</v>
      </c>
      <c r="AB205" s="19">
        <v>0.0</v>
      </c>
      <c r="AC205" s="13">
        <f t="shared" si="41"/>
        <v>18</v>
      </c>
      <c r="AD205" s="5"/>
      <c r="AE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1.0</v>
      </c>
      <c r="N206" s="19">
        <v>0.0</v>
      </c>
      <c r="O206" s="19">
        <v>2.0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3">
        <f t="shared" si="41"/>
        <v>5</v>
      </c>
      <c r="AD206" s="5"/>
      <c r="AE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2.0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1.0</v>
      </c>
      <c r="AB207" s="19">
        <v>1.0</v>
      </c>
      <c r="AC207" s="13">
        <f t="shared" si="41"/>
        <v>5</v>
      </c>
      <c r="AD207" s="1"/>
      <c r="AE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1.0</v>
      </c>
      <c r="I208" s="19">
        <v>2.0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3.0</v>
      </c>
      <c r="Z208" s="19">
        <v>1.0</v>
      </c>
      <c r="AA208" s="19">
        <v>0.0</v>
      </c>
      <c r="AB208" s="19">
        <v>0.0</v>
      </c>
      <c r="AC208" s="13">
        <f t="shared" si="41"/>
        <v>9</v>
      </c>
      <c r="AD208" s="52"/>
      <c r="AE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74"/>
      <c r="AD209" s="52"/>
      <c r="AE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74"/>
      <c r="AD210" s="52"/>
      <c r="AE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2">SUM(E201:E208)</f>
        <v>13</v>
      </c>
      <c r="F211" s="13">
        <f t="shared" si="42"/>
        <v>5</v>
      </c>
      <c r="G211" s="13">
        <f t="shared" si="42"/>
        <v>6</v>
      </c>
      <c r="H211" s="13">
        <f t="shared" si="42"/>
        <v>9</v>
      </c>
      <c r="I211" s="13">
        <f t="shared" si="42"/>
        <v>16</v>
      </c>
      <c r="J211" s="13">
        <f t="shared" si="42"/>
        <v>14</v>
      </c>
      <c r="K211" s="13">
        <f t="shared" si="42"/>
        <v>9</v>
      </c>
      <c r="L211" s="13">
        <f t="shared" si="42"/>
        <v>10</v>
      </c>
      <c r="M211" s="13">
        <f t="shared" si="42"/>
        <v>11</v>
      </c>
      <c r="N211" s="13">
        <f t="shared" si="42"/>
        <v>20</v>
      </c>
      <c r="O211" s="13">
        <f t="shared" si="42"/>
        <v>8</v>
      </c>
      <c r="P211" s="13">
        <f t="shared" si="42"/>
        <v>4</v>
      </c>
      <c r="Q211" s="13">
        <f t="shared" si="42"/>
        <v>5</v>
      </c>
      <c r="R211" s="13">
        <f t="shared" si="42"/>
        <v>1</v>
      </c>
      <c r="S211" s="13">
        <f t="shared" si="42"/>
        <v>13</v>
      </c>
      <c r="T211" s="13">
        <f t="shared" si="42"/>
        <v>11</v>
      </c>
      <c r="U211" s="13">
        <f t="shared" si="42"/>
        <v>7</v>
      </c>
      <c r="V211" s="13">
        <f t="shared" si="42"/>
        <v>17</v>
      </c>
      <c r="W211" s="13">
        <f t="shared" si="42"/>
        <v>7</v>
      </c>
      <c r="X211" s="13">
        <f t="shared" si="42"/>
        <v>8</v>
      </c>
      <c r="Y211" s="13">
        <f t="shared" si="42"/>
        <v>8</v>
      </c>
      <c r="Z211" s="13">
        <f t="shared" si="42"/>
        <v>7</v>
      </c>
      <c r="AA211" s="13">
        <f t="shared" si="42"/>
        <v>36</v>
      </c>
      <c r="AB211" s="13">
        <f t="shared" si="42"/>
        <v>15</v>
      </c>
      <c r="AC211" s="13">
        <f>SUM(E211:AB211)</f>
        <v>260</v>
      </c>
      <c r="AD211" s="5"/>
      <c r="AE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5"/>
      <c r="AE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0.0</v>
      </c>
      <c r="H213" s="19">
        <v>0.0</v>
      </c>
      <c r="I213" s="19">
        <v>4.0</v>
      </c>
      <c r="J213" s="19">
        <v>1.0</v>
      </c>
      <c r="K213" s="19">
        <v>4.0</v>
      </c>
      <c r="L213" s="19">
        <v>2.0</v>
      </c>
      <c r="M213" s="19">
        <v>2.0</v>
      </c>
      <c r="N213" s="19">
        <v>4.0</v>
      </c>
      <c r="O213" s="19">
        <v>2.0</v>
      </c>
      <c r="P213" s="19">
        <v>0.0</v>
      </c>
      <c r="Q213" s="19">
        <v>2.0</v>
      </c>
      <c r="R213" s="19">
        <v>5.0</v>
      </c>
      <c r="S213" s="19">
        <v>4.0</v>
      </c>
      <c r="T213" s="19">
        <v>1.0</v>
      </c>
      <c r="U213" s="19">
        <v>4.0</v>
      </c>
      <c r="V213" s="19">
        <v>4.0</v>
      </c>
      <c r="W213" s="19">
        <v>3.0</v>
      </c>
      <c r="X213" s="19">
        <v>0.0</v>
      </c>
      <c r="Y213" s="19">
        <v>1.0</v>
      </c>
      <c r="Z213" s="19">
        <v>1.0</v>
      </c>
      <c r="AA213" s="19">
        <v>5.0</v>
      </c>
      <c r="AB213" s="19">
        <v>1.0</v>
      </c>
      <c r="AC213" s="13">
        <f t="shared" ref="AC213:AC220" si="43">SUM(E213:AB213)</f>
        <v>53</v>
      </c>
      <c r="AD213" s="5"/>
      <c r="AE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0.0</v>
      </c>
      <c r="G214" s="19">
        <v>0.0</v>
      </c>
      <c r="H214" s="19">
        <v>1.0</v>
      </c>
      <c r="I214" s="19">
        <v>0.0</v>
      </c>
      <c r="J214" s="19">
        <v>0.0</v>
      </c>
      <c r="K214" s="19">
        <v>0.0</v>
      </c>
      <c r="L214" s="19">
        <v>1.0</v>
      </c>
      <c r="M214" s="19">
        <v>1.0</v>
      </c>
      <c r="N214" s="19">
        <v>4.0</v>
      </c>
      <c r="O214" s="19">
        <v>7.0</v>
      </c>
      <c r="P214" s="19">
        <v>1.0</v>
      </c>
      <c r="Q214" s="19">
        <v>0.0</v>
      </c>
      <c r="R214" s="19">
        <v>0.0</v>
      </c>
      <c r="S214" s="19">
        <v>1.0</v>
      </c>
      <c r="T214" s="19">
        <v>0.0</v>
      </c>
      <c r="U214" s="19">
        <v>0.0</v>
      </c>
      <c r="V214" s="19">
        <v>1.0</v>
      </c>
      <c r="W214" s="19">
        <v>0.0</v>
      </c>
      <c r="X214" s="19">
        <v>1.0</v>
      </c>
      <c r="Y214" s="19">
        <v>1.0</v>
      </c>
      <c r="Z214" s="19">
        <v>2.0</v>
      </c>
      <c r="AA214" s="19">
        <v>3.0</v>
      </c>
      <c r="AB214" s="19">
        <v>2.0</v>
      </c>
      <c r="AC214" s="13">
        <f t="shared" si="43"/>
        <v>28</v>
      </c>
      <c r="AD214" s="5"/>
      <c r="AE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1.0</v>
      </c>
      <c r="H215" s="19">
        <v>0.0</v>
      </c>
      <c r="I215" s="19">
        <v>2.0</v>
      </c>
      <c r="J215" s="19">
        <v>1.0</v>
      </c>
      <c r="K215" s="19">
        <v>0.0</v>
      </c>
      <c r="L215" s="19">
        <v>1.0</v>
      </c>
      <c r="M215" s="19">
        <v>2.0</v>
      </c>
      <c r="N215" s="19">
        <v>0.0</v>
      </c>
      <c r="O215" s="19">
        <v>0.0</v>
      </c>
      <c r="P215" s="19">
        <v>0.0</v>
      </c>
      <c r="Q215" s="19">
        <v>1.0</v>
      </c>
      <c r="R215" s="19">
        <v>0.0</v>
      </c>
      <c r="S215" s="19">
        <v>0.0</v>
      </c>
      <c r="T215" s="19">
        <v>1.0</v>
      </c>
      <c r="U215" s="19">
        <v>1.0</v>
      </c>
      <c r="V215" s="19">
        <v>1.0</v>
      </c>
      <c r="W215" s="19">
        <v>0.0</v>
      </c>
      <c r="X215" s="19">
        <v>0.0</v>
      </c>
      <c r="Y215" s="19">
        <v>1.0</v>
      </c>
      <c r="Z215" s="19">
        <v>1.0</v>
      </c>
      <c r="AA215" s="19">
        <v>0.0</v>
      </c>
      <c r="AB215" s="19">
        <v>1.0</v>
      </c>
      <c r="AC215" s="13">
        <f t="shared" si="43"/>
        <v>15</v>
      </c>
      <c r="AD215" s="5"/>
      <c r="AE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1.0</v>
      </c>
      <c r="AB216" s="19">
        <v>0.0</v>
      </c>
      <c r="AC216" s="13">
        <f t="shared" si="43"/>
        <v>5</v>
      </c>
      <c r="AD216" s="5"/>
      <c r="AE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1.0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3">
        <f t="shared" si="43"/>
        <v>4</v>
      </c>
      <c r="AD217" s="5"/>
      <c r="AE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2.0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3"/>
        <v>3</v>
      </c>
      <c r="AD218" s="1"/>
      <c r="AE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0.0</v>
      </c>
      <c r="AC219" s="13">
        <f t="shared" si="43"/>
        <v>2</v>
      </c>
      <c r="AD219" s="52"/>
      <c r="AE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3"/>
        <v>3</v>
      </c>
      <c r="AD220" s="5"/>
      <c r="AE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74"/>
      <c r="AD221" s="5"/>
      <c r="AE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74"/>
      <c r="AD222" s="5"/>
      <c r="AE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4">SUM(E213:E220)</f>
        <v>6</v>
      </c>
      <c r="F223" s="13">
        <f t="shared" si="44"/>
        <v>4</v>
      </c>
      <c r="G223" s="13">
        <f t="shared" si="44"/>
        <v>1</v>
      </c>
      <c r="H223" s="13">
        <f t="shared" si="44"/>
        <v>1</v>
      </c>
      <c r="I223" s="13">
        <f t="shared" si="44"/>
        <v>6</v>
      </c>
      <c r="J223" s="13">
        <f t="shared" si="44"/>
        <v>3</v>
      </c>
      <c r="K223" s="13">
        <f t="shared" si="44"/>
        <v>7</v>
      </c>
      <c r="L223" s="13">
        <f t="shared" si="44"/>
        <v>4</v>
      </c>
      <c r="M223" s="13">
        <f t="shared" si="44"/>
        <v>5</v>
      </c>
      <c r="N223" s="13">
        <f t="shared" si="44"/>
        <v>8</v>
      </c>
      <c r="O223" s="13">
        <f t="shared" si="44"/>
        <v>10</v>
      </c>
      <c r="P223" s="13">
        <f t="shared" si="44"/>
        <v>1</v>
      </c>
      <c r="Q223" s="13">
        <f t="shared" si="44"/>
        <v>3</v>
      </c>
      <c r="R223" s="13">
        <f t="shared" si="44"/>
        <v>5</v>
      </c>
      <c r="S223" s="13">
        <f t="shared" si="44"/>
        <v>6</v>
      </c>
      <c r="T223" s="13">
        <f t="shared" si="44"/>
        <v>2</v>
      </c>
      <c r="U223" s="13">
        <f t="shared" si="44"/>
        <v>5</v>
      </c>
      <c r="V223" s="13">
        <f t="shared" si="44"/>
        <v>9</v>
      </c>
      <c r="W223" s="13">
        <f t="shared" si="44"/>
        <v>4</v>
      </c>
      <c r="X223" s="13">
        <f t="shared" si="44"/>
        <v>1</v>
      </c>
      <c r="Y223" s="13">
        <f t="shared" si="44"/>
        <v>5</v>
      </c>
      <c r="Z223" s="13">
        <f t="shared" si="44"/>
        <v>4</v>
      </c>
      <c r="AA223" s="13">
        <f t="shared" si="44"/>
        <v>9</v>
      </c>
      <c r="AB223" s="13">
        <f t="shared" si="44"/>
        <v>4</v>
      </c>
      <c r="AC223" s="13">
        <f>SUM(E223:AB223)</f>
        <v>113</v>
      </c>
      <c r="AD223" s="5"/>
      <c r="AE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5"/>
      <c r="AE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1.0</v>
      </c>
      <c r="R225" s="19">
        <v>1.0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2.0</v>
      </c>
      <c r="AA225" s="19">
        <v>0.0</v>
      </c>
      <c r="AB225" s="19">
        <v>0.0</v>
      </c>
      <c r="AC225" s="13">
        <f t="shared" ref="AC225:AC232" si="45">SUM(E225:AB225)</f>
        <v>8</v>
      </c>
      <c r="AD225" s="5"/>
      <c r="AE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3.0</v>
      </c>
      <c r="G226" s="19">
        <v>2.0</v>
      </c>
      <c r="H226" s="19">
        <v>0.0</v>
      </c>
      <c r="I226" s="19">
        <v>0.0</v>
      </c>
      <c r="J226" s="19">
        <v>0.0</v>
      </c>
      <c r="K226" s="19">
        <v>0.0</v>
      </c>
      <c r="L226" s="19">
        <v>3.0</v>
      </c>
      <c r="M226" s="19">
        <v>0.0</v>
      </c>
      <c r="N226" s="19">
        <v>3.0</v>
      </c>
      <c r="O226" s="19">
        <v>5.0</v>
      </c>
      <c r="P226" s="19">
        <v>14.0</v>
      </c>
      <c r="Q226" s="19">
        <v>0.0</v>
      </c>
      <c r="R226" s="19">
        <v>6.0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2.0</v>
      </c>
      <c r="AA226" s="19">
        <v>0.0</v>
      </c>
      <c r="AB226" s="19">
        <v>0.0</v>
      </c>
      <c r="AC226" s="13">
        <f t="shared" si="45"/>
        <v>38</v>
      </c>
      <c r="AD226" s="5"/>
      <c r="AE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1.0</v>
      </c>
      <c r="AA227" s="19">
        <v>0.0</v>
      </c>
      <c r="AB227" s="19">
        <v>0.0</v>
      </c>
      <c r="AC227" s="13">
        <f t="shared" si="45"/>
        <v>2</v>
      </c>
      <c r="AD227" s="5"/>
      <c r="AE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1.0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5"/>
        <v>1</v>
      </c>
      <c r="AD228" s="5"/>
      <c r="AE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5"/>
        <v>0</v>
      </c>
      <c r="AD229" s="1"/>
      <c r="AE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1.0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5"/>
        <v>1</v>
      </c>
      <c r="AD230" s="52"/>
      <c r="AE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5"/>
        <v>0</v>
      </c>
      <c r="AD231" s="5"/>
      <c r="AE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12.0</v>
      </c>
      <c r="N232" s="19">
        <v>0.0</v>
      </c>
      <c r="O232" s="19">
        <v>9.0</v>
      </c>
      <c r="P232" s="19">
        <v>2.0</v>
      </c>
      <c r="Q232" s="19">
        <v>46.0</v>
      </c>
      <c r="R232" s="19">
        <v>16.0</v>
      </c>
      <c r="S232" s="19">
        <v>0.0</v>
      </c>
      <c r="T232" s="19">
        <v>0.0</v>
      </c>
      <c r="U232" s="19">
        <v>0.0</v>
      </c>
      <c r="V232" s="19">
        <v>1.0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3">
        <f t="shared" si="45"/>
        <v>87</v>
      </c>
      <c r="AD232" s="5"/>
      <c r="AE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74"/>
      <c r="AD233" s="5"/>
      <c r="AE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74"/>
      <c r="AD234" s="5"/>
      <c r="AE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6">SUM(E225:E232)</f>
        <v>2</v>
      </c>
      <c r="F235" s="13">
        <f t="shared" si="46"/>
        <v>4</v>
      </c>
      <c r="G235" s="13">
        <f t="shared" si="46"/>
        <v>2</v>
      </c>
      <c r="H235" s="13">
        <f t="shared" si="46"/>
        <v>1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3</v>
      </c>
      <c r="M235" s="13">
        <f t="shared" si="46"/>
        <v>12</v>
      </c>
      <c r="N235" s="13">
        <f t="shared" si="46"/>
        <v>3</v>
      </c>
      <c r="O235" s="13">
        <f t="shared" si="46"/>
        <v>15</v>
      </c>
      <c r="P235" s="13">
        <f t="shared" si="46"/>
        <v>16</v>
      </c>
      <c r="Q235" s="13">
        <f t="shared" si="46"/>
        <v>49</v>
      </c>
      <c r="R235" s="13">
        <f t="shared" si="46"/>
        <v>24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1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5</v>
      </c>
      <c r="AA235" s="13">
        <f t="shared" si="46"/>
        <v>0</v>
      </c>
      <c r="AB235" s="13">
        <f t="shared" si="46"/>
        <v>0</v>
      </c>
      <c r="AC235" s="13">
        <f>SUM(E235:AB235)</f>
        <v>137</v>
      </c>
      <c r="AD235" s="5"/>
      <c r="AE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5"/>
      <c r="AE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4.0</v>
      </c>
      <c r="G237" s="19">
        <v>4.0</v>
      </c>
      <c r="H237" s="19">
        <v>4.0</v>
      </c>
      <c r="I237" s="19">
        <v>2.0</v>
      </c>
      <c r="J237" s="19">
        <v>2.0</v>
      </c>
      <c r="K237" s="19">
        <v>3.0</v>
      </c>
      <c r="L237" s="19">
        <v>1.0</v>
      </c>
      <c r="M237" s="19">
        <v>2.0</v>
      </c>
      <c r="N237" s="19">
        <v>3.0</v>
      </c>
      <c r="O237" s="19">
        <v>1.0</v>
      </c>
      <c r="P237" s="19">
        <v>0.0</v>
      </c>
      <c r="Q237" s="19">
        <v>1.0</v>
      </c>
      <c r="R237" s="19">
        <v>1.0</v>
      </c>
      <c r="S237" s="19">
        <v>2.0</v>
      </c>
      <c r="T237" s="19">
        <v>0.0</v>
      </c>
      <c r="U237" s="19">
        <v>4.0</v>
      </c>
      <c r="V237" s="19">
        <v>0.0</v>
      </c>
      <c r="W237" s="19">
        <v>1.0</v>
      </c>
      <c r="X237" s="19">
        <v>1.0</v>
      </c>
      <c r="Y237" s="19">
        <v>0.0</v>
      </c>
      <c r="Z237" s="19">
        <v>0.0</v>
      </c>
      <c r="AA237" s="19">
        <v>0.0</v>
      </c>
      <c r="AB237" s="19">
        <v>0.0</v>
      </c>
      <c r="AC237" s="13">
        <f t="shared" ref="AC237:AC244" si="47">SUM(E237:AB237)</f>
        <v>37</v>
      </c>
      <c r="AD237" s="5"/>
      <c r="AE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0.0</v>
      </c>
      <c r="H238" s="19">
        <v>1.0</v>
      </c>
      <c r="I238" s="19">
        <v>1.0</v>
      </c>
      <c r="J238" s="19">
        <v>2.0</v>
      </c>
      <c r="K238" s="19">
        <v>1.0</v>
      </c>
      <c r="L238" s="19">
        <v>2.0</v>
      </c>
      <c r="M238" s="19">
        <v>1.0</v>
      </c>
      <c r="N238" s="19">
        <v>1.0</v>
      </c>
      <c r="O238" s="19">
        <v>0.0</v>
      </c>
      <c r="P238" s="19">
        <v>5.0</v>
      </c>
      <c r="Q238" s="19">
        <v>0.0</v>
      </c>
      <c r="R238" s="19">
        <v>0.0</v>
      </c>
      <c r="S238" s="19">
        <v>3.0</v>
      </c>
      <c r="T238" s="19">
        <v>1.0</v>
      </c>
      <c r="U238" s="19">
        <v>0.0</v>
      </c>
      <c r="V238" s="19">
        <v>0.0</v>
      </c>
      <c r="W238" s="19">
        <v>1.0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3">
        <f t="shared" si="47"/>
        <v>20</v>
      </c>
      <c r="AD238" s="5"/>
      <c r="AE238" s="5"/>
    </row>
    <row r="239" ht="12.75" customHeight="1">
      <c r="A239" s="18"/>
      <c r="B239" s="55">
        <v>2.0</v>
      </c>
      <c r="C239" s="50" t="s">
        <v>176</v>
      </c>
      <c r="D239" s="57"/>
      <c r="E239" s="19">
        <v>2.0</v>
      </c>
      <c r="F239" s="19">
        <v>2.0</v>
      </c>
      <c r="G239" s="19">
        <v>3.0</v>
      </c>
      <c r="H239" s="19">
        <v>2.0</v>
      </c>
      <c r="I239" s="19">
        <v>0.0</v>
      </c>
      <c r="J239" s="19">
        <v>0.0</v>
      </c>
      <c r="K239" s="19">
        <v>2.0</v>
      </c>
      <c r="L239" s="19">
        <v>8.0</v>
      </c>
      <c r="M239" s="19">
        <v>2.0</v>
      </c>
      <c r="N239" s="19">
        <v>6.0</v>
      </c>
      <c r="O239" s="19">
        <v>8.0</v>
      </c>
      <c r="P239" s="19">
        <v>2.0</v>
      </c>
      <c r="Q239" s="19">
        <v>3.0</v>
      </c>
      <c r="R239" s="19">
        <v>1.0</v>
      </c>
      <c r="S239" s="19">
        <v>3.0</v>
      </c>
      <c r="T239" s="19">
        <v>2.0</v>
      </c>
      <c r="U239" s="19">
        <v>1.0</v>
      </c>
      <c r="V239" s="19">
        <v>2.0</v>
      </c>
      <c r="W239" s="19">
        <v>1.0</v>
      </c>
      <c r="X239" s="19">
        <v>0.0</v>
      </c>
      <c r="Y239" s="19">
        <v>0.0</v>
      </c>
      <c r="Z239" s="19">
        <v>1.0</v>
      </c>
      <c r="AA239" s="19">
        <v>0.0</v>
      </c>
      <c r="AB239" s="19">
        <v>0.0</v>
      </c>
      <c r="AC239" s="13">
        <f t="shared" si="47"/>
        <v>51</v>
      </c>
      <c r="AD239" s="5"/>
      <c r="AE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2.0</v>
      </c>
      <c r="G240" s="19">
        <v>2.0</v>
      </c>
      <c r="H240" s="19">
        <v>0.0</v>
      </c>
      <c r="I240" s="19">
        <v>0.0</v>
      </c>
      <c r="J240" s="19">
        <v>0.0</v>
      </c>
      <c r="K240" s="19">
        <v>1.0</v>
      </c>
      <c r="L240" s="19">
        <v>1.0</v>
      </c>
      <c r="M240" s="19">
        <v>1.0</v>
      </c>
      <c r="N240" s="19">
        <v>1.0</v>
      </c>
      <c r="O240" s="19">
        <v>1.0</v>
      </c>
      <c r="P240" s="19">
        <v>1.0</v>
      </c>
      <c r="Q240" s="19">
        <v>1.0</v>
      </c>
      <c r="R240" s="19">
        <v>1.0</v>
      </c>
      <c r="S240" s="19">
        <v>0.0</v>
      </c>
      <c r="T240" s="19">
        <v>1.0</v>
      </c>
      <c r="U240" s="19">
        <v>0.0</v>
      </c>
      <c r="V240" s="19">
        <v>0.0</v>
      </c>
      <c r="W240" s="19">
        <v>1.0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0.0</v>
      </c>
      <c r="AC240" s="13">
        <f t="shared" si="47"/>
        <v>15</v>
      </c>
      <c r="AD240" s="1"/>
      <c r="AE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1.0</v>
      </c>
      <c r="I241" s="19">
        <v>0.0</v>
      </c>
      <c r="J241" s="19">
        <v>0.0</v>
      </c>
      <c r="K241" s="19">
        <v>1.0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1.0</v>
      </c>
      <c r="Z241" s="19">
        <v>0.0</v>
      </c>
      <c r="AA241" s="19">
        <v>0.0</v>
      </c>
      <c r="AB241" s="19">
        <v>0.0</v>
      </c>
      <c r="AC241" s="13">
        <f t="shared" si="47"/>
        <v>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7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2.0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1.0</v>
      </c>
      <c r="M243" s="19">
        <v>1.0</v>
      </c>
      <c r="N243" s="19">
        <v>0.0</v>
      </c>
      <c r="O243" s="19">
        <v>0.0</v>
      </c>
      <c r="P243" s="19">
        <v>0.0</v>
      </c>
      <c r="Q243" s="19">
        <v>1.0</v>
      </c>
      <c r="R243" s="19">
        <v>1.0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0.0</v>
      </c>
      <c r="Y243" s="19">
        <v>0.0</v>
      </c>
      <c r="Z243" s="19">
        <v>0.0</v>
      </c>
      <c r="AA243" s="19">
        <v>1.0</v>
      </c>
      <c r="AB243" s="19">
        <v>0.0</v>
      </c>
      <c r="AC243" s="13">
        <f t="shared" si="47"/>
        <v>9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13.0</v>
      </c>
      <c r="F244" s="19">
        <v>10.0</v>
      </c>
      <c r="G244" s="19">
        <v>39.0</v>
      </c>
      <c r="H244" s="19">
        <v>7.0</v>
      </c>
      <c r="I244" s="19">
        <v>8.0</v>
      </c>
      <c r="J244" s="19">
        <v>10.0</v>
      </c>
      <c r="K244" s="19">
        <v>1.0</v>
      </c>
      <c r="L244" s="19">
        <v>7.0</v>
      </c>
      <c r="M244" s="19">
        <v>10.0</v>
      </c>
      <c r="N244" s="19">
        <v>6.0</v>
      </c>
      <c r="O244" s="19">
        <v>0.0</v>
      </c>
      <c r="P244" s="19">
        <v>3.0</v>
      </c>
      <c r="Q244" s="19">
        <v>0.0</v>
      </c>
      <c r="R244" s="19">
        <v>1.0</v>
      </c>
      <c r="S244" s="19">
        <v>2.0</v>
      </c>
      <c r="T244" s="19">
        <v>0.0</v>
      </c>
      <c r="U244" s="19">
        <v>0.0</v>
      </c>
      <c r="V244" s="19">
        <v>0.0</v>
      </c>
      <c r="W244" s="19">
        <v>1.0</v>
      </c>
      <c r="X244" s="19">
        <v>3.0</v>
      </c>
      <c r="Y244" s="19">
        <v>0.0</v>
      </c>
      <c r="Z244" s="19">
        <v>0.0</v>
      </c>
      <c r="AA244" s="19">
        <v>11.0</v>
      </c>
      <c r="AB244" s="19">
        <v>0.0</v>
      </c>
      <c r="AC244" s="13">
        <f t="shared" si="47"/>
        <v>132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8">SUM(E237:E244)</f>
        <v>17</v>
      </c>
      <c r="F247" s="13">
        <f t="shared" si="48"/>
        <v>21</v>
      </c>
      <c r="G247" s="13">
        <f t="shared" si="48"/>
        <v>48</v>
      </c>
      <c r="H247" s="13">
        <f t="shared" si="48"/>
        <v>16</v>
      </c>
      <c r="I247" s="13">
        <f t="shared" si="48"/>
        <v>11</v>
      </c>
      <c r="J247" s="13">
        <f t="shared" si="48"/>
        <v>14</v>
      </c>
      <c r="K247" s="13">
        <f t="shared" si="48"/>
        <v>9</v>
      </c>
      <c r="L247" s="13">
        <f t="shared" si="48"/>
        <v>20</v>
      </c>
      <c r="M247" s="13">
        <f t="shared" si="48"/>
        <v>19</v>
      </c>
      <c r="N247" s="13">
        <f t="shared" si="48"/>
        <v>17</v>
      </c>
      <c r="O247" s="13">
        <f t="shared" si="48"/>
        <v>10</v>
      </c>
      <c r="P247" s="13">
        <f t="shared" si="48"/>
        <v>11</v>
      </c>
      <c r="Q247" s="13">
        <f t="shared" si="48"/>
        <v>6</v>
      </c>
      <c r="R247" s="13">
        <f t="shared" si="48"/>
        <v>5</v>
      </c>
      <c r="S247" s="13">
        <f t="shared" si="48"/>
        <v>10</v>
      </c>
      <c r="T247" s="13">
        <f t="shared" si="48"/>
        <v>4</v>
      </c>
      <c r="U247" s="13">
        <f t="shared" si="48"/>
        <v>5</v>
      </c>
      <c r="V247" s="13">
        <f t="shared" si="48"/>
        <v>2</v>
      </c>
      <c r="W247" s="13">
        <f t="shared" si="48"/>
        <v>6</v>
      </c>
      <c r="X247" s="13">
        <f t="shared" si="48"/>
        <v>5</v>
      </c>
      <c r="Y247" s="13">
        <f t="shared" si="48"/>
        <v>2</v>
      </c>
      <c r="Z247" s="13">
        <f t="shared" si="48"/>
        <v>1</v>
      </c>
      <c r="AA247" s="13">
        <f t="shared" si="48"/>
        <v>12</v>
      </c>
      <c r="AB247" s="13">
        <f t="shared" si="48"/>
        <v>0</v>
      </c>
      <c r="AC247" s="13">
        <f>SUM(E247:AB247)</f>
        <v>271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1.0</v>
      </c>
      <c r="AC249" s="13">
        <f t="shared" ref="AC249:AC255" si="49">SUM(E249:AB249)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2.0</v>
      </c>
      <c r="U250" s="19">
        <v>0.0</v>
      </c>
      <c r="V250" s="19">
        <v>2.0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0.0</v>
      </c>
      <c r="AB250" s="19">
        <v>0.0</v>
      </c>
      <c r="AC250" s="13">
        <f t="shared" si="49"/>
        <v>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3">
        <f t="shared" si="49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9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1.0</v>
      </c>
      <c r="AC254" s="13">
        <f t="shared" si="49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1.0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1.0</v>
      </c>
      <c r="AB255" s="19">
        <v>0.0</v>
      </c>
      <c r="AC255" s="13">
        <f t="shared" si="49"/>
        <v>2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50">SUM(E249:E255)</f>
        <v>0</v>
      </c>
      <c r="F259" s="13">
        <f t="shared" si="50"/>
        <v>0</v>
      </c>
      <c r="G259" s="13">
        <f t="shared" si="50"/>
        <v>1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2</v>
      </c>
      <c r="U259" s="13">
        <f t="shared" si="50"/>
        <v>1</v>
      </c>
      <c r="V259" s="13">
        <f t="shared" si="50"/>
        <v>3</v>
      </c>
      <c r="W259" s="13">
        <f t="shared" si="50"/>
        <v>0</v>
      </c>
      <c r="X259" s="13">
        <f t="shared" si="50"/>
        <v>0</v>
      </c>
      <c r="Y259" s="13">
        <f t="shared" si="50"/>
        <v>2</v>
      </c>
      <c r="Z259" s="13">
        <f t="shared" si="50"/>
        <v>0</v>
      </c>
      <c r="AA259" s="13">
        <f t="shared" si="50"/>
        <v>1</v>
      </c>
      <c r="AB259" s="13">
        <f t="shared" si="50"/>
        <v>2</v>
      </c>
      <c r="AC259" s="13">
        <f>SUM(E259:AB259)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B262" si="51">E55+E67+E79+E91+E103+E115+E127+E139+E151+E163+E175+E187+E199+E211+E223+E235+E247+E259</f>
        <v>171</v>
      </c>
      <c r="F262" s="19">
        <f t="shared" si="51"/>
        <v>169</v>
      </c>
      <c r="G262" s="19">
        <f t="shared" si="51"/>
        <v>192</v>
      </c>
      <c r="H262" s="19">
        <f t="shared" si="51"/>
        <v>188</v>
      </c>
      <c r="I262" s="19">
        <f t="shared" si="51"/>
        <v>216</v>
      </c>
      <c r="J262" s="19">
        <f t="shared" si="51"/>
        <v>202</v>
      </c>
      <c r="K262" s="19">
        <f t="shared" si="51"/>
        <v>194</v>
      </c>
      <c r="L262" s="19">
        <f t="shared" si="51"/>
        <v>199</v>
      </c>
      <c r="M262" s="19">
        <f t="shared" si="51"/>
        <v>197</v>
      </c>
      <c r="N262" s="19">
        <f t="shared" si="51"/>
        <v>184</v>
      </c>
      <c r="O262" s="19">
        <f t="shared" si="51"/>
        <v>168</v>
      </c>
      <c r="P262" s="19">
        <f t="shared" si="51"/>
        <v>167</v>
      </c>
      <c r="Q262" s="19">
        <f t="shared" si="51"/>
        <v>153</v>
      </c>
      <c r="R262" s="19">
        <f t="shared" si="51"/>
        <v>207</v>
      </c>
      <c r="S262" s="19">
        <f t="shared" si="51"/>
        <v>176</v>
      </c>
      <c r="T262" s="19">
        <f t="shared" si="51"/>
        <v>188</v>
      </c>
      <c r="U262" s="19">
        <f t="shared" si="51"/>
        <v>194</v>
      </c>
      <c r="V262" s="19">
        <f t="shared" si="51"/>
        <v>206</v>
      </c>
      <c r="W262" s="19">
        <f t="shared" si="51"/>
        <v>205</v>
      </c>
      <c r="X262" s="19">
        <f t="shared" si="51"/>
        <v>215</v>
      </c>
      <c r="Y262" s="19">
        <f t="shared" si="51"/>
        <v>152</v>
      </c>
      <c r="Z262" s="19">
        <f t="shared" si="51"/>
        <v>198</v>
      </c>
      <c r="AA262" s="19">
        <f t="shared" si="51"/>
        <v>186</v>
      </c>
      <c r="AB262" s="19">
        <f t="shared" si="51"/>
        <v>176</v>
      </c>
      <c r="AC262" s="13">
        <f t="shared" ref="AC262:AC264" si="52">SUM(E262:AB262)</f>
        <v>4503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33.0</v>
      </c>
      <c r="F263" s="19">
        <v>41.0</v>
      </c>
      <c r="G263" s="19">
        <v>16.0</v>
      </c>
      <c r="H263" s="19">
        <v>34.0</v>
      </c>
      <c r="I263" s="19">
        <v>18.0</v>
      </c>
      <c r="J263" s="19">
        <v>17.0</v>
      </c>
      <c r="K263" s="19">
        <v>23.0</v>
      </c>
      <c r="L263" s="19">
        <v>37.0</v>
      </c>
      <c r="M263" s="19">
        <v>17.0</v>
      </c>
      <c r="N263" s="19">
        <v>13.0</v>
      </c>
      <c r="O263" s="19">
        <v>33.0</v>
      </c>
      <c r="P263" s="19">
        <v>19.0</v>
      </c>
      <c r="Q263" s="19">
        <v>27.0</v>
      </c>
      <c r="R263" s="19">
        <v>24.0</v>
      </c>
      <c r="S263" s="19">
        <v>22.0</v>
      </c>
      <c r="T263" s="19">
        <v>22.0</v>
      </c>
      <c r="U263" s="19">
        <v>14.0</v>
      </c>
      <c r="V263" s="19">
        <v>18.0</v>
      </c>
      <c r="W263" s="19">
        <v>22.0</v>
      </c>
      <c r="X263" s="19">
        <v>24.0</v>
      </c>
      <c r="Y263" s="19">
        <v>40.0</v>
      </c>
      <c r="Z263" s="19">
        <v>12.0</v>
      </c>
      <c r="AA263" s="19">
        <v>27.0</v>
      </c>
      <c r="AB263" s="19">
        <v>11.0</v>
      </c>
      <c r="AC263" s="13">
        <f t="shared" si="52"/>
        <v>564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B264" si="53">SUM(E262:E263)</f>
        <v>204</v>
      </c>
      <c r="F264" s="13">
        <f t="shared" si="53"/>
        <v>210</v>
      </c>
      <c r="G264" s="13">
        <f t="shared" si="53"/>
        <v>208</v>
      </c>
      <c r="H264" s="13">
        <f t="shared" si="53"/>
        <v>222</v>
      </c>
      <c r="I264" s="13">
        <f t="shared" si="53"/>
        <v>234</v>
      </c>
      <c r="J264" s="13">
        <f t="shared" si="53"/>
        <v>219</v>
      </c>
      <c r="K264" s="13">
        <f t="shared" si="53"/>
        <v>217</v>
      </c>
      <c r="L264" s="13">
        <f t="shared" si="53"/>
        <v>236</v>
      </c>
      <c r="M264" s="13">
        <f t="shared" si="53"/>
        <v>214</v>
      </c>
      <c r="N264" s="13">
        <f t="shared" si="53"/>
        <v>197</v>
      </c>
      <c r="O264" s="13">
        <f t="shared" si="53"/>
        <v>201</v>
      </c>
      <c r="P264" s="13">
        <f t="shared" si="53"/>
        <v>186</v>
      </c>
      <c r="Q264" s="13">
        <f t="shared" si="53"/>
        <v>180</v>
      </c>
      <c r="R264" s="13">
        <f t="shared" si="53"/>
        <v>231</v>
      </c>
      <c r="S264" s="13">
        <f t="shared" si="53"/>
        <v>198</v>
      </c>
      <c r="T264" s="13">
        <f t="shared" si="53"/>
        <v>210</v>
      </c>
      <c r="U264" s="13">
        <f t="shared" si="53"/>
        <v>208</v>
      </c>
      <c r="V264" s="13">
        <f t="shared" si="53"/>
        <v>224</v>
      </c>
      <c r="W264" s="13">
        <f t="shared" si="53"/>
        <v>227</v>
      </c>
      <c r="X264" s="13">
        <f t="shared" si="53"/>
        <v>239</v>
      </c>
      <c r="Y264" s="13">
        <f t="shared" si="53"/>
        <v>192</v>
      </c>
      <c r="Z264" s="13">
        <f t="shared" si="53"/>
        <v>210</v>
      </c>
      <c r="AA264" s="13">
        <f t="shared" si="53"/>
        <v>213</v>
      </c>
      <c r="AB264" s="13">
        <f t="shared" si="53"/>
        <v>187</v>
      </c>
      <c r="AC264" s="13">
        <f t="shared" si="52"/>
        <v>5067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B15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E30&lt;&gt;E47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9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conditionalFormatting sqref="U34:AB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3">
        <f t="shared" ref="AB14:AB16" si="1">SUM(E14:AA14)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3">
        <f t="shared" ref="AB19:AB30" si="3">SUM(E19:AA19)</f>
        <v>0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3">
        <f t="shared" si="3"/>
        <v>0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3"/>
        <v>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3"/>
        <v>0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3"/>
        <v>0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8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3">
        <f t="shared" ref="AB33:AB36" si="10">SUM(E33:AA33)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3">
        <f t="shared" ref="AB39:AB41" si="12">SUM(E39:AA39)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3">
        <f t="shared" ref="AB45:AB52" si="14">SUM(E45:AA45)</f>
        <v>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3">
        <f t="shared" si="14"/>
        <v>0</v>
      </c>
    </row>
    <row r="47" ht="12.75" customHeight="1">
      <c r="A47" s="18"/>
      <c r="B47" s="55">
        <v>2.0</v>
      </c>
      <c r="C47" s="50" t="s">
        <v>41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3">
        <f t="shared" si="14"/>
        <v>0</v>
      </c>
    </row>
    <row r="48" ht="12.75" customHeight="1">
      <c r="A48" s="18"/>
      <c r="B48" s="55">
        <v>3.0</v>
      </c>
      <c r="C48" s="50" t="s">
        <v>42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3">
        <f t="shared" si="14"/>
        <v>0</v>
      </c>
    </row>
    <row r="49" ht="12.75" customHeight="1">
      <c r="A49" s="18"/>
      <c r="B49" s="55">
        <v>4.0</v>
      </c>
      <c r="C49" s="50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3">
        <f t="shared" si="14"/>
        <v>0</v>
      </c>
    </row>
    <row r="50" ht="12.75" customHeight="1">
      <c r="A50" s="18"/>
      <c r="B50" s="55">
        <v>5.0</v>
      </c>
      <c r="C50" s="50" t="s">
        <v>44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SUM(E45:E52)</f>
        <v>0</v>
      </c>
      <c r="F55" s="13">
        <f t="shared" si="15"/>
        <v>0</v>
      </c>
      <c r="G55" s="13">
        <f t="shared" si="15"/>
        <v>0</v>
      </c>
      <c r="H55" s="13">
        <f t="shared" si="15"/>
        <v>0</v>
      </c>
      <c r="I55" s="13">
        <f t="shared" si="15"/>
        <v>0</v>
      </c>
      <c r="J55" s="13">
        <f t="shared" si="15"/>
        <v>0</v>
      </c>
      <c r="K55" s="13">
        <f t="shared" si="15"/>
        <v>0</v>
      </c>
      <c r="L55" s="13">
        <f t="shared" si="15"/>
        <v>0</v>
      </c>
      <c r="M55" s="13">
        <f t="shared" si="15"/>
        <v>0</v>
      </c>
      <c r="N55" s="13">
        <f t="shared" si="15"/>
        <v>0</v>
      </c>
      <c r="O55" s="13">
        <f t="shared" si="15"/>
        <v>0</v>
      </c>
      <c r="P55" s="13">
        <f t="shared" si="15"/>
        <v>0</v>
      </c>
      <c r="Q55" s="13">
        <f t="shared" si="15"/>
        <v>0</v>
      </c>
      <c r="R55" s="13">
        <f t="shared" si="15"/>
        <v>0</v>
      </c>
      <c r="S55" s="13">
        <f t="shared" si="15"/>
        <v>0</v>
      </c>
      <c r="T55" s="13">
        <f t="shared" si="15"/>
        <v>0</v>
      </c>
      <c r="U55" s="13">
        <f t="shared" si="15"/>
        <v>0</v>
      </c>
      <c r="V55" s="13">
        <f t="shared" si="15"/>
        <v>0</v>
      </c>
      <c r="W55" s="13">
        <f t="shared" si="15"/>
        <v>0</v>
      </c>
      <c r="X55" s="13">
        <f t="shared" si="15"/>
        <v>0</v>
      </c>
      <c r="Y55" s="13">
        <f t="shared" si="15"/>
        <v>0</v>
      </c>
      <c r="Z55" s="13">
        <f t="shared" si="15"/>
        <v>0</v>
      </c>
      <c r="AA55" s="13">
        <f t="shared" si="15"/>
        <v>0</v>
      </c>
      <c r="AB55" s="13">
        <f>SUM(E55:AA55)</f>
        <v>0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3">
        <f t="shared" ref="AB57:AB64" si="16">SUM(E57:AA57)</f>
        <v>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3">
        <f t="shared" si="16"/>
        <v>0</v>
      </c>
    </row>
    <row r="59" ht="12.75" customHeight="1">
      <c r="A59" s="18"/>
      <c r="B59" s="55">
        <v>2.0</v>
      </c>
      <c r="C59" s="50" t="s">
        <v>50</v>
      </c>
      <c r="D59" s="56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3">
        <f t="shared" si="16"/>
        <v>0</v>
      </c>
    </row>
    <row r="60" ht="12.75" customHeight="1">
      <c r="A60" s="18"/>
      <c r="B60" s="55">
        <v>3.0</v>
      </c>
      <c r="C60" s="50" t="s">
        <v>51</v>
      </c>
      <c r="D60" s="56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3">
        <f t="shared" si="16"/>
        <v>0</v>
      </c>
    </row>
    <row r="61" ht="12.75" customHeight="1">
      <c r="A61" s="18"/>
      <c r="B61" s="55">
        <v>4.0</v>
      </c>
      <c r="C61" s="50" t="s">
        <v>52</v>
      </c>
      <c r="D61" s="5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3">
        <f t="shared" si="16"/>
        <v>0</v>
      </c>
    </row>
    <row r="62" ht="12.75" customHeight="1">
      <c r="A62" s="18"/>
      <c r="B62" s="55">
        <v>5.0</v>
      </c>
      <c r="C62" s="50" t="s">
        <v>53</v>
      </c>
      <c r="D62" s="5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3">
        <f t="shared" si="16"/>
        <v>0</v>
      </c>
    </row>
    <row r="64" ht="12.75" customHeight="1">
      <c r="A64" s="18"/>
      <c r="B64" s="55">
        <v>7.0</v>
      </c>
      <c r="C64" s="50" t="s">
        <v>55</v>
      </c>
      <c r="D64" s="5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3">
        <f t="shared" si="16"/>
        <v>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SUM(E57:E64)</f>
        <v>0</v>
      </c>
      <c r="F67" s="13">
        <f t="shared" si="17"/>
        <v>0</v>
      </c>
      <c r="G67" s="13">
        <f t="shared" si="17"/>
        <v>0</v>
      </c>
      <c r="H67" s="13">
        <f t="shared" si="17"/>
        <v>0</v>
      </c>
      <c r="I67" s="13">
        <f t="shared" si="17"/>
        <v>0</v>
      </c>
      <c r="J67" s="13">
        <f t="shared" si="17"/>
        <v>0</v>
      </c>
      <c r="K67" s="13">
        <f t="shared" si="17"/>
        <v>0</v>
      </c>
      <c r="L67" s="13">
        <f t="shared" si="17"/>
        <v>0</v>
      </c>
      <c r="M67" s="13">
        <f t="shared" si="17"/>
        <v>0</v>
      </c>
      <c r="N67" s="13">
        <f t="shared" si="17"/>
        <v>0</v>
      </c>
      <c r="O67" s="13">
        <f t="shared" si="17"/>
        <v>0</v>
      </c>
      <c r="P67" s="13">
        <f t="shared" si="17"/>
        <v>0</v>
      </c>
      <c r="Q67" s="13">
        <f t="shared" si="17"/>
        <v>0</v>
      </c>
      <c r="R67" s="13">
        <f t="shared" si="17"/>
        <v>0</v>
      </c>
      <c r="S67" s="13">
        <f t="shared" si="17"/>
        <v>0</v>
      </c>
      <c r="T67" s="13">
        <f t="shared" si="17"/>
        <v>0</v>
      </c>
      <c r="U67" s="13">
        <f t="shared" si="17"/>
        <v>0</v>
      </c>
      <c r="V67" s="13">
        <f t="shared" si="17"/>
        <v>0</v>
      </c>
      <c r="W67" s="13">
        <f t="shared" si="17"/>
        <v>0</v>
      </c>
      <c r="X67" s="13">
        <f t="shared" si="17"/>
        <v>0</v>
      </c>
      <c r="Y67" s="13">
        <f t="shared" si="17"/>
        <v>0</v>
      </c>
      <c r="Z67" s="13">
        <f t="shared" si="17"/>
        <v>0</v>
      </c>
      <c r="AA67" s="13">
        <f t="shared" si="17"/>
        <v>0</v>
      </c>
      <c r="AB67" s="13">
        <f>SUM(E67:AA67)</f>
        <v>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3">
        <f t="shared" ref="AB69:AB76" si="18">SUM(E69:AA69)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5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3">
        <f t="shared" si="18"/>
        <v>0</v>
      </c>
    </row>
    <row r="72" ht="12.75" customHeight="1">
      <c r="A72" s="18"/>
      <c r="B72" s="55">
        <v>3.0</v>
      </c>
      <c r="C72" s="50" t="s">
        <v>59</v>
      </c>
      <c r="D72" s="5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3">
        <f t="shared" si="18"/>
        <v>0</v>
      </c>
    </row>
    <row r="73" ht="12.75" customHeight="1">
      <c r="A73" s="18"/>
      <c r="B73" s="55">
        <v>4.0</v>
      </c>
      <c r="C73" s="50" t="s">
        <v>60</v>
      </c>
      <c r="D73" s="5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3">
        <f t="shared" si="18"/>
        <v>0</v>
      </c>
    </row>
    <row r="74" ht="12.75" customHeight="1">
      <c r="A74" s="18"/>
      <c r="B74" s="55">
        <v>5.0</v>
      </c>
      <c r="C74" s="50" t="s">
        <v>61</v>
      </c>
      <c r="D74" s="5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3">
        <f t="shared" si="18"/>
        <v>0</v>
      </c>
    </row>
    <row r="75" ht="12.75" customHeight="1">
      <c r="A75" s="18"/>
      <c r="B75" s="55">
        <v>6.0</v>
      </c>
      <c r="C75" s="50" t="s">
        <v>62</v>
      </c>
      <c r="D75" s="5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3">
        <f t="shared" si="18"/>
        <v>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 t="shared" si="19"/>
        <v>0</v>
      </c>
      <c r="T79" s="13">
        <f t="shared" si="19"/>
        <v>0</v>
      </c>
      <c r="U79" s="13">
        <f t="shared" si="19"/>
        <v>0</v>
      </c>
      <c r="V79" s="13">
        <f t="shared" si="19"/>
        <v>0</v>
      </c>
      <c r="W79" s="13">
        <f t="shared" si="19"/>
        <v>0</v>
      </c>
      <c r="X79" s="13">
        <f t="shared" si="19"/>
        <v>0</v>
      </c>
      <c r="Y79" s="13">
        <f t="shared" si="19"/>
        <v>0</v>
      </c>
      <c r="Z79" s="13">
        <f t="shared" si="19"/>
        <v>0</v>
      </c>
      <c r="AA79" s="13">
        <f t="shared" si="19"/>
        <v>0</v>
      </c>
      <c r="AB79" s="13">
        <f>SUM(E79:AA79)</f>
        <v>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3">
        <f t="shared" ref="AB81:AB88" si="20">SUM(E81:AA81)</f>
        <v>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3">
        <f t="shared" si="20"/>
        <v>0</v>
      </c>
    </row>
    <row r="83" ht="12.75" customHeight="1">
      <c r="A83" s="18"/>
      <c r="B83" s="55">
        <v>2.0</v>
      </c>
      <c r="C83" s="50" t="s">
        <v>66</v>
      </c>
      <c r="D83" s="5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3">
        <f t="shared" si="20"/>
        <v>0</v>
      </c>
    </row>
    <row r="84" ht="12.75" customHeight="1">
      <c r="A84" s="18"/>
      <c r="B84" s="55">
        <v>3.0</v>
      </c>
      <c r="C84" s="50" t="s">
        <v>67</v>
      </c>
      <c r="D84" s="5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3">
        <f t="shared" si="20"/>
        <v>0</v>
      </c>
    </row>
    <row r="85" ht="12.75" customHeight="1">
      <c r="A85" s="18"/>
      <c r="B85" s="55">
        <v>4.0</v>
      </c>
      <c r="C85" s="50" t="s">
        <v>68</v>
      </c>
      <c r="D85" s="5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3">
        <f t="shared" si="20"/>
        <v>0</v>
      </c>
    </row>
    <row r="86" ht="12.75" customHeight="1">
      <c r="A86" s="18"/>
      <c r="B86" s="55">
        <v>5.0</v>
      </c>
      <c r="C86" s="50" t="s">
        <v>69</v>
      </c>
      <c r="D86" s="5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5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SUM(E81:E88)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 t="shared" si="21"/>
        <v>0</v>
      </c>
      <c r="T91" s="13">
        <f t="shared" si="21"/>
        <v>0</v>
      </c>
      <c r="U91" s="13">
        <f t="shared" si="21"/>
        <v>0</v>
      </c>
      <c r="V91" s="13">
        <f t="shared" si="21"/>
        <v>0</v>
      </c>
      <c r="W91" s="13">
        <f t="shared" si="21"/>
        <v>0</v>
      </c>
      <c r="X91" s="13">
        <f t="shared" si="21"/>
        <v>0</v>
      </c>
      <c r="Y91" s="13">
        <f t="shared" si="21"/>
        <v>0</v>
      </c>
      <c r="Z91" s="13">
        <f t="shared" si="21"/>
        <v>0</v>
      </c>
      <c r="AA91" s="13">
        <f t="shared" si="21"/>
        <v>0</v>
      </c>
      <c r="AB91" s="13">
        <f>SUM(E91:AA91)</f>
        <v>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3">
        <f t="shared" ref="AB93:AB100" si="22">SUM(E93:AA93)</f>
        <v>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3">
        <f t="shared" si="22"/>
        <v>0</v>
      </c>
    </row>
    <row r="95" ht="12.75" customHeight="1">
      <c r="A95" s="18"/>
      <c r="B95" s="55">
        <v>2.0</v>
      </c>
      <c r="C95" s="50" t="s">
        <v>75</v>
      </c>
      <c r="D95" s="57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57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57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SUM(E93:E100)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0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0</v>
      </c>
      <c r="S103" s="13">
        <f t="shared" si="23"/>
        <v>0</v>
      </c>
      <c r="T103" s="13">
        <f t="shared" si="23"/>
        <v>0</v>
      </c>
      <c r="U103" s="13">
        <f t="shared" si="23"/>
        <v>0</v>
      </c>
      <c r="V103" s="13">
        <f t="shared" si="23"/>
        <v>0</v>
      </c>
      <c r="W103" s="13">
        <f t="shared" si="23"/>
        <v>0</v>
      </c>
      <c r="X103" s="13">
        <f t="shared" si="23"/>
        <v>0</v>
      </c>
      <c r="Y103" s="13">
        <f t="shared" si="23"/>
        <v>0</v>
      </c>
      <c r="Z103" s="13">
        <f t="shared" si="23"/>
        <v>0</v>
      </c>
      <c r="AA103" s="13">
        <f t="shared" si="23"/>
        <v>0</v>
      </c>
      <c r="AB103" s="13">
        <f>SUM(E103:AA103)</f>
        <v>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3">
        <f t="shared" ref="AB105:AB112" si="24">SUM(E105:AA105)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>SUM(E115:AA115)</f>
        <v>0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3">
        <f t="shared" ref="AB117:AB120" si="26">SUM(E117:AA117)</f>
        <v>0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3">
        <f t="shared" si="26"/>
        <v>0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3">
        <f t="shared" si="26"/>
        <v>0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3">
        <f t="shared" si="26"/>
        <v>0</v>
      </c>
      <c r="AC120" s="5"/>
      <c r="AD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4"/>
      <c r="AC121" s="5"/>
      <c r="AD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4"/>
      <c r="AC122" s="5"/>
      <c r="AD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4"/>
      <c r="AC123" s="5"/>
      <c r="AD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4"/>
      <c r="AC124" s="5"/>
      <c r="AD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4"/>
      <c r="AC125" s="5"/>
      <c r="AD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4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A127" si="27">SUM(E117:E120)</f>
        <v>0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58">
        <f t="shared" si="27"/>
        <v>0</v>
      </c>
      <c r="X127" s="58">
        <f t="shared" si="27"/>
        <v>0</v>
      </c>
      <c r="Y127" s="58">
        <f t="shared" si="27"/>
        <v>0</v>
      </c>
      <c r="Z127" s="58">
        <f t="shared" si="27"/>
        <v>0</v>
      </c>
      <c r="AA127" s="58">
        <f t="shared" si="27"/>
        <v>0</v>
      </c>
      <c r="AB127" s="13">
        <f>SUM(E127:AA127)</f>
        <v>0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3">
        <f t="shared" ref="AB129:AB136" si="28">SUM(E129:AA129)</f>
        <v>0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3">
        <f t="shared" si="28"/>
        <v>0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3">
        <f t="shared" si="28"/>
        <v>0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3">
        <f t="shared" si="28"/>
        <v>0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3">
        <f t="shared" si="28"/>
        <v>0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3">
        <f t="shared" si="28"/>
        <v>0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3">
        <f t="shared" si="28"/>
        <v>0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3">
        <f t="shared" si="28"/>
        <v>0</v>
      </c>
      <c r="AC136" s="5"/>
      <c r="A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4"/>
      <c r="AC137" s="5"/>
      <c r="A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4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>SUM(E139:AA139)</f>
        <v>0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3">
        <f t="shared" ref="AB141:AB148" si="30">SUM(E141:AA141)</f>
        <v>0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3">
        <f t="shared" si="30"/>
        <v>0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3">
        <f t="shared" si="30"/>
        <v>0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3">
        <f t="shared" si="30"/>
        <v>0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3">
        <f t="shared" si="30"/>
        <v>0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3">
        <f t="shared" si="30"/>
        <v>0</v>
      </c>
      <c r="AC148" s="5"/>
      <c r="AD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4"/>
      <c r="AC149" s="5"/>
      <c r="AD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4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0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3">
        <f t="shared" ref="AB153:AB156" si="32">SUM(E154:AA154)</f>
        <v>0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3">
        <f t="shared" si="32"/>
        <v>0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3">
        <f t="shared" si="32"/>
        <v>0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3">
        <f t="shared" si="32"/>
        <v>0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3">
        <f>SUM(E163:AA163)</f>
        <v>0</v>
      </c>
      <c r="AC157" s="5"/>
      <c r="AD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4"/>
      <c r="AC158" s="5"/>
      <c r="AD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4"/>
      <c r="AC159" s="5"/>
      <c r="AD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4"/>
      <c r="AC160" s="5"/>
      <c r="AD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4"/>
      <c r="AC161" s="5"/>
      <c r="AD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4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A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>SUM(E164:AA164)</f>
        <v>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3">
        <f t="shared" ref="AB165:AB172" si="34">SUM(E165:AA165)</f>
        <v>0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3">
        <f t="shared" si="34"/>
        <v>0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3">
        <f t="shared" si="34"/>
        <v>0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3">
        <f t="shared" si="34"/>
        <v>0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3">
        <f t="shared" si="34"/>
        <v>0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3">
        <f t="shared" si="34"/>
        <v>0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3">
        <f t="shared" si="34"/>
        <v>0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3">
        <f t="shared" si="34"/>
        <v>0</v>
      </c>
      <c r="AC172" s="5"/>
      <c r="AD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4"/>
      <c r="AC173" s="5"/>
      <c r="AD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4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>SUM(E175:AA175)</f>
        <v>0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3">
        <f t="shared" ref="AB177:AB184" si="36">SUM(E177:AA177)</f>
        <v>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3">
        <f t="shared" si="36"/>
        <v>0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3">
        <f t="shared" si="36"/>
        <v>0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3">
        <f t="shared" si="36"/>
        <v>0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3">
        <f t="shared" si="36"/>
        <v>0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3">
        <f t="shared" si="36"/>
        <v>0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3">
        <f t="shared" si="36"/>
        <v>0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3">
        <f t="shared" si="36"/>
        <v>0</v>
      </c>
      <c r="AC184" s="5"/>
      <c r="AD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4"/>
      <c r="AC185" s="5"/>
      <c r="AD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4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>SUM(E187:AA187)</f>
        <v>0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3">
        <f t="shared" ref="AB189:AB196" si="38">SUM(E189:AA189)</f>
        <v>0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3">
        <f t="shared" si="38"/>
        <v>0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3">
        <f t="shared" si="38"/>
        <v>0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3">
        <f t="shared" si="38"/>
        <v>0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3">
        <f t="shared" si="38"/>
        <v>0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3">
        <f t="shared" si="38"/>
        <v>0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3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3">
        <f t="shared" si="38"/>
        <v>0</v>
      </c>
      <c r="AC196" s="1"/>
      <c r="AD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74"/>
      <c r="AC197" s="1"/>
      <c r="AD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4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>SUM(E199:AA199)</f>
        <v>0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3">
        <f t="shared" ref="AB201:AB208" si="40">SUM(E201:AA201)</f>
        <v>0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3">
        <f t="shared" si="40"/>
        <v>0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3">
        <f t="shared" si="40"/>
        <v>0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3">
        <f t="shared" si="40"/>
        <v>0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3">
        <f t="shared" si="40"/>
        <v>0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3">
        <f t="shared" si="40"/>
        <v>0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3">
        <f t="shared" si="40"/>
        <v>0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3">
        <f t="shared" si="40"/>
        <v>0</v>
      </c>
      <c r="AC208" s="52"/>
      <c r="AD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74"/>
      <c r="AC209" s="52"/>
      <c r="AD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4"/>
      <c r="AC210" s="52"/>
      <c r="A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SUM(E201:E208)</f>
        <v>0</v>
      </c>
      <c r="F211" s="13">
        <f t="shared" si="41"/>
        <v>0</v>
      </c>
      <c r="G211" s="13">
        <f t="shared" si="41"/>
        <v>0</v>
      </c>
      <c r="H211" s="13">
        <f t="shared" si="41"/>
        <v>0</v>
      </c>
      <c r="I211" s="13">
        <f t="shared" si="41"/>
        <v>0</v>
      </c>
      <c r="J211" s="13">
        <f t="shared" si="41"/>
        <v>0</v>
      </c>
      <c r="K211" s="13">
        <f t="shared" si="41"/>
        <v>0</v>
      </c>
      <c r="L211" s="13">
        <f t="shared" si="41"/>
        <v>0</v>
      </c>
      <c r="M211" s="13">
        <f t="shared" si="41"/>
        <v>0</v>
      </c>
      <c r="N211" s="13">
        <f t="shared" si="41"/>
        <v>0</v>
      </c>
      <c r="O211" s="13">
        <f t="shared" si="41"/>
        <v>0</v>
      </c>
      <c r="P211" s="13">
        <f t="shared" si="41"/>
        <v>0</v>
      </c>
      <c r="Q211" s="13">
        <f t="shared" si="41"/>
        <v>0</v>
      </c>
      <c r="R211" s="13">
        <f t="shared" si="41"/>
        <v>0</v>
      </c>
      <c r="S211" s="13">
        <f t="shared" si="41"/>
        <v>0</v>
      </c>
      <c r="T211" s="13">
        <f t="shared" si="41"/>
        <v>0</v>
      </c>
      <c r="U211" s="13">
        <f t="shared" si="41"/>
        <v>0</v>
      </c>
      <c r="V211" s="13">
        <f t="shared" si="41"/>
        <v>0</v>
      </c>
      <c r="W211" s="13">
        <f t="shared" si="41"/>
        <v>0</v>
      </c>
      <c r="X211" s="13">
        <f t="shared" si="41"/>
        <v>0</v>
      </c>
      <c r="Y211" s="13">
        <f t="shared" si="41"/>
        <v>0</v>
      </c>
      <c r="Z211" s="13">
        <f t="shared" si="41"/>
        <v>0</v>
      </c>
      <c r="AA211" s="13">
        <f t="shared" si="41"/>
        <v>0</v>
      </c>
      <c r="AB211" s="13">
        <f>SUM(E211:AA211)</f>
        <v>0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3">
        <f t="shared" ref="AB213:AB220" si="42">SUM(E213:AA213)</f>
        <v>0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3">
        <f t="shared" si="42"/>
        <v>0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3">
        <f t="shared" si="42"/>
        <v>0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3">
        <f t="shared" si="42"/>
        <v>0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3">
        <f t="shared" si="42"/>
        <v>0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3">
        <f t="shared" si="42"/>
        <v>0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3">
        <f t="shared" si="42"/>
        <v>0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3">
        <f t="shared" si="42"/>
        <v>0</v>
      </c>
      <c r="AC220" s="5"/>
      <c r="A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4"/>
      <c r="AC221" s="5"/>
      <c r="A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4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SUM(E213:E220)</f>
        <v>0</v>
      </c>
      <c r="F223" s="13">
        <f t="shared" si="43"/>
        <v>0</v>
      </c>
      <c r="G223" s="13">
        <f t="shared" si="43"/>
        <v>0</v>
      </c>
      <c r="H223" s="13">
        <f t="shared" si="43"/>
        <v>0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0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0</v>
      </c>
      <c r="AB223" s="13">
        <f>SUM(E223:AA223)</f>
        <v>0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3">
        <f t="shared" ref="AB225:AB232" si="44">SUM(E225:AA225)</f>
        <v>0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3">
        <f t="shared" si="44"/>
        <v>0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3">
        <f t="shared" si="44"/>
        <v>0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3">
        <f t="shared" si="44"/>
        <v>0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3">
        <f t="shared" si="44"/>
        <v>0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3">
        <f t="shared" si="44"/>
        <v>0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5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3">
        <f t="shared" si="44"/>
        <v>0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3">
        <f t="shared" si="44"/>
        <v>0</v>
      </c>
      <c r="AC232" s="5"/>
      <c r="AD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74"/>
      <c r="AC233" s="5"/>
      <c r="AD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4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>SUM(E235:AA235)</f>
        <v>0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3">
        <f t="shared" ref="AB237:AB244" si="46">SUM(E237:AA237)</f>
        <v>0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3">
        <f t="shared" si="46"/>
        <v>0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3">
        <f t="shared" si="46"/>
        <v>0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3">
        <f t="shared" si="46"/>
        <v>0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3">
        <f t="shared" si="46"/>
        <v>0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SUM(E237:E244)</f>
        <v>0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0</v>
      </c>
      <c r="L247" s="13">
        <f t="shared" si="47"/>
        <v>0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 t="shared" si="47"/>
        <v>0</v>
      </c>
      <c r="S247" s="13">
        <f t="shared" si="47"/>
        <v>0</v>
      </c>
      <c r="T247" s="13">
        <f t="shared" si="47"/>
        <v>0</v>
      </c>
      <c r="U247" s="13">
        <f t="shared" si="47"/>
        <v>0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0</v>
      </c>
      <c r="AA247" s="13">
        <f t="shared" si="47"/>
        <v>0</v>
      </c>
      <c r="AB247" s="13">
        <f>SUM(E247:AA247)</f>
        <v>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3">
        <f t="shared" ref="AB249:AB255" si="48">SUM(E249:AA249)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>SUM(E259:AA259)</f>
        <v>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50">E55+E67+E79+E91+E103+E115+E127+E139+E151+E163+E175+E187+E199+E211+E223+E235+E247+E259</f>
        <v>0</v>
      </c>
      <c r="F262" s="19">
        <f t="shared" si="50"/>
        <v>0</v>
      </c>
      <c r="G262" s="19">
        <f t="shared" si="50"/>
        <v>0</v>
      </c>
      <c r="H262" s="19">
        <f t="shared" si="50"/>
        <v>0</v>
      </c>
      <c r="I262" s="19">
        <f t="shared" si="50"/>
        <v>0</v>
      </c>
      <c r="J262" s="19">
        <f t="shared" si="50"/>
        <v>0</v>
      </c>
      <c r="K262" s="19">
        <f t="shared" si="50"/>
        <v>0</v>
      </c>
      <c r="L262" s="19">
        <f t="shared" si="50"/>
        <v>0</v>
      </c>
      <c r="M262" s="19">
        <f t="shared" si="50"/>
        <v>0</v>
      </c>
      <c r="N262" s="19">
        <f t="shared" si="50"/>
        <v>0</v>
      </c>
      <c r="O262" s="19">
        <f t="shared" si="50"/>
        <v>0</v>
      </c>
      <c r="P262" s="19">
        <f t="shared" si="50"/>
        <v>0</v>
      </c>
      <c r="Q262" s="19">
        <f t="shared" si="50"/>
        <v>0</v>
      </c>
      <c r="R262" s="19">
        <f t="shared" si="50"/>
        <v>0</v>
      </c>
      <c r="S262" s="19">
        <f t="shared" si="50"/>
        <v>0</v>
      </c>
      <c r="T262" s="19">
        <f t="shared" si="50"/>
        <v>0</v>
      </c>
      <c r="U262" s="19">
        <f t="shared" si="50"/>
        <v>0</v>
      </c>
      <c r="V262" s="19">
        <f t="shared" si="50"/>
        <v>0</v>
      </c>
      <c r="W262" s="19">
        <f t="shared" si="50"/>
        <v>0</v>
      </c>
      <c r="X262" s="19">
        <f t="shared" si="50"/>
        <v>0</v>
      </c>
      <c r="Y262" s="19">
        <f t="shared" si="50"/>
        <v>0</v>
      </c>
      <c r="Z262" s="19">
        <f t="shared" si="50"/>
        <v>0</v>
      </c>
      <c r="AA262" s="19">
        <f t="shared" si="50"/>
        <v>0</v>
      </c>
      <c r="AB262" s="13">
        <f t="shared" ref="AB262:AB264" si="51">SUM(E262:AA262)</f>
        <v>0</v>
      </c>
    </row>
    <row r="263" ht="12.75" customHeight="1">
      <c r="A263" s="35"/>
      <c r="B263" s="62" t="s">
        <v>194</v>
      </c>
      <c r="C263" s="63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3">
        <f t="shared" si="51"/>
        <v>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52">SUM(E262:E263)</f>
        <v>0</v>
      </c>
      <c r="F264" s="13">
        <f t="shared" si="52"/>
        <v>0</v>
      </c>
      <c r="G264" s="13">
        <f t="shared" si="52"/>
        <v>0</v>
      </c>
      <c r="H264" s="13">
        <f t="shared" si="52"/>
        <v>0</v>
      </c>
      <c r="I264" s="13">
        <f t="shared" si="52"/>
        <v>0</v>
      </c>
      <c r="J264" s="13">
        <f t="shared" si="52"/>
        <v>0</v>
      </c>
      <c r="K264" s="13">
        <f t="shared" si="52"/>
        <v>0</v>
      </c>
      <c r="L264" s="13">
        <f t="shared" si="52"/>
        <v>0</v>
      </c>
      <c r="M264" s="13">
        <f t="shared" si="52"/>
        <v>0</v>
      </c>
      <c r="N264" s="13">
        <f t="shared" si="52"/>
        <v>0</v>
      </c>
      <c r="O264" s="13">
        <f t="shared" si="52"/>
        <v>0</v>
      </c>
      <c r="P264" s="13">
        <f t="shared" si="52"/>
        <v>0</v>
      </c>
      <c r="Q264" s="13">
        <f t="shared" si="52"/>
        <v>0</v>
      </c>
      <c r="R264" s="13">
        <f t="shared" si="52"/>
        <v>0</v>
      </c>
      <c r="S264" s="13">
        <f t="shared" si="52"/>
        <v>0</v>
      </c>
      <c r="T264" s="13">
        <f t="shared" si="52"/>
        <v>0</v>
      </c>
      <c r="U264" s="13">
        <f t="shared" si="52"/>
        <v>0</v>
      </c>
      <c r="V264" s="13">
        <f t="shared" si="52"/>
        <v>0</v>
      </c>
      <c r="W264" s="13">
        <f t="shared" si="52"/>
        <v>0</v>
      </c>
      <c r="X264" s="13">
        <f t="shared" si="52"/>
        <v>0</v>
      </c>
      <c r="Y264" s="13">
        <f t="shared" si="52"/>
        <v>0</v>
      </c>
      <c r="Z264" s="13">
        <f t="shared" si="52"/>
        <v>0</v>
      </c>
      <c r="AA264" s="13">
        <f t="shared" si="52"/>
        <v>0</v>
      </c>
      <c r="AB264" s="13">
        <f t="shared" si="51"/>
        <v>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141.0</v>
      </c>
      <c r="F14" s="19">
        <v>121.0</v>
      </c>
      <c r="G14" s="19">
        <v>111.0</v>
      </c>
      <c r="H14" s="19">
        <v>147.0</v>
      </c>
      <c r="I14" s="19">
        <v>125.0</v>
      </c>
      <c r="J14" s="19">
        <v>124.0</v>
      </c>
      <c r="K14" s="19">
        <v>120.0</v>
      </c>
      <c r="L14" s="19">
        <v>97.0</v>
      </c>
      <c r="M14" s="19">
        <v>131.0</v>
      </c>
      <c r="N14" s="19">
        <v>140.0</v>
      </c>
      <c r="O14" s="19">
        <v>147.0</v>
      </c>
      <c r="P14" s="19">
        <v>135.0</v>
      </c>
      <c r="Q14" s="19">
        <v>129.0</v>
      </c>
      <c r="R14" s="19">
        <v>118.0</v>
      </c>
      <c r="S14" s="19">
        <v>116.0</v>
      </c>
      <c r="T14" s="19">
        <v>130.0</v>
      </c>
      <c r="U14" s="19">
        <v>151.0</v>
      </c>
      <c r="V14" s="19">
        <v>135.0</v>
      </c>
      <c r="W14" s="19">
        <v>105.0</v>
      </c>
      <c r="X14" s="19">
        <v>115.0</v>
      </c>
      <c r="Y14" s="19">
        <v>81.0</v>
      </c>
      <c r="Z14" s="19">
        <v>154.0</v>
      </c>
      <c r="AA14" s="19">
        <v>135.0</v>
      </c>
      <c r="AB14" s="19">
        <v>139.0</v>
      </c>
      <c r="AC14" s="19">
        <v>135.0</v>
      </c>
      <c r="AD14" s="19">
        <v>143.0</v>
      </c>
      <c r="AE14" s="19">
        <v>119.0</v>
      </c>
      <c r="AF14" s="19">
        <v>111.0</v>
      </c>
      <c r="AG14" s="19">
        <v>122.0</v>
      </c>
      <c r="AH14" s="13">
        <f t="shared" ref="AH14:AH16" si="1">SUM(E14:AG14)</f>
        <v>3677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109.0</v>
      </c>
      <c r="G15" s="19">
        <v>110.0</v>
      </c>
      <c r="H15" s="19">
        <v>146.0</v>
      </c>
      <c r="I15" s="19">
        <v>122.0</v>
      </c>
      <c r="J15" s="19">
        <v>136.0</v>
      </c>
      <c r="K15" s="19">
        <v>117.0</v>
      </c>
      <c r="L15" s="19">
        <v>104.0</v>
      </c>
      <c r="M15" s="19">
        <v>137.0</v>
      </c>
      <c r="N15" s="19">
        <v>146.0</v>
      </c>
      <c r="O15" s="19">
        <v>144.0</v>
      </c>
      <c r="P15" s="19">
        <v>149.0</v>
      </c>
      <c r="Q15" s="19">
        <v>139.0</v>
      </c>
      <c r="R15" s="19">
        <v>118.0</v>
      </c>
      <c r="S15" s="19">
        <v>118.0</v>
      </c>
      <c r="T15" s="19">
        <v>131.0</v>
      </c>
      <c r="U15" s="19">
        <v>145.0</v>
      </c>
      <c r="V15" s="19">
        <v>134.0</v>
      </c>
      <c r="W15" s="19">
        <v>108.0</v>
      </c>
      <c r="X15" s="19">
        <v>117.0</v>
      </c>
      <c r="Y15" s="19">
        <v>74.0</v>
      </c>
      <c r="Z15" s="19">
        <v>137.0</v>
      </c>
      <c r="AA15" s="19">
        <v>120.0</v>
      </c>
      <c r="AB15" s="19">
        <v>132.0</v>
      </c>
      <c r="AC15" s="19">
        <v>123.0</v>
      </c>
      <c r="AD15" s="19">
        <v>152.0</v>
      </c>
      <c r="AE15" s="19">
        <v>125.0</v>
      </c>
      <c r="AF15" s="19">
        <v>98.0</v>
      </c>
      <c r="AG15" s="19">
        <v>124.0</v>
      </c>
      <c r="AH15" s="13">
        <f t="shared" si="1"/>
        <v>3648</v>
      </c>
    </row>
    <row r="16" ht="12.75" customHeight="1">
      <c r="A16" s="25"/>
      <c r="B16" s="21"/>
      <c r="C16" s="28"/>
      <c r="D16" s="13" t="s">
        <v>14</v>
      </c>
      <c r="E16" s="13">
        <v>274.0</v>
      </c>
      <c r="F16" s="13">
        <v>230.0</v>
      </c>
      <c r="G16" s="13">
        <v>221.0</v>
      </c>
      <c r="H16" s="13">
        <v>293.0</v>
      </c>
      <c r="I16" s="13">
        <v>247.0</v>
      </c>
      <c r="J16" s="13">
        <v>260.0</v>
      </c>
      <c r="K16" s="13">
        <v>237.0</v>
      </c>
      <c r="L16" s="13">
        <v>201.0</v>
      </c>
      <c r="M16" s="13">
        <v>268.0</v>
      </c>
      <c r="N16" s="13">
        <v>286.0</v>
      </c>
      <c r="O16" s="13">
        <v>291.0</v>
      </c>
      <c r="P16" s="13">
        <v>284.0</v>
      </c>
      <c r="Q16" s="13">
        <v>268.0</v>
      </c>
      <c r="R16" s="13">
        <v>236.0</v>
      </c>
      <c r="S16" s="13">
        <v>234.0</v>
      </c>
      <c r="T16" s="13">
        <v>261.0</v>
      </c>
      <c r="U16" s="13">
        <v>296.0</v>
      </c>
      <c r="V16" s="13">
        <v>269.0</v>
      </c>
      <c r="W16" s="13">
        <v>213.0</v>
      </c>
      <c r="X16" s="13">
        <v>232.0</v>
      </c>
      <c r="Y16" s="13">
        <v>155.0</v>
      </c>
      <c r="Z16" s="13">
        <v>291.0</v>
      </c>
      <c r="AA16" s="13">
        <v>255.0</v>
      </c>
      <c r="AB16" s="13">
        <v>271.0</v>
      </c>
      <c r="AC16" s="13">
        <v>258.0</v>
      </c>
      <c r="AD16" s="13">
        <v>295.0</v>
      </c>
      <c r="AE16" s="13">
        <v>244.0</v>
      </c>
      <c r="AF16" s="13">
        <v>209.0</v>
      </c>
      <c r="AG16" s="13">
        <v>246.0</v>
      </c>
      <c r="AH16" s="13">
        <f t="shared" si="1"/>
        <v>7325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92.0</v>
      </c>
      <c r="G19" s="19">
        <v>80.0</v>
      </c>
      <c r="H19" s="19">
        <v>126.0</v>
      </c>
      <c r="I19" s="19">
        <v>97.0</v>
      </c>
      <c r="J19" s="19">
        <v>94.0</v>
      </c>
      <c r="K19" s="19">
        <v>83.0</v>
      </c>
      <c r="L19" s="19">
        <v>73.0</v>
      </c>
      <c r="M19" s="19">
        <v>99.0</v>
      </c>
      <c r="N19" s="19">
        <v>110.0</v>
      </c>
      <c r="O19" s="19">
        <v>113.0</v>
      </c>
      <c r="P19" s="19">
        <v>114.0</v>
      </c>
      <c r="Q19" s="19">
        <v>96.0</v>
      </c>
      <c r="R19" s="19">
        <v>90.0</v>
      </c>
      <c r="S19" s="19">
        <v>84.0</v>
      </c>
      <c r="T19" s="19">
        <v>96.0</v>
      </c>
      <c r="U19" s="19">
        <v>107.0</v>
      </c>
      <c r="V19" s="19">
        <v>84.0</v>
      </c>
      <c r="W19" s="19">
        <v>78.0</v>
      </c>
      <c r="X19" s="19">
        <v>81.0</v>
      </c>
      <c r="Y19" s="19">
        <v>57.0</v>
      </c>
      <c r="Z19" s="19">
        <v>106.0</v>
      </c>
      <c r="AA19" s="19">
        <v>107.0</v>
      </c>
      <c r="AB19" s="19">
        <v>103.0</v>
      </c>
      <c r="AC19" s="19">
        <v>105.0</v>
      </c>
      <c r="AD19" s="19">
        <v>118.0</v>
      </c>
      <c r="AE19" s="19">
        <v>92.0</v>
      </c>
      <c r="AF19" s="19">
        <v>77.0</v>
      </c>
      <c r="AG19" s="19">
        <v>92.0</v>
      </c>
      <c r="AH19" s="13">
        <f t="shared" ref="AH19:AH30" si="2">SUM(E19:AG19)</f>
        <v>2769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87.0</v>
      </c>
      <c r="G20" s="19">
        <v>81.0</v>
      </c>
      <c r="H20" s="19">
        <v>122.0</v>
      </c>
      <c r="I20" s="19">
        <v>96.0</v>
      </c>
      <c r="J20" s="19">
        <v>90.0</v>
      </c>
      <c r="K20" s="19">
        <v>96.0</v>
      </c>
      <c r="L20" s="19">
        <v>79.0</v>
      </c>
      <c r="M20" s="19">
        <v>102.0</v>
      </c>
      <c r="N20" s="19">
        <v>126.0</v>
      </c>
      <c r="O20" s="19">
        <v>117.0</v>
      </c>
      <c r="P20" s="19">
        <v>126.0</v>
      </c>
      <c r="Q20" s="19">
        <v>100.0</v>
      </c>
      <c r="R20" s="19">
        <v>92.0</v>
      </c>
      <c r="S20" s="19">
        <v>99.0</v>
      </c>
      <c r="T20" s="19">
        <v>102.0</v>
      </c>
      <c r="U20" s="19">
        <v>122.0</v>
      </c>
      <c r="V20" s="19">
        <v>90.0</v>
      </c>
      <c r="W20" s="19">
        <v>90.0</v>
      </c>
      <c r="X20" s="19">
        <v>84.0</v>
      </c>
      <c r="Y20" s="19">
        <v>55.0</v>
      </c>
      <c r="Z20" s="19">
        <v>110.0</v>
      </c>
      <c r="AA20" s="19">
        <v>100.0</v>
      </c>
      <c r="AB20" s="19">
        <v>112.0</v>
      </c>
      <c r="AC20" s="19">
        <v>100.0</v>
      </c>
      <c r="AD20" s="19">
        <v>98.0</v>
      </c>
      <c r="AE20" s="19">
        <v>89.0</v>
      </c>
      <c r="AF20" s="19">
        <v>78.0</v>
      </c>
      <c r="AG20" s="19">
        <v>104.0</v>
      </c>
      <c r="AH20" s="13">
        <f t="shared" si="2"/>
        <v>2859</v>
      </c>
    </row>
    <row r="21" ht="12.75" customHeight="1">
      <c r="A21" s="35"/>
      <c r="B21" s="28"/>
      <c r="C21" s="36"/>
      <c r="D21" s="13" t="s">
        <v>14</v>
      </c>
      <c r="E21" s="13">
        <v>227.0</v>
      </c>
      <c r="F21" s="13">
        <v>179.0</v>
      </c>
      <c r="G21" s="13">
        <v>161.0</v>
      </c>
      <c r="H21" s="13">
        <v>248.0</v>
      </c>
      <c r="I21" s="13">
        <v>193.0</v>
      </c>
      <c r="J21" s="13">
        <v>184.0</v>
      </c>
      <c r="K21" s="13">
        <v>179.0</v>
      </c>
      <c r="L21" s="13">
        <v>152.0</v>
      </c>
      <c r="M21" s="13">
        <v>201.0</v>
      </c>
      <c r="N21" s="13">
        <v>236.0</v>
      </c>
      <c r="O21" s="13">
        <v>230.0</v>
      </c>
      <c r="P21" s="13">
        <v>240.0</v>
      </c>
      <c r="Q21" s="13">
        <v>196.0</v>
      </c>
      <c r="R21" s="13">
        <v>182.0</v>
      </c>
      <c r="S21" s="13">
        <v>183.0</v>
      </c>
      <c r="T21" s="13">
        <v>198.0</v>
      </c>
      <c r="U21" s="13">
        <v>229.0</v>
      </c>
      <c r="V21" s="13">
        <v>174.0</v>
      </c>
      <c r="W21" s="13">
        <v>168.0</v>
      </c>
      <c r="X21" s="13">
        <v>165.0</v>
      </c>
      <c r="Y21" s="13">
        <v>112.0</v>
      </c>
      <c r="Z21" s="13">
        <v>216.0</v>
      </c>
      <c r="AA21" s="13">
        <v>207.0</v>
      </c>
      <c r="AB21" s="13">
        <v>215.0</v>
      </c>
      <c r="AC21" s="13">
        <v>205.0</v>
      </c>
      <c r="AD21" s="13">
        <v>216.0</v>
      </c>
      <c r="AE21" s="13">
        <v>181.0</v>
      </c>
      <c r="AF21" s="13">
        <v>155.0</v>
      </c>
      <c r="AG21" s="13">
        <v>196.0</v>
      </c>
      <c r="AH21" s="13">
        <f t="shared" si="2"/>
        <v>5628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2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2"/>
        <v>2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2.0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1.0</v>
      </c>
      <c r="V24" s="13">
        <v>1.0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f t="shared" si="2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3.0</v>
      </c>
      <c r="I25" s="19">
        <v>1.0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0.0</v>
      </c>
      <c r="P25" s="19">
        <v>4.0</v>
      </c>
      <c r="Q25" s="19">
        <v>1.0</v>
      </c>
      <c r="R25" s="19">
        <v>1.0</v>
      </c>
      <c r="S25" s="19">
        <v>0.0</v>
      </c>
      <c r="T25" s="19">
        <v>2.0</v>
      </c>
      <c r="U25" s="19">
        <v>2.0</v>
      </c>
      <c r="V25" s="19">
        <v>1.0</v>
      </c>
      <c r="W25" s="19">
        <v>0.0</v>
      </c>
      <c r="X25" s="19">
        <v>6.0</v>
      </c>
      <c r="Y25" s="19">
        <v>1.0</v>
      </c>
      <c r="Z25" s="19">
        <v>0.0</v>
      </c>
      <c r="AA25" s="19">
        <v>0.0</v>
      </c>
      <c r="AB25" s="19">
        <v>2.0</v>
      </c>
      <c r="AC25" s="19">
        <v>1.0</v>
      </c>
      <c r="AD25" s="19">
        <v>1.0</v>
      </c>
      <c r="AE25" s="19">
        <v>0.0</v>
      </c>
      <c r="AF25" s="19">
        <v>0.0</v>
      </c>
      <c r="AG25" s="19">
        <v>0.0</v>
      </c>
      <c r="AH25" s="13">
        <f t="shared" si="2"/>
        <v>30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4.0</v>
      </c>
      <c r="I26" s="19">
        <v>1.0</v>
      </c>
      <c r="J26" s="19">
        <v>0.0</v>
      </c>
      <c r="K26" s="19">
        <v>1.0</v>
      </c>
      <c r="L26" s="19">
        <v>3.0</v>
      </c>
      <c r="M26" s="19">
        <v>1.0</v>
      </c>
      <c r="N26" s="19">
        <v>2.0</v>
      </c>
      <c r="O26" s="19">
        <v>0.0</v>
      </c>
      <c r="P26" s="19">
        <v>4.0</v>
      </c>
      <c r="Q26" s="19">
        <v>0.0</v>
      </c>
      <c r="R26" s="19">
        <v>0.0</v>
      </c>
      <c r="S26" s="19">
        <v>0.0</v>
      </c>
      <c r="T26" s="19">
        <v>1.0</v>
      </c>
      <c r="U26" s="19">
        <v>1.0</v>
      </c>
      <c r="V26" s="19">
        <v>0.0</v>
      </c>
      <c r="W26" s="19">
        <v>1.0</v>
      </c>
      <c r="X26" s="19">
        <v>2.0</v>
      </c>
      <c r="Y26" s="19">
        <v>5.0</v>
      </c>
      <c r="Z26" s="19">
        <v>0.0</v>
      </c>
      <c r="AA26" s="19">
        <v>0.0</v>
      </c>
      <c r="AB26" s="19">
        <v>0.0</v>
      </c>
      <c r="AC26" s="19">
        <v>0.0</v>
      </c>
      <c r="AD26" s="19">
        <v>3.0</v>
      </c>
      <c r="AE26" s="19">
        <v>0.0</v>
      </c>
      <c r="AF26" s="19">
        <v>3.0</v>
      </c>
      <c r="AG26" s="19">
        <v>0.0</v>
      </c>
      <c r="AH26" s="13">
        <f t="shared" si="2"/>
        <v>32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0.0</v>
      </c>
      <c r="G27" s="13">
        <v>1.0</v>
      </c>
      <c r="H27" s="13">
        <v>7.0</v>
      </c>
      <c r="I27" s="13">
        <v>2.0</v>
      </c>
      <c r="J27" s="13">
        <v>0.0</v>
      </c>
      <c r="K27" s="13">
        <v>1.0</v>
      </c>
      <c r="L27" s="13">
        <v>4.0</v>
      </c>
      <c r="M27" s="13">
        <v>2.0</v>
      </c>
      <c r="N27" s="13">
        <v>3.0</v>
      </c>
      <c r="O27" s="13">
        <v>0.0</v>
      </c>
      <c r="P27" s="13">
        <v>8.0</v>
      </c>
      <c r="Q27" s="13">
        <v>1.0</v>
      </c>
      <c r="R27" s="13">
        <v>1.0</v>
      </c>
      <c r="S27" s="13">
        <v>0.0</v>
      </c>
      <c r="T27" s="13">
        <v>3.0</v>
      </c>
      <c r="U27" s="13">
        <v>3.0</v>
      </c>
      <c r="V27" s="13">
        <v>1.0</v>
      </c>
      <c r="W27" s="13">
        <v>1.0</v>
      </c>
      <c r="X27" s="13">
        <v>8.0</v>
      </c>
      <c r="Y27" s="13">
        <v>6.0</v>
      </c>
      <c r="Z27" s="13">
        <v>0.0</v>
      </c>
      <c r="AA27" s="13">
        <v>0.0</v>
      </c>
      <c r="AB27" s="13">
        <v>2.0</v>
      </c>
      <c r="AC27" s="13">
        <v>1.0</v>
      </c>
      <c r="AD27" s="13">
        <v>4.0</v>
      </c>
      <c r="AE27" s="13">
        <v>0.0</v>
      </c>
      <c r="AF27" s="13">
        <v>3.0</v>
      </c>
      <c r="AG27" s="13">
        <v>0.0</v>
      </c>
      <c r="AH27" s="13">
        <f t="shared" si="2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115.0</v>
      </c>
      <c r="F28" s="13">
        <v>92.0</v>
      </c>
      <c r="G28" s="13">
        <v>81.0</v>
      </c>
      <c r="H28" s="13">
        <v>129.0</v>
      </c>
      <c r="I28" s="13">
        <v>98.0</v>
      </c>
      <c r="J28" s="13">
        <v>94.0</v>
      </c>
      <c r="K28" s="13">
        <v>83.0</v>
      </c>
      <c r="L28" s="13">
        <v>74.0</v>
      </c>
      <c r="M28" s="13">
        <v>101.0</v>
      </c>
      <c r="N28" s="13">
        <v>111.0</v>
      </c>
      <c r="O28" s="13">
        <v>113.0</v>
      </c>
      <c r="P28" s="13">
        <v>118.0</v>
      </c>
      <c r="Q28" s="13">
        <v>97.0</v>
      </c>
      <c r="R28" s="13">
        <v>91.0</v>
      </c>
      <c r="S28" s="13">
        <v>84.0</v>
      </c>
      <c r="T28" s="13">
        <v>98.0</v>
      </c>
      <c r="U28" s="13">
        <v>110.0</v>
      </c>
      <c r="V28" s="13">
        <v>86.0</v>
      </c>
      <c r="W28" s="13">
        <v>78.0</v>
      </c>
      <c r="X28" s="13">
        <v>87.0</v>
      </c>
      <c r="Y28" s="13">
        <v>58.0</v>
      </c>
      <c r="Z28" s="13">
        <v>106.0</v>
      </c>
      <c r="AA28" s="13">
        <v>107.0</v>
      </c>
      <c r="AB28" s="13">
        <v>105.0</v>
      </c>
      <c r="AC28" s="13">
        <v>106.0</v>
      </c>
      <c r="AD28" s="13">
        <v>119.0</v>
      </c>
      <c r="AE28" s="13">
        <v>92.0</v>
      </c>
      <c r="AF28" s="13">
        <v>77.0</v>
      </c>
      <c r="AG28" s="13">
        <v>92.0</v>
      </c>
      <c r="AH28" s="13">
        <f t="shared" si="2"/>
        <v>2802</v>
      </c>
    </row>
    <row r="29" ht="12.75" customHeight="1">
      <c r="A29" s="35"/>
      <c r="B29" s="27"/>
      <c r="C29" s="34"/>
      <c r="D29" s="13" t="s">
        <v>13</v>
      </c>
      <c r="E29" s="13">
        <v>112.0</v>
      </c>
      <c r="F29" s="13">
        <v>87.0</v>
      </c>
      <c r="G29" s="13">
        <v>81.0</v>
      </c>
      <c r="H29" s="13">
        <v>126.0</v>
      </c>
      <c r="I29" s="13">
        <v>98.0</v>
      </c>
      <c r="J29" s="13">
        <v>90.0</v>
      </c>
      <c r="K29" s="13">
        <v>97.0</v>
      </c>
      <c r="L29" s="13">
        <v>82.0</v>
      </c>
      <c r="M29" s="13">
        <v>104.0</v>
      </c>
      <c r="N29" s="13">
        <v>128.0</v>
      </c>
      <c r="O29" s="13">
        <v>117.0</v>
      </c>
      <c r="P29" s="13">
        <v>130.0</v>
      </c>
      <c r="Q29" s="13">
        <v>100.0</v>
      </c>
      <c r="R29" s="13">
        <v>92.0</v>
      </c>
      <c r="S29" s="13">
        <v>99.0</v>
      </c>
      <c r="T29" s="13">
        <v>103.0</v>
      </c>
      <c r="U29" s="13">
        <v>123.0</v>
      </c>
      <c r="V29" s="13">
        <v>90.0</v>
      </c>
      <c r="W29" s="13">
        <v>91.0</v>
      </c>
      <c r="X29" s="13">
        <v>86.0</v>
      </c>
      <c r="Y29" s="13">
        <v>60.0</v>
      </c>
      <c r="Z29" s="13">
        <v>110.0</v>
      </c>
      <c r="AA29" s="13">
        <v>100.0</v>
      </c>
      <c r="AB29" s="13">
        <v>112.0</v>
      </c>
      <c r="AC29" s="13">
        <v>100.0</v>
      </c>
      <c r="AD29" s="13">
        <v>101.0</v>
      </c>
      <c r="AE29" s="13">
        <v>89.0</v>
      </c>
      <c r="AF29" s="13">
        <v>81.0</v>
      </c>
      <c r="AG29" s="13">
        <v>104.0</v>
      </c>
      <c r="AH29" s="13">
        <f t="shared" si="2"/>
        <v>2893</v>
      </c>
    </row>
    <row r="30" ht="12.75" customHeight="1">
      <c r="A30" s="35"/>
      <c r="B30" s="28"/>
      <c r="C30" s="36"/>
      <c r="D30" s="13" t="s">
        <v>14</v>
      </c>
      <c r="E30" s="13">
        <v>227.0</v>
      </c>
      <c r="F30" s="13">
        <v>179.0</v>
      </c>
      <c r="G30" s="13">
        <v>162.0</v>
      </c>
      <c r="H30" s="13">
        <v>255.0</v>
      </c>
      <c r="I30" s="13">
        <v>196.0</v>
      </c>
      <c r="J30" s="13">
        <v>184.0</v>
      </c>
      <c r="K30" s="13">
        <v>180.0</v>
      </c>
      <c r="L30" s="13">
        <v>156.0</v>
      </c>
      <c r="M30" s="13">
        <v>205.0</v>
      </c>
      <c r="N30" s="13">
        <v>239.0</v>
      </c>
      <c r="O30" s="13">
        <v>230.0</v>
      </c>
      <c r="P30" s="13">
        <v>248.0</v>
      </c>
      <c r="Q30" s="13">
        <v>197.0</v>
      </c>
      <c r="R30" s="13">
        <v>183.0</v>
      </c>
      <c r="S30" s="13">
        <v>183.0</v>
      </c>
      <c r="T30" s="13">
        <v>201.0</v>
      </c>
      <c r="U30" s="13">
        <v>233.0</v>
      </c>
      <c r="V30" s="13">
        <v>176.0</v>
      </c>
      <c r="W30" s="13">
        <v>169.0</v>
      </c>
      <c r="X30" s="13">
        <v>173.0</v>
      </c>
      <c r="Y30" s="13">
        <v>118.0</v>
      </c>
      <c r="Z30" s="13">
        <v>216.0</v>
      </c>
      <c r="AA30" s="13">
        <v>207.0</v>
      </c>
      <c r="AB30" s="13">
        <v>217.0</v>
      </c>
      <c r="AC30" s="13">
        <v>206.0</v>
      </c>
      <c r="AD30" s="13">
        <v>220.0</v>
      </c>
      <c r="AE30" s="13">
        <v>181.0</v>
      </c>
      <c r="AF30" s="13">
        <v>158.0</v>
      </c>
      <c r="AG30" s="13">
        <v>196.0</v>
      </c>
      <c r="AH30" s="13">
        <f t="shared" si="2"/>
        <v>5695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8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235.0</v>
      </c>
      <c r="G33" s="19">
        <v>216.0</v>
      </c>
      <c r="H33" s="19">
        <v>299.0</v>
      </c>
      <c r="I33" s="19">
        <v>252.0</v>
      </c>
      <c r="J33" s="19">
        <v>266.0</v>
      </c>
      <c r="K33" s="19">
        <v>232.0</v>
      </c>
      <c r="L33" s="19">
        <v>206.0</v>
      </c>
      <c r="M33" s="19">
        <v>274.0</v>
      </c>
      <c r="N33" s="19">
        <v>292.0</v>
      </c>
      <c r="O33" s="19">
        <v>297.0</v>
      </c>
      <c r="P33" s="19">
        <v>290.0</v>
      </c>
      <c r="Q33" s="19">
        <v>274.0</v>
      </c>
      <c r="R33" s="19">
        <v>242.0</v>
      </c>
      <c r="S33" s="19">
        <v>239.0</v>
      </c>
      <c r="T33" s="19">
        <v>268.0</v>
      </c>
      <c r="U33" s="19">
        <v>302.0</v>
      </c>
      <c r="V33" s="19">
        <v>275.0</v>
      </c>
      <c r="W33" s="19">
        <v>228.0</v>
      </c>
      <c r="X33" s="19">
        <v>237.0</v>
      </c>
      <c r="Y33" s="19">
        <v>159.0</v>
      </c>
      <c r="Z33" s="19">
        <v>297.0</v>
      </c>
      <c r="AA33" s="19">
        <v>263.0</v>
      </c>
      <c r="AB33" s="19">
        <v>277.0</v>
      </c>
      <c r="AC33" s="19">
        <v>263.0</v>
      </c>
      <c r="AD33" s="19">
        <v>301.0</v>
      </c>
      <c r="AE33" s="19">
        <v>239.0</v>
      </c>
      <c r="AF33" s="19">
        <v>214.0</v>
      </c>
      <c r="AG33" s="19">
        <v>251.0</v>
      </c>
      <c r="AH33" s="13">
        <f t="shared" ref="AH33:AH36" si="3">SUM(E33:AG33)</f>
        <v>7468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179.0</v>
      </c>
      <c r="G34" s="13">
        <v>162.0</v>
      </c>
      <c r="H34" s="13">
        <v>255.0</v>
      </c>
      <c r="I34" s="13">
        <v>196.0</v>
      </c>
      <c r="J34" s="13">
        <v>184.0</v>
      </c>
      <c r="K34" s="13">
        <v>180.0</v>
      </c>
      <c r="L34" s="13">
        <v>156.0</v>
      </c>
      <c r="M34" s="13">
        <v>205.0</v>
      </c>
      <c r="N34" s="13">
        <v>239.0</v>
      </c>
      <c r="O34" s="13">
        <v>230.0</v>
      </c>
      <c r="P34" s="13">
        <v>248.0</v>
      </c>
      <c r="Q34" s="13">
        <v>197.0</v>
      </c>
      <c r="R34" s="13">
        <v>183.0</v>
      </c>
      <c r="S34" s="13">
        <v>183.0</v>
      </c>
      <c r="T34" s="13">
        <v>201.0</v>
      </c>
      <c r="U34" s="13">
        <v>233.0</v>
      </c>
      <c r="V34" s="13">
        <v>176.0</v>
      </c>
      <c r="W34" s="13">
        <v>169.0</v>
      </c>
      <c r="X34" s="13">
        <v>173.0</v>
      </c>
      <c r="Y34" s="13">
        <v>118.0</v>
      </c>
      <c r="Z34" s="13">
        <v>216.0</v>
      </c>
      <c r="AA34" s="13">
        <v>207.0</v>
      </c>
      <c r="AB34" s="13">
        <v>217.0</v>
      </c>
      <c r="AC34" s="13">
        <v>206.0</v>
      </c>
      <c r="AD34" s="13">
        <v>220.0</v>
      </c>
      <c r="AE34" s="13">
        <v>181.0</v>
      </c>
      <c r="AF34" s="13">
        <v>158.0</v>
      </c>
      <c r="AG34" s="13">
        <v>196.0</v>
      </c>
      <c r="AH34" s="13">
        <f t="shared" si="3"/>
        <v>5695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3.0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0.0</v>
      </c>
      <c r="AF35" s="19">
        <v>8.0</v>
      </c>
      <c r="AG35" s="19">
        <v>0.0</v>
      </c>
      <c r="AH35" s="13">
        <f t="shared" si="3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v>53.0</v>
      </c>
      <c r="F36" s="13">
        <v>56.0</v>
      </c>
      <c r="G36" s="13">
        <v>54.0</v>
      </c>
      <c r="H36" s="13">
        <v>41.0</v>
      </c>
      <c r="I36" s="13">
        <v>56.0</v>
      </c>
      <c r="J36" s="13">
        <v>81.0</v>
      </c>
      <c r="K36" s="13">
        <v>50.0</v>
      </c>
      <c r="L36" s="13">
        <v>50.0</v>
      </c>
      <c r="M36" s="13">
        <v>69.0</v>
      </c>
      <c r="N36" s="13">
        <v>53.0</v>
      </c>
      <c r="O36" s="13">
        <v>61.0</v>
      </c>
      <c r="P36" s="13">
        <v>42.0</v>
      </c>
      <c r="Q36" s="13">
        <v>76.0</v>
      </c>
      <c r="R36" s="13">
        <v>59.0</v>
      </c>
      <c r="S36" s="13">
        <v>56.0</v>
      </c>
      <c r="T36" s="13">
        <v>66.0</v>
      </c>
      <c r="U36" s="13">
        <v>69.0</v>
      </c>
      <c r="V36" s="13">
        <v>98.0</v>
      </c>
      <c r="W36" s="13">
        <v>59.0</v>
      </c>
      <c r="X36" s="13">
        <v>63.0</v>
      </c>
      <c r="Y36" s="13">
        <v>41.0</v>
      </c>
      <c r="Z36" s="13">
        <v>81.0</v>
      </c>
      <c r="AA36" s="13">
        <v>55.0</v>
      </c>
      <c r="AB36" s="13">
        <v>57.0</v>
      </c>
      <c r="AC36" s="13">
        <v>57.0</v>
      </c>
      <c r="AD36" s="13">
        <v>80.0</v>
      </c>
      <c r="AE36" s="13">
        <v>58.0</v>
      </c>
      <c r="AF36" s="13">
        <v>48.0</v>
      </c>
      <c r="AG36" s="13">
        <v>55.0</v>
      </c>
      <c r="AH36" s="13">
        <f t="shared" si="3"/>
        <v>1744</v>
      </c>
    </row>
    <row r="37" ht="12.75" customHeight="1">
      <c r="A37" s="24"/>
      <c r="B37" s="15"/>
      <c r="C37" s="15"/>
      <c r="D37" s="15"/>
      <c r="E37" s="24"/>
      <c r="F37" s="40"/>
      <c r="G37" s="40"/>
      <c r="H37" s="40"/>
      <c r="I37" s="85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2.0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3">
        <f t="shared" ref="AH39:AH41" si="4">SUM(E39:AG39)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1.0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4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G41" si="5">SUM(E39:E40)</f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2</v>
      </c>
      <c r="K41" s="13">
        <f t="shared" si="5"/>
        <v>0</v>
      </c>
      <c r="L41" s="13">
        <f t="shared" si="5"/>
        <v>0</v>
      </c>
      <c r="M41" s="13">
        <f t="shared" si="5"/>
        <v>0</v>
      </c>
      <c r="N41" s="13">
        <f t="shared" si="5"/>
        <v>0</v>
      </c>
      <c r="O41" s="13">
        <f t="shared" si="5"/>
        <v>0</v>
      </c>
      <c r="P41" s="13">
        <f t="shared" si="5"/>
        <v>0</v>
      </c>
      <c r="Q41" s="13">
        <f t="shared" si="5"/>
        <v>1</v>
      </c>
      <c r="R41" s="13">
        <f t="shared" si="5"/>
        <v>0</v>
      </c>
      <c r="S41" s="13">
        <f t="shared" si="5"/>
        <v>0</v>
      </c>
      <c r="T41" s="13">
        <f t="shared" si="5"/>
        <v>0</v>
      </c>
      <c r="U41" s="13">
        <f t="shared" si="5"/>
        <v>0</v>
      </c>
      <c r="V41" s="13">
        <f t="shared" si="5"/>
        <v>0</v>
      </c>
      <c r="W41" s="13">
        <f t="shared" si="5"/>
        <v>0</v>
      </c>
      <c r="X41" s="13">
        <f t="shared" si="5"/>
        <v>0</v>
      </c>
      <c r="Y41" s="13">
        <f t="shared" si="5"/>
        <v>3</v>
      </c>
      <c r="Z41" s="13">
        <f t="shared" si="5"/>
        <v>2</v>
      </c>
      <c r="AA41" s="13">
        <f t="shared" si="5"/>
        <v>0</v>
      </c>
      <c r="AB41" s="13">
        <f t="shared" si="5"/>
        <v>0</v>
      </c>
      <c r="AC41" s="13">
        <f t="shared" si="5"/>
        <v>0</v>
      </c>
      <c r="AD41" s="13">
        <f t="shared" si="5"/>
        <v>0</v>
      </c>
      <c r="AE41" s="13">
        <f t="shared" si="5"/>
        <v>0</v>
      </c>
      <c r="AF41" s="13">
        <f t="shared" si="5"/>
        <v>0</v>
      </c>
      <c r="AG41" s="13">
        <f t="shared" si="5"/>
        <v>0</v>
      </c>
      <c r="AH41" s="13">
        <f t="shared" si="4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67"/>
      <c r="X42" s="19"/>
      <c r="Y42" s="67"/>
      <c r="Z42" s="19"/>
      <c r="AA42" s="19"/>
      <c r="AB42" s="19"/>
      <c r="AC42" s="67"/>
      <c r="AD42" s="19"/>
      <c r="AE42" s="67"/>
      <c r="AF42" s="1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69"/>
      <c r="X43" s="13"/>
      <c r="Y43" s="69"/>
      <c r="Z43" s="13"/>
      <c r="AA43" s="13"/>
      <c r="AB43" s="13"/>
      <c r="AC43" s="69"/>
      <c r="AD43" s="13"/>
      <c r="AE43" s="69"/>
      <c r="AF43" s="13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67"/>
      <c r="X44" s="19"/>
      <c r="Y44" s="67"/>
      <c r="Z44" s="19"/>
      <c r="AA44" s="19"/>
      <c r="AB44" s="19"/>
      <c r="AC44" s="67"/>
      <c r="AD44" s="19"/>
      <c r="AE44" s="67"/>
      <c r="AF44" s="19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5.0</v>
      </c>
      <c r="G45" s="19">
        <v>3.0</v>
      </c>
      <c r="H45" s="19">
        <v>5.0</v>
      </c>
      <c r="I45" s="19">
        <v>0.0</v>
      </c>
      <c r="J45" s="19">
        <v>2.0</v>
      </c>
      <c r="K45" s="19">
        <v>5.0</v>
      </c>
      <c r="L45" s="19">
        <v>1.0</v>
      </c>
      <c r="M45" s="19">
        <v>10.0</v>
      </c>
      <c r="N45" s="19">
        <v>2.0</v>
      </c>
      <c r="O45" s="19">
        <v>10.0</v>
      </c>
      <c r="P45" s="19">
        <v>13.0</v>
      </c>
      <c r="Q45" s="19">
        <v>2.0</v>
      </c>
      <c r="R45" s="19">
        <v>4.0</v>
      </c>
      <c r="S45" s="19">
        <v>15.0</v>
      </c>
      <c r="T45" s="19">
        <v>4.0</v>
      </c>
      <c r="U45" s="19">
        <v>12.0</v>
      </c>
      <c r="V45" s="19">
        <v>5.0</v>
      </c>
      <c r="W45" s="19">
        <v>7.0</v>
      </c>
      <c r="X45" s="19">
        <v>4.0</v>
      </c>
      <c r="Y45" s="19">
        <v>3.0</v>
      </c>
      <c r="Z45" s="19">
        <v>3.0</v>
      </c>
      <c r="AA45" s="19">
        <v>7.0</v>
      </c>
      <c r="AB45" s="19">
        <v>0.0</v>
      </c>
      <c r="AC45" s="19">
        <v>9.0</v>
      </c>
      <c r="AD45" s="19">
        <v>1.0</v>
      </c>
      <c r="AE45" s="19">
        <v>4.0</v>
      </c>
      <c r="AF45" s="19">
        <v>3.0</v>
      </c>
      <c r="AG45" s="19">
        <v>4.0</v>
      </c>
      <c r="AH45" s="13">
        <v>0.0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51.0</v>
      </c>
      <c r="F46" s="19">
        <v>16.0</v>
      </c>
      <c r="G46" s="19">
        <v>10.0</v>
      </c>
      <c r="H46" s="19">
        <v>17.0</v>
      </c>
      <c r="I46" s="19">
        <v>9.0</v>
      </c>
      <c r="J46" s="19">
        <v>11.0</v>
      </c>
      <c r="K46" s="19">
        <v>26.0</v>
      </c>
      <c r="L46" s="19">
        <v>6.0</v>
      </c>
      <c r="M46" s="19">
        <v>9.0</v>
      </c>
      <c r="N46" s="19">
        <v>9.0</v>
      </c>
      <c r="O46" s="19">
        <v>11.0</v>
      </c>
      <c r="P46" s="19">
        <v>24.0</v>
      </c>
      <c r="Q46" s="19">
        <v>16.0</v>
      </c>
      <c r="R46" s="19">
        <v>30.0</v>
      </c>
      <c r="S46" s="19">
        <v>49.0</v>
      </c>
      <c r="T46" s="19">
        <v>22.0</v>
      </c>
      <c r="U46" s="19">
        <v>75.0</v>
      </c>
      <c r="V46" s="19">
        <v>15.0</v>
      </c>
      <c r="W46" s="19">
        <v>49.0</v>
      </c>
      <c r="X46" s="19">
        <v>13.0</v>
      </c>
      <c r="Y46" s="19">
        <v>12.0</v>
      </c>
      <c r="Z46" s="19">
        <v>17.0</v>
      </c>
      <c r="AA46" s="19">
        <v>37.0</v>
      </c>
      <c r="AB46" s="19">
        <v>15.0</v>
      </c>
      <c r="AC46" s="19">
        <v>24.0</v>
      </c>
      <c r="AD46" s="19">
        <v>12.0</v>
      </c>
      <c r="AE46" s="19">
        <v>4.0</v>
      </c>
      <c r="AF46" s="19">
        <v>4.0</v>
      </c>
      <c r="AG46" s="19">
        <v>48.0</v>
      </c>
      <c r="AH46" s="13">
        <v>0.0</v>
      </c>
    </row>
    <row r="47" ht="12.75" customHeight="1">
      <c r="A47" s="18"/>
      <c r="B47" s="55">
        <v>2.0</v>
      </c>
      <c r="C47" s="50" t="s">
        <v>41</v>
      </c>
      <c r="D47" s="16"/>
      <c r="E47" s="19">
        <v>12.0</v>
      </c>
      <c r="F47" s="19">
        <v>4.0</v>
      </c>
      <c r="G47" s="19">
        <v>3.0</v>
      </c>
      <c r="H47" s="19">
        <v>2.0</v>
      </c>
      <c r="I47" s="19">
        <v>0.0</v>
      </c>
      <c r="J47" s="19">
        <v>2.0</v>
      </c>
      <c r="K47" s="19">
        <v>4.0</v>
      </c>
      <c r="L47" s="19">
        <v>2.0</v>
      </c>
      <c r="M47" s="19">
        <v>1.0</v>
      </c>
      <c r="N47" s="19">
        <v>23.0</v>
      </c>
      <c r="O47" s="19">
        <v>5.0</v>
      </c>
      <c r="P47" s="19">
        <v>3.0</v>
      </c>
      <c r="Q47" s="19">
        <v>2.0</v>
      </c>
      <c r="R47" s="19">
        <v>1.0</v>
      </c>
      <c r="S47" s="19">
        <v>6.0</v>
      </c>
      <c r="T47" s="19">
        <v>1.0</v>
      </c>
      <c r="U47" s="19">
        <v>5.0</v>
      </c>
      <c r="V47" s="19">
        <v>2.0</v>
      </c>
      <c r="W47" s="19">
        <v>4.0</v>
      </c>
      <c r="X47" s="19">
        <v>3.0</v>
      </c>
      <c r="Y47" s="19">
        <v>2.0</v>
      </c>
      <c r="Z47" s="19">
        <v>6.0</v>
      </c>
      <c r="AA47" s="19">
        <v>8.0</v>
      </c>
      <c r="AB47" s="19">
        <v>6.0</v>
      </c>
      <c r="AC47" s="19">
        <v>4.0</v>
      </c>
      <c r="AD47" s="19">
        <v>3.0</v>
      </c>
      <c r="AE47" s="19">
        <v>1.0</v>
      </c>
      <c r="AF47" s="19">
        <v>4.0</v>
      </c>
      <c r="AG47" s="19">
        <v>6.0</v>
      </c>
      <c r="AH47" s="13">
        <v>0.0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0.0</v>
      </c>
      <c r="J48" s="19">
        <v>1.0</v>
      </c>
      <c r="K48" s="19">
        <v>2.0</v>
      </c>
      <c r="L48" s="19">
        <v>0.0</v>
      </c>
      <c r="M48" s="19">
        <v>0.0</v>
      </c>
      <c r="N48" s="19">
        <v>0.0</v>
      </c>
      <c r="O48" s="19">
        <v>1.0</v>
      </c>
      <c r="P48" s="19">
        <v>1.0</v>
      </c>
      <c r="Q48" s="19">
        <v>0.0</v>
      </c>
      <c r="R48" s="19">
        <v>1.0</v>
      </c>
      <c r="S48" s="19">
        <v>4.0</v>
      </c>
      <c r="T48" s="19">
        <v>0.0</v>
      </c>
      <c r="U48" s="19">
        <v>0.0</v>
      </c>
      <c r="V48" s="19">
        <v>1.0</v>
      </c>
      <c r="W48" s="19">
        <v>2.0</v>
      </c>
      <c r="X48" s="19">
        <v>1.0</v>
      </c>
      <c r="Y48" s="19">
        <v>0.0</v>
      </c>
      <c r="Z48" s="19">
        <v>2.0</v>
      </c>
      <c r="AA48" s="19">
        <v>2.0</v>
      </c>
      <c r="AB48" s="19">
        <v>0.0</v>
      </c>
      <c r="AC48" s="19">
        <v>2.0</v>
      </c>
      <c r="AD48" s="19">
        <v>2.0</v>
      </c>
      <c r="AE48" s="19">
        <v>2.0</v>
      </c>
      <c r="AF48" s="19">
        <v>0.0</v>
      </c>
      <c r="AG48" s="19">
        <v>0.0</v>
      </c>
      <c r="AH48" s="13">
        <v>0.0</v>
      </c>
    </row>
    <row r="49" ht="12.75" customHeight="1">
      <c r="A49" s="18"/>
      <c r="B49" s="55">
        <v>4.0</v>
      </c>
      <c r="C49" s="50" t="s">
        <v>43</v>
      </c>
      <c r="D49" s="16"/>
      <c r="E49" s="19">
        <v>5.0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3.0</v>
      </c>
      <c r="N49" s="19">
        <v>0.0</v>
      </c>
      <c r="O49" s="19">
        <v>1.0</v>
      </c>
      <c r="P49" s="19">
        <v>1.0</v>
      </c>
      <c r="Q49" s="19">
        <v>0.0</v>
      </c>
      <c r="R49" s="19">
        <v>3.0</v>
      </c>
      <c r="S49" s="19">
        <v>1.0</v>
      </c>
      <c r="T49" s="19">
        <v>0.0</v>
      </c>
      <c r="U49" s="19">
        <v>0.0</v>
      </c>
      <c r="V49" s="19">
        <v>2.0</v>
      </c>
      <c r="W49" s="19">
        <v>0.0</v>
      </c>
      <c r="X49" s="19">
        <v>0.0</v>
      </c>
      <c r="Y49" s="19">
        <v>1.0</v>
      </c>
      <c r="Z49" s="19">
        <v>6.0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9">
        <v>1.0</v>
      </c>
      <c r="AG49" s="19">
        <v>0.0</v>
      </c>
      <c r="AH49" s="13">
        <v>0.0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2.0</v>
      </c>
      <c r="U50" s="19">
        <v>2.0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2.0</v>
      </c>
      <c r="AD50" s="19">
        <v>0.0</v>
      </c>
      <c r="AE50" s="19">
        <v>0.0</v>
      </c>
      <c r="AF50" s="19">
        <v>0.0</v>
      </c>
      <c r="AG50" s="19">
        <v>0.0</v>
      </c>
      <c r="AH50" s="13">
        <v>0.0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3.0</v>
      </c>
      <c r="O51" s="19">
        <v>0.0</v>
      </c>
      <c r="P51" s="19">
        <v>1.0</v>
      </c>
      <c r="Q51" s="19">
        <v>3.0</v>
      </c>
      <c r="R51" s="19">
        <v>0.0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1.0</v>
      </c>
      <c r="AE51" s="19">
        <v>0.0</v>
      </c>
      <c r="AF51" s="19">
        <v>0.0</v>
      </c>
      <c r="AG51" s="19">
        <v>1.0</v>
      </c>
      <c r="AH51" s="13">
        <v>0.0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1.0</v>
      </c>
      <c r="AD52" s="19">
        <v>0.0</v>
      </c>
      <c r="AE52" s="19">
        <v>0.0</v>
      </c>
      <c r="AF52" s="19">
        <v>0.0</v>
      </c>
      <c r="AG52" s="19">
        <v>0.0</v>
      </c>
      <c r="AH52" s="13">
        <v>0.0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G55" si="6">SUM(E45:E52)</f>
        <v>78</v>
      </c>
      <c r="F55" s="13">
        <f t="shared" si="6"/>
        <v>28</v>
      </c>
      <c r="G55" s="13">
        <f t="shared" si="6"/>
        <v>17</v>
      </c>
      <c r="H55" s="13">
        <f t="shared" si="6"/>
        <v>27</v>
      </c>
      <c r="I55" s="13">
        <f t="shared" si="6"/>
        <v>10</v>
      </c>
      <c r="J55" s="13">
        <f t="shared" si="6"/>
        <v>16</v>
      </c>
      <c r="K55" s="13">
        <f t="shared" si="6"/>
        <v>38</v>
      </c>
      <c r="L55" s="13">
        <f t="shared" si="6"/>
        <v>9</v>
      </c>
      <c r="M55" s="13">
        <f t="shared" si="6"/>
        <v>23</v>
      </c>
      <c r="N55" s="13">
        <f t="shared" si="6"/>
        <v>37</v>
      </c>
      <c r="O55" s="13">
        <f t="shared" si="6"/>
        <v>28</v>
      </c>
      <c r="P55" s="13">
        <f t="shared" si="6"/>
        <v>44</v>
      </c>
      <c r="Q55" s="13">
        <f t="shared" si="6"/>
        <v>23</v>
      </c>
      <c r="R55" s="13">
        <f t="shared" si="6"/>
        <v>39</v>
      </c>
      <c r="S55" s="13">
        <f t="shared" si="6"/>
        <v>77</v>
      </c>
      <c r="T55" s="13">
        <f t="shared" si="6"/>
        <v>30</v>
      </c>
      <c r="U55" s="13">
        <f t="shared" si="6"/>
        <v>94</v>
      </c>
      <c r="V55" s="13">
        <f t="shared" si="6"/>
        <v>25</v>
      </c>
      <c r="W55" s="13">
        <f t="shared" si="6"/>
        <v>62</v>
      </c>
      <c r="X55" s="13">
        <f t="shared" si="6"/>
        <v>21</v>
      </c>
      <c r="Y55" s="13">
        <f t="shared" si="6"/>
        <v>18</v>
      </c>
      <c r="Z55" s="13">
        <f t="shared" si="6"/>
        <v>34</v>
      </c>
      <c r="AA55" s="13">
        <f t="shared" si="6"/>
        <v>57</v>
      </c>
      <c r="AB55" s="13">
        <f t="shared" si="6"/>
        <v>21</v>
      </c>
      <c r="AC55" s="13">
        <f t="shared" si="6"/>
        <v>42</v>
      </c>
      <c r="AD55" s="13">
        <f t="shared" si="6"/>
        <v>19</v>
      </c>
      <c r="AE55" s="13">
        <f t="shared" si="6"/>
        <v>11</v>
      </c>
      <c r="AF55" s="13">
        <f t="shared" si="6"/>
        <v>12</v>
      </c>
      <c r="AG55" s="13">
        <f t="shared" si="6"/>
        <v>59</v>
      </c>
      <c r="AH55" s="13">
        <f>SUM(E55:AG55)</f>
        <v>999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9.0</v>
      </c>
      <c r="G57" s="19">
        <v>6.0</v>
      </c>
      <c r="H57" s="19">
        <v>13.0</v>
      </c>
      <c r="I57" s="19">
        <v>9.0</v>
      </c>
      <c r="J57" s="19">
        <v>11.0</v>
      </c>
      <c r="K57" s="19">
        <v>4.0</v>
      </c>
      <c r="L57" s="19">
        <v>2.0</v>
      </c>
      <c r="M57" s="19">
        <v>7.0</v>
      </c>
      <c r="N57" s="19">
        <v>10.0</v>
      </c>
      <c r="O57" s="19">
        <v>3.0</v>
      </c>
      <c r="P57" s="19">
        <v>12.0</v>
      </c>
      <c r="Q57" s="19">
        <v>10.0</v>
      </c>
      <c r="R57" s="19">
        <v>7.0</v>
      </c>
      <c r="S57" s="19">
        <v>2.0</v>
      </c>
      <c r="T57" s="19">
        <v>3.0</v>
      </c>
      <c r="U57" s="19">
        <v>4.0</v>
      </c>
      <c r="V57" s="19">
        <v>8.0</v>
      </c>
      <c r="W57" s="19">
        <v>4.0</v>
      </c>
      <c r="X57" s="19">
        <v>15.0</v>
      </c>
      <c r="Y57" s="19">
        <v>9.0</v>
      </c>
      <c r="Z57" s="19">
        <v>5.0</v>
      </c>
      <c r="AA57" s="19">
        <v>8.0</v>
      </c>
      <c r="AB57" s="19">
        <v>0.0</v>
      </c>
      <c r="AC57" s="19">
        <v>12.0</v>
      </c>
      <c r="AD57" s="19">
        <v>13.0</v>
      </c>
      <c r="AE57" s="19">
        <v>5.0</v>
      </c>
      <c r="AF57" s="19">
        <v>10.0</v>
      </c>
      <c r="AG57" s="19">
        <v>5.0</v>
      </c>
      <c r="AH57" s="13">
        <f t="shared" ref="AH57:AH64" si="7">SUM(E57:AG57)</f>
        <v>210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1.0</v>
      </c>
      <c r="F58" s="19">
        <v>3.0</v>
      </c>
      <c r="G58" s="19">
        <v>0.0</v>
      </c>
      <c r="H58" s="19">
        <v>7.0</v>
      </c>
      <c r="I58" s="19">
        <v>2.0</v>
      </c>
      <c r="J58" s="19">
        <v>12.0</v>
      </c>
      <c r="K58" s="19">
        <v>2.0</v>
      </c>
      <c r="L58" s="19">
        <v>4.0</v>
      </c>
      <c r="M58" s="19">
        <v>1.0</v>
      </c>
      <c r="N58" s="19">
        <v>10.0</v>
      </c>
      <c r="O58" s="19">
        <v>7.0</v>
      </c>
      <c r="P58" s="19">
        <v>11.0</v>
      </c>
      <c r="Q58" s="19">
        <v>4.0</v>
      </c>
      <c r="R58" s="19">
        <v>4.0</v>
      </c>
      <c r="S58" s="19">
        <v>1.0</v>
      </c>
      <c r="T58" s="19">
        <v>2.0</v>
      </c>
      <c r="U58" s="19">
        <v>5.0</v>
      </c>
      <c r="V58" s="19">
        <v>11.0</v>
      </c>
      <c r="W58" s="19">
        <v>5.0</v>
      </c>
      <c r="X58" s="19">
        <v>34.0</v>
      </c>
      <c r="Y58" s="19">
        <v>7.0</v>
      </c>
      <c r="Z58" s="19">
        <v>30.0</v>
      </c>
      <c r="AA58" s="19">
        <v>14.0</v>
      </c>
      <c r="AB58" s="19">
        <v>46.0</v>
      </c>
      <c r="AC58" s="19">
        <v>6.0</v>
      </c>
      <c r="AD58" s="19">
        <v>1.0</v>
      </c>
      <c r="AE58" s="19">
        <v>9.0</v>
      </c>
      <c r="AF58" s="19">
        <v>3.0</v>
      </c>
      <c r="AG58" s="19">
        <v>14.0</v>
      </c>
      <c r="AH58" s="13">
        <f t="shared" si="7"/>
        <v>256</v>
      </c>
    </row>
    <row r="59" ht="12.75" customHeight="1">
      <c r="A59" s="18"/>
      <c r="B59" s="55">
        <v>2.0</v>
      </c>
      <c r="C59" s="50" t="s">
        <v>50</v>
      </c>
      <c r="D59" s="56"/>
      <c r="E59" s="19">
        <v>37.0</v>
      </c>
      <c r="F59" s="19">
        <v>4.0</v>
      </c>
      <c r="G59" s="19">
        <v>4.0</v>
      </c>
      <c r="H59" s="19">
        <v>7.0</v>
      </c>
      <c r="I59" s="19">
        <v>6.0</v>
      </c>
      <c r="J59" s="19">
        <v>7.0</v>
      </c>
      <c r="K59" s="19">
        <v>2.0</v>
      </c>
      <c r="L59" s="19">
        <v>4.0</v>
      </c>
      <c r="M59" s="19">
        <v>1.0</v>
      </c>
      <c r="N59" s="19">
        <v>5.0</v>
      </c>
      <c r="O59" s="19">
        <v>3.0</v>
      </c>
      <c r="P59" s="19">
        <v>6.0</v>
      </c>
      <c r="Q59" s="19">
        <v>5.0</v>
      </c>
      <c r="R59" s="19">
        <v>1.0</v>
      </c>
      <c r="S59" s="19">
        <v>0.0</v>
      </c>
      <c r="T59" s="19">
        <v>0.0</v>
      </c>
      <c r="U59" s="19">
        <v>2.0</v>
      </c>
      <c r="V59" s="19">
        <v>2.0</v>
      </c>
      <c r="W59" s="19">
        <v>4.0</v>
      </c>
      <c r="X59" s="19">
        <v>10.0</v>
      </c>
      <c r="Y59" s="19">
        <v>7.0</v>
      </c>
      <c r="Z59" s="19">
        <v>20.0</v>
      </c>
      <c r="AA59" s="19">
        <v>20.0</v>
      </c>
      <c r="AB59" s="19">
        <v>25.0</v>
      </c>
      <c r="AC59" s="19">
        <v>41.0</v>
      </c>
      <c r="AD59" s="19">
        <v>85.0</v>
      </c>
      <c r="AE59" s="19">
        <v>30.0</v>
      </c>
      <c r="AF59" s="19">
        <v>46.0</v>
      </c>
      <c r="AG59" s="19">
        <v>7.0</v>
      </c>
      <c r="AH59" s="13">
        <f t="shared" si="7"/>
        <v>391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3.0</v>
      </c>
      <c r="H60" s="19">
        <v>0.0</v>
      </c>
      <c r="I60" s="19">
        <v>4.0</v>
      </c>
      <c r="J60" s="19">
        <v>1.0</v>
      </c>
      <c r="K60" s="19">
        <v>0.0</v>
      </c>
      <c r="L60" s="19">
        <v>0.0</v>
      </c>
      <c r="M60" s="19">
        <v>0.0</v>
      </c>
      <c r="N60" s="19">
        <v>1.0</v>
      </c>
      <c r="O60" s="19">
        <v>1.0</v>
      </c>
      <c r="P60" s="19">
        <v>3.0</v>
      </c>
      <c r="Q60" s="19">
        <v>0.0</v>
      </c>
      <c r="R60" s="19">
        <v>0.0</v>
      </c>
      <c r="S60" s="19">
        <v>1.0</v>
      </c>
      <c r="T60" s="19">
        <v>1.0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2.0</v>
      </c>
      <c r="AA60" s="19">
        <v>1.0</v>
      </c>
      <c r="AB60" s="19">
        <v>5.0</v>
      </c>
      <c r="AC60" s="19">
        <v>2.0</v>
      </c>
      <c r="AD60" s="19">
        <v>4.0</v>
      </c>
      <c r="AE60" s="19">
        <v>0.0</v>
      </c>
      <c r="AF60" s="19">
        <v>1.0</v>
      </c>
      <c r="AG60" s="19">
        <v>2.0</v>
      </c>
      <c r="AH60" s="13">
        <f t="shared" si="7"/>
        <v>33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5.0</v>
      </c>
      <c r="G61" s="19">
        <v>8.0</v>
      </c>
      <c r="H61" s="19">
        <v>4.0</v>
      </c>
      <c r="I61" s="19">
        <v>4.0</v>
      </c>
      <c r="J61" s="19">
        <v>1.0</v>
      </c>
      <c r="K61" s="19">
        <v>1.0</v>
      </c>
      <c r="L61" s="19">
        <v>0.0</v>
      </c>
      <c r="M61" s="19">
        <v>7.0</v>
      </c>
      <c r="N61" s="19">
        <v>8.0</v>
      </c>
      <c r="O61" s="19">
        <v>1.0</v>
      </c>
      <c r="P61" s="19">
        <v>10.0</v>
      </c>
      <c r="Q61" s="19">
        <v>3.0</v>
      </c>
      <c r="R61" s="19">
        <v>5.0</v>
      </c>
      <c r="S61" s="19">
        <v>5.0</v>
      </c>
      <c r="T61" s="19">
        <v>2.0</v>
      </c>
      <c r="U61" s="19">
        <v>0.0</v>
      </c>
      <c r="V61" s="19">
        <v>2.0</v>
      </c>
      <c r="W61" s="19">
        <v>0.0</v>
      </c>
      <c r="X61" s="19">
        <v>1.0</v>
      </c>
      <c r="Y61" s="19">
        <v>0.0</v>
      </c>
      <c r="Z61" s="19">
        <v>5.0</v>
      </c>
      <c r="AA61" s="19">
        <v>1.0</v>
      </c>
      <c r="AB61" s="19">
        <v>3.0</v>
      </c>
      <c r="AC61" s="19">
        <v>6.0</v>
      </c>
      <c r="AD61" s="19">
        <v>2.0</v>
      </c>
      <c r="AE61" s="19">
        <v>0.0</v>
      </c>
      <c r="AF61" s="19">
        <v>4.0</v>
      </c>
      <c r="AG61" s="19">
        <v>3.0</v>
      </c>
      <c r="AH61" s="13">
        <f t="shared" si="7"/>
        <v>93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2.0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3.0</v>
      </c>
      <c r="AH62" s="13">
        <f t="shared" si="7"/>
        <v>10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1.0</v>
      </c>
      <c r="I63" s="19">
        <v>2.0</v>
      </c>
      <c r="J63" s="19">
        <v>1.0</v>
      </c>
      <c r="K63" s="19">
        <v>1.0</v>
      </c>
      <c r="L63" s="19">
        <v>1.0</v>
      </c>
      <c r="M63" s="19">
        <v>3.0</v>
      </c>
      <c r="N63" s="19">
        <v>0.0</v>
      </c>
      <c r="O63" s="19">
        <v>2.0</v>
      </c>
      <c r="P63" s="19">
        <v>0.0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2.0</v>
      </c>
      <c r="AA63" s="19">
        <v>0.0</v>
      </c>
      <c r="AB63" s="19">
        <v>4.0</v>
      </c>
      <c r="AC63" s="19">
        <v>1.0</v>
      </c>
      <c r="AD63" s="19">
        <v>4.0</v>
      </c>
      <c r="AE63" s="19">
        <v>0.0</v>
      </c>
      <c r="AF63" s="19">
        <v>1.0</v>
      </c>
      <c r="AG63" s="19">
        <v>0.0</v>
      </c>
      <c r="AH63" s="13">
        <f t="shared" si="7"/>
        <v>25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2.0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2.0</v>
      </c>
      <c r="AA64" s="19">
        <v>0.0</v>
      </c>
      <c r="AB64" s="19">
        <v>0.0</v>
      </c>
      <c r="AC64" s="19">
        <v>0.0</v>
      </c>
      <c r="AD64" s="19">
        <v>1.0</v>
      </c>
      <c r="AE64" s="19">
        <v>0.0</v>
      </c>
      <c r="AF64" s="19">
        <v>1.0</v>
      </c>
      <c r="AG64" s="19">
        <v>0.0</v>
      </c>
      <c r="AH64" s="13">
        <f t="shared" si="7"/>
        <v>10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G67" si="8">SUM(E57:E64)</f>
        <v>44</v>
      </c>
      <c r="F67" s="13">
        <f t="shared" si="8"/>
        <v>24</v>
      </c>
      <c r="G67" s="13">
        <f t="shared" si="8"/>
        <v>22</v>
      </c>
      <c r="H67" s="13">
        <f t="shared" si="8"/>
        <v>34</v>
      </c>
      <c r="I67" s="13">
        <f t="shared" si="8"/>
        <v>27</v>
      </c>
      <c r="J67" s="13">
        <f t="shared" si="8"/>
        <v>33</v>
      </c>
      <c r="K67" s="13">
        <f t="shared" si="8"/>
        <v>10</v>
      </c>
      <c r="L67" s="13">
        <f t="shared" si="8"/>
        <v>11</v>
      </c>
      <c r="M67" s="13">
        <f t="shared" si="8"/>
        <v>19</v>
      </c>
      <c r="N67" s="13">
        <f t="shared" si="8"/>
        <v>35</v>
      </c>
      <c r="O67" s="13">
        <f t="shared" si="8"/>
        <v>18</v>
      </c>
      <c r="P67" s="13">
        <f t="shared" si="8"/>
        <v>45</v>
      </c>
      <c r="Q67" s="13">
        <f t="shared" si="8"/>
        <v>24</v>
      </c>
      <c r="R67" s="13">
        <f t="shared" si="8"/>
        <v>17</v>
      </c>
      <c r="S67" s="13">
        <f t="shared" si="8"/>
        <v>10</v>
      </c>
      <c r="T67" s="13">
        <f t="shared" si="8"/>
        <v>8</v>
      </c>
      <c r="U67" s="13">
        <f t="shared" si="8"/>
        <v>11</v>
      </c>
      <c r="V67" s="13">
        <f t="shared" si="8"/>
        <v>23</v>
      </c>
      <c r="W67" s="13">
        <f t="shared" si="8"/>
        <v>14</v>
      </c>
      <c r="X67" s="13">
        <f t="shared" si="8"/>
        <v>60</v>
      </c>
      <c r="Y67" s="13">
        <f t="shared" si="8"/>
        <v>23</v>
      </c>
      <c r="Z67" s="13">
        <f t="shared" si="8"/>
        <v>66</v>
      </c>
      <c r="AA67" s="13">
        <f t="shared" si="8"/>
        <v>44</v>
      </c>
      <c r="AB67" s="13">
        <f t="shared" si="8"/>
        <v>84</v>
      </c>
      <c r="AC67" s="13">
        <f t="shared" si="8"/>
        <v>68</v>
      </c>
      <c r="AD67" s="13">
        <f t="shared" si="8"/>
        <v>110</v>
      </c>
      <c r="AE67" s="13">
        <f t="shared" si="8"/>
        <v>44</v>
      </c>
      <c r="AF67" s="13">
        <f t="shared" si="8"/>
        <v>66</v>
      </c>
      <c r="AG67" s="13">
        <f t="shared" si="8"/>
        <v>34</v>
      </c>
      <c r="AH67" s="13">
        <f>SUM(E67:AG67)</f>
        <v>1028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9.0</v>
      </c>
      <c r="G69" s="19">
        <v>8.0</v>
      </c>
      <c r="H69" s="19">
        <v>7.0</v>
      </c>
      <c r="I69" s="19">
        <v>9.0</v>
      </c>
      <c r="J69" s="19">
        <v>6.0</v>
      </c>
      <c r="K69" s="19">
        <v>5.0</v>
      </c>
      <c r="L69" s="19">
        <v>4.0</v>
      </c>
      <c r="M69" s="19">
        <v>15.0</v>
      </c>
      <c r="N69" s="19">
        <v>14.0</v>
      </c>
      <c r="O69" s="19">
        <v>10.0</v>
      </c>
      <c r="P69" s="19">
        <v>9.0</v>
      </c>
      <c r="Q69" s="19">
        <v>10.0</v>
      </c>
      <c r="R69" s="19">
        <v>7.0</v>
      </c>
      <c r="S69" s="19">
        <v>5.0</v>
      </c>
      <c r="T69" s="19">
        <v>7.0</v>
      </c>
      <c r="U69" s="19">
        <v>3.0</v>
      </c>
      <c r="V69" s="19">
        <v>3.0</v>
      </c>
      <c r="W69" s="19">
        <v>0.0</v>
      </c>
      <c r="X69" s="19">
        <v>0.0</v>
      </c>
      <c r="Y69" s="19">
        <v>2.0</v>
      </c>
      <c r="Z69" s="19">
        <v>2.0</v>
      </c>
      <c r="AA69" s="19">
        <v>10.0</v>
      </c>
      <c r="AB69" s="19">
        <v>1.0</v>
      </c>
      <c r="AC69" s="19">
        <v>3.0</v>
      </c>
      <c r="AD69" s="19">
        <v>5.0</v>
      </c>
      <c r="AE69" s="19">
        <v>7.0</v>
      </c>
      <c r="AF69" s="19">
        <v>9.0</v>
      </c>
      <c r="AG69" s="19">
        <v>4.0</v>
      </c>
      <c r="AH69" s="13">
        <f t="shared" ref="AH69:AH76" si="9">SUM(E69:AG69)</f>
        <v>179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6.0</v>
      </c>
      <c r="F70" s="19">
        <v>4.0</v>
      </c>
      <c r="G70" s="19">
        <v>8.0</v>
      </c>
      <c r="H70" s="19">
        <v>8.0</v>
      </c>
      <c r="I70" s="19">
        <v>7.0</v>
      </c>
      <c r="J70" s="19">
        <v>2.0</v>
      </c>
      <c r="K70" s="19">
        <v>3.0</v>
      </c>
      <c r="L70" s="19">
        <v>5.0</v>
      </c>
      <c r="M70" s="19">
        <v>11.0</v>
      </c>
      <c r="N70" s="19">
        <v>13.0</v>
      </c>
      <c r="O70" s="19">
        <v>11.0</v>
      </c>
      <c r="P70" s="19">
        <v>10.0</v>
      </c>
      <c r="Q70" s="19">
        <v>4.0</v>
      </c>
      <c r="R70" s="19">
        <v>2.0</v>
      </c>
      <c r="S70" s="19">
        <v>0.0</v>
      </c>
      <c r="T70" s="19">
        <v>3.0</v>
      </c>
      <c r="U70" s="19">
        <v>2.0</v>
      </c>
      <c r="V70" s="19">
        <v>10.0</v>
      </c>
      <c r="W70" s="19">
        <v>2.0</v>
      </c>
      <c r="X70" s="19">
        <v>2.0</v>
      </c>
      <c r="Y70" s="19">
        <v>4.0</v>
      </c>
      <c r="Z70" s="19">
        <v>11.0</v>
      </c>
      <c r="AA70" s="19">
        <v>1.0</v>
      </c>
      <c r="AB70" s="19">
        <v>3.0</v>
      </c>
      <c r="AC70" s="19">
        <v>9.0</v>
      </c>
      <c r="AD70" s="19">
        <v>5.0</v>
      </c>
      <c r="AE70" s="19">
        <v>3.0</v>
      </c>
      <c r="AF70" s="19">
        <v>5.0</v>
      </c>
      <c r="AG70" s="19">
        <v>1.0</v>
      </c>
      <c r="AH70" s="13">
        <f t="shared" si="9"/>
        <v>155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4.0</v>
      </c>
      <c r="G71" s="19">
        <v>7.0</v>
      </c>
      <c r="H71" s="19">
        <v>10.0</v>
      </c>
      <c r="I71" s="19">
        <v>4.0</v>
      </c>
      <c r="J71" s="19">
        <v>4.0</v>
      </c>
      <c r="K71" s="19">
        <v>2.0</v>
      </c>
      <c r="L71" s="19">
        <v>1.0</v>
      </c>
      <c r="M71" s="19">
        <v>13.0</v>
      </c>
      <c r="N71" s="19">
        <v>15.0</v>
      </c>
      <c r="O71" s="19">
        <v>5.0</v>
      </c>
      <c r="P71" s="19">
        <v>7.0</v>
      </c>
      <c r="Q71" s="19">
        <v>3.0</v>
      </c>
      <c r="R71" s="19">
        <v>2.0</v>
      </c>
      <c r="S71" s="19">
        <v>1.0</v>
      </c>
      <c r="T71" s="19">
        <v>8.0</v>
      </c>
      <c r="U71" s="19">
        <v>6.0</v>
      </c>
      <c r="V71" s="19">
        <v>3.0</v>
      </c>
      <c r="W71" s="19">
        <v>5.0</v>
      </c>
      <c r="X71" s="19">
        <v>1.0</v>
      </c>
      <c r="Y71" s="19">
        <v>2.0</v>
      </c>
      <c r="Z71" s="19">
        <v>1.0</v>
      </c>
      <c r="AA71" s="19">
        <v>2.0</v>
      </c>
      <c r="AB71" s="19">
        <v>1.0</v>
      </c>
      <c r="AC71" s="19">
        <v>1.0</v>
      </c>
      <c r="AD71" s="19">
        <v>6.0</v>
      </c>
      <c r="AE71" s="19">
        <v>2.0</v>
      </c>
      <c r="AF71" s="19">
        <v>3.0</v>
      </c>
      <c r="AG71" s="19">
        <v>2.0</v>
      </c>
      <c r="AH71" s="13">
        <f t="shared" si="9"/>
        <v>123</v>
      </c>
    </row>
    <row r="72" ht="12.75" customHeight="1">
      <c r="A72" s="18"/>
      <c r="B72" s="55">
        <v>3.0</v>
      </c>
      <c r="C72" s="50" t="s">
        <v>59</v>
      </c>
      <c r="D72" s="57"/>
      <c r="E72" s="19">
        <v>8.0</v>
      </c>
      <c r="F72" s="19">
        <v>5.0</v>
      </c>
      <c r="G72" s="19">
        <v>5.0</v>
      </c>
      <c r="H72" s="19">
        <v>7.0</v>
      </c>
      <c r="I72" s="19">
        <v>4.0</v>
      </c>
      <c r="J72" s="19">
        <v>10.0</v>
      </c>
      <c r="K72" s="19">
        <v>7.0</v>
      </c>
      <c r="L72" s="19">
        <v>0.0</v>
      </c>
      <c r="M72" s="19">
        <v>19.0</v>
      </c>
      <c r="N72" s="19">
        <v>38.0</v>
      </c>
      <c r="O72" s="19">
        <v>7.0</v>
      </c>
      <c r="P72" s="19">
        <v>8.0</v>
      </c>
      <c r="Q72" s="19">
        <v>17.0</v>
      </c>
      <c r="R72" s="19">
        <v>12.0</v>
      </c>
      <c r="S72" s="19">
        <v>7.0</v>
      </c>
      <c r="T72" s="19">
        <v>37.0</v>
      </c>
      <c r="U72" s="19">
        <v>29.0</v>
      </c>
      <c r="V72" s="19">
        <v>14.0</v>
      </c>
      <c r="W72" s="19">
        <v>3.0</v>
      </c>
      <c r="X72" s="19">
        <v>9.0</v>
      </c>
      <c r="Y72" s="19">
        <v>2.0</v>
      </c>
      <c r="Z72" s="19">
        <v>20.0</v>
      </c>
      <c r="AA72" s="19">
        <v>23.0</v>
      </c>
      <c r="AB72" s="19">
        <v>10.0</v>
      </c>
      <c r="AC72" s="19">
        <v>8.0</v>
      </c>
      <c r="AD72" s="19">
        <v>12.0</v>
      </c>
      <c r="AE72" s="19">
        <v>5.0</v>
      </c>
      <c r="AF72" s="19">
        <v>13.0</v>
      </c>
      <c r="AG72" s="19">
        <v>22.0</v>
      </c>
      <c r="AH72" s="13">
        <f t="shared" si="9"/>
        <v>361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2.0</v>
      </c>
      <c r="K73" s="19">
        <v>0.0</v>
      </c>
      <c r="L73" s="19">
        <v>0.0</v>
      </c>
      <c r="M73" s="19">
        <v>1.0</v>
      </c>
      <c r="N73" s="19">
        <v>1.0</v>
      </c>
      <c r="O73" s="19">
        <v>1.0</v>
      </c>
      <c r="P73" s="19">
        <v>1.0</v>
      </c>
      <c r="Q73" s="19">
        <v>0.0</v>
      </c>
      <c r="R73" s="19">
        <v>1.0</v>
      </c>
      <c r="S73" s="19">
        <v>0.0</v>
      </c>
      <c r="T73" s="19">
        <v>0.0</v>
      </c>
      <c r="U73" s="19">
        <v>1.0</v>
      </c>
      <c r="V73" s="19">
        <v>1.0</v>
      </c>
      <c r="W73" s="19">
        <v>0.0</v>
      </c>
      <c r="X73" s="19">
        <v>0.0</v>
      </c>
      <c r="Y73" s="19">
        <v>1.0</v>
      </c>
      <c r="Z73" s="19">
        <v>2.0</v>
      </c>
      <c r="AA73" s="19">
        <v>2.0</v>
      </c>
      <c r="AB73" s="19">
        <v>0.0</v>
      </c>
      <c r="AC73" s="19">
        <v>0.0</v>
      </c>
      <c r="AD73" s="19">
        <v>0.0</v>
      </c>
      <c r="AE73" s="19">
        <v>1.0</v>
      </c>
      <c r="AF73" s="19">
        <v>0.0</v>
      </c>
      <c r="AG73" s="19">
        <v>0.0</v>
      </c>
      <c r="AH73" s="13">
        <f t="shared" si="9"/>
        <v>16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0.0</v>
      </c>
      <c r="G74" s="19">
        <v>1.0</v>
      </c>
      <c r="H74" s="19">
        <v>9.0</v>
      </c>
      <c r="I74" s="19">
        <v>3.0</v>
      </c>
      <c r="J74" s="19">
        <v>2.0</v>
      </c>
      <c r="K74" s="19">
        <v>0.0</v>
      </c>
      <c r="L74" s="19">
        <v>0.0</v>
      </c>
      <c r="M74" s="19">
        <v>5.0</v>
      </c>
      <c r="N74" s="19">
        <v>1.0</v>
      </c>
      <c r="O74" s="19">
        <v>8.0</v>
      </c>
      <c r="P74" s="19">
        <v>3.0</v>
      </c>
      <c r="Q74" s="19">
        <v>2.0</v>
      </c>
      <c r="R74" s="19">
        <v>1.0</v>
      </c>
      <c r="S74" s="19">
        <v>1.0</v>
      </c>
      <c r="T74" s="19">
        <v>1.0</v>
      </c>
      <c r="U74" s="19">
        <v>0.0</v>
      </c>
      <c r="V74" s="19">
        <v>2.0</v>
      </c>
      <c r="W74" s="19">
        <v>3.0</v>
      </c>
      <c r="X74" s="19">
        <v>2.0</v>
      </c>
      <c r="Y74" s="19">
        <v>2.0</v>
      </c>
      <c r="Z74" s="19">
        <v>3.0</v>
      </c>
      <c r="AA74" s="19">
        <v>2.0</v>
      </c>
      <c r="AB74" s="19">
        <v>1.0</v>
      </c>
      <c r="AC74" s="19">
        <v>0.0</v>
      </c>
      <c r="AD74" s="19">
        <v>1.0</v>
      </c>
      <c r="AE74" s="19">
        <v>3.0</v>
      </c>
      <c r="AF74" s="19">
        <v>1.0</v>
      </c>
      <c r="AG74" s="19">
        <v>4.0</v>
      </c>
      <c r="AH74" s="13">
        <f t="shared" si="9"/>
        <v>65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3.0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3.0</v>
      </c>
      <c r="O75" s="19">
        <v>1.0</v>
      </c>
      <c r="P75" s="19">
        <v>3.0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1.0</v>
      </c>
      <c r="W75" s="19">
        <v>1.0</v>
      </c>
      <c r="X75" s="19">
        <v>1.0</v>
      </c>
      <c r="Y75" s="19">
        <v>0.0</v>
      </c>
      <c r="Z75" s="19">
        <v>2.0</v>
      </c>
      <c r="AA75" s="19">
        <v>0.0</v>
      </c>
      <c r="AB75" s="19">
        <v>1.0</v>
      </c>
      <c r="AC75" s="19">
        <v>0.0</v>
      </c>
      <c r="AD75" s="19">
        <v>0.0</v>
      </c>
      <c r="AE75" s="19">
        <v>2.0</v>
      </c>
      <c r="AF75" s="19">
        <v>0.0</v>
      </c>
      <c r="AG75" s="19">
        <v>0.0</v>
      </c>
      <c r="AH75" s="13">
        <f t="shared" si="9"/>
        <v>20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1.0</v>
      </c>
      <c r="N76" s="19">
        <v>1.0</v>
      </c>
      <c r="O76" s="19">
        <v>0.0</v>
      </c>
      <c r="P76" s="19">
        <v>2.0</v>
      </c>
      <c r="Q76" s="19">
        <v>0.0</v>
      </c>
      <c r="R76" s="19">
        <v>0.0</v>
      </c>
      <c r="S76" s="19">
        <v>2.0</v>
      </c>
      <c r="T76" s="19">
        <v>1.0</v>
      </c>
      <c r="U76" s="19">
        <v>0.0</v>
      </c>
      <c r="V76" s="19">
        <v>0.0</v>
      </c>
      <c r="W76" s="19">
        <v>0.0</v>
      </c>
      <c r="X76" s="19">
        <v>1.0</v>
      </c>
      <c r="Y76" s="19">
        <v>0.0</v>
      </c>
      <c r="Z76" s="19">
        <v>0.0</v>
      </c>
      <c r="AA76" s="19">
        <v>0.0</v>
      </c>
      <c r="AB76" s="19">
        <v>5.0</v>
      </c>
      <c r="AC76" s="19">
        <v>0.0</v>
      </c>
      <c r="AD76" s="19">
        <v>0.0</v>
      </c>
      <c r="AE76" s="19">
        <v>1.0</v>
      </c>
      <c r="AF76" s="19">
        <v>0.0</v>
      </c>
      <c r="AG76" s="19">
        <v>0.0</v>
      </c>
      <c r="AH76" s="13">
        <f t="shared" si="9"/>
        <v>16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G79" si="10">SUM(E69:E76)</f>
        <v>26</v>
      </c>
      <c r="F79" s="13">
        <f t="shared" si="10"/>
        <v>22</v>
      </c>
      <c r="G79" s="13">
        <f t="shared" si="10"/>
        <v>30</v>
      </c>
      <c r="H79" s="13">
        <f t="shared" si="10"/>
        <v>45</v>
      </c>
      <c r="I79" s="13">
        <f t="shared" si="10"/>
        <v>27</v>
      </c>
      <c r="J79" s="13">
        <f t="shared" si="10"/>
        <v>28</v>
      </c>
      <c r="K79" s="13">
        <f t="shared" si="10"/>
        <v>17</v>
      </c>
      <c r="L79" s="13">
        <f t="shared" si="10"/>
        <v>10</v>
      </c>
      <c r="M79" s="13">
        <f t="shared" si="10"/>
        <v>65</v>
      </c>
      <c r="N79" s="13">
        <f t="shared" si="10"/>
        <v>86</v>
      </c>
      <c r="O79" s="13">
        <f t="shared" si="10"/>
        <v>43</v>
      </c>
      <c r="P79" s="13">
        <f t="shared" si="10"/>
        <v>43</v>
      </c>
      <c r="Q79" s="13">
        <f t="shared" si="10"/>
        <v>36</v>
      </c>
      <c r="R79" s="13">
        <f t="shared" si="10"/>
        <v>25</v>
      </c>
      <c r="S79" s="13">
        <f t="shared" si="10"/>
        <v>16</v>
      </c>
      <c r="T79" s="13">
        <f t="shared" si="10"/>
        <v>57</v>
      </c>
      <c r="U79" s="13">
        <f t="shared" si="10"/>
        <v>41</v>
      </c>
      <c r="V79" s="13">
        <f t="shared" si="10"/>
        <v>34</v>
      </c>
      <c r="W79" s="13">
        <f t="shared" si="10"/>
        <v>14</v>
      </c>
      <c r="X79" s="13">
        <f t="shared" si="10"/>
        <v>16</v>
      </c>
      <c r="Y79" s="13">
        <f t="shared" si="10"/>
        <v>13</v>
      </c>
      <c r="Z79" s="13">
        <f t="shared" si="10"/>
        <v>41</v>
      </c>
      <c r="AA79" s="13">
        <f t="shared" si="10"/>
        <v>40</v>
      </c>
      <c r="AB79" s="13">
        <f t="shared" si="10"/>
        <v>22</v>
      </c>
      <c r="AC79" s="13">
        <f t="shared" si="10"/>
        <v>21</v>
      </c>
      <c r="AD79" s="13">
        <f t="shared" si="10"/>
        <v>29</v>
      </c>
      <c r="AE79" s="13">
        <f t="shared" si="10"/>
        <v>24</v>
      </c>
      <c r="AF79" s="13">
        <f t="shared" si="10"/>
        <v>31</v>
      </c>
      <c r="AG79" s="13">
        <f t="shared" si="10"/>
        <v>33</v>
      </c>
      <c r="AH79" s="13">
        <f>SUM(E79:AG79)</f>
        <v>935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1.0</v>
      </c>
      <c r="G81" s="19">
        <v>3.0</v>
      </c>
      <c r="H81" s="19">
        <v>1.0</v>
      </c>
      <c r="I81" s="19">
        <v>3.0</v>
      </c>
      <c r="J81" s="19">
        <v>3.0</v>
      </c>
      <c r="K81" s="19">
        <v>0.0</v>
      </c>
      <c r="L81" s="19">
        <v>15.0</v>
      </c>
      <c r="M81" s="19">
        <v>8.0</v>
      </c>
      <c r="N81" s="19">
        <v>6.0</v>
      </c>
      <c r="O81" s="19">
        <v>15.0</v>
      </c>
      <c r="P81" s="19">
        <v>4.0</v>
      </c>
      <c r="Q81" s="19">
        <v>6.0</v>
      </c>
      <c r="R81" s="19">
        <v>2.0</v>
      </c>
      <c r="S81" s="19">
        <v>2.0</v>
      </c>
      <c r="T81" s="19">
        <v>1.0</v>
      </c>
      <c r="U81" s="19">
        <v>1.0</v>
      </c>
      <c r="V81" s="19">
        <v>10.0</v>
      </c>
      <c r="W81" s="19">
        <v>5.0</v>
      </c>
      <c r="X81" s="19">
        <v>10.0</v>
      </c>
      <c r="Y81" s="19">
        <v>2.0</v>
      </c>
      <c r="Z81" s="19">
        <v>0.0</v>
      </c>
      <c r="AA81" s="19">
        <v>1.0</v>
      </c>
      <c r="AB81" s="19">
        <v>0.0</v>
      </c>
      <c r="AC81" s="19">
        <v>2.0</v>
      </c>
      <c r="AD81" s="19">
        <v>0.0</v>
      </c>
      <c r="AE81" s="19">
        <v>6.0</v>
      </c>
      <c r="AF81" s="19">
        <v>0.0</v>
      </c>
      <c r="AG81" s="19">
        <v>2.0</v>
      </c>
      <c r="AH81" s="13">
        <f t="shared" ref="AH81:AH88" si="11">SUM(E81:AG81)</f>
        <v>111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0.0</v>
      </c>
      <c r="G82" s="19">
        <v>0.0</v>
      </c>
      <c r="H82" s="19">
        <v>6.0</v>
      </c>
      <c r="I82" s="19">
        <v>6.0</v>
      </c>
      <c r="J82" s="19">
        <v>6.0</v>
      </c>
      <c r="K82" s="19">
        <v>20.0</v>
      </c>
      <c r="L82" s="19">
        <v>36.0</v>
      </c>
      <c r="M82" s="19">
        <v>32.0</v>
      </c>
      <c r="N82" s="19">
        <v>8.0</v>
      </c>
      <c r="O82" s="19">
        <v>31.0</v>
      </c>
      <c r="P82" s="19">
        <v>6.0</v>
      </c>
      <c r="Q82" s="19">
        <v>10.0</v>
      </c>
      <c r="R82" s="19">
        <v>32.0</v>
      </c>
      <c r="S82" s="19">
        <v>28.0</v>
      </c>
      <c r="T82" s="19">
        <v>0.0</v>
      </c>
      <c r="U82" s="19">
        <v>1.0</v>
      </c>
      <c r="V82" s="19">
        <v>10.0</v>
      </c>
      <c r="W82" s="19">
        <v>6.0</v>
      </c>
      <c r="X82" s="19">
        <v>3.0</v>
      </c>
      <c r="Y82" s="19">
        <v>1.0</v>
      </c>
      <c r="Z82" s="19">
        <v>7.0</v>
      </c>
      <c r="AA82" s="19">
        <v>1.0</v>
      </c>
      <c r="AB82" s="19">
        <v>3.0</v>
      </c>
      <c r="AC82" s="19">
        <v>1.0</v>
      </c>
      <c r="AD82" s="19">
        <v>1.0</v>
      </c>
      <c r="AE82" s="19">
        <v>16.0</v>
      </c>
      <c r="AF82" s="19">
        <v>2.0</v>
      </c>
      <c r="AG82" s="19">
        <v>5.0</v>
      </c>
      <c r="AH82" s="13">
        <f t="shared" si="11"/>
        <v>279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2.0</v>
      </c>
      <c r="G83" s="19">
        <v>6.0</v>
      </c>
      <c r="H83" s="19">
        <v>41.0</v>
      </c>
      <c r="I83" s="19">
        <v>29.0</v>
      </c>
      <c r="J83" s="19">
        <v>4.0</v>
      </c>
      <c r="K83" s="19">
        <v>1.0</v>
      </c>
      <c r="L83" s="19">
        <v>1.0</v>
      </c>
      <c r="M83" s="19">
        <v>9.0</v>
      </c>
      <c r="N83" s="19">
        <v>3.0</v>
      </c>
      <c r="O83" s="19">
        <v>15.0</v>
      </c>
      <c r="P83" s="19">
        <v>7.0</v>
      </c>
      <c r="Q83" s="19">
        <v>5.0</v>
      </c>
      <c r="R83" s="19">
        <v>9.0</v>
      </c>
      <c r="S83" s="19">
        <v>9.0</v>
      </c>
      <c r="T83" s="19">
        <v>2.0</v>
      </c>
      <c r="U83" s="19">
        <v>5.0</v>
      </c>
      <c r="V83" s="19">
        <v>3.0</v>
      </c>
      <c r="W83" s="19">
        <v>3.0</v>
      </c>
      <c r="X83" s="19">
        <v>6.0</v>
      </c>
      <c r="Y83" s="19">
        <v>6.0</v>
      </c>
      <c r="Z83" s="19">
        <v>3.0</v>
      </c>
      <c r="AA83" s="19">
        <v>12.0</v>
      </c>
      <c r="AB83" s="19">
        <v>7.0</v>
      </c>
      <c r="AC83" s="19">
        <v>3.0</v>
      </c>
      <c r="AD83" s="19">
        <v>1.0</v>
      </c>
      <c r="AE83" s="19">
        <v>3.0</v>
      </c>
      <c r="AF83" s="19">
        <v>3.0</v>
      </c>
      <c r="AG83" s="19">
        <v>9.0</v>
      </c>
      <c r="AH83" s="13">
        <f t="shared" si="11"/>
        <v>208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1.0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4.0</v>
      </c>
      <c r="N84" s="19">
        <v>1.0</v>
      </c>
      <c r="O84" s="19">
        <v>3.0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1.0</v>
      </c>
      <c r="Y84" s="19">
        <v>1.0</v>
      </c>
      <c r="Z84" s="19">
        <v>0.0</v>
      </c>
      <c r="AA84" s="19">
        <v>0.0</v>
      </c>
      <c r="AB84" s="19">
        <v>1.0</v>
      </c>
      <c r="AC84" s="19">
        <v>1.0</v>
      </c>
      <c r="AD84" s="19">
        <v>0.0</v>
      </c>
      <c r="AE84" s="19">
        <v>3.0</v>
      </c>
      <c r="AF84" s="19">
        <v>0.0</v>
      </c>
      <c r="AG84" s="19">
        <v>0.0</v>
      </c>
      <c r="AH84" s="13">
        <f t="shared" si="11"/>
        <v>19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1.0</v>
      </c>
      <c r="H85" s="19">
        <v>1.0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2.0</v>
      </c>
      <c r="P85" s="19">
        <v>5.0</v>
      </c>
      <c r="Q85" s="19">
        <v>0.0</v>
      </c>
      <c r="R85" s="19">
        <v>0.0</v>
      </c>
      <c r="S85" s="19">
        <v>0.0</v>
      </c>
      <c r="T85" s="19">
        <v>0.0</v>
      </c>
      <c r="U85" s="19">
        <v>3.0</v>
      </c>
      <c r="V85" s="19">
        <v>0.0</v>
      </c>
      <c r="W85" s="19">
        <v>0.0</v>
      </c>
      <c r="X85" s="19">
        <v>0.0</v>
      </c>
      <c r="Y85" s="19">
        <v>1.0</v>
      </c>
      <c r="Z85" s="19">
        <v>1.0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3">
        <f t="shared" si="11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1.0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1.0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0.0</v>
      </c>
      <c r="AH86" s="13">
        <f t="shared" si="11"/>
        <v>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3">
        <f t="shared" si="11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3">
        <f t="shared" si="11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G91" si="12">SUM(E81:E88)</f>
        <v>7</v>
      </c>
      <c r="F91" s="13">
        <f t="shared" si="12"/>
        <v>4</v>
      </c>
      <c r="G91" s="13">
        <f t="shared" si="12"/>
        <v>12</v>
      </c>
      <c r="H91" s="13">
        <f t="shared" si="12"/>
        <v>49</v>
      </c>
      <c r="I91" s="13">
        <f t="shared" si="12"/>
        <v>38</v>
      </c>
      <c r="J91" s="13">
        <f t="shared" si="12"/>
        <v>14</v>
      </c>
      <c r="K91" s="13">
        <f t="shared" si="12"/>
        <v>21</v>
      </c>
      <c r="L91" s="13">
        <f t="shared" si="12"/>
        <v>52</v>
      </c>
      <c r="M91" s="13">
        <f t="shared" si="12"/>
        <v>54</v>
      </c>
      <c r="N91" s="13">
        <f t="shared" si="12"/>
        <v>19</v>
      </c>
      <c r="O91" s="13">
        <f t="shared" si="12"/>
        <v>67</v>
      </c>
      <c r="P91" s="13">
        <f t="shared" si="12"/>
        <v>22</v>
      </c>
      <c r="Q91" s="13">
        <f t="shared" si="12"/>
        <v>22</v>
      </c>
      <c r="R91" s="13">
        <f t="shared" si="12"/>
        <v>45</v>
      </c>
      <c r="S91" s="13">
        <f t="shared" si="12"/>
        <v>39</v>
      </c>
      <c r="T91" s="13">
        <f t="shared" si="12"/>
        <v>4</v>
      </c>
      <c r="U91" s="13">
        <f t="shared" si="12"/>
        <v>10</v>
      </c>
      <c r="V91" s="13">
        <f t="shared" si="12"/>
        <v>23</v>
      </c>
      <c r="W91" s="13">
        <f t="shared" si="12"/>
        <v>14</v>
      </c>
      <c r="X91" s="13">
        <f t="shared" si="12"/>
        <v>20</v>
      </c>
      <c r="Y91" s="13">
        <f t="shared" si="12"/>
        <v>11</v>
      </c>
      <c r="Z91" s="13">
        <f t="shared" si="12"/>
        <v>11</v>
      </c>
      <c r="AA91" s="13">
        <f t="shared" si="12"/>
        <v>14</v>
      </c>
      <c r="AB91" s="13">
        <f t="shared" si="12"/>
        <v>12</v>
      </c>
      <c r="AC91" s="13">
        <f t="shared" si="12"/>
        <v>7</v>
      </c>
      <c r="AD91" s="13">
        <f t="shared" si="12"/>
        <v>2</v>
      </c>
      <c r="AE91" s="13">
        <f t="shared" si="12"/>
        <v>28</v>
      </c>
      <c r="AF91" s="13">
        <f t="shared" si="12"/>
        <v>5</v>
      </c>
      <c r="AG91" s="13">
        <f t="shared" si="12"/>
        <v>16</v>
      </c>
      <c r="AH91" s="13">
        <f>SUM(E91:AG91)</f>
        <v>642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0.0</v>
      </c>
      <c r="J93" s="19">
        <v>0.0</v>
      </c>
      <c r="K93" s="19">
        <v>1.0</v>
      </c>
      <c r="L93" s="19">
        <v>0.0</v>
      </c>
      <c r="M93" s="19">
        <v>1.0</v>
      </c>
      <c r="N93" s="19">
        <v>0.0</v>
      </c>
      <c r="O93" s="19">
        <v>1.0</v>
      </c>
      <c r="P93" s="19">
        <v>0.0</v>
      </c>
      <c r="Q93" s="19">
        <v>1.0</v>
      </c>
      <c r="R93" s="19">
        <v>0.0</v>
      </c>
      <c r="S93" s="19">
        <v>0.0</v>
      </c>
      <c r="T93" s="19">
        <v>0.0</v>
      </c>
      <c r="U93" s="19">
        <v>3.0</v>
      </c>
      <c r="V93" s="19">
        <v>1.0</v>
      </c>
      <c r="W93" s="19">
        <v>0.0</v>
      </c>
      <c r="X93" s="19">
        <v>0.0</v>
      </c>
      <c r="Y93" s="19">
        <v>1.0</v>
      </c>
      <c r="Z93" s="19">
        <v>1.0</v>
      </c>
      <c r="AA93" s="19">
        <v>1.0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9">
        <v>0.0</v>
      </c>
      <c r="AH93" s="13">
        <f t="shared" ref="AH93:AH100" si="13">SUM(E93:AG93)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0.0</v>
      </c>
      <c r="H94" s="19">
        <v>1.0</v>
      </c>
      <c r="I94" s="19">
        <v>0.0</v>
      </c>
      <c r="J94" s="19">
        <v>1.0</v>
      </c>
      <c r="K94" s="19">
        <v>1.0</v>
      </c>
      <c r="L94" s="19">
        <v>1.0</v>
      </c>
      <c r="M94" s="19">
        <v>0.0</v>
      </c>
      <c r="N94" s="19">
        <v>2.0</v>
      </c>
      <c r="O94" s="19">
        <v>2.0</v>
      </c>
      <c r="P94" s="19">
        <v>1.0</v>
      </c>
      <c r="Q94" s="19">
        <v>0.0</v>
      </c>
      <c r="R94" s="19">
        <v>3.0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1.0</v>
      </c>
      <c r="Y94" s="19">
        <v>0.0</v>
      </c>
      <c r="Z94" s="19">
        <v>1.0</v>
      </c>
      <c r="AA94" s="19">
        <v>0.0</v>
      </c>
      <c r="AB94" s="19">
        <v>2.0</v>
      </c>
      <c r="AC94" s="19">
        <v>0.0</v>
      </c>
      <c r="AD94" s="19">
        <v>0.0</v>
      </c>
      <c r="AE94" s="19">
        <v>3.0</v>
      </c>
      <c r="AF94" s="19">
        <v>1.0</v>
      </c>
      <c r="AG94" s="19">
        <v>0.0</v>
      </c>
      <c r="AH94" s="13">
        <f t="shared" si="13"/>
        <v>22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3.0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3">
        <f t="shared" si="13"/>
        <v>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2.0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3">
        <f t="shared" si="13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3.0</v>
      </c>
      <c r="H97" s="19">
        <v>0.0</v>
      </c>
      <c r="I97" s="19">
        <v>0.0</v>
      </c>
      <c r="J97" s="19">
        <v>1.0</v>
      </c>
      <c r="K97" s="19">
        <v>2.0</v>
      </c>
      <c r="L97" s="19">
        <v>1.0</v>
      </c>
      <c r="M97" s="19">
        <v>1.0</v>
      </c>
      <c r="N97" s="19">
        <v>1.0</v>
      </c>
      <c r="O97" s="19">
        <v>12.0</v>
      </c>
      <c r="P97" s="19">
        <v>0.0</v>
      </c>
      <c r="Q97" s="19">
        <v>0.0</v>
      </c>
      <c r="R97" s="19">
        <v>1.0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3.0</v>
      </c>
      <c r="Y97" s="19">
        <v>4.0</v>
      </c>
      <c r="Z97" s="19">
        <v>24.0</v>
      </c>
      <c r="AA97" s="19">
        <v>1.0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3">
        <f t="shared" si="13"/>
        <v>57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2.0</v>
      </c>
      <c r="K98" s="19">
        <v>21.0</v>
      </c>
      <c r="L98" s="19">
        <v>26.0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1.0</v>
      </c>
      <c r="AF98" s="19">
        <v>0.0</v>
      </c>
      <c r="AG98" s="19">
        <v>0.0</v>
      </c>
      <c r="AH98" s="13">
        <f t="shared" si="13"/>
        <v>50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3">
        <f t="shared" si="13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3">
        <f t="shared" si="13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G103" si="14">SUM(E93:E100)</f>
        <v>1</v>
      </c>
      <c r="F103" s="13">
        <f t="shared" si="14"/>
        <v>3</v>
      </c>
      <c r="G103" s="13">
        <f t="shared" si="14"/>
        <v>7</v>
      </c>
      <c r="H103" s="13">
        <f t="shared" si="14"/>
        <v>2</v>
      </c>
      <c r="I103" s="13">
        <f t="shared" si="14"/>
        <v>0</v>
      </c>
      <c r="J103" s="13">
        <f t="shared" si="14"/>
        <v>4</v>
      </c>
      <c r="K103" s="13">
        <f t="shared" si="14"/>
        <v>25</v>
      </c>
      <c r="L103" s="13">
        <f t="shared" si="14"/>
        <v>28</v>
      </c>
      <c r="M103" s="13">
        <f t="shared" si="14"/>
        <v>2</v>
      </c>
      <c r="N103" s="13">
        <f t="shared" si="14"/>
        <v>3</v>
      </c>
      <c r="O103" s="13">
        <f t="shared" si="14"/>
        <v>15</v>
      </c>
      <c r="P103" s="13">
        <f t="shared" si="14"/>
        <v>1</v>
      </c>
      <c r="Q103" s="13">
        <f t="shared" si="14"/>
        <v>2</v>
      </c>
      <c r="R103" s="13">
        <f t="shared" si="14"/>
        <v>6</v>
      </c>
      <c r="S103" s="13">
        <f t="shared" si="14"/>
        <v>2</v>
      </c>
      <c r="T103" s="13">
        <f t="shared" si="14"/>
        <v>0</v>
      </c>
      <c r="U103" s="13">
        <f t="shared" si="14"/>
        <v>3</v>
      </c>
      <c r="V103" s="13">
        <f t="shared" si="14"/>
        <v>1</v>
      </c>
      <c r="W103" s="13">
        <f t="shared" si="14"/>
        <v>0</v>
      </c>
      <c r="X103" s="13">
        <f t="shared" si="14"/>
        <v>4</v>
      </c>
      <c r="Y103" s="13">
        <f t="shared" si="14"/>
        <v>5</v>
      </c>
      <c r="Z103" s="13">
        <f t="shared" si="14"/>
        <v>26</v>
      </c>
      <c r="AA103" s="13">
        <f t="shared" si="14"/>
        <v>3</v>
      </c>
      <c r="AB103" s="13">
        <f t="shared" si="14"/>
        <v>2</v>
      </c>
      <c r="AC103" s="13">
        <f t="shared" si="14"/>
        <v>0</v>
      </c>
      <c r="AD103" s="13">
        <f t="shared" si="14"/>
        <v>0</v>
      </c>
      <c r="AE103" s="13">
        <f t="shared" si="14"/>
        <v>4</v>
      </c>
      <c r="AF103" s="13">
        <f t="shared" si="14"/>
        <v>1</v>
      </c>
      <c r="AG103" s="13">
        <f t="shared" si="14"/>
        <v>1</v>
      </c>
      <c r="AH103" s="13">
        <f>SUM(E103:AG103)</f>
        <v>151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2.0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2.0</v>
      </c>
      <c r="AD105" s="19">
        <v>1.0</v>
      </c>
      <c r="AE105" s="19">
        <v>0.0</v>
      </c>
      <c r="AF105" s="19">
        <v>0.0</v>
      </c>
      <c r="AG105" s="19">
        <v>0.0</v>
      </c>
      <c r="AH105" s="13">
        <f t="shared" ref="AH105:AH112" si="15">SUM(E105:AG105)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1.0</v>
      </c>
      <c r="P106" s="19">
        <v>0.0</v>
      </c>
      <c r="Q106" s="19">
        <v>1.0</v>
      </c>
      <c r="R106" s="19">
        <v>0.0</v>
      </c>
      <c r="S106" s="19">
        <v>0.0</v>
      </c>
      <c r="T106" s="19">
        <v>1.0</v>
      </c>
      <c r="U106" s="19">
        <v>1.0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3">
        <f t="shared" si="15"/>
        <v>7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2.0</v>
      </c>
      <c r="AH107" s="13">
        <f t="shared" si="15"/>
        <v>7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1.0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1.0</v>
      </c>
      <c r="AG108" s="19">
        <v>0.0</v>
      </c>
      <c r="AH108" s="13">
        <f t="shared" si="15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3">
        <f t="shared" si="15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15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1.0</v>
      </c>
      <c r="S111" s="19">
        <v>0.0</v>
      </c>
      <c r="T111" s="19">
        <v>1.0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3">
        <f t="shared" si="15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3">
        <f t="shared" si="15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G115" si="16">SUM(E105:E112)</f>
        <v>1</v>
      </c>
      <c r="F115" s="13">
        <f t="shared" si="16"/>
        <v>1</v>
      </c>
      <c r="G115" s="13">
        <f t="shared" si="16"/>
        <v>1</v>
      </c>
      <c r="H115" s="13">
        <f t="shared" si="16"/>
        <v>5</v>
      </c>
      <c r="I115" s="13">
        <f t="shared" si="16"/>
        <v>0</v>
      </c>
      <c r="J115" s="13">
        <f t="shared" si="16"/>
        <v>1</v>
      </c>
      <c r="K115" s="13">
        <f t="shared" si="16"/>
        <v>0</v>
      </c>
      <c r="L115" s="13">
        <f t="shared" si="16"/>
        <v>0</v>
      </c>
      <c r="M115" s="13">
        <f t="shared" si="16"/>
        <v>1</v>
      </c>
      <c r="N115" s="13">
        <f t="shared" si="16"/>
        <v>2</v>
      </c>
      <c r="O115" s="13">
        <f t="shared" si="16"/>
        <v>2</v>
      </c>
      <c r="P115" s="13">
        <f t="shared" si="16"/>
        <v>0</v>
      </c>
      <c r="Q115" s="13">
        <f t="shared" si="16"/>
        <v>1</v>
      </c>
      <c r="R115" s="13">
        <f t="shared" si="16"/>
        <v>1</v>
      </c>
      <c r="S115" s="13">
        <f t="shared" si="16"/>
        <v>1</v>
      </c>
      <c r="T115" s="13">
        <f t="shared" si="16"/>
        <v>3</v>
      </c>
      <c r="U115" s="13">
        <f t="shared" si="16"/>
        <v>3</v>
      </c>
      <c r="V115" s="13">
        <f t="shared" si="16"/>
        <v>1</v>
      </c>
      <c r="W115" s="13">
        <f t="shared" si="16"/>
        <v>0</v>
      </c>
      <c r="X115" s="13">
        <f t="shared" si="16"/>
        <v>0</v>
      </c>
      <c r="Y115" s="13">
        <f t="shared" si="16"/>
        <v>0</v>
      </c>
      <c r="Z115" s="13">
        <f t="shared" si="16"/>
        <v>2</v>
      </c>
      <c r="AA115" s="13">
        <f t="shared" si="16"/>
        <v>1</v>
      </c>
      <c r="AB115" s="13">
        <f t="shared" si="16"/>
        <v>0</v>
      </c>
      <c r="AC115" s="13">
        <f t="shared" si="16"/>
        <v>2</v>
      </c>
      <c r="AD115" s="13">
        <f t="shared" si="16"/>
        <v>1</v>
      </c>
      <c r="AE115" s="13">
        <f t="shared" si="16"/>
        <v>0</v>
      </c>
      <c r="AF115" s="13">
        <f t="shared" si="16"/>
        <v>1</v>
      </c>
      <c r="AG115" s="13">
        <f t="shared" si="16"/>
        <v>2</v>
      </c>
      <c r="AH115" s="13">
        <f>SUM(E115:AG115)</f>
        <v>33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H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2.0</v>
      </c>
      <c r="AF117" s="19">
        <v>0.0</v>
      </c>
      <c r="AG117" s="19">
        <v>0.0</v>
      </c>
      <c r="AH117" s="13">
        <f t="shared" ref="AH117:AH120" si="17">SUM(E117:AG117)</f>
        <v>6</v>
      </c>
      <c r="AI117" s="5"/>
      <c r="AJ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1.0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3">
        <f t="shared" si="17"/>
        <v>2</v>
      </c>
      <c r="AI118" s="5"/>
      <c r="AJ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3">
        <f t="shared" si="17"/>
        <v>1</v>
      </c>
      <c r="AI119" s="5"/>
      <c r="AJ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17"/>
        <v>2</v>
      </c>
      <c r="AI120" s="5"/>
      <c r="AJ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74"/>
      <c r="AI121" s="5"/>
      <c r="AJ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74"/>
      <c r="AI122" s="5"/>
      <c r="AJ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74"/>
      <c r="AI123" s="5"/>
      <c r="AJ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74"/>
      <c r="AI124" s="5"/>
      <c r="AJ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74"/>
      <c r="AI125" s="5"/>
      <c r="AJ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74"/>
      <c r="AI126" s="5"/>
      <c r="AJ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G127" si="18">SUM(E117:E120)</f>
        <v>0</v>
      </c>
      <c r="F127" s="58">
        <f t="shared" si="18"/>
        <v>0</v>
      </c>
      <c r="G127" s="58">
        <f t="shared" si="18"/>
        <v>1</v>
      </c>
      <c r="H127" s="58">
        <f t="shared" si="18"/>
        <v>1</v>
      </c>
      <c r="I127" s="58">
        <f t="shared" si="18"/>
        <v>0</v>
      </c>
      <c r="J127" s="58">
        <f t="shared" si="18"/>
        <v>0</v>
      </c>
      <c r="K127" s="58">
        <f t="shared" si="18"/>
        <v>0</v>
      </c>
      <c r="L127" s="58">
        <f t="shared" si="18"/>
        <v>0</v>
      </c>
      <c r="M127" s="58">
        <f t="shared" si="18"/>
        <v>1</v>
      </c>
      <c r="N127" s="58">
        <f t="shared" si="18"/>
        <v>0</v>
      </c>
      <c r="O127" s="58">
        <f t="shared" si="18"/>
        <v>2</v>
      </c>
      <c r="P127" s="58">
        <f t="shared" si="18"/>
        <v>0</v>
      </c>
      <c r="Q127" s="58">
        <f t="shared" si="18"/>
        <v>0</v>
      </c>
      <c r="R127" s="58">
        <f t="shared" si="18"/>
        <v>0</v>
      </c>
      <c r="S127" s="58">
        <f t="shared" si="18"/>
        <v>0</v>
      </c>
      <c r="T127" s="58">
        <f t="shared" si="18"/>
        <v>0</v>
      </c>
      <c r="U127" s="58">
        <f t="shared" si="18"/>
        <v>0</v>
      </c>
      <c r="V127" s="58">
        <f t="shared" si="18"/>
        <v>0</v>
      </c>
      <c r="W127" s="58">
        <f t="shared" si="18"/>
        <v>1</v>
      </c>
      <c r="X127" s="58">
        <f t="shared" si="18"/>
        <v>1</v>
      </c>
      <c r="Y127" s="58">
        <f t="shared" si="18"/>
        <v>0</v>
      </c>
      <c r="Z127" s="58">
        <f t="shared" si="18"/>
        <v>2</v>
      </c>
      <c r="AA127" s="58">
        <f t="shared" si="18"/>
        <v>0</v>
      </c>
      <c r="AB127" s="58">
        <f t="shared" si="18"/>
        <v>0</v>
      </c>
      <c r="AC127" s="58">
        <f t="shared" si="18"/>
        <v>0</v>
      </c>
      <c r="AD127" s="58">
        <f t="shared" si="18"/>
        <v>0</v>
      </c>
      <c r="AE127" s="58">
        <f t="shared" si="18"/>
        <v>2</v>
      </c>
      <c r="AF127" s="58">
        <f t="shared" si="18"/>
        <v>0</v>
      </c>
      <c r="AG127" s="58">
        <f t="shared" si="18"/>
        <v>0</v>
      </c>
      <c r="AH127" s="13">
        <f>SUM(E127:AG127)</f>
        <v>11</v>
      </c>
      <c r="AI127" s="5"/>
      <c r="AJ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5"/>
      <c r="AJ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1.0</v>
      </c>
      <c r="R129" s="19">
        <v>1.0</v>
      </c>
      <c r="S129" s="19">
        <v>0.0</v>
      </c>
      <c r="T129" s="19">
        <v>1.0</v>
      </c>
      <c r="U129" s="19">
        <v>1.0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1.0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1.0</v>
      </c>
      <c r="AH129" s="13">
        <f t="shared" ref="AH129:AH136" si="19">SUM(E129:AG129)</f>
        <v>7</v>
      </c>
      <c r="AI129" s="5"/>
      <c r="AJ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3.0</v>
      </c>
      <c r="G130" s="19">
        <v>3.0</v>
      </c>
      <c r="H130" s="19">
        <v>3.0</v>
      </c>
      <c r="I130" s="19">
        <v>0.0</v>
      </c>
      <c r="J130" s="19">
        <v>0.0</v>
      </c>
      <c r="K130" s="19">
        <v>0.0</v>
      </c>
      <c r="L130" s="19">
        <v>0.0</v>
      </c>
      <c r="M130" s="19">
        <v>1.0</v>
      </c>
      <c r="N130" s="19">
        <v>0.0</v>
      </c>
      <c r="O130" s="19">
        <v>0.0</v>
      </c>
      <c r="P130" s="19">
        <v>1.0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1.0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2.0</v>
      </c>
      <c r="AF130" s="19">
        <v>0.0</v>
      </c>
      <c r="AG130" s="19">
        <v>2.0</v>
      </c>
      <c r="AH130" s="13">
        <f t="shared" si="19"/>
        <v>16</v>
      </c>
      <c r="AI130" s="1"/>
      <c r="AJ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1.0</v>
      </c>
      <c r="J131" s="19">
        <v>1.0</v>
      </c>
      <c r="K131" s="19">
        <v>0.0</v>
      </c>
      <c r="L131" s="19">
        <v>0.0</v>
      </c>
      <c r="M131" s="19">
        <v>2.0</v>
      </c>
      <c r="N131" s="19">
        <v>2.0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1.0</v>
      </c>
      <c r="AG131" s="19">
        <v>0.0</v>
      </c>
      <c r="AH131" s="13">
        <f t="shared" si="19"/>
        <v>9</v>
      </c>
      <c r="AI131" s="52"/>
      <c r="AJ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1.0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0.0</v>
      </c>
      <c r="AH132" s="13">
        <f t="shared" si="19"/>
        <v>3</v>
      </c>
      <c r="AI132" s="5"/>
      <c r="AJ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3">
        <f t="shared" si="19"/>
        <v>2</v>
      </c>
      <c r="AI133" s="5"/>
      <c r="AJ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3">
        <f t="shared" si="19"/>
        <v>0</v>
      </c>
      <c r="AI134" s="5"/>
      <c r="AJ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1.0</v>
      </c>
      <c r="AG135" s="19">
        <v>0.0</v>
      </c>
      <c r="AH135" s="13">
        <f t="shared" si="19"/>
        <v>1</v>
      </c>
      <c r="AI135" s="5"/>
      <c r="AJ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3">
        <f t="shared" si="19"/>
        <v>0</v>
      </c>
      <c r="AI136" s="5"/>
      <c r="AJ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74"/>
      <c r="AI137" s="5"/>
      <c r="AJ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74"/>
      <c r="AI138" s="5"/>
      <c r="AJ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G139" si="20">SUM(E129:E136)</f>
        <v>1</v>
      </c>
      <c r="F139" s="13">
        <f t="shared" si="20"/>
        <v>4</v>
      </c>
      <c r="G139" s="13">
        <f t="shared" si="20"/>
        <v>4</v>
      </c>
      <c r="H139" s="13">
        <f t="shared" si="20"/>
        <v>5</v>
      </c>
      <c r="I139" s="13">
        <f t="shared" si="20"/>
        <v>1</v>
      </c>
      <c r="J139" s="13">
        <f t="shared" si="20"/>
        <v>1</v>
      </c>
      <c r="K139" s="13">
        <f t="shared" si="20"/>
        <v>0</v>
      </c>
      <c r="L139" s="13">
        <f t="shared" si="20"/>
        <v>0</v>
      </c>
      <c r="M139" s="13">
        <f t="shared" si="20"/>
        <v>3</v>
      </c>
      <c r="N139" s="13">
        <f t="shared" si="20"/>
        <v>3</v>
      </c>
      <c r="O139" s="13">
        <f t="shared" si="20"/>
        <v>0</v>
      </c>
      <c r="P139" s="13">
        <f t="shared" si="20"/>
        <v>1</v>
      </c>
      <c r="Q139" s="13">
        <f t="shared" si="20"/>
        <v>1</v>
      </c>
      <c r="R139" s="13">
        <f t="shared" si="20"/>
        <v>1</v>
      </c>
      <c r="S139" s="13">
        <f t="shared" si="20"/>
        <v>0</v>
      </c>
      <c r="T139" s="13">
        <f t="shared" si="20"/>
        <v>1</v>
      </c>
      <c r="U139" s="13">
        <f t="shared" si="20"/>
        <v>2</v>
      </c>
      <c r="V139" s="13">
        <f t="shared" si="20"/>
        <v>0</v>
      </c>
      <c r="W139" s="13">
        <f t="shared" si="20"/>
        <v>0</v>
      </c>
      <c r="X139" s="13">
        <f t="shared" si="20"/>
        <v>0</v>
      </c>
      <c r="Y139" s="13">
        <f t="shared" si="20"/>
        <v>1</v>
      </c>
      <c r="Z139" s="13">
        <f t="shared" si="20"/>
        <v>0</v>
      </c>
      <c r="AA139" s="13">
        <f t="shared" si="20"/>
        <v>1</v>
      </c>
      <c r="AB139" s="13">
        <f t="shared" si="20"/>
        <v>0</v>
      </c>
      <c r="AC139" s="13">
        <f t="shared" si="20"/>
        <v>0</v>
      </c>
      <c r="AD139" s="13">
        <f t="shared" si="20"/>
        <v>0</v>
      </c>
      <c r="AE139" s="13">
        <f t="shared" si="20"/>
        <v>2</v>
      </c>
      <c r="AF139" s="13">
        <f t="shared" si="20"/>
        <v>3</v>
      </c>
      <c r="AG139" s="13">
        <f t="shared" si="20"/>
        <v>3</v>
      </c>
      <c r="AH139" s="13">
        <f>SUM(E139:AG139)</f>
        <v>38</v>
      </c>
      <c r="AI139" s="5"/>
      <c r="AJ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5"/>
      <c r="AJ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3">
        <f t="shared" ref="AH141:AH148" si="21">SUM(E141:AG141)</f>
        <v>0</v>
      </c>
      <c r="AI141" s="1"/>
      <c r="AJ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1.0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1.0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21"/>
        <v>2</v>
      </c>
      <c r="AI142" s="52"/>
      <c r="AJ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21"/>
        <v>0</v>
      </c>
      <c r="AI143" s="5"/>
      <c r="AJ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3">
        <f t="shared" si="21"/>
        <v>0</v>
      </c>
      <c r="AI144" s="5"/>
      <c r="AJ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3">
        <f t="shared" si="21"/>
        <v>0</v>
      </c>
      <c r="AI145" s="5"/>
      <c r="AJ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1.0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3">
        <f t="shared" si="21"/>
        <v>1</v>
      </c>
      <c r="AI146" s="5"/>
      <c r="AJ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3">
        <f t="shared" si="21"/>
        <v>0</v>
      </c>
      <c r="AI147" s="5"/>
      <c r="AJ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3">
        <f t="shared" si="21"/>
        <v>0</v>
      </c>
      <c r="AI148" s="5"/>
      <c r="AJ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74"/>
      <c r="AI149" s="5"/>
      <c r="AJ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74"/>
      <c r="AI150" s="5"/>
      <c r="AJ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G151" si="22">SUM(E141:E148)</f>
        <v>1</v>
      </c>
      <c r="F151" s="13">
        <f t="shared" si="22"/>
        <v>0</v>
      </c>
      <c r="G151" s="13">
        <f t="shared" si="22"/>
        <v>0</v>
      </c>
      <c r="H151" s="13">
        <f t="shared" si="22"/>
        <v>0</v>
      </c>
      <c r="I151" s="13">
        <f t="shared" si="22"/>
        <v>0</v>
      </c>
      <c r="J151" s="13">
        <f t="shared" si="22"/>
        <v>0</v>
      </c>
      <c r="K151" s="13">
        <f t="shared" si="22"/>
        <v>0</v>
      </c>
      <c r="L151" s="13">
        <f t="shared" si="22"/>
        <v>0</v>
      </c>
      <c r="M151" s="13">
        <f t="shared" si="22"/>
        <v>0</v>
      </c>
      <c r="N151" s="13">
        <f t="shared" si="22"/>
        <v>0</v>
      </c>
      <c r="O151" s="13">
        <f t="shared" si="22"/>
        <v>0</v>
      </c>
      <c r="P151" s="13">
        <f t="shared" si="22"/>
        <v>0</v>
      </c>
      <c r="Q151" s="13">
        <f t="shared" si="22"/>
        <v>0</v>
      </c>
      <c r="R151" s="13">
        <f t="shared" si="22"/>
        <v>0</v>
      </c>
      <c r="S151" s="13">
        <f t="shared" si="22"/>
        <v>0</v>
      </c>
      <c r="T151" s="13">
        <f t="shared" si="22"/>
        <v>0</v>
      </c>
      <c r="U151" s="13">
        <f t="shared" si="22"/>
        <v>0</v>
      </c>
      <c r="V151" s="13">
        <f t="shared" si="22"/>
        <v>0</v>
      </c>
      <c r="W151" s="13">
        <f t="shared" si="22"/>
        <v>1</v>
      </c>
      <c r="X151" s="13">
        <f t="shared" si="22"/>
        <v>0</v>
      </c>
      <c r="Y151" s="13">
        <f t="shared" si="22"/>
        <v>0</v>
      </c>
      <c r="Z151" s="13">
        <f t="shared" si="22"/>
        <v>0</v>
      </c>
      <c r="AA151" s="13">
        <f t="shared" si="22"/>
        <v>0</v>
      </c>
      <c r="AB151" s="13">
        <f t="shared" si="22"/>
        <v>1</v>
      </c>
      <c r="AC151" s="13">
        <f t="shared" si="22"/>
        <v>0</v>
      </c>
      <c r="AD151" s="13">
        <f t="shared" si="22"/>
        <v>0</v>
      </c>
      <c r="AE151" s="13">
        <f t="shared" si="22"/>
        <v>0</v>
      </c>
      <c r="AF151" s="13">
        <f t="shared" si="22"/>
        <v>0</v>
      </c>
      <c r="AG151" s="13">
        <f t="shared" si="22"/>
        <v>0</v>
      </c>
      <c r="AH151" s="13">
        <f>SUM(E151:AG151)</f>
        <v>3</v>
      </c>
      <c r="AI151" s="1"/>
      <c r="AJ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13"/>
      <c r="AI152" s="52"/>
      <c r="AJ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1.0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1.0</v>
      </c>
      <c r="AH153" s="13">
        <f t="shared" ref="AH153:AH156" si="23">SUM(E154:AG154)</f>
        <v>3</v>
      </c>
      <c r="AI153" s="5"/>
      <c r="AJ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3">
        <f t="shared" si="23"/>
        <v>3</v>
      </c>
      <c r="AI154" s="5"/>
      <c r="AJ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3">
        <f t="shared" si="23"/>
        <v>2</v>
      </c>
      <c r="AI155" s="5"/>
      <c r="AJ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1.0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3">
        <f t="shared" si="23"/>
        <v>0</v>
      </c>
      <c r="AI156" s="5"/>
      <c r="AJ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3">
        <f>SUM(E163:AG163)</f>
        <v>12</v>
      </c>
      <c r="AI157" s="5"/>
      <c r="AJ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74"/>
      <c r="AI158" s="5"/>
      <c r="AJ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74"/>
      <c r="AI159" s="5"/>
      <c r="AJ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74"/>
      <c r="AI160" s="5"/>
      <c r="AJ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74"/>
      <c r="AI161" s="5"/>
      <c r="AJ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74"/>
      <c r="AI162" s="5"/>
      <c r="AJ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G163" si="24">SUM(E153:E157)</f>
        <v>0</v>
      </c>
      <c r="F163" s="13">
        <f t="shared" si="24"/>
        <v>1</v>
      </c>
      <c r="G163" s="13">
        <f t="shared" si="24"/>
        <v>1</v>
      </c>
      <c r="H163" s="13">
        <f t="shared" si="24"/>
        <v>0</v>
      </c>
      <c r="I163" s="13">
        <f t="shared" si="24"/>
        <v>1</v>
      </c>
      <c r="J163" s="13">
        <f t="shared" si="24"/>
        <v>0</v>
      </c>
      <c r="K163" s="13">
        <f t="shared" si="24"/>
        <v>0</v>
      </c>
      <c r="L163" s="13">
        <f t="shared" si="24"/>
        <v>2</v>
      </c>
      <c r="M163" s="13">
        <f t="shared" si="24"/>
        <v>2</v>
      </c>
      <c r="N163" s="13">
        <f t="shared" si="24"/>
        <v>1</v>
      </c>
      <c r="O163" s="13">
        <f t="shared" si="24"/>
        <v>0</v>
      </c>
      <c r="P163" s="13">
        <f t="shared" si="24"/>
        <v>0</v>
      </c>
      <c r="Q163" s="13">
        <f t="shared" si="24"/>
        <v>0</v>
      </c>
      <c r="R163" s="13">
        <f t="shared" si="24"/>
        <v>0</v>
      </c>
      <c r="S163" s="13">
        <f t="shared" si="24"/>
        <v>1</v>
      </c>
      <c r="T163" s="13">
        <f t="shared" si="24"/>
        <v>0</v>
      </c>
      <c r="U163" s="13">
        <f t="shared" si="24"/>
        <v>0</v>
      </c>
      <c r="V163" s="13">
        <f t="shared" si="24"/>
        <v>1</v>
      </c>
      <c r="W163" s="13">
        <f t="shared" si="24"/>
        <v>0</v>
      </c>
      <c r="X163" s="13">
        <f t="shared" si="24"/>
        <v>0</v>
      </c>
      <c r="Y163" s="13">
        <f t="shared" si="24"/>
        <v>0</v>
      </c>
      <c r="Z163" s="13">
        <f t="shared" si="24"/>
        <v>1</v>
      </c>
      <c r="AA163" s="13">
        <f t="shared" si="24"/>
        <v>0</v>
      </c>
      <c r="AB163" s="13">
        <f t="shared" si="24"/>
        <v>0</v>
      </c>
      <c r="AC163" s="13">
        <f t="shared" si="24"/>
        <v>0</v>
      </c>
      <c r="AD163" s="13">
        <f t="shared" si="24"/>
        <v>0</v>
      </c>
      <c r="AE163" s="13">
        <f t="shared" si="24"/>
        <v>0</v>
      </c>
      <c r="AF163" s="13">
        <f t="shared" si="24"/>
        <v>0</v>
      </c>
      <c r="AG163" s="13">
        <f t="shared" si="24"/>
        <v>1</v>
      </c>
      <c r="AH163" s="13">
        <f>SUM(E164:AG164)</f>
        <v>0</v>
      </c>
      <c r="AI163" s="5"/>
      <c r="AJ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5"/>
      <c r="AJ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1.0</v>
      </c>
      <c r="AH165" s="13">
        <f t="shared" ref="AH165:AH172" si="25">SUM(E165:AG165)</f>
        <v>5</v>
      </c>
      <c r="AI165" s="1"/>
      <c r="AJ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1.0</v>
      </c>
      <c r="AH166" s="13">
        <f t="shared" si="25"/>
        <v>7</v>
      </c>
      <c r="AI166" s="52"/>
      <c r="AJ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3">
        <f t="shared" si="25"/>
        <v>3</v>
      </c>
      <c r="AI167" s="5"/>
      <c r="AJ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1.0</v>
      </c>
      <c r="AF168" s="19">
        <v>0.0</v>
      </c>
      <c r="AG168" s="19">
        <v>0.0</v>
      </c>
      <c r="AH168" s="13">
        <f t="shared" si="25"/>
        <v>2</v>
      </c>
      <c r="AI168" s="5"/>
      <c r="AJ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3">
        <f t="shared" si="25"/>
        <v>1</v>
      </c>
      <c r="AI169" s="5"/>
      <c r="AJ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1.0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3">
        <f t="shared" si="25"/>
        <v>1</v>
      </c>
      <c r="AI170" s="5"/>
      <c r="AJ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3">
        <f t="shared" si="25"/>
        <v>0</v>
      </c>
      <c r="AI171" s="5"/>
      <c r="AJ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3">
        <f t="shared" si="25"/>
        <v>0</v>
      </c>
      <c r="AI172" s="5"/>
      <c r="AJ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74"/>
      <c r="AI173" s="5"/>
      <c r="AJ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74"/>
      <c r="AI174" s="5"/>
      <c r="AJ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G175" si="26">SUM(E165:E172)</f>
        <v>3</v>
      </c>
      <c r="F175" s="13">
        <f t="shared" si="26"/>
        <v>2</v>
      </c>
      <c r="G175" s="13">
        <f t="shared" si="26"/>
        <v>0</v>
      </c>
      <c r="H175" s="13">
        <f t="shared" si="26"/>
        <v>0</v>
      </c>
      <c r="I175" s="13">
        <f t="shared" si="26"/>
        <v>1</v>
      </c>
      <c r="J175" s="13">
        <f t="shared" si="26"/>
        <v>2</v>
      </c>
      <c r="K175" s="13">
        <f t="shared" si="26"/>
        <v>1</v>
      </c>
      <c r="L175" s="13">
        <f t="shared" si="26"/>
        <v>0</v>
      </c>
      <c r="M175" s="13">
        <f t="shared" si="26"/>
        <v>0</v>
      </c>
      <c r="N175" s="13">
        <f t="shared" si="26"/>
        <v>1</v>
      </c>
      <c r="O175" s="13">
        <f t="shared" si="26"/>
        <v>1</v>
      </c>
      <c r="P175" s="13">
        <f t="shared" si="26"/>
        <v>2</v>
      </c>
      <c r="Q175" s="13">
        <f t="shared" si="26"/>
        <v>0</v>
      </c>
      <c r="R175" s="13">
        <f t="shared" si="26"/>
        <v>1</v>
      </c>
      <c r="S175" s="13">
        <f t="shared" si="26"/>
        <v>0</v>
      </c>
      <c r="T175" s="13">
        <f t="shared" si="26"/>
        <v>0</v>
      </c>
      <c r="U175" s="13">
        <f t="shared" si="26"/>
        <v>0</v>
      </c>
      <c r="V175" s="13">
        <f t="shared" si="26"/>
        <v>0</v>
      </c>
      <c r="W175" s="13">
        <f t="shared" si="26"/>
        <v>0</v>
      </c>
      <c r="X175" s="13">
        <f t="shared" si="26"/>
        <v>0</v>
      </c>
      <c r="Y175" s="13">
        <f t="shared" si="26"/>
        <v>1</v>
      </c>
      <c r="Z175" s="13">
        <f t="shared" si="26"/>
        <v>0</v>
      </c>
      <c r="AA175" s="13">
        <f t="shared" si="26"/>
        <v>1</v>
      </c>
      <c r="AB175" s="13">
        <f t="shared" si="26"/>
        <v>0</v>
      </c>
      <c r="AC175" s="13">
        <f t="shared" si="26"/>
        <v>0</v>
      </c>
      <c r="AD175" s="13">
        <f t="shared" si="26"/>
        <v>0</v>
      </c>
      <c r="AE175" s="13">
        <f t="shared" si="26"/>
        <v>1</v>
      </c>
      <c r="AF175" s="13">
        <f t="shared" si="26"/>
        <v>0</v>
      </c>
      <c r="AG175" s="13">
        <f t="shared" si="26"/>
        <v>2</v>
      </c>
      <c r="AH175" s="13">
        <f>SUM(E175:AG175)</f>
        <v>19</v>
      </c>
      <c r="AI175" s="5"/>
      <c r="AJ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1"/>
      <c r="AJ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4.0</v>
      </c>
      <c r="G177" s="19">
        <v>0.0</v>
      </c>
      <c r="H177" s="19">
        <v>0.0</v>
      </c>
      <c r="I177" s="19">
        <v>1.0</v>
      </c>
      <c r="J177" s="19">
        <v>0.0</v>
      </c>
      <c r="K177" s="19">
        <v>1.0</v>
      </c>
      <c r="L177" s="19">
        <v>0.0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1.0</v>
      </c>
      <c r="Y177" s="19">
        <v>2.0</v>
      </c>
      <c r="Z177" s="19">
        <v>0.0</v>
      </c>
      <c r="AA177" s="19">
        <v>1.0</v>
      </c>
      <c r="AB177" s="19">
        <v>0.0</v>
      </c>
      <c r="AC177" s="19">
        <v>0.0</v>
      </c>
      <c r="AD177" s="19">
        <v>0.0</v>
      </c>
      <c r="AE177" s="19">
        <v>1.0</v>
      </c>
      <c r="AF177" s="19">
        <v>0.0</v>
      </c>
      <c r="AG177" s="19">
        <v>2.0</v>
      </c>
      <c r="AH177" s="13">
        <f t="shared" ref="AH177:AH184" si="27">SUM(E177:AG177)</f>
        <v>14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1.0</v>
      </c>
      <c r="I178" s="19">
        <v>1.0</v>
      </c>
      <c r="J178" s="19">
        <v>4.0</v>
      </c>
      <c r="K178" s="19">
        <v>1.0</v>
      </c>
      <c r="L178" s="19">
        <v>0.0</v>
      </c>
      <c r="M178" s="19">
        <v>0.0</v>
      </c>
      <c r="N178" s="19">
        <v>0.0</v>
      </c>
      <c r="O178" s="19">
        <v>1.0</v>
      </c>
      <c r="P178" s="19">
        <v>1.0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1.0</v>
      </c>
      <c r="Z178" s="19">
        <v>1.0</v>
      </c>
      <c r="AA178" s="19">
        <v>0.0</v>
      </c>
      <c r="AB178" s="19">
        <v>1.0</v>
      </c>
      <c r="AC178" s="19">
        <v>1.0</v>
      </c>
      <c r="AD178" s="19">
        <v>0.0</v>
      </c>
      <c r="AE178" s="19">
        <v>0.0</v>
      </c>
      <c r="AF178" s="19">
        <v>0.0</v>
      </c>
      <c r="AG178" s="19">
        <v>0.0</v>
      </c>
      <c r="AH178" s="13">
        <f t="shared" si="27"/>
        <v>15</v>
      </c>
      <c r="AI178" s="5"/>
      <c r="AJ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3">
        <f t="shared" si="27"/>
        <v>5</v>
      </c>
      <c r="AI179" s="5"/>
      <c r="AJ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1.0</v>
      </c>
      <c r="AD180" s="19">
        <v>0.0</v>
      </c>
      <c r="AE180" s="19">
        <v>0.0</v>
      </c>
      <c r="AF180" s="19">
        <v>0.0</v>
      </c>
      <c r="AG180" s="19">
        <v>0.0</v>
      </c>
      <c r="AH180" s="13">
        <f t="shared" si="27"/>
        <v>4</v>
      </c>
      <c r="AI180" s="5"/>
      <c r="AJ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0.0</v>
      </c>
      <c r="Q181" s="19">
        <v>1.0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3">
        <f t="shared" si="27"/>
        <v>5</v>
      </c>
      <c r="AI181" s="5"/>
      <c r="AJ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1.0</v>
      </c>
      <c r="AG182" s="19">
        <v>0.0</v>
      </c>
      <c r="AH182" s="13">
        <f t="shared" si="27"/>
        <v>2</v>
      </c>
      <c r="AI182" s="5"/>
      <c r="AJ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3">
        <f t="shared" si="27"/>
        <v>0</v>
      </c>
      <c r="AI183" s="5"/>
      <c r="AJ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1.0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3">
        <f t="shared" si="27"/>
        <v>1</v>
      </c>
      <c r="AI184" s="5"/>
      <c r="AJ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74"/>
      <c r="AI185" s="5"/>
      <c r="AJ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74"/>
      <c r="AI186" s="5"/>
      <c r="AJ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G187" si="28">SUM(E177:E184)</f>
        <v>1</v>
      </c>
      <c r="F187" s="13">
        <f t="shared" si="28"/>
        <v>6</v>
      </c>
      <c r="G187" s="13">
        <f t="shared" si="28"/>
        <v>1</v>
      </c>
      <c r="H187" s="13">
        <f t="shared" si="28"/>
        <v>1</v>
      </c>
      <c r="I187" s="13">
        <f t="shared" si="28"/>
        <v>3</v>
      </c>
      <c r="J187" s="13">
        <f t="shared" si="28"/>
        <v>6</v>
      </c>
      <c r="K187" s="13">
        <f t="shared" si="28"/>
        <v>2</v>
      </c>
      <c r="L187" s="13">
        <f t="shared" si="28"/>
        <v>0</v>
      </c>
      <c r="M187" s="13">
        <f t="shared" si="28"/>
        <v>1</v>
      </c>
      <c r="N187" s="13">
        <f t="shared" si="28"/>
        <v>1</v>
      </c>
      <c r="O187" s="13">
        <f t="shared" si="28"/>
        <v>1</v>
      </c>
      <c r="P187" s="13">
        <f t="shared" si="28"/>
        <v>2</v>
      </c>
      <c r="Q187" s="13">
        <f t="shared" si="28"/>
        <v>1</v>
      </c>
      <c r="R187" s="13">
        <f t="shared" si="28"/>
        <v>1</v>
      </c>
      <c r="S187" s="13">
        <f t="shared" si="28"/>
        <v>1</v>
      </c>
      <c r="T187" s="13">
        <f t="shared" si="28"/>
        <v>0</v>
      </c>
      <c r="U187" s="13">
        <f t="shared" si="28"/>
        <v>1</v>
      </c>
      <c r="V187" s="13">
        <f t="shared" si="28"/>
        <v>0</v>
      </c>
      <c r="W187" s="13">
        <f t="shared" si="28"/>
        <v>1</v>
      </c>
      <c r="X187" s="13">
        <f t="shared" si="28"/>
        <v>3</v>
      </c>
      <c r="Y187" s="13">
        <f t="shared" si="28"/>
        <v>3</v>
      </c>
      <c r="Z187" s="13">
        <f t="shared" si="28"/>
        <v>1</v>
      </c>
      <c r="AA187" s="13">
        <f t="shared" si="28"/>
        <v>2</v>
      </c>
      <c r="AB187" s="13">
        <f t="shared" si="28"/>
        <v>1</v>
      </c>
      <c r="AC187" s="13">
        <f t="shared" si="28"/>
        <v>2</v>
      </c>
      <c r="AD187" s="13">
        <f t="shared" si="28"/>
        <v>0</v>
      </c>
      <c r="AE187" s="13">
        <f t="shared" si="28"/>
        <v>1</v>
      </c>
      <c r="AF187" s="13">
        <f t="shared" si="28"/>
        <v>1</v>
      </c>
      <c r="AG187" s="13">
        <f t="shared" si="28"/>
        <v>2</v>
      </c>
      <c r="AH187" s="13">
        <f>SUM(E187:AG187)</f>
        <v>46</v>
      </c>
      <c r="AI187" s="1"/>
      <c r="AJ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H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3">
        <f t="shared" ref="AH189:AH196" si="29">SUM(E189:AG189)</f>
        <v>1</v>
      </c>
      <c r="AI189" s="5"/>
      <c r="AJ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3">
        <f t="shared" si="29"/>
        <v>0</v>
      </c>
      <c r="AI190" s="5"/>
      <c r="AJ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1.0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3">
        <f t="shared" si="29"/>
        <v>3</v>
      </c>
      <c r="AI191" s="5"/>
      <c r="AJ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3">
        <f t="shared" si="29"/>
        <v>0</v>
      </c>
      <c r="AI192" s="5"/>
      <c r="AJ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1.0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3">
        <f t="shared" si="29"/>
        <v>1</v>
      </c>
      <c r="AI193" s="5"/>
      <c r="AJ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1.0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3">
        <f t="shared" si="29"/>
        <v>1</v>
      </c>
      <c r="AI194" s="5"/>
      <c r="AJ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3">
        <f t="shared" si="29"/>
        <v>0</v>
      </c>
      <c r="AI195" s="5"/>
      <c r="AJ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1.0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3">
        <f t="shared" si="29"/>
        <v>1</v>
      </c>
      <c r="AI196" s="1"/>
      <c r="AJ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74"/>
      <c r="AI197" s="1"/>
      <c r="AJ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74"/>
      <c r="AI198" s="1"/>
      <c r="AJ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G199" si="30">SUM(E189:E196)</f>
        <v>0</v>
      </c>
      <c r="F199" s="13">
        <f t="shared" si="30"/>
        <v>0</v>
      </c>
      <c r="G199" s="13">
        <f t="shared" si="30"/>
        <v>0</v>
      </c>
      <c r="H199" s="13">
        <f t="shared" si="30"/>
        <v>0</v>
      </c>
      <c r="I199" s="13">
        <f t="shared" si="30"/>
        <v>0</v>
      </c>
      <c r="J199" s="13">
        <f t="shared" si="30"/>
        <v>0</v>
      </c>
      <c r="K199" s="13">
        <f t="shared" si="30"/>
        <v>0</v>
      </c>
      <c r="L199" s="13">
        <f t="shared" si="30"/>
        <v>0</v>
      </c>
      <c r="M199" s="13">
        <f t="shared" si="30"/>
        <v>1</v>
      </c>
      <c r="N199" s="13">
        <f t="shared" si="30"/>
        <v>1</v>
      </c>
      <c r="O199" s="13">
        <f t="shared" si="30"/>
        <v>1</v>
      </c>
      <c r="P199" s="13">
        <f t="shared" si="30"/>
        <v>2</v>
      </c>
      <c r="Q199" s="13">
        <f t="shared" si="30"/>
        <v>0</v>
      </c>
      <c r="R199" s="13">
        <f t="shared" si="30"/>
        <v>0</v>
      </c>
      <c r="S199" s="13">
        <f t="shared" si="30"/>
        <v>1</v>
      </c>
      <c r="T199" s="13">
        <f t="shared" si="30"/>
        <v>0</v>
      </c>
      <c r="U199" s="13">
        <f t="shared" si="30"/>
        <v>0</v>
      </c>
      <c r="V199" s="13">
        <f t="shared" si="30"/>
        <v>0</v>
      </c>
      <c r="W199" s="13">
        <f t="shared" si="30"/>
        <v>0</v>
      </c>
      <c r="X199" s="13">
        <f t="shared" si="30"/>
        <v>0</v>
      </c>
      <c r="Y199" s="13">
        <f t="shared" si="30"/>
        <v>0</v>
      </c>
      <c r="Z199" s="13">
        <f t="shared" si="30"/>
        <v>0</v>
      </c>
      <c r="AA199" s="13">
        <f t="shared" si="30"/>
        <v>1</v>
      </c>
      <c r="AB199" s="13">
        <f t="shared" si="30"/>
        <v>0</v>
      </c>
      <c r="AC199" s="13">
        <f t="shared" si="30"/>
        <v>0</v>
      </c>
      <c r="AD199" s="13">
        <f t="shared" si="30"/>
        <v>0</v>
      </c>
      <c r="AE199" s="13">
        <f t="shared" si="30"/>
        <v>0</v>
      </c>
      <c r="AF199" s="13">
        <f t="shared" si="30"/>
        <v>0</v>
      </c>
      <c r="AG199" s="13">
        <f t="shared" si="30"/>
        <v>0</v>
      </c>
      <c r="AH199" s="13">
        <f>SUM(E199:AG199)</f>
        <v>7</v>
      </c>
      <c r="AI199" s="52"/>
      <c r="AJ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5"/>
      <c r="AJ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7.0</v>
      </c>
      <c r="G201" s="19">
        <v>1.0</v>
      </c>
      <c r="H201" s="19">
        <v>9.0</v>
      </c>
      <c r="I201" s="19">
        <v>6.0</v>
      </c>
      <c r="J201" s="19">
        <v>4.0</v>
      </c>
      <c r="K201" s="19">
        <v>12.0</v>
      </c>
      <c r="L201" s="19">
        <v>5.0</v>
      </c>
      <c r="M201" s="19">
        <v>8.0</v>
      </c>
      <c r="N201" s="19">
        <v>1.0</v>
      </c>
      <c r="O201" s="19">
        <v>4.0</v>
      </c>
      <c r="P201" s="19">
        <v>11.0</v>
      </c>
      <c r="Q201" s="19">
        <v>0.0</v>
      </c>
      <c r="R201" s="19">
        <v>1.0</v>
      </c>
      <c r="S201" s="19">
        <v>2.0</v>
      </c>
      <c r="T201" s="19">
        <v>1.0</v>
      </c>
      <c r="U201" s="19">
        <v>6.0</v>
      </c>
      <c r="V201" s="19">
        <v>11.0</v>
      </c>
      <c r="W201" s="19">
        <v>1.0</v>
      </c>
      <c r="X201" s="19">
        <v>5.0</v>
      </c>
      <c r="Y201" s="19">
        <v>8.0</v>
      </c>
      <c r="Z201" s="19">
        <v>1.0</v>
      </c>
      <c r="AA201" s="19">
        <v>3.0</v>
      </c>
      <c r="AB201" s="19">
        <v>0.0</v>
      </c>
      <c r="AC201" s="19">
        <v>8.0</v>
      </c>
      <c r="AD201" s="19">
        <v>6.0</v>
      </c>
      <c r="AE201" s="19">
        <v>11.0</v>
      </c>
      <c r="AF201" s="19">
        <v>4.0</v>
      </c>
      <c r="AG201" s="19">
        <v>0.0</v>
      </c>
      <c r="AH201" s="13">
        <f t="shared" ref="AH201:AH208" si="31">SUM(E201:AG201)</f>
        <v>137</v>
      </c>
      <c r="AI201" s="5"/>
      <c r="AJ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8.0</v>
      </c>
      <c r="F202" s="19">
        <v>8.0</v>
      </c>
      <c r="G202" s="19">
        <v>5.0</v>
      </c>
      <c r="H202" s="19">
        <v>16.0</v>
      </c>
      <c r="I202" s="19">
        <v>6.0</v>
      </c>
      <c r="J202" s="19">
        <v>10.0</v>
      </c>
      <c r="K202" s="19">
        <v>17.0</v>
      </c>
      <c r="L202" s="19">
        <v>17.0</v>
      </c>
      <c r="M202" s="19">
        <v>3.0</v>
      </c>
      <c r="N202" s="19">
        <v>3.0</v>
      </c>
      <c r="O202" s="19">
        <v>7.0</v>
      </c>
      <c r="P202" s="19">
        <v>12.0</v>
      </c>
      <c r="Q202" s="19">
        <v>7.0</v>
      </c>
      <c r="R202" s="19">
        <v>2.0</v>
      </c>
      <c r="S202" s="19">
        <v>5.0</v>
      </c>
      <c r="T202" s="19">
        <v>1.0</v>
      </c>
      <c r="U202" s="19">
        <v>7.0</v>
      </c>
      <c r="V202" s="19">
        <v>26.0</v>
      </c>
      <c r="W202" s="19">
        <v>5.0</v>
      </c>
      <c r="X202" s="19">
        <v>3.0</v>
      </c>
      <c r="Y202" s="19">
        <v>6.0</v>
      </c>
      <c r="Z202" s="19">
        <v>7.0</v>
      </c>
      <c r="AA202" s="19">
        <v>4.0</v>
      </c>
      <c r="AB202" s="19">
        <v>23.0</v>
      </c>
      <c r="AC202" s="19">
        <v>11.0</v>
      </c>
      <c r="AD202" s="19">
        <v>9.0</v>
      </c>
      <c r="AE202" s="19">
        <v>28.0</v>
      </c>
      <c r="AF202" s="19">
        <v>9.0</v>
      </c>
      <c r="AG202" s="19">
        <v>8.0</v>
      </c>
      <c r="AH202" s="13">
        <f t="shared" si="31"/>
        <v>273</v>
      </c>
      <c r="AI202" s="5"/>
      <c r="AJ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0.0</v>
      </c>
      <c r="G203" s="19">
        <v>3.0</v>
      </c>
      <c r="H203" s="19">
        <v>3.0</v>
      </c>
      <c r="I203" s="19">
        <v>1.0</v>
      </c>
      <c r="J203" s="19">
        <v>5.0</v>
      </c>
      <c r="K203" s="19">
        <v>2.0</v>
      </c>
      <c r="L203" s="19">
        <v>1.0</v>
      </c>
      <c r="M203" s="19">
        <v>2.0</v>
      </c>
      <c r="N203" s="19">
        <v>0.0</v>
      </c>
      <c r="O203" s="19">
        <v>1.0</v>
      </c>
      <c r="P203" s="19">
        <v>2.0</v>
      </c>
      <c r="Q203" s="19">
        <v>1.0</v>
      </c>
      <c r="R203" s="19">
        <v>1.0</v>
      </c>
      <c r="S203" s="19">
        <v>0.0</v>
      </c>
      <c r="T203" s="19">
        <v>0.0</v>
      </c>
      <c r="U203" s="19">
        <v>1.0</v>
      </c>
      <c r="V203" s="19">
        <v>6.0</v>
      </c>
      <c r="W203" s="19">
        <v>1.0</v>
      </c>
      <c r="X203" s="19">
        <v>0.0</v>
      </c>
      <c r="Y203" s="19">
        <v>0.0</v>
      </c>
      <c r="Z203" s="19">
        <v>1.0</v>
      </c>
      <c r="AA203" s="19">
        <v>3.0</v>
      </c>
      <c r="AB203" s="19">
        <v>4.0</v>
      </c>
      <c r="AC203" s="19">
        <v>3.0</v>
      </c>
      <c r="AD203" s="19">
        <v>4.0</v>
      </c>
      <c r="AE203" s="19">
        <v>5.0</v>
      </c>
      <c r="AF203" s="19">
        <v>1.0</v>
      </c>
      <c r="AG203" s="19">
        <v>1.0</v>
      </c>
      <c r="AH203" s="13">
        <f t="shared" si="31"/>
        <v>55</v>
      </c>
      <c r="AI203" s="5"/>
      <c r="AJ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6.0</v>
      </c>
      <c r="G204" s="19">
        <v>1.0</v>
      </c>
      <c r="H204" s="19">
        <v>1.0</v>
      </c>
      <c r="I204" s="19">
        <v>0.0</v>
      </c>
      <c r="J204" s="19">
        <v>0.0</v>
      </c>
      <c r="K204" s="19">
        <v>2.0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3.0</v>
      </c>
      <c r="AC204" s="19">
        <v>2.0</v>
      </c>
      <c r="AD204" s="19">
        <v>1.0</v>
      </c>
      <c r="AE204" s="19">
        <v>0.0</v>
      </c>
      <c r="AF204" s="19">
        <v>2.0</v>
      </c>
      <c r="AG204" s="19">
        <v>0.0</v>
      </c>
      <c r="AH204" s="13">
        <f t="shared" si="31"/>
        <v>18</v>
      </c>
      <c r="AI204" s="5"/>
      <c r="AJ204" s="5"/>
    </row>
    <row r="205" ht="12.75" customHeight="1">
      <c r="A205" s="18"/>
      <c r="B205" s="55">
        <v>4.0</v>
      </c>
      <c r="C205" s="50" t="s">
        <v>151</v>
      </c>
      <c r="D205" s="57"/>
      <c r="E205" s="19">
        <v>5.0</v>
      </c>
      <c r="F205" s="19">
        <v>2.0</v>
      </c>
      <c r="G205" s="19">
        <v>0.0</v>
      </c>
      <c r="H205" s="19">
        <v>4.0</v>
      </c>
      <c r="I205" s="19">
        <v>0.0</v>
      </c>
      <c r="J205" s="19">
        <v>13.0</v>
      </c>
      <c r="K205" s="19">
        <v>20.0</v>
      </c>
      <c r="L205" s="19">
        <v>6.0</v>
      </c>
      <c r="M205" s="19">
        <v>0.0</v>
      </c>
      <c r="N205" s="19">
        <v>0.0</v>
      </c>
      <c r="O205" s="19">
        <v>17.0</v>
      </c>
      <c r="P205" s="19">
        <v>0.0</v>
      </c>
      <c r="Q205" s="19">
        <v>2.0</v>
      </c>
      <c r="R205" s="19">
        <v>0.0</v>
      </c>
      <c r="S205" s="19">
        <v>0.0</v>
      </c>
      <c r="T205" s="19">
        <v>9.0</v>
      </c>
      <c r="U205" s="19">
        <v>14.0</v>
      </c>
      <c r="V205" s="19">
        <v>0.0</v>
      </c>
      <c r="W205" s="19">
        <v>0.0</v>
      </c>
      <c r="X205" s="19">
        <v>3.0</v>
      </c>
      <c r="Y205" s="19">
        <v>1.0</v>
      </c>
      <c r="Z205" s="19">
        <v>6.0</v>
      </c>
      <c r="AA205" s="19">
        <v>2.0</v>
      </c>
      <c r="AB205" s="19">
        <v>4.0</v>
      </c>
      <c r="AC205" s="19">
        <v>4.0</v>
      </c>
      <c r="AD205" s="19">
        <v>1.0</v>
      </c>
      <c r="AE205" s="19">
        <v>0.0</v>
      </c>
      <c r="AF205" s="19">
        <v>0.0</v>
      </c>
      <c r="AG205" s="19">
        <v>1.0</v>
      </c>
      <c r="AH205" s="13">
        <f t="shared" si="31"/>
        <v>114</v>
      </c>
      <c r="AI205" s="5"/>
      <c r="AJ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1.0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1.0</v>
      </c>
      <c r="AA206" s="19">
        <v>0.0</v>
      </c>
      <c r="AB206" s="19">
        <v>1.0</v>
      </c>
      <c r="AC206" s="19">
        <v>1.0</v>
      </c>
      <c r="AD206" s="19">
        <v>0.0</v>
      </c>
      <c r="AE206" s="19">
        <v>1.0</v>
      </c>
      <c r="AF206" s="19">
        <v>0.0</v>
      </c>
      <c r="AG206" s="19">
        <v>0.0</v>
      </c>
      <c r="AH206" s="13">
        <f t="shared" si="31"/>
        <v>9</v>
      </c>
      <c r="AI206" s="5"/>
      <c r="AJ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2.0</v>
      </c>
      <c r="AE207" s="19">
        <v>0.0</v>
      </c>
      <c r="AF207" s="19">
        <v>0.0</v>
      </c>
      <c r="AG207" s="19">
        <v>0.0</v>
      </c>
      <c r="AH207" s="13">
        <f t="shared" si="31"/>
        <v>2</v>
      </c>
      <c r="AI207" s="1"/>
      <c r="AJ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2.0</v>
      </c>
      <c r="H208" s="19">
        <v>0.0</v>
      </c>
      <c r="I208" s="19">
        <v>0.0</v>
      </c>
      <c r="J208" s="19">
        <v>2.0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1.0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1.0</v>
      </c>
      <c r="AG208" s="19">
        <v>1.0</v>
      </c>
      <c r="AH208" s="13">
        <f t="shared" si="31"/>
        <v>9</v>
      </c>
      <c r="AI208" s="52"/>
      <c r="AJ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74"/>
      <c r="AI209" s="52"/>
      <c r="AJ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74"/>
      <c r="AI210" s="52"/>
      <c r="AJ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G211" si="32">SUM(E201:E208)</f>
        <v>18</v>
      </c>
      <c r="F211" s="13">
        <f t="shared" si="32"/>
        <v>23</v>
      </c>
      <c r="G211" s="13">
        <f t="shared" si="32"/>
        <v>13</v>
      </c>
      <c r="H211" s="13">
        <f t="shared" si="32"/>
        <v>33</v>
      </c>
      <c r="I211" s="13">
        <f t="shared" si="32"/>
        <v>13</v>
      </c>
      <c r="J211" s="13">
        <f t="shared" si="32"/>
        <v>35</v>
      </c>
      <c r="K211" s="13">
        <f t="shared" si="32"/>
        <v>53</v>
      </c>
      <c r="L211" s="13">
        <f t="shared" si="32"/>
        <v>29</v>
      </c>
      <c r="M211" s="13">
        <f t="shared" si="32"/>
        <v>13</v>
      </c>
      <c r="N211" s="13">
        <f t="shared" si="32"/>
        <v>4</v>
      </c>
      <c r="O211" s="13">
        <f t="shared" si="32"/>
        <v>30</v>
      </c>
      <c r="P211" s="13">
        <f t="shared" si="32"/>
        <v>25</v>
      </c>
      <c r="Q211" s="13">
        <f t="shared" si="32"/>
        <v>10</v>
      </c>
      <c r="R211" s="13">
        <f t="shared" si="32"/>
        <v>4</v>
      </c>
      <c r="S211" s="13">
        <f t="shared" si="32"/>
        <v>8</v>
      </c>
      <c r="T211" s="13">
        <f t="shared" si="32"/>
        <v>11</v>
      </c>
      <c r="U211" s="13">
        <f t="shared" si="32"/>
        <v>28</v>
      </c>
      <c r="V211" s="13">
        <f t="shared" si="32"/>
        <v>43</v>
      </c>
      <c r="W211" s="13">
        <f t="shared" si="32"/>
        <v>7</v>
      </c>
      <c r="X211" s="13">
        <f t="shared" si="32"/>
        <v>12</v>
      </c>
      <c r="Y211" s="13">
        <f t="shared" si="32"/>
        <v>16</v>
      </c>
      <c r="Z211" s="13">
        <f t="shared" si="32"/>
        <v>16</v>
      </c>
      <c r="AA211" s="13">
        <f t="shared" si="32"/>
        <v>13</v>
      </c>
      <c r="AB211" s="13">
        <f t="shared" si="32"/>
        <v>35</v>
      </c>
      <c r="AC211" s="13">
        <f t="shared" si="32"/>
        <v>29</v>
      </c>
      <c r="AD211" s="13">
        <f t="shared" si="32"/>
        <v>23</v>
      </c>
      <c r="AE211" s="13">
        <f t="shared" si="32"/>
        <v>45</v>
      </c>
      <c r="AF211" s="13">
        <f t="shared" si="32"/>
        <v>17</v>
      </c>
      <c r="AG211" s="13">
        <f t="shared" si="32"/>
        <v>11</v>
      </c>
      <c r="AH211" s="13">
        <f>SUM(E211:AG211)</f>
        <v>617</v>
      </c>
      <c r="AI211" s="5"/>
      <c r="AJ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5"/>
      <c r="AJ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4.0</v>
      </c>
      <c r="G213" s="19">
        <v>5.0</v>
      </c>
      <c r="H213" s="19">
        <v>3.0</v>
      </c>
      <c r="I213" s="19">
        <v>3.0</v>
      </c>
      <c r="J213" s="19">
        <v>3.0</v>
      </c>
      <c r="K213" s="19">
        <v>0.0</v>
      </c>
      <c r="L213" s="19">
        <v>2.0</v>
      </c>
      <c r="M213" s="19">
        <v>2.0</v>
      </c>
      <c r="N213" s="19">
        <v>0.0</v>
      </c>
      <c r="O213" s="19">
        <v>2.0</v>
      </c>
      <c r="P213" s="19">
        <v>3.0</v>
      </c>
      <c r="Q213" s="19">
        <v>1.0</v>
      </c>
      <c r="R213" s="19">
        <v>1.0</v>
      </c>
      <c r="S213" s="19">
        <v>1.0</v>
      </c>
      <c r="T213" s="19">
        <v>0.0</v>
      </c>
      <c r="U213" s="19">
        <v>2.0</v>
      </c>
      <c r="V213" s="19">
        <v>2.0</v>
      </c>
      <c r="W213" s="19">
        <v>0.0</v>
      </c>
      <c r="X213" s="19">
        <v>1.0</v>
      </c>
      <c r="Y213" s="19">
        <v>1.0</v>
      </c>
      <c r="Z213" s="19">
        <v>1.0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1.0</v>
      </c>
      <c r="AH213" s="13">
        <f t="shared" ref="AH213:AH220" si="33">SUM(E213:AG213)</f>
        <v>39</v>
      </c>
      <c r="AI213" s="5"/>
      <c r="AJ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3.0</v>
      </c>
      <c r="G214" s="19">
        <v>6.0</v>
      </c>
      <c r="H214" s="19">
        <v>2.0</v>
      </c>
      <c r="I214" s="19">
        <v>16.0</v>
      </c>
      <c r="J214" s="19">
        <v>0.0</v>
      </c>
      <c r="K214" s="19">
        <v>2.0</v>
      </c>
      <c r="L214" s="19">
        <v>0.0</v>
      </c>
      <c r="M214" s="19">
        <v>0.0</v>
      </c>
      <c r="N214" s="19">
        <v>1.0</v>
      </c>
      <c r="O214" s="19">
        <v>4.0</v>
      </c>
      <c r="P214" s="19">
        <v>5.0</v>
      </c>
      <c r="Q214" s="19">
        <v>0.0</v>
      </c>
      <c r="R214" s="19">
        <v>1.0</v>
      </c>
      <c r="S214" s="19">
        <v>0.0</v>
      </c>
      <c r="T214" s="19">
        <v>0.0</v>
      </c>
      <c r="U214" s="19">
        <v>1.0</v>
      </c>
      <c r="V214" s="19">
        <v>2.0</v>
      </c>
      <c r="W214" s="19">
        <v>0.0</v>
      </c>
      <c r="X214" s="19">
        <v>1.0</v>
      </c>
      <c r="Y214" s="19">
        <v>0.0</v>
      </c>
      <c r="Z214" s="19">
        <v>1.0</v>
      </c>
      <c r="AA214" s="19">
        <v>6.0</v>
      </c>
      <c r="AB214" s="19">
        <v>1.0</v>
      </c>
      <c r="AC214" s="19">
        <v>1.0</v>
      </c>
      <c r="AD214" s="19">
        <v>2.0</v>
      </c>
      <c r="AE214" s="19">
        <v>1.0</v>
      </c>
      <c r="AF214" s="19">
        <v>1.0</v>
      </c>
      <c r="AG214" s="19">
        <v>2.0</v>
      </c>
      <c r="AH214" s="13">
        <f t="shared" si="33"/>
        <v>60</v>
      </c>
      <c r="AI214" s="5"/>
      <c r="AJ214" s="5"/>
    </row>
    <row r="215" ht="12.75" customHeight="1">
      <c r="A215" s="18"/>
      <c r="B215" s="55">
        <v>2.0</v>
      </c>
      <c r="C215" s="50" t="s">
        <v>158</v>
      </c>
      <c r="D215" s="56"/>
      <c r="E215" s="19">
        <v>6.0</v>
      </c>
      <c r="F215" s="19">
        <v>14.0</v>
      </c>
      <c r="G215" s="19">
        <v>13.0</v>
      </c>
      <c r="H215" s="19">
        <v>1.0</v>
      </c>
      <c r="I215" s="19">
        <v>3.0</v>
      </c>
      <c r="J215" s="19">
        <v>2.0</v>
      </c>
      <c r="K215" s="19">
        <v>0.0</v>
      </c>
      <c r="L215" s="19">
        <v>0.0</v>
      </c>
      <c r="M215" s="19">
        <v>2.0</v>
      </c>
      <c r="N215" s="19">
        <v>3.0</v>
      </c>
      <c r="O215" s="19">
        <v>0.0</v>
      </c>
      <c r="P215" s="19">
        <v>2.0</v>
      </c>
      <c r="Q215" s="19">
        <v>0.0</v>
      </c>
      <c r="R215" s="19">
        <v>0.0</v>
      </c>
      <c r="S215" s="19">
        <v>0.0</v>
      </c>
      <c r="T215" s="19">
        <v>1.0</v>
      </c>
      <c r="U215" s="19">
        <v>0.0</v>
      </c>
      <c r="V215" s="19">
        <v>0.0</v>
      </c>
      <c r="W215" s="19">
        <v>4.0</v>
      </c>
      <c r="X215" s="19">
        <v>0.0</v>
      </c>
      <c r="Y215" s="19">
        <v>0.0</v>
      </c>
      <c r="Z215" s="19">
        <v>0.0</v>
      </c>
      <c r="AA215" s="19">
        <v>0.0</v>
      </c>
      <c r="AB215" s="19">
        <v>2.0</v>
      </c>
      <c r="AC215" s="19">
        <v>1.0</v>
      </c>
      <c r="AD215" s="19">
        <v>1.0</v>
      </c>
      <c r="AE215" s="19">
        <v>0.0</v>
      </c>
      <c r="AF215" s="19">
        <v>0.0</v>
      </c>
      <c r="AG215" s="19">
        <v>0.0</v>
      </c>
      <c r="AH215" s="13">
        <f t="shared" si="33"/>
        <v>55</v>
      </c>
      <c r="AI215" s="5"/>
      <c r="AJ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2.0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1.0</v>
      </c>
      <c r="AE216" s="19">
        <v>0.0</v>
      </c>
      <c r="AF216" s="19">
        <v>0.0</v>
      </c>
      <c r="AG216" s="19">
        <v>0.0</v>
      </c>
      <c r="AH216" s="13">
        <f t="shared" si="33"/>
        <v>6</v>
      </c>
      <c r="AI216" s="5"/>
      <c r="AJ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1.0</v>
      </c>
      <c r="O217" s="19">
        <v>1.0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3">
        <f t="shared" si="33"/>
        <v>4</v>
      </c>
      <c r="AI217" s="5"/>
      <c r="AJ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1.0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1.0</v>
      </c>
      <c r="AH218" s="13">
        <f t="shared" si="33"/>
        <v>4</v>
      </c>
      <c r="AI218" s="1"/>
      <c r="AJ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0.0</v>
      </c>
      <c r="I219" s="19">
        <v>1.0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1.0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3">
        <f t="shared" si="33"/>
        <v>6</v>
      </c>
      <c r="AI219" s="52"/>
      <c r="AJ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1.0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1.0</v>
      </c>
      <c r="AG220" s="19">
        <v>0.0</v>
      </c>
      <c r="AH220" s="13">
        <f t="shared" si="33"/>
        <v>3</v>
      </c>
      <c r="AI220" s="5"/>
      <c r="AJ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74"/>
      <c r="AI221" s="5"/>
      <c r="AJ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74"/>
      <c r="AI222" s="5"/>
      <c r="AJ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G223" si="34">SUM(E213:E220)</f>
        <v>9</v>
      </c>
      <c r="F223" s="13">
        <f t="shared" si="34"/>
        <v>23</v>
      </c>
      <c r="G223" s="13">
        <f t="shared" si="34"/>
        <v>25</v>
      </c>
      <c r="H223" s="13">
        <f t="shared" si="34"/>
        <v>6</v>
      </c>
      <c r="I223" s="13">
        <f t="shared" si="34"/>
        <v>23</v>
      </c>
      <c r="J223" s="13">
        <f t="shared" si="34"/>
        <v>6</v>
      </c>
      <c r="K223" s="13">
        <f t="shared" si="34"/>
        <v>2</v>
      </c>
      <c r="L223" s="13">
        <f t="shared" si="34"/>
        <v>3</v>
      </c>
      <c r="M223" s="13">
        <f t="shared" si="34"/>
        <v>4</v>
      </c>
      <c r="N223" s="13">
        <f t="shared" si="34"/>
        <v>5</v>
      </c>
      <c r="O223" s="13">
        <f t="shared" si="34"/>
        <v>8</v>
      </c>
      <c r="P223" s="13">
        <f t="shared" si="34"/>
        <v>14</v>
      </c>
      <c r="Q223" s="13">
        <f t="shared" si="34"/>
        <v>1</v>
      </c>
      <c r="R223" s="13">
        <f t="shared" si="34"/>
        <v>2</v>
      </c>
      <c r="S223" s="13">
        <f t="shared" si="34"/>
        <v>3</v>
      </c>
      <c r="T223" s="13">
        <f t="shared" si="34"/>
        <v>1</v>
      </c>
      <c r="U223" s="13">
        <f t="shared" si="34"/>
        <v>3</v>
      </c>
      <c r="V223" s="13">
        <f t="shared" si="34"/>
        <v>4</v>
      </c>
      <c r="W223" s="13">
        <f t="shared" si="34"/>
        <v>5</v>
      </c>
      <c r="X223" s="13">
        <f t="shared" si="34"/>
        <v>2</v>
      </c>
      <c r="Y223" s="13">
        <f t="shared" si="34"/>
        <v>2</v>
      </c>
      <c r="Z223" s="13">
        <f t="shared" si="34"/>
        <v>4</v>
      </c>
      <c r="AA223" s="13">
        <f t="shared" si="34"/>
        <v>6</v>
      </c>
      <c r="AB223" s="13">
        <f t="shared" si="34"/>
        <v>3</v>
      </c>
      <c r="AC223" s="13">
        <f t="shared" si="34"/>
        <v>2</v>
      </c>
      <c r="AD223" s="13">
        <f t="shared" si="34"/>
        <v>4</v>
      </c>
      <c r="AE223" s="13">
        <f t="shared" si="34"/>
        <v>1</v>
      </c>
      <c r="AF223" s="13">
        <f t="shared" si="34"/>
        <v>2</v>
      </c>
      <c r="AG223" s="13">
        <f t="shared" si="34"/>
        <v>4</v>
      </c>
      <c r="AH223" s="13">
        <f>SUM(E223:AG223)</f>
        <v>177</v>
      </c>
      <c r="AI223" s="5"/>
      <c r="AJ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5"/>
      <c r="AJ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1.0</v>
      </c>
      <c r="AE225" s="19">
        <v>0.0</v>
      </c>
      <c r="AF225" s="19">
        <v>0.0</v>
      </c>
      <c r="AG225" s="19">
        <v>0.0</v>
      </c>
      <c r="AH225" s="13">
        <f t="shared" ref="AH225:AH232" si="35">SUM(E225:AG225)</f>
        <v>5</v>
      </c>
      <c r="AI225" s="5"/>
      <c r="AJ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1.0</v>
      </c>
      <c r="AD226" s="19">
        <v>0.0</v>
      </c>
      <c r="AE226" s="19">
        <v>0.0</v>
      </c>
      <c r="AF226" s="19">
        <v>0.0</v>
      </c>
      <c r="AG226" s="19">
        <v>0.0</v>
      </c>
      <c r="AH226" s="13">
        <f t="shared" si="35"/>
        <v>1</v>
      </c>
      <c r="AI226" s="5"/>
      <c r="AJ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3">
        <f t="shared" si="35"/>
        <v>0</v>
      </c>
      <c r="AI227" s="5"/>
      <c r="AJ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3">
        <f t="shared" si="35"/>
        <v>0</v>
      </c>
      <c r="AI228" s="5"/>
      <c r="AJ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1.0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3">
        <f t="shared" si="35"/>
        <v>1</v>
      </c>
      <c r="AI229" s="1"/>
      <c r="AJ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3">
        <f t="shared" si="35"/>
        <v>0</v>
      </c>
      <c r="AI230" s="52"/>
      <c r="AJ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1.0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3">
        <f t="shared" si="35"/>
        <v>1</v>
      </c>
      <c r="AI231" s="5"/>
      <c r="AJ231" s="5"/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0.0</v>
      </c>
      <c r="G232" s="19">
        <v>0.0</v>
      </c>
      <c r="H232" s="19">
        <v>1.0</v>
      </c>
      <c r="I232" s="19">
        <v>1.0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3.0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3">
        <f t="shared" si="35"/>
        <v>9</v>
      </c>
      <c r="AI232" s="5"/>
      <c r="AJ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74"/>
      <c r="AI233" s="5"/>
      <c r="AJ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74"/>
      <c r="AI234" s="5"/>
      <c r="AJ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G235" si="36">SUM(E225:E232)</f>
        <v>2</v>
      </c>
      <c r="F235" s="13">
        <f t="shared" si="36"/>
        <v>0</v>
      </c>
      <c r="G235" s="13">
        <f t="shared" si="36"/>
        <v>0</v>
      </c>
      <c r="H235" s="13">
        <f t="shared" si="36"/>
        <v>2</v>
      </c>
      <c r="I235" s="13">
        <f t="shared" si="36"/>
        <v>1</v>
      </c>
      <c r="J235" s="13">
        <f t="shared" si="36"/>
        <v>1</v>
      </c>
      <c r="K235" s="13">
        <f t="shared" si="36"/>
        <v>0</v>
      </c>
      <c r="L235" s="13">
        <f t="shared" si="36"/>
        <v>0</v>
      </c>
      <c r="M235" s="13">
        <f t="shared" si="36"/>
        <v>0</v>
      </c>
      <c r="N235" s="13">
        <f t="shared" si="36"/>
        <v>1</v>
      </c>
      <c r="O235" s="13">
        <f t="shared" si="36"/>
        <v>0</v>
      </c>
      <c r="P235" s="13">
        <f t="shared" si="36"/>
        <v>3</v>
      </c>
      <c r="Q235" s="13">
        <f t="shared" si="36"/>
        <v>1</v>
      </c>
      <c r="R235" s="13">
        <f t="shared" si="36"/>
        <v>1</v>
      </c>
      <c r="S235" s="13">
        <f t="shared" si="36"/>
        <v>0</v>
      </c>
      <c r="T235" s="13">
        <f t="shared" si="36"/>
        <v>0</v>
      </c>
      <c r="U235" s="13">
        <f t="shared" si="36"/>
        <v>0</v>
      </c>
      <c r="V235" s="13">
        <f t="shared" si="36"/>
        <v>0</v>
      </c>
      <c r="W235" s="13">
        <f t="shared" si="36"/>
        <v>0</v>
      </c>
      <c r="X235" s="13">
        <f t="shared" si="36"/>
        <v>3</v>
      </c>
      <c r="Y235" s="13">
        <f t="shared" si="36"/>
        <v>0</v>
      </c>
      <c r="Z235" s="13">
        <f t="shared" si="36"/>
        <v>0</v>
      </c>
      <c r="AA235" s="13">
        <f t="shared" si="36"/>
        <v>0</v>
      </c>
      <c r="AB235" s="13">
        <f t="shared" si="36"/>
        <v>0</v>
      </c>
      <c r="AC235" s="13">
        <f t="shared" si="36"/>
        <v>1</v>
      </c>
      <c r="AD235" s="13">
        <f t="shared" si="36"/>
        <v>1</v>
      </c>
      <c r="AE235" s="13">
        <f t="shared" si="36"/>
        <v>0</v>
      </c>
      <c r="AF235" s="13">
        <f t="shared" si="36"/>
        <v>0</v>
      </c>
      <c r="AG235" s="13">
        <f t="shared" si="36"/>
        <v>0</v>
      </c>
      <c r="AH235" s="13">
        <f>SUM(E235:AG235)</f>
        <v>17</v>
      </c>
      <c r="AI235" s="5"/>
      <c r="AJ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5"/>
      <c r="AJ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5.0</v>
      </c>
      <c r="G237" s="19">
        <v>1.0</v>
      </c>
      <c r="H237" s="19">
        <v>0.0</v>
      </c>
      <c r="I237" s="19">
        <v>2.0</v>
      </c>
      <c r="J237" s="19">
        <v>2.0</v>
      </c>
      <c r="K237" s="19">
        <v>2.0</v>
      </c>
      <c r="L237" s="19">
        <v>0.0</v>
      </c>
      <c r="M237" s="19">
        <v>1.0</v>
      </c>
      <c r="N237" s="19">
        <v>3.0</v>
      </c>
      <c r="O237" s="19">
        <v>0.0</v>
      </c>
      <c r="P237" s="19">
        <v>3.0</v>
      </c>
      <c r="Q237" s="19">
        <v>5.0</v>
      </c>
      <c r="R237" s="19">
        <v>2.0</v>
      </c>
      <c r="S237" s="19">
        <v>1.0</v>
      </c>
      <c r="T237" s="19">
        <v>4.0</v>
      </c>
      <c r="U237" s="19">
        <v>0.0</v>
      </c>
      <c r="V237" s="19">
        <v>1.0</v>
      </c>
      <c r="W237" s="19">
        <v>1.0</v>
      </c>
      <c r="X237" s="19">
        <v>1.0</v>
      </c>
      <c r="Y237" s="19">
        <v>2.0</v>
      </c>
      <c r="Z237" s="19">
        <v>2.0</v>
      </c>
      <c r="AA237" s="19">
        <v>1.0</v>
      </c>
      <c r="AB237" s="19">
        <v>0.0</v>
      </c>
      <c r="AC237" s="19">
        <v>1.0</v>
      </c>
      <c r="AD237" s="19">
        <v>0.0</v>
      </c>
      <c r="AE237" s="19">
        <v>1.0</v>
      </c>
      <c r="AF237" s="19">
        <v>0.0</v>
      </c>
      <c r="AG237" s="19">
        <v>2.0</v>
      </c>
      <c r="AH237" s="13">
        <f t="shared" ref="AH237:AH244" si="37">SUM(E237:AG237)</f>
        <v>45</v>
      </c>
      <c r="AI237" s="5"/>
      <c r="AJ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6.0</v>
      </c>
      <c r="F238" s="19">
        <v>4.0</v>
      </c>
      <c r="G238" s="19">
        <v>2.0</v>
      </c>
      <c r="H238" s="19">
        <v>1.0</v>
      </c>
      <c r="I238" s="19">
        <v>1.0</v>
      </c>
      <c r="J238" s="19">
        <v>1.0</v>
      </c>
      <c r="K238" s="19">
        <v>1.0</v>
      </c>
      <c r="L238" s="19">
        <v>0.0</v>
      </c>
      <c r="M238" s="19">
        <v>0.0</v>
      </c>
      <c r="N238" s="19">
        <v>1.0</v>
      </c>
      <c r="O238" s="19">
        <v>1.0</v>
      </c>
      <c r="P238" s="19">
        <v>0.0</v>
      </c>
      <c r="Q238" s="19">
        <v>2.0</v>
      </c>
      <c r="R238" s="19">
        <v>0.0</v>
      </c>
      <c r="S238" s="19">
        <v>0.0</v>
      </c>
      <c r="T238" s="19">
        <v>0.0</v>
      </c>
      <c r="U238" s="19">
        <v>1.0</v>
      </c>
      <c r="V238" s="19">
        <v>1.0</v>
      </c>
      <c r="W238" s="19">
        <v>1.0</v>
      </c>
      <c r="X238" s="19">
        <v>1.0</v>
      </c>
      <c r="Y238" s="19">
        <v>0.0</v>
      </c>
      <c r="Z238" s="19">
        <v>0.0</v>
      </c>
      <c r="AA238" s="19">
        <v>1.0</v>
      </c>
      <c r="AB238" s="19">
        <v>5.0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3">
        <f t="shared" si="37"/>
        <v>30</v>
      </c>
      <c r="AI238" s="5"/>
      <c r="AJ238" s="5"/>
    </row>
    <row r="239" ht="12.75" customHeight="1">
      <c r="A239" s="18"/>
      <c r="B239" s="55">
        <v>2.0</v>
      </c>
      <c r="C239" s="50" t="s">
        <v>176</v>
      </c>
      <c r="D239" s="57"/>
      <c r="E239" s="19">
        <v>3.0</v>
      </c>
      <c r="F239" s="19">
        <v>17.0</v>
      </c>
      <c r="G239" s="19">
        <v>4.0</v>
      </c>
      <c r="H239" s="19">
        <v>3.0</v>
      </c>
      <c r="I239" s="19">
        <v>5.0</v>
      </c>
      <c r="J239" s="19">
        <v>1.0</v>
      </c>
      <c r="K239" s="19">
        <v>0.0</v>
      </c>
      <c r="L239" s="19">
        <v>1.0</v>
      </c>
      <c r="M239" s="19">
        <v>0.0</v>
      </c>
      <c r="N239" s="19">
        <v>3.0</v>
      </c>
      <c r="O239" s="19">
        <v>1.0</v>
      </c>
      <c r="P239" s="19">
        <v>4.0</v>
      </c>
      <c r="Q239" s="19">
        <v>4.0</v>
      </c>
      <c r="R239" s="19">
        <v>2.0</v>
      </c>
      <c r="S239" s="19">
        <v>0.0</v>
      </c>
      <c r="T239" s="19">
        <v>0.0</v>
      </c>
      <c r="U239" s="19">
        <v>0.0</v>
      </c>
      <c r="V239" s="19">
        <v>5.0</v>
      </c>
      <c r="W239" s="19">
        <v>1.0</v>
      </c>
      <c r="X239" s="19">
        <v>3.0</v>
      </c>
      <c r="Y239" s="19">
        <v>7.0</v>
      </c>
      <c r="Z239" s="19">
        <v>0.0</v>
      </c>
      <c r="AA239" s="19">
        <v>6.0</v>
      </c>
      <c r="AB239" s="19">
        <v>9.0</v>
      </c>
      <c r="AC239" s="19">
        <v>6.0</v>
      </c>
      <c r="AD239" s="19">
        <v>0.0</v>
      </c>
      <c r="AE239" s="19">
        <v>3.0</v>
      </c>
      <c r="AF239" s="19">
        <v>0.0</v>
      </c>
      <c r="AG239" s="19">
        <v>3.0</v>
      </c>
      <c r="AH239" s="13">
        <f t="shared" si="37"/>
        <v>91</v>
      </c>
      <c r="AI239" s="5"/>
      <c r="AJ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1.0</v>
      </c>
      <c r="I240" s="19">
        <v>1.0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2.0</v>
      </c>
      <c r="Q240" s="19">
        <v>1.0</v>
      </c>
      <c r="R240" s="19">
        <v>3.0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9">
        <v>2.0</v>
      </c>
      <c r="Y240" s="19">
        <v>0.0</v>
      </c>
      <c r="Z240" s="19">
        <v>0.0</v>
      </c>
      <c r="AA240" s="19">
        <v>0.0</v>
      </c>
      <c r="AB240" s="19">
        <v>1.0</v>
      </c>
      <c r="AC240" s="19">
        <v>1.0</v>
      </c>
      <c r="AD240" s="19">
        <v>1.0</v>
      </c>
      <c r="AE240" s="19">
        <v>0.0</v>
      </c>
      <c r="AF240" s="19">
        <v>0.0</v>
      </c>
      <c r="AG240" s="19">
        <v>1.0</v>
      </c>
      <c r="AH240" s="13">
        <f t="shared" si="37"/>
        <v>16</v>
      </c>
      <c r="AI240" s="1"/>
      <c r="AJ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2.0</v>
      </c>
      <c r="O241" s="19">
        <v>0.0</v>
      </c>
      <c r="P241" s="19">
        <v>1.0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1.0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1.0</v>
      </c>
      <c r="AH241" s="13">
        <f t="shared" si="37"/>
        <v>9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1.0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3">
        <f t="shared" si="37"/>
        <v>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2.0</v>
      </c>
      <c r="F243" s="19">
        <v>2.0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1.0</v>
      </c>
      <c r="O243" s="19">
        <v>2.0</v>
      </c>
      <c r="P243" s="19">
        <v>1.0</v>
      </c>
      <c r="Q243" s="19">
        <v>1.0</v>
      </c>
      <c r="R243" s="19">
        <v>1.0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1.0</v>
      </c>
      <c r="Y243" s="19">
        <v>0.0</v>
      </c>
      <c r="Z243" s="19">
        <v>0.0</v>
      </c>
      <c r="AA243" s="19">
        <v>1.0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3">
        <f t="shared" si="37"/>
        <v>15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3.0</v>
      </c>
      <c r="I244" s="19">
        <v>0.0</v>
      </c>
      <c r="J244" s="19">
        <v>0.0</v>
      </c>
      <c r="K244" s="19">
        <v>0.0</v>
      </c>
      <c r="L244" s="19">
        <v>1.0</v>
      </c>
      <c r="M244" s="19">
        <v>0.0</v>
      </c>
      <c r="N244" s="19">
        <v>3.0</v>
      </c>
      <c r="O244" s="19">
        <v>0.0</v>
      </c>
      <c r="P244" s="19">
        <v>9.0</v>
      </c>
      <c r="Q244" s="19">
        <v>27.0</v>
      </c>
      <c r="R244" s="19">
        <v>3.0</v>
      </c>
      <c r="S244" s="19">
        <v>0.0</v>
      </c>
      <c r="T244" s="19">
        <v>76.0</v>
      </c>
      <c r="U244" s="19">
        <v>30.0</v>
      </c>
      <c r="V244" s="19">
        <v>3.0</v>
      </c>
      <c r="W244" s="19">
        <v>31.0</v>
      </c>
      <c r="X244" s="19">
        <v>2.0</v>
      </c>
      <c r="Y244" s="19">
        <v>3.0</v>
      </c>
      <c r="Z244" s="19">
        <v>1.0</v>
      </c>
      <c r="AA244" s="19">
        <v>1.0</v>
      </c>
      <c r="AB244" s="19">
        <v>0.0</v>
      </c>
      <c r="AC244" s="19">
        <v>1.0</v>
      </c>
      <c r="AD244" s="19">
        <v>1.0</v>
      </c>
      <c r="AE244" s="19">
        <v>0.0</v>
      </c>
      <c r="AF244" s="19">
        <v>0.0</v>
      </c>
      <c r="AG244" s="19">
        <v>1.0</v>
      </c>
      <c r="AH244" s="13">
        <f t="shared" si="37"/>
        <v>197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G247" si="38">SUM(E237:E244)</f>
        <v>15</v>
      </c>
      <c r="F247" s="13">
        <f t="shared" si="38"/>
        <v>28</v>
      </c>
      <c r="G247" s="13">
        <f t="shared" si="38"/>
        <v>7</v>
      </c>
      <c r="H247" s="13">
        <f t="shared" si="38"/>
        <v>8</v>
      </c>
      <c r="I247" s="13">
        <f t="shared" si="38"/>
        <v>9</v>
      </c>
      <c r="J247" s="13">
        <f t="shared" si="38"/>
        <v>6</v>
      </c>
      <c r="K247" s="13">
        <f t="shared" si="38"/>
        <v>4</v>
      </c>
      <c r="L247" s="13">
        <f t="shared" si="38"/>
        <v>2</v>
      </c>
      <c r="M247" s="13">
        <f t="shared" si="38"/>
        <v>2</v>
      </c>
      <c r="N247" s="13">
        <f t="shared" si="38"/>
        <v>14</v>
      </c>
      <c r="O247" s="13">
        <f t="shared" si="38"/>
        <v>4</v>
      </c>
      <c r="P247" s="13">
        <f t="shared" si="38"/>
        <v>20</v>
      </c>
      <c r="Q247" s="13">
        <f t="shared" si="38"/>
        <v>41</v>
      </c>
      <c r="R247" s="13">
        <f t="shared" si="38"/>
        <v>11</v>
      </c>
      <c r="S247" s="13">
        <f t="shared" si="38"/>
        <v>2</v>
      </c>
      <c r="T247" s="13">
        <f t="shared" si="38"/>
        <v>80</v>
      </c>
      <c r="U247" s="13">
        <f t="shared" si="38"/>
        <v>31</v>
      </c>
      <c r="V247" s="13">
        <f t="shared" si="38"/>
        <v>11</v>
      </c>
      <c r="W247" s="13">
        <f t="shared" si="38"/>
        <v>36</v>
      </c>
      <c r="X247" s="13">
        <f t="shared" si="38"/>
        <v>10</v>
      </c>
      <c r="Y247" s="13">
        <f t="shared" si="38"/>
        <v>12</v>
      </c>
      <c r="Z247" s="13">
        <f t="shared" si="38"/>
        <v>3</v>
      </c>
      <c r="AA247" s="13">
        <f t="shared" si="38"/>
        <v>11</v>
      </c>
      <c r="AB247" s="13">
        <f t="shared" si="38"/>
        <v>16</v>
      </c>
      <c r="AC247" s="13">
        <f t="shared" si="38"/>
        <v>9</v>
      </c>
      <c r="AD247" s="13">
        <f t="shared" si="38"/>
        <v>2</v>
      </c>
      <c r="AE247" s="13">
        <f t="shared" si="38"/>
        <v>4</v>
      </c>
      <c r="AF247" s="13">
        <f t="shared" si="38"/>
        <v>0</v>
      </c>
      <c r="AG247" s="13">
        <f t="shared" si="38"/>
        <v>8</v>
      </c>
      <c r="AH247" s="13">
        <f>SUM(E247:AG247)</f>
        <v>406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2.0</v>
      </c>
      <c r="AD249" s="19">
        <v>0.0</v>
      </c>
      <c r="AE249" s="19">
        <v>1.0</v>
      </c>
      <c r="AF249" s="19">
        <v>0.0</v>
      </c>
      <c r="AG249" s="19">
        <v>0.0</v>
      </c>
      <c r="AH249" s="13">
        <f t="shared" ref="AH249:AH255" si="39">SUM(E249:AG249)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2.0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3">
        <f t="shared" si="39"/>
        <v>5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3">
        <f t="shared" si="39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1.0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3">
        <f t="shared" si="39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3">
        <f t="shared" si="3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2.0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3">
        <f t="shared" si="39"/>
        <v>3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3">
        <f t="shared" si="39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G259" si="40">SUM(E249:E255)</f>
        <v>1</v>
      </c>
      <c r="F259" s="13">
        <f t="shared" si="40"/>
        <v>1</v>
      </c>
      <c r="G259" s="13">
        <f t="shared" si="40"/>
        <v>2</v>
      </c>
      <c r="H259" s="13">
        <f t="shared" si="40"/>
        <v>0</v>
      </c>
      <c r="I259" s="13">
        <f t="shared" si="40"/>
        <v>0</v>
      </c>
      <c r="J259" s="13">
        <f t="shared" si="40"/>
        <v>1</v>
      </c>
      <c r="K259" s="13">
        <f t="shared" si="40"/>
        <v>0</v>
      </c>
      <c r="L259" s="13">
        <f t="shared" si="40"/>
        <v>1</v>
      </c>
      <c r="M259" s="13">
        <f t="shared" si="40"/>
        <v>2</v>
      </c>
      <c r="N259" s="13">
        <f t="shared" si="40"/>
        <v>2</v>
      </c>
      <c r="O259" s="13">
        <f t="shared" si="40"/>
        <v>2</v>
      </c>
      <c r="P259" s="13">
        <f t="shared" si="40"/>
        <v>0</v>
      </c>
      <c r="Q259" s="13">
        <f t="shared" si="40"/>
        <v>0</v>
      </c>
      <c r="R259" s="13">
        <f t="shared" si="40"/>
        <v>2</v>
      </c>
      <c r="S259" s="13">
        <f t="shared" si="40"/>
        <v>0</v>
      </c>
      <c r="T259" s="13">
        <f t="shared" si="40"/>
        <v>0</v>
      </c>
      <c r="U259" s="13">
        <f t="shared" si="40"/>
        <v>0</v>
      </c>
      <c r="V259" s="13">
        <f t="shared" si="40"/>
        <v>1</v>
      </c>
      <c r="W259" s="13">
        <f t="shared" si="40"/>
        <v>0</v>
      </c>
      <c r="X259" s="13">
        <f t="shared" si="40"/>
        <v>0</v>
      </c>
      <c r="Y259" s="13">
        <f t="shared" si="40"/>
        <v>0</v>
      </c>
      <c r="Z259" s="13">
        <f t="shared" si="40"/>
        <v>0</v>
      </c>
      <c r="AA259" s="13">
        <f t="shared" si="40"/>
        <v>0</v>
      </c>
      <c r="AB259" s="13">
        <f t="shared" si="40"/>
        <v>0</v>
      </c>
      <c r="AC259" s="13">
        <f t="shared" si="40"/>
        <v>2</v>
      </c>
      <c r="AD259" s="13">
        <f t="shared" si="40"/>
        <v>0</v>
      </c>
      <c r="AE259" s="13">
        <f t="shared" si="40"/>
        <v>1</v>
      </c>
      <c r="AF259" s="13">
        <f t="shared" si="40"/>
        <v>0</v>
      </c>
      <c r="AG259" s="13">
        <f t="shared" si="40"/>
        <v>0</v>
      </c>
      <c r="AH259" s="13">
        <f>SUM(E259:AG259)</f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G262" si="41">E55+E67+E79+E91+E103+E115+E127+E139+E151+E163+E175+E187+E199+E211+E223+E235+E247+E259</f>
        <v>208</v>
      </c>
      <c r="F262" s="19">
        <f t="shared" si="41"/>
        <v>170</v>
      </c>
      <c r="G262" s="19">
        <f t="shared" si="41"/>
        <v>143</v>
      </c>
      <c r="H262" s="19">
        <f t="shared" si="41"/>
        <v>218</v>
      </c>
      <c r="I262" s="19">
        <f t="shared" si="41"/>
        <v>154</v>
      </c>
      <c r="J262" s="19">
        <f t="shared" si="41"/>
        <v>154</v>
      </c>
      <c r="K262" s="19">
        <f t="shared" si="41"/>
        <v>173</v>
      </c>
      <c r="L262" s="19">
        <f t="shared" si="41"/>
        <v>147</v>
      </c>
      <c r="M262" s="19">
        <f t="shared" si="41"/>
        <v>193</v>
      </c>
      <c r="N262" s="19">
        <f t="shared" si="41"/>
        <v>215</v>
      </c>
      <c r="O262" s="19">
        <f t="shared" si="41"/>
        <v>222</v>
      </c>
      <c r="P262" s="19">
        <f t="shared" si="41"/>
        <v>224</v>
      </c>
      <c r="Q262" s="19">
        <f t="shared" si="41"/>
        <v>163</v>
      </c>
      <c r="R262" s="19">
        <f t="shared" si="41"/>
        <v>156</v>
      </c>
      <c r="S262" s="19">
        <f t="shared" si="41"/>
        <v>161</v>
      </c>
      <c r="T262" s="19">
        <f t="shared" si="41"/>
        <v>195</v>
      </c>
      <c r="U262" s="19">
        <f t="shared" si="41"/>
        <v>227</v>
      </c>
      <c r="V262" s="19">
        <f t="shared" si="41"/>
        <v>167</v>
      </c>
      <c r="W262" s="19">
        <f t="shared" si="41"/>
        <v>155</v>
      </c>
      <c r="X262" s="19">
        <f t="shared" si="41"/>
        <v>152</v>
      </c>
      <c r="Y262" s="19">
        <f t="shared" si="41"/>
        <v>105</v>
      </c>
      <c r="Z262" s="19">
        <f t="shared" si="41"/>
        <v>207</v>
      </c>
      <c r="AA262" s="19">
        <f t="shared" si="41"/>
        <v>194</v>
      </c>
      <c r="AB262" s="19">
        <f t="shared" si="41"/>
        <v>197</v>
      </c>
      <c r="AC262" s="19">
        <f t="shared" si="41"/>
        <v>185</v>
      </c>
      <c r="AD262" s="19">
        <f t="shared" si="41"/>
        <v>191</v>
      </c>
      <c r="AE262" s="19">
        <f t="shared" si="41"/>
        <v>168</v>
      </c>
      <c r="AF262" s="19">
        <f t="shared" si="41"/>
        <v>139</v>
      </c>
      <c r="AG262" s="19">
        <f t="shared" si="41"/>
        <v>176</v>
      </c>
      <c r="AH262" s="13">
        <f t="shared" ref="AH262:AH264" si="42">SUM(E262:AG262)</f>
        <v>5159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18.0</v>
      </c>
      <c r="F263" s="19">
        <v>9.0</v>
      </c>
      <c r="G263" s="19">
        <v>19.0</v>
      </c>
      <c r="H263" s="19">
        <v>37.0</v>
      </c>
      <c r="I263" s="19">
        <v>42.0</v>
      </c>
      <c r="J263" s="19">
        <v>30.0</v>
      </c>
      <c r="K263" s="19">
        <v>7.0</v>
      </c>
      <c r="L263" s="19">
        <v>9.0</v>
      </c>
      <c r="M263" s="19">
        <v>12.0</v>
      </c>
      <c r="N263" s="19">
        <v>24.0</v>
      </c>
      <c r="O263" s="19">
        <v>6.0</v>
      </c>
      <c r="P263" s="19">
        <v>26.0</v>
      </c>
      <c r="Q263" s="19">
        <v>35.0</v>
      </c>
      <c r="R263" s="19">
        <v>27.0</v>
      </c>
      <c r="S263" s="19">
        <v>21.0</v>
      </c>
      <c r="T263" s="19">
        <v>6.0</v>
      </c>
      <c r="U263" s="19">
        <v>6.0</v>
      </c>
      <c r="V263" s="19">
        <v>9.0</v>
      </c>
      <c r="W263" s="19">
        <v>14.0</v>
      </c>
      <c r="X263" s="19">
        <v>21.0</v>
      </c>
      <c r="Y263" s="19">
        <v>13.0</v>
      </c>
      <c r="Z263" s="19">
        <v>10.0</v>
      </c>
      <c r="AA263" s="19">
        <v>14.0</v>
      </c>
      <c r="AB263" s="19">
        <v>19.0</v>
      </c>
      <c r="AC263" s="19">
        <v>21.0</v>
      </c>
      <c r="AD263" s="19">
        <v>29.0</v>
      </c>
      <c r="AE263" s="19">
        <v>12.0</v>
      </c>
      <c r="AF263" s="19">
        <v>20.0</v>
      </c>
      <c r="AG263" s="19">
        <v>20.0</v>
      </c>
      <c r="AH263" s="13">
        <f t="shared" si="42"/>
        <v>536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G264" si="43">SUM(E262:E263)</f>
        <v>226</v>
      </c>
      <c r="F264" s="13">
        <f t="shared" si="43"/>
        <v>179</v>
      </c>
      <c r="G264" s="13">
        <f t="shared" si="43"/>
        <v>162</v>
      </c>
      <c r="H264" s="13">
        <f t="shared" si="43"/>
        <v>255</v>
      </c>
      <c r="I264" s="13">
        <f t="shared" si="43"/>
        <v>196</v>
      </c>
      <c r="J264" s="13">
        <f t="shared" si="43"/>
        <v>184</v>
      </c>
      <c r="K264" s="13">
        <f t="shared" si="43"/>
        <v>180</v>
      </c>
      <c r="L264" s="13">
        <f t="shared" si="43"/>
        <v>156</v>
      </c>
      <c r="M264" s="13">
        <f t="shared" si="43"/>
        <v>205</v>
      </c>
      <c r="N264" s="13">
        <f t="shared" si="43"/>
        <v>239</v>
      </c>
      <c r="O264" s="13">
        <f t="shared" si="43"/>
        <v>228</v>
      </c>
      <c r="P264" s="13">
        <f t="shared" si="43"/>
        <v>250</v>
      </c>
      <c r="Q264" s="13">
        <f t="shared" si="43"/>
        <v>198</v>
      </c>
      <c r="R264" s="13">
        <f t="shared" si="43"/>
        <v>183</v>
      </c>
      <c r="S264" s="13">
        <f t="shared" si="43"/>
        <v>182</v>
      </c>
      <c r="T264" s="13">
        <f t="shared" si="43"/>
        <v>201</v>
      </c>
      <c r="U264" s="13">
        <f t="shared" si="43"/>
        <v>233</v>
      </c>
      <c r="V264" s="13">
        <f t="shared" si="43"/>
        <v>176</v>
      </c>
      <c r="W264" s="13">
        <f t="shared" si="43"/>
        <v>169</v>
      </c>
      <c r="X264" s="13">
        <f t="shared" si="43"/>
        <v>173</v>
      </c>
      <c r="Y264" s="13">
        <f t="shared" si="43"/>
        <v>118</v>
      </c>
      <c r="Z264" s="13">
        <f t="shared" si="43"/>
        <v>217</v>
      </c>
      <c r="AA264" s="13">
        <f t="shared" si="43"/>
        <v>208</v>
      </c>
      <c r="AB264" s="13">
        <f t="shared" si="43"/>
        <v>216</v>
      </c>
      <c r="AC264" s="13">
        <f t="shared" si="43"/>
        <v>206</v>
      </c>
      <c r="AD264" s="13">
        <f t="shared" si="43"/>
        <v>220</v>
      </c>
      <c r="AE264" s="13">
        <f t="shared" si="43"/>
        <v>180</v>
      </c>
      <c r="AF264" s="13">
        <f t="shared" si="43"/>
        <v>159</v>
      </c>
      <c r="AG264" s="13">
        <f t="shared" si="43"/>
        <v>196</v>
      </c>
      <c r="AH264" s="13">
        <f t="shared" si="42"/>
        <v>5695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2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D37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9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79">
        <v>140.0</v>
      </c>
      <c r="F14" s="79">
        <v>127.0</v>
      </c>
      <c r="G14" s="79">
        <v>131.0</v>
      </c>
      <c r="H14" s="79">
        <v>132.0</v>
      </c>
      <c r="I14" s="79">
        <v>132.0</v>
      </c>
      <c r="J14" s="79">
        <v>142.0</v>
      </c>
      <c r="K14" s="79">
        <v>143.0</v>
      </c>
      <c r="L14" s="79">
        <v>147.0</v>
      </c>
      <c r="M14" s="79">
        <v>148.0</v>
      </c>
      <c r="N14" s="79">
        <v>147.0</v>
      </c>
      <c r="O14" s="79">
        <v>134.0</v>
      </c>
      <c r="P14" s="79">
        <v>114.0</v>
      </c>
      <c r="Q14" s="79">
        <v>142.0</v>
      </c>
      <c r="R14" s="79">
        <v>144.0</v>
      </c>
      <c r="S14" s="79">
        <v>115.0</v>
      </c>
      <c r="T14" s="79">
        <v>120.0</v>
      </c>
      <c r="U14" s="79">
        <v>122.0</v>
      </c>
      <c r="V14" s="79">
        <v>119.0</v>
      </c>
      <c r="W14" s="79">
        <v>125.0</v>
      </c>
      <c r="X14" s="79">
        <v>133.0</v>
      </c>
      <c r="Y14" s="79">
        <v>129.0</v>
      </c>
      <c r="Z14" s="79">
        <v>109.0</v>
      </c>
      <c r="AA14" s="79">
        <v>119.0</v>
      </c>
      <c r="AB14" s="13">
        <f t="shared" ref="AB14:AB16" si="1">SUM(E14:AA14)</f>
        <v>3014</v>
      </c>
    </row>
    <row r="15" ht="12.75" customHeight="1">
      <c r="A15" s="18"/>
      <c r="B15" s="26"/>
      <c r="C15" s="27"/>
      <c r="D15" s="19" t="s">
        <v>13</v>
      </c>
      <c r="E15" s="79">
        <v>129.0</v>
      </c>
      <c r="F15" s="79">
        <v>125.0</v>
      </c>
      <c r="G15" s="79">
        <v>139.0</v>
      </c>
      <c r="H15" s="79">
        <v>132.0</v>
      </c>
      <c r="I15" s="79">
        <v>138.0</v>
      </c>
      <c r="J15" s="79">
        <v>147.0</v>
      </c>
      <c r="K15" s="79">
        <v>148.0</v>
      </c>
      <c r="L15" s="79">
        <v>150.0</v>
      </c>
      <c r="M15" s="79">
        <v>140.0</v>
      </c>
      <c r="N15" s="79">
        <v>138.0</v>
      </c>
      <c r="O15" s="79">
        <v>134.0</v>
      </c>
      <c r="P15" s="79">
        <v>117.0</v>
      </c>
      <c r="Q15" s="79">
        <v>151.0</v>
      </c>
      <c r="R15" s="79">
        <v>147.0</v>
      </c>
      <c r="S15" s="79">
        <v>108.0</v>
      </c>
      <c r="T15" s="79">
        <v>120.0</v>
      </c>
      <c r="U15" s="79">
        <v>131.0</v>
      </c>
      <c r="V15" s="79">
        <v>122.0</v>
      </c>
      <c r="W15" s="79">
        <v>113.0</v>
      </c>
      <c r="X15" s="79">
        <v>122.0</v>
      </c>
      <c r="Y15" s="79">
        <v>121.0</v>
      </c>
      <c r="Z15" s="79">
        <v>126.0</v>
      </c>
      <c r="AA15" s="79">
        <v>126.0</v>
      </c>
      <c r="AB15" s="13">
        <f t="shared" si="1"/>
        <v>3024</v>
      </c>
    </row>
    <row r="16" ht="12.75" customHeight="1">
      <c r="A16" s="25"/>
      <c r="B16" s="21"/>
      <c r="C16" s="28"/>
      <c r="D16" s="13" t="s">
        <v>14</v>
      </c>
      <c r="E16" s="80">
        <f t="shared" ref="E16:AA16" si="2">SUM(E14:E15)</f>
        <v>269</v>
      </c>
      <c r="F16" s="80">
        <f t="shared" si="2"/>
        <v>252</v>
      </c>
      <c r="G16" s="80">
        <f t="shared" si="2"/>
        <v>270</v>
      </c>
      <c r="H16" s="80">
        <f t="shared" si="2"/>
        <v>264</v>
      </c>
      <c r="I16" s="80">
        <f t="shared" si="2"/>
        <v>270</v>
      </c>
      <c r="J16" s="80">
        <f t="shared" si="2"/>
        <v>289</v>
      </c>
      <c r="K16" s="80">
        <f t="shared" si="2"/>
        <v>291</v>
      </c>
      <c r="L16" s="80">
        <f t="shared" si="2"/>
        <v>297</v>
      </c>
      <c r="M16" s="80">
        <f t="shared" si="2"/>
        <v>288</v>
      </c>
      <c r="N16" s="80">
        <f t="shared" si="2"/>
        <v>285</v>
      </c>
      <c r="O16" s="80">
        <f t="shared" si="2"/>
        <v>268</v>
      </c>
      <c r="P16" s="80">
        <f t="shared" si="2"/>
        <v>231</v>
      </c>
      <c r="Q16" s="80">
        <f t="shared" si="2"/>
        <v>293</v>
      </c>
      <c r="R16" s="80">
        <f t="shared" si="2"/>
        <v>291</v>
      </c>
      <c r="S16" s="80">
        <f t="shared" si="2"/>
        <v>223</v>
      </c>
      <c r="T16" s="80">
        <f t="shared" si="2"/>
        <v>240</v>
      </c>
      <c r="U16" s="80">
        <f t="shared" si="2"/>
        <v>253</v>
      </c>
      <c r="V16" s="80">
        <f t="shared" si="2"/>
        <v>241</v>
      </c>
      <c r="W16" s="80">
        <f t="shared" si="2"/>
        <v>238</v>
      </c>
      <c r="X16" s="80">
        <f t="shared" si="2"/>
        <v>255</v>
      </c>
      <c r="Y16" s="80">
        <f t="shared" si="2"/>
        <v>250</v>
      </c>
      <c r="Z16" s="80">
        <f t="shared" si="2"/>
        <v>235</v>
      </c>
      <c r="AA16" s="80">
        <f t="shared" si="2"/>
        <v>245</v>
      </c>
      <c r="AB16" s="13">
        <f t="shared" si="1"/>
        <v>6038</v>
      </c>
    </row>
    <row r="17" ht="12.75" customHeight="1">
      <c r="A17" s="24"/>
      <c r="B17" s="15"/>
      <c r="C17" s="15"/>
      <c r="D17" s="16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68"/>
    </row>
    <row r="18" ht="12.75" customHeight="1">
      <c r="A18" s="30" t="s">
        <v>15</v>
      </c>
      <c r="B18" s="20" t="s">
        <v>16</v>
      </c>
      <c r="C18" s="15"/>
      <c r="D18" s="16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9">
        <v>101.0</v>
      </c>
      <c r="F19" s="79">
        <v>87.0</v>
      </c>
      <c r="G19" s="79">
        <v>88.0</v>
      </c>
      <c r="H19" s="79">
        <v>90.0</v>
      </c>
      <c r="I19" s="79">
        <v>97.0</v>
      </c>
      <c r="J19" s="79">
        <v>108.0</v>
      </c>
      <c r="K19" s="79">
        <v>111.0</v>
      </c>
      <c r="L19" s="79">
        <v>108.0</v>
      </c>
      <c r="M19" s="79">
        <v>112.0</v>
      </c>
      <c r="N19" s="79">
        <v>112.0</v>
      </c>
      <c r="O19" s="79">
        <v>90.0</v>
      </c>
      <c r="P19" s="79">
        <v>83.0</v>
      </c>
      <c r="Q19" s="79">
        <v>113.0</v>
      </c>
      <c r="R19" s="79">
        <v>110.0</v>
      </c>
      <c r="S19" s="79">
        <v>97.0</v>
      </c>
      <c r="T19" s="79">
        <v>95.0</v>
      </c>
      <c r="U19" s="79">
        <v>99.0</v>
      </c>
      <c r="V19" s="79">
        <v>91.0</v>
      </c>
      <c r="W19" s="79">
        <v>93.0</v>
      </c>
      <c r="X19" s="79">
        <v>91.0</v>
      </c>
      <c r="Y19" s="79">
        <v>105.0</v>
      </c>
      <c r="Z19" s="79">
        <v>79.0</v>
      </c>
      <c r="AA19" s="79">
        <v>81.0</v>
      </c>
      <c r="AB19" s="13">
        <f t="shared" ref="AB19:AB30" si="3">SUM(E19:AA19)</f>
        <v>2241</v>
      </c>
    </row>
    <row r="20" ht="12.75" customHeight="1">
      <c r="A20" s="33"/>
      <c r="B20" s="27"/>
      <c r="C20" s="34"/>
      <c r="D20" s="19" t="s">
        <v>13</v>
      </c>
      <c r="E20" s="79">
        <v>102.0</v>
      </c>
      <c r="F20" s="79">
        <v>96.0</v>
      </c>
      <c r="G20" s="79">
        <v>107.0</v>
      </c>
      <c r="H20" s="79">
        <v>105.0</v>
      </c>
      <c r="I20" s="79">
        <v>123.0</v>
      </c>
      <c r="J20" s="79">
        <v>115.0</v>
      </c>
      <c r="K20" s="79">
        <v>123.0</v>
      </c>
      <c r="L20" s="79">
        <v>118.0</v>
      </c>
      <c r="M20" s="79">
        <v>117.0</v>
      </c>
      <c r="N20" s="79">
        <v>119.0</v>
      </c>
      <c r="O20" s="79">
        <v>99.0</v>
      </c>
      <c r="P20" s="79">
        <v>91.0</v>
      </c>
      <c r="Q20" s="79">
        <v>129.0</v>
      </c>
      <c r="R20" s="79">
        <v>119.0</v>
      </c>
      <c r="S20" s="79">
        <v>90.0</v>
      </c>
      <c r="T20" s="79">
        <v>95.0</v>
      </c>
      <c r="U20" s="79">
        <v>108.0</v>
      </c>
      <c r="V20" s="79">
        <v>97.0</v>
      </c>
      <c r="W20" s="79">
        <v>92.0</v>
      </c>
      <c r="X20" s="79">
        <v>95.0</v>
      </c>
      <c r="Y20" s="79">
        <v>99.0</v>
      </c>
      <c r="Z20" s="79">
        <v>96.0</v>
      </c>
      <c r="AA20" s="79">
        <v>88.0</v>
      </c>
      <c r="AB20" s="13">
        <f t="shared" si="3"/>
        <v>2423</v>
      </c>
    </row>
    <row r="21" ht="12.75" customHeight="1">
      <c r="A21" s="35"/>
      <c r="B21" s="28"/>
      <c r="C21" s="36"/>
      <c r="D21" s="13" t="s">
        <v>14</v>
      </c>
      <c r="E21" s="80">
        <f t="shared" ref="E21:AA21" si="4">SUM(E19:E20)</f>
        <v>203</v>
      </c>
      <c r="F21" s="80">
        <f t="shared" si="4"/>
        <v>183</v>
      </c>
      <c r="G21" s="80">
        <f t="shared" si="4"/>
        <v>195</v>
      </c>
      <c r="H21" s="80">
        <f t="shared" si="4"/>
        <v>195</v>
      </c>
      <c r="I21" s="80">
        <f t="shared" si="4"/>
        <v>220</v>
      </c>
      <c r="J21" s="80">
        <f t="shared" si="4"/>
        <v>223</v>
      </c>
      <c r="K21" s="80">
        <f t="shared" si="4"/>
        <v>234</v>
      </c>
      <c r="L21" s="80">
        <f t="shared" si="4"/>
        <v>226</v>
      </c>
      <c r="M21" s="80">
        <f t="shared" si="4"/>
        <v>229</v>
      </c>
      <c r="N21" s="80">
        <f t="shared" si="4"/>
        <v>231</v>
      </c>
      <c r="O21" s="80">
        <f t="shared" si="4"/>
        <v>189</v>
      </c>
      <c r="P21" s="80">
        <f t="shared" si="4"/>
        <v>174</v>
      </c>
      <c r="Q21" s="80">
        <f t="shared" si="4"/>
        <v>242</v>
      </c>
      <c r="R21" s="80">
        <f t="shared" si="4"/>
        <v>229</v>
      </c>
      <c r="S21" s="80">
        <f t="shared" si="4"/>
        <v>187</v>
      </c>
      <c r="T21" s="80">
        <f t="shared" si="4"/>
        <v>190</v>
      </c>
      <c r="U21" s="80">
        <f t="shared" si="4"/>
        <v>207</v>
      </c>
      <c r="V21" s="80">
        <f t="shared" si="4"/>
        <v>188</v>
      </c>
      <c r="W21" s="80">
        <f t="shared" si="4"/>
        <v>185</v>
      </c>
      <c r="X21" s="80">
        <f t="shared" si="4"/>
        <v>186</v>
      </c>
      <c r="Y21" s="80">
        <f t="shared" si="4"/>
        <v>204</v>
      </c>
      <c r="Z21" s="80">
        <f t="shared" si="4"/>
        <v>175</v>
      </c>
      <c r="AA21" s="80">
        <f t="shared" si="4"/>
        <v>169</v>
      </c>
      <c r="AB21" s="13">
        <f t="shared" si="3"/>
        <v>4664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1.0</v>
      </c>
      <c r="AB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1.0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1.0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80">
        <f t="shared" ref="E24:AA24" si="5">SUM(E22:E23)</f>
        <v>0</v>
      </c>
      <c r="F24" s="80">
        <f t="shared" si="5"/>
        <v>0</v>
      </c>
      <c r="G24" s="80">
        <f t="shared" si="5"/>
        <v>0</v>
      </c>
      <c r="H24" s="80">
        <f t="shared" si="5"/>
        <v>0</v>
      </c>
      <c r="I24" s="80">
        <f t="shared" si="5"/>
        <v>0</v>
      </c>
      <c r="J24" s="80">
        <f t="shared" si="5"/>
        <v>0</v>
      </c>
      <c r="K24" s="80">
        <f t="shared" si="5"/>
        <v>0</v>
      </c>
      <c r="L24" s="80">
        <f t="shared" si="5"/>
        <v>0</v>
      </c>
      <c r="M24" s="80">
        <f t="shared" si="5"/>
        <v>0</v>
      </c>
      <c r="N24" s="80">
        <f t="shared" si="5"/>
        <v>0</v>
      </c>
      <c r="O24" s="80">
        <f t="shared" si="5"/>
        <v>0</v>
      </c>
      <c r="P24" s="80">
        <f t="shared" si="5"/>
        <v>1</v>
      </c>
      <c r="Q24" s="80">
        <f t="shared" si="5"/>
        <v>0</v>
      </c>
      <c r="R24" s="80">
        <f t="shared" si="5"/>
        <v>0</v>
      </c>
      <c r="S24" s="80">
        <f t="shared" si="5"/>
        <v>0</v>
      </c>
      <c r="T24" s="80">
        <f t="shared" si="5"/>
        <v>0</v>
      </c>
      <c r="U24" s="80">
        <f t="shared" si="5"/>
        <v>0</v>
      </c>
      <c r="V24" s="80">
        <f t="shared" si="5"/>
        <v>0</v>
      </c>
      <c r="W24" s="80">
        <f t="shared" si="5"/>
        <v>0</v>
      </c>
      <c r="X24" s="80">
        <f t="shared" si="5"/>
        <v>0</v>
      </c>
      <c r="Y24" s="80">
        <f t="shared" si="5"/>
        <v>0</v>
      </c>
      <c r="Z24" s="80">
        <f t="shared" si="5"/>
        <v>0</v>
      </c>
      <c r="AA24" s="80">
        <f t="shared" si="5"/>
        <v>2</v>
      </c>
      <c r="AB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9">
        <v>1.0</v>
      </c>
      <c r="F25" s="79">
        <v>2.0</v>
      </c>
      <c r="G25" s="79">
        <v>2.0</v>
      </c>
      <c r="H25" s="79">
        <v>1.0</v>
      </c>
      <c r="I25" s="79">
        <v>0.0</v>
      </c>
      <c r="J25" s="79">
        <v>1.0</v>
      </c>
      <c r="K25" s="79">
        <v>0.0</v>
      </c>
      <c r="L25" s="79">
        <v>2.0</v>
      </c>
      <c r="M25" s="79">
        <v>0.0</v>
      </c>
      <c r="N25" s="79">
        <v>0.0</v>
      </c>
      <c r="O25" s="79">
        <v>0.0</v>
      </c>
      <c r="P25" s="79">
        <v>4.0</v>
      </c>
      <c r="Q25" s="79">
        <v>2.0</v>
      </c>
      <c r="R25" s="79">
        <v>2.0</v>
      </c>
      <c r="S25" s="79">
        <v>0.0</v>
      </c>
      <c r="T25" s="79">
        <v>2.0</v>
      </c>
      <c r="U25" s="79">
        <v>1.0</v>
      </c>
      <c r="V25" s="79">
        <v>0.0</v>
      </c>
      <c r="W25" s="79">
        <v>2.0</v>
      </c>
      <c r="X25" s="79">
        <v>1.0</v>
      </c>
      <c r="Y25" s="79">
        <v>0.0</v>
      </c>
      <c r="Z25" s="79">
        <v>1.0</v>
      </c>
      <c r="AA25" s="79">
        <v>0.0</v>
      </c>
      <c r="AB25" s="13">
        <f t="shared" si="3"/>
        <v>24</v>
      </c>
    </row>
    <row r="26" ht="12.75" customHeight="1">
      <c r="A26" s="33"/>
      <c r="B26" s="27"/>
      <c r="C26" s="34"/>
      <c r="D26" s="19" t="s">
        <v>13</v>
      </c>
      <c r="E26" s="79">
        <v>0.0</v>
      </c>
      <c r="F26" s="79">
        <v>1.0</v>
      </c>
      <c r="G26" s="79">
        <v>1.0</v>
      </c>
      <c r="H26" s="79">
        <v>1.0</v>
      </c>
      <c r="I26" s="79">
        <v>2.0</v>
      </c>
      <c r="J26" s="79">
        <v>2.0</v>
      </c>
      <c r="K26" s="79">
        <v>1.0</v>
      </c>
      <c r="L26" s="79">
        <v>1.0</v>
      </c>
      <c r="M26" s="79">
        <v>2.0</v>
      </c>
      <c r="N26" s="79">
        <v>0.0</v>
      </c>
      <c r="O26" s="79">
        <v>3.0</v>
      </c>
      <c r="P26" s="79">
        <v>4.0</v>
      </c>
      <c r="Q26" s="79">
        <v>5.0</v>
      </c>
      <c r="R26" s="79">
        <v>3.0</v>
      </c>
      <c r="S26" s="79">
        <v>0.0</v>
      </c>
      <c r="T26" s="79">
        <v>3.0</v>
      </c>
      <c r="U26" s="79">
        <v>4.0</v>
      </c>
      <c r="V26" s="79">
        <v>0.0</v>
      </c>
      <c r="W26" s="79">
        <v>3.0</v>
      </c>
      <c r="X26" s="79">
        <v>0.0</v>
      </c>
      <c r="Y26" s="79">
        <v>1.0</v>
      </c>
      <c r="Z26" s="79">
        <v>1.0</v>
      </c>
      <c r="AA26" s="79">
        <v>0.0</v>
      </c>
      <c r="AB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80">
        <f t="shared" ref="E27:AA27" si="6">SUM(E25:E26)</f>
        <v>1</v>
      </c>
      <c r="F27" s="80">
        <f t="shared" si="6"/>
        <v>3</v>
      </c>
      <c r="G27" s="80">
        <f t="shared" si="6"/>
        <v>3</v>
      </c>
      <c r="H27" s="80">
        <f t="shared" si="6"/>
        <v>2</v>
      </c>
      <c r="I27" s="80">
        <f t="shared" si="6"/>
        <v>2</v>
      </c>
      <c r="J27" s="80">
        <f t="shared" si="6"/>
        <v>3</v>
      </c>
      <c r="K27" s="80">
        <f t="shared" si="6"/>
        <v>1</v>
      </c>
      <c r="L27" s="80">
        <f t="shared" si="6"/>
        <v>3</v>
      </c>
      <c r="M27" s="80">
        <f t="shared" si="6"/>
        <v>2</v>
      </c>
      <c r="N27" s="80">
        <f t="shared" si="6"/>
        <v>0</v>
      </c>
      <c r="O27" s="80">
        <f t="shared" si="6"/>
        <v>3</v>
      </c>
      <c r="P27" s="80">
        <f t="shared" si="6"/>
        <v>8</v>
      </c>
      <c r="Q27" s="80">
        <f t="shared" si="6"/>
        <v>7</v>
      </c>
      <c r="R27" s="80">
        <f t="shared" si="6"/>
        <v>5</v>
      </c>
      <c r="S27" s="80">
        <f t="shared" si="6"/>
        <v>0</v>
      </c>
      <c r="T27" s="80">
        <f t="shared" si="6"/>
        <v>5</v>
      </c>
      <c r="U27" s="80">
        <f t="shared" si="6"/>
        <v>5</v>
      </c>
      <c r="V27" s="80">
        <f t="shared" si="6"/>
        <v>0</v>
      </c>
      <c r="W27" s="80">
        <f t="shared" si="6"/>
        <v>5</v>
      </c>
      <c r="X27" s="80">
        <f t="shared" si="6"/>
        <v>1</v>
      </c>
      <c r="Y27" s="80">
        <f t="shared" si="6"/>
        <v>1</v>
      </c>
      <c r="Z27" s="80">
        <f t="shared" si="6"/>
        <v>2</v>
      </c>
      <c r="AA27" s="80">
        <f t="shared" si="6"/>
        <v>0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0">
        <f t="shared" ref="E28:AA28" si="7">SUM(E19,E22,E25)</f>
        <v>102</v>
      </c>
      <c r="F28" s="80">
        <f t="shared" si="7"/>
        <v>89</v>
      </c>
      <c r="G28" s="80">
        <f t="shared" si="7"/>
        <v>90</v>
      </c>
      <c r="H28" s="80">
        <f t="shared" si="7"/>
        <v>91</v>
      </c>
      <c r="I28" s="80">
        <f t="shared" si="7"/>
        <v>97</v>
      </c>
      <c r="J28" s="80">
        <f t="shared" si="7"/>
        <v>109</v>
      </c>
      <c r="K28" s="80">
        <f t="shared" si="7"/>
        <v>111</v>
      </c>
      <c r="L28" s="80">
        <f t="shared" si="7"/>
        <v>110</v>
      </c>
      <c r="M28" s="80">
        <f t="shared" si="7"/>
        <v>112</v>
      </c>
      <c r="N28" s="80">
        <f t="shared" si="7"/>
        <v>112</v>
      </c>
      <c r="O28" s="80">
        <f t="shared" si="7"/>
        <v>90</v>
      </c>
      <c r="P28" s="80">
        <f t="shared" si="7"/>
        <v>87</v>
      </c>
      <c r="Q28" s="80">
        <f t="shared" si="7"/>
        <v>115</v>
      </c>
      <c r="R28" s="80">
        <f t="shared" si="7"/>
        <v>112</v>
      </c>
      <c r="S28" s="80">
        <f t="shared" si="7"/>
        <v>97</v>
      </c>
      <c r="T28" s="80">
        <f t="shared" si="7"/>
        <v>97</v>
      </c>
      <c r="U28" s="80">
        <f t="shared" si="7"/>
        <v>100</v>
      </c>
      <c r="V28" s="80">
        <f t="shared" si="7"/>
        <v>91</v>
      </c>
      <c r="W28" s="80">
        <f t="shared" si="7"/>
        <v>95</v>
      </c>
      <c r="X28" s="80">
        <f t="shared" si="7"/>
        <v>92</v>
      </c>
      <c r="Y28" s="80">
        <f t="shared" si="7"/>
        <v>105</v>
      </c>
      <c r="Z28" s="80">
        <f t="shared" si="7"/>
        <v>80</v>
      </c>
      <c r="AA28" s="80">
        <f t="shared" si="7"/>
        <v>82</v>
      </c>
      <c r="AB28" s="13">
        <f t="shared" si="3"/>
        <v>2266</v>
      </c>
    </row>
    <row r="29" ht="12.75" customHeight="1">
      <c r="A29" s="35"/>
      <c r="B29" s="27"/>
      <c r="C29" s="34"/>
      <c r="D29" s="13" t="s">
        <v>13</v>
      </c>
      <c r="E29" s="80">
        <f t="shared" ref="E29:AA29" si="8">SUM(E20,E23,E26)</f>
        <v>102</v>
      </c>
      <c r="F29" s="80">
        <f t="shared" si="8"/>
        <v>97</v>
      </c>
      <c r="G29" s="80">
        <f t="shared" si="8"/>
        <v>108</v>
      </c>
      <c r="H29" s="80">
        <f t="shared" si="8"/>
        <v>106</v>
      </c>
      <c r="I29" s="80">
        <f t="shared" si="8"/>
        <v>125</v>
      </c>
      <c r="J29" s="80">
        <f t="shared" si="8"/>
        <v>117</v>
      </c>
      <c r="K29" s="80">
        <f t="shared" si="8"/>
        <v>124</v>
      </c>
      <c r="L29" s="80">
        <f t="shared" si="8"/>
        <v>119</v>
      </c>
      <c r="M29" s="80">
        <f t="shared" si="8"/>
        <v>119</v>
      </c>
      <c r="N29" s="80">
        <f t="shared" si="8"/>
        <v>119</v>
      </c>
      <c r="O29" s="80">
        <f t="shared" si="8"/>
        <v>102</v>
      </c>
      <c r="P29" s="80">
        <f t="shared" si="8"/>
        <v>96</v>
      </c>
      <c r="Q29" s="80">
        <f t="shared" si="8"/>
        <v>134</v>
      </c>
      <c r="R29" s="80">
        <f t="shared" si="8"/>
        <v>122</v>
      </c>
      <c r="S29" s="80">
        <f t="shared" si="8"/>
        <v>90</v>
      </c>
      <c r="T29" s="80">
        <f t="shared" si="8"/>
        <v>98</v>
      </c>
      <c r="U29" s="80">
        <f t="shared" si="8"/>
        <v>112</v>
      </c>
      <c r="V29" s="80">
        <f t="shared" si="8"/>
        <v>97</v>
      </c>
      <c r="W29" s="80">
        <f t="shared" si="8"/>
        <v>95</v>
      </c>
      <c r="X29" s="80">
        <f t="shared" si="8"/>
        <v>95</v>
      </c>
      <c r="Y29" s="80">
        <f t="shared" si="8"/>
        <v>100</v>
      </c>
      <c r="Z29" s="80">
        <f t="shared" si="8"/>
        <v>97</v>
      </c>
      <c r="AA29" s="80">
        <f t="shared" si="8"/>
        <v>89</v>
      </c>
      <c r="AB29" s="13">
        <f t="shared" si="3"/>
        <v>2463</v>
      </c>
    </row>
    <row r="30" ht="12.75" customHeight="1">
      <c r="A30" s="35"/>
      <c r="B30" s="28"/>
      <c r="C30" s="36"/>
      <c r="D30" s="13" t="s">
        <v>14</v>
      </c>
      <c r="E30" s="82">
        <f t="shared" ref="E30:AA30" si="9">SUM(E28:E29)</f>
        <v>204</v>
      </c>
      <c r="F30" s="82">
        <f t="shared" si="9"/>
        <v>186</v>
      </c>
      <c r="G30" s="82">
        <f t="shared" si="9"/>
        <v>198</v>
      </c>
      <c r="H30" s="82">
        <f t="shared" si="9"/>
        <v>197</v>
      </c>
      <c r="I30" s="82">
        <f t="shared" si="9"/>
        <v>222</v>
      </c>
      <c r="J30" s="82">
        <f t="shared" si="9"/>
        <v>226</v>
      </c>
      <c r="K30" s="82">
        <f t="shared" si="9"/>
        <v>235</v>
      </c>
      <c r="L30" s="82">
        <f t="shared" si="9"/>
        <v>229</v>
      </c>
      <c r="M30" s="82">
        <f t="shared" si="9"/>
        <v>231</v>
      </c>
      <c r="N30" s="82">
        <f t="shared" si="9"/>
        <v>231</v>
      </c>
      <c r="O30" s="82">
        <f t="shared" si="9"/>
        <v>192</v>
      </c>
      <c r="P30" s="82">
        <f t="shared" si="9"/>
        <v>183</v>
      </c>
      <c r="Q30" s="82">
        <f t="shared" si="9"/>
        <v>249</v>
      </c>
      <c r="R30" s="82">
        <f t="shared" si="9"/>
        <v>234</v>
      </c>
      <c r="S30" s="82">
        <f t="shared" si="9"/>
        <v>187</v>
      </c>
      <c r="T30" s="82">
        <f t="shared" si="9"/>
        <v>195</v>
      </c>
      <c r="U30" s="82">
        <f t="shared" si="9"/>
        <v>212</v>
      </c>
      <c r="V30" s="82">
        <f t="shared" si="9"/>
        <v>188</v>
      </c>
      <c r="W30" s="82">
        <f t="shared" si="9"/>
        <v>190</v>
      </c>
      <c r="X30" s="82">
        <f t="shared" si="9"/>
        <v>187</v>
      </c>
      <c r="Y30" s="82">
        <f t="shared" si="9"/>
        <v>205</v>
      </c>
      <c r="Z30" s="82">
        <f t="shared" si="9"/>
        <v>177</v>
      </c>
      <c r="AA30" s="82">
        <f t="shared" si="9"/>
        <v>171</v>
      </c>
      <c r="AB30" s="13">
        <f t="shared" si="3"/>
        <v>4729</v>
      </c>
    </row>
    <row r="31" ht="12.75" customHeight="1">
      <c r="A31" s="24"/>
      <c r="B31" s="15"/>
      <c r="C31" s="15"/>
      <c r="D31" s="16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68"/>
    </row>
    <row r="32" ht="12.75" customHeight="1">
      <c r="A32" s="41" t="s">
        <v>25</v>
      </c>
      <c r="B32" s="14" t="s">
        <v>26</v>
      </c>
      <c r="C32" s="15"/>
      <c r="D32" s="16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68"/>
    </row>
    <row r="33" ht="12.75" customHeight="1">
      <c r="A33" s="19">
        <v>1.0</v>
      </c>
      <c r="B33" s="20" t="s">
        <v>27</v>
      </c>
      <c r="C33" s="15"/>
      <c r="D33" s="16"/>
      <c r="E33" s="79">
        <v>267.0</v>
      </c>
      <c r="F33" s="79">
        <v>258.0</v>
      </c>
      <c r="G33" s="79">
        <v>276.0</v>
      </c>
      <c r="H33" s="79">
        <v>269.0</v>
      </c>
      <c r="I33" s="79">
        <v>276.0</v>
      </c>
      <c r="J33" s="79">
        <v>294.0</v>
      </c>
      <c r="K33" s="79">
        <v>297.0</v>
      </c>
      <c r="L33" s="79">
        <v>286.0</v>
      </c>
      <c r="M33" s="79">
        <v>295.0</v>
      </c>
      <c r="N33" s="79">
        <v>291.0</v>
      </c>
      <c r="O33" s="79">
        <v>276.0</v>
      </c>
      <c r="P33" s="79">
        <v>236.0</v>
      </c>
      <c r="Q33" s="79">
        <v>299.0</v>
      </c>
      <c r="R33" s="79">
        <v>297.0</v>
      </c>
      <c r="S33" s="79">
        <v>227.0</v>
      </c>
      <c r="T33" s="79">
        <v>235.0</v>
      </c>
      <c r="U33" s="79">
        <v>259.0</v>
      </c>
      <c r="V33" s="79">
        <v>245.0</v>
      </c>
      <c r="W33" s="79">
        <v>243.0</v>
      </c>
      <c r="X33" s="79">
        <v>261.0</v>
      </c>
      <c r="Y33" s="79">
        <v>255.0</v>
      </c>
      <c r="Z33" s="79">
        <v>240.0</v>
      </c>
      <c r="AA33" s="79">
        <v>250.0</v>
      </c>
      <c r="AB33" s="13">
        <f t="shared" ref="AB33:AB36" si="10">SUM(E33:AA33)</f>
        <v>6132</v>
      </c>
    </row>
    <row r="34" ht="12.75" customHeight="1">
      <c r="A34" s="19">
        <v>2.0</v>
      </c>
      <c r="B34" s="20" t="s">
        <v>28</v>
      </c>
      <c r="C34" s="15"/>
      <c r="D34" s="16"/>
      <c r="E34" s="83">
        <v>204.0</v>
      </c>
      <c r="F34" s="83">
        <v>186.0</v>
      </c>
      <c r="G34" s="83">
        <v>198.0</v>
      </c>
      <c r="H34" s="83">
        <v>197.0</v>
      </c>
      <c r="I34" s="83">
        <v>222.0</v>
      </c>
      <c r="J34" s="83">
        <v>226.0</v>
      </c>
      <c r="K34" s="83">
        <v>235.0</v>
      </c>
      <c r="L34" s="83">
        <v>229.0</v>
      </c>
      <c r="M34" s="83">
        <v>231.0</v>
      </c>
      <c r="N34" s="83">
        <v>231.0</v>
      </c>
      <c r="O34" s="83">
        <v>192.0</v>
      </c>
      <c r="P34" s="83">
        <v>183.0</v>
      </c>
      <c r="Q34" s="83">
        <v>249.0</v>
      </c>
      <c r="R34" s="83">
        <v>234.0</v>
      </c>
      <c r="S34" s="83">
        <v>187.0</v>
      </c>
      <c r="T34" s="83">
        <v>195.0</v>
      </c>
      <c r="U34" s="83">
        <v>212.0</v>
      </c>
      <c r="V34" s="83">
        <v>188.0</v>
      </c>
      <c r="W34" s="83">
        <v>190.0</v>
      </c>
      <c r="X34" s="83">
        <v>187.0</v>
      </c>
      <c r="Y34" s="83">
        <v>205.0</v>
      </c>
      <c r="Z34" s="83">
        <v>177.0</v>
      </c>
      <c r="AA34" s="83">
        <v>171.0</v>
      </c>
      <c r="AB34" s="13">
        <f t="shared" si="10"/>
        <v>4729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1.0</v>
      </c>
      <c r="J35" s="79">
        <v>0.0</v>
      </c>
      <c r="K35" s="79">
        <v>0.0</v>
      </c>
      <c r="L35" s="79">
        <v>3.0</v>
      </c>
      <c r="M35" s="79">
        <v>1.0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1.0</v>
      </c>
      <c r="V35" s="79">
        <v>0.0</v>
      </c>
      <c r="W35" s="79">
        <v>0.0</v>
      </c>
      <c r="X35" s="79">
        <v>1.0</v>
      </c>
      <c r="Y35" s="79">
        <v>0.0</v>
      </c>
      <c r="Z35" s="79">
        <v>0.0</v>
      </c>
      <c r="AA35" s="79">
        <v>0.0</v>
      </c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80">
        <f t="shared" ref="E36:AA36" si="11">E33-(E34+E35)</f>
        <v>63</v>
      </c>
      <c r="F36" s="80">
        <f t="shared" si="11"/>
        <v>72</v>
      </c>
      <c r="G36" s="80">
        <f t="shared" si="11"/>
        <v>78</v>
      </c>
      <c r="H36" s="80">
        <f t="shared" si="11"/>
        <v>72</v>
      </c>
      <c r="I36" s="80">
        <f t="shared" si="11"/>
        <v>53</v>
      </c>
      <c r="J36" s="80">
        <f t="shared" si="11"/>
        <v>68</v>
      </c>
      <c r="K36" s="80">
        <f t="shared" si="11"/>
        <v>62</v>
      </c>
      <c r="L36" s="80">
        <f t="shared" si="11"/>
        <v>54</v>
      </c>
      <c r="M36" s="80">
        <f t="shared" si="11"/>
        <v>63</v>
      </c>
      <c r="N36" s="80">
        <f t="shared" si="11"/>
        <v>60</v>
      </c>
      <c r="O36" s="80">
        <f t="shared" si="11"/>
        <v>84</v>
      </c>
      <c r="P36" s="80">
        <f t="shared" si="11"/>
        <v>53</v>
      </c>
      <c r="Q36" s="80">
        <f t="shared" si="11"/>
        <v>50</v>
      </c>
      <c r="R36" s="80">
        <f t="shared" si="11"/>
        <v>63</v>
      </c>
      <c r="S36" s="80">
        <f t="shared" si="11"/>
        <v>40</v>
      </c>
      <c r="T36" s="80">
        <f t="shared" si="11"/>
        <v>40</v>
      </c>
      <c r="U36" s="80">
        <f t="shared" si="11"/>
        <v>46</v>
      </c>
      <c r="V36" s="80">
        <f t="shared" si="11"/>
        <v>57</v>
      </c>
      <c r="W36" s="80">
        <f t="shared" si="11"/>
        <v>53</v>
      </c>
      <c r="X36" s="80">
        <f t="shared" si="11"/>
        <v>73</v>
      </c>
      <c r="Y36" s="80">
        <f t="shared" si="11"/>
        <v>50</v>
      </c>
      <c r="Z36" s="80">
        <f t="shared" si="11"/>
        <v>63</v>
      </c>
      <c r="AA36" s="80">
        <f t="shared" si="11"/>
        <v>79</v>
      </c>
      <c r="AB36" s="13">
        <f t="shared" si="10"/>
        <v>1396</v>
      </c>
    </row>
    <row r="37" ht="12.75" customHeight="1">
      <c r="A37" s="24"/>
      <c r="B37" s="15"/>
      <c r="C37" s="15"/>
      <c r="D37" s="15"/>
      <c r="E37" s="8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81"/>
      <c r="U37" s="81"/>
      <c r="V37" s="81"/>
      <c r="W37" s="81"/>
      <c r="X37" s="81"/>
      <c r="Y37" s="81"/>
      <c r="Z37" s="81"/>
      <c r="AA37" s="81"/>
      <c r="AB37" s="68"/>
    </row>
    <row r="38" ht="12.75" customHeight="1">
      <c r="A38" s="42" t="s">
        <v>31</v>
      </c>
      <c r="B38" s="14" t="s">
        <v>32</v>
      </c>
      <c r="C38" s="15"/>
      <c r="D38" s="16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68"/>
    </row>
    <row r="39" ht="12.75" customHeight="1">
      <c r="A39" s="30"/>
      <c r="B39" s="43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1.0</v>
      </c>
      <c r="Z39" s="79">
        <v>1.0</v>
      </c>
      <c r="AA39" s="79">
        <v>0.0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1.0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1.0</v>
      </c>
      <c r="Z40" s="79">
        <v>2.0</v>
      </c>
      <c r="AA40" s="7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3</v>
      </c>
      <c r="AA41" s="13">
        <f t="shared" si="13"/>
        <v>0</v>
      </c>
      <c r="AB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67"/>
      <c r="X42" s="19"/>
      <c r="Y42" s="67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69"/>
      <c r="X43" s="13"/>
      <c r="Y43" s="69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67"/>
      <c r="X44" s="19"/>
      <c r="Y44" s="67"/>
      <c r="Z44" s="19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7.0</v>
      </c>
      <c r="G45" s="19">
        <v>14.0</v>
      </c>
      <c r="H45" s="19">
        <v>3.0</v>
      </c>
      <c r="I45" s="19">
        <v>9.0</v>
      </c>
      <c r="J45" s="19">
        <v>8.0</v>
      </c>
      <c r="K45" s="19">
        <v>6.0</v>
      </c>
      <c r="L45" s="19">
        <v>1.0</v>
      </c>
      <c r="M45" s="19">
        <v>18.0</v>
      </c>
      <c r="N45" s="19">
        <v>10.0</v>
      </c>
      <c r="O45" s="19">
        <v>7.0</v>
      </c>
      <c r="P45" s="19">
        <v>5.0</v>
      </c>
      <c r="Q45" s="19">
        <v>10.0</v>
      </c>
      <c r="R45" s="19">
        <v>10.0</v>
      </c>
      <c r="S45" s="19">
        <v>1.0</v>
      </c>
      <c r="T45" s="19">
        <v>2.0</v>
      </c>
      <c r="U45" s="19">
        <v>6.0</v>
      </c>
      <c r="V45" s="19">
        <v>9.0</v>
      </c>
      <c r="W45" s="19">
        <v>2.0</v>
      </c>
      <c r="X45" s="19">
        <v>10.0</v>
      </c>
      <c r="Y45" s="19">
        <v>6.0</v>
      </c>
      <c r="Z45" s="19">
        <v>8.0</v>
      </c>
      <c r="AA45" s="19">
        <v>7.0</v>
      </c>
      <c r="AB45" s="13">
        <f t="shared" ref="AB45:AB52" si="14">SUM(E45:AA45)</f>
        <v>164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8.0</v>
      </c>
      <c r="G46" s="19">
        <v>16.0</v>
      </c>
      <c r="H46" s="19">
        <v>5.0</v>
      </c>
      <c r="I46" s="19">
        <v>29.0</v>
      </c>
      <c r="J46" s="19">
        <v>20.0</v>
      </c>
      <c r="K46" s="19">
        <v>20.0</v>
      </c>
      <c r="L46" s="19">
        <v>5.0</v>
      </c>
      <c r="M46" s="19">
        <v>75.0</v>
      </c>
      <c r="N46" s="19">
        <v>43.0</v>
      </c>
      <c r="O46" s="19">
        <v>21.0</v>
      </c>
      <c r="P46" s="19">
        <v>11.0</v>
      </c>
      <c r="Q46" s="19">
        <v>26.0</v>
      </c>
      <c r="R46" s="19">
        <v>28.0</v>
      </c>
      <c r="S46" s="19">
        <v>11.0</v>
      </c>
      <c r="T46" s="19">
        <v>10.0</v>
      </c>
      <c r="U46" s="19">
        <v>31.0</v>
      </c>
      <c r="V46" s="19">
        <v>16.0</v>
      </c>
      <c r="W46" s="19">
        <v>17.0</v>
      </c>
      <c r="X46" s="19">
        <v>37.0</v>
      </c>
      <c r="Y46" s="19">
        <v>13.0</v>
      </c>
      <c r="Z46" s="19">
        <v>31.0</v>
      </c>
      <c r="AA46" s="19">
        <v>22.0</v>
      </c>
      <c r="AB46" s="13">
        <f t="shared" si="14"/>
        <v>513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24.0</v>
      </c>
      <c r="G47" s="19">
        <v>16.0</v>
      </c>
      <c r="H47" s="19">
        <v>3.0</v>
      </c>
      <c r="I47" s="19">
        <v>8.0</v>
      </c>
      <c r="J47" s="19">
        <v>3.0</v>
      </c>
      <c r="K47" s="19">
        <v>3.0</v>
      </c>
      <c r="L47" s="19">
        <v>6.0</v>
      </c>
      <c r="M47" s="19">
        <v>7.0</v>
      </c>
      <c r="N47" s="19">
        <v>7.0</v>
      </c>
      <c r="O47" s="19">
        <v>7.0</v>
      </c>
      <c r="P47" s="19">
        <v>4.0</v>
      </c>
      <c r="Q47" s="19">
        <v>7.0</v>
      </c>
      <c r="R47" s="19">
        <v>4.0</v>
      </c>
      <c r="S47" s="19">
        <v>1.0</v>
      </c>
      <c r="T47" s="19">
        <v>7.0</v>
      </c>
      <c r="U47" s="19">
        <v>5.0</v>
      </c>
      <c r="V47" s="19">
        <v>20.0</v>
      </c>
      <c r="W47" s="19">
        <v>4.0</v>
      </c>
      <c r="X47" s="19">
        <v>4.0</v>
      </c>
      <c r="Y47" s="19">
        <v>1.0</v>
      </c>
      <c r="Z47" s="19">
        <v>0.0</v>
      </c>
      <c r="AA47" s="19">
        <v>0.0</v>
      </c>
      <c r="AB47" s="13">
        <f t="shared" si="14"/>
        <v>144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1.0</v>
      </c>
      <c r="L48" s="19">
        <v>1.0</v>
      </c>
      <c r="M48" s="19">
        <v>2.0</v>
      </c>
      <c r="N48" s="19">
        <v>1.0</v>
      </c>
      <c r="O48" s="19">
        <v>2.0</v>
      </c>
      <c r="P48" s="19">
        <v>1.0</v>
      </c>
      <c r="Q48" s="19">
        <v>1.0</v>
      </c>
      <c r="R48" s="19">
        <v>2.0</v>
      </c>
      <c r="S48" s="19">
        <v>1.0</v>
      </c>
      <c r="T48" s="19">
        <v>1.0</v>
      </c>
      <c r="U48" s="19">
        <v>0.0</v>
      </c>
      <c r="V48" s="19">
        <v>1.0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3">
        <f t="shared" si="14"/>
        <v>18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1.0</v>
      </c>
      <c r="Z49" s="19">
        <v>2.0</v>
      </c>
      <c r="AA49" s="19">
        <v>0.0</v>
      </c>
      <c r="AB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2.0</v>
      </c>
      <c r="K50" s="19">
        <v>2.0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5.0</v>
      </c>
      <c r="W50" s="19">
        <v>0.0</v>
      </c>
      <c r="X50" s="19">
        <v>0.0</v>
      </c>
      <c r="Y50" s="19">
        <v>0.0</v>
      </c>
      <c r="Z50" s="19">
        <v>1.0</v>
      </c>
      <c r="AA50" s="19">
        <v>0.0</v>
      </c>
      <c r="AB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5.0</v>
      </c>
      <c r="K51" s="19">
        <v>3.0</v>
      </c>
      <c r="L51" s="19">
        <v>0.0</v>
      </c>
      <c r="M51" s="19">
        <v>1.0</v>
      </c>
      <c r="N51" s="19">
        <v>1.0</v>
      </c>
      <c r="O51" s="19">
        <v>2.0</v>
      </c>
      <c r="P51" s="19">
        <v>1.0</v>
      </c>
      <c r="Q51" s="19">
        <v>6.0</v>
      </c>
      <c r="R51" s="19">
        <v>9.0</v>
      </c>
      <c r="S51" s="19">
        <v>3.0</v>
      </c>
      <c r="T51" s="19">
        <v>3.0</v>
      </c>
      <c r="U51" s="19">
        <v>0.0</v>
      </c>
      <c r="V51" s="19">
        <v>1.0</v>
      </c>
      <c r="W51" s="19">
        <v>0.0</v>
      </c>
      <c r="X51" s="19">
        <v>1.0</v>
      </c>
      <c r="Y51" s="19">
        <v>1.0</v>
      </c>
      <c r="Z51" s="19">
        <v>0.0</v>
      </c>
      <c r="AA51" s="19">
        <v>0.0</v>
      </c>
      <c r="AB51" s="13">
        <f t="shared" si="14"/>
        <v>39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2.0</v>
      </c>
      <c r="Q52" s="19">
        <v>1.0</v>
      </c>
      <c r="R52" s="19">
        <v>2.0</v>
      </c>
      <c r="S52" s="19">
        <v>0.0</v>
      </c>
      <c r="T52" s="19">
        <v>0.0</v>
      </c>
      <c r="U52" s="19">
        <v>1.0</v>
      </c>
      <c r="V52" s="19">
        <v>1.0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SUM(E45:E52)</f>
        <v>30</v>
      </c>
      <c r="F55" s="13">
        <f t="shared" si="15"/>
        <v>39</v>
      </c>
      <c r="G55" s="13">
        <f t="shared" si="15"/>
        <v>47</v>
      </c>
      <c r="H55" s="13">
        <f t="shared" si="15"/>
        <v>11</v>
      </c>
      <c r="I55" s="13">
        <f t="shared" si="15"/>
        <v>46</v>
      </c>
      <c r="J55" s="13">
        <f t="shared" si="15"/>
        <v>39</v>
      </c>
      <c r="K55" s="13">
        <f t="shared" si="15"/>
        <v>36</v>
      </c>
      <c r="L55" s="13">
        <f t="shared" si="15"/>
        <v>14</v>
      </c>
      <c r="M55" s="13">
        <f t="shared" si="15"/>
        <v>104</v>
      </c>
      <c r="N55" s="13">
        <f t="shared" si="15"/>
        <v>62</v>
      </c>
      <c r="O55" s="13">
        <f t="shared" si="15"/>
        <v>39</v>
      </c>
      <c r="P55" s="13">
        <f t="shared" si="15"/>
        <v>24</v>
      </c>
      <c r="Q55" s="13">
        <f t="shared" si="15"/>
        <v>51</v>
      </c>
      <c r="R55" s="13">
        <f t="shared" si="15"/>
        <v>56</v>
      </c>
      <c r="S55" s="13">
        <f t="shared" si="15"/>
        <v>17</v>
      </c>
      <c r="T55" s="13">
        <f t="shared" si="15"/>
        <v>23</v>
      </c>
      <c r="U55" s="13">
        <f t="shared" si="15"/>
        <v>43</v>
      </c>
      <c r="V55" s="13">
        <f t="shared" si="15"/>
        <v>53</v>
      </c>
      <c r="W55" s="13">
        <f t="shared" si="15"/>
        <v>23</v>
      </c>
      <c r="X55" s="13">
        <f t="shared" si="15"/>
        <v>53</v>
      </c>
      <c r="Y55" s="13">
        <f t="shared" si="15"/>
        <v>22</v>
      </c>
      <c r="Z55" s="13">
        <f t="shared" si="15"/>
        <v>42</v>
      </c>
      <c r="AA55" s="13">
        <f t="shared" si="15"/>
        <v>29</v>
      </c>
      <c r="AB55" s="13">
        <f>SUM(E55:AA55)</f>
        <v>903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6.0</v>
      </c>
      <c r="G57" s="19">
        <v>10.0</v>
      </c>
      <c r="H57" s="19">
        <v>4.0</v>
      </c>
      <c r="I57" s="19">
        <v>15.0</v>
      </c>
      <c r="J57" s="19">
        <v>12.0</v>
      </c>
      <c r="K57" s="19">
        <v>10.0</v>
      </c>
      <c r="L57" s="19">
        <v>11.0</v>
      </c>
      <c r="M57" s="19">
        <v>4.0</v>
      </c>
      <c r="N57" s="19">
        <v>15.0</v>
      </c>
      <c r="O57" s="19">
        <v>7.0</v>
      </c>
      <c r="P57" s="19">
        <v>11.0</v>
      </c>
      <c r="Q57" s="19">
        <v>9.0</v>
      </c>
      <c r="R57" s="19">
        <v>5.0</v>
      </c>
      <c r="S57" s="19">
        <v>7.0</v>
      </c>
      <c r="T57" s="19">
        <v>7.0</v>
      </c>
      <c r="U57" s="19">
        <v>9.0</v>
      </c>
      <c r="V57" s="19">
        <v>13.0</v>
      </c>
      <c r="W57" s="19">
        <v>11.0</v>
      </c>
      <c r="X57" s="19">
        <v>6.0</v>
      </c>
      <c r="Y57" s="19">
        <v>13.0</v>
      </c>
      <c r="Z57" s="19">
        <v>7.0</v>
      </c>
      <c r="AA57" s="19">
        <v>7.0</v>
      </c>
      <c r="AB57" s="13">
        <f t="shared" ref="AB57:AB64" si="16">SUM(E57:AA57)</f>
        <v>213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7.0</v>
      </c>
      <c r="F58" s="19">
        <v>3.0</v>
      </c>
      <c r="G58" s="19">
        <v>8.0</v>
      </c>
      <c r="H58" s="19">
        <v>8.0</v>
      </c>
      <c r="I58" s="19">
        <v>17.0</v>
      </c>
      <c r="J58" s="19">
        <v>15.0</v>
      </c>
      <c r="K58" s="19">
        <v>26.0</v>
      </c>
      <c r="L58" s="19">
        <v>8.0</v>
      </c>
      <c r="M58" s="19">
        <v>12.0</v>
      </c>
      <c r="N58" s="19">
        <v>9.0</v>
      </c>
      <c r="O58" s="19">
        <v>4.0</v>
      </c>
      <c r="P58" s="19">
        <v>5.0</v>
      </c>
      <c r="Q58" s="19">
        <v>4.0</v>
      </c>
      <c r="R58" s="19">
        <v>4.0</v>
      </c>
      <c r="S58" s="19">
        <v>16.0</v>
      </c>
      <c r="T58" s="19">
        <v>3.0</v>
      </c>
      <c r="U58" s="19">
        <v>9.0</v>
      </c>
      <c r="V58" s="19">
        <v>9.0</v>
      </c>
      <c r="W58" s="19">
        <v>22.0</v>
      </c>
      <c r="X58" s="19">
        <v>11.0</v>
      </c>
      <c r="Y58" s="19">
        <v>6.0</v>
      </c>
      <c r="Z58" s="19">
        <v>5.0</v>
      </c>
      <c r="AA58" s="19">
        <v>2.0</v>
      </c>
      <c r="AB58" s="13">
        <f t="shared" si="16"/>
        <v>213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5.0</v>
      </c>
      <c r="G59" s="19">
        <v>18.0</v>
      </c>
      <c r="H59" s="19">
        <v>62.0</v>
      </c>
      <c r="I59" s="19">
        <v>4.0</v>
      </c>
      <c r="J59" s="19">
        <v>7.0</v>
      </c>
      <c r="K59" s="19">
        <v>3.0</v>
      </c>
      <c r="L59" s="19">
        <v>9.0</v>
      </c>
      <c r="M59" s="19">
        <v>5.0</v>
      </c>
      <c r="N59" s="19">
        <v>5.0</v>
      </c>
      <c r="O59" s="19">
        <v>12.0</v>
      </c>
      <c r="P59" s="19">
        <v>4.0</v>
      </c>
      <c r="Q59" s="19">
        <v>9.0</v>
      </c>
      <c r="R59" s="19">
        <v>2.0</v>
      </c>
      <c r="S59" s="19">
        <v>1.0</v>
      </c>
      <c r="T59" s="19">
        <v>31.0</v>
      </c>
      <c r="U59" s="19">
        <v>12.0</v>
      </c>
      <c r="V59" s="19">
        <v>5.0</v>
      </c>
      <c r="W59" s="19">
        <v>1.0</v>
      </c>
      <c r="X59" s="19">
        <v>9.0</v>
      </c>
      <c r="Y59" s="19">
        <v>7.0</v>
      </c>
      <c r="Z59" s="19">
        <v>5.0</v>
      </c>
      <c r="AA59" s="19">
        <v>7.0</v>
      </c>
      <c r="AB59" s="13">
        <f t="shared" si="16"/>
        <v>226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1.0</v>
      </c>
      <c r="H60" s="19">
        <v>0.0</v>
      </c>
      <c r="I60" s="19">
        <v>1.0</v>
      </c>
      <c r="J60" s="19">
        <v>2.0</v>
      </c>
      <c r="K60" s="19">
        <v>1.0</v>
      </c>
      <c r="L60" s="19">
        <v>1.0</v>
      </c>
      <c r="M60" s="19">
        <v>0.0</v>
      </c>
      <c r="N60" s="19">
        <v>1.0</v>
      </c>
      <c r="O60" s="19">
        <v>0.0</v>
      </c>
      <c r="P60" s="19">
        <v>2.0</v>
      </c>
      <c r="Q60" s="19">
        <v>2.0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0.0</v>
      </c>
      <c r="AA60" s="19">
        <v>1.0</v>
      </c>
      <c r="AB60" s="13">
        <f t="shared" si="16"/>
        <v>13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1.0</v>
      </c>
      <c r="G61" s="19">
        <v>1.0</v>
      </c>
      <c r="H61" s="19">
        <v>2.0</v>
      </c>
      <c r="I61" s="19">
        <v>0.0</v>
      </c>
      <c r="J61" s="19">
        <v>3.0</v>
      </c>
      <c r="K61" s="19">
        <v>1.0</v>
      </c>
      <c r="L61" s="19">
        <v>2.0</v>
      </c>
      <c r="M61" s="19">
        <v>0.0</v>
      </c>
      <c r="N61" s="19">
        <v>3.0</v>
      </c>
      <c r="O61" s="19">
        <v>1.0</v>
      </c>
      <c r="P61" s="19">
        <v>0.0</v>
      </c>
      <c r="Q61" s="19">
        <v>0.0</v>
      </c>
      <c r="R61" s="19">
        <v>1.0</v>
      </c>
      <c r="S61" s="19">
        <v>0.0</v>
      </c>
      <c r="T61" s="19">
        <v>0.0</v>
      </c>
      <c r="U61" s="19">
        <v>3.0</v>
      </c>
      <c r="V61" s="19">
        <v>0.0</v>
      </c>
      <c r="W61" s="19">
        <v>2.0</v>
      </c>
      <c r="X61" s="19">
        <v>0.0</v>
      </c>
      <c r="Y61" s="19">
        <v>0.0</v>
      </c>
      <c r="Z61" s="19">
        <v>1.0</v>
      </c>
      <c r="AA61" s="19">
        <v>0.0</v>
      </c>
      <c r="AB61" s="13">
        <f t="shared" si="16"/>
        <v>23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2.0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1.0</v>
      </c>
      <c r="AA62" s="19">
        <v>0.0</v>
      </c>
      <c r="AB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2.0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1.0</v>
      </c>
      <c r="U63" s="19">
        <v>0.0</v>
      </c>
      <c r="V63" s="19">
        <v>0.0</v>
      </c>
      <c r="W63" s="19">
        <v>0.0</v>
      </c>
      <c r="X63" s="19">
        <v>3.0</v>
      </c>
      <c r="Y63" s="19">
        <v>0.0</v>
      </c>
      <c r="Z63" s="19">
        <v>0.0</v>
      </c>
      <c r="AA63" s="19">
        <v>2.0</v>
      </c>
      <c r="AB63" s="13">
        <f t="shared" si="16"/>
        <v>10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5.0</v>
      </c>
      <c r="Z64" s="19">
        <v>0.0</v>
      </c>
      <c r="AA64" s="19">
        <v>0.0</v>
      </c>
      <c r="AB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SUM(E57:E64)</f>
        <v>28</v>
      </c>
      <c r="F67" s="13">
        <f t="shared" si="17"/>
        <v>15</v>
      </c>
      <c r="G67" s="13">
        <f t="shared" si="17"/>
        <v>38</v>
      </c>
      <c r="H67" s="13">
        <f t="shared" si="17"/>
        <v>78</v>
      </c>
      <c r="I67" s="13">
        <f t="shared" si="17"/>
        <v>37</v>
      </c>
      <c r="J67" s="13">
        <f t="shared" si="17"/>
        <v>39</v>
      </c>
      <c r="K67" s="13">
        <f t="shared" si="17"/>
        <v>44</v>
      </c>
      <c r="L67" s="13">
        <f t="shared" si="17"/>
        <v>31</v>
      </c>
      <c r="M67" s="13">
        <f t="shared" si="17"/>
        <v>21</v>
      </c>
      <c r="N67" s="13">
        <f t="shared" si="17"/>
        <v>34</v>
      </c>
      <c r="O67" s="13">
        <f t="shared" si="17"/>
        <v>24</v>
      </c>
      <c r="P67" s="13">
        <f t="shared" si="17"/>
        <v>24</v>
      </c>
      <c r="Q67" s="13">
        <f t="shared" si="17"/>
        <v>24</v>
      </c>
      <c r="R67" s="13">
        <f t="shared" si="17"/>
        <v>12</v>
      </c>
      <c r="S67" s="13">
        <f t="shared" si="17"/>
        <v>24</v>
      </c>
      <c r="T67" s="13">
        <f t="shared" si="17"/>
        <v>42</v>
      </c>
      <c r="U67" s="13">
        <f t="shared" si="17"/>
        <v>33</v>
      </c>
      <c r="V67" s="13">
        <f t="shared" si="17"/>
        <v>27</v>
      </c>
      <c r="W67" s="13">
        <f t="shared" si="17"/>
        <v>37</v>
      </c>
      <c r="X67" s="13">
        <f t="shared" si="17"/>
        <v>29</v>
      </c>
      <c r="Y67" s="13">
        <f t="shared" si="17"/>
        <v>31</v>
      </c>
      <c r="Z67" s="13">
        <f t="shared" si="17"/>
        <v>19</v>
      </c>
      <c r="AA67" s="13">
        <f t="shared" si="17"/>
        <v>19</v>
      </c>
      <c r="AB67" s="13">
        <f>SUM(E67:AA67)</f>
        <v>710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2.0</v>
      </c>
      <c r="G69" s="19">
        <v>4.0</v>
      </c>
      <c r="H69" s="19">
        <v>7.0</v>
      </c>
      <c r="I69" s="19">
        <v>5.0</v>
      </c>
      <c r="J69" s="19">
        <v>2.0</v>
      </c>
      <c r="K69" s="19">
        <v>2.0</v>
      </c>
      <c r="L69" s="19">
        <v>8.0</v>
      </c>
      <c r="M69" s="19">
        <v>10.0</v>
      </c>
      <c r="N69" s="19">
        <v>14.0</v>
      </c>
      <c r="O69" s="19">
        <v>16.0</v>
      </c>
      <c r="P69" s="19">
        <v>14.0</v>
      </c>
      <c r="Q69" s="19">
        <v>17.0</v>
      </c>
      <c r="R69" s="19">
        <v>16.0</v>
      </c>
      <c r="S69" s="19">
        <v>18.0</v>
      </c>
      <c r="T69" s="19">
        <v>4.0</v>
      </c>
      <c r="U69" s="19">
        <v>5.0</v>
      </c>
      <c r="V69" s="19">
        <v>5.0</v>
      </c>
      <c r="W69" s="19">
        <v>10.0</v>
      </c>
      <c r="X69" s="19">
        <v>11.0</v>
      </c>
      <c r="Y69" s="19">
        <v>8.0</v>
      </c>
      <c r="Z69" s="19">
        <v>9.0</v>
      </c>
      <c r="AA69" s="19">
        <v>7.0</v>
      </c>
      <c r="AB69" s="13">
        <f t="shared" ref="AB69:AB76" si="18">SUM(E69:AA69)</f>
        <v>205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9.0</v>
      </c>
      <c r="F70" s="19">
        <v>19.0</v>
      </c>
      <c r="G70" s="19">
        <v>11.0</v>
      </c>
      <c r="H70" s="19">
        <v>8.0</v>
      </c>
      <c r="I70" s="19">
        <v>13.0</v>
      </c>
      <c r="J70" s="19">
        <v>2.0</v>
      </c>
      <c r="K70" s="19">
        <v>6.0</v>
      </c>
      <c r="L70" s="19">
        <v>15.0</v>
      </c>
      <c r="M70" s="19">
        <v>15.0</v>
      </c>
      <c r="N70" s="19">
        <v>58.0</v>
      </c>
      <c r="O70" s="19">
        <v>36.0</v>
      </c>
      <c r="P70" s="19">
        <v>38.0</v>
      </c>
      <c r="Q70" s="19">
        <v>34.0</v>
      </c>
      <c r="R70" s="19">
        <v>82.0</v>
      </c>
      <c r="S70" s="19">
        <v>17.0</v>
      </c>
      <c r="T70" s="19">
        <v>3.0</v>
      </c>
      <c r="U70" s="19">
        <v>0.0</v>
      </c>
      <c r="V70" s="19">
        <v>1.0</v>
      </c>
      <c r="W70" s="19">
        <v>18.0</v>
      </c>
      <c r="X70" s="19">
        <v>19.0</v>
      </c>
      <c r="Y70" s="19">
        <v>10.0</v>
      </c>
      <c r="Z70" s="19">
        <v>26.0</v>
      </c>
      <c r="AA70" s="19">
        <v>38.0</v>
      </c>
      <c r="AB70" s="13">
        <f t="shared" si="18"/>
        <v>478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20.0</v>
      </c>
      <c r="G71" s="19">
        <v>2.0</v>
      </c>
      <c r="H71" s="19">
        <v>11.0</v>
      </c>
      <c r="I71" s="19">
        <v>2.0</v>
      </c>
      <c r="J71" s="19">
        <v>1.0</v>
      </c>
      <c r="K71" s="19">
        <v>1.0</v>
      </c>
      <c r="L71" s="19">
        <v>1.0</v>
      </c>
      <c r="M71" s="19">
        <v>1.0</v>
      </c>
      <c r="N71" s="19">
        <v>2.0</v>
      </c>
      <c r="O71" s="19">
        <v>3.0</v>
      </c>
      <c r="P71" s="19">
        <v>1.0</v>
      </c>
      <c r="Q71" s="19">
        <v>2.0</v>
      </c>
      <c r="R71" s="19">
        <v>0.0</v>
      </c>
      <c r="S71" s="19">
        <v>2.0</v>
      </c>
      <c r="T71" s="19">
        <v>2.0</v>
      </c>
      <c r="U71" s="19">
        <v>0.0</v>
      </c>
      <c r="V71" s="19">
        <v>2.0</v>
      </c>
      <c r="W71" s="19">
        <v>2.0</v>
      </c>
      <c r="X71" s="19">
        <v>2.0</v>
      </c>
      <c r="Y71" s="19">
        <v>4.0</v>
      </c>
      <c r="Z71" s="19">
        <v>1.0</v>
      </c>
      <c r="AA71" s="19">
        <v>0.0</v>
      </c>
      <c r="AB71" s="13">
        <f t="shared" si="18"/>
        <v>65</v>
      </c>
    </row>
    <row r="72" ht="12.75" customHeight="1">
      <c r="A72" s="18"/>
      <c r="B72" s="55">
        <v>3.0</v>
      </c>
      <c r="C72" s="50" t="s">
        <v>59</v>
      </c>
      <c r="D72" s="57"/>
      <c r="E72" s="19">
        <v>4.0</v>
      </c>
      <c r="F72" s="19">
        <v>8.0</v>
      </c>
      <c r="G72" s="19">
        <v>8.0</v>
      </c>
      <c r="H72" s="19">
        <v>19.0</v>
      </c>
      <c r="I72" s="19">
        <v>6.0</v>
      </c>
      <c r="J72" s="19">
        <v>4.0</v>
      </c>
      <c r="K72" s="19">
        <v>0.0</v>
      </c>
      <c r="L72" s="19">
        <v>5.0</v>
      </c>
      <c r="M72" s="19">
        <v>3.0</v>
      </c>
      <c r="N72" s="19">
        <v>7.0</v>
      </c>
      <c r="O72" s="19">
        <v>5.0</v>
      </c>
      <c r="P72" s="19">
        <v>5.0</v>
      </c>
      <c r="Q72" s="19">
        <v>8.0</v>
      </c>
      <c r="R72" s="19">
        <v>3.0</v>
      </c>
      <c r="S72" s="19">
        <v>47.0</v>
      </c>
      <c r="T72" s="19">
        <v>13.0</v>
      </c>
      <c r="U72" s="19">
        <v>25.0</v>
      </c>
      <c r="V72" s="19">
        <v>4.0</v>
      </c>
      <c r="W72" s="19">
        <v>3.0</v>
      </c>
      <c r="X72" s="19">
        <v>3.0</v>
      </c>
      <c r="Y72" s="19">
        <v>1.0</v>
      </c>
      <c r="Z72" s="19">
        <v>6.0</v>
      </c>
      <c r="AA72" s="19">
        <v>4.0</v>
      </c>
      <c r="AB72" s="13">
        <f t="shared" si="18"/>
        <v>191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1.0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1.0</v>
      </c>
      <c r="M73" s="19">
        <v>1.0</v>
      </c>
      <c r="N73" s="19">
        <v>2.0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1.0</v>
      </c>
      <c r="Z73" s="19">
        <v>0.0</v>
      </c>
      <c r="AA73" s="19">
        <v>1.0</v>
      </c>
      <c r="AB73" s="13">
        <f t="shared" si="18"/>
        <v>10</v>
      </c>
    </row>
    <row r="74" ht="12.75" customHeight="1">
      <c r="A74" s="18"/>
      <c r="B74" s="55">
        <v>5.0</v>
      </c>
      <c r="C74" s="50" t="s">
        <v>61</v>
      </c>
      <c r="D74" s="57"/>
      <c r="E74" s="19">
        <v>6.0</v>
      </c>
      <c r="F74" s="19">
        <v>1.0</v>
      </c>
      <c r="G74" s="19">
        <v>1.0</v>
      </c>
      <c r="H74" s="19">
        <v>2.0</v>
      </c>
      <c r="I74" s="19">
        <v>1.0</v>
      </c>
      <c r="J74" s="19">
        <v>1.0</v>
      </c>
      <c r="K74" s="19">
        <v>1.0</v>
      </c>
      <c r="L74" s="19">
        <v>2.0</v>
      </c>
      <c r="M74" s="19">
        <v>2.0</v>
      </c>
      <c r="N74" s="19">
        <v>1.0</v>
      </c>
      <c r="O74" s="19">
        <v>1.0</v>
      </c>
      <c r="P74" s="19">
        <v>2.0</v>
      </c>
      <c r="Q74" s="19">
        <v>2.0</v>
      </c>
      <c r="R74" s="19">
        <v>0.0</v>
      </c>
      <c r="S74" s="19">
        <v>4.0</v>
      </c>
      <c r="T74" s="19">
        <v>1.0</v>
      </c>
      <c r="U74" s="19">
        <v>1.0</v>
      </c>
      <c r="V74" s="19">
        <v>3.0</v>
      </c>
      <c r="W74" s="19">
        <v>5.0</v>
      </c>
      <c r="X74" s="19">
        <v>2.0</v>
      </c>
      <c r="Y74" s="19">
        <v>2.0</v>
      </c>
      <c r="Z74" s="19">
        <v>1.0</v>
      </c>
      <c r="AA74" s="19">
        <v>1.0</v>
      </c>
      <c r="AB74" s="13">
        <f t="shared" si="18"/>
        <v>43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3.0</v>
      </c>
      <c r="G75" s="19">
        <v>0.0</v>
      </c>
      <c r="H75" s="19">
        <v>0.0</v>
      </c>
      <c r="I75" s="19">
        <v>2.0</v>
      </c>
      <c r="J75" s="19">
        <v>1.0</v>
      </c>
      <c r="K75" s="19">
        <v>1.0</v>
      </c>
      <c r="L75" s="19">
        <v>2.0</v>
      </c>
      <c r="M75" s="19">
        <v>0.0</v>
      </c>
      <c r="N75" s="19">
        <v>1.0</v>
      </c>
      <c r="O75" s="19">
        <v>0.0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2.0</v>
      </c>
      <c r="W75" s="19">
        <v>2.0</v>
      </c>
      <c r="X75" s="19">
        <v>1.0</v>
      </c>
      <c r="Y75" s="19">
        <v>1.0</v>
      </c>
      <c r="Z75" s="19">
        <v>0.0</v>
      </c>
      <c r="AA75" s="19">
        <v>1.0</v>
      </c>
      <c r="AB75" s="13">
        <f t="shared" si="18"/>
        <v>19</v>
      </c>
    </row>
    <row r="76" ht="12.75" customHeight="1">
      <c r="A76" s="18"/>
      <c r="B76" s="55">
        <v>7.0</v>
      </c>
      <c r="C76" s="50" t="s">
        <v>63</v>
      </c>
      <c r="D76" s="57"/>
      <c r="E76" s="19">
        <v>4.0</v>
      </c>
      <c r="F76" s="19">
        <v>1.0</v>
      </c>
      <c r="G76" s="19">
        <v>1.0</v>
      </c>
      <c r="H76" s="19">
        <v>0.0</v>
      </c>
      <c r="I76" s="19">
        <v>1.0</v>
      </c>
      <c r="J76" s="19">
        <v>0.0</v>
      </c>
      <c r="K76" s="19">
        <v>1.0</v>
      </c>
      <c r="L76" s="19">
        <v>2.0</v>
      </c>
      <c r="M76" s="19">
        <v>2.0</v>
      </c>
      <c r="N76" s="19">
        <v>2.0</v>
      </c>
      <c r="O76" s="19">
        <v>0.0</v>
      </c>
      <c r="P76" s="19">
        <v>1.0</v>
      </c>
      <c r="Q76" s="19">
        <v>2.0</v>
      </c>
      <c r="R76" s="19">
        <v>2.0</v>
      </c>
      <c r="S76" s="19">
        <v>3.0</v>
      </c>
      <c r="T76" s="19">
        <v>3.0</v>
      </c>
      <c r="U76" s="19">
        <v>0.0</v>
      </c>
      <c r="V76" s="19">
        <v>2.0</v>
      </c>
      <c r="W76" s="19">
        <v>7.0</v>
      </c>
      <c r="X76" s="19">
        <v>1.0</v>
      </c>
      <c r="Y76" s="19">
        <v>5.0</v>
      </c>
      <c r="Z76" s="19">
        <v>0.0</v>
      </c>
      <c r="AA76" s="19">
        <v>2.0</v>
      </c>
      <c r="AB76" s="13">
        <f t="shared" si="18"/>
        <v>42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SUM(E69:E76)</f>
        <v>38</v>
      </c>
      <c r="F79" s="13">
        <f t="shared" si="19"/>
        <v>55</v>
      </c>
      <c r="G79" s="13">
        <f t="shared" si="19"/>
        <v>27</v>
      </c>
      <c r="H79" s="13">
        <f t="shared" si="19"/>
        <v>48</v>
      </c>
      <c r="I79" s="13">
        <f t="shared" si="19"/>
        <v>30</v>
      </c>
      <c r="J79" s="13">
        <f t="shared" si="19"/>
        <v>11</v>
      </c>
      <c r="K79" s="13">
        <f t="shared" si="19"/>
        <v>12</v>
      </c>
      <c r="L79" s="13">
        <f t="shared" si="19"/>
        <v>36</v>
      </c>
      <c r="M79" s="13">
        <f t="shared" si="19"/>
        <v>34</v>
      </c>
      <c r="N79" s="13">
        <f t="shared" si="19"/>
        <v>87</v>
      </c>
      <c r="O79" s="13">
        <f t="shared" si="19"/>
        <v>61</v>
      </c>
      <c r="P79" s="13">
        <f t="shared" si="19"/>
        <v>62</v>
      </c>
      <c r="Q79" s="13">
        <f t="shared" si="19"/>
        <v>66</v>
      </c>
      <c r="R79" s="13">
        <f t="shared" si="19"/>
        <v>103</v>
      </c>
      <c r="S79" s="13">
        <f t="shared" si="19"/>
        <v>92</v>
      </c>
      <c r="T79" s="13">
        <f t="shared" si="19"/>
        <v>26</v>
      </c>
      <c r="U79" s="13">
        <f t="shared" si="19"/>
        <v>31</v>
      </c>
      <c r="V79" s="13">
        <f t="shared" si="19"/>
        <v>19</v>
      </c>
      <c r="W79" s="13">
        <f t="shared" si="19"/>
        <v>47</v>
      </c>
      <c r="X79" s="13">
        <f t="shared" si="19"/>
        <v>39</v>
      </c>
      <c r="Y79" s="13">
        <f t="shared" si="19"/>
        <v>32</v>
      </c>
      <c r="Z79" s="13">
        <f t="shared" si="19"/>
        <v>43</v>
      </c>
      <c r="AA79" s="13">
        <f t="shared" si="19"/>
        <v>54</v>
      </c>
      <c r="AB79" s="13">
        <f>SUM(E79:AA79)</f>
        <v>1053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1.0</v>
      </c>
      <c r="G81" s="19">
        <v>3.0</v>
      </c>
      <c r="H81" s="19">
        <v>3.0</v>
      </c>
      <c r="I81" s="19">
        <v>2.0</v>
      </c>
      <c r="J81" s="19">
        <v>7.0</v>
      </c>
      <c r="K81" s="19">
        <v>8.0</v>
      </c>
      <c r="L81" s="19">
        <v>3.0</v>
      </c>
      <c r="M81" s="19">
        <v>2.0</v>
      </c>
      <c r="N81" s="19">
        <v>3.0</v>
      </c>
      <c r="O81" s="19">
        <v>3.0</v>
      </c>
      <c r="P81" s="19">
        <v>3.0</v>
      </c>
      <c r="Q81" s="19">
        <v>6.0</v>
      </c>
      <c r="R81" s="19">
        <v>1.0</v>
      </c>
      <c r="S81" s="19">
        <v>2.0</v>
      </c>
      <c r="T81" s="19">
        <v>1.0</v>
      </c>
      <c r="U81" s="19">
        <v>5.0</v>
      </c>
      <c r="V81" s="19">
        <v>1.0</v>
      </c>
      <c r="W81" s="19">
        <v>2.0</v>
      </c>
      <c r="X81" s="19">
        <v>1.0</v>
      </c>
      <c r="Y81" s="19">
        <v>5.0</v>
      </c>
      <c r="Z81" s="19">
        <v>0.0</v>
      </c>
      <c r="AA81" s="19">
        <v>2.0</v>
      </c>
      <c r="AB81" s="13">
        <f t="shared" ref="AB81:AB88" si="20">SUM(E81:AA81)</f>
        <v>66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12.0</v>
      </c>
      <c r="G82" s="19">
        <v>5.0</v>
      </c>
      <c r="H82" s="19">
        <v>5.0</v>
      </c>
      <c r="I82" s="19">
        <v>8.0</v>
      </c>
      <c r="J82" s="19">
        <v>63.0</v>
      </c>
      <c r="K82" s="19">
        <v>35.0</v>
      </c>
      <c r="L82" s="19">
        <v>0.0</v>
      </c>
      <c r="M82" s="19">
        <v>2.0</v>
      </c>
      <c r="N82" s="19">
        <v>0.0</v>
      </c>
      <c r="O82" s="19">
        <v>3.0</v>
      </c>
      <c r="P82" s="19">
        <v>0.0</v>
      </c>
      <c r="Q82" s="19">
        <v>5.0</v>
      </c>
      <c r="R82" s="19">
        <v>2.0</v>
      </c>
      <c r="S82" s="19">
        <v>2.0</v>
      </c>
      <c r="T82" s="19">
        <v>9.0</v>
      </c>
      <c r="U82" s="19">
        <v>5.0</v>
      </c>
      <c r="V82" s="19">
        <v>0.0</v>
      </c>
      <c r="W82" s="19">
        <v>0.0</v>
      </c>
      <c r="X82" s="19">
        <v>1.0</v>
      </c>
      <c r="Y82" s="19">
        <v>1.0</v>
      </c>
      <c r="Z82" s="19">
        <v>3.0</v>
      </c>
      <c r="AA82" s="19">
        <v>5.0</v>
      </c>
      <c r="AB82" s="13">
        <f t="shared" si="20"/>
        <v>171</v>
      </c>
    </row>
    <row r="83" ht="12.75" customHeight="1">
      <c r="A83" s="18"/>
      <c r="B83" s="55">
        <v>2.0</v>
      </c>
      <c r="C83" s="50" t="s">
        <v>66</v>
      </c>
      <c r="D83" s="57"/>
      <c r="E83" s="19">
        <v>15.0</v>
      </c>
      <c r="F83" s="19">
        <v>6.0</v>
      </c>
      <c r="G83" s="19">
        <v>13.0</v>
      </c>
      <c r="H83" s="19">
        <v>9.0</v>
      </c>
      <c r="I83" s="19">
        <v>21.0</v>
      </c>
      <c r="J83" s="19">
        <v>13.0</v>
      </c>
      <c r="K83" s="19">
        <v>49.0</v>
      </c>
      <c r="L83" s="19">
        <v>20.0</v>
      </c>
      <c r="M83" s="19">
        <v>6.0</v>
      </c>
      <c r="N83" s="19">
        <v>4.0</v>
      </c>
      <c r="O83" s="19">
        <v>13.0</v>
      </c>
      <c r="P83" s="19">
        <v>13.0</v>
      </c>
      <c r="Q83" s="19">
        <v>11.0</v>
      </c>
      <c r="R83" s="19">
        <v>19.0</v>
      </c>
      <c r="S83" s="19">
        <v>10.0</v>
      </c>
      <c r="T83" s="19">
        <v>5.0</v>
      </c>
      <c r="U83" s="19">
        <v>0.0</v>
      </c>
      <c r="V83" s="19">
        <v>2.0</v>
      </c>
      <c r="W83" s="19">
        <v>2.0</v>
      </c>
      <c r="X83" s="19">
        <v>8.0</v>
      </c>
      <c r="Y83" s="19">
        <v>13.0</v>
      </c>
      <c r="Z83" s="19">
        <v>2.0</v>
      </c>
      <c r="AA83" s="19">
        <v>3.0</v>
      </c>
      <c r="AB83" s="13">
        <f t="shared" si="20"/>
        <v>257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2.0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2.0</v>
      </c>
      <c r="V84" s="19">
        <v>0.0</v>
      </c>
      <c r="W84" s="19">
        <v>1.0</v>
      </c>
      <c r="X84" s="19">
        <v>0.0</v>
      </c>
      <c r="Y84" s="19">
        <v>1.0</v>
      </c>
      <c r="Z84" s="19">
        <v>0.0</v>
      </c>
      <c r="AA84" s="19">
        <v>0.0</v>
      </c>
      <c r="AB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3.0</v>
      </c>
      <c r="K85" s="19">
        <v>0.0</v>
      </c>
      <c r="L85" s="19">
        <v>0.0</v>
      </c>
      <c r="M85" s="19">
        <v>2.0</v>
      </c>
      <c r="N85" s="19">
        <v>0.0</v>
      </c>
      <c r="O85" s="19">
        <v>1.0</v>
      </c>
      <c r="P85" s="19">
        <v>0.0</v>
      </c>
      <c r="Q85" s="19">
        <v>2.0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9">
        <v>0.0</v>
      </c>
      <c r="AA85" s="19">
        <v>2.0</v>
      </c>
      <c r="AB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2.0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1.0</v>
      </c>
      <c r="X86" s="19">
        <v>1.0</v>
      </c>
      <c r="Y86" s="19">
        <v>0.0</v>
      </c>
      <c r="Z86" s="19">
        <v>0.0</v>
      </c>
      <c r="AA86" s="19">
        <v>0.0</v>
      </c>
      <c r="AB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2.0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SUM(E81:E88)</f>
        <v>25</v>
      </c>
      <c r="F91" s="13">
        <f t="shared" si="21"/>
        <v>19</v>
      </c>
      <c r="G91" s="13">
        <f t="shared" si="21"/>
        <v>23</v>
      </c>
      <c r="H91" s="13">
        <f t="shared" si="21"/>
        <v>17</v>
      </c>
      <c r="I91" s="13">
        <f t="shared" si="21"/>
        <v>32</v>
      </c>
      <c r="J91" s="13">
        <f t="shared" si="21"/>
        <v>86</v>
      </c>
      <c r="K91" s="13">
        <f t="shared" si="21"/>
        <v>94</v>
      </c>
      <c r="L91" s="13">
        <f t="shared" si="21"/>
        <v>23</v>
      </c>
      <c r="M91" s="13">
        <f t="shared" si="21"/>
        <v>12</v>
      </c>
      <c r="N91" s="13">
        <f t="shared" si="21"/>
        <v>7</v>
      </c>
      <c r="O91" s="13">
        <f t="shared" si="21"/>
        <v>21</v>
      </c>
      <c r="P91" s="13">
        <f t="shared" si="21"/>
        <v>17</v>
      </c>
      <c r="Q91" s="13">
        <f t="shared" si="21"/>
        <v>27</v>
      </c>
      <c r="R91" s="13">
        <f t="shared" si="21"/>
        <v>22</v>
      </c>
      <c r="S91" s="13">
        <f t="shared" si="21"/>
        <v>14</v>
      </c>
      <c r="T91" s="13">
        <f t="shared" si="21"/>
        <v>15</v>
      </c>
      <c r="U91" s="13">
        <f t="shared" si="21"/>
        <v>13</v>
      </c>
      <c r="V91" s="13">
        <f t="shared" si="21"/>
        <v>4</v>
      </c>
      <c r="W91" s="13">
        <f t="shared" si="21"/>
        <v>6</v>
      </c>
      <c r="X91" s="13">
        <f t="shared" si="21"/>
        <v>11</v>
      </c>
      <c r="Y91" s="13">
        <f t="shared" si="21"/>
        <v>21</v>
      </c>
      <c r="Z91" s="13">
        <f t="shared" si="21"/>
        <v>5</v>
      </c>
      <c r="AA91" s="13">
        <f t="shared" si="21"/>
        <v>12</v>
      </c>
      <c r="AB91" s="13">
        <f>SUM(E91:AA91)</f>
        <v>526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2.0</v>
      </c>
      <c r="H93" s="19">
        <v>0.0</v>
      </c>
      <c r="I93" s="19">
        <v>1.0</v>
      </c>
      <c r="J93" s="19">
        <v>3.0</v>
      </c>
      <c r="K93" s="19">
        <v>2.0</v>
      </c>
      <c r="L93" s="19">
        <v>2.0</v>
      </c>
      <c r="M93" s="19">
        <v>1.0</v>
      </c>
      <c r="N93" s="19">
        <v>0.0</v>
      </c>
      <c r="O93" s="19">
        <v>2.0</v>
      </c>
      <c r="P93" s="19">
        <v>1.0</v>
      </c>
      <c r="Q93" s="19">
        <v>2.0</v>
      </c>
      <c r="R93" s="19">
        <v>0.0</v>
      </c>
      <c r="S93" s="19">
        <v>3.0</v>
      </c>
      <c r="T93" s="19">
        <v>1.0</v>
      </c>
      <c r="U93" s="19">
        <v>0.0</v>
      </c>
      <c r="V93" s="19">
        <v>2.0</v>
      </c>
      <c r="W93" s="19">
        <v>10.0</v>
      </c>
      <c r="X93" s="19">
        <v>2.0</v>
      </c>
      <c r="Y93" s="19">
        <v>2.0</v>
      </c>
      <c r="Z93" s="19">
        <v>1.0</v>
      </c>
      <c r="AA93" s="19">
        <v>1.0</v>
      </c>
      <c r="AB93" s="13">
        <f t="shared" ref="AB93:AB100" si="22">SUM(E93:AA93)</f>
        <v>40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3.0</v>
      </c>
      <c r="G94" s="19">
        <v>0.0</v>
      </c>
      <c r="H94" s="19">
        <v>0.0</v>
      </c>
      <c r="I94" s="19">
        <v>4.0</v>
      </c>
      <c r="J94" s="19">
        <v>1.0</v>
      </c>
      <c r="K94" s="19">
        <v>0.0</v>
      </c>
      <c r="L94" s="19">
        <v>1.0</v>
      </c>
      <c r="M94" s="19">
        <v>2.0</v>
      </c>
      <c r="N94" s="19">
        <v>0.0</v>
      </c>
      <c r="O94" s="19">
        <v>6.0</v>
      </c>
      <c r="P94" s="19">
        <v>0.0</v>
      </c>
      <c r="Q94" s="19">
        <v>7.0</v>
      </c>
      <c r="R94" s="19">
        <v>2.0</v>
      </c>
      <c r="S94" s="19">
        <v>3.0</v>
      </c>
      <c r="T94" s="19">
        <v>1.0</v>
      </c>
      <c r="U94" s="19">
        <v>1.0</v>
      </c>
      <c r="V94" s="19">
        <v>2.0</v>
      </c>
      <c r="W94" s="19">
        <v>7.0</v>
      </c>
      <c r="X94" s="19">
        <v>1.0</v>
      </c>
      <c r="Y94" s="19">
        <v>1.0</v>
      </c>
      <c r="Z94" s="19">
        <v>1.0</v>
      </c>
      <c r="AA94" s="19">
        <v>2.0</v>
      </c>
      <c r="AB94" s="13">
        <f t="shared" si="22"/>
        <v>47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1.0</v>
      </c>
      <c r="M95" s="19">
        <v>1.0</v>
      </c>
      <c r="N95" s="19">
        <v>0.0</v>
      </c>
      <c r="O95" s="19">
        <v>1.0</v>
      </c>
      <c r="P95" s="19">
        <v>0.0</v>
      </c>
      <c r="Q95" s="19">
        <v>6.0</v>
      </c>
      <c r="R95" s="19">
        <v>0.0</v>
      </c>
      <c r="S95" s="19">
        <v>5.0</v>
      </c>
      <c r="T95" s="19">
        <v>0.0</v>
      </c>
      <c r="U95" s="19">
        <v>0.0</v>
      </c>
      <c r="V95" s="19">
        <v>6.0</v>
      </c>
      <c r="W95" s="19">
        <v>0.0</v>
      </c>
      <c r="X95" s="19">
        <v>0.0</v>
      </c>
      <c r="Y95" s="19">
        <v>39.0</v>
      </c>
      <c r="Z95" s="19">
        <v>0.0</v>
      </c>
      <c r="AA95" s="19">
        <v>14.0</v>
      </c>
      <c r="AB95" s="13">
        <f t="shared" si="22"/>
        <v>75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1.0</v>
      </c>
      <c r="AA96" s="19">
        <v>1.0</v>
      </c>
      <c r="AB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1.0</v>
      </c>
      <c r="J97" s="19">
        <v>2.0</v>
      </c>
      <c r="K97" s="19">
        <v>3.0</v>
      </c>
      <c r="L97" s="19">
        <v>1.0</v>
      </c>
      <c r="M97" s="19">
        <v>1.0</v>
      </c>
      <c r="N97" s="19">
        <v>0.0</v>
      </c>
      <c r="O97" s="19">
        <v>1.0</v>
      </c>
      <c r="P97" s="19">
        <v>1.0</v>
      </c>
      <c r="Q97" s="19">
        <v>2.0</v>
      </c>
      <c r="R97" s="19">
        <v>0.0</v>
      </c>
      <c r="S97" s="19">
        <v>1.0</v>
      </c>
      <c r="T97" s="19">
        <v>1.0</v>
      </c>
      <c r="U97" s="19">
        <v>0.0</v>
      </c>
      <c r="V97" s="19">
        <v>0.0</v>
      </c>
      <c r="W97" s="19">
        <v>5.0</v>
      </c>
      <c r="X97" s="19">
        <v>1.0</v>
      </c>
      <c r="Y97" s="19">
        <v>3.0</v>
      </c>
      <c r="Z97" s="19">
        <v>2.0</v>
      </c>
      <c r="AA97" s="19">
        <v>1.0</v>
      </c>
      <c r="AB97" s="13">
        <f t="shared" si="22"/>
        <v>27</v>
      </c>
    </row>
    <row r="98" ht="12.75" customHeight="1">
      <c r="A98" s="18"/>
      <c r="B98" s="55">
        <v>5.0</v>
      </c>
      <c r="C98" s="50" t="s">
        <v>78</v>
      </c>
      <c r="D98" s="57"/>
      <c r="E98" s="19">
        <v>2.0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SUM(E93:E100)</f>
        <v>7</v>
      </c>
      <c r="F103" s="13">
        <f t="shared" si="23"/>
        <v>4</v>
      </c>
      <c r="G103" s="13">
        <f t="shared" si="23"/>
        <v>3</v>
      </c>
      <c r="H103" s="13">
        <f t="shared" si="23"/>
        <v>1</v>
      </c>
      <c r="I103" s="13">
        <f t="shared" si="23"/>
        <v>7</v>
      </c>
      <c r="J103" s="13">
        <f t="shared" si="23"/>
        <v>7</v>
      </c>
      <c r="K103" s="13">
        <f t="shared" si="23"/>
        <v>5</v>
      </c>
      <c r="L103" s="13">
        <f t="shared" si="23"/>
        <v>5</v>
      </c>
      <c r="M103" s="13">
        <f t="shared" si="23"/>
        <v>5</v>
      </c>
      <c r="N103" s="13">
        <f t="shared" si="23"/>
        <v>0</v>
      </c>
      <c r="O103" s="13">
        <f t="shared" si="23"/>
        <v>10</v>
      </c>
      <c r="P103" s="13">
        <f t="shared" si="23"/>
        <v>3</v>
      </c>
      <c r="Q103" s="13">
        <f t="shared" si="23"/>
        <v>17</v>
      </c>
      <c r="R103" s="13">
        <f t="shared" si="23"/>
        <v>2</v>
      </c>
      <c r="S103" s="13">
        <f t="shared" si="23"/>
        <v>12</v>
      </c>
      <c r="T103" s="13">
        <f t="shared" si="23"/>
        <v>3</v>
      </c>
      <c r="U103" s="13">
        <f t="shared" si="23"/>
        <v>1</v>
      </c>
      <c r="V103" s="13">
        <f t="shared" si="23"/>
        <v>10</v>
      </c>
      <c r="W103" s="13">
        <f t="shared" si="23"/>
        <v>22</v>
      </c>
      <c r="X103" s="13">
        <f t="shared" si="23"/>
        <v>4</v>
      </c>
      <c r="Y103" s="13">
        <f t="shared" si="23"/>
        <v>46</v>
      </c>
      <c r="Z103" s="13">
        <f t="shared" si="23"/>
        <v>5</v>
      </c>
      <c r="AA103" s="13">
        <f t="shared" si="23"/>
        <v>19</v>
      </c>
      <c r="AB103" s="13">
        <f>SUM(E103:AA103)</f>
        <v>198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2.0</v>
      </c>
      <c r="L105" s="19">
        <v>0.0</v>
      </c>
      <c r="M105" s="19">
        <v>3.0</v>
      </c>
      <c r="N105" s="19">
        <v>1.0</v>
      </c>
      <c r="O105" s="19">
        <v>1.0</v>
      </c>
      <c r="P105" s="19">
        <v>0.0</v>
      </c>
      <c r="Q105" s="19">
        <v>0.0</v>
      </c>
      <c r="R105" s="19">
        <v>1.0</v>
      </c>
      <c r="S105" s="19">
        <v>1.0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ref="AB105:AB112" si="24">SUM(E105:AA105)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2.0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1.0</v>
      </c>
      <c r="S107" s="19">
        <v>1.0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1.0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SUM(E105:E112)</f>
        <v>3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3</v>
      </c>
      <c r="L115" s="13">
        <f t="shared" si="25"/>
        <v>1</v>
      </c>
      <c r="M115" s="13">
        <f t="shared" si="25"/>
        <v>3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3</v>
      </c>
      <c r="S115" s="13">
        <f t="shared" si="25"/>
        <v>2</v>
      </c>
      <c r="T115" s="13">
        <f t="shared" si="25"/>
        <v>3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>SUM(E115:AA115)</f>
        <v>22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1.0</v>
      </c>
      <c r="U117" s="19">
        <v>1.0</v>
      </c>
      <c r="V117" s="19">
        <v>2.0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3">
        <f t="shared" ref="AB117:AB120" si="26">SUM(E117:AA117)</f>
        <v>6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3.0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9">
        <v>0.0</v>
      </c>
      <c r="AB118" s="13">
        <f t="shared" si="26"/>
        <v>5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3">
        <f t="shared" si="26"/>
        <v>3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1</v>
      </c>
      <c r="AC120" s="5"/>
      <c r="AD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4"/>
      <c r="AC121" s="5"/>
      <c r="AD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4"/>
      <c r="AC122" s="5"/>
      <c r="AD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4"/>
      <c r="AC123" s="5"/>
      <c r="AD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4"/>
      <c r="AC124" s="5"/>
      <c r="AD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4"/>
      <c r="AC125" s="5"/>
      <c r="AD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4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A127" si="27">SUM(E117:E120)</f>
        <v>3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1</v>
      </c>
      <c r="L127" s="58">
        <f t="shared" si="27"/>
        <v>1</v>
      </c>
      <c r="M127" s="58">
        <f t="shared" si="27"/>
        <v>0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1</v>
      </c>
      <c r="R127" s="58">
        <f t="shared" si="27"/>
        <v>0</v>
      </c>
      <c r="S127" s="58">
        <f t="shared" si="27"/>
        <v>0</v>
      </c>
      <c r="T127" s="58">
        <f t="shared" si="27"/>
        <v>2</v>
      </c>
      <c r="U127" s="58">
        <f t="shared" si="27"/>
        <v>2</v>
      </c>
      <c r="V127" s="58">
        <f t="shared" si="27"/>
        <v>2</v>
      </c>
      <c r="W127" s="58">
        <f t="shared" si="27"/>
        <v>0</v>
      </c>
      <c r="X127" s="58">
        <f t="shared" si="27"/>
        <v>0</v>
      </c>
      <c r="Y127" s="58">
        <f t="shared" si="27"/>
        <v>3</v>
      </c>
      <c r="Z127" s="58">
        <f t="shared" si="27"/>
        <v>0</v>
      </c>
      <c r="AA127" s="58">
        <f t="shared" si="27"/>
        <v>0</v>
      </c>
      <c r="AB127" s="13">
        <f>SUM(E127:AA127)</f>
        <v>15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1.0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1.0</v>
      </c>
      <c r="R129" s="19">
        <v>1.0</v>
      </c>
      <c r="S129" s="19">
        <v>1.0</v>
      </c>
      <c r="T129" s="19">
        <v>0.0</v>
      </c>
      <c r="U129" s="19">
        <v>0.0</v>
      </c>
      <c r="V129" s="19">
        <v>1.0</v>
      </c>
      <c r="W129" s="19">
        <v>0.0</v>
      </c>
      <c r="X129" s="19">
        <v>0.0</v>
      </c>
      <c r="Y129" s="19">
        <v>1.0</v>
      </c>
      <c r="Z129" s="19">
        <v>2.0</v>
      </c>
      <c r="AA129" s="19">
        <v>1.0</v>
      </c>
      <c r="AB129" s="13">
        <f t="shared" ref="AB129:AB136" si="28">SUM(E129:AA129)</f>
        <v>13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6.0</v>
      </c>
      <c r="G130" s="19">
        <v>5.0</v>
      </c>
      <c r="H130" s="19">
        <v>0.0</v>
      </c>
      <c r="I130" s="19">
        <v>1.0</v>
      </c>
      <c r="J130" s="19">
        <v>1.0</v>
      </c>
      <c r="K130" s="19">
        <v>0.0</v>
      </c>
      <c r="L130" s="19">
        <v>1.0</v>
      </c>
      <c r="M130" s="19">
        <v>0.0</v>
      </c>
      <c r="N130" s="19">
        <v>0.0</v>
      </c>
      <c r="O130" s="19">
        <v>0.0</v>
      </c>
      <c r="P130" s="19">
        <v>0.0</v>
      </c>
      <c r="Q130" s="19">
        <v>1.0</v>
      </c>
      <c r="R130" s="19">
        <v>0.0</v>
      </c>
      <c r="S130" s="19">
        <v>0.0</v>
      </c>
      <c r="T130" s="19">
        <v>0.0</v>
      </c>
      <c r="U130" s="19">
        <v>0.0</v>
      </c>
      <c r="V130" s="19">
        <v>1.0</v>
      </c>
      <c r="W130" s="19">
        <v>0.0</v>
      </c>
      <c r="X130" s="19">
        <v>1.0</v>
      </c>
      <c r="Y130" s="19">
        <v>2.0</v>
      </c>
      <c r="Z130" s="19">
        <v>1.0</v>
      </c>
      <c r="AA130" s="19">
        <v>0.0</v>
      </c>
      <c r="AB130" s="13">
        <f t="shared" si="28"/>
        <v>20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1.0</v>
      </c>
      <c r="G131" s="19">
        <v>6.0</v>
      </c>
      <c r="H131" s="19">
        <v>0.0</v>
      </c>
      <c r="I131" s="19">
        <v>1.0</v>
      </c>
      <c r="J131" s="19">
        <v>4.0</v>
      </c>
      <c r="K131" s="19">
        <v>1.0</v>
      </c>
      <c r="L131" s="19">
        <v>0.0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3">
        <f t="shared" si="28"/>
        <v>19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3">
        <f t="shared" si="28"/>
        <v>3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1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1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1.0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1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0</v>
      </c>
      <c r="AC136" s="5"/>
      <c r="A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4"/>
      <c r="AC137" s="5"/>
      <c r="A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4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SUM(E129:E136)</f>
        <v>4</v>
      </c>
      <c r="F139" s="13">
        <f t="shared" si="29"/>
        <v>9</v>
      </c>
      <c r="G139" s="13">
        <f t="shared" si="29"/>
        <v>12</v>
      </c>
      <c r="H139" s="13">
        <f t="shared" si="29"/>
        <v>0</v>
      </c>
      <c r="I139" s="13">
        <f t="shared" si="29"/>
        <v>3</v>
      </c>
      <c r="J139" s="13">
        <f t="shared" si="29"/>
        <v>5</v>
      </c>
      <c r="K139" s="13">
        <f t="shared" si="29"/>
        <v>1</v>
      </c>
      <c r="L139" s="13">
        <f t="shared" si="29"/>
        <v>1</v>
      </c>
      <c r="M139" s="13">
        <f t="shared" si="29"/>
        <v>1</v>
      </c>
      <c r="N139" s="13">
        <f t="shared" si="29"/>
        <v>2</v>
      </c>
      <c r="O139" s="13">
        <f t="shared" si="29"/>
        <v>0</v>
      </c>
      <c r="P139" s="13">
        <f t="shared" si="29"/>
        <v>0</v>
      </c>
      <c r="Q139" s="13">
        <f t="shared" si="29"/>
        <v>3</v>
      </c>
      <c r="R139" s="13">
        <f t="shared" si="29"/>
        <v>2</v>
      </c>
      <c r="S139" s="13">
        <f t="shared" si="29"/>
        <v>1</v>
      </c>
      <c r="T139" s="13">
        <f t="shared" si="29"/>
        <v>1</v>
      </c>
      <c r="U139" s="13">
        <f t="shared" si="29"/>
        <v>1</v>
      </c>
      <c r="V139" s="13">
        <f t="shared" si="29"/>
        <v>2</v>
      </c>
      <c r="W139" s="13">
        <f t="shared" si="29"/>
        <v>0</v>
      </c>
      <c r="X139" s="13">
        <f t="shared" si="29"/>
        <v>1</v>
      </c>
      <c r="Y139" s="13">
        <f t="shared" si="29"/>
        <v>4</v>
      </c>
      <c r="Z139" s="13">
        <f t="shared" si="29"/>
        <v>4</v>
      </c>
      <c r="AA139" s="13">
        <f t="shared" si="29"/>
        <v>1</v>
      </c>
      <c r="AB139" s="13">
        <f>SUM(E139:AA139)</f>
        <v>58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1.0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48" si="30">SUM(E141:AA141)</f>
        <v>1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0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1.0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1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0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4"/>
      <c r="AC149" s="5"/>
      <c r="AD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4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2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3">
        <f t="shared" ref="AB153:AB156" si="32">SUM(E154:AA154)</f>
        <v>2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0.0</v>
      </c>
      <c r="AB154" s="13">
        <f t="shared" si="32"/>
        <v>2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3">
        <f t="shared" si="32"/>
        <v>1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1.0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0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>SUM(E163:AA163)</f>
        <v>6</v>
      </c>
      <c r="AC157" s="5"/>
      <c r="AD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4"/>
      <c r="AC158" s="5"/>
      <c r="AD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4"/>
      <c r="AC159" s="5"/>
      <c r="AD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4"/>
      <c r="AC160" s="5"/>
      <c r="AD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4"/>
      <c r="AC161" s="5"/>
      <c r="AD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4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A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3</v>
      </c>
      <c r="AA163" s="13">
        <f t="shared" si="33"/>
        <v>0</v>
      </c>
      <c r="AB163" s="13">
        <f>SUM(E164:AA164)</f>
        <v>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2.0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2" si="34">SUM(E165:AA165)</f>
        <v>7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0.0</v>
      </c>
      <c r="AA166" s="19">
        <v>0.0</v>
      </c>
      <c r="AB166" s="13">
        <f t="shared" si="34"/>
        <v>2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1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1.0</v>
      </c>
      <c r="F168" s="19">
        <v>2.0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3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1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0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0</v>
      </c>
      <c r="AC172" s="5"/>
      <c r="AD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4"/>
      <c r="AC173" s="5"/>
      <c r="AD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4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SUM(E165:E172)</f>
        <v>1</v>
      </c>
      <c r="F175" s="13">
        <f t="shared" si="35"/>
        <v>4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2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>SUM(E175:AA175)</f>
        <v>14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2.0</v>
      </c>
      <c r="I177" s="19">
        <v>1.0</v>
      </c>
      <c r="J177" s="19">
        <v>0.0</v>
      </c>
      <c r="K177" s="19">
        <v>0.0</v>
      </c>
      <c r="L177" s="19">
        <v>2.0</v>
      </c>
      <c r="M177" s="19">
        <v>2.0</v>
      </c>
      <c r="N177" s="19">
        <v>0.0</v>
      </c>
      <c r="O177" s="19">
        <v>0.0</v>
      </c>
      <c r="P177" s="19">
        <v>0.0</v>
      </c>
      <c r="Q177" s="19">
        <v>1.0</v>
      </c>
      <c r="R177" s="19">
        <v>1.0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1.0</v>
      </c>
      <c r="Y177" s="19">
        <v>1.0</v>
      </c>
      <c r="Z177" s="19">
        <v>1.0</v>
      </c>
      <c r="AA177" s="19">
        <v>0.0</v>
      </c>
      <c r="AB177" s="13">
        <f t="shared" ref="AB177:AB184" si="36">SUM(E177:AA177)</f>
        <v>13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1.0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2.0</v>
      </c>
      <c r="M178" s="19">
        <v>1.0</v>
      </c>
      <c r="N178" s="19">
        <v>0.0</v>
      </c>
      <c r="O178" s="19">
        <v>1.0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36"/>
        <v>8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2.0</v>
      </c>
      <c r="M179" s="19">
        <v>1.0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1.0</v>
      </c>
      <c r="AA179" s="19">
        <v>0.0</v>
      </c>
      <c r="AB179" s="13">
        <f t="shared" si="36"/>
        <v>8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6"/>
        <v>1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3">
        <f t="shared" si="36"/>
        <v>2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1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1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0</v>
      </c>
      <c r="AC184" s="5"/>
      <c r="AD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4"/>
      <c r="AC185" s="5"/>
      <c r="AD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4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SUM(E177:E184)</f>
        <v>2</v>
      </c>
      <c r="F187" s="13">
        <f t="shared" si="37"/>
        <v>1</v>
      </c>
      <c r="G187" s="13">
        <f t="shared" si="37"/>
        <v>0</v>
      </c>
      <c r="H187" s="13">
        <f t="shared" si="37"/>
        <v>2</v>
      </c>
      <c r="I187" s="13">
        <f t="shared" si="37"/>
        <v>3</v>
      </c>
      <c r="J187" s="13">
        <f t="shared" si="37"/>
        <v>1</v>
      </c>
      <c r="K187" s="13">
        <f t="shared" si="37"/>
        <v>1</v>
      </c>
      <c r="L187" s="13">
        <f t="shared" si="37"/>
        <v>6</v>
      </c>
      <c r="M187" s="13">
        <f t="shared" si="37"/>
        <v>4</v>
      </c>
      <c r="N187" s="13">
        <f t="shared" si="37"/>
        <v>0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2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2</v>
      </c>
      <c r="Y187" s="13">
        <f t="shared" si="37"/>
        <v>1</v>
      </c>
      <c r="Z187" s="13">
        <f t="shared" si="37"/>
        <v>3</v>
      </c>
      <c r="AA187" s="13">
        <f t="shared" si="37"/>
        <v>0</v>
      </c>
      <c r="AB187" s="13">
        <f>SUM(E187:AA187)</f>
        <v>34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1.0</v>
      </c>
      <c r="AA189" s="19">
        <v>0.0</v>
      </c>
      <c r="AB189" s="13">
        <f t="shared" ref="AB189:AB196" si="38">SUM(E189:AA189)</f>
        <v>3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38"/>
        <v>0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1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1.0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1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0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8"/>
        <v>0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0</v>
      </c>
      <c r="AC196" s="1"/>
      <c r="AD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74"/>
      <c r="AC197" s="1"/>
      <c r="AD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4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>SUM(E199:AA199)</f>
        <v>5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1.0</v>
      </c>
      <c r="G201" s="19">
        <v>1.0</v>
      </c>
      <c r="H201" s="19">
        <v>1.0</v>
      </c>
      <c r="I201" s="19">
        <v>2.0</v>
      </c>
      <c r="J201" s="19">
        <v>0.0</v>
      </c>
      <c r="K201" s="19">
        <v>3.0</v>
      </c>
      <c r="L201" s="19">
        <v>5.0</v>
      </c>
      <c r="M201" s="19">
        <v>2.0</v>
      </c>
      <c r="N201" s="19">
        <v>3.0</v>
      </c>
      <c r="O201" s="19">
        <v>0.0</v>
      </c>
      <c r="P201" s="19">
        <v>2.0</v>
      </c>
      <c r="Q201" s="19">
        <v>5.0</v>
      </c>
      <c r="R201" s="19">
        <v>3.0</v>
      </c>
      <c r="S201" s="19">
        <v>1.0</v>
      </c>
      <c r="T201" s="19">
        <v>3.0</v>
      </c>
      <c r="U201" s="19">
        <v>1.0</v>
      </c>
      <c r="V201" s="19">
        <v>2.0</v>
      </c>
      <c r="W201" s="19">
        <v>1.0</v>
      </c>
      <c r="X201" s="19">
        <v>5.0</v>
      </c>
      <c r="Y201" s="19">
        <v>3.0</v>
      </c>
      <c r="Z201" s="19">
        <v>5.0</v>
      </c>
      <c r="AA201" s="19">
        <v>3.0</v>
      </c>
      <c r="AB201" s="13">
        <f t="shared" ref="AB201:AB208" si="40">SUM(E201:AA201)</f>
        <v>58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11.0</v>
      </c>
      <c r="F202" s="19">
        <v>3.0</v>
      </c>
      <c r="G202" s="19">
        <v>5.0</v>
      </c>
      <c r="H202" s="19">
        <v>2.0</v>
      </c>
      <c r="I202" s="19">
        <v>3.0</v>
      </c>
      <c r="J202" s="19">
        <v>3.0</v>
      </c>
      <c r="K202" s="19">
        <v>4.0</v>
      </c>
      <c r="L202" s="19">
        <v>5.0</v>
      </c>
      <c r="M202" s="19">
        <v>4.0</v>
      </c>
      <c r="N202" s="19">
        <v>1.0</v>
      </c>
      <c r="O202" s="19">
        <v>4.0</v>
      </c>
      <c r="P202" s="19">
        <v>4.0</v>
      </c>
      <c r="Q202" s="19">
        <v>2.0</v>
      </c>
      <c r="R202" s="19">
        <v>1.0</v>
      </c>
      <c r="S202" s="19">
        <v>4.0</v>
      </c>
      <c r="T202" s="19">
        <v>2.0</v>
      </c>
      <c r="U202" s="19">
        <v>0.0</v>
      </c>
      <c r="V202" s="19">
        <v>0.0</v>
      </c>
      <c r="W202" s="19">
        <v>3.0</v>
      </c>
      <c r="X202" s="19">
        <v>8.0</v>
      </c>
      <c r="Y202" s="19">
        <v>4.0</v>
      </c>
      <c r="Z202" s="19">
        <v>5.0</v>
      </c>
      <c r="AA202" s="19">
        <v>10.0</v>
      </c>
      <c r="AB202" s="13">
        <f t="shared" si="40"/>
        <v>88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1.0</v>
      </c>
      <c r="L203" s="19">
        <v>2.0</v>
      </c>
      <c r="M203" s="19">
        <v>2.0</v>
      </c>
      <c r="N203" s="19">
        <v>1.0</v>
      </c>
      <c r="O203" s="19">
        <v>0.0</v>
      </c>
      <c r="P203" s="19">
        <v>4.0</v>
      </c>
      <c r="Q203" s="19">
        <v>1.0</v>
      </c>
      <c r="R203" s="19">
        <v>0.0</v>
      </c>
      <c r="S203" s="19">
        <v>0.0</v>
      </c>
      <c r="T203" s="19">
        <v>2.0</v>
      </c>
      <c r="U203" s="19">
        <v>0.0</v>
      </c>
      <c r="V203" s="19">
        <v>2.0</v>
      </c>
      <c r="W203" s="19">
        <v>1.0</v>
      </c>
      <c r="X203" s="19">
        <v>1.0</v>
      </c>
      <c r="Y203" s="19">
        <v>1.0</v>
      </c>
      <c r="Z203" s="19">
        <v>1.0</v>
      </c>
      <c r="AA203" s="19">
        <v>1.0</v>
      </c>
      <c r="AB203" s="13">
        <f t="shared" si="40"/>
        <v>22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2.0</v>
      </c>
      <c r="F204" s="19">
        <v>0.0</v>
      </c>
      <c r="G204" s="19">
        <v>0.0</v>
      </c>
      <c r="H204" s="19">
        <v>0.0</v>
      </c>
      <c r="I204" s="19">
        <v>0.0</v>
      </c>
      <c r="J204" s="19">
        <v>2.0</v>
      </c>
      <c r="K204" s="19">
        <v>0.0</v>
      </c>
      <c r="L204" s="19">
        <v>2.0</v>
      </c>
      <c r="M204" s="19">
        <v>0.0</v>
      </c>
      <c r="N204" s="19">
        <v>0.0</v>
      </c>
      <c r="O204" s="19">
        <v>0.0</v>
      </c>
      <c r="P204" s="19">
        <v>1.0</v>
      </c>
      <c r="Q204" s="19">
        <v>1.0</v>
      </c>
      <c r="R204" s="19">
        <v>0.0</v>
      </c>
      <c r="S204" s="19">
        <v>0.0</v>
      </c>
      <c r="T204" s="19">
        <v>1.0</v>
      </c>
      <c r="U204" s="19">
        <v>0.0</v>
      </c>
      <c r="V204" s="19">
        <v>0.0</v>
      </c>
      <c r="W204" s="19">
        <v>1.0</v>
      </c>
      <c r="X204" s="19">
        <v>1.0</v>
      </c>
      <c r="Y204" s="19">
        <v>0.0</v>
      </c>
      <c r="Z204" s="19">
        <v>0.0</v>
      </c>
      <c r="AA204" s="19">
        <v>1.0</v>
      </c>
      <c r="AB204" s="13">
        <f t="shared" si="40"/>
        <v>12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1.0</v>
      </c>
      <c r="H205" s="19">
        <v>0.0</v>
      </c>
      <c r="I205" s="19">
        <v>0.0</v>
      </c>
      <c r="J205" s="19">
        <v>0.0</v>
      </c>
      <c r="K205" s="19">
        <v>4.0</v>
      </c>
      <c r="L205" s="19">
        <v>5.0</v>
      </c>
      <c r="M205" s="19">
        <v>12.0</v>
      </c>
      <c r="N205" s="19">
        <v>4.0</v>
      </c>
      <c r="O205" s="19">
        <v>0.0</v>
      </c>
      <c r="P205" s="19">
        <v>14.0</v>
      </c>
      <c r="Q205" s="19">
        <v>3.0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3.0</v>
      </c>
      <c r="X205" s="19">
        <v>7.0</v>
      </c>
      <c r="Y205" s="19">
        <v>1.0</v>
      </c>
      <c r="Z205" s="19">
        <v>8.0</v>
      </c>
      <c r="AA205" s="19">
        <v>11.0</v>
      </c>
      <c r="AB205" s="13">
        <f t="shared" si="40"/>
        <v>75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2.0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3">
        <f t="shared" si="40"/>
        <v>4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1.0</v>
      </c>
      <c r="R207" s="19">
        <v>0.0</v>
      </c>
      <c r="S207" s="19">
        <v>0.0</v>
      </c>
      <c r="T207" s="19">
        <v>1.0</v>
      </c>
      <c r="U207" s="19">
        <v>1.0</v>
      </c>
      <c r="V207" s="19">
        <v>0.0</v>
      </c>
      <c r="W207" s="19">
        <v>1.0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4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2.0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3">
        <f t="shared" si="40"/>
        <v>4</v>
      </c>
      <c r="AC208" s="52"/>
      <c r="AD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74"/>
      <c r="AC209" s="52"/>
      <c r="AD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4"/>
      <c r="AC210" s="52"/>
      <c r="A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SUM(E201:E208)</f>
        <v>22</v>
      </c>
      <c r="F211" s="13">
        <f t="shared" si="41"/>
        <v>5</v>
      </c>
      <c r="G211" s="13">
        <f t="shared" si="41"/>
        <v>7</v>
      </c>
      <c r="H211" s="13">
        <f t="shared" si="41"/>
        <v>4</v>
      </c>
      <c r="I211" s="13">
        <f t="shared" si="41"/>
        <v>5</v>
      </c>
      <c r="J211" s="13">
        <f t="shared" si="41"/>
        <v>5</v>
      </c>
      <c r="K211" s="13">
        <f t="shared" si="41"/>
        <v>12</v>
      </c>
      <c r="L211" s="13">
        <f t="shared" si="41"/>
        <v>20</v>
      </c>
      <c r="M211" s="13">
        <f t="shared" si="41"/>
        <v>20</v>
      </c>
      <c r="N211" s="13">
        <f t="shared" si="41"/>
        <v>11</v>
      </c>
      <c r="O211" s="13">
        <f t="shared" si="41"/>
        <v>4</v>
      </c>
      <c r="P211" s="13">
        <f t="shared" si="41"/>
        <v>25</v>
      </c>
      <c r="Q211" s="13">
        <f t="shared" si="41"/>
        <v>14</v>
      </c>
      <c r="R211" s="13">
        <f t="shared" si="41"/>
        <v>7</v>
      </c>
      <c r="S211" s="13">
        <f t="shared" si="41"/>
        <v>5</v>
      </c>
      <c r="T211" s="13">
        <f t="shared" si="41"/>
        <v>9</v>
      </c>
      <c r="U211" s="13">
        <f t="shared" si="41"/>
        <v>2</v>
      </c>
      <c r="V211" s="13">
        <f t="shared" si="41"/>
        <v>4</v>
      </c>
      <c r="W211" s="13">
        <f t="shared" si="41"/>
        <v>10</v>
      </c>
      <c r="X211" s="13">
        <f t="shared" si="41"/>
        <v>22</v>
      </c>
      <c r="Y211" s="13">
        <f t="shared" si="41"/>
        <v>9</v>
      </c>
      <c r="Z211" s="13">
        <f t="shared" si="41"/>
        <v>19</v>
      </c>
      <c r="AA211" s="13">
        <f t="shared" si="41"/>
        <v>26</v>
      </c>
      <c r="AB211" s="13">
        <f>SUM(E211:AA211)</f>
        <v>267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0.0</v>
      </c>
      <c r="G213" s="19">
        <v>1.0</v>
      </c>
      <c r="H213" s="19">
        <v>0.0</v>
      </c>
      <c r="I213" s="19">
        <v>3.0</v>
      </c>
      <c r="J213" s="19">
        <v>0.0</v>
      </c>
      <c r="K213" s="19">
        <v>0.0</v>
      </c>
      <c r="L213" s="19">
        <v>3.0</v>
      </c>
      <c r="M213" s="19">
        <v>1.0</v>
      </c>
      <c r="N213" s="19">
        <v>1.0</v>
      </c>
      <c r="O213" s="19">
        <v>1.0</v>
      </c>
      <c r="P213" s="19">
        <v>1.0</v>
      </c>
      <c r="Q213" s="19">
        <v>1.0</v>
      </c>
      <c r="R213" s="19">
        <v>1.0</v>
      </c>
      <c r="S213" s="19">
        <v>2.0</v>
      </c>
      <c r="T213" s="19">
        <v>2.0</v>
      </c>
      <c r="U213" s="19">
        <v>1.0</v>
      </c>
      <c r="V213" s="19">
        <v>1.0</v>
      </c>
      <c r="W213" s="19">
        <v>3.0</v>
      </c>
      <c r="X213" s="19">
        <v>1.0</v>
      </c>
      <c r="Y213" s="19">
        <v>1.0</v>
      </c>
      <c r="Z213" s="19">
        <v>3.0</v>
      </c>
      <c r="AA213" s="19">
        <v>1.0</v>
      </c>
      <c r="AB213" s="13">
        <f t="shared" ref="AB213:AB220" si="42">SUM(E213:AA213)</f>
        <v>31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1.0</v>
      </c>
      <c r="G214" s="19">
        <v>0.0</v>
      </c>
      <c r="H214" s="19">
        <v>0.0</v>
      </c>
      <c r="I214" s="19">
        <v>1.0</v>
      </c>
      <c r="J214" s="19">
        <v>0.0</v>
      </c>
      <c r="K214" s="19">
        <v>1.0</v>
      </c>
      <c r="L214" s="19">
        <v>1.0</v>
      </c>
      <c r="M214" s="19">
        <v>0.0</v>
      </c>
      <c r="N214" s="19">
        <v>0.0</v>
      </c>
      <c r="O214" s="19">
        <v>1.0</v>
      </c>
      <c r="P214" s="19">
        <v>0.0</v>
      </c>
      <c r="Q214" s="19">
        <v>2.0</v>
      </c>
      <c r="R214" s="19">
        <v>0.0</v>
      </c>
      <c r="S214" s="19">
        <v>2.0</v>
      </c>
      <c r="T214" s="19">
        <v>1.0</v>
      </c>
      <c r="U214" s="19">
        <v>0.0</v>
      </c>
      <c r="V214" s="19">
        <v>1.0</v>
      </c>
      <c r="W214" s="19">
        <v>4.0</v>
      </c>
      <c r="X214" s="19">
        <v>3.0</v>
      </c>
      <c r="Y214" s="19">
        <v>1.0</v>
      </c>
      <c r="Z214" s="19">
        <v>2.0</v>
      </c>
      <c r="AA214" s="19">
        <v>1.0</v>
      </c>
      <c r="AB214" s="13">
        <f t="shared" si="42"/>
        <v>23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0.0</v>
      </c>
      <c r="G215" s="19">
        <v>0.0</v>
      </c>
      <c r="H215" s="19">
        <v>2.0</v>
      </c>
      <c r="I215" s="19">
        <v>0.0</v>
      </c>
      <c r="J215" s="19">
        <v>0.0</v>
      </c>
      <c r="K215" s="19">
        <v>3.0</v>
      </c>
      <c r="L215" s="19">
        <v>3.0</v>
      </c>
      <c r="M215" s="19">
        <v>0.0</v>
      </c>
      <c r="N215" s="19">
        <v>1.0</v>
      </c>
      <c r="O215" s="19">
        <v>0.0</v>
      </c>
      <c r="P215" s="19">
        <v>1.0</v>
      </c>
      <c r="Q215" s="19">
        <v>1.0</v>
      </c>
      <c r="R215" s="19">
        <v>1.0</v>
      </c>
      <c r="S215" s="19">
        <v>4.0</v>
      </c>
      <c r="T215" s="19">
        <v>11.0</v>
      </c>
      <c r="U215" s="19">
        <v>4.0</v>
      </c>
      <c r="V215" s="19">
        <v>1.0</v>
      </c>
      <c r="W215" s="19">
        <v>8.0</v>
      </c>
      <c r="X215" s="19">
        <v>1.0</v>
      </c>
      <c r="Y215" s="19">
        <v>4.0</v>
      </c>
      <c r="Z215" s="19">
        <v>0.0</v>
      </c>
      <c r="AA215" s="19">
        <v>0.0</v>
      </c>
      <c r="AB215" s="13">
        <f t="shared" si="42"/>
        <v>47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42"/>
        <v>4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2"/>
        <v>0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2"/>
        <v>0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0.0</v>
      </c>
      <c r="AB219" s="13">
        <f t="shared" si="42"/>
        <v>4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1.0</v>
      </c>
      <c r="P220" s="19">
        <v>1.0</v>
      </c>
      <c r="Q220" s="19">
        <v>1.0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2"/>
        <v>5</v>
      </c>
      <c r="AC220" s="5"/>
      <c r="A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4"/>
      <c r="AC221" s="5"/>
      <c r="A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4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SUM(E213:E220)</f>
        <v>7</v>
      </c>
      <c r="F223" s="13">
        <f t="shared" si="43"/>
        <v>1</v>
      </c>
      <c r="G223" s="13">
        <f t="shared" si="43"/>
        <v>1</v>
      </c>
      <c r="H223" s="13">
        <f t="shared" si="43"/>
        <v>2</v>
      </c>
      <c r="I223" s="13">
        <f t="shared" si="43"/>
        <v>4</v>
      </c>
      <c r="J223" s="13">
        <f t="shared" si="43"/>
        <v>0</v>
      </c>
      <c r="K223" s="13">
        <f t="shared" si="43"/>
        <v>6</v>
      </c>
      <c r="L223" s="13">
        <f t="shared" si="43"/>
        <v>7</v>
      </c>
      <c r="M223" s="13">
        <f t="shared" si="43"/>
        <v>1</v>
      </c>
      <c r="N223" s="13">
        <f t="shared" si="43"/>
        <v>3</v>
      </c>
      <c r="O223" s="13">
        <f t="shared" si="43"/>
        <v>4</v>
      </c>
      <c r="P223" s="13">
        <f t="shared" si="43"/>
        <v>3</v>
      </c>
      <c r="Q223" s="13">
        <f t="shared" si="43"/>
        <v>6</v>
      </c>
      <c r="R223" s="13">
        <f t="shared" si="43"/>
        <v>3</v>
      </c>
      <c r="S223" s="13">
        <f t="shared" si="43"/>
        <v>9</v>
      </c>
      <c r="T223" s="13">
        <f t="shared" si="43"/>
        <v>14</v>
      </c>
      <c r="U223" s="13">
        <f t="shared" si="43"/>
        <v>5</v>
      </c>
      <c r="V223" s="13">
        <f t="shared" si="43"/>
        <v>4</v>
      </c>
      <c r="W223" s="13">
        <f t="shared" si="43"/>
        <v>15</v>
      </c>
      <c r="X223" s="13">
        <f t="shared" si="43"/>
        <v>6</v>
      </c>
      <c r="Y223" s="13">
        <f t="shared" si="43"/>
        <v>6</v>
      </c>
      <c r="Z223" s="13">
        <f t="shared" si="43"/>
        <v>5</v>
      </c>
      <c r="AA223" s="13">
        <f t="shared" si="43"/>
        <v>2</v>
      </c>
      <c r="AB223" s="13">
        <f>SUM(E223:AA223)</f>
        <v>114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0.0</v>
      </c>
      <c r="G225" s="19">
        <v>2.0</v>
      </c>
      <c r="H225" s="19">
        <v>0.0</v>
      </c>
      <c r="I225" s="19">
        <v>0.0</v>
      </c>
      <c r="J225" s="19">
        <v>0.0</v>
      </c>
      <c r="K225" s="19">
        <v>0.0</v>
      </c>
      <c r="L225" s="19">
        <v>2.0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1.0</v>
      </c>
      <c r="Z225" s="19">
        <v>0.0</v>
      </c>
      <c r="AA225" s="19">
        <v>0.0</v>
      </c>
      <c r="AB225" s="13">
        <f t="shared" ref="AB225:AB232" si="44">SUM(E225:AA225)</f>
        <v>7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7.0</v>
      </c>
      <c r="F226" s="19">
        <v>1.0</v>
      </c>
      <c r="G226" s="19">
        <v>2.0</v>
      </c>
      <c r="H226" s="19">
        <v>1.0</v>
      </c>
      <c r="I226" s="19">
        <v>12.0</v>
      </c>
      <c r="J226" s="19">
        <v>2.0</v>
      </c>
      <c r="K226" s="19">
        <v>0.0</v>
      </c>
      <c r="L226" s="19">
        <v>2.0</v>
      </c>
      <c r="M226" s="19">
        <v>0.0</v>
      </c>
      <c r="N226" s="19">
        <v>1.0</v>
      </c>
      <c r="O226" s="19">
        <v>1.0</v>
      </c>
      <c r="P226" s="19">
        <v>2.0</v>
      </c>
      <c r="Q226" s="19">
        <v>0.0</v>
      </c>
      <c r="R226" s="19">
        <v>0.0</v>
      </c>
      <c r="S226" s="19">
        <v>0.0</v>
      </c>
      <c r="T226" s="19">
        <v>0.0</v>
      </c>
      <c r="U226" s="19">
        <v>3.0</v>
      </c>
      <c r="V226" s="19">
        <v>0.0</v>
      </c>
      <c r="W226" s="19">
        <v>0.0</v>
      </c>
      <c r="X226" s="19">
        <v>1.0</v>
      </c>
      <c r="Y226" s="19">
        <v>2.0</v>
      </c>
      <c r="Z226" s="19">
        <v>0.0</v>
      </c>
      <c r="AA226" s="19">
        <v>0.0</v>
      </c>
      <c r="AB226" s="13">
        <f t="shared" si="44"/>
        <v>37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1.0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1.0</v>
      </c>
      <c r="AA227" s="19">
        <v>0.0</v>
      </c>
      <c r="AB227" s="13">
        <f t="shared" si="44"/>
        <v>3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1.0</v>
      </c>
      <c r="Z228" s="19">
        <v>0.0</v>
      </c>
      <c r="AA228" s="19">
        <v>0.0</v>
      </c>
      <c r="AB228" s="13">
        <f t="shared" si="44"/>
        <v>2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0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0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44"/>
        <v>0</v>
      </c>
      <c r="AC232" s="5"/>
      <c r="AD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74"/>
      <c r="AC233" s="5"/>
      <c r="AD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4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SUM(E225:E232)</f>
        <v>9</v>
      </c>
      <c r="F235" s="13">
        <f t="shared" si="45"/>
        <v>1</v>
      </c>
      <c r="G235" s="13">
        <f t="shared" si="45"/>
        <v>4</v>
      </c>
      <c r="H235" s="13">
        <f t="shared" si="45"/>
        <v>2</v>
      </c>
      <c r="I235" s="13">
        <f t="shared" si="45"/>
        <v>13</v>
      </c>
      <c r="J235" s="13">
        <f t="shared" si="45"/>
        <v>2</v>
      </c>
      <c r="K235" s="13">
        <f t="shared" si="45"/>
        <v>0</v>
      </c>
      <c r="L235" s="13">
        <f t="shared" si="45"/>
        <v>4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2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3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4</v>
      </c>
      <c r="Z235" s="13">
        <f t="shared" si="45"/>
        <v>1</v>
      </c>
      <c r="AA235" s="13">
        <f t="shared" si="45"/>
        <v>0</v>
      </c>
      <c r="AB235" s="13">
        <f>SUM(E235:AA235)</f>
        <v>49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2.0</v>
      </c>
      <c r="G237" s="19">
        <v>2.0</v>
      </c>
      <c r="H237" s="19">
        <v>1.0</v>
      </c>
      <c r="I237" s="19">
        <v>2.0</v>
      </c>
      <c r="J237" s="19">
        <v>0.0</v>
      </c>
      <c r="K237" s="19">
        <v>0.0</v>
      </c>
      <c r="L237" s="19">
        <v>2.0</v>
      </c>
      <c r="M237" s="19">
        <v>0.0</v>
      </c>
      <c r="N237" s="19">
        <v>0.0</v>
      </c>
      <c r="O237" s="19">
        <v>2.0</v>
      </c>
      <c r="P237" s="19">
        <v>2.0</v>
      </c>
      <c r="Q237" s="19">
        <v>2.0</v>
      </c>
      <c r="R237" s="19">
        <v>0.0</v>
      </c>
      <c r="S237" s="19">
        <v>0.0</v>
      </c>
      <c r="T237" s="19">
        <v>1.0</v>
      </c>
      <c r="U237" s="19">
        <v>5.0</v>
      </c>
      <c r="V237" s="19">
        <v>6.0</v>
      </c>
      <c r="W237" s="19">
        <v>3.0</v>
      </c>
      <c r="X237" s="19">
        <v>4.0</v>
      </c>
      <c r="Y237" s="19">
        <v>0.0</v>
      </c>
      <c r="Z237" s="19">
        <v>1.0</v>
      </c>
      <c r="AA237" s="19">
        <v>0.0</v>
      </c>
      <c r="AB237" s="13">
        <f t="shared" ref="AB237:AB244" si="46">SUM(E237:AA237)</f>
        <v>36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2.0</v>
      </c>
      <c r="G238" s="19">
        <v>7.0</v>
      </c>
      <c r="H238" s="19">
        <v>2.0</v>
      </c>
      <c r="I238" s="19">
        <v>0.0</v>
      </c>
      <c r="J238" s="19">
        <v>1.0</v>
      </c>
      <c r="K238" s="19">
        <v>0.0</v>
      </c>
      <c r="L238" s="19">
        <v>2.0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1.0</v>
      </c>
      <c r="U238" s="19">
        <v>0.0</v>
      </c>
      <c r="V238" s="19">
        <v>1.0</v>
      </c>
      <c r="W238" s="19">
        <v>2.0</v>
      </c>
      <c r="X238" s="19">
        <v>0.0</v>
      </c>
      <c r="Y238" s="19">
        <v>0.0</v>
      </c>
      <c r="Z238" s="19">
        <v>0.0</v>
      </c>
      <c r="AA238" s="19">
        <v>2.0</v>
      </c>
      <c r="AB238" s="13">
        <f t="shared" si="46"/>
        <v>21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8.0</v>
      </c>
      <c r="G239" s="19">
        <v>2.0</v>
      </c>
      <c r="H239" s="19">
        <v>2.0</v>
      </c>
      <c r="I239" s="19">
        <v>4.0</v>
      </c>
      <c r="J239" s="19">
        <v>2.0</v>
      </c>
      <c r="K239" s="19">
        <v>0.0</v>
      </c>
      <c r="L239" s="19">
        <v>5.0</v>
      </c>
      <c r="M239" s="19">
        <v>0.0</v>
      </c>
      <c r="N239" s="19">
        <v>1.0</v>
      </c>
      <c r="O239" s="19">
        <v>6.0</v>
      </c>
      <c r="P239" s="19">
        <v>2.0</v>
      </c>
      <c r="Q239" s="19">
        <v>1.0</v>
      </c>
      <c r="R239" s="19">
        <v>1.0</v>
      </c>
      <c r="S239" s="19">
        <v>1.0</v>
      </c>
      <c r="T239" s="19">
        <v>0.0</v>
      </c>
      <c r="U239" s="19">
        <v>1.0</v>
      </c>
      <c r="V239" s="19">
        <v>2.0</v>
      </c>
      <c r="W239" s="19">
        <v>4.0</v>
      </c>
      <c r="X239" s="19">
        <v>2.0</v>
      </c>
      <c r="Y239" s="19">
        <v>3.0</v>
      </c>
      <c r="Z239" s="19">
        <v>3.0</v>
      </c>
      <c r="AA239" s="19">
        <v>1.0</v>
      </c>
      <c r="AB239" s="13">
        <f t="shared" si="46"/>
        <v>52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2.0</v>
      </c>
      <c r="M240" s="19">
        <v>0.0</v>
      </c>
      <c r="N240" s="19">
        <v>2.0</v>
      </c>
      <c r="O240" s="19">
        <v>1.0</v>
      </c>
      <c r="P240" s="19">
        <v>1.0</v>
      </c>
      <c r="Q240" s="19">
        <v>1.0</v>
      </c>
      <c r="R240" s="19">
        <v>1.0</v>
      </c>
      <c r="S240" s="19">
        <v>0.0</v>
      </c>
      <c r="T240" s="19">
        <v>0.0</v>
      </c>
      <c r="U240" s="19">
        <v>1.0</v>
      </c>
      <c r="V240" s="19">
        <v>0.0</v>
      </c>
      <c r="W240" s="19">
        <v>1.0</v>
      </c>
      <c r="X240" s="19">
        <v>1.0</v>
      </c>
      <c r="Y240" s="19">
        <v>0.0</v>
      </c>
      <c r="Z240" s="19">
        <v>0.0</v>
      </c>
      <c r="AA240" s="19">
        <v>1.0</v>
      </c>
      <c r="AB240" s="13">
        <f t="shared" si="46"/>
        <v>12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1.0</v>
      </c>
      <c r="R241" s="19">
        <v>1.0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1.0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2.0</v>
      </c>
      <c r="J243" s="19">
        <v>0.0</v>
      </c>
      <c r="K243" s="19">
        <v>0.0</v>
      </c>
      <c r="L243" s="19">
        <v>3.0</v>
      </c>
      <c r="M243" s="19">
        <v>0.0</v>
      </c>
      <c r="N243" s="19">
        <v>0.0</v>
      </c>
      <c r="O243" s="19">
        <v>2.0</v>
      </c>
      <c r="P243" s="19">
        <v>0.0</v>
      </c>
      <c r="Q243" s="19">
        <v>0.0</v>
      </c>
      <c r="R243" s="19">
        <v>2.0</v>
      </c>
      <c r="S243" s="19">
        <v>0.0</v>
      </c>
      <c r="T243" s="19">
        <v>0.0</v>
      </c>
      <c r="U243" s="19">
        <v>2.0</v>
      </c>
      <c r="V243" s="19">
        <v>3.0</v>
      </c>
      <c r="W243" s="19">
        <v>0.0</v>
      </c>
      <c r="X243" s="19">
        <v>1.0</v>
      </c>
      <c r="Y243" s="19">
        <v>0.0</v>
      </c>
      <c r="Z243" s="19">
        <v>0.0</v>
      </c>
      <c r="AA243" s="19">
        <v>0.0</v>
      </c>
      <c r="AB243" s="13">
        <f t="shared" si="46"/>
        <v>15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1.0</v>
      </c>
      <c r="I244" s="19">
        <v>4.0</v>
      </c>
      <c r="J244" s="19">
        <v>0.0</v>
      </c>
      <c r="K244" s="19">
        <v>1.0</v>
      </c>
      <c r="L244" s="19">
        <v>45.0</v>
      </c>
      <c r="M244" s="19">
        <v>1.0</v>
      </c>
      <c r="N244" s="19">
        <v>2.0</v>
      </c>
      <c r="O244" s="19">
        <v>0.0</v>
      </c>
      <c r="P244" s="19">
        <v>0.0</v>
      </c>
      <c r="Q244" s="19">
        <v>2.0</v>
      </c>
      <c r="R244" s="19">
        <v>5.0</v>
      </c>
      <c r="S244" s="19">
        <v>1.0</v>
      </c>
      <c r="T244" s="19">
        <v>38.0</v>
      </c>
      <c r="U244" s="19">
        <v>50.0</v>
      </c>
      <c r="V244" s="19">
        <v>41.0</v>
      </c>
      <c r="W244" s="19">
        <v>5.0</v>
      </c>
      <c r="X244" s="19">
        <v>1.0</v>
      </c>
      <c r="Y244" s="19">
        <v>4.0</v>
      </c>
      <c r="Z244" s="19">
        <v>10.0</v>
      </c>
      <c r="AA244" s="19">
        <v>0.0</v>
      </c>
      <c r="AB244" s="13">
        <f t="shared" si="46"/>
        <v>211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SUM(E237:E244)</f>
        <v>3</v>
      </c>
      <c r="F247" s="13">
        <f t="shared" si="47"/>
        <v>12</v>
      </c>
      <c r="G247" s="13">
        <f t="shared" si="47"/>
        <v>12</v>
      </c>
      <c r="H247" s="13">
        <f t="shared" si="47"/>
        <v>7</v>
      </c>
      <c r="I247" s="13">
        <f t="shared" si="47"/>
        <v>12</v>
      </c>
      <c r="J247" s="13">
        <f t="shared" si="47"/>
        <v>3</v>
      </c>
      <c r="K247" s="13">
        <f t="shared" si="47"/>
        <v>1</v>
      </c>
      <c r="L247" s="13">
        <f t="shared" si="47"/>
        <v>60</v>
      </c>
      <c r="M247" s="13">
        <f t="shared" si="47"/>
        <v>2</v>
      </c>
      <c r="N247" s="13">
        <f t="shared" si="47"/>
        <v>5</v>
      </c>
      <c r="O247" s="13">
        <f t="shared" si="47"/>
        <v>12</v>
      </c>
      <c r="P247" s="13">
        <f t="shared" si="47"/>
        <v>5</v>
      </c>
      <c r="Q247" s="13">
        <f t="shared" si="47"/>
        <v>7</v>
      </c>
      <c r="R247" s="13">
        <f t="shared" si="47"/>
        <v>10</v>
      </c>
      <c r="S247" s="13">
        <f t="shared" si="47"/>
        <v>3</v>
      </c>
      <c r="T247" s="13">
        <f t="shared" si="47"/>
        <v>40</v>
      </c>
      <c r="U247" s="13">
        <f t="shared" si="47"/>
        <v>59</v>
      </c>
      <c r="V247" s="13">
        <f t="shared" si="47"/>
        <v>53</v>
      </c>
      <c r="W247" s="13">
        <f t="shared" si="47"/>
        <v>15</v>
      </c>
      <c r="X247" s="13">
        <f t="shared" si="47"/>
        <v>9</v>
      </c>
      <c r="Y247" s="13">
        <f t="shared" si="47"/>
        <v>7</v>
      </c>
      <c r="Z247" s="13">
        <f t="shared" si="47"/>
        <v>14</v>
      </c>
      <c r="AA247" s="13">
        <f t="shared" si="47"/>
        <v>4</v>
      </c>
      <c r="AB247" s="13">
        <f>SUM(E247:AA247)</f>
        <v>355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2.0</v>
      </c>
      <c r="I249" s="19">
        <v>3.0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1.0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1.0</v>
      </c>
      <c r="AA249" s="19">
        <v>0.0</v>
      </c>
      <c r="AB249" s="13">
        <f t="shared" ref="AB249:AB255" si="48">SUM(E249:AA249)</f>
        <v>9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2.0</v>
      </c>
      <c r="G250" s="19">
        <v>2.0</v>
      </c>
      <c r="H250" s="19">
        <v>0.0</v>
      </c>
      <c r="I250" s="19">
        <v>0.0</v>
      </c>
      <c r="J250" s="19">
        <v>1.0</v>
      </c>
      <c r="K250" s="19">
        <v>0.0</v>
      </c>
      <c r="L250" s="19">
        <v>2.0</v>
      </c>
      <c r="M250" s="19">
        <v>0.0</v>
      </c>
      <c r="N250" s="19">
        <v>0.0</v>
      </c>
      <c r="O250" s="19">
        <v>0.0</v>
      </c>
      <c r="P250" s="19">
        <v>2.0</v>
      </c>
      <c r="Q250" s="19">
        <v>0.0</v>
      </c>
      <c r="R250" s="19">
        <v>1.0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8"/>
        <v>10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1.0</v>
      </c>
      <c r="I251" s="19">
        <v>0.0</v>
      </c>
      <c r="J251" s="19">
        <v>0.0</v>
      </c>
      <c r="K251" s="19">
        <v>1.0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SUM(E249:E255)</f>
        <v>0</v>
      </c>
      <c r="F259" s="13">
        <f t="shared" si="49"/>
        <v>3</v>
      </c>
      <c r="G259" s="13">
        <f t="shared" si="49"/>
        <v>2</v>
      </c>
      <c r="H259" s="13">
        <f t="shared" si="49"/>
        <v>3</v>
      </c>
      <c r="I259" s="13">
        <f t="shared" si="49"/>
        <v>3</v>
      </c>
      <c r="J259" s="13">
        <f t="shared" si="49"/>
        <v>2</v>
      </c>
      <c r="K259" s="13">
        <f t="shared" si="49"/>
        <v>1</v>
      </c>
      <c r="L259" s="13">
        <f t="shared" si="49"/>
        <v>2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2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>SUM(E259:AA259)</f>
        <v>22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50">E55+E67+E79+E91+E103+E115+E127+E139+E151+E163+E175+E187+E199+E211+E223+E235+E247+E259</f>
        <v>182</v>
      </c>
      <c r="F262" s="19">
        <f t="shared" si="50"/>
        <v>169</v>
      </c>
      <c r="G262" s="19">
        <f t="shared" si="50"/>
        <v>178</v>
      </c>
      <c r="H262" s="19">
        <f t="shared" si="50"/>
        <v>175</v>
      </c>
      <c r="I262" s="19">
        <f t="shared" si="50"/>
        <v>196</v>
      </c>
      <c r="J262" s="19">
        <f t="shared" si="50"/>
        <v>200</v>
      </c>
      <c r="K262" s="19">
        <f t="shared" si="50"/>
        <v>217</v>
      </c>
      <c r="L262" s="19">
        <f t="shared" si="50"/>
        <v>214</v>
      </c>
      <c r="M262" s="19">
        <f t="shared" si="50"/>
        <v>207</v>
      </c>
      <c r="N262" s="19">
        <f t="shared" si="50"/>
        <v>213</v>
      </c>
      <c r="O262" s="19">
        <f t="shared" si="50"/>
        <v>181</v>
      </c>
      <c r="P262" s="19">
        <f t="shared" si="50"/>
        <v>170</v>
      </c>
      <c r="Q262" s="19">
        <f t="shared" si="50"/>
        <v>219</v>
      </c>
      <c r="R262" s="19">
        <f t="shared" si="50"/>
        <v>223</v>
      </c>
      <c r="S262" s="19">
        <f t="shared" si="50"/>
        <v>180</v>
      </c>
      <c r="T262" s="19">
        <f t="shared" si="50"/>
        <v>179</v>
      </c>
      <c r="U262" s="19">
        <f t="shared" si="50"/>
        <v>197</v>
      </c>
      <c r="V262" s="19">
        <f t="shared" si="50"/>
        <v>180</v>
      </c>
      <c r="W262" s="19">
        <f t="shared" si="50"/>
        <v>177</v>
      </c>
      <c r="X262" s="19">
        <f t="shared" si="50"/>
        <v>179</v>
      </c>
      <c r="Y262" s="19">
        <f t="shared" si="50"/>
        <v>186</v>
      </c>
      <c r="Z262" s="19">
        <f t="shared" si="50"/>
        <v>165</v>
      </c>
      <c r="AA262" s="19">
        <f t="shared" si="50"/>
        <v>166</v>
      </c>
      <c r="AB262" s="13">
        <f t="shared" ref="AB262:AB264" si="51">SUM(E262:AA262)</f>
        <v>4353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22.0</v>
      </c>
      <c r="F263" s="19">
        <v>17.0</v>
      </c>
      <c r="G263" s="19">
        <v>20.0</v>
      </c>
      <c r="H263" s="19">
        <v>22.0</v>
      </c>
      <c r="I263" s="19">
        <v>26.0</v>
      </c>
      <c r="J263" s="19">
        <v>26.0</v>
      </c>
      <c r="K263" s="19">
        <v>18.0</v>
      </c>
      <c r="L263" s="19">
        <v>15.0</v>
      </c>
      <c r="M263" s="19">
        <v>24.0</v>
      </c>
      <c r="N263" s="19">
        <v>18.0</v>
      </c>
      <c r="O263" s="19">
        <v>11.0</v>
      </c>
      <c r="P263" s="19">
        <v>13.0</v>
      </c>
      <c r="Q263" s="19">
        <v>30.0</v>
      </c>
      <c r="R263" s="19">
        <v>11.0</v>
      </c>
      <c r="S263" s="19">
        <v>7.0</v>
      </c>
      <c r="T263" s="19">
        <v>16.0</v>
      </c>
      <c r="U263" s="19">
        <v>15.0</v>
      </c>
      <c r="V263" s="19">
        <v>8.0</v>
      </c>
      <c r="W263" s="19">
        <v>13.0</v>
      </c>
      <c r="X263" s="19">
        <v>8.0</v>
      </c>
      <c r="Y263" s="19">
        <v>19.0</v>
      </c>
      <c r="Z263" s="19">
        <v>12.0</v>
      </c>
      <c r="AA263" s="19">
        <v>5.0</v>
      </c>
      <c r="AB263" s="13">
        <f t="shared" si="51"/>
        <v>376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52">SUM(E262:E263)</f>
        <v>204</v>
      </c>
      <c r="F264" s="13">
        <f t="shared" si="52"/>
        <v>186</v>
      </c>
      <c r="G264" s="13">
        <f t="shared" si="52"/>
        <v>198</v>
      </c>
      <c r="H264" s="13">
        <f t="shared" si="52"/>
        <v>197</v>
      </c>
      <c r="I264" s="13">
        <f t="shared" si="52"/>
        <v>222</v>
      </c>
      <c r="J264" s="13">
        <f t="shared" si="52"/>
        <v>226</v>
      </c>
      <c r="K264" s="13">
        <f t="shared" si="52"/>
        <v>235</v>
      </c>
      <c r="L264" s="13">
        <f t="shared" si="52"/>
        <v>229</v>
      </c>
      <c r="M264" s="13">
        <f t="shared" si="52"/>
        <v>231</v>
      </c>
      <c r="N264" s="13">
        <f t="shared" si="52"/>
        <v>231</v>
      </c>
      <c r="O264" s="13">
        <f t="shared" si="52"/>
        <v>192</v>
      </c>
      <c r="P264" s="13">
        <f t="shared" si="52"/>
        <v>183</v>
      </c>
      <c r="Q264" s="13">
        <f t="shared" si="52"/>
        <v>249</v>
      </c>
      <c r="R264" s="13">
        <f t="shared" si="52"/>
        <v>234</v>
      </c>
      <c r="S264" s="13">
        <f t="shared" si="52"/>
        <v>187</v>
      </c>
      <c r="T264" s="13">
        <f t="shared" si="52"/>
        <v>195</v>
      </c>
      <c r="U264" s="13">
        <f t="shared" si="52"/>
        <v>212</v>
      </c>
      <c r="V264" s="13">
        <f t="shared" si="52"/>
        <v>188</v>
      </c>
      <c r="W264" s="13">
        <f t="shared" si="52"/>
        <v>190</v>
      </c>
      <c r="X264" s="13">
        <f t="shared" si="52"/>
        <v>187</v>
      </c>
      <c r="Y264" s="13">
        <f t="shared" si="52"/>
        <v>205</v>
      </c>
      <c r="Z264" s="13">
        <f t="shared" si="52"/>
        <v>177</v>
      </c>
      <c r="AA264" s="13">
        <f t="shared" si="52"/>
        <v>171</v>
      </c>
      <c r="AB264" s="13">
        <f t="shared" si="51"/>
        <v>4729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S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