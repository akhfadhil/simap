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BUMIHARJO" sheetId="2" r:id="rId5"/>
    <sheet state="visible" name="KARANGHARJO" sheetId="3" r:id="rId6"/>
    <sheet state="visible" name="MARGOMULYO" sheetId="4" r:id="rId7"/>
    <sheet state="visible" name="SEPANJANG" sheetId="5" r:id="rId8"/>
    <sheet state="visible" name="SUMBERGONDO" sheetId="6" r:id="rId9"/>
    <sheet state="visible" name="TEGALHARJO" sheetId="7" r:id="rId10"/>
    <sheet state="visible" name="TULUNGREJO" sheetId="8" r:id="rId11"/>
  </sheets>
  <definedNames/>
  <calcPr/>
  <extLst>
    <ext uri="GoogleSheetsCustomDataVersion2">
      <go:sheetsCustomData xmlns:go="http://customooxmlschemas.google.com/" r:id="rId12" roundtripDataChecksum="alZoCt56HXAv3iokPNewziSUTiLlPVHADklHRqGe4H0="/>
    </ext>
  </extLst>
</workbook>
</file>

<file path=xl/sharedStrings.xml><?xml version="1.0" encoding="utf-8"?>
<sst xmlns="http://schemas.openxmlformats.org/spreadsheetml/2006/main" count="766" uniqueCount="115">
  <si>
    <t>Kecamatan</t>
  </si>
  <si>
    <t>GLENMORE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</si>
  <si>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</si>
  <si>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</si>
  <si>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</si>
  <si>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</si>
  <si>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</si>
  <si>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</si>
  <si>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</si>
  <si>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</si>
  <si>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</si>
  <si>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</si>
  <si>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</si>
  <si>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</si>
  <si>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</si>
  <si>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</si>
  <si>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</si>
  <si>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</si>
  <si>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</si>
  <si>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</si>
  <si>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</si>
  <si>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</si>
  <si>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</si>
  <si>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</si>
  <si>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</si>
  <si>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</si>
  <si>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</si>
  <si>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</si>
  <si>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</si>
  <si>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</si>
  <si>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</si>
  <si>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</si>
  <si>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</si>
  <si>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</si>
  <si>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</si>
  <si>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</si>
  <si>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</si>
  <si>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</si>
  <si>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</si>
  <si>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</si>
  <si>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</si>
  <si>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</si>
  <si>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</si>
  <si>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</si>
  <si>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</si>
  <si>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</si>
  <si>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</si>
  <si>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</si>
  <si>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</si>
  <si>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BUMIHARJO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</si>
  <si>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</si>
  <si>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</si>
  <si>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</si>
  <si>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</si>
  <si>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</si>
  <si>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</si>
  <si>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</si>
  <si>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</si>
  <si>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</si>
  <si>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</si>
  <si>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</si>
  <si>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</si>
  <si>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</si>
  <si>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</si>
  <si>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</si>
  <si>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</si>
  <si>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</si>
  <si>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</si>
  <si>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</si>
  <si>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</si>
  <si>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</si>
  <si>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</si>
  <si>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</si>
  <si>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</si>
  <si>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</si>
  <si>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</si>
  <si>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KARANGHARJO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</si>
  <si>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</si>
  <si>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</si>
  <si>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</si>
  <si>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</si>
  <si>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</si>
  <si>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</si>
  <si>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</si>
  <si>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</si>
  <si>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</si>
  <si>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</si>
  <si>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</si>
  <si>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</si>
  <si>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</si>
  <si>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</si>
  <si>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</si>
  <si>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</si>
  <si>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</si>
  <si>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</si>
  <si>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</si>
  <si>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</si>
  <si>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</si>
  <si>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</si>
  <si>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</si>
  <si>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</si>
  <si>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</si>
  <si>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</si>
  <si>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</si>
  <si>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</si>
  <si>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</si>
  <si>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</si>
  <si>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</si>
  <si>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</si>
  <si>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MARGOMULYO</t>
  </si>
  <si>
    <t>SEPANJANG</t>
  </si>
  <si>
    <t>SUMBERGONDO</t>
  </si>
  <si>
    <t>TEGALHARJO</t>
  </si>
  <si>
    <t>TULUNGREJO</t>
  </si>
  <si>
    <t>TPS 059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</si>
</sst>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1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1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13" fillId="0" fontId="3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1" xfId="0" applyAlignment="1" applyBorder="1" applyFont="1" applyNumberFormat="1">
      <alignment horizontal="center" vertical="center"/>
    </xf>
    <xf borderId="1" fillId="0" fontId="1" numFmtId="1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BUMIHARJO!AE14+KARANGHARJO!BK14+MARGOMULYO!S14+SEPANJANG!AJ14+SUMBERGONDO!AB14+TEGALHARJO!AP14+TULUNGREJO!BL14</f>
        <v>29418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BUMIHARJO!AE15+KARANGHARJO!BK15+MARGOMULYO!S15+SEPANJANG!AJ15+SUMBERGONDO!AB15+TEGALHARJO!AP15+TULUNGREJO!BL15</f>
        <v>30287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59705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30">
        <f>BUMIHARJO!AE19+KARANGHARJO!BK19+MARGOMULYO!S19+SEPANJANG!AJ19+SUMBERGONDO!AB19+TEGALHARJO!AP19+TULUNGREJO!BL19</f>
        <v>21580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30">
        <f>BUMIHARJO!AE20+KARANGHARJO!BK20+MARGOMULYO!S20+SEPANJANG!AJ20+SUMBERGONDO!AB20+TEGALHARJO!AP20+TULUNGREJO!BL20</f>
        <v>23932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38">
        <f>SUM(E19:E20)</f>
        <v>45512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0">
        <f>BUMIHARJO!AE22+KARANGHARJO!BK22+MARGOMULYO!S22+SEPANJANG!AJ22+SUMBERGONDO!AB22+TEGALHARJO!AP22+TULUNGREJO!BL22</f>
        <v>102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0">
        <f>BUMIHARJO!AE23+KARANGHARJO!BK23+MARGOMULYO!S23+SEPANJANG!AJ23+SUMBERGONDO!AB23+TEGALHARJO!AP23+TULUNGREJO!BL23</f>
        <v>75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8">
        <f>SUM(E22:E23)</f>
        <v>177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0">
        <f>BUMIHARJO!AE25+KARANGHARJO!BK25+MARGOMULYO!S25+SEPANJANG!AJ25+SUMBERGONDO!AB25+TEGALHARJO!AP25+TULUNGREJO!BL25</f>
        <v>146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0">
        <f>BUMIHARJO!AE26+KARANGHARJO!BK26+MARGOMULYO!S26+SEPANJANG!AJ26+SUMBERGONDO!AB26+TEGALHARJO!AP26+TULUNGREJO!BL26</f>
        <v>199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8">
        <f>SUM(E25:E26)</f>
        <v>345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39" t="s">
        <v>23</v>
      </c>
      <c r="C28" s="40" t="s">
        <v>24</v>
      </c>
      <c r="D28" s="13" t="s">
        <v>12</v>
      </c>
      <c r="E28" s="38">
        <f t="shared" ref="E28:E29" si="1">E19+E22+E25</f>
        <v>21828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38">
        <f t="shared" si="1"/>
        <v>24206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38">
        <f>SUM(E28:E29)</f>
        <v>46034</v>
      </c>
      <c r="F30" s="41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2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3" t="s">
        <v>25</v>
      </c>
      <c r="B32" s="14" t="s">
        <v>26</v>
      </c>
      <c r="C32" s="15"/>
      <c r="D32" s="16"/>
      <c r="E32" s="38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30">
        <f>BUMIHARJO!AE33+KARANGHARJO!BK33+MARGOMULYO!S33+SEPANJANG!AJ33+SUMBERGONDO!AB33+TEGALHARJO!AP33+TULUNGREJO!BL33</f>
        <v>61182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30">
        <f>BUMIHARJO!AE34+KARANGHARJO!BK34+MARGOMULYO!S34+SEPANJANG!AJ34+SUMBERGONDO!AB34+TEGALHARJO!AP34+TULUNGREJO!BL34</f>
        <v>46034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0">
        <f>BUMIHARJO!AE35+KARANGHARJO!BK35+MARGOMULYO!S35+SEPANJANG!AJ35+SUMBERGONDO!AB35+TEGALHARJO!AP35+TULUNGREJO!BL35</f>
        <v>51</v>
      </c>
      <c r="F35" s="41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38">
        <f>E33-(E34+E35)</f>
        <v>15097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4" t="s">
        <v>31</v>
      </c>
      <c r="B38" s="14" t="s">
        <v>32</v>
      </c>
      <c r="C38" s="15"/>
      <c r="D38" s="16"/>
      <c r="E38" s="38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5" t="s">
        <v>33</v>
      </c>
      <c r="C39" s="23"/>
      <c r="D39" s="19" t="s">
        <v>12</v>
      </c>
      <c r="E39" s="30">
        <f>BUMIHARJO!AE39+KARANGHARJO!BK39+MARGOMULYO!S39+SEPANJANG!AJ39+SUMBERGONDO!AB39+TEGALHARJO!AP39+TULUNGREJO!BL39</f>
        <v>38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0">
        <f>BUMIHARJO!AE40+KARANGHARJO!BK40+MARGOMULYO!S40+SEPANJANG!AJ40+SUMBERGONDO!AB40+TEGALHARJO!AP40+TULUNGREJO!BL40</f>
        <v>66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3"/>
      <c r="B41" s="46"/>
      <c r="C41" s="28"/>
      <c r="D41" s="13" t="s">
        <v>14</v>
      </c>
      <c r="E41" s="38">
        <f>SUM(E39:E40)</f>
        <v>104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7"/>
      <c r="B42" s="46"/>
      <c r="C42" s="46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4" t="s">
        <v>34</v>
      </c>
      <c r="B43" s="14" t="s">
        <v>35</v>
      </c>
      <c r="C43" s="15"/>
      <c r="D43" s="16"/>
      <c r="E43" s="38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5" t="s">
        <v>36</v>
      </c>
      <c r="B44" s="48"/>
      <c r="C44" s="48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/>
      <c r="B45" s="49">
        <v>1.0</v>
      </c>
      <c r="C45" s="50" t="s">
        <v>37</v>
      </c>
      <c r="D45" s="16"/>
      <c r="E45" s="30">
        <f>BUMIHARJO!AE45+KARANGHARJO!BK45+MARGOMULYO!S45+SEPANJANG!AJ45+SUMBERGONDO!AB45+TEGALHARJO!AP45+TULUNGREJO!BL45</f>
        <v>5805</v>
      </c>
      <c r="F45" s="51"/>
      <c r="G45" s="52"/>
      <c r="H45" s="52"/>
      <c r="I45" s="52"/>
      <c r="J45" s="52"/>
      <c r="K45" s="52"/>
      <c r="L45" s="52"/>
      <c r="M45" s="52"/>
      <c r="N45" s="52"/>
      <c r="O45" s="52"/>
      <c r="P45" s="53"/>
      <c r="Q45" s="3"/>
      <c r="R45" s="3"/>
      <c r="S45" s="3"/>
      <c r="T45" s="3"/>
      <c r="U45" s="3"/>
      <c r="V45" s="3"/>
      <c r="W45" s="54"/>
      <c r="X45" s="3"/>
      <c r="Y45" s="3"/>
      <c r="Z45" s="3"/>
    </row>
    <row r="46" ht="15.75" customHeight="1">
      <c r="A46" s="34"/>
      <c r="B46" s="49">
        <v>2.0</v>
      </c>
      <c r="C46" s="50" t="s">
        <v>38</v>
      </c>
      <c r="D46" s="16"/>
      <c r="E46" s="30">
        <f>BUMIHARJO!AE46+KARANGHARJO!BK46+MARGOMULYO!S46+SEPANJANG!AJ46+SUMBERGONDO!AB46+TEGALHARJO!AP46+TULUNGREJO!BL46</f>
        <v>33714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55"/>
      <c r="B47" s="49">
        <v>3.0</v>
      </c>
      <c r="C47" s="50" t="s">
        <v>39</v>
      </c>
      <c r="D47" s="16"/>
      <c r="E47" s="30">
        <f>BUMIHARJO!AE47+KARANGHARJO!BK47+MARGOMULYO!S47+SEPANJANG!AJ47+SUMBERGONDO!AB47+TEGALHARJO!AP47+TULUNGREJO!BL47</f>
        <v>5747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4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4"/>
      <c r="B50" s="56" t="s">
        <v>42</v>
      </c>
      <c r="C50" s="57" t="s">
        <v>43</v>
      </c>
      <c r="D50" s="16"/>
      <c r="E50" s="30">
        <f>BUMIHARJO!AE50+KARANGHARJO!BK50+MARGOMULYO!S50+SEPANJANG!AJ50+SUMBERGONDO!AB50+TEGALHARJO!AP50+TULUNGREJO!BL50</f>
        <v>45266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6"/>
      <c r="B51" s="56" t="s">
        <v>44</v>
      </c>
      <c r="C51" s="57" t="s">
        <v>45</v>
      </c>
      <c r="D51" s="16"/>
      <c r="E51" s="30">
        <f>BUMIHARJO!AE51+KARANGHARJO!BK51+MARGOMULYO!S51+SEPANJANG!AJ51+SUMBERGONDO!AB51+TEGALHARJO!AP51+TULUNGREJO!BL51</f>
        <v>768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3"/>
      <c r="B52" s="56" t="s">
        <v>46</v>
      </c>
      <c r="C52" s="57" t="s">
        <v>47</v>
      </c>
      <c r="D52" s="16"/>
      <c r="E52" s="13">
        <f>SUM(E50:E51)</f>
        <v>46034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8"/>
      <c r="C53" s="59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8"/>
      <c r="C54" s="59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8"/>
      <c r="C55" s="59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8"/>
      <c r="C56" s="59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8"/>
      <c r="C57" s="59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8"/>
      <c r="C58" s="59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8"/>
      <c r="C59" s="59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8"/>
      <c r="C60" s="59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8"/>
      <c r="C61" s="59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8"/>
      <c r="C62" s="59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8"/>
      <c r="C63" s="59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8"/>
      <c r="C64" s="59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8"/>
      <c r="C65" s="59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8"/>
      <c r="C66" s="59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8"/>
      <c r="C67" s="59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8"/>
      <c r="C68" s="59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8"/>
      <c r="C69" s="59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8"/>
      <c r="C70" s="59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8"/>
      <c r="C71" s="59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8"/>
      <c r="C72" s="59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8"/>
      <c r="C73" s="59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8"/>
      <c r="C74" s="59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8"/>
      <c r="C75" s="59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8"/>
      <c r="C76" s="59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8"/>
      <c r="C77" s="59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8"/>
      <c r="C78" s="59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8"/>
      <c r="C79" s="59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8"/>
      <c r="C80" s="59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8"/>
      <c r="C81" s="59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8"/>
      <c r="C82" s="59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8"/>
      <c r="C83" s="59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8"/>
      <c r="C84" s="59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8"/>
      <c r="C85" s="59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8"/>
      <c r="C86" s="59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8"/>
      <c r="C87" s="59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8"/>
      <c r="C88" s="59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8"/>
      <c r="C89" s="59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8"/>
      <c r="C90" s="59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8"/>
      <c r="C91" s="59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8"/>
      <c r="C92" s="59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8"/>
      <c r="C93" s="59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8"/>
      <c r="C94" s="59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8"/>
      <c r="C95" s="59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8"/>
      <c r="C96" s="59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8"/>
      <c r="C97" s="59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8"/>
      <c r="C98" s="59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8"/>
      <c r="C99" s="59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8"/>
      <c r="C100" s="59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8"/>
      <c r="C101" s="59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8"/>
      <c r="C102" s="59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8"/>
      <c r="C103" s="59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8"/>
      <c r="C104" s="59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8"/>
      <c r="C105" s="59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8"/>
      <c r="C106" s="59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8"/>
      <c r="C107" s="59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8"/>
      <c r="C108" s="59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8"/>
      <c r="C109" s="59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8"/>
      <c r="C110" s="59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8"/>
      <c r="C111" s="59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8"/>
      <c r="C112" s="59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8"/>
      <c r="C113" s="59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8"/>
      <c r="C114" s="59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8"/>
      <c r="C115" s="59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8"/>
      <c r="C116" s="59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8"/>
      <c r="C117" s="59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8"/>
      <c r="C118" s="59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8"/>
      <c r="C119" s="59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8"/>
      <c r="C120" s="59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8"/>
      <c r="C121" s="59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8"/>
      <c r="C122" s="59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8"/>
      <c r="C123" s="59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8"/>
      <c r="C124" s="59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8"/>
      <c r="C125" s="59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8"/>
      <c r="C126" s="59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8"/>
      <c r="C127" s="59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8"/>
      <c r="C128" s="59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8"/>
      <c r="C129" s="59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8"/>
      <c r="C130" s="59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8"/>
      <c r="C131" s="59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8"/>
      <c r="C132" s="59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8"/>
      <c r="C133" s="59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8"/>
      <c r="C134" s="59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8"/>
      <c r="C135" s="59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8"/>
      <c r="C136" s="59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8"/>
      <c r="C137" s="59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8"/>
      <c r="C138" s="59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8"/>
      <c r="C139" s="59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8"/>
      <c r="C140" s="59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8"/>
      <c r="C141" s="59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8"/>
      <c r="C142" s="59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8"/>
      <c r="C143" s="59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8"/>
      <c r="C144" s="59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8"/>
      <c r="C145" s="59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8"/>
      <c r="C146" s="59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8"/>
      <c r="C147" s="59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8"/>
      <c r="C148" s="59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8"/>
      <c r="C149" s="59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8"/>
      <c r="C150" s="59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8"/>
      <c r="C151" s="59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8"/>
      <c r="C152" s="59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8"/>
      <c r="C153" s="59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8"/>
      <c r="C154" s="59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8"/>
      <c r="C155" s="59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8"/>
      <c r="C156" s="59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8"/>
      <c r="C157" s="59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8"/>
      <c r="C158" s="59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8"/>
      <c r="C159" s="59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8"/>
      <c r="C160" s="59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8"/>
      <c r="C161" s="59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8"/>
      <c r="C162" s="59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8"/>
      <c r="C163" s="59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8"/>
      <c r="C164" s="59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8"/>
      <c r="C165" s="59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8"/>
      <c r="C166" s="59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8"/>
      <c r="C167" s="59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8"/>
      <c r="C168" s="59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8"/>
      <c r="C169" s="59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8"/>
      <c r="C170" s="59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8"/>
      <c r="C171" s="59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8"/>
      <c r="C172" s="59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8"/>
      <c r="C173" s="59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8"/>
      <c r="C174" s="59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8"/>
      <c r="C175" s="59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8"/>
      <c r="C176" s="59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8"/>
      <c r="C177" s="59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8"/>
      <c r="C178" s="59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8"/>
      <c r="C179" s="59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8"/>
      <c r="C180" s="59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8"/>
      <c r="C181" s="59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8"/>
      <c r="C182" s="59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8"/>
      <c r="C183" s="59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8"/>
      <c r="C184" s="59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8"/>
      <c r="C185" s="59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8"/>
      <c r="C186" s="59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8"/>
      <c r="C187" s="59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8"/>
      <c r="C188" s="59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8"/>
      <c r="C189" s="59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8"/>
      <c r="C190" s="59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8"/>
      <c r="C191" s="59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8"/>
      <c r="C192" s="59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8"/>
      <c r="C193" s="59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8"/>
      <c r="C194" s="59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8"/>
      <c r="C195" s="59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8"/>
      <c r="C196" s="59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8"/>
      <c r="C197" s="59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8"/>
      <c r="C198" s="59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8"/>
      <c r="C199" s="59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8"/>
      <c r="C200" s="59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8"/>
      <c r="C201" s="59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8"/>
      <c r="C202" s="59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8"/>
      <c r="C203" s="59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8"/>
      <c r="C204" s="59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8"/>
      <c r="C205" s="59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8"/>
      <c r="C206" s="59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8"/>
      <c r="C207" s="59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8"/>
      <c r="C208" s="59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8"/>
      <c r="C209" s="59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8"/>
      <c r="C210" s="59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8"/>
      <c r="C211" s="59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8"/>
      <c r="C212" s="59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8"/>
      <c r="C213" s="59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8"/>
      <c r="C214" s="59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8"/>
      <c r="C215" s="59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8"/>
      <c r="C216" s="59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8"/>
      <c r="C217" s="59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8"/>
      <c r="C218" s="59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8"/>
      <c r="C219" s="59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8"/>
      <c r="C220" s="59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8"/>
      <c r="C221" s="59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8"/>
      <c r="C222" s="59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8"/>
      <c r="C223" s="59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8"/>
      <c r="C224" s="59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8"/>
      <c r="C225" s="59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8"/>
      <c r="C226" s="59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8"/>
      <c r="C227" s="59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8"/>
      <c r="C228" s="59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8"/>
      <c r="C229" s="59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8"/>
      <c r="C230" s="59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8"/>
      <c r="C231" s="59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8"/>
      <c r="C232" s="59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8"/>
      <c r="C233" s="59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8"/>
      <c r="C234" s="59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8"/>
      <c r="C235" s="59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8"/>
      <c r="C236" s="59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8"/>
      <c r="C237" s="59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8"/>
      <c r="C238" s="59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8"/>
      <c r="C239" s="59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8"/>
      <c r="C240" s="59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8"/>
      <c r="C241" s="59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8"/>
      <c r="C242" s="59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8"/>
      <c r="C243" s="59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8"/>
      <c r="C244" s="59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8"/>
      <c r="C245" s="59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8"/>
      <c r="C246" s="59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8"/>
      <c r="C247" s="59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8"/>
      <c r="C248" s="59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8"/>
      <c r="C249" s="59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8"/>
      <c r="C250" s="59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8"/>
      <c r="C251" s="59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8"/>
      <c r="C252" s="59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0" width="8.71"/>
    <col customWidth="1" min="31" max="31" width="13.29"/>
    <col customWidth="1" min="32" max="3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37"/>
    </row>
    <row r="14" ht="12.75" customHeight="1">
      <c r="A14" s="18"/>
      <c r="B14" s="22" t="s">
        <v>11</v>
      </c>
      <c r="C14" s="23"/>
      <c r="D14" s="19" t="s">
        <v>12</v>
      </c>
      <c r="E14" s="61">
        <v>132.0</v>
      </c>
      <c r="F14" s="61">
        <v>118.0</v>
      </c>
      <c r="G14" s="61">
        <v>130.0</v>
      </c>
      <c r="H14" s="61">
        <v>112.0</v>
      </c>
      <c r="I14" s="61">
        <v>147.0</v>
      </c>
      <c r="J14" s="61">
        <v>159.0</v>
      </c>
      <c r="K14" s="61">
        <v>144.0</v>
      </c>
      <c r="L14" s="61">
        <v>151.0</v>
      </c>
      <c r="M14" s="61">
        <v>141.0</v>
      </c>
      <c r="N14" s="61">
        <v>144.0</v>
      </c>
      <c r="O14" s="19">
        <v>122.0</v>
      </c>
      <c r="P14" s="19">
        <v>124.0</v>
      </c>
      <c r="Q14" s="19">
        <v>123.0</v>
      </c>
      <c r="R14" s="19">
        <v>92.0</v>
      </c>
      <c r="S14" s="19">
        <v>142.0</v>
      </c>
      <c r="T14" s="19">
        <v>126.0</v>
      </c>
      <c r="U14" s="19">
        <v>127.0</v>
      </c>
      <c r="V14" s="19">
        <v>116.0</v>
      </c>
      <c r="W14" s="19">
        <v>145.0</v>
      </c>
      <c r="X14" s="19">
        <v>142.0</v>
      </c>
      <c r="Y14" s="19">
        <v>119.0</v>
      </c>
      <c r="Z14" s="19">
        <v>140.0</v>
      </c>
      <c r="AA14" s="19">
        <v>108.0</v>
      </c>
      <c r="AB14" s="19">
        <v>103.0</v>
      </c>
      <c r="AC14" s="19">
        <v>123.0</v>
      </c>
      <c r="AD14" s="19">
        <v>138.0</v>
      </c>
      <c r="AE14" s="62">
        <f t="shared" ref="AE14:AE16" si="1">SUM(E14:AD14)</f>
        <v>3368</v>
      </c>
    </row>
    <row r="15" ht="12.75" customHeight="1">
      <c r="A15" s="18"/>
      <c r="B15" s="26"/>
      <c r="C15" s="27"/>
      <c r="D15" s="19" t="s">
        <v>13</v>
      </c>
      <c r="E15" s="61">
        <v>127.0</v>
      </c>
      <c r="F15" s="61">
        <v>126.0</v>
      </c>
      <c r="G15" s="61">
        <v>123.0</v>
      </c>
      <c r="H15" s="61">
        <v>114.0</v>
      </c>
      <c r="I15" s="61">
        <v>142.0</v>
      </c>
      <c r="J15" s="61">
        <v>141.0</v>
      </c>
      <c r="K15" s="61">
        <v>149.0</v>
      </c>
      <c r="L15" s="61">
        <v>145.0</v>
      </c>
      <c r="M15" s="61">
        <v>147.0</v>
      </c>
      <c r="N15" s="61">
        <v>153.0</v>
      </c>
      <c r="O15" s="19">
        <v>116.0</v>
      </c>
      <c r="P15" s="19">
        <v>128.0</v>
      </c>
      <c r="Q15" s="19">
        <v>116.0</v>
      </c>
      <c r="R15" s="19">
        <v>106.0</v>
      </c>
      <c r="S15" s="19">
        <v>126.0</v>
      </c>
      <c r="T15" s="19">
        <v>124.0</v>
      </c>
      <c r="U15" s="19">
        <v>145.0</v>
      </c>
      <c r="V15" s="19">
        <v>97.0</v>
      </c>
      <c r="W15" s="19">
        <v>134.0</v>
      </c>
      <c r="X15" s="19">
        <v>137.0</v>
      </c>
      <c r="Y15" s="19">
        <v>126.0</v>
      </c>
      <c r="Z15" s="19">
        <v>151.0</v>
      </c>
      <c r="AA15" s="19">
        <v>115.0</v>
      </c>
      <c r="AB15" s="19">
        <v>118.0</v>
      </c>
      <c r="AC15" s="19">
        <v>132.0</v>
      </c>
      <c r="AD15" s="19">
        <v>149.0</v>
      </c>
      <c r="AE15" s="62">
        <f t="shared" si="1"/>
        <v>3387</v>
      </c>
    </row>
    <row r="16" ht="12.75" customHeight="1">
      <c r="A16" s="25"/>
      <c r="B16" s="21"/>
      <c r="C16" s="28"/>
      <c r="D16" s="13" t="s">
        <v>14</v>
      </c>
      <c r="E16" s="62">
        <f t="shared" ref="E16:AD16" si="2">SUM(E14:E15)</f>
        <v>259</v>
      </c>
      <c r="F16" s="62">
        <f t="shared" si="2"/>
        <v>244</v>
      </c>
      <c r="G16" s="62">
        <f t="shared" si="2"/>
        <v>253</v>
      </c>
      <c r="H16" s="62">
        <f t="shared" si="2"/>
        <v>226</v>
      </c>
      <c r="I16" s="62">
        <f t="shared" si="2"/>
        <v>289</v>
      </c>
      <c r="J16" s="62">
        <f t="shared" si="2"/>
        <v>300</v>
      </c>
      <c r="K16" s="62">
        <f t="shared" si="2"/>
        <v>293</v>
      </c>
      <c r="L16" s="62">
        <f t="shared" si="2"/>
        <v>296</v>
      </c>
      <c r="M16" s="62">
        <f t="shared" si="2"/>
        <v>288</v>
      </c>
      <c r="N16" s="62">
        <f t="shared" si="2"/>
        <v>297</v>
      </c>
      <c r="O16" s="13">
        <f t="shared" si="2"/>
        <v>238</v>
      </c>
      <c r="P16" s="13">
        <f t="shared" si="2"/>
        <v>252</v>
      </c>
      <c r="Q16" s="13">
        <f t="shared" si="2"/>
        <v>239</v>
      </c>
      <c r="R16" s="13">
        <f t="shared" si="2"/>
        <v>198</v>
      </c>
      <c r="S16" s="13">
        <f t="shared" si="2"/>
        <v>268</v>
      </c>
      <c r="T16" s="13">
        <f t="shared" si="2"/>
        <v>250</v>
      </c>
      <c r="U16" s="13">
        <f t="shared" si="2"/>
        <v>272</v>
      </c>
      <c r="V16" s="13">
        <f t="shared" si="2"/>
        <v>213</v>
      </c>
      <c r="W16" s="13">
        <f t="shared" si="2"/>
        <v>279</v>
      </c>
      <c r="X16" s="13">
        <f t="shared" si="2"/>
        <v>279</v>
      </c>
      <c r="Y16" s="13">
        <f t="shared" si="2"/>
        <v>245</v>
      </c>
      <c r="Z16" s="13">
        <f t="shared" si="2"/>
        <v>291</v>
      </c>
      <c r="AA16" s="13">
        <f t="shared" si="2"/>
        <v>223</v>
      </c>
      <c r="AB16" s="13">
        <f t="shared" si="2"/>
        <v>221</v>
      </c>
      <c r="AC16" s="13">
        <f t="shared" si="2"/>
        <v>255</v>
      </c>
      <c r="AD16" s="13">
        <f t="shared" si="2"/>
        <v>287</v>
      </c>
      <c r="AE16" s="62">
        <f t="shared" si="1"/>
        <v>6755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3"/>
      <c r="O17" s="19"/>
      <c r="P17" s="19"/>
      <c r="Q17" s="19"/>
      <c r="R17" s="19"/>
      <c r="S17" s="63"/>
      <c r="T17" s="19"/>
      <c r="U17" s="19"/>
      <c r="V17" s="19"/>
      <c r="W17" s="19"/>
      <c r="X17" s="63"/>
      <c r="Y17" s="19"/>
      <c r="Z17" s="19"/>
      <c r="AA17" s="19"/>
      <c r="AB17" s="19"/>
      <c r="AC17" s="63"/>
      <c r="AD17" s="19"/>
      <c r="AE17" s="64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3"/>
      <c r="O18" s="19"/>
      <c r="P18" s="19"/>
      <c r="Q18" s="19"/>
      <c r="R18" s="19"/>
      <c r="S18" s="63"/>
      <c r="T18" s="19"/>
      <c r="U18" s="19"/>
      <c r="V18" s="19"/>
      <c r="W18" s="19"/>
      <c r="X18" s="63"/>
      <c r="Y18" s="19"/>
      <c r="Z18" s="19"/>
      <c r="AA18" s="19"/>
      <c r="AB18" s="19"/>
      <c r="AC18" s="63"/>
      <c r="AD18" s="19"/>
      <c r="AE18" s="64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105.0</v>
      </c>
      <c r="F19" s="19">
        <v>100.0</v>
      </c>
      <c r="G19" s="19">
        <v>94.0</v>
      </c>
      <c r="H19" s="19">
        <v>91.0</v>
      </c>
      <c r="I19" s="19">
        <v>104.0</v>
      </c>
      <c r="J19" s="19">
        <v>118.0</v>
      </c>
      <c r="K19" s="19">
        <v>109.0</v>
      </c>
      <c r="L19" s="19">
        <v>115.0</v>
      </c>
      <c r="M19" s="19">
        <v>105.0</v>
      </c>
      <c r="N19" s="19">
        <v>107.0</v>
      </c>
      <c r="O19" s="19">
        <v>87.0</v>
      </c>
      <c r="P19" s="19">
        <v>97.0</v>
      </c>
      <c r="Q19" s="19">
        <v>90.0</v>
      </c>
      <c r="R19" s="19">
        <v>68.0</v>
      </c>
      <c r="S19" s="19">
        <v>113.0</v>
      </c>
      <c r="T19" s="19">
        <v>89.0</v>
      </c>
      <c r="U19" s="19">
        <v>87.0</v>
      </c>
      <c r="V19" s="19">
        <v>95.0</v>
      </c>
      <c r="W19" s="19">
        <v>113.0</v>
      </c>
      <c r="X19" s="19">
        <v>101.0</v>
      </c>
      <c r="Y19" s="19">
        <v>87.0</v>
      </c>
      <c r="Z19" s="19">
        <v>96.0</v>
      </c>
      <c r="AA19" s="19">
        <v>77.0</v>
      </c>
      <c r="AB19" s="19">
        <v>76.0</v>
      </c>
      <c r="AC19" s="19">
        <v>80.0</v>
      </c>
      <c r="AD19" s="19">
        <v>95.0</v>
      </c>
      <c r="AE19" s="13">
        <f t="shared" ref="AE19:AE30" si="3">SUM(E19:AD19)</f>
        <v>2499</v>
      </c>
    </row>
    <row r="20" ht="12.75" customHeight="1">
      <c r="A20" s="34"/>
      <c r="B20" s="27"/>
      <c r="C20" s="35"/>
      <c r="D20" s="19" t="s">
        <v>13</v>
      </c>
      <c r="E20" s="19">
        <v>101.0</v>
      </c>
      <c r="F20" s="19">
        <v>100.0</v>
      </c>
      <c r="G20" s="19">
        <v>107.0</v>
      </c>
      <c r="H20" s="19">
        <v>93.0</v>
      </c>
      <c r="I20" s="19">
        <v>104.0</v>
      </c>
      <c r="J20" s="19">
        <v>112.0</v>
      </c>
      <c r="K20" s="19">
        <v>115.0</v>
      </c>
      <c r="L20" s="19">
        <v>114.0</v>
      </c>
      <c r="M20" s="19">
        <v>118.0</v>
      </c>
      <c r="N20" s="19">
        <v>119.0</v>
      </c>
      <c r="O20" s="19">
        <v>89.0</v>
      </c>
      <c r="P20" s="19">
        <v>116.0</v>
      </c>
      <c r="Q20" s="19">
        <v>93.0</v>
      </c>
      <c r="R20" s="19">
        <v>86.0</v>
      </c>
      <c r="S20" s="19">
        <v>107.0</v>
      </c>
      <c r="T20" s="19">
        <v>105.0</v>
      </c>
      <c r="U20" s="19">
        <v>112.0</v>
      </c>
      <c r="V20" s="19">
        <v>86.0</v>
      </c>
      <c r="W20" s="19">
        <v>110.0</v>
      </c>
      <c r="X20" s="19">
        <v>105.0</v>
      </c>
      <c r="Y20" s="19">
        <v>104.0</v>
      </c>
      <c r="Z20" s="19">
        <v>126.0</v>
      </c>
      <c r="AA20" s="19">
        <v>100.0</v>
      </c>
      <c r="AB20" s="19">
        <v>78.0</v>
      </c>
      <c r="AC20" s="19">
        <v>92.0</v>
      </c>
      <c r="AD20" s="19">
        <v>112.0</v>
      </c>
      <c r="AE20" s="13">
        <f t="shared" si="3"/>
        <v>2704</v>
      </c>
    </row>
    <row r="21" ht="12.75" customHeight="1">
      <c r="A21" s="36"/>
      <c r="B21" s="28"/>
      <c r="C21" s="37"/>
      <c r="D21" s="13" t="s">
        <v>14</v>
      </c>
      <c r="E21" s="13">
        <f t="shared" ref="E21:AD21" si="4">SUM(E19:E20)</f>
        <v>206</v>
      </c>
      <c r="F21" s="13">
        <f t="shared" si="4"/>
        <v>200</v>
      </c>
      <c r="G21" s="13">
        <f t="shared" si="4"/>
        <v>201</v>
      </c>
      <c r="H21" s="13">
        <f t="shared" si="4"/>
        <v>184</v>
      </c>
      <c r="I21" s="13">
        <f t="shared" si="4"/>
        <v>208</v>
      </c>
      <c r="J21" s="13">
        <f t="shared" si="4"/>
        <v>230</v>
      </c>
      <c r="K21" s="13">
        <f t="shared" si="4"/>
        <v>224</v>
      </c>
      <c r="L21" s="13">
        <f t="shared" si="4"/>
        <v>229</v>
      </c>
      <c r="M21" s="13">
        <f t="shared" si="4"/>
        <v>223</v>
      </c>
      <c r="N21" s="13">
        <f t="shared" si="4"/>
        <v>226</v>
      </c>
      <c r="O21" s="13">
        <f t="shared" si="4"/>
        <v>176</v>
      </c>
      <c r="P21" s="13">
        <f t="shared" si="4"/>
        <v>213</v>
      </c>
      <c r="Q21" s="13">
        <f t="shared" si="4"/>
        <v>183</v>
      </c>
      <c r="R21" s="13">
        <f t="shared" si="4"/>
        <v>154</v>
      </c>
      <c r="S21" s="13">
        <f t="shared" si="4"/>
        <v>220</v>
      </c>
      <c r="T21" s="13">
        <f t="shared" si="4"/>
        <v>194</v>
      </c>
      <c r="U21" s="13">
        <f t="shared" si="4"/>
        <v>199</v>
      </c>
      <c r="V21" s="13">
        <f t="shared" si="4"/>
        <v>181</v>
      </c>
      <c r="W21" s="13">
        <f t="shared" si="4"/>
        <v>223</v>
      </c>
      <c r="X21" s="13">
        <f t="shared" si="4"/>
        <v>206</v>
      </c>
      <c r="Y21" s="13">
        <f t="shared" si="4"/>
        <v>191</v>
      </c>
      <c r="Z21" s="13">
        <f t="shared" si="4"/>
        <v>222</v>
      </c>
      <c r="AA21" s="13">
        <f t="shared" si="4"/>
        <v>177</v>
      </c>
      <c r="AB21" s="13">
        <f t="shared" si="4"/>
        <v>154</v>
      </c>
      <c r="AC21" s="13">
        <f t="shared" si="4"/>
        <v>172</v>
      </c>
      <c r="AD21" s="13">
        <f t="shared" si="4"/>
        <v>207</v>
      </c>
      <c r="AE21" s="13">
        <f t="shared" si="3"/>
        <v>5203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>
        <v>2.0</v>
      </c>
      <c r="O22" s="19"/>
      <c r="P22" s="19">
        <v>1.0</v>
      </c>
      <c r="Q22" s="19"/>
      <c r="R22" s="19"/>
      <c r="S22" s="19"/>
      <c r="T22" s="19"/>
      <c r="U22" s="19"/>
      <c r="V22" s="19"/>
      <c r="W22" s="19"/>
      <c r="X22" s="19"/>
      <c r="Y22" s="19"/>
      <c r="Z22" s="19">
        <v>1.0</v>
      </c>
      <c r="AA22" s="19"/>
      <c r="AB22" s="19"/>
      <c r="AC22" s="19"/>
      <c r="AD22" s="19"/>
      <c r="AE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>
        <v>1.0</v>
      </c>
      <c r="O23" s="19">
        <v>1.0</v>
      </c>
      <c r="P23" s="19"/>
      <c r="Q23" s="19"/>
      <c r="R23" s="19"/>
      <c r="S23" s="19">
        <v>1.0</v>
      </c>
      <c r="T23" s="19"/>
      <c r="U23" s="19"/>
      <c r="V23" s="19">
        <v>1.0</v>
      </c>
      <c r="W23" s="19"/>
      <c r="X23" s="19"/>
      <c r="Y23" s="19"/>
      <c r="Z23" s="19"/>
      <c r="AA23" s="19"/>
      <c r="AB23" s="19"/>
      <c r="AC23" s="19"/>
      <c r="AD23" s="19"/>
      <c r="AE23" s="13">
        <f t="shared" si="3"/>
        <v>4</v>
      </c>
    </row>
    <row r="24" ht="12.75" customHeight="1">
      <c r="A24" s="36"/>
      <c r="B24" s="28"/>
      <c r="C24" s="37"/>
      <c r="D24" s="13" t="s">
        <v>14</v>
      </c>
      <c r="E24" s="13">
        <f t="shared" ref="E24:AD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3</v>
      </c>
      <c r="O24" s="13">
        <f t="shared" si="5"/>
        <v>1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0</v>
      </c>
      <c r="V24" s="13">
        <f t="shared" si="5"/>
        <v>1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1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3"/>
        <v>8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>
        <v>1.0</v>
      </c>
      <c r="F25" s="19"/>
      <c r="G25" s="19"/>
      <c r="H25" s="19"/>
      <c r="I25" s="19">
        <v>2.0</v>
      </c>
      <c r="J25" s="19"/>
      <c r="K25" s="19"/>
      <c r="L25" s="19"/>
      <c r="M25" s="19"/>
      <c r="N25" s="19"/>
      <c r="O25" s="19"/>
      <c r="P25" s="19"/>
      <c r="Q25" s="19"/>
      <c r="R25" s="19">
        <v>1.0</v>
      </c>
      <c r="S25" s="19"/>
      <c r="T25" s="19"/>
      <c r="U25" s="19"/>
      <c r="V25" s="19">
        <v>2.0</v>
      </c>
      <c r="W25" s="19">
        <v>1.0</v>
      </c>
      <c r="X25" s="19"/>
      <c r="Y25" s="19"/>
      <c r="Z25" s="19"/>
      <c r="AA25" s="19"/>
      <c r="AB25" s="19"/>
      <c r="AC25" s="19"/>
      <c r="AD25" s="19"/>
      <c r="AE25" s="13">
        <f t="shared" si="3"/>
        <v>7</v>
      </c>
    </row>
    <row r="26" ht="12.75" customHeight="1">
      <c r="A26" s="34"/>
      <c r="B26" s="27"/>
      <c r="C26" s="35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1.0</v>
      </c>
      <c r="Q26" s="19"/>
      <c r="R26" s="19"/>
      <c r="S26" s="19"/>
      <c r="T26" s="19"/>
      <c r="U26" s="19"/>
      <c r="V26" s="19">
        <v>1.0</v>
      </c>
      <c r="W26" s="19">
        <v>1.0</v>
      </c>
      <c r="X26" s="19">
        <v>4.0</v>
      </c>
      <c r="Y26" s="19"/>
      <c r="Z26" s="19"/>
      <c r="AA26" s="19"/>
      <c r="AB26" s="19"/>
      <c r="AC26" s="19"/>
      <c r="AD26" s="19"/>
      <c r="AE26" s="13">
        <f t="shared" si="3"/>
        <v>7</v>
      </c>
    </row>
    <row r="27" ht="12.75" customHeight="1">
      <c r="A27" s="36"/>
      <c r="B27" s="28"/>
      <c r="C27" s="37"/>
      <c r="D27" s="13" t="s">
        <v>14</v>
      </c>
      <c r="E27" s="13">
        <f t="shared" ref="E27:AD27" si="6">SUM(E25:E26)</f>
        <v>1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1</v>
      </c>
      <c r="Q27" s="13">
        <f t="shared" si="6"/>
        <v>0</v>
      </c>
      <c r="R27" s="13">
        <f t="shared" si="6"/>
        <v>1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3</v>
      </c>
      <c r="W27" s="13">
        <f t="shared" si="6"/>
        <v>2</v>
      </c>
      <c r="X27" s="13">
        <f t="shared" si="6"/>
        <v>4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3"/>
        <v>14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D28" si="7">SUM(E19,E22,E25)</f>
        <v>106</v>
      </c>
      <c r="F28" s="13">
        <f t="shared" si="7"/>
        <v>100</v>
      </c>
      <c r="G28" s="13">
        <f t="shared" si="7"/>
        <v>94</v>
      </c>
      <c r="H28" s="13">
        <f t="shared" si="7"/>
        <v>91</v>
      </c>
      <c r="I28" s="13">
        <f t="shared" si="7"/>
        <v>106</v>
      </c>
      <c r="J28" s="13">
        <f t="shared" si="7"/>
        <v>118</v>
      </c>
      <c r="K28" s="13">
        <f t="shared" si="7"/>
        <v>109</v>
      </c>
      <c r="L28" s="13">
        <f t="shared" si="7"/>
        <v>115</v>
      </c>
      <c r="M28" s="13">
        <f t="shared" si="7"/>
        <v>105</v>
      </c>
      <c r="N28" s="13">
        <f t="shared" si="7"/>
        <v>109</v>
      </c>
      <c r="O28" s="13">
        <f t="shared" si="7"/>
        <v>87</v>
      </c>
      <c r="P28" s="13">
        <f t="shared" si="7"/>
        <v>98</v>
      </c>
      <c r="Q28" s="13">
        <f t="shared" si="7"/>
        <v>90</v>
      </c>
      <c r="R28" s="13">
        <f t="shared" si="7"/>
        <v>69</v>
      </c>
      <c r="S28" s="13">
        <f t="shared" si="7"/>
        <v>113</v>
      </c>
      <c r="T28" s="13">
        <f t="shared" si="7"/>
        <v>89</v>
      </c>
      <c r="U28" s="13">
        <f t="shared" si="7"/>
        <v>87</v>
      </c>
      <c r="V28" s="13">
        <f t="shared" si="7"/>
        <v>97</v>
      </c>
      <c r="W28" s="13">
        <f t="shared" si="7"/>
        <v>114</v>
      </c>
      <c r="X28" s="13">
        <f t="shared" si="7"/>
        <v>101</v>
      </c>
      <c r="Y28" s="13">
        <f t="shared" si="7"/>
        <v>87</v>
      </c>
      <c r="Z28" s="13">
        <f t="shared" si="7"/>
        <v>97</v>
      </c>
      <c r="AA28" s="13">
        <f t="shared" si="7"/>
        <v>77</v>
      </c>
      <c r="AB28" s="13">
        <f t="shared" si="7"/>
        <v>76</v>
      </c>
      <c r="AC28" s="13">
        <f t="shared" si="7"/>
        <v>80</v>
      </c>
      <c r="AD28" s="13">
        <f t="shared" si="7"/>
        <v>95</v>
      </c>
      <c r="AE28" s="13">
        <f t="shared" si="3"/>
        <v>2510</v>
      </c>
    </row>
    <row r="29" ht="12.75" customHeight="1">
      <c r="A29" s="36"/>
      <c r="B29" s="27"/>
      <c r="C29" s="35"/>
      <c r="D29" s="13" t="s">
        <v>13</v>
      </c>
      <c r="E29" s="13">
        <f t="shared" ref="E29:AD29" si="8">SUM(E20,E23,E26)</f>
        <v>101</v>
      </c>
      <c r="F29" s="13">
        <f t="shared" si="8"/>
        <v>100</v>
      </c>
      <c r="G29" s="13">
        <f t="shared" si="8"/>
        <v>107</v>
      </c>
      <c r="H29" s="13">
        <f t="shared" si="8"/>
        <v>93</v>
      </c>
      <c r="I29" s="13">
        <f t="shared" si="8"/>
        <v>104</v>
      </c>
      <c r="J29" s="13">
        <f t="shared" si="8"/>
        <v>112</v>
      </c>
      <c r="K29" s="13">
        <f t="shared" si="8"/>
        <v>115</v>
      </c>
      <c r="L29" s="13">
        <f t="shared" si="8"/>
        <v>114</v>
      </c>
      <c r="M29" s="13">
        <f t="shared" si="8"/>
        <v>118</v>
      </c>
      <c r="N29" s="13">
        <f t="shared" si="8"/>
        <v>120</v>
      </c>
      <c r="O29" s="13">
        <f t="shared" si="8"/>
        <v>90</v>
      </c>
      <c r="P29" s="13">
        <f t="shared" si="8"/>
        <v>117</v>
      </c>
      <c r="Q29" s="13">
        <f t="shared" si="8"/>
        <v>93</v>
      </c>
      <c r="R29" s="13">
        <f t="shared" si="8"/>
        <v>86</v>
      </c>
      <c r="S29" s="13">
        <f t="shared" si="8"/>
        <v>108</v>
      </c>
      <c r="T29" s="13">
        <f t="shared" si="8"/>
        <v>105</v>
      </c>
      <c r="U29" s="13">
        <f t="shared" si="8"/>
        <v>112</v>
      </c>
      <c r="V29" s="13">
        <f t="shared" si="8"/>
        <v>88</v>
      </c>
      <c r="W29" s="13">
        <f t="shared" si="8"/>
        <v>111</v>
      </c>
      <c r="X29" s="13">
        <f t="shared" si="8"/>
        <v>109</v>
      </c>
      <c r="Y29" s="13">
        <f t="shared" si="8"/>
        <v>104</v>
      </c>
      <c r="Z29" s="13">
        <f t="shared" si="8"/>
        <v>126</v>
      </c>
      <c r="AA29" s="13">
        <f t="shared" si="8"/>
        <v>100</v>
      </c>
      <c r="AB29" s="13">
        <f t="shared" si="8"/>
        <v>78</v>
      </c>
      <c r="AC29" s="13">
        <f t="shared" si="8"/>
        <v>92</v>
      </c>
      <c r="AD29" s="13">
        <f t="shared" si="8"/>
        <v>112</v>
      </c>
      <c r="AE29" s="13">
        <f t="shared" si="3"/>
        <v>2715</v>
      </c>
    </row>
    <row r="30" ht="12.75" customHeight="1">
      <c r="A30" s="36"/>
      <c r="B30" s="28"/>
      <c r="C30" s="37"/>
      <c r="D30" s="13" t="s">
        <v>14</v>
      </c>
      <c r="E30" s="13">
        <f t="shared" ref="E30:AD30" si="9">SUM(E28:E29)</f>
        <v>207</v>
      </c>
      <c r="F30" s="13">
        <f t="shared" si="9"/>
        <v>200</v>
      </c>
      <c r="G30" s="13">
        <f t="shared" si="9"/>
        <v>201</v>
      </c>
      <c r="H30" s="13">
        <f t="shared" si="9"/>
        <v>184</v>
      </c>
      <c r="I30" s="13">
        <f t="shared" si="9"/>
        <v>210</v>
      </c>
      <c r="J30" s="13">
        <f t="shared" si="9"/>
        <v>230</v>
      </c>
      <c r="K30" s="13">
        <f t="shared" si="9"/>
        <v>224</v>
      </c>
      <c r="L30" s="13">
        <f t="shared" si="9"/>
        <v>229</v>
      </c>
      <c r="M30" s="13">
        <f t="shared" si="9"/>
        <v>223</v>
      </c>
      <c r="N30" s="13">
        <f t="shared" si="9"/>
        <v>229</v>
      </c>
      <c r="O30" s="13">
        <f t="shared" si="9"/>
        <v>177</v>
      </c>
      <c r="P30" s="13">
        <f t="shared" si="9"/>
        <v>215</v>
      </c>
      <c r="Q30" s="13">
        <f t="shared" si="9"/>
        <v>183</v>
      </c>
      <c r="R30" s="13">
        <f t="shared" si="9"/>
        <v>155</v>
      </c>
      <c r="S30" s="13">
        <f t="shared" si="9"/>
        <v>221</v>
      </c>
      <c r="T30" s="13">
        <f t="shared" si="9"/>
        <v>194</v>
      </c>
      <c r="U30" s="13">
        <f t="shared" si="9"/>
        <v>199</v>
      </c>
      <c r="V30" s="13">
        <f t="shared" si="9"/>
        <v>185</v>
      </c>
      <c r="W30" s="13">
        <f t="shared" si="9"/>
        <v>225</v>
      </c>
      <c r="X30" s="13">
        <f t="shared" si="9"/>
        <v>210</v>
      </c>
      <c r="Y30" s="13">
        <f t="shared" si="9"/>
        <v>191</v>
      </c>
      <c r="Z30" s="13">
        <f t="shared" si="9"/>
        <v>223</v>
      </c>
      <c r="AA30" s="13">
        <f t="shared" si="9"/>
        <v>177</v>
      </c>
      <c r="AB30" s="13">
        <f t="shared" si="9"/>
        <v>154</v>
      </c>
      <c r="AC30" s="13">
        <f t="shared" si="9"/>
        <v>172</v>
      </c>
      <c r="AD30" s="13">
        <f t="shared" si="9"/>
        <v>207</v>
      </c>
      <c r="AE30" s="13">
        <f t="shared" si="3"/>
        <v>5225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3"/>
      <c r="O31" s="19"/>
      <c r="P31" s="19"/>
      <c r="Q31" s="19"/>
      <c r="R31" s="19"/>
      <c r="S31" s="63"/>
      <c r="T31" s="19"/>
      <c r="U31" s="19"/>
      <c r="V31" s="19"/>
      <c r="W31" s="19"/>
      <c r="X31" s="63"/>
      <c r="Y31" s="19"/>
      <c r="Z31" s="19"/>
      <c r="AA31" s="19"/>
      <c r="AB31" s="19"/>
      <c r="AC31" s="63"/>
      <c r="AD31" s="19"/>
      <c r="AE31" s="64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5"/>
      <c r="O32" s="13"/>
      <c r="P32" s="13"/>
      <c r="Q32" s="13"/>
      <c r="R32" s="13"/>
      <c r="S32" s="65"/>
      <c r="T32" s="13"/>
      <c r="U32" s="13"/>
      <c r="V32" s="13"/>
      <c r="W32" s="13"/>
      <c r="X32" s="65"/>
      <c r="Y32" s="13"/>
      <c r="Z32" s="13"/>
      <c r="AA32" s="13"/>
      <c r="AB32" s="13"/>
      <c r="AC32" s="65"/>
      <c r="AD32" s="13"/>
      <c r="AE32" s="64"/>
    </row>
    <row r="33" ht="12.75" customHeight="1">
      <c r="A33" s="19">
        <v>1.0</v>
      </c>
      <c r="B33" s="20" t="s">
        <v>27</v>
      </c>
      <c r="C33" s="15"/>
      <c r="D33" s="16"/>
      <c r="E33" s="19">
        <v>265.0</v>
      </c>
      <c r="F33" s="19">
        <v>249.0</v>
      </c>
      <c r="G33" s="19">
        <v>259.0</v>
      </c>
      <c r="H33" s="19">
        <v>231.0</v>
      </c>
      <c r="I33" s="19">
        <v>295.0</v>
      </c>
      <c r="J33" s="19">
        <v>307.0</v>
      </c>
      <c r="K33" s="19">
        <v>299.0</v>
      </c>
      <c r="L33" s="19">
        <v>302.0</v>
      </c>
      <c r="M33" s="19">
        <v>294.0</v>
      </c>
      <c r="N33" s="19">
        <v>303.0</v>
      </c>
      <c r="O33" s="19">
        <v>243.0</v>
      </c>
      <c r="P33" s="19">
        <v>259.0</v>
      </c>
      <c r="Q33" s="19">
        <v>244.0</v>
      </c>
      <c r="R33" s="19">
        <v>202.0</v>
      </c>
      <c r="S33" s="19">
        <v>280.0</v>
      </c>
      <c r="T33" s="19">
        <v>256.0</v>
      </c>
      <c r="U33" s="19">
        <v>279.0</v>
      </c>
      <c r="V33" s="19">
        <v>218.0</v>
      </c>
      <c r="W33" s="19">
        <v>290.0</v>
      </c>
      <c r="X33" s="19">
        <v>285.0</v>
      </c>
      <c r="Y33" s="19">
        <v>250.0</v>
      </c>
      <c r="Z33" s="19">
        <v>297.0</v>
      </c>
      <c r="AA33" s="19">
        <v>228.0</v>
      </c>
      <c r="AB33" s="19">
        <v>226.0</v>
      </c>
      <c r="AC33" s="19">
        <v>261.0</v>
      </c>
      <c r="AD33" s="19">
        <v>293.0</v>
      </c>
      <c r="AE33" s="13">
        <f t="shared" ref="AE33:AE36" si="10">SUM(E33:AD33)</f>
        <v>6915</v>
      </c>
    </row>
    <row r="34" ht="12.75" customHeight="1">
      <c r="A34" s="19">
        <v>2.0</v>
      </c>
      <c r="B34" s="20" t="s">
        <v>28</v>
      </c>
      <c r="C34" s="15"/>
      <c r="D34" s="16"/>
      <c r="E34" s="13">
        <v>207.0</v>
      </c>
      <c r="F34" s="13">
        <v>200.0</v>
      </c>
      <c r="G34" s="13">
        <v>201.0</v>
      </c>
      <c r="H34" s="13">
        <v>184.0</v>
      </c>
      <c r="I34" s="13">
        <v>210.0</v>
      </c>
      <c r="J34" s="13">
        <v>230.0</v>
      </c>
      <c r="K34" s="13">
        <v>224.0</v>
      </c>
      <c r="L34" s="13">
        <v>229.0</v>
      </c>
      <c r="M34" s="13">
        <v>223.0</v>
      </c>
      <c r="N34" s="13">
        <v>229.0</v>
      </c>
      <c r="O34" s="13">
        <v>177.0</v>
      </c>
      <c r="P34" s="13">
        <v>215.0</v>
      </c>
      <c r="Q34" s="13">
        <v>183.0</v>
      </c>
      <c r="R34" s="13">
        <v>155.0</v>
      </c>
      <c r="S34" s="13">
        <v>221.0</v>
      </c>
      <c r="T34" s="13">
        <v>194.0</v>
      </c>
      <c r="U34" s="13">
        <v>199.0</v>
      </c>
      <c r="V34" s="13">
        <v>185.0</v>
      </c>
      <c r="W34" s="13">
        <v>225.0</v>
      </c>
      <c r="X34" s="13">
        <v>210.0</v>
      </c>
      <c r="Y34" s="13">
        <v>191.0</v>
      </c>
      <c r="Z34" s="13">
        <v>223.0</v>
      </c>
      <c r="AA34" s="13">
        <v>177.0</v>
      </c>
      <c r="AB34" s="13">
        <v>154.0</v>
      </c>
      <c r="AC34" s="13">
        <v>172.0</v>
      </c>
      <c r="AD34" s="13">
        <v>207.0</v>
      </c>
      <c r="AE34" s="13">
        <f t="shared" si="10"/>
        <v>5225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/>
      <c r="G35" s="19"/>
      <c r="H35" s="19"/>
      <c r="I35" s="19"/>
      <c r="J35" s="19"/>
      <c r="K35" s="19"/>
      <c r="L35" s="19">
        <v>1.0</v>
      </c>
      <c r="M35" s="19"/>
      <c r="N35" s="19"/>
      <c r="O35" s="19">
        <v>2.0</v>
      </c>
      <c r="P35" s="19">
        <v>1.0</v>
      </c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D36" si="11">E33-(E34+E35)</f>
        <v>57</v>
      </c>
      <c r="F36" s="13">
        <f t="shared" si="11"/>
        <v>49</v>
      </c>
      <c r="G36" s="13">
        <f t="shared" si="11"/>
        <v>58</v>
      </c>
      <c r="H36" s="13">
        <f t="shared" si="11"/>
        <v>47</v>
      </c>
      <c r="I36" s="13">
        <f t="shared" si="11"/>
        <v>85</v>
      </c>
      <c r="J36" s="13">
        <f t="shared" si="11"/>
        <v>77</v>
      </c>
      <c r="K36" s="13">
        <f t="shared" si="11"/>
        <v>75</v>
      </c>
      <c r="L36" s="13">
        <f t="shared" si="11"/>
        <v>72</v>
      </c>
      <c r="M36" s="13">
        <f t="shared" si="11"/>
        <v>71</v>
      </c>
      <c r="N36" s="13">
        <f t="shared" si="11"/>
        <v>74</v>
      </c>
      <c r="O36" s="13">
        <f t="shared" si="11"/>
        <v>64</v>
      </c>
      <c r="P36" s="13">
        <f t="shared" si="11"/>
        <v>43</v>
      </c>
      <c r="Q36" s="13">
        <f t="shared" si="11"/>
        <v>61</v>
      </c>
      <c r="R36" s="13">
        <f t="shared" si="11"/>
        <v>47</v>
      </c>
      <c r="S36" s="13">
        <f t="shared" si="11"/>
        <v>59</v>
      </c>
      <c r="T36" s="13">
        <f t="shared" si="11"/>
        <v>62</v>
      </c>
      <c r="U36" s="13">
        <f t="shared" si="11"/>
        <v>80</v>
      </c>
      <c r="V36" s="13">
        <f t="shared" si="11"/>
        <v>33</v>
      </c>
      <c r="W36" s="13">
        <f t="shared" si="11"/>
        <v>65</v>
      </c>
      <c r="X36" s="13">
        <f t="shared" si="11"/>
        <v>75</v>
      </c>
      <c r="Y36" s="13">
        <f t="shared" si="11"/>
        <v>59</v>
      </c>
      <c r="Z36" s="13">
        <f t="shared" si="11"/>
        <v>74</v>
      </c>
      <c r="AA36" s="13">
        <f t="shared" si="11"/>
        <v>51</v>
      </c>
      <c r="AB36" s="13">
        <f t="shared" si="11"/>
        <v>72</v>
      </c>
      <c r="AC36" s="13">
        <f t="shared" si="11"/>
        <v>89</v>
      </c>
      <c r="AD36" s="13">
        <f t="shared" si="11"/>
        <v>86</v>
      </c>
      <c r="AE36" s="13">
        <f t="shared" si="10"/>
        <v>1685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3"/>
      <c r="O37" s="19"/>
      <c r="P37" s="19"/>
      <c r="Q37" s="19"/>
      <c r="R37" s="19"/>
      <c r="S37" s="63"/>
      <c r="T37" s="19"/>
      <c r="U37" s="19"/>
      <c r="V37" s="19"/>
      <c r="W37" s="19"/>
      <c r="X37" s="63"/>
      <c r="Y37" s="19"/>
      <c r="Z37" s="19"/>
      <c r="AA37" s="19"/>
      <c r="AB37" s="19"/>
      <c r="AC37" s="63"/>
      <c r="AD37" s="19"/>
      <c r="AE37" s="64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5"/>
      <c r="O38" s="13"/>
      <c r="P38" s="13"/>
      <c r="Q38" s="13"/>
      <c r="R38" s="13"/>
      <c r="S38" s="65"/>
      <c r="T38" s="13"/>
      <c r="U38" s="13"/>
      <c r="V38" s="13"/>
      <c r="W38" s="13"/>
      <c r="X38" s="65"/>
      <c r="Y38" s="13"/>
      <c r="Z38" s="13"/>
      <c r="AA38" s="13"/>
      <c r="AB38" s="13"/>
      <c r="AC38" s="65"/>
      <c r="AD38" s="13"/>
      <c r="AE38" s="64"/>
    </row>
    <row r="39" ht="12.75" customHeight="1">
      <c r="A39" s="31"/>
      <c r="B39" s="45" t="s">
        <v>33</v>
      </c>
      <c r="C39" s="23"/>
      <c r="D39" s="19" t="s">
        <v>12</v>
      </c>
      <c r="E39" s="19">
        <v>2.0</v>
      </c>
      <c r="F39" s="19"/>
      <c r="G39" s="19"/>
      <c r="H39" s="19"/>
      <c r="I39" s="19"/>
      <c r="J39" s="19">
        <v>1.0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>
        <v>1.0</v>
      </c>
      <c r="V39" s="19">
        <v>1.0</v>
      </c>
      <c r="W39" s="19"/>
      <c r="X39" s="19"/>
      <c r="Y39" s="19">
        <v>1.0</v>
      </c>
      <c r="Z39" s="19"/>
      <c r="AA39" s="19">
        <v>3.0</v>
      </c>
      <c r="AB39" s="19">
        <v>1.0</v>
      </c>
      <c r="AC39" s="19"/>
      <c r="AD39" s="19"/>
      <c r="AE39" s="13">
        <f t="shared" ref="AE39:AE41" si="12">SUM(E39:AD39)</f>
        <v>10</v>
      </c>
    </row>
    <row r="40" ht="12.75" customHeight="1">
      <c r="A40" s="34"/>
      <c r="C40" s="27"/>
      <c r="D40" s="19" t="s">
        <v>13</v>
      </c>
      <c r="E40" s="19">
        <v>2.0</v>
      </c>
      <c r="F40" s="19"/>
      <c r="G40" s="19"/>
      <c r="H40" s="19"/>
      <c r="I40" s="19">
        <v>1.0</v>
      </c>
      <c r="J40" s="19"/>
      <c r="K40" s="19"/>
      <c r="L40" s="19"/>
      <c r="M40" s="19"/>
      <c r="N40" s="19"/>
      <c r="O40" s="19"/>
      <c r="P40" s="19"/>
      <c r="Q40" s="19"/>
      <c r="R40" s="19">
        <v>2.0</v>
      </c>
      <c r="S40" s="19"/>
      <c r="T40" s="19"/>
      <c r="U40" s="19"/>
      <c r="V40" s="19"/>
      <c r="W40" s="19">
        <v>2.0</v>
      </c>
      <c r="X40" s="19"/>
      <c r="Y40" s="19">
        <v>1.0</v>
      </c>
      <c r="Z40" s="19">
        <v>1.0</v>
      </c>
      <c r="AA40" s="19">
        <v>2.0</v>
      </c>
      <c r="AB40" s="19">
        <v>3.0</v>
      </c>
      <c r="AC40" s="19"/>
      <c r="AD40" s="19"/>
      <c r="AE40" s="13">
        <f t="shared" si="12"/>
        <v>14</v>
      </c>
    </row>
    <row r="41" ht="12.75" customHeight="1">
      <c r="A41" s="43"/>
      <c r="B41" s="46"/>
      <c r="C41" s="28"/>
      <c r="D41" s="13" t="s">
        <v>14</v>
      </c>
      <c r="E41" s="13">
        <f t="shared" ref="E41:AD41" si="13">SUM(E39:E40)</f>
        <v>4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1</v>
      </c>
      <c r="W41" s="13">
        <f t="shared" si="13"/>
        <v>2</v>
      </c>
      <c r="X41" s="13">
        <f t="shared" si="13"/>
        <v>0</v>
      </c>
      <c r="Y41" s="13">
        <f t="shared" si="13"/>
        <v>2</v>
      </c>
      <c r="Z41" s="13">
        <f t="shared" si="13"/>
        <v>1</v>
      </c>
      <c r="AA41" s="13">
        <f t="shared" si="13"/>
        <v>5</v>
      </c>
      <c r="AB41" s="13">
        <f t="shared" si="13"/>
        <v>4</v>
      </c>
      <c r="AC41" s="13">
        <f t="shared" si="13"/>
        <v>0</v>
      </c>
      <c r="AD41" s="13">
        <f t="shared" si="13"/>
        <v>0</v>
      </c>
      <c r="AE41" s="13">
        <f t="shared" si="12"/>
        <v>24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3"/>
      <c r="O42" s="19"/>
      <c r="P42" s="19"/>
      <c r="Q42" s="19"/>
      <c r="R42" s="19"/>
      <c r="S42" s="63"/>
      <c r="T42" s="19"/>
      <c r="U42" s="19"/>
      <c r="V42" s="19"/>
      <c r="W42" s="19"/>
      <c r="X42" s="63"/>
      <c r="Y42" s="19"/>
      <c r="Z42" s="19"/>
      <c r="AA42" s="19"/>
      <c r="AB42" s="19"/>
      <c r="AC42" s="63"/>
      <c r="AD42" s="19"/>
      <c r="AE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5"/>
      <c r="O43" s="13"/>
      <c r="P43" s="13"/>
      <c r="Q43" s="13"/>
      <c r="R43" s="13"/>
      <c r="S43" s="65"/>
      <c r="T43" s="13"/>
      <c r="U43" s="13"/>
      <c r="V43" s="13"/>
      <c r="W43" s="13"/>
      <c r="X43" s="65"/>
      <c r="Y43" s="13"/>
      <c r="Z43" s="13"/>
      <c r="AA43" s="13"/>
      <c r="AB43" s="13"/>
      <c r="AC43" s="65"/>
      <c r="AD43" s="13"/>
      <c r="AE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3"/>
      <c r="O44" s="19"/>
      <c r="P44" s="19"/>
      <c r="Q44" s="19"/>
      <c r="R44" s="19"/>
      <c r="S44" s="63"/>
      <c r="T44" s="19"/>
      <c r="U44" s="19"/>
      <c r="V44" s="19"/>
      <c r="W44" s="19"/>
      <c r="X44" s="63"/>
      <c r="Y44" s="19"/>
      <c r="Z44" s="19"/>
      <c r="AA44" s="19"/>
      <c r="AB44" s="19"/>
      <c r="AC44" s="63"/>
      <c r="AD44" s="19"/>
      <c r="AE44" s="13"/>
    </row>
    <row r="45" ht="12.75" customHeight="1">
      <c r="A45" s="66"/>
      <c r="B45" s="49">
        <v>1.0</v>
      </c>
      <c r="C45" s="50" t="s">
        <v>37</v>
      </c>
      <c r="D45" s="16"/>
      <c r="E45" s="19">
        <v>12.0</v>
      </c>
      <c r="F45" s="19">
        <v>25.0</v>
      </c>
      <c r="G45" s="19">
        <v>29.0</v>
      </c>
      <c r="H45" s="19">
        <v>5.0</v>
      </c>
      <c r="I45" s="19">
        <v>13.0</v>
      </c>
      <c r="J45" s="19">
        <v>16.0</v>
      </c>
      <c r="K45" s="19">
        <v>9.0</v>
      </c>
      <c r="L45" s="19">
        <v>11.0</v>
      </c>
      <c r="M45" s="19">
        <v>13.0</v>
      </c>
      <c r="N45" s="19">
        <v>13.0</v>
      </c>
      <c r="O45" s="19">
        <v>10.0</v>
      </c>
      <c r="P45" s="19">
        <v>19.0</v>
      </c>
      <c r="Q45" s="19">
        <v>18.0</v>
      </c>
      <c r="R45" s="19">
        <v>10.0</v>
      </c>
      <c r="S45" s="19">
        <v>29.0</v>
      </c>
      <c r="T45" s="19">
        <v>25.0</v>
      </c>
      <c r="U45" s="19">
        <v>15.0</v>
      </c>
      <c r="V45" s="19">
        <v>9.0</v>
      </c>
      <c r="W45" s="19">
        <v>25.0</v>
      </c>
      <c r="X45" s="19">
        <v>14.0</v>
      </c>
      <c r="Y45" s="19">
        <v>24.0</v>
      </c>
      <c r="Z45" s="19">
        <v>26.0</v>
      </c>
      <c r="AA45" s="19">
        <v>19.0</v>
      </c>
      <c r="AB45" s="19">
        <v>6.0</v>
      </c>
      <c r="AC45" s="19">
        <v>16.0</v>
      </c>
      <c r="AD45" s="19">
        <v>37.0</v>
      </c>
      <c r="AE45" s="13">
        <f t="shared" ref="AE45:AE47" si="14">SUM(E45:AD45)</f>
        <v>448</v>
      </c>
    </row>
    <row r="46" ht="12.75" customHeight="1">
      <c r="A46" s="18"/>
      <c r="B46" s="49">
        <v>2.0</v>
      </c>
      <c r="C46" s="50" t="s">
        <v>38</v>
      </c>
      <c r="D46" s="16"/>
      <c r="E46" s="19">
        <v>143.0</v>
      </c>
      <c r="F46" s="19">
        <v>139.0</v>
      </c>
      <c r="G46" s="19">
        <v>145.0</v>
      </c>
      <c r="H46" s="19">
        <v>147.0</v>
      </c>
      <c r="I46" s="19">
        <v>160.0</v>
      </c>
      <c r="J46" s="19">
        <v>175.0</v>
      </c>
      <c r="K46" s="19">
        <v>155.0</v>
      </c>
      <c r="L46" s="19">
        <v>162.0</v>
      </c>
      <c r="M46" s="19">
        <v>175.0</v>
      </c>
      <c r="N46" s="19">
        <v>169.0</v>
      </c>
      <c r="O46" s="19">
        <v>143.0</v>
      </c>
      <c r="P46" s="19">
        <v>160.0</v>
      </c>
      <c r="Q46" s="19">
        <v>141.0</v>
      </c>
      <c r="R46" s="19">
        <v>119.0</v>
      </c>
      <c r="S46" s="19">
        <v>162.0</v>
      </c>
      <c r="T46" s="19">
        <v>144.0</v>
      </c>
      <c r="U46" s="19">
        <v>136.0</v>
      </c>
      <c r="V46" s="19">
        <v>82.0</v>
      </c>
      <c r="W46" s="19">
        <v>143.0</v>
      </c>
      <c r="X46" s="19">
        <v>135.0</v>
      </c>
      <c r="Y46" s="19">
        <v>142.0</v>
      </c>
      <c r="Z46" s="19">
        <v>171.0</v>
      </c>
      <c r="AA46" s="19">
        <v>113.0</v>
      </c>
      <c r="AB46" s="19">
        <v>94.0</v>
      </c>
      <c r="AC46" s="19">
        <v>141.0</v>
      </c>
      <c r="AD46" s="19">
        <v>145.0</v>
      </c>
      <c r="AE46" s="13">
        <f t="shared" si="14"/>
        <v>3741</v>
      </c>
    </row>
    <row r="47" ht="12.75" customHeight="1">
      <c r="A47" s="47"/>
      <c r="B47" s="49">
        <v>3.0</v>
      </c>
      <c r="C47" s="50" t="s">
        <v>39</v>
      </c>
      <c r="D47" s="16"/>
      <c r="E47" s="19">
        <v>47.0</v>
      </c>
      <c r="F47" s="19">
        <v>32.0</v>
      </c>
      <c r="G47" s="19">
        <v>24.0</v>
      </c>
      <c r="H47" s="19">
        <v>29.0</v>
      </c>
      <c r="I47" s="19">
        <v>32.0</v>
      </c>
      <c r="J47" s="19">
        <v>33.0</v>
      </c>
      <c r="K47" s="19">
        <v>48.0</v>
      </c>
      <c r="L47" s="19">
        <v>49.0</v>
      </c>
      <c r="M47" s="19">
        <v>32.0</v>
      </c>
      <c r="N47" s="19">
        <v>45.0</v>
      </c>
      <c r="O47" s="19">
        <v>23.0</v>
      </c>
      <c r="P47" s="19">
        <v>31.0</v>
      </c>
      <c r="Q47" s="19">
        <v>22.0</v>
      </c>
      <c r="R47" s="19">
        <v>25.0</v>
      </c>
      <c r="S47" s="19">
        <v>25.0</v>
      </c>
      <c r="T47" s="19">
        <v>23.0</v>
      </c>
      <c r="U47" s="19">
        <v>44.0</v>
      </c>
      <c r="V47" s="19">
        <v>89.0</v>
      </c>
      <c r="W47" s="19">
        <v>53.0</v>
      </c>
      <c r="X47" s="19">
        <v>58.0</v>
      </c>
      <c r="Y47" s="19">
        <v>22.0</v>
      </c>
      <c r="Z47" s="19">
        <v>26.0</v>
      </c>
      <c r="AA47" s="19">
        <v>43.0</v>
      </c>
      <c r="AB47" s="19">
        <v>54.0</v>
      </c>
      <c r="AC47" s="19">
        <v>12.0</v>
      </c>
      <c r="AD47" s="19">
        <v>21.0</v>
      </c>
      <c r="AE47" s="13">
        <f t="shared" si="14"/>
        <v>942</v>
      </c>
    </row>
    <row r="48" ht="12.75" customHeight="1">
      <c r="AE48" s="13"/>
    </row>
    <row r="49" ht="12.75" customHeight="1">
      <c r="A49" s="44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AD50" si="15">SUM(E45:E47)</f>
        <v>202</v>
      </c>
      <c r="F50" s="19">
        <f t="shared" si="15"/>
        <v>196</v>
      </c>
      <c r="G50" s="19">
        <f t="shared" si="15"/>
        <v>198</v>
      </c>
      <c r="H50" s="19">
        <f t="shared" si="15"/>
        <v>181</v>
      </c>
      <c r="I50" s="19">
        <f t="shared" si="15"/>
        <v>205</v>
      </c>
      <c r="J50" s="19">
        <f t="shared" si="15"/>
        <v>224</v>
      </c>
      <c r="K50" s="19">
        <f t="shared" si="15"/>
        <v>212</v>
      </c>
      <c r="L50" s="19">
        <f t="shared" si="15"/>
        <v>222</v>
      </c>
      <c r="M50" s="19">
        <f t="shared" si="15"/>
        <v>220</v>
      </c>
      <c r="N50" s="19">
        <f t="shared" si="15"/>
        <v>227</v>
      </c>
      <c r="O50" s="19">
        <f t="shared" si="15"/>
        <v>176</v>
      </c>
      <c r="P50" s="19">
        <f t="shared" si="15"/>
        <v>210</v>
      </c>
      <c r="Q50" s="19">
        <f t="shared" si="15"/>
        <v>181</v>
      </c>
      <c r="R50" s="19">
        <f t="shared" si="15"/>
        <v>154</v>
      </c>
      <c r="S50" s="19">
        <f t="shared" si="15"/>
        <v>216</v>
      </c>
      <c r="T50" s="19">
        <f t="shared" si="15"/>
        <v>192</v>
      </c>
      <c r="U50" s="19">
        <f t="shared" si="15"/>
        <v>195</v>
      </c>
      <c r="V50" s="19">
        <f t="shared" si="15"/>
        <v>180</v>
      </c>
      <c r="W50" s="19">
        <f t="shared" si="15"/>
        <v>221</v>
      </c>
      <c r="X50" s="19">
        <f t="shared" si="15"/>
        <v>207</v>
      </c>
      <c r="Y50" s="19">
        <f t="shared" si="15"/>
        <v>188</v>
      </c>
      <c r="Z50" s="19">
        <f t="shared" si="15"/>
        <v>223</v>
      </c>
      <c r="AA50" s="19">
        <f t="shared" si="15"/>
        <v>175</v>
      </c>
      <c r="AB50" s="19">
        <f t="shared" si="15"/>
        <v>154</v>
      </c>
      <c r="AC50" s="19">
        <f t="shared" si="15"/>
        <v>169</v>
      </c>
      <c r="AD50" s="19">
        <f t="shared" si="15"/>
        <v>203</v>
      </c>
      <c r="AE50" s="13">
        <f t="shared" ref="AE50:AE52" si="16">SUM(E50:AD50)</f>
        <v>5131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5.0</v>
      </c>
      <c r="F51" s="19">
        <v>4.0</v>
      </c>
      <c r="G51" s="19">
        <v>3.0</v>
      </c>
      <c r="H51" s="19">
        <v>3.0</v>
      </c>
      <c r="I51" s="19">
        <v>5.0</v>
      </c>
      <c r="J51" s="19">
        <v>6.0</v>
      </c>
      <c r="K51" s="19">
        <v>12.0</v>
      </c>
      <c r="L51" s="19">
        <v>7.0</v>
      </c>
      <c r="M51" s="19">
        <v>3.0</v>
      </c>
      <c r="N51" s="19">
        <v>2.0</v>
      </c>
      <c r="O51" s="19">
        <v>1.0</v>
      </c>
      <c r="P51" s="19">
        <v>5.0</v>
      </c>
      <c r="Q51" s="19">
        <v>2.0</v>
      </c>
      <c r="R51" s="19">
        <v>1.0</v>
      </c>
      <c r="S51" s="19">
        <v>5.0</v>
      </c>
      <c r="T51" s="19">
        <v>2.0</v>
      </c>
      <c r="U51" s="19">
        <v>4.0</v>
      </c>
      <c r="V51" s="19">
        <v>5.0</v>
      </c>
      <c r="W51" s="19">
        <v>4.0</v>
      </c>
      <c r="X51" s="19">
        <v>3.0</v>
      </c>
      <c r="Y51" s="19">
        <v>3.0</v>
      </c>
      <c r="Z51" s="19"/>
      <c r="AA51" s="19">
        <v>2.0</v>
      </c>
      <c r="AB51" s="19"/>
      <c r="AC51" s="19">
        <v>3.0</v>
      </c>
      <c r="AD51" s="19">
        <v>4.0</v>
      </c>
      <c r="AE51" s="13">
        <f t="shared" si="16"/>
        <v>94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AD52" si="17">SUM(E50:E51)</f>
        <v>207</v>
      </c>
      <c r="F52" s="13">
        <f t="shared" si="17"/>
        <v>200</v>
      </c>
      <c r="G52" s="13">
        <f t="shared" si="17"/>
        <v>201</v>
      </c>
      <c r="H52" s="13">
        <f t="shared" si="17"/>
        <v>184</v>
      </c>
      <c r="I52" s="13">
        <f t="shared" si="17"/>
        <v>210</v>
      </c>
      <c r="J52" s="13">
        <f t="shared" si="17"/>
        <v>230</v>
      </c>
      <c r="K52" s="13">
        <f t="shared" si="17"/>
        <v>224</v>
      </c>
      <c r="L52" s="13">
        <f t="shared" si="17"/>
        <v>229</v>
      </c>
      <c r="M52" s="13">
        <f t="shared" si="17"/>
        <v>223</v>
      </c>
      <c r="N52" s="13">
        <f t="shared" si="17"/>
        <v>229</v>
      </c>
      <c r="O52" s="13">
        <f t="shared" si="17"/>
        <v>177</v>
      </c>
      <c r="P52" s="13">
        <f t="shared" si="17"/>
        <v>215</v>
      </c>
      <c r="Q52" s="13">
        <f t="shared" si="17"/>
        <v>183</v>
      </c>
      <c r="R52" s="13">
        <f t="shared" si="17"/>
        <v>155</v>
      </c>
      <c r="S52" s="13">
        <f t="shared" si="17"/>
        <v>221</v>
      </c>
      <c r="T52" s="13">
        <f t="shared" si="17"/>
        <v>194</v>
      </c>
      <c r="U52" s="13">
        <f t="shared" si="17"/>
        <v>199</v>
      </c>
      <c r="V52" s="13">
        <f t="shared" si="17"/>
        <v>185</v>
      </c>
      <c r="W52" s="13">
        <f t="shared" si="17"/>
        <v>225</v>
      </c>
      <c r="X52" s="13">
        <f t="shared" si="17"/>
        <v>210</v>
      </c>
      <c r="Y52" s="13">
        <f t="shared" si="17"/>
        <v>191</v>
      </c>
      <c r="Z52" s="13">
        <f t="shared" si="17"/>
        <v>223</v>
      </c>
      <c r="AA52" s="13">
        <f t="shared" si="17"/>
        <v>177</v>
      </c>
      <c r="AB52" s="13">
        <f t="shared" si="17"/>
        <v>154</v>
      </c>
      <c r="AC52" s="13">
        <f t="shared" si="17"/>
        <v>172</v>
      </c>
      <c r="AD52" s="13">
        <f t="shared" si="17"/>
        <v>207</v>
      </c>
      <c r="AE52" s="13">
        <f t="shared" si="16"/>
        <v>5225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G117" s="5"/>
    </row>
    <row r="118" ht="12.75" customHeight="1">
      <c r="AG118" s="5"/>
    </row>
    <row r="119" ht="12.75" customHeight="1">
      <c r="AG119" s="5"/>
    </row>
    <row r="120" ht="12.75" customHeight="1">
      <c r="AG120" s="5"/>
    </row>
    <row r="121" ht="12.75" customHeight="1">
      <c r="AG121" s="5"/>
    </row>
    <row r="122" ht="12.75" customHeight="1">
      <c r="AG122" s="5"/>
    </row>
    <row r="123" ht="12.75" customHeight="1">
      <c r="AG123" s="5"/>
    </row>
    <row r="124" ht="12.75" customHeight="1">
      <c r="AG124" s="5"/>
    </row>
    <row r="125" ht="12.75" customHeight="1">
      <c r="AG125" s="5"/>
    </row>
    <row r="126" ht="12.75" customHeight="1">
      <c r="AG126" s="5"/>
    </row>
    <row r="127" ht="12.75" customHeight="1">
      <c r="AG127" s="5"/>
    </row>
    <row r="128" ht="12.75" customHeight="1">
      <c r="AG128" s="5"/>
    </row>
    <row r="129" ht="12.75" customHeight="1">
      <c r="AG129" s="5"/>
    </row>
    <row r="130" ht="12.75" customHeight="1">
      <c r="AG130" s="1"/>
    </row>
    <row r="131" ht="12.75" customHeight="1">
      <c r="AG131" s="52"/>
    </row>
    <row r="132" ht="12.75" customHeight="1">
      <c r="AG132" s="5"/>
    </row>
    <row r="133" ht="12.75" customHeight="1">
      <c r="AG133" s="5"/>
    </row>
    <row r="134" ht="12.75" customHeight="1">
      <c r="AG134" s="5"/>
    </row>
    <row r="135" ht="12.75" customHeight="1">
      <c r="AG135" s="5"/>
    </row>
    <row r="136" ht="12.75" customHeight="1">
      <c r="AG136" s="5"/>
    </row>
    <row r="137" ht="12.75" customHeight="1">
      <c r="AG137" s="5"/>
    </row>
    <row r="138" ht="12.75" customHeight="1">
      <c r="AG138" s="5"/>
    </row>
    <row r="139" ht="12.75" customHeight="1">
      <c r="AG139" s="5"/>
    </row>
    <row r="140" ht="12.75" customHeight="1">
      <c r="AG140" s="5"/>
    </row>
    <row r="141" ht="12.75" customHeight="1">
      <c r="AG141" s="1"/>
    </row>
    <row r="142" ht="12.75" customHeight="1">
      <c r="AG142" s="52"/>
    </row>
    <row r="143" ht="12.75" customHeight="1">
      <c r="AG143" s="5"/>
    </row>
    <row r="144" ht="12.75" customHeight="1">
      <c r="AG144" s="5"/>
    </row>
    <row r="145" ht="12.75" customHeight="1">
      <c r="AG145" s="5"/>
    </row>
    <row r="146" ht="12.75" customHeight="1">
      <c r="AG146" s="5"/>
    </row>
    <row r="147" ht="12.75" customHeight="1">
      <c r="AG147" s="5"/>
    </row>
    <row r="148" ht="12.75" customHeight="1">
      <c r="AG148" s="5"/>
    </row>
    <row r="149" ht="12.75" customHeight="1">
      <c r="AG149" s="5"/>
    </row>
    <row r="150" ht="12.75" customHeight="1">
      <c r="AG150" s="5"/>
    </row>
    <row r="151" ht="12.75" customHeight="1">
      <c r="AG151" s="1"/>
    </row>
    <row r="152" ht="12.75" customHeight="1">
      <c r="AG152" s="52"/>
    </row>
    <row r="153" ht="12.75" customHeight="1">
      <c r="AG153" s="5"/>
    </row>
    <row r="154" ht="12.75" customHeight="1">
      <c r="AG154" s="5"/>
    </row>
    <row r="155" ht="12.75" customHeight="1">
      <c r="AG155" s="5"/>
    </row>
    <row r="156" ht="12.75" customHeight="1">
      <c r="AG156" s="5"/>
    </row>
    <row r="157" ht="12.75" customHeight="1">
      <c r="AG157" s="5"/>
    </row>
    <row r="158" ht="12.75" customHeight="1">
      <c r="AG158" s="5"/>
    </row>
    <row r="159" ht="12.75" customHeight="1">
      <c r="AG159" s="5"/>
    </row>
    <row r="160" ht="12.75" customHeight="1">
      <c r="AG160" s="5"/>
    </row>
    <row r="161" ht="12.75" customHeight="1">
      <c r="AG161" s="5"/>
    </row>
    <row r="162" ht="12.75" customHeight="1">
      <c r="AG162" s="5"/>
    </row>
    <row r="163" ht="12.75" customHeight="1">
      <c r="AG163" s="5"/>
    </row>
    <row r="164" ht="12.75" customHeight="1">
      <c r="AG164" s="5"/>
    </row>
    <row r="165" ht="12.75" customHeight="1">
      <c r="AG165" s="1"/>
    </row>
    <row r="166" ht="12.75" customHeight="1">
      <c r="AG166" s="52"/>
    </row>
    <row r="167" ht="12.75" customHeight="1">
      <c r="AG167" s="5"/>
    </row>
    <row r="168" ht="12.75" customHeight="1">
      <c r="AG168" s="5"/>
    </row>
    <row r="169" ht="12.75" customHeight="1">
      <c r="AG169" s="5"/>
    </row>
    <row r="170" ht="12.75" customHeight="1">
      <c r="AG170" s="5"/>
    </row>
    <row r="171" ht="12.75" customHeight="1">
      <c r="AG171" s="5"/>
    </row>
    <row r="172" ht="12.75" customHeight="1">
      <c r="AG172" s="5"/>
    </row>
    <row r="173" ht="12.75" customHeight="1">
      <c r="AG173" s="5"/>
    </row>
    <row r="174" ht="12.75" customHeight="1">
      <c r="AG174" s="5"/>
    </row>
    <row r="175" ht="12.75" customHeight="1">
      <c r="AG175" s="5"/>
    </row>
    <row r="176" ht="12.75" customHeight="1">
      <c r="AG176" s="1"/>
    </row>
    <row r="177" ht="12.75" customHeight="1"/>
    <row r="178" ht="12.75" customHeight="1">
      <c r="AG178" s="5"/>
    </row>
    <row r="179" ht="12.75" customHeight="1">
      <c r="AG179" s="5"/>
    </row>
    <row r="180" ht="12.75" customHeight="1">
      <c r="AG180" s="5"/>
    </row>
    <row r="181" ht="12.75" customHeight="1">
      <c r="AG181" s="5"/>
    </row>
    <row r="182" ht="12.75" customHeight="1">
      <c r="AG182" s="5"/>
    </row>
    <row r="183" ht="12.75" customHeight="1">
      <c r="AG183" s="5"/>
    </row>
    <row r="184" ht="12.75" customHeight="1">
      <c r="AG184" s="5"/>
    </row>
    <row r="185" ht="12.75" customHeight="1">
      <c r="AG185" s="5"/>
    </row>
    <row r="186" ht="12.75" customHeight="1">
      <c r="AG186" s="5"/>
    </row>
    <row r="187" ht="12.75" customHeight="1">
      <c r="AG187" s="1"/>
    </row>
    <row r="188" ht="12.75" customHeight="1"/>
    <row r="189" ht="12.75" customHeight="1">
      <c r="AG189" s="5"/>
    </row>
    <row r="190" ht="12.75" customHeight="1">
      <c r="AG190" s="5"/>
    </row>
    <row r="191" ht="12.75" customHeight="1">
      <c r="AG191" s="5"/>
    </row>
    <row r="192" ht="12.75" customHeight="1">
      <c r="AG192" s="5"/>
    </row>
    <row r="193" ht="12.75" customHeight="1">
      <c r="AG193" s="5"/>
    </row>
    <row r="194" ht="12.75" customHeight="1">
      <c r="AG194" s="5"/>
    </row>
    <row r="195" ht="12.75" customHeight="1">
      <c r="AG195" s="5"/>
    </row>
    <row r="196" ht="12.75" customHeight="1">
      <c r="AG196" s="1"/>
    </row>
    <row r="197" ht="12.75" customHeight="1">
      <c r="AG197" s="1"/>
    </row>
    <row r="198" ht="12.75" customHeight="1">
      <c r="AG198" s="1"/>
    </row>
    <row r="199" ht="12.75" customHeight="1">
      <c r="AG199" s="52"/>
    </row>
    <row r="200" ht="12.75" customHeight="1">
      <c r="AG200" s="5"/>
    </row>
    <row r="201" ht="12.75" customHeight="1">
      <c r="AG201" s="5"/>
    </row>
    <row r="202" ht="12.75" customHeight="1">
      <c r="AG202" s="5"/>
    </row>
    <row r="203" ht="12.75" customHeight="1">
      <c r="AG203" s="5"/>
    </row>
    <row r="204" ht="12.75" customHeight="1">
      <c r="AG204" s="5"/>
    </row>
    <row r="205" ht="12.75" customHeight="1">
      <c r="AG205" s="5"/>
    </row>
    <row r="206" ht="12.75" customHeight="1">
      <c r="AG206" s="5"/>
    </row>
    <row r="207" ht="12.75" customHeight="1">
      <c r="AG207" s="1"/>
    </row>
    <row r="208" ht="12.75" customHeight="1">
      <c r="AG208" s="52"/>
    </row>
    <row r="209" ht="12.75" customHeight="1">
      <c r="AG209" s="52"/>
    </row>
    <row r="210" ht="12.75" customHeight="1">
      <c r="AG210" s="52"/>
    </row>
    <row r="211" ht="12.75" customHeight="1">
      <c r="AG211" s="5"/>
    </row>
    <row r="212" ht="12.75" customHeight="1">
      <c r="AG212" s="5"/>
    </row>
    <row r="213" ht="12.75" customHeight="1">
      <c r="AG213" s="5"/>
    </row>
    <row r="214" ht="12.75" customHeight="1">
      <c r="AG214" s="5"/>
    </row>
    <row r="215" ht="12.75" customHeight="1">
      <c r="AG215" s="5"/>
    </row>
    <row r="216" ht="12.75" customHeight="1">
      <c r="AG216" s="5"/>
    </row>
    <row r="217" ht="12.75" customHeight="1">
      <c r="AG217" s="5"/>
    </row>
    <row r="218" ht="12.75" customHeight="1">
      <c r="AG218" s="1"/>
    </row>
    <row r="219" ht="12.75" customHeight="1">
      <c r="AG219" s="52"/>
    </row>
    <row r="220" ht="12.75" customHeight="1">
      <c r="AG220" s="5"/>
    </row>
    <row r="221" ht="12.75" customHeight="1">
      <c r="AG221" s="5"/>
    </row>
    <row r="222" ht="12.75" customHeight="1">
      <c r="AG222" s="5"/>
    </row>
    <row r="223" ht="12.75" customHeight="1">
      <c r="AG223" s="5"/>
    </row>
    <row r="224" ht="12.75" customHeight="1">
      <c r="AG224" s="5"/>
    </row>
    <row r="225" ht="12.75" customHeight="1">
      <c r="AG225" s="5"/>
    </row>
    <row r="226" ht="12.75" customHeight="1">
      <c r="AG226" s="5"/>
    </row>
    <row r="227" ht="12.75" customHeight="1">
      <c r="AG227" s="5"/>
    </row>
    <row r="228" ht="12.75" customHeight="1">
      <c r="AG228" s="5"/>
    </row>
    <row r="229" ht="12.75" customHeight="1">
      <c r="AG229" s="1"/>
    </row>
    <row r="230" ht="12.75" customHeight="1">
      <c r="AG230" s="52"/>
    </row>
    <row r="231" ht="12.75" customHeight="1">
      <c r="AG231" s="5"/>
    </row>
    <row r="232" ht="12.75" customHeight="1">
      <c r="AG232" s="5"/>
    </row>
    <row r="233" ht="12.75" customHeight="1">
      <c r="AG233" s="5"/>
    </row>
    <row r="234" ht="12.75" customHeight="1">
      <c r="AG234" s="5"/>
    </row>
    <row r="235" ht="12.75" customHeight="1">
      <c r="AG235" s="5"/>
    </row>
    <row r="236" ht="12.75" customHeight="1">
      <c r="AG236" s="5"/>
    </row>
    <row r="237" ht="12.75" customHeight="1">
      <c r="AG237" s="5"/>
    </row>
    <row r="238" ht="12.75" customHeight="1">
      <c r="AG238" s="5"/>
    </row>
    <row r="239" ht="12.75" customHeight="1">
      <c r="AG239" s="5"/>
    </row>
    <row r="240" ht="12.75" customHeight="1">
      <c r="AG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D12"/>
    <mergeCell ref="AE12:AE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D15">
    <cfRule type="containsBlanks" dxfId="1" priority="1">
      <formula>LEN(TRIM(E14))=0</formula>
    </cfRule>
  </conditionalFormatting>
  <conditionalFormatting sqref="E19:AD20">
    <cfRule type="containsBlanks" dxfId="1" priority="2">
      <formula>LEN(TRIM(E19))=0</formula>
    </cfRule>
  </conditionalFormatting>
  <conditionalFormatting sqref="E22:AD23 E25:AD26 E33:AD33 E35:AD35 E39:AD40">
    <cfRule type="containsBlanks" dxfId="1" priority="3">
      <formula>LEN(TRIM(E22))=0</formula>
    </cfRule>
  </conditionalFormatting>
  <conditionalFormatting sqref="E30:AD30">
    <cfRule type="expression" dxfId="0" priority="4">
      <formula>E30&lt;&gt;E47</formula>
    </cfRule>
  </conditionalFormatting>
  <conditionalFormatting sqref="E30:AD30">
    <cfRule type="expression" dxfId="0" priority="5">
      <formula>E30&lt;&gt;E34</formula>
    </cfRule>
  </conditionalFormatting>
  <conditionalFormatting sqref="E34:AD34">
    <cfRule type="expression" dxfId="2" priority="6">
      <formula>E30&lt;&gt;E34</formula>
    </cfRule>
  </conditionalFormatting>
  <conditionalFormatting sqref="E34:AD34">
    <cfRule type="expression" dxfId="3" priority="7">
      <formula>E30=E34</formula>
    </cfRule>
  </conditionalFormatting>
  <conditionalFormatting sqref="E34:AD34">
    <cfRule type="expression" dxfId="0" priority="8">
      <formula>E34&lt;&gt;E30</formula>
    </cfRule>
  </conditionalFormatting>
  <conditionalFormatting sqref="E34:AD34">
    <cfRule type="expression" dxfId="0" priority="9">
      <formula>E34&lt;&gt;#REF!</formula>
    </cfRule>
  </conditionalFormatting>
  <conditionalFormatting sqref="E45:AD47">
    <cfRule type="containsBlanks" dxfId="1" priority="10">
      <formula>LEN(TRIM(E45))=0</formula>
    </cfRule>
  </conditionalFormatting>
  <conditionalFormatting sqref="E50:AD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2" width="8.71"/>
    <col customWidth="1" min="63" max="63" width="13.29"/>
    <col customWidth="1" min="64" max="65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13" t="s">
        <v>84</v>
      </c>
      <c r="AM13" s="13" t="s">
        <v>85</v>
      </c>
      <c r="AN13" s="13" t="s">
        <v>86</v>
      </c>
      <c r="AO13" s="13" t="s">
        <v>87</v>
      </c>
      <c r="AP13" s="13" t="s">
        <v>88</v>
      </c>
      <c r="AQ13" s="13" t="s">
        <v>89</v>
      </c>
      <c r="AR13" s="13" t="s">
        <v>90</v>
      </c>
      <c r="AS13" s="13" t="s">
        <v>91</v>
      </c>
      <c r="AT13" s="13" t="s">
        <v>92</v>
      </c>
      <c r="AU13" s="13" t="s">
        <v>93</v>
      </c>
      <c r="AV13" s="13" t="s">
        <v>94</v>
      </c>
      <c r="AW13" s="13" t="s">
        <v>95</v>
      </c>
      <c r="AX13" s="13" t="s">
        <v>96</v>
      </c>
      <c r="AY13" s="13" t="s">
        <v>97</v>
      </c>
      <c r="AZ13" s="13" t="s">
        <v>98</v>
      </c>
      <c r="BA13" s="13" t="s">
        <v>99</v>
      </c>
      <c r="BB13" s="13" t="s">
        <v>100</v>
      </c>
      <c r="BC13" s="13" t="s">
        <v>101</v>
      </c>
      <c r="BD13" s="13" t="s">
        <v>102</v>
      </c>
      <c r="BE13" s="13" t="s">
        <v>103</v>
      </c>
      <c r="BF13" s="13" t="s">
        <v>104</v>
      </c>
      <c r="BG13" s="13" t="s">
        <v>105</v>
      </c>
      <c r="BH13" s="13" t="s">
        <v>106</v>
      </c>
      <c r="BI13" s="13" t="s">
        <v>107</v>
      </c>
      <c r="BJ13" s="13" t="s">
        <v>108</v>
      </c>
      <c r="BK13" s="37"/>
    </row>
    <row r="14" ht="12.75" customHeight="1">
      <c r="A14" s="18"/>
      <c r="B14" s="22" t="s">
        <v>11</v>
      </c>
      <c r="C14" s="23"/>
      <c r="D14" s="19" t="s">
        <v>12</v>
      </c>
      <c r="E14" s="19">
        <v>48.0</v>
      </c>
      <c r="F14" s="19">
        <v>60.0</v>
      </c>
      <c r="G14" s="19">
        <v>57.0</v>
      </c>
      <c r="H14" s="19">
        <v>49.0</v>
      </c>
      <c r="I14" s="19">
        <v>111.0</v>
      </c>
      <c r="J14" s="19">
        <v>137.0</v>
      </c>
      <c r="K14" s="19">
        <v>142.0</v>
      </c>
      <c r="L14" s="19">
        <v>129.0</v>
      </c>
      <c r="M14" s="19">
        <v>134.0</v>
      </c>
      <c r="N14" s="19">
        <v>50.0</v>
      </c>
      <c r="O14" s="19">
        <v>120.0</v>
      </c>
      <c r="P14" s="19">
        <v>109.0</v>
      </c>
      <c r="Q14" s="19">
        <v>109.0</v>
      </c>
      <c r="R14" s="19">
        <v>73.0</v>
      </c>
      <c r="S14" s="19">
        <v>120.0</v>
      </c>
      <c r="T14" s="19">
        <v>78.0</v>
      </c>
      <c r="U14" s="19">
        <v>127.0</v>
      </c>
      <c r="V14" s="19">
        <v>147.0</v>
      </c>
      <c r="W14" s="19">
        <v>111.0</v>
      </c>
      <c r="X14" s="19">
        <v>150.0</v>
      </c>
      <c r="Y14" s="19">
        <v>128.0</v>
      </c>
      <c r="Z14" s="19">
        <v>100.0</v>
      </c>
      <c r="AA14" s="19">
        <v>119.0</v>
      </c>
      <c r="AB14" s="19">
        <v>97.0</v>
      </c>
      <c r="AC14" s="19">
        <v>150.0</v>
      </c>
      <c r="AD14" s="19">
        <v>108.0</v>
      </c>
      <c r="AE14" s="19">
        <v>87.0</v>
      </c>
      <c r="AF14" s="19">
        <v>66.0</v>
      </c>
      <c r="AG14" s="19">
        <v>128.0</v>
      </c>
      <c r="AH14" s="19">
        <v>143.0</v>
      </c>
      <c r="AI14" s="19">
        <v>113.0</v>
      </c>
      <c r="AJ14" s="19">
        <v>92.0</v>
      </c>
      <c r="AK14" s="19">
        <v>99.0</v>
      </c>
      <c r="AL14" s="19">
        <v>130.0</v>
      </c>
      <c r="AM14" s="19">
        <v>107.0</v>
      </c>
      <c r="AN14" s="19">
        <v>94.0</v>
      </c>
      <c r="AO14" s="19">
        <v>81.0</v>
      </c>
      <c r="AP14" s="19">
        <v>102.0</v>
      </c>
      <c r="AQ14" s="19">
        <v>90.0</v>
      </c>
      <c r="AR14" s="19">
        <v>99.0</v>
      </c>
      <c r="AS14" s="19">
        <v>81.0</v>
      </c>
      <c r="AT14" s="19">
        <v>145.0</v>
      </c>
      <c r="AU14" s="19">
        <v>141.0</v>
      </c>
      <c r="AV14" s="19">
        <v>131.0</v>
      </c>
      <c r="AW14" s="19">
        <v>138.0</v>
      </c>
      <c r="AX14" s="19">
        <v>105.0</v>
      </c>
      <c r="AY14" s="19">
        <v>132.0</v>
      </c>
      <c r="AZ14" s="19">
        <v>81.0</v>
      </c>
      <c r="BA14" s="19">
        <v>103.0</v>
      </c>
      <c r="BB14" s="19">
        <v>87.0</v>
      </c>
      <c r="BC14" s="19">
        <v>128.0</v>
      </c>
      <c r="BD14" s="19">
        <v>117.0</v>
      </c>
      <c r="BE14" s="19">
        <v>132.0</v>
      </c>
      <c r="BF14" s="19">
        <v>84.0</v>
      </c>
      <c r="BG14" s="19">
        <v>135.0</v>
      </c>
      <c r="BH14" s="19">
        <v>139.0</v>
      </c>
      <c r="BI14" s="19">
        <v>117.0</v>
      </c>
      <c r="BJ14" s="19">
        <v>134.0</v>
      </c>
      <c r="BK14" s="13">
        <f t="shared" ref="BK14:BK16" si="1">SUM(E14:BJ14)</f>
        <v>6324</v>
      </c>
    </row>
    <row r="15" ht="12.75" customHeight="1">
      <c r="A15" s="18"/>
      <c r="B15" s="26"/>
      <c r="C15" s="27"/>
      <c r="D15" s="19" t="s">
        <v>13</v>
      </c>
      <c r="E15" s="19">
        <v>53.0</v>
      </c>
      <c r="F15" s="19">
        <v>48.0</v>
      </c>
      <c r="G15" s="19">
        <v>58.0</v>
      </c>
      <c r="H15" s="19">
        <v>39.0</v>
      </c>
      <c r="I15" s="19">
        <v>110.0</v>
      </c>
      <c r="J15" s="19">
        <v>137.0</v>
      </c>
      <c r="K15" s="19">
        <v>146.0</v>
      </c>
      <c r="L15" s="19">
        <v>145.0</v>
      </c>
      <c r="M15" s="19">
        <v>132.0</v>
      </c>
      <c r="N15" s="19">
        <v>43.0</v>
      </c>
      <c r="O15" s="19">
        <v>152.0</v>
      </c>
      <c r="P15" s="19">
        <v>115.0</v>
      </c>
      <c r="Q15" s="19">
        <v>101.0</v>
      </c>
      <c r="R15" s="19">
        <v>68.0</v>
      </c>
      <c r="S15" s="19">
        <v>123.0</v>
      </c>
      <c r="T15" s="19">
        <v>84.0</v>
      </c>
      <c r="U15" s="19">
        <v>118.0</v>
      </c>
      <c r="V15" s="19">
        <v>147.0</v>
      </c>
      <c r="W15" s="19">
        <v>122.0</v>
      </c>
      <c r="X15" s="19">
        <v>138.0</v>
      </c>
      <c r="Y15" s="19">
        <v>125.0</v>
      </c>
      <c r="Z15" s="19">
        <v>109.0</v>
      </c>
      <c r="AA15" s="19">
        <v>136.0</v>
      </c>
      <c r="AB15" s="19">
        <v>82.0</v>
      </c>
      <c r="AC15" s="19">
        <v>144.0</v>
      </c>
      <c r="AD15" s="19">
        <v>97.0</v>
      </c>
      <c r="AE15" s="19">
        <v>95.0</v>
      </c>
      <c r="AF15" s="19">
        <v>74.0</v>
      </c>
      <c r="AG15" s="19">
        <v>139.0</v>
      </c>
      <c r="AH15" s="19">
        <v>154.0</v>
      </c>
      <c r="AI15" s="19">
        <v>125.0</v>
      </c>
      <c r="AJ15" s="19">
        <v>101.0</v>
      </c>
      <c r="AK15" s="19">
        <v>99.0</v>
      </c>
      <c r="AL15" s="19">
        <v>139.0</v>
      </c>
      <c r="AM15" s="19">
        <v>121.0</v>
      </c>
      <c r="AN15" s="19">
        <v>91.0</v>
      </c>
      <c r="AO15" s="19">
        <v>77.0</v>
      </c>
      <c r="AP15" s="19">
        <v>109.0</v>
      </c>
      <c r="AQ15" s="19">
        <v>91.0</v>
      </c>
      <c r="AR15" s="19">
        <v>89.0</v>
      </c>
      <c r="AS15" s="19">
        <v>77.0</v>
      </c>
      <c r="AT15" s="19">
        <v>151.0</v>
      </c>
      <c r="AU15" s="19">
        <v>133.0</v>
      </c>
      <c r="AV15" s="19">
        <v>156.0</v>
      </c>
      <c r="AW15" s="19">
        <v>159.0</v>
      </c>
      <c r="AX15" s="19">
        <v>121.0</v>
      </c>
      <c r="AY15" s="19">
        <v>162.0</v>
      </c>
      <c r="AZ15" s="19">
        <v>93.0</v>
      </c>
      <c r="BA15" s="19">
        <v>108.0</v>
      </c>
      <c r="BB15" s="19">
        <v>89.0</v>
      </c>
      <c r="BC15" s="19">
        <v>130.0</v>
      </c>
      <c r="BD15" s="19">
        <v>129.0</v>
      </c>
      <c r="BE15" s="19">
        <v>148.0</v>
      </c>
      <c r="BF15" s="19">
        <v>99.0</v>
      </c>
      <c r="BG15" s="19">
        <v>147.0</v>
      </c>
      <c r="BH15" s="19">
        <v>152.0</v>
      </c>
      <c r="BI15" s="19">
        <v>121.0</v>
      </c>
      <c r="BJ15" s="19">
        <v>138.0</v>
      </c>
      <c r="BK15" s="13">
        <f t="shared" si="1"/>
        <v>6589</v>
      </c>
    </row>
    <row r="16" ht="12.75" customHeight="1">
      <c r="A16" s="25"/>
      <c r="B16" s="21"/>
      <c r="C16" s="28"/>
      <c r="D16" s="13" t="s">
        <v>14</v>
      </c>
      <c r="E16" s="13">
        <f t="shared" ref="E16:BJ16" si="2">SUM(E14:E15)</f>
        <v>101</v>
      </c>
      <c r="F16" s="13">
        <f t="shared" si="2"/>
        <v>108</v>
      </c>
      <c r="G16" s="13">
        <f t="shared" si="2"/>
        <v>115</v>
      </c>
      <c r="H16" s="13">
        <f t="shared" si="2"/>
        <v>88</v>
      </c>
      <c r="I16" s="13">
        <f t="shared" si="2"/>
        <v>221</v>
      </c>
      <c r="J16" s="13">
        <f t="shared" si="2"/>
        <v>274</v>
      </c>
      <c r="K16" s="13">
        <f t="shared" si="2"/>
        <v>288</v>
      </c>
      <c r="L16" s="13">
        <f t="shared" si="2"/>
        <v>274</v>
      </c>
      <c r="M16" s="13">
        <f t="shared" si="2"/>
        <v>266</v>
      </c>
      <c r="N16" s="13">
        <f t="shared" si="2"/>
        <v>93</v>
      </c>
      <c r="O16" s="13">
        <f t="shared" si="2"/>
        <v>272</v>
      </c>
      <c r="P16" s="13">
        <f t="shared" si="2"/>
        <v>224</v>
      </c>
      <c r="Q16" s="13">
        <f t="shared" si="2"/>
        <v>210</v>
      </c>
      <c r="R16" s="13">
        <f t="shared" si="2"/>
        <v>141</v>
      </c>
      <c r="S16" s="13">
        <f t="shared" si="2"/>
        <v>243</v>
      </c>
      <c r="T16" s="13">
        <f t="shared" si="2"/>
        <v>162</v>
      </c>
      <c r="U16" s="13">
        <f t="shared" si="2"/>
        <v>245</v>
      </c>
      <c r="V16" s="13">
        <f t="shared" si="2"/>
        <v>294</v>
      </c>
      <c r="W16" s="13">
        <f t="shared" si="2"/>
        <v>233</v>
      </c>
      <c r="X16" s="13">
        <f t="shared" si="2"/>
        <v>288</v>
      </c>
      <c r="Y16" s="13">
        <f t="shared" si="2"/>
        <v>253</v>
      </c>
      <c r="Z16" s="13">
        <f t="shared" si="2"/>
        <v>209</v>
      </c>
      <c r="AA16" s="13">
        <f t="shared" si="2"/>
        <v>255</v>
      </c>
      <c r="AB16" s="13">
        <f t="shared" si="2"/>
        <v>179</v>
      </c>
      <c r="AC16" s="13">
        <f t="shared" si="2"/>
        <v>294</v>
      </c>
      <c r="AD16" s="13">
        <f t="shared" si="2"/>
        <v>205</v>
      </c>
      <c r="AE16" s="13">
        <f t="shared" si="2"/>
        <v>182</v>
      </c>
      <c r="AF16" s="13">
        <f t="shared" si="2"/>
        <v>140</v>
      </c>
      <c r="AG16" s="13">
        <f t="shared" si="2"/>
        <v>267</v>
      </c>
      <c r="AH16" s="13">
        <f t="shared" si="2"/>
        <v>297</v>
      </c>
      <c r="AI16" s="13">
        <f t="shared" si="2"/>
        <v>238</v>
      </c>
      <c r="AJ16" s="13">
        <f t="shared" si="2"/>
        <v>193</v>
      </c>
      <c r="AK16" s="13">
        <f t="shared" si="2"/>
        <v>198</v>
      </c>
      <c r="AL16" s="13">
        <f t="shared" si="2"/>
        <v>269</v>
      </c>
      <c r="AM16" s="13">
        <f t="shared" si="2"/>
        <v>228</v>
      </c>
      <c r="AN16" s="13">
        <f t="shared" si="2"/>
        <v>185</v>
      </c>
      <c r="AO16" s="13">
        <f t="shared" si="2"/>
        <v>158</v>
      </c>
      <c r="AP16" s="13">
        <f t="shared" si="2"/>
        <v>211</v>
      </c>
      <c r="AQ16" s="13">
        <f t="shared" si="2"/>
        <v>181</v>
      </c>
      <c r="AR16" s="13">
        <f t="shared" si="2"/>
        <v>188</v>
      </c>
      <c r="AS16" s="13">
        <f t="shared" si="2"/>
        <v>158</v>
      </c>
      <c r="AT16" s="13">
        <f t="shared" si="2"/>
        <v>296</v>
      </c>
      <c r="AU16" s="13">
        <f t="shared" si="2"/>
        <v>274</v>
      </c>
      <c r="AV16" s="13">
        <f t="shared" si="2"/>
        <v>287</v>
      </c>
      <c r="AW16" s="13">
        <f t="shared" si="2"/>
        <v>297</v>
      </c>
      <c r="AX16" s="13">
        <f t="shared" si="2"/>
        <v>226</v>
      </c>
      <c r="AY16" s="13">
        <f t="shared" si="2"/>
        <v>294</v>
      </c>
      <c r="AZ16" s="13">
        <f t="shared" si="2"/>
        <v>174</v>
      </c>
      <c r="BA16" s="13">
        <f t="shared" si="2"/>
        <v>211</v>
      </c>
      <c r="BB16" s="13">
        <f t="shared" si="2"/>
        <v>176</v>
      </c>
      <c r="BC16" s="13">
        <f t="shared" si="2"/>
        <v>258</v>
      </c>
      <c r="BD16" s="13">
        <f t="shared" si="2"/>
        <v>246</v>
      </c>
      <c r="BE16" s="13">
        <f t="shared" si="2"/>
        <v>280</v>
      </c>
      <c r="BF16" s="13">
        <f t="shared" si="2"/>
        <v>183</v>
      </c>
      <c r="BG16" s="13">
        <f t="shared" si="2"/>
        <v>282</v>
      </c>
      <c r="BH16" s="13">
        <f t="shared" si="2"/>
        <v>291</v>
      </c>
      <c r="BI16" s="13">
        <f t="shared" si="2"/>
        <v>238</v>
      </c>
      <c r="BJ16" s="13">
        <f t="shared" si="2"/>
        <v>272</v>
      </c>
      <c r="BK16" s="13">
        <f t="shared" si="1"/>
        <v>12913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3"/>
      <c r="O17" s="19"/>
      <c r="P17" s="19"/>
      <c r="Q17" s="19"/>
      <c r="R17" s="19"/>
      <c r="S17" s="63"/>
      <c r="T17" s="19"/>
      <c r="U17" s="19"/>
      <c r="V17" s="19"/>
      <c r="W17" s="19"/>
      <c r="X17" s="63"/>
      <c r="Y17" s="19"/>
      <c r="Z17" s="19"/>
      <c r="AA17" s="19"/>
      <c r="AB17" s="19"/>
      <c r="AC17" s="63"/>
      <c r="AD17" s="19"/>
      <c r="AE17" s="19"/>
      <c r="AF17" s="19"/>
      <c r="AG17" s="19"/>
      <c r="AH17" s="63"/>
      <c r="AI17" s="19"/>
      <c r="AJ17" s="19"/>
      <c r="AK17" s="19"/>
      <c r="AL17" s="19"/>
      <c r="AM17" s="63"/>
      <c r="AN17" s="19"/>
      <c r="AO17" s="19"/>
      <c r="AP17" s="19"/>
      <c r="AQ17" s="19"/>
      <c r="AR17" s="63"/>
      <c r="AS17" s="19"/>
      <c r="AT17" s="19"/>
      <c r="AU17" s="19"/>
      <c r="AV17" s="19"/>
      <c r="AW17" s="63"/>
      <c r="AX17" s="19"/>
      <c r="AY17" s="19"/>
      <c r="AZ17" s="19"/>
      <c r="BA17" s="19"/>
      <c r="BB17" s="63"/>
      <c r="BC17" s="19"/>
      <c r="BD17" s="19"/>
      <c r="BE17" s="19"/>
      <c r="BF17" s="19"/>
      <c r="BG17" s="63"/>
      <c r="BH17" s="19"/>
      <c r="BI17" s="19"/>
      <c r="BJ17" s="19"/>
      <c r="BK17" s="64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3"/>
      <c r="O18" s="19"/>
      <c r="P18" s="19"/>
      <c r="Q18" s="19"/>
      <c r="R18" s="19"/>
      <c r="S18" s="63"/>
      <c r="T18" s="19"/>
      <c r="U18" s="19"/>
      <c r="V18" s="19"/>
      <c r="W18" s="19"/>
      <c r="X18" s="63"/>
      <c r="Y18" s="19"/>
      <c r="Z18" s="19"/>
      <c r="AA18" s="19"/>
      <c r="AB18" s="19"/>
      <c r="AC18" s="63"/>
      <c r="AD18" s="19"/>
      <c r="AE18" s="19"/>
      <c r="AF18" s="19"/>
      <c r="AG18" s="19"/>
      <c r="AH18" s="63"/>
      <c r="AI18" s="19"/>
      <c r="AJ18" s="19"/>
      <c r="AK18" s="19"/>
      <c r="AL18" s="19"/>
      <c r="AM18" s="63"/>
      <c r="AN18" s="19"/>
      <c r="AO18" s="19"/>
      <c r="AP18" s="19"/>
      <c r="AQ18" s="19"/>
      <c r="AR18" s="63"/>
      <c r="AS18" s="19"/>
      <c r="AT18" s="19"/>
      <c r="AU18" s="19"/>
      <c r="AV18" s="19"/>
      <c r="AW18" s="63"/>
      <c r="AX18" s="19"/>
      <c r="AY18" s="19"/>
      <c r="AZ18" s="19"/>
      <c r="BA18" s="19"/>
      <c r="BB18" s="63"/>
      <c r="BC18" s="19"/>
      <c r="BD18" s="19"/>
      <c r="BE18" s="19"/>
      <c r="BF18" s="19"/>
      <c r="BG18" s="63"/>
      <c r="BH18" s="19"/>
      <c r="BI18" s="19"/>
      <c r="BJ18" s="19"/>
      <c r="BK18" s="64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39.0</v>
      </c>
      <c r="F19" s="19">
        <v>49.0</v>
      </c>
      <c r="G19" s="19">
        <v>45.0</v>
      </c>
      <c r="H19" s="19">
        <v>30.0</v>
      </c>
      <c r="I19" s="19">
        <v>77.0</v>
      </c>
      <c r="J19" s="19">
        <v>91.0</v>
      </c>
      <c r="K19" s="19">
        <v>77.0</v>
      </c>
      <c r="L19" s="19">
        <v>83.0</v>
      </c>
      <c r="M19" s="19">
        <v>88.0</v>
      </c>
      <c r="N19" s="19">
        <v>50.0</v>
      </c>
      <c r="O19" s="19">
        <v>85.0</v>
      </c>
      <c r="P19" s="19">
        <v>70.0</v>
      </c>
      <c r="Q19" s="19">
        <v>75.0</v>
      </c>
      <c r="R19" s="19">
        <v>44.0</v>
      </c>
      <c r="S19" s="19">
        <v>92.0</v>
      </c>
      <c r="T19" s="19">
        <v>54.0</v>
      </c>
      <c r="U19" s="19">
        <v>94.0</v>
      </c>
      <c r="V19" s="19">
        <v>99.0</v>
      </c>
      <c r="W19" s="19">
        <v>95.0</v>
      </c>
      <c r="X19" s="19">
        <v>120.0</v>
      </c>
      <c r="Y19" s="19">
        <v>76.0</v>
      </c>
      <c r="Z19" s="19">
        <v>72.0</v>
      </c>
      <c r="AA19" s="19">
        <v>82.0</v>
      </c>
      <c r="AB19" s="19">
        <v>56.0</v>
      </c>
      <c r="AC19" s="19">
        <v>109.0</v>
      </c>
      <c r="AD19" s="19">
        <v>59.0</v>
      </c>
      <c r="AE19" s="19">
        <v>67.0</v>
      </c>
      <c r="AF19" s="19">
        <v>55.0</v>
      </c>
      <c r="AG19" s="19">
        <v>75.0</v>
      </c>
      <c r="AH19" s="19">
        <v>109.0</v>
      </c>
      <c r="AI19" s="19">
        <v>78.0</v>
      </c>
      <c r="AJ19" s="19">
        <v>64.0</v>
      </c>
      <c r="AK19" s="19">
        <v>73.0</v>
      </c>
      <c r="AL19" s="19">
        <v>112.0</v>
      </c>
      <c r="AM19" s="19">
        <v>74.0</v>
      </c>
      <c r="AN19" s="19">
        <v>64.0</v>
      </c>
      <c r="AO19" s="19">
        <v>69.0</v>
      </c>
      <c r="AP19" s="19">
        <v>86.0</v>
      </c>
      <c r="AQ19" s="19">
        <v>75.0</v>
      </c>
      <c r="AR19" s="19">
        <v>79.0</v>
      </c>
      <c r="AS19" s="19">
        <v>64.0</v>
      </c>
      <c r="AT19" s="19">
        <v>98.0</v>
      </c>
      <c r="AU19" s="19">
        <v>101.0</v>
      </c>
      <c r="AV19" s="19">
        <v>92.0</v>
      </c>
      <c r="AW19" s="19">
        <v>86.0</v>
      </c>
      <c r="AX19" s="19">
        <v>68.0</v>
      </c>
      <c r="AY19" s="19">
        <v>96.0</v>
      </c>
      <c r="AZ19" s="19">
        <v>59.0</v>
      </c>
      <c r="BA19" s="19">
        <v>72.0</v>
      </c>
      <c r="BB19" s="19">
        <v>67.0</v>
      </c>
      <c r="BC19" s="19">
        <v>99.0</v>
      </c>
      <c r="BD19" s="19">
        <v>83.0</v>
      </c>
      <c r="BE19" s="19">
        <v>80.0</v>
      </c>
      <c r="BF19" s="19">
        <v>72.0</v>
      </c>
      <c r="BG19" s="19">
        <v>86.0</v>
      </c>
      <c r="BH19" s="19">
        <v>95.0</v>
      </c>
      <c r="BI19" s="19">
        <v>99.0</v>
      </c>
      <c r="BJ19" s="19">
        <v>87.0</v>
      </c>
      <c r="BK19" s="13">
        <f t="shared" ref="BK19:BK30" si="3">SUM(E19:BJ19)</f>
        <v>4495</v>
      </c>
    </row>
    <row r="20" ht="12.75" customHeight="1">
      <c r="A20" s="34"/>
      <c r="B20" s="27"/>
      <c r="C20" s="35"/>
      <c r="D20" s="19" t="s">
        <v>13</v>
      </c>
      <c r="E20" s="19">
        <v>35.0</v>
      </c>
      <c r="F20" s="19">
        <v>37.0</v>
      </c>
      <c r="G20" s="19">
        <v>50.0</v>
      </c>
      <c r="H20" s="19">
        <v>21.0</v>
      </c>
      <c r="I20" s="19">
        <v>82.0</v>
      </c>
      <c r="J20" s="19">
        <v>102.0</v>
      </c>
      <c r="K20" s="19">
        <v>103.0</v>
      </c>
      <c r="L20" s="19">
        <v>110.0</v>
      </c>
      <c r="M20" s="19">
        <v>90.0</v>
      </c>
      <c r="N20" s="19">
        <v>42.0</v>
      </c>
      <c r="O20" s="19">
        <v>120.0</v>
      </c>
      <c r="P20" s="19">
        <v>78.0</v>
      </c>
      <c r="Q20" s="19">
        <v>76.0</v>
      </c>
      <c r="R20" s="19">
        <v>46.0</v>
      </c>
      <c r="S20" s="19">
        <v>88.0</v>
      </c>
      <c r="T20" s="19">
        <v>65.0</v>
      </c>
      <c r="U20" s="19">
        <v>102.0</v>
      </c>
      <c r="V20" s="19">
        <v>121.0</v>
      </c>
      <c r="W20" s="19">
        <v>107.0</v>
      </c>
      <c r="X20" s="19">
        <v>126.0</v>
      </c>
      <c r="Y20" s="19">
        <v>89.0</v>
      </c>
      <c r="Z20" s="19">
        <v>85.0</v>
      </c>
      <c r="AA20" s="19">
        <v>112.0</v>
      </c>
      <c r="AB20" s="19">
        <v>68.0</v>
      </c>
      <c r="AC20" s="19">
        <v>112.0</v>
      </c>
      <c r="AD20" s="19">
        <v>72.0</v>
      </c>
      <c r="AE20" s="19">
        <v>78.0</v>
      </c>
      <c r="AF20" s="19">
        <v>59.0</v>
      </c>
      <c r="AG20" s="19">
        <v>103.0</v>
      </c>
      <c r="AH20" s="19">
        <v>116.0</v>
      </c>
      <c r="AI20" s="19">
        <v>104.0</v>
      </c>
      <c r="AJ20" s="19">
        <v>71.0</v>
      </c>
      <c r="AK20" s="19">
        <v>69.0</v>
      </c>
      <c r="AL20" s="19">
        <v>123.0</v>
      </c>
      <c r="AM20" s="19">
        <v>86.0</v>
      </c>
      <c r="AN20" s="19">
        <v>66.0</v>
      </c>
      <c r="AO20" s="19">
        <v>71.0</v>
      </c>
      <c r="AP20" s="19">
        <v>86.0</v>
      </c>
      <c r="AQ20" s="19">
        <v>74.0</v>
      </c>
      <c r="AR20" s="19">
        <v>79.0</v>
      </c>
      <c r="AS20" s="19">
        <v>62.0</v>
      </c>
      <c r="AT20" s="19">
        <v>116.0</v>
      </c>
      <c r="AU20" s="19">
        <v>100.0</v>
      </c>
      <c r="AV20" s="19">
        <v>106.0</v>
      </c>
      <c r="AW20" s="19">
        <v>108.0</v>
      </c>
      <c r="AX20" s="19">
        <v>92.0</v>
      </c>
      <c r="AY20" s="19">
        <v>124.0</v>
      </c>
      <c r="AZ20" s="19">
        <v>83.0</v>
      </c>
      <c r="BA20" s="19">
        <v>80.0</v>
      </c>
      <c r="BB20" s="19">
        <v>71.0</v>
      </c>
      <c r="BC20" s="19">
        <v>102.0</v>
      </c>
      <c r="BD20" s="19">
        <v>99.0</v>
      </c>
      <c r="BE20" s="19">
        <v>100.0</v>
      </c>
      <c r="BF20" s="19">
        <v>86.0</v>
      </c>
      <c r="BG20" s="19">
        <v>110.0</v>
      </c>
      <c r="BH20" s="19">
        <v>128.0</v>
      </c>
      <c r="BI20" s="19">
        <v>99.0</v>
      </c>
      <c r="BJ20" s="19">
        <v>103.0</v>
      </c>
      <c r="BK20" s="13">
        <f t="shared" si="3"/>
        <v>5093</v>
      </c>
    </row>
    <row r="21" ht="12.75" customHeight="1">
      <c r="A21" s="36"/>
      <c r="B21" s="28"/>
      <c r="C21" s="37"/>
      <c r="D21" s="13" t="s">
        <v>14</v>
      </c>
      <c r="E21" s="13">
        <f t="shared" ref="E21:BJ21" si="4">SUM(E19:E20)</f>
        <v>74</v>
      </c>
      <c r="F21" s="13">
        <f t="shared" si="4"/>
        <v>86</v>
      </c>
      <c r="G21" s="13">
        <f t="shared" si="4"/>
        <v>95</v>
      </c>
      <c r="H21" s="13">
        <f t="shared" si="4"/>
        <v>51</v>
      </c>
      <c r="I21" s="13">
        <f t="shared" si="4"/>
        <v>159</v>
      </c>
      <c r="J21" s="13">
        <f t="shared" si="4"/>
        <v>193</v>
      </c>
      <c r="K21" s="13">
        <f t="shared" si="4"/>
        <v>180</v>
      </c>
      <c r="L21" s="13">
        <f t="shared" si="4"/>
        <v>193</v>
      </c>
      <c r="M21" s="13">
        <f t="shared" si="4"/>
        <v>178</v>
      </c>
      <c r="N21" s="13">
        <f t="shared" si="4"/>
        <v>92</v>
      </c>
      <c r="O21" s="13">
        <f t="shared" si="4"/>
        <v>205</v>
      </c>
      <c r="P21" s="13">
        <f t="shared" si="4"/>
        <v>148</v>
      </c>
      <c r="Q21" s="13">
        <f t="shared" si="4"/>
        <v>151</v>
      </c>
      <c r="R21" s="13">
        <f t="shared" si="4"/>
        <v>90</v>
      </c>
      <c r="S21" s="13">
        <f t="shared" si="4"/>
        <v>180</v>
      </c>
      <c r="T21" s="13">
        <f t="shared" si="4"/>
        <v>119</v>
      </c>
      <c r="U21" s="13">
        <f t="shared" si="4"/>
        <v>196</v>
      </c>
      <c r="V21" s="13">
        <f t="shared" si="4"/>
        <v>220</v>
      </c>
      <c r="W21" s="13">
        <f t="shared" si="4"/>
        <v>202</v>
      </c>
      <c r="X21" s="13">
        <f t="shared" si="4"/>
        <v>246</v>
      </c>
      <c r="Y21" s="13">
        <f t="shared" si="4"/>
        <v>165</v>
      </c>
      <c r="Z21" s="13">
        <f t="shared" si="4"/>
        <v>157</v>
      </c>
      <c r="AA21" s="13">
        <f t="shared" si="4"/>
        <v>194</v>
      </c>
      <c r="AB21" s="13">
        <f t="shared" si="4"/>
        <v>124</v>
      </c>
      <c r="AC21" s="13">
        <f t="shared" si="4"/>
        <v>221</v>
      </c>
      <c r="AD21" s="13">
        <f t="shared" si="4"/>
        <v>131</v>
      </c>
      <c r="AE21" s="13">
        <f t="shared" si="4"/>
        <v>145</v>
      </c>
      <c r="AF21" s="13">
        <f t="shared" si="4"/>
        <v>114</v>
      </c>
      <c r="AG21" s="13">
        <f t="shared" si="4"/>
        <v>178</v>
      </c>
      <c r="AH21" s="13">
        <f t="shared" si="4"/>
        <v>225</v>
      </c>
      <c r="AI21" s="13">
        <f t="shared" si="4"/>
        <v>182</v>
      </c>
      <c r="AJ21" s="13">
        <f t="shared" si="4"/>
        <v>135</v>
      </c>
      <c r="AK21" s="13">
        <f t="shared" si="4"/>
        <v>142</v>
      </c>
      <c r="AL21" s="13">
        <f t="shared" si="4"/>
        <v>235</v>
      </c>
      <c r="AM21" s="13">
        <f t="shared" si="4"/>
        <v>160</v>
      </c>
      <c r="AN21" s="13">
        <f t="shared" si="4"/>
        <v>130</v>
      </c>
      <c r="AO21" s="13">
        <f t="shared" si="4"/>
        <v>140</v>
      </c>
      <c r="AP21" s="13">
        <f t="shared" si="4"/>
        <v>172</v>
      </c>
      <c r="AQ21" s="13">
        <f t="shared" si="4"/>
        <v>149</v>
      </c>
      <c r="AR21" s="13">
        <f t="shared" si="4"/>
        <v>158</v>
      </c>
      <c r="AS21" s="13">
        <f t="shared" si="4"/>
        <v>126</v>
      </c>
      <c r="AT21" s="13">
        <f t="shared" si="4"/>
        <v>214</v>
      </c>
      <c r="AU21" s="13">
        <f t="shared" si="4"/>
        <v>201</v>
      </c>
      <c r="AV21" s="13">
        <f t="shared" si="4"/>
        <v>198</v>
      </c>
      <c r="AW21" s="13">
        <f t="shared" si="4"/>
        <v>194</v>
      </c>
      <c r="AX21" s="13">
        <f t="shared" si="4"/>
        <v>160</v>
      </c>
      <c r="AY21" s="13">
        <f t="shared" si="4"/>
        <v>220</v>
      </c>
      <c r="AZ21" s="13">
        <f t="shared" si="4"/>
        <v>142</v>
      </c>
      <c r="BA21" s="13">
        <f t="shared" si="4"/>
        <v>152</v>
      </c>
      <c r="BB21" s="13">
        <f t="shared" si="4"/>
        <v>138</v>
      </c>
      <c r="BC21" s="13">
        <f t="shared" si="4"/>
        <v>201</v>
      </c>
      <c r="BD21" s="13">
        <f t="shared" si="4"/>
        <v>182</v>
      </c>
      <c r="BE21" s="13">
        <f t="shared" si="4"/>
        <v>180</v>
      </c>
      <c r="BF21" s="13">
        <f t="shared" si="4"/>
        <v>158</v>
      </c>
      <c r="BG21" s="13">
        <f t="shared" si="4"/>
        <v>196</v>
      </c>
      <c r="BH21" s="13">
        <f t="shared" si="4"/>
        <v>223</v>
      </c>
      <c r="BI21" s="13">
        <f t="shared" si="4"/>
        <v>198</v>
      </c>
      <c r="BJ21" s="13">
        <f t="shared" si="4"/>
        <v>190</v>
      </c>
      <c r="BK21" s="13">
        <f t="shared" si="3"/>
        <v>9588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>
        <v>1.0</v>
      </c>
      <c r="F22" s="19">
        <v>1.0</v>
      </c>
      <c r="G22" s="19">
        <v>1.0</v>
      </c>
      <c r="H22" s="19">
        <v>1.0</v>
      </c>
      <c r="I22" s="19">
        <v>1.0</v>
      </c>
      <c r="J22" s="19">
        <v>1.0</v>
      </c>
      <c r="K22" s="19">
        <v>1.0</v>
      </c>
      <c r="L22" s="19">
        <v>1.0</v>
      </c>
      <c r="M22" s="19">
        <v>1.0</v>
      </c>
      <c r="N22" s="19">
        <v>1.0</v>
      </c>
      <c r="O22" s="19">
        <v>1.0</v>
      </c>
      <c r="P22" s="19"/>
      <c r="Q22" s="19"/>
      <c r="R22" s="19">
        <v>1.0</v>
      </c>
      <c r="S22" s="19">
        <v>1.0</v>
      </c>
      <c r="T22" s="19"/>
      <c r="U22" s="19">
        <v>1.0</v>
      </c>
      <c r="V22" s="19">
        <v>1.0</v>
      </c>
      <c r="W22" s="19">
        <v>1.0</v>
      </c>
      <c r="X22" s="19"/>
      <c r="Y22" s="19"/>
      <c r="Z22" s="19">
        <v>1.0</v>
      </c>
      <c r="AA22" s="19">
        <v>1.0</v>
      </c>
      <c r="AB22" s="19">
        <v>1.0</v>
      </c>
      <c r="AC22" s="19">
        <v>1.0</v>
      </c>
      <c r="AD22" s="19">
        <v>1.0</v>
      </c>
      <c r="AE22" s="19"/>
      <c r="AF22" s="19">
        <v>2.0</v>
      </c>
      <c r="AG22" s="19"/>
      <c r="AH22" s="19"/>
      <c r="AI22" s="19">
        <v>1.0</v>
      </c>
      <c r="AJ22" s="19">
        <v>1.0</v>
      </c>
      <c r="AK22" s="19"/>
      <c r="AL22" s="19">
        <v>1.0</v>
      </c>
      <c r="AM22" s="19"/>
      <c r="AN22" s="19"/>
      <c r="AO22" s="19">
        <v>6.0</v>
      </c>
      <c r="AP22" s="19">
        <v>5.0</v>
      </c>
      <c r="AQ22" s="19">
        <v>2.0</v>
      </c>
      <c r="AR22" s="19"/>
      <c r="AS22" s="19">
        <v>1.0</v>
      </c>
      <c r="AT22" s="19"/>
      <c r="AU22" s="19">
        <v>1.0</v>
      </c>
      <c r="AV22" s="19"/>
      <c r="AW22" s="19"/>
      <c r="AX22" s="19">
        <v>1.0</v>
      </c>
      <c r="AY22" s="19"/>
      <c r="AZ22" s="19"/>
      <c r="BA22" s="19">
        <v>2.0</v>
      </c>
      <c r="BB22" s="19">
        <v>1.0</v>
      </c>
      <c r="BC22" s="19"/>
      <c r="BD22" s="19"/>
      <c r="BE22" s="19"/>
      <c r="BF22" s="19"/>
      <c r="BG22" s="19"/>
      <c r="BH22" s="19">
        <v>1.0</v>
      </c>
      <c r="BI22" s="19"/>
      <c r="BJ22" s="19"/>
      <c r="BK22" s="13">
        <f t="shared" si="3"/>
        <v>46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>
        <v>1.0</v>
      </c>
      <c r="R23" s="19"/>
      <c r="S23" s="19"/>
      <c r="T23" s="19"/>
      <c r="U23" s="19"/>
      <c r="V23" s="19"/>
      <c r="W23" s="19"/>
      <c r="X23" s="19">
        <v>1.0</v>
      </c>
      <c r="Y23" s="19"/>
      <c r="Z23" s="19"/>
      <c r="AA23" s="19"/>
      <c r="AB23" s="19"/>
      <c r="AC23" s="19"/>
      <c r="AD23" s="19"/>
      <c r="AE23" s="19"/>
      <c r="AF23" s="19">
        <v>1.0</v>
      </c>
      <c r="AG23" s="19"/>
      <c r="AH23" s="19"/>
      <c r="AI23" s="19"/>
      <c r="AJ23" s="19"/>
      <c r="AK23" s="19">
        <v>1.0</v>
      </c>
      <c r="AL23" s="19"/>
      <c r="AM23" s="19">
        <v>1.0</v>
      </c>
      <c r="AN23" s="19">
        <v>1.0</v>
      </c>
      <c r="AO23" s="19">
        <v>1.0</v>
      </c>
      <c r="AP23" s="19">
        <v>3.0</v>
      </c>
      <c r="AQ23" s="19">
        <v>2.0</v>
      </c>
      <c r="AR23" s="19"/>
      <c r="AS23" s="19"/>
      <c r="AT23" s="19">
        <v>1.0</v>
      </c>
      <c r="AU23" s="19"/>
      <c r="AV23" s="19">
        <v>1.0</v>
      </c>
      <c r="AW23" s="19"/>
      <c r="AX23" s="19">
        <v>1.0</v>
      </c>
      <c r="AY23" s="19">
        <v>3.0</v>
      </c>
      <c r="AZ23" s="19">
        <v>1.0</v>
      </c>
      <c r="BA23" s="19">
        <v>2.0</v>
      </c>
      <c r="BB23" s="19"/>
      <c r="BC23" s="19"/>
      <c r="BD23" s="19"/>
      <c r="BE23" s="19">
        <v>1.0</v>
      </c>
      <c r="BF23" s="19">
        <v>1.0</v>
      </c>
      <c r="BG23" s="19">
        <v>1.0</v>
      </c>
      <c r="BH23" s="19"/>
      <c r="BI23" s="19">
        <v>1.0</v>
      </c>
      <c r="BJ23" s="19">
        <v>1.0</v>
      </c>
      <c r="BK23" s="13">
        <f t="shared" si="3"/>
        <v>26</v>
      </c>
    </row>
    <row r="24" ht="12.75" customHeight="1">
      <c r="A24" s="36"/>
      <c r="B24" s="28"/>
      <c r="C24" s="37"/>
      <c r="D24" s="13" t="s">
        <v>14</v>
      </c>
      <c r="E24" s="13">
        <f t="shared" ref="E24:BJ24" si="5">SUM(E22:E23)</f>
        <v>1</v>
      </c>
      <c r="F24" s="13">
        <f t="shared" si="5"/>
        <v>1</v>
      </c>
      <c r="G24" s="13">
        <f t="shared" si="5"/>
        <v>1</v>
      </c>
      <c r="H24" s="13">
        <f t="shared" si="5"/>
        <v>1</v>
      </c>
      <c r="I24" s="13">
        <f t="shared" si="5"/>
        <v>1</v>
      </c>
      <c r="J24" s="13">
        <f t="shared" si="5"/>
        <v>1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1</v>
      </c>
      <c r="R24" s="13">
        <f t="shared" si="5"/>
        <v>1</v>
      </c>
      <c r="S24" s="13">
        <f t="shared" si="5"/>
        <v>1</v>
      </c>
      <c r="T24" s="13">
        <f t="shared" si="5"/>
        <v>0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1</v>
      </c>
      <c r="Y24" s="13">
        <f t="shared" si="5"/>
        <v>0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1</v>
      </c>
      <c r="AE24" s="13">
        <f t="shared" si="5"/>
        <v>0</v>
      </c>
      <c r="AF24" s="13">
        <f t="shared" si="5"/>
        <v>3</v>
      </c>
      <c r="AG24" s="13">
        <f t="shared" si="5"/>
        <v>0</v>
      </c>
      <c r="AH24" s="13">
        <f t="shared" si="5"/>
        <v>0</v>
      </c>
      <c r="AI24" s="13">
        <f t="shared" si="5"/>
        <v>1</v>
      </c>
      <c r="AJ24" s="13">
        <f t="shared" si="5"/>
        <v>1</v>
      </c>
      <c r="AK24" s="13">
        <f t="shared" si="5"/>
        <v>1</v>
      </c>
      <c r="AL24" s="13">
        <f t="shared" si="5"/>
        <v>1</v>
      </c>
      <c r="AM24" s="13">
        <f t="shared" si="5"/>
        <v>1</v>
      </c>
      <c r="AN24" s="13">
        <f t="shared" si="5"/>
        <v>1</v>
      </c>
      <c r="AO24" s="13">
        <f t="shared" si="5"/>
        <v>7</v>
      </c>
      <c r="AP24" s="13">
        <f t="shared" si="5"/>
        <v>8</v>
      </c>
      <c r="AQ24" s="13">
        <f t="shared" si="5"/>
        <v>4</v>
      </c>
      <c r="AR24" s="13">
        <f t="shared" si="5"/>
        <v>0</v>
      </c>
      <c r="AS24" s="13">
        <f t="shared" si="5"/>
        <v>1</v>
      </c>
      <c r="AT24" s="13">
        <f t="shared" si="5"/>
        <v>1</v>
      </c>
      <c r="AU24" s="13">
        <f t="shared" si="5"/>
        <v>1</v>
      </c>
      <c r="AV24" s="13">
        <f t="shared" si="5"/>
        <v>1</v>
      </c>
      <c r="AW24" s="13">
        <f t="shared" si="5"/>
        <v>0</v>
      </c>
      <c r="AX24" s="13">
        <f t="shared" si="5"/>
        <v>2</v>
      </c>
      <c r="AY24" s="13">
        <f t="shared" si="5"/>
        <v>3</v>
      </c>
      <c r="AZ24" s="13">
        <f t="shared" si="5"/>
        <v>1</v>
      </c>
      <c r="BA24" s="13">
        <f t="shared" si="5"/>
        <v>4</v>
      </c>
      <c r="BB24" s="13">
        <f t="shared" si="5"/>
        <v>1</v>
      </c>
      <c r="BC24" s="13">
        <f t="shared" si="5"/>
        <v>0</v>
      </c>
      <c r="BD24" s="13">
        <f t="shared" si="5"/>
        <v>0</v>
      </c>
      <c r="BE24" s="13">
        <f t="shared" si="5"/>
        <v>1</v>
      </c>
      <c r="BF24" s="13">
        <f t="shared" si="5"/>
        <v>1</v>
      </c>
      <c r="BG24" s="13">
        <f t="shared" si="5"/>
        <v>1</v>
      </c>
      <c r="BH24" s="13">
        <f t="shared" si="5"/>
        <v>1</v>
      </c>
      <c r="BI24" s="13">
        <f t="shared" si="5"/>
        <v>1</v>
      </c>
      <c r="BJ24" s="13">
        <f t="shared" si="5"/>
        <v>1</v>
      </c>
      <c r="BK24" s="13">
        <f t="shared" si="3"/>
        <v>72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>
        <v>3.0</v>
      </c>
      <c r="AB25" s="19">
        <v>1.0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>
        <v>6.0</v>
      </c>
      <c r="AW25" s="19"/>
      <c r="AX25" s="19">
        <v>1.0</v>
      </c>
      <c r="AY25" s="19"/>
      <c r="AZ25" s="19"/>
      <c r="BA25" s="19"/>
      <c r="BB25" s="19"/>
      <c r="BC25" s="19"/>
      <c r="BD25" s="19">
        <v>3.0</v>
      </c>
      <c r="BE25" s="19">
        <v>1.0</v>
      </c>
      <c r="BF25" s="19"/>
      <c r="BG25" s="19"/>
      <c r="BH25" s="19">
        <v>1.0</v>
      </c>
      <c r="BI25" s="19">
        <v>1.0</v>
      </c>
      <c r="BJ25" s="19"/>
      <c r="BK25" s="13">
        <f t="shared" si="3"/>
        <v>17</v>
      </c>
    </row>
    <row r="26" ht="12.75" customHeight="1">
      <c r="A26" s="34"/>
      <c r="B26" s="27"/>
      <c r="C26" s="35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>
        <v>3.0</v>
      </c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>
        <v>5.0</v>
      </c>
      <c r="AB26" s="19">
        <v>2.0</v>
      </c>
      <c r="AC26" s="19"/>
      <c r="AD26" s="19"/>
      <c r="AE26" s="19"/>
      <c r="AF26" s="19">
        <v>1.0</v>
      </c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>
        <v>1.0</v>
      </c>
      <c r="AR26" s="19"/>
      <c r="AS26" s="19"/>
      <c r="AT26" s="19"/>
      <c r="AU26" s="19"/>
      <c r="AV26" s="19">
        <v>3.0</v>
      </c>
      <c r="AW26" s="19"/>
      <c r="AX26" s="19"/>
      <c r="AY26" s="19">
        <v>2.0</v>
      </c>
      <c r="AZ26" s="19"/>
      <c r="BA26" s="19">
        <v>2.0</v>
      </c>
      <c r="BB26" s="19"/>
      <c r="BC26" s="19"/>
      <c r="BD26" s="19">
        <v>1.0</v>
      </c>
      <c r="BE26" s="19"/>
      <c r="BF26" s="19"/>
      <c r="BG26" s="19">
        <v>4.0</v>
      </c>
      <c r="BH26" s="19"/>
      <c r="BI26" s="19">
        <v>4.0</v>
      </c>
      <c r="BJ26" s="19">
        <v>2.0</v>
      </c>
      <c r="BK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BJ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8</v>
      </c>
      <c r="AB27" s="13">
        <f t="shared" si="6"/>
        <v>3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1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0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1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9</v>
      </c>
      <c r="AW27" s="13">
        <f t="shared" si="6"/>
        <v>0</v>
      </c>
      <c r="AX27" s="13">
        <f t="shared" si="6"/>
        <v>1</v>
      </c>
      <c r="AY27" s="13">
        <f t="shared" si="6"/>
        <v>2</v>
      </c>
      <c r="AZ27" s="13">
        <f t="shared" si="6"/>
        <v>0</v>
      </c>
      <c r="BA27" s="13">
        <f t="shared" si="6"/>
        <v>2</v>
      </c>
      <c r="BB27" s="13">
        <f t="shared" si="6"/>
        <v>0</v>
      </c>
      <c r="BC27" s="13">
        <f t="shared" si="6"/>
        <v>0</v>
      </c>
      <c r="BD27" s="13">
        <f t="shared" si="6"/>
        <v>4</v>
      </c>
      <c r="BE27" s="13">
        <f t="shared" si="6"/>
        <v>1</v>
      </c>
      <c r="BF27" s="13">
        <f t="shared" si="6"/>
        <v>0</v>
      </c>
      <c r="BG27" s="13">
        <f t="shared" si="6"/>
        <v>4</v>
      </c>
      <c r="BH27" s="13">
        <f t="shared" si="6"/>
        <v>1</v>
      </c>
      <c r="BI27" s="13">
        <f t="shared" si="6"/>
        <v>5</v>
      </c>
      <c r="BJ27" s="13">
        <f t="shared" si="6"/>
        <v>2</v>
      </c>
      <c r="BK27" s="13">
        <f t="shared" si="3"/>
        <v>47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BJ28" si="7">SUM(E19,E22,E25)</f>
        <v>40</v>
      </c>
      <c r="F28" s="13">
        <f t="shared" si="7"/>
        <v>50</v>
      </c>
      <c r="G28" s="13">
        <f t="shared" si="7"/>
        <v>46</v>
      </c>
      <c r="H28" s="13">
        <f t="shared" si="7"/>
        <v>31</v>
      </c>
      <c r="I28" s="13">
        <f t="shared" si="7"/>
        <v>78</v>
      </c>
      <c r="J28" s="13">
        <f t="shared" si="7"/>
        <v>92</v>
      </c>
      <c r="K28" s="13">
        <f t="shared" si="7"/>
        <v>78</v>
      </c>
      <c r="L28" s="13">
        <f t="shared" si="7"/>
        <v>84</v>
      </c>
      <c r="M28" s="13">
        <f t="shared" si="7"/>
        <v>89</v>
      </c>
      <c r="N28" s="13">
        <f t="shared" si="7"/>
        <v>51</v>
      </c>
      <c r="O28" s="13">
        <f t="shared" si="7"/>
        <v>86</v>
      </c>
      <c r="P28" s="13">
        <f t="shared" si="7"/>
        <v>70</v>
      </c>
      <c r="Q28" s="13">
        <f t="shared" si="7"/>
        <v>75</v>
      </c>
      <c r="R28" s="13">
        <f t="shared" si="7"/>
        <v>45</v>
      </c>
      <c r="S28" s="13">
        <f t="shared" si="7"/>
        <v>93</v>
      </c>
      <c r="T28" s="13">
        <f t="shared" si="7"/>
        <v>54</v>
      </c>
      <c r="U28" s="13">
        <f t="shared" si="7"/>
        <v>95</v>
      </c>
      <c r="V28" s="13">
        <f t="shared" si="7"/>
        <v>100</v>
      </c>
      <c r="W28" s="13">
        <f t="shared" si="7"/>
        <v>96</v>
      </c>
      <c r="X28" s="13">
        <f t="shared" si="7"/>
        <v>120</v>
      </c>
      <c r="Y28" s="13">
        <f t="shared" si="7"/>
        <v>76</v>
      </c>
      <c r="Z28" s="13">
        <f t="shared" si="7"/>
        <v>73</v>
      </c>
      <c r="AA28" s="13">
        <f t="shared" si="7"/>
        <v>86</v>
      </c>
      <c r="AB28" s="13">
        <f t="shared" si="7"/>
        <v>58</v>
      </c>
      <c r="AC28" s="13">
        <f t="shared" si="7"/>
        <v>110</v>
      </c>
      <c r="AD28" s="13">
        <f t="shared" si="7"/>
        <v>60</v>
      </c>
      <c r="AE28" s="13">
        <f t="shared" si="7"/>
        <v>67</v>
      </c>
      <c r="AF28" s="13">
        <f t="shared" si="7"/>
        <v>57</v>
      </c>
      <c r="AG28" s="13">
        <f t="shared" si="7"/>
        <v>75</v>
      </c>
      <c r="AH28" s="13">
        <f t="shared" si="7"/>
        <v>109</v>
      </c>
      <c r="AI28" s="13">
        <f t="shared" si="7"/>
        <v>79</v>
      </c>
      <c r="AJ28" s="13">
        <f t="shared" si="7"/>
        <v>65</v>
      </c>
      <c r="AK28" s="13">
        <f t="shared" si="7"/>
        <v>73</v>
      </c>
      <c r="AL28" s="13">
        <f t="shared" si="7"/>
        <v>113</v>
      </c>
      <c r="AM28" s="13">
        <f t="shared" si="7"/>
        <v>74</v>
      </c>
      <c r="AN28" s="13">
        <f t="shared" si="7"/>
        <v>64</v>
      </c>
      <c r="AO28" s="13">
        <f t="shared" si="7"/>
        <v>75</v>
      </c>
      <c r="AP28" s="13">
        <f t="shared" si="7"/>
        <v>91</v>
      </c>
      <c r="AQ28" s="13">
        <f t="shared" si="7"/>
        <v>77</v>
      </c>
      <c r="AR28" s="13">
        <f t="shared" si="7"/>
        <v>79</v>
      </c>
      <c r="AS28" s="13">
        <f t="shared" si="7"/>
        <v>65</v>
      </c>
      <c r="AT28" s="13">
        <f t="shared" si="7"/>
        <v>98</v>
      </c>
      <c r="AU28" s="13">
        <f t="shared" si="7"/>
        <v>102</v>
      </c>
      <c r="AV28" s="13">
        <f t="shared" si="7"/>
        <v>98</v>
      </c>
      <c r="AW28" s="13">
        <f t="shared" si="7"/>
        <v>86</v>
      </c>
      <c r="AX28" s="13">
        <f t="shared" si="7"/>
        <v>70</v>
      </c>
      <c r="AY28" s="13">
        <f t="shared" si="7"/>
        <v>96</v>
      </c>
      <c r="AZ28" s="13">
        <f t="shared" si="7"/>
        <v>59</v>
      </c>
      <c r="BA28" s="13">
        <f t="shared" si="7"/>
        <v>74</v>
      </c>
      <c r="BB28" s="13">
        <f t="shared" si="7"/>
        <v>68</v>
      </c>
      <c r="BC28" s="13">
        <f t="shared" si="7"/>
        <v>99</v>
      </c>
      <c r="BD28" s="13">
        <f t="shared" si="7"/>
        <v>86</v>
      </c>
      <c r="BE28" s="13">
        <f t="shared" si="7"/>
        <v>81</v>
      </c>
      <c r="BF28" s="13">
        <f t="shared" si="7"/>
        <v>72</v>
      </c>
      <c r="BG28" s="13">
        <f t="shared" si="7"/>
        <v>86</v>
      </c>
      <c r="BH28" s="13">
        <f t="shared" si="7"/>
        <v>97</v>
      </c>
      <c r="BI28" s="13">
        <f t="shared" si="7"/>
        <v>100</v>
      </c>
      <c r="BJ28" s="13">
        <f t="shared" si="7"/>
        <v>87</v>
      </c>
      <c r="BK28" s="13">
        <f t="shared" si="3"/>
        <v>4558</v>
      </c>
    </row>
    <row r="29" ht="12.75" customHeight="1">
      <c r="A29" s="36"/>
      <c r="B29" s="27"/>
      <c r="C29" s="35"/>
      <c r="D29" s="13" t="s">
        <v>13</v>
      </c>
      <c r="E29" s="13">
        <f t="shared" ref="E29:BJ29" si="8">SUM(E20,E23,E26)</f>
        <v>35</v>
      </c>
      <c r="F29" s="13">
        <f t="shared" si="8"/>
        <v>37</v>
      </c>
      <c r="G29" s="13">
        <f t="shared" si="8"/>
        <v>50</v>
      </c>
      <c r="H29" s="13">
        <f t="shared" si="8"/>
        <v>21</v>
      </c>
      <c r="I29" s="13">
        <f t="shared" si="8"/>
        <v>82</v>
      </c>
      <c r="J29" s="13">
        <f t="shared" si="8"/>
        <v>102</v>
      </c>
      <c r="K29" s="13">
        <f t="shared" si="8"/>
        <v>103</v>
      </c>
      <c r="L29" s="13">
        <f t="shared" si="8"/>
        <v>110</v>
      </c>
      <c r="M29" s="13">
        <f t="shared" si="8"/>
        <v>93</v>
      </c>
      <c r="N29" s="13">
        <f t="shared" si="8"/>
        <v>42</v>
      </c>
      <c r="O29" s="13">
        <f t="shared" si="8"/>
        <v>120</v>
      </c>
      <c r="P29" s="13">
        <f t="shared" si="8"/>
        <v>78</v>
      </c>
      <c r="Q29" s="13">
        <f t="shared" si="8"/>
        <v>77</v>
      </c>
      <c r="R29" s="13">
        <f t="shared" si="8"/>
        <v>46</v>
      </c>
      <c r="S29" s="13">
        <f t="shared" si="8"/>
        <v>88</v>
      </c>
      <c r="T29" s="13">
        <f t="shared" si="8"/>
        <v>65</v>
      </c>
      <c r="U29" s="13">
        <f t="shared" si="8"/>
        <v>102</v>
      </c>
      <c r="V29" s="13">
        <f t="shared" si="8"/>
        <v>121</v>
      </c>
      <c r="W29" s="13">
        <f t="shared" si="8"/>
        <v>107</v>
      </c>
      <c r="X29" s="13">
        <f t="shared" si="8"/>
        <v>127</v>
      </c>
      <c r="Y29" s="13">
        <f t="shared" si="8"/>
        <v>89</v>
      </c>
      <c r="Z29" s="13">
        <f t="shared" si="8"/>
        <v>85</v>
      </c>
      <c r="AA29" s="13">
        <f t="shared" si="8"/>
        <v>117</v>
      </c>
      <c r="AB29" s="13">
        <f t="shared" si="8"/>
        <v>70</v>
      </c>
      <c r="AC29" s="13">
        <f t="shared" si="8"/>
        <v>112</v>
      </c>
      <c r="AD29" s="13">
        <f t="shared" si="8"/>
        <v>72</v>
      </c>
      <c r="AE29" s="13">
        <f t="shared" si="8"/>
        <v>78</v>
      </c>
      <c r="AF29" s="13">
        <f t="shared" si="8"/>
        <v>61</v>
      </c>
      <c r="AG29" s="13">
        <f t="shared" si="8"/>
        <v>103</v>
      </c>
      <c r="AH29" s="13">
        <f t="shared" si="8"/>
        <v>116</v>
      </c>
      <c r="AI29" s="13">
        <f t="shared" si="8"/>
        <v>104</v>
      </c>
      <c r="AJ29" s="13">
        <f t="shared" si="8"/>
        <v>71</v>
      </c>
      <c r="AK29" s="13">
        <f t="shared" si="8"/>
        <v>70</v>
      </c>
      <c r="AL29" s="13">
        <f t="shared" si="8"/>
        <v>123</v>
      </c>
      <c r="AM29" s="13">
        <f t="shared" si="8"/>
        <v>87</v>
      </c>
      <c r="AN29" s="13">
        <f t="shared" si="8"/>
        <v>67</v>
      </c>
      <c r="AO29" s="13">
        <f t="shared" si="8"/>
        <v>72</v>
      </c>
      <c r="AP29" s="13">
        <f t="shared" si="8"/>
        <v>89</v>
      </c>
      <c r="AQ29" s="13">
        <f t="shared" si="8"/>
        <v>77</v>
      </c>
      <c r="AR29" s="13">
        <f t="shared" si="8"/>
        <v>79</v>
      </c>
      <c r="AS29" s="13">
        <f t="shared" si="8"/>
        <v>62</v>
      </c>
      <c r="AT29" s="13">
        <f t="shared" si="8"/>
        <v>117</v>
      </c>
      <c r="AU29" s="13">
        <f t="shared" si="8"/>
        <v>100</v>
      </c>
      <c r="AV29" s="13">
        <f t="shared" si="8"/>
        <v>110</v>
      </c>
      <c r="AW29" s="13">
        <f t="shared" si="8"/>
        <v>108</v>
      </c>
      <c r="AX29" s="13">
        <f t="shared" si="8"/>
        <v>93</v>
      </c>
      <c r="AY29" s="13">
        <f t="shared" si="8"/>
        <v>129</v>
      </c>
      <c r="AZ29" s="13">
        <f t="shared" si="8"/>
        <v>84</v>
      </c>
      <c r="BA29" s="13">
        <f t="shared" si="8"/>
        <v>84</v>
      </c>
      <c r="BB29" s="13">
        <f t="shared" si="8"/>
        <v>71</v>
      </c>
      <c r="BC29" s="13">
        <f t="shared" si="8"/>
        <v>102</v>
      </c>
      <c r="BD29" s="13">
        <f t="shared" si="8"/>
        <v>100</v>
      </c>
      <c r="BE29" s="13">
        <f t="shared" si="8"/>
        <v>101</v>
      </c>
      <c r="BF29" s="13">
        <f t="shared" si="8"/>
        <v>87</v>
      </c>
      <c r="BG29" s="13">
        <f t="shared" si="8"/>
        <v>115</v>
      </c>
      <c r="BH29" s="13">
        <f t="shared" si="8"/>
        <v>128</v>
      </c>
      <c r="BI29" s="13">
        <f t="shared" si="8"/>
        <v>104</v>
      </c>
      <c r="BJ29" s="13">
        <f t="shared" si="8"/>
        <v>106</v>
      </c>
      <c r="BK29" s="13">
        <f t="shared" si="3"/>
        <v>5149</v>
      </c>
    </row>
    <row r="30" ht="12.75" customHeight="1">
      <c r="A30" s="36"/>
      <c r="B30" s="28"/>
      <c r="C30" s="37"/>
      <c r="D30" s="13" t="s">
        <v>14</v>
      </c>
      <c r="E30" s="13">
        <f t="shared" ref="E30:BJ30" si="9">SUM(E28:E29)</f>
        <v>75</v>
      </c>
      <c r="F30" s="13">
        <f t="shared" si="9"/>
        <v>87</v>
      </c>
      <c r="G30" s="13">
        <f t="shared" si="9"/>
        <v>96</v>
      </c>
      <c r="H30" s="13">
        <f t="shared" si="9"/>
        <v>52</v>
      </c>
      <c r="I30" s="13">
        <f t="shared" si="9"/>
        <v>160</v>
      </c>
      <c r="J30" s="13">
        <f t="shared" si="9"/>
        <v>194</v>
      </c>
      <c r="K30" s="13">
        <f t="shared" si="9"/>
        <v>181</v>
      </c>
      <c r="L30" s="13">
        <f t="shared" si="9"/>
        <v>194</v>
      </c>
      <c r="M30" s="13">
        <f t="shared" si="9"/>
        <v>182</v>
      </c>
      <c r="N30" s="13">
        <f t="shared" si="9"/>
        <v>93</v>
      </c>
      <c r="O30" s="13">
        <f t="shared" si="9"/>
        <v>206</v>
      </c>
      <c r="P30" s="13">
        <f t="shared" si="9"/>
        <v>148</v>
      </c>
      <c r="Q30" s="13">
        <f t="shared" si="9"/>
        <v>152</v>
      </c>
      <c r="R30" s="13">
        <f t="shared" si="9"/>
        <v>91</v>
      </c>
      <c r="S30" s="13">
        <f t="shared" si="9"/>
        <v>181</v>
      </c>
      <c r="T30" s="13">
        <f t="shared" si="9"/>
        <v>119</v>
      </c>
      <c r="U30" s="13">
        <f t="shared" si="9"/>
        <v>197</v>
      </c>
      <c r="V30" s="13">
        <f t="shared" si="9"/>
        <v>221</v>
      </c>
      <c r="W30" s="13">
        <f t="shared" si="9"/>
        <v>203</v>
      </c>
      <c r="X30" s="13">
        <f t="shared" si="9"/>
        <v>247</v>
      </c>
      <c r="Y30" s="13">
        <f t="shared" si="9"/>
        <v>165</v>
      </c>
      <c r="Z30" s="13">
        <f t="shared" si="9"/>
        <v>158</v>
      </c>
      <c r="AA30" s="13">
        <f t="shared" si="9"/>
        <v>203</v>
      </c>
      <c r="AB30" s="13">
        <f t="shared" si="9"/>
        <v>128</v>
      </c>
      <c r="AC30" s="13">
        <f t="shared" si="9"/>
        <v>222</v>
      </c>
      <c r="AD30" s="13">
        <f t="shared" si="9"/>
        <v>132</v>
      </c>
      <c r="AE30" s="13">
        <f t="shared" si="9"/>
        <v>145</v>
      </c>
      <c r="AF30" s="13">
        <f t="shared" si="9"/>
        <v>118</v>
      </c>
      <c r="AG30" s="13">
        <f t="shared" si="9"/>
        <v>178</v>
      </c>
      <c r="AH30" s="13">
        <f t="shared" si="9"/>
        <v>225</v>
      </c>
      <c r="AI30" s="13">
        <f t="shared" si="9"/>
        <v>183</v>
      </c>
      <c r="AJ30" s="13">
        <f t="shared" si="9"/>
        <v>136</v>
      </c>
      <c r="AK30" s="13">
        <f t="shared" si="9"/>
        <v>143</v>
      </c>
      <c r="AL30" s="13">
        <f t="shared" si="9"/>
        <v>236</v>
      </c>
      <c r="AM30" s="13">
        <f t="shared" si="9"/>
        <v>161</v>
      </c>
      <c r="AN30" s="13">
        <f t="shared" si="9"/>
        <v>131</v>
      </c>
      <c r="AO30" s="13">
        <f t="shared" si="9"/>
        <v>147</v>
      </c>
      <c r="AP30" s="13">
        <f t="shared" si="9"/>
        <v>180</v>
      </c>
      <c r="AQ30" s="13">
        <f t="shared" si="9"/>
        <v>154</v>
      </c>
      <c r="AR30" s="13">
        <f t="shared" si="9"/>
        <v>158</v>
      </c>
      <c r="AS30" s="13">
        <f t="shared" si="9"/>
        <v>127</v>
      </c>
      <c r="AT30" s="13">
        <f t="shared" si="9"/>
        <v>215</v>
      </c>
      <c r="AU30" s="13">
        <f t="shared" si="9"/>
        <v>202</v>
      </c>
      <c r="AV30" s="13">
        <f t="shared" si="9"/>
        <v>208</v>
      </c>
      <c r="AW30" s="13">
        <f t="shared" si="9"/>
        <v>194</v>
      </c>
      <c r="AX30" s="13">
        <f t="shared" si="9"/>
        <v>163</v>
      </c>
      <c r="AY30" s="13">
        <f t="shared" si="9"/>
        <v>225</v>
      </c>
      <c r="AZ30" s="13">
        <f t="shared" si="9"/>
        <v>143</v>
      </c>
      <c r="BA30" s="13">
        <f t="shared" si="9"/>
        <v>158</v>
      </c>
      <c r="BB30" s="13">
        <f t="shared" si="9"/>
        <v>139</v>
      </c>
      <c r="BC30" s="13">
        <f t="shared" si="9"/>
        <v>201</v>
      </c>
      <c r="BD30" s="13">
        <f t="shared" si="9"/>
        <v>186</v>
      </c>
      <c r="BE30" s="13">
        <f t="shared" si="9"/>
        <v>182</v>
      </c>
      <c r="BF30" s="13">
        <f t="shared" si="9"/>
        <v>159</v>
      </c>
      <c r="BG30" s="13">
        <f t="shared" si="9"/>
        <v>201</v>
      </c>
      <c r="BH30" s="13">
        <f t="shared" si="9"/>
        <v>225</v>
      </c>
      <c r="BI30" s="13">
        <f t="shared" si="9"/>
        <v>204</v>
      </c>
      <c r="BJ30" s="13">
        <f t="shared" si="9"/>
        <v>193</v>
      </c>
      <c r="BK30" s="13">
        <f t="shared" si="3"/>
        <v>9707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3"/>
      <c r="O31" s="19"/>
      <c r="P31" s="19"/>
      <c r="Q31" s="19"/>
      <c r="R31" s="19"/>
      <c r="S31" s="63"/>
      <c r="T31" s="19"/>
      <c r="U31" s="19"/>
      <c r="V31" s="19"/>
      <c r="W31" s="19"/>
      <c r="X31" s="63"/>
      <c r="Y31" s="19"/>
      <c r="Z31" s="19"/>
      <c r="AA31" s="19"/>
      <c r="AB31" s="19"/>
      <c r="AC31" s="63"/>
      <c r="AD31" s="19"/>
      <c r="AE31" s="19"/>
      <c r="AF31" s="19"/>
      <c r="AG31" s="19"/>
      <c r="AH31" s="63"/>
      <c r="AI31" s="19"/>
      <c r="AJ31" s="19"/>
      <c r="AK31" s="19"/>
      <c r="AL31" s="19"/>
      <c r="AM31" s="63"/>
      <c r="AN31" s="19"/>
      <c r="AO31" s="19"/>
      <c r="AP31" s="19"/>
      <c r="AQ31" s="19"/>
      <c r="AR31" s="63"/>
      <c r="AS31" s="19"/>
      <c r="AT31" s="19"/>
      <c r="AU31" s="19"/>
      <c r="AV31" s="19"/>
      <c r="AW31" s="63"/>
      <c r="AX31" s="19"/>
      <c r="AY31" s="19"/>
      <c r="AZ31" s="19"/>
      <c r="BA31" s="19"/>
      <c r="BB31" s="63"/>
      <c r="BC31" s="19"/>
      <c r="BD31" s="19"/>
      <c r="BE31" s="19"/>
      <c r="BF31" s="19"/>
      <c r="BG31" s="63"/>
      <c r="BH31" s="19"/>
      <c r="BI31" s="19"/>
      <c r="BJ31" s="19"/>
      <c r="BK31" s="64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5"/>
      <c r="O32" s="13"/>
      <c r="P32" s="13"/>
      <c r="Q32" s="13"/>
      <c r="R32" s="13"/>
      <c r="S32" s="65"/>
      <c r="T32" s="13"/>
      <c r="U32" s="13"/>
      <c r="V32" s="13"/>
      <c r="W32" s="13"/>
      <c r="X32" s="65"/>
      <c r="Y32" s="13"/>
      <c r="Z32" s="13"/>
      <c r="AA32" s="13"/>
      <c r="AB32" s="13"/>
      <c r="AC32" s="65"/>
      <c r="AD32" s="13"/>
      <c r="AE32" s="13"/>
      <c r="AF32" s="13"/>
      <c r="AG32" s="13"/>
      <c r="AH32" s="65"/>
      <c r="AI32" s="13"/>
      <c r="AJ32" s="13"/>
      <c r="AK32" s="13"/>
      <c r="AL32" s="13"/>
      <c r="AM32" s="65"/>
      <c r="AN32" s="13"/>
      <c r="AO32" s="13"/>
      <c r="AP32" s="13"/>
      <c r="AQ32" s="13"/>
      <c r="AR32" s="65"/>
      <c r="AS32" s="13"/>
      <c r="AT32" s="13"/>
      <c r="AU32" s="13"/>
      <c r="AV32" s="13"/>
      <c r="AW32" s="65"/>
      <c r="AX32" s="13"/>
      <c r="AY32" s="13"/>
      <c r="AZ32" s="13"/>
      <c r="BA32" s="13"/>
      <c r="BB32" s="65"/>
      <c r="BC32" s="13"/>
      <c r="BD32" s="13"/>
      <c r="BE32" s="13"/>
      <c r="BF32" s="13"/>
      <c r="BG32" s="65"/>
      <c r="BH32" s="13"/>
      <c r="BI32" s="13"/>
      <c r="BJ32" s="13"/>
      <c r="BK32" s="64"/>
    </row>
    <row r="33" ht="12.75" customHeight="1">
      <c r="A33" s="19">
        <v>1.0</v>
      </c>
      <c r="B33" s="20" t="s">
        <v>27</v>
      </c>
      <c r="C33" s="15"/>
      <c r="D33" s="16"/>
      <c r="E33" s="19">
        <v>104.0</v>
      </c>
      <c r="F33" s="19">
        <v>111.0</v>
      </c>
      <c r="G33" s="19">
        <v>118.0</v>
      </c>
      <c r="H33" s="19">
        <v>90.0</v>
      </c>
      <c r="I33" s="19">
        <v>226.0</v>
      </c>
      <c r="J33" s="19">
        <v>281.0</v>
      </c>
      <c r="K33" s="19">
        <v>295.0</v>
      </c>
      <c r="L33" s="19">
        <v>295.0</v>
      </c>
      <c r="M33" s="19">
        <v>272.0</v>
      </c>
      <c r="N33" s="19">
        <v>95.0</v>
      </c>
      <c r="O33" s="19">
        <v>278.0</v>
      </c>
      <c r="P33" s="19">
        <v>259.0</v>
      </c>
      <c r="Q33" s="19">
        <v>215.0</v>
      </c>
      <c r="R33" s="19">
        <v>144.0</v>
      </c>
      <c r="S33" s="19">
        <v>248.0</v>
      </c>
      <c r="T33" s="19">
        <v>167.0</v>
      </c>
      <c r="U33" s="19">
        <v>250.0</v>
      </c>
      <c r="V33" s="19">
        <v>300.0</v>
      </c>
      <c r="W33" s="19">
        <v>240.0</v>
      </c>
      <c r="X33" s="19">
        <v>299.0</v>
      </c>
      <c r="Y33" s="19">
        <v>259.0</v>
      </c>
      <c r="Z33" s="19">
        <v>215.0</v>
      </c>
      <c r="AA33" s="19">
        <v>261.0</v>
      </c>
      <c r="AB33" s="19">
        <v>183.0</v>
      </c>
      <c r="AC33" s="19">
        <v>300.0</v>
      </c>
      <c r="AD33" s="19">
        <v>210.0</v>
      </c>
      <c r="AE33" s="19">
        <v>186.0</v>
      </c>
      <c r="AF33" s="19">
        <v>143.0</v>
      </c>
      <c r="AG33" s="19">
        <v>273.0</v>
      </c>
      <c r="AH33" s="19">
        <v>303.0</v>
      </c>
      <c r="AI33" s="19">
        <v>243.0</v>
      </c>
      <c r="AJ33" s="19">
        <v>201.0</v>
      </c>
      <c r="AK33" s="19">
        <v>200.0</v>
      </c>
      <c r="AL33" s="19">
        <v>275.0</v>
      </c>
      <c r="AM33" s="19">
        <v>233.0</v>
      </c>
      <c r="AN33" s="19">
        <v>189.0</v>
      </c>
      <c r="AO33" s="19">
        <v>160.0</v>
      </c>
      <c r="AP33" s="19">
        <v>216.0</v>
      </c>
      <c r="AQ33" s="19">
        <v>187.0</v>
      </c>
      <c r="AR33" s="19">
        <v>192.0</v>
      </c>
      <c r="AS33" s="19">
        <v>162.0</v>
      </c>
      <c r="AT33" s="19">
        <v>303.0</v>
      </c>
      <c r="AU33" s="19">
        <v>280.0</v>
      </c>
      <c r="AV33" s="19">
        <v>301.0</v>
      </c>
      <c r="AW33" s="19">
        <v>303.0</v>
      </c>
      <c r="AX33" s="19">
        <v>231.0</v>
      </c>
      <c r="AY33" s="19">
        <v>300.0</v>
      </c>
      <c r="AZ33" s="19">
        <v>178.0</v>
      </c>
      <c r="BA33" s="19">
        <v>216.0</v>
      </c>
      <c r="BB33" s="19">
        <v>180.0</v>
      </c>
      <c r="BC33" s="19">
        <v>264.0</v>
      </c>
      <c r="BD33" s="19">
        <v>253.0</v>
      </c>
      <c r="BE33" s="19">
        <v>287.0</v>
      </c>
      <c r="BF33" s="19">
        <v>187.0</v>
      </c>
      <c r="BG33" s="19">
        <v>288.0</v>
      </c>
      <c r="BH33" s="19">
        <v>291.0</v>
      </c>
      <c r="BI33" s="19">
        <v>244.0</v>
      </c>
      <c r="BJ33" s="19">
        <v>273.0</v>
      </c>
      <c r="BK33" s="13">
        <f t="shared" ref="BK33:BK36" si="10">SUM(E33:BJ33)</f>
        <v>13257</v>
      </c>
    </row>
    <row r="34" ht="12.75" customHeight="1">
      <c r="A34" s="19">
        <v>2.0</v>
      </c>
      <c r="B34" s="20" t="s">
        <v>28</v>
      </c>
      <c r="C34" s="15"/>
      <c r="D34" s="16"/>
      <c r="E34" s="13">
        <v>75.0</v>
      </c>
      <c r="F34" s="13">
        <v>87.0</v>
      </c>
      <c r="G34" s="13">
        <v>96.0</v>
      </c>
      <c r="H34" s="13">
        <v>52.0</v>
      </c>
      <c r="I34" s="13">
        <v>160.0</v>
      </c>
      <c r="J34" s="13">
        <v>194.0</v>
      </c>
      <c r="K34" s="13">
        <v>181.0</v>
      </c>
      <c r="L34" s="13">
        <v>194.0</v>
      </c>
      <c r="M34" s="13">
        <v>182.0</v>
      </c>
      <c r="N34" s="13">
        <v>93.0</v>
      </c>
      <c r="O34" s="13">
        <v>206.0</v>
      </c>
      <c r="P34" s="13">
        <v>148.0</v>
      </c>
      <c r="Q34" s="13">
        <v>152.0</v>
      </c>
      <c r="R34" s="13">
        <v>91.0</v>
      </c>
      <c r="S34" s="13">
        <v>181.0</v>
      </c>
      <c r="T34" s="13">
        <v>119.0</v>
      </c>
      <c r="U34" s="13">
        <v>197.0</v>
      </c>
      <c r="V34" s="13">
        <v>221.0</v>
      </c>
      <c r="W34" s="13">
        <v>203.0</v>
      </c>
      <c r="X34" s="13">
        <v>247.0</v>
      </c>
      <c r="Y34" s="13">
        <v>165.0</v>
      </c>
      <c r="Z34" s="13">
        <v>158.0</v>
      </c>
      <c r="AA34" s="13">
        <v>203.0</v>
      </c>
      <c r="AB34" s="13">
        <v>128.0</v>
      </c>
      <c r="AC34" s="13">
        <v>222.0</v>
      </c>
      <c r="AD34" s="13">
        <v>132.0</v>
      </c>
      <c r="AE34" s="13">
        <v>145.0</v>
      </c>
      <c r="AF34" s="13">
        <v>118.0</v>
      </c>
      <c r="AG34" s="13">
        <v>178.0</v>
      </c>
      <c r="AH34" s="13">
        <v>225.0</v>
      </c>
      <c r="AI34" s="13">
        <v>183.0</v>
      </c>
      <c r="AJ34" s="13">
        <v>136.0</v>
      </c>
      <c r="AK34" s="13">
        <v>143.0</v>
      </c>
      <c r="AL34" s="13">
        <v>236.0</v>
      </c>
      <c r="AM34" s="13">
        <v>161.0</v>
      </c>
      <c r="AN34" s="13">
        <v>131.0</v>
      </c>
      <c r="AO34" s="13">
        <v>147.0</v>
      </c>
      <c r="AP34" s="13">
        <v>180.0</v>
      </c>
      <c r="AQ34" s="13">
        <v>154.0</v>
      </c>
      <c r="AR34" s="13">
        <v>158.0</v>
      </c>
      <c r="AS34" s="13">
        <v>127.0</v>
      </c>
      <c r="AT34" s="13">
        <v>215.0</v>
      </c>
      <c r="AU34" s="13">
        <v>202.0</v>
      </c>
      <c r="AV34" s="13">
        <v>208.0</v>
      </c>
      <c r="AW34" s="13">
        <v>194.0</v>
      </c>
      <c r="AX34" s="13">
        <v>163.0</v>
      </c>
      <c r="AY34" s="13">
        <v>225.0</v>
      </c>
      <c r="AZ34" s="13">
        <v>143.0</v>
      </c>
      <c r="BA34" s="13">
        <v>158.0</v>
      </c>
      <c r="BB34" s="13">
        <v>139.0</v>
      </c>
      <c r="BC34" s="13">
        <v>201.0</v>
      </c>
      <c r="BD34" s="13">
        <v>186.0</v>
      </c>
      <c r="BE34" s="13">
        <v>182.0</v>
      </c>
      <c r="BF34" s="13">
        <v>159.0</v>
      </c>
      <c r="BG34" s="13">
        <v>201.0</v>
      </c>
      <c r="BH34" s="13">
        <v>225.0</v>
      </c>
      <c r="BI34" s="13">
        <v>204.0</v>
      </c>
      <c r="BJ34" s="13">
        <v>193.0</v>
      </c>
      <c r="BK34" s="13">
        <f t="shared" si="10"/>
        <v>9707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>
        <v>1.0</v>
      </c>
      <c r="M35" s="19"/>
      <c r="N35" s="19"/>
      <c r="O35" s="19"/>
      <c r="P35" s="19"/>
      <c r="Q35" s="19">
        <v>1.0</v>
      </c>
      <c r="R35" s="19">
        <v>1.0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>
        <v>3.0</v>
      </c>
      <c r="AE35" s="19"/>
      <c r="AF35" s="19"/>
      <c r="AG35" s="19">
        <v>2.0</v>
      </c>
      <c r="AH35" s="19">
        <v>1.0</v>
      </c>
      <c r="AI35" s="19"/>
      <c r="AJ35" s="19"/>
      <c r="AK35" s="19"/>
      <c r="AL35" s="19"/>
      <c r="AM35" s="19">
        <v>1.0</v>
      </c>
      <c r="AN35" s="19"/>
      <c r="AO35" s="19"/>
      <c r="AP35" s="19"/>
      <c r="AQ35" s="19">
        <v>1.0</v>
      </c>
      <c r="AR35" s="19"/>
      <c r="AS35" s="19"/>
      <c r="AT35" s="19"/>
      <c r="AU35" s="19"/>
      <c r="AV35" s="19">
        <v>8.0</v>
      </c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3">
        <f t="shared" si="10"/>
        <v>19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J36" si="11">E33-(E34+E35)</f>
        <v>29</v>
      </c>
      <c r="F36" s="13">
        <f t="shared" si="11"/>
        <v>24</v>
      </c>
      <c r="G36" s="13">
        <f t="shared" si="11"/>
        <v>22</v>
      </c>
      <c r="H36" s="13">
        <f t="shared" si="11"/>
        <v>38</v>
      </c>
      <c r="I36" s="13">
        <f t="shared" si="11"/>
        <v>66</v>
      </c>
      <c r="J36" s="13">
        <f t="shared" si="11"/>
        <v>87</v>
      </c>
      <c r="K36" s="13">
        <f t="shared" si="11"/>
        <v>114</v>
      </c>
      <c r="L36" s="13">
        <f t="shared" si="11"/>
        <v>100</v>
      </c>
      <c r="M36" s="13">
        <f t="shared" si="11"/>
        <v>90</v>
      </c>
      <c r="N36" s="13">
        <f t="shared" si="11"/>
        <v>2</v>
      </c>
      <c r="O36" s="13">
        <f t="shared" si="11"/>
        <v>72</v>
      </c>
      <c r="P36" s="13">
        <f t="shared" si="11"/>
        <v>111</v>
      </c>
      <c r="Q36" s="13">
        <f t="shared" si="11"/>
        <v>62</v>
      </c>
      <c r="R36" s="13">
        <f t="shared" si="11"/>
        <v>52</v>
      </c>
      <c r="S36" s="13">
        <f t="shared" si="11"/>
        <v>67</v>
      </c>
      <c r="T36" s="13">
        <f t="shared" si="11"/>
        <v>48</v>
      </c>
      <c r="U36" s="13">
        <f t="shared" si="11"/>
        <v>53</v>
      </c>
      <c r="V36" s="13">
        <f t="shared" si="11"/>
        <v>79</v>
      </c>
      <c r="W36" s="13">
        <f t="shared" si="11"/>
        <v>37</v>
      </c>
      <c r="X36" s="13">
        <f t="shared" si="11"/>
        <v>52</v>
      </c>
      <c r="Y36" s="13">
        <f t="shared" si="11"/>
        <v>94</v>
      </c>
      <c r="Z36" s="13">
        <f t="shared" si="11"/>
        <v>57</v>
      </c>
      <c r="AA36" s="13">
        <f t="shared" si="11"/>
        <v>58</v>
      </c>
      <c r="AB36" s="13">
        <f t="shared" si="11"/>
        <v>55</v>
      </c>
      <c r="AC36" s="13">
        <f t="shared" si="11"/>
        <v>78</v>
      </c>
      <c r="AD36" s="13">
        <f t="shared" si="11"/>
        <v>75</v>
      </c>
      <c r="AE36" s="13">
        <f t="shared" si="11"/>
        <v>41</v>
      </c>
      <c r="AF36" s="13">
        <f t="shared" si="11"/>
        <v>25</v>
      </c>
      <c r="AG36" s="13">
        <f t="shared" si="11"/>
        <v>93</v>
      </c>
      <c r="AH36" s="13">
        <f t="shared" si="11"/>
        <v>77</v>
      </c>
      <c r="AI36" s="13">
        <f t="shared" si="11"/>
        <v>60</v>
      </c>
      <c r="AJ36" s="13">
        <f t="shared" si="11"/>
        <v>65</v>
      </c>
      <c r="AK36" s="13">
        <f t="shared" si="11"/>
        <v>57</v>
      </c>
      <c r="AL36" s="13">
        <f t="shared" si="11"/>
        <v>39</v>
      </c>
      <c r="AM36" s="13">
        <f t="shared" si="11"/>
        <v>71</v>
      </c>
      <c r="AN36" s="13">
        <f t="shared" si="11"/>
        <v>58</v>
      </c>
      <c r="AO36" s="13">
        <f t="shared" si="11"/>
        <v>13</v>
      </c>
      <c r="AP36" s="13">
        <f t="shared" si="11"/>
        <v>36</v>
      </c>
      <c r="AQ36" s="13">
        <f t="shared" si="11"/>
        <v>32</v>
      </c>
      <c r="AR36" s="13">
        <f t="shared" si="11"/>
        <v>34</v>
      </c>
      <c r="AS36" s="13">
        <f t="shared" si="11"/>
        <v>35</v>
      </c>
      <c r="AT36" s="13">
        <f t="shared" si="11"/>
        <v>88</v>
      </c>
      <c r="AU36" s="13">
        <f t="shared" si="11"/>
        <v>78</v>
      </c>
      <c r="AV36" s="13">
        <f t="shared" si="11"/>
        <v>85</v>
      </c>
      <c r="AW36" s="13">
        <f t="shared" si="11"/>
        <v>109</v>
      </c>
      <c r="AX36" s="13">
        <f t="shared" si="11"/>
        <v>68</v>
      </c>
      <c r="AY36" s="13">
        <f t="shared" si="11"/>
        <v>75</v>
      </c>
      <c r="AZ36" s="13">
        <f t="shared" si="11"/>
        <v>35</v>
      </c>
      <c r="BA36" s="13">
        <f t="shared" si="11"/>
        <v>58</v>
      </c>
      <c r="BB36" s="13">
        <f t="shared" si="11"/>
        <v>41</v>
      </c>
      <c r="BC36" s="13">
        <f t="shared" si="11"/>
        <v>63</v>
      </c>
      <c r="BD36" s="13">
        <f t="shared" si="11"/>
        <v>67</v>
      </c>
      <c r="BE36" s="13">
        <f t="shared" si="11"/>
        <v>105</v>
      </c>
      <c r="BF36" s="13">
        <f t="shared" si="11"/>
        <v>28</v>
      </c>
      <c r="BG36" s="13">
        <f t="shared" si="11"/>
        <v>87</v>
      </c>
      <c r="BH36" s="13">
        <f t="shared" si="11"/>
        <v>66</v>
      </c>
      <c r="BI36" s="13">
        <f t="shared" si="11"/>
        <v>40</v>
      </c>
      <c r="BJ36" s="13">
        <f t="shared" si="11"/>
        <v>80</v>
      </c>
      <c r="BK36" s="13">
        <f t="shared" si="10"/>
        <v>3531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3"/>
      <c r="O37" s="19"/>
      <c r="P37" s="19"/>
      <c r="Q37" s="19"/>
      <c r="R37" s="19"/>
      <c r="S37" s="63"/>
      <c r="T37" s="19"/>
      <c r="U37" s="19"/>
      <c r="V37" s="19"/>
      <c r="W37" s="19"/>
      <c r="X37" s="63"/>
      <c r="Y37" s="19"/>
      <c r="Z37" s="19"/>
      <c r="AA37" s="19"/>
      <c r="AB37" s="19"/>
      <c r="AC37" s="63"/>
      <c r="AD37" s="19"/>
      <c r="AE37" s="19"/>
      <c r="AF37" s="19"/>
      <c r="AG37" s="19"/>
      <c r="AH37" s="63"/>
      <c r="AI37" s="19"/>
      <c r="AJ37" s="19"/>
      <c r="AK37" s="19"/>
      <c r="AL37" s="19"/>
      <c r="AM37" s="63"/>
      <c r="AN37" s="19"/>
      <c r="AO37" s="19"/>
      <c r="AP37" s="19"/>
      <c r="AQ37" s="19"/>
      <c r="AR37" s="63"/>
      <c r="AS37" s="19"/>
      <c r="AT37" s="19"/>
      <c r="AU37" s="19"/>
      <c r="AV37" s="19"/>
      <c r="AW37" s="63"/>
      <c r="AX37" s="19"/>
      <c r="AY37" s="19"/>
      <c r="AZ37" s="19"/>
      <c r="BA37" s="19"/>
      <c r="BB37" s="63"/>
      <c r="BC37" s="19"/>
      <c r="BD37" s="19"/>
      <c r="BE37" s="19"/>
      <c r="BF37" s="19"/>
      <c r="BG37" s="63"/>
      <c r="BH37" s="19"/>
      <c r="BI37" s="19"/>
      <c r="BJ37" s="19"/>
      <c r="BK37" s="64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5"/>
      <c r="O38" s="13"/>
      <c r="P38" s="13"/>
      <c r="Q38" s="13"/>
      <c r="R38" s="13"/>
      <c r="S38" s="65"/>
      <c r="T38" s="13"/>
      <c r="U38" s="13"/>
      <c r="V38" s="13"/>
      <c r="W38" s="13"/>
      <c r="X38" s="65"/>
      <c r="Y38" s="13"/>
      <c r="Z38" s="13"/>
      <c r="AA38" s="13"/>
      <c r="AB38" s="13"/>
      <c r="AC38" s="65"/>
      <c r="AD38" s="13"/>
      <c r="AE38" s="13"/>
      <c r="AF38" s="13"/>
      <c r="AG38" s="13"/>
      <c r="AH38" s="65"/>
      <c r="AI38" s="13"/>
      <c r="AJ38" s="13"/>
      <c r="AK38" s="13"/>
      <c r="AL38" s="13"/>
      <c r="AM38" s="65"/>
      <c r="AN38" s="13"/>
      <c r="AO38" s="13"/>
      <c r="AP38" s="13"/>
      <c r="AQ38" s="13"/>
      <c r="AR38" s="65"/>
      <c r="AS38" s="13"/>
      <c r="AT38" s="13"/>
      <c r="AU38" s="13"/>
      <c r="AV38" s="13"/>
      <c r="AW38" s="65"/>
      <c r="AX38" s="13"/>
      <c r="AY38" s="13"/>
      <c r="AZ38" s="13"/>
      <c r="BA38" s="13"/>
      <c r="BB38" s="65"/>
      <c r="BC38" s="13"/>
      <c r="BD38" s="13"/>
      <c r="BE38" s="13"/>
      <c r="BF38" s="13"/>
      <c r="BG38" s="65"/>
      <c r="BH38" s="13"/>
      <c r="BI38" s="13"/>
      <c r="BJ38" s="13"/>
      <c r="BK38" s="64"/>
    </row>
    <row r="39" ht="12.75" customHeight="1">
      <c r="A39" s="31"/>
      <c r="B39" s="45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>
        <v>1.0</v>
      </c>
      <c r="T39" s="19"/>
      <c r="U39" s="19"/>
      <c r="V39" s="19"/>
      <c r="W39" s="19"/>
      <c r="X39" s="19">
        <v>1.0</v>
      </c>
      <c r="Y39" s="19">
        <v>1.0</v>
      </c>
      <c r="Z39" s="19">
        <v>1.0</v>
      </c>
      <c r="AA39" s="19"/>
      <c r="AB39" s="19"/>
      <c r="AC39" s="19"/>
      <c r="AD39" s="19"/>
      <c r="AE39" s="19"/>
      <c r="AF39" s="19"/>
      <c r="AG39" s="19">
        <v>1.0</v>
      </c>
      <c r="AH39" s="19"/>
      <c r="AI39" s="19">
        <v>2.0</v>
      </c>
      <c r="AJ39" s="19"/>
      <c r="AK39" s="19"/>
      <c r="AL39" s="19"/>
      <c r="AM39" s="19"/>
      <c r="AN39" s="19"/>
      <c r="AO39" s="19"/>
      <c r="AP39" s="19"/>
      <c r="AQ39" s="19"/>
      <c r="AR39" s="19">
        <v>1.0</v>
      </c>
      <c r="AS39" s="19"/>
      <c r="AT39" s="19"/>
      <c r="AU39" s="19"/>
      <c r="AV39" s="19"/>
      <c r="AW39" s="19"/>
      <c r="AX39" s="19">
        <v>1.0</v>
      </c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3">
        <f t="shared" ref="BK39:BK41" si="12">SUM(E39:BJ39)</f>
        <v>9</v>
      </c>
    </row>
    <row r="40" ht="12.75" customHeight="1">
      <c r="A40" s="34"/>
      <c r="C40" s="27"/>
      <c r="D40" s="19" t="s">
        <v>13</v>
      </c>
      <c r="E40" s="19"/>
      <c r="F40" s="19">
        <v>1.0</v>
      </c>
      <c r="G40" s="19"/>
      <c r="H40" s="19"/>
      <c r="I40" s="19"/>
      <c r="J40" s="19"/>
      <c r="K40" s="19"/>
      <c r="L40" s="19"/>
      <c r="M40" s="19"/>
      <c r="N40" s="19"/>
      <c r="O40" s="19">
        <v>1.0</v>
      </c>
      <c r="P40" s="19"/>
      <c r="Q40" s="19"/>
      <c r="R40" s="19"/>
      <c r="S40" s="19">
        <v>2.0</v>
      </c>
      <c r="T40" s="19">
        <v>1.0</v>
      </c>
      <c r="U40" s="19"/>
      <c r="V40" s="19"/>
      <c r="W40" s="19"/>
      <c r="X40" s="19">
        <v>3.0</v>
      </c>
      <c r="Y40" s="19"/>
      <c r="Z40" s="19">
        <v>1.0</v>
      </c>
      <c r="AA40" s="19"/>
      <c r="AB40" s="19"/>
      <c r="AC40" s="19"/>
      <c r="AD40" s="19"/>
      <c r="AE40" s="19"/>
      <c r="AF40" s="19"/>
      <c r="AG40" s="19"/>
      <c r="AH40" s="19"/>
      <c r="AI40" s="19">
        <v>3.0</v>
      </c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>
        <v>1.0</v>
      </c>
      <c r="AU40" s="19"/>
      <c r="AV40" s="19"/>
      <c r="AW40" s="19"/>
      <c r="AX40" s="19">
        <v>3.0</v>
      </c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3">
        <f t="shared" si="12"/>
        <v>16</v>
      </c>
    </row>
    <row r="41" ht="12.75" customHeight="1">
      <c r="A41" s="43"/>
      <c r="B41" s="46"/>
      <c r="C41" s="28"/>
      <c r="D41" s="13" t="s">
        <v>14</v>
      </c>
      <c r="E41" s="13">
        <f t="shared" ref="E41:BJ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3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4</v>
      </c>
      <c r="Y41" s="13">
        <f t="shared" si="13"/>
        <v>1</v>
      </c>
      <c r="Z41" s="13">
        <f t="shared" si="13"/>
        <v>2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1</v>
      </c>
      <c r="AH41" s="13">
        <f t="shared" si="13"/>
        <v>0</v>
      </c>
      <c r="AI41" s="13">
        <f t="shared" si="13"/>
        <v>5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1</v>
      </c>
      <c r="AS41" s="13">
        <f t="shared" si="13"/>
        <v>0</v>
      </c>
      <c r="AT41" s="13">
        <f t="shared" si="13"/>
        <v>1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4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2"/>
        <v>25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3"/>
      <c r="O42" s="19"/>
      <c r="P42" s="19"/>
      <c r="Q42" s="19"/>
      <c r="R42" s="19"/>
      <c r="S42" s="63"/>
      <c r="T42" s="19"/>
      <c r="U42" s="19"/>
      <c r="V42" s="19"/>
      <c r="W42" s="19"/>
      <c r="X42" s="63"/>
      <c r="Y42" s="19"/>
      <c r="Z42" s="19"/>
      <c r="AA42" s="19"/>
      <c r="AB42" s="19"/>
      <c r="AC42" s="63"/>
      <c r="AD42" s="19"/>
      <c r="AE42" s="19"/>
      <c r="AF42" s="19"/>
      <c r="AG42" s="19"/>
      <c r="AH42" s="63"/>
      <c r="AI42" s="19"/>
      <c r="AJ42" s="19"/>
      <c r="AK42" s="19"/>
      <c r="AL42" s="19"/>
      <c r="AM42" s="63"/>
      <c r="AN42" s="19"/>
      <c r="AO42" s="19"/>
      <c r="AP42" s="19"/>
      <c r="AQ42" s="19"/>
      <c r="AR42" s="63"/>
      <c r="AS42" s="19"/>
      <c r="AT42" s="19"/>
      <c r="AU42" s="19"/>
      <c r="AV42" s="19"/>
      <c r="AW42" s="63"/>
      <c r="AX42" s="19"/>
      <c r="AY42" s="19"/>
      <c r="AZ42" s="19"/>
      <c r="BA42" s="19"/>
      <c r="BB42" s="63"/>
      <c r="BC42" s="19"/>
      <c r="BD42" s="19"/>
      <c r="BE42" s="19"/>
      <c r="BF42" s="19"/>
      <c r="BG42" s="63"/>
      <c r="BH42" s="19"/>
      <c r="BI42" s="19"/>
      <c r="BJ42" s="19"/>
      <c r="BK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5"/>
      <c r="O43" s="13"/>
      <c r="P43" s="13"/>
      <c r="Q43" s="13"/>
      <c r="R43" s="13"/>
      <c r="S43" s="65"/>
      <c r="T43" s="13"/>
      <c r="U43" s="13"/>
      <c r="V43" s="13"/>
      <c r="W43" s="13"/>
      <c r="X43" s="65"/>
      <c r="Y43" s="13"/>
      <c r="Z43" s="13"/>
      <c r="AA43" s="13"/>
      <c r="AB43" s="13"/>
      <c r="AC43" s="65"/>
      <c r="AD43" s="13"/>
      <c r="AE43" s="13"/>
      <c r="AF43" s="13"/>
      <c r="AG43" s="13"/>
      <c r="AH43" s="65"/>
      <c r="AI43" s="13"/>
      <c r="AJ43" s="13"/>
      <c r="AK43" s="13"/>
      <c r="AL43" s="13"/>
      <c r="AM43" s="65"/>
      <c r="AN43" s="13"/>
      <c r="AO43" s="13"/>
      <c r="AP43" s="13"/>
      <c r="AQ43" s="13"/>
      <c r="AR43" s="65"/>
      <c r="AS43" s="13"/>
      <c r="AT43" s="13"/>
      <c r="AU43" s="13"/>
      <c r="AV43" s="13"/>
      <c r="AW43" s="65"/>
      <c r="AX43" s="13"/>
      <c r="AY43" s="13"/>
      <c r="AZ43" s="13"/>
      <c r="BA43" s="13"/>
      <c r="BB43" s="65"/>
      <c r="BC43" s="13"/>
      <c r="BD43" s="13"/>
      <c r="BE43" s="13"/>
      <c r="BF43" s="13"/>
      <c r="BG43" s="65"/>
      <c r="BH43" s="13"/>
      <c r="BI43" s="13"/>
      <c r="BJ43" s="13"/>
      <c r="BK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3"/>
      <c r="O44" s="19"/>
      <c r="P44" s="19"/>
      <c r="Q44" s="19"/>
      <c r="R44" s="19"/>
      <c r="S44" s="63"/>
      <c r="T44" s="19"/>
      <c r="U44" s="19"/>
      <c r="V44" s="19"/>
      <c r="W44" s="19"/>
      <c r="X44" s="63"/>
      <c r="Y44" s="19"/>
      <c r="Z44" s="19"/>
      <c r="AA44" s="19"/>
      <c r="AB44" s="19"/>
      <c r="AC44" s="63"/>
      <c r="AD44" s="19"/>
      <c r="AE44" s="19"/>
      <c r="AF44" s="19"/>
      <c r="AG44" s="19"/>
      <c r="AH44" s="63"/>
      <c r="AI44" s="19"/>
      <c r="AJ44" s="19"/>
      <c r="AK44" s="19"/>
      <c r="AL44" s="19"/>
      <c r="AM44" s="63"/>
      <c r="AN44" s="19"/>
      <c r="AO44" s="19"/>
      <c r="AP44" s="19"/>
      <c r="AQ44" s="19"/>
      <c r="AR44" s="63"/>
      <c r="AS44" s="19"/>
      <c r="AT44" s="19"/>
      <c r="AU44" s="19"/>
      <c r="AV44" s="19"/>
      <c r="AW44" s="63"/>
      <c r="AX44" s="19"/>
      <c r="AY44" s="19"/>
      <c r="AZ44" s="19"/>
      <c r="BA44" s="19"/>
      <c r="BB44" s="63"/>
      <c r="BC44" s="19"/>
      <c r="BD44" s="19"/>
      <c r="BE44" s="19"/>
      <c r="BF44" s="19"/>
      <c r="BG44" s="63"/>
      <c r="BH44" s="19"/>
      <c r="BI44" s="19"/>
      <c r="BJ44" s="19"/>
      <c r="BK44" s="13"/>
    </row>
    <row r="45" ht="12.75" customHeight="1">
      <c r="A45" s="66"/>
      <c r="B45" s="49">
        <v>1.0</v>
      </c>
      <c r="C45" s="50" t="s">
        <v>37</v>
      </c>
      <c r="D45" s="16"/>
      <c r="E45" s="19">
        <v>2.0</v>
      </c>
      <c r="F45" s="19">
        <v>3.0</v>
      </c>
      <c r="G45" s="19">
        <v>30.0</v>
      </c>
      <c r="H45" s="19">
        <v>4.0</v>
      </c>
      <c r="I45" s="19">
        <v>17.0</v>
      </c>
      <c r="J45" s="19">
        <v>40.0</v>
      </c>
      <c r="K45" s="19">
        <v>50.0</v>
      </c>
      <c r="L45" s="19">
        <v>46.0</v>
      </c>
      <c r="M45" s="19">
        <v>55.0</v>
      </c>
      <c r="N45" s="19">
        <v>60.0</v>
      </c>
      <c r="O45" s="19">
        <v>11.0</v>
      </c>
      <c r="P45" s="19">
        <v>12.0</v>
      </c>
      <c r="Q45" s="19">
        <v>19.0</v>
      </c>
      <c r="R45" s="19">
        <v>22.0</v>
      </c>
      <c r="S45" s="19">
        <v>8.0</v>
      </c>
      <c r="T45" s="19">
        <v>12.0</v>
      </c>
      <c r="U45" s="19">
        <v>26.0</v>
      </c>
      <c r="V45" s="19">
        <v>36.0</v>
      </c>
      <c r="W45" s="19">
        <v>23.0</v>
      </c>
      <c r="X45" s="19">
        <v>8.0</v>
      </c>
      <c r="Y45" s="19">
        <v>13.0</v>
      </c>
      <c r="Z45" s="19">
        <v>9.0</v>
      </c>
      <c r="AA45" s="19">
        <v>11.0</v>
      </c>
      <c r="AB45" s="19">
        <v>15.0</v>
      </c>
      <c r="AC45" s="19">
        <v>38.0</v>
      </c>
      <c r="AD45" s="19">
        <v>8.0</v>
      </c>
      <c r="AE45" s="19">
        <v>15.0</v>
      </c>
      <c r="AF45" s="19">
        <v>5.0</v>
      </c>
      <c r="AG45" s="19">
        <v>15.0</v>
      </c>
      <c r="AH45" s="19">
        <v>22.0</v>
      </c>
      <c r="AI45" s="19">
        <v>18.0</v>
      </c>
      <c r="AJ45" s="19">
        <v>16.0</v>
      </c>
      <c r="AK45" s="19">
        <v>13.0</v>
      </c>
      <c r="AL45" s="19">
        <v>18.0</v>
      </c>
      <c r="AM45" s="19">
        <v>30.0</v>
      </c>
      <c r="AN45" s="19">
        <v>13.0</v>
      </c>
      <c r="AO45" s="19">
        <v>4.0</v>
      </c>
      <c r="AP45" s="19">
        <v>16.0</v>
      </c>
      <c r="AQ45" s="19">
        <v>18.0</v>
      </c>
      <c r="AR45" s="19">
        <v>9.0</v>
      </c>
      <c r="AS45" s="19">
        <v>13.0</v>
      </c>
      <c r="AT45" s="19">
        <v>24.0</v>
      </c>
      <c r="AU45" s="19">
        <v>29.0</v>
      </c>
      <c r="AV45" s="19">
        <v>27.0</v>
      </c>
      <c r="AW45" s="19">
        <v>29.0</v>
      </c>
      <c r="AX45" s="19">
        <v>27.0</v>
      </c>
      <c r="AY45" s="19">
        <v>35.0</v>
      </c>
      <c r="AZ45" s="19">
        <v>11.0</v>
      </c>
      <c r="BA45" s="19">
        <v>16.0</v>
      </c>
      <c r="BB45" s="19">
        <v>9.0</v>
      </c>
      <c r="BC45" s="19">
        <v>22.0</v>
      </c>
      <c r="BD45" s="19">
        <v>23.0</v>
      </c>
      <c r="BE45" s="19">
        <v>32.0</v>
      </c>
      <c r="BF45" s="19">
        <v>31.0</v>
      </c>
      <c r="BG45" s="19">
        <v>28.0</v>
      </c>
      <c r="BH45" s="19">
        <v>20.0</v>
      </c>
      <c r="BI45" s="19">
        <v>21.0</v>
      </c>
      <c r="BJ45" s="19">
        <v>26.0</v>
      </c>
      <c r="BK45" s="13">
        <f t="shared" ref="BK45:BK47" si="14">SUM(E45:BJ45)</f>
        <v>1213</v>
      </c>
    </row>
    <row r="46" ht="12.75" customHeight="1">
      <c r="A46" s="18"/>
      <c r="B46" s="49">
        <v>2.0</v>
      </c>
      <c r="C46" s="50" t="s">
        <v>38</v>
      </c>
      <c r="D46" s="16"/>
      <c r="E46" s="19">
        <v>72.0</v>
      </c>
      <c r="F46" s="19">
        <v>77.0</v>
      </c>
      <c r="G46" s="19">
        <v>60.0</v>
      </c>
      <c r="H46" s="19">
        <v>45.0</v>
      </c>
      <c r="I46" s="19">
        <v>127.0</v>
      </c>
      <c r="J46" s="19">
        <v>143.0</v>
      </c>
      <c r="K46" s="19">
        <v>112.0</v>
      </c>
      <c r="L46" s="19">
        <v>134.0</v>
      </c>
      <c r="M46" s="19">
        <v>115.0</v>
      </c>
      <c r="N46" s="19">
        <v>28.0</v>
      </c>
      <c r="O46" s="19">
        <v>187.0</v>
      </c>
      <c r="P46" s="19">
        <v>117.0</v>
      </c>
      <c r="Q46" s="19">
        <v>111.0</v>
      </c>
      <c r="R46" s="19">
        <v>62.0</v>
      </c>
      <c r="S46" s="19">
        <v>158.0</v>
      </c>
      <c r="T46" s="19">
        <v>100.0</v>
      </c>
      <c r="U46" s="19">
        <v>162.0</v>
      </c>
      <c r="V46" s="19">
        <v>170.0</v>
      </c>
      <c r="W46" s="19">
        <v>157.0</v>
      </c>
      <c r="X46" s="19">
        <v>230.0</v>
      </c>
      <c r="Y46" s="19">
        <v>136.0</v>
      </c>
      <c r="Z46" s="19">
        <v>130.0</v>
      </c>
      <c r="AA46" s="19">
        <v>142.0</v>
      </c>
      <c r="AB46" s="19">
        <v>89.0</v>
      </c>
      <c r="AC46" s="19">
        <v>148.0</v>
      </c>
      <c r="AD46" s="19">
        <v>97.0</v>
      </c>
      <c r="AE46" s="19">
        <v>118.0</v>
      </c>
      <c r="AF46" s="19">
        <v>90.0</v>
      </c>
      <c r="AG46" s="19">
        <v>125.0</v>
      </c>
      <c r="AH46" s="19">
        <v>174.0</v>
      </c>
      <c r="AI46" s="19">
        <v>94.0</v>
      </c>
      <c r="AJ46" s="19">
        <v>113.0</v>
      </c>
      <c r="AK46" s="19">
        <v>117.0</v>
      </c>
      <c r="AL46" s="19">
        <v>205.0</v>
      </c>
      <c r="AM46" s="19">
        <v>123.0</v>
      </c>
      <c r="AN46" s="19">
        <v>112.0</v>
      </c>
      <c r="AO46" s="19">
        <v>102.0</v>
      </c>
      <c r="AP46" s="19">
        <v>159.0</v>
      </c>
      <c r="AQ46" s="19">
        <v>128.0</v>
      </c>
      <c r="AR46" s="19">
        <v>132.0</v>
      </c>
      <c r="AS46" s="19">
        <v>98.0</v>
      </c>
      <c r="AT46" s="19">
        <v>170.0</v>
      </c>
      <c r="AU46" s="19">
        <v>149.0</v>
      </c>
      <c r="AV46" s="19">
        <v>152.0</v>
      </c>
      <c r="AW46" s="19">
        <v>156.0</v>
      </c>
      <c r="AX46" s="19">
        <v>105.0</v>
      </c>
      <c r="AY46" s="19">
        <v>154.0</v>
      </c>
      <c r="AZ46" s="19">
        <v>99.0</v>
      </c>
      <c r="BA46" s="19">
        <v>118.0</v>
      </c>
      <c r="BB46" s="19">
        <v>120.0</v>
      </c>
      <c r="BC46" s="19">
        <v>141.0</v>
      </c>
      <c r="BD46" s="19">
        <v>119.0</v>
      </c>
      <c r="BE46" s="19">
        <v>115.0</v>
      </c>
      <c r="BF46" s="19">
        <v>104.0</v>
      </c>
      <c r="BG46" s="19">
        <v>157.0</v>
      </c>
      <c r="BH46" s="19">
        <v>181.0</v>
      </c>
      <c r="BI46" s="19">
        <v>166.0</v>
      </c>
      <c r="BJ46" s="19">
        <v>139.0</v>
      </c>
      <c r="BK46" s="13">
        <f t="shared" si="14"/>
        <v>7344</v>
      </c>
    </row>
    <row r="47" ht="12.75" customHeight="1">
      <c r="A47" s="47"/>
      <c r="B47" s="49">
        <v>3.0</v>
      </c>
      <c r="C47" s="50" t="s">
        <v>39</v>
      </c>
      <c r="D47" s="16"/>
      <c r="E47" s="19">
        <v>1.0</v>
      </c>
      <c r="F47" s="19">
        <v>7.0</v>
      </c>
      <c r="G47" s="19">
        <v>6.0</v>
      </c>
      <c r="H47" s="19">
        <v>3.0</v>
      </c>
      <c r="I47" s="19">
        <v>15.0</v>
      </c>
      <c r="J47" s="19">
        <v>8.0</v>
      </c>
      <c r="K47" s="19">
        <v>13.0</v>
      </c>
      <c r="L47" s="19">
        <v>9.0</v>
      </c>
      <c r="M47" s="19">
        <v>9.0</v>
      </c>
      <c r="N47" s="19">
        <v>0.0</v>
      </c>
      <c r="O47" s="19">
        <v>8.0</v>
      </c>
      <c r="P47" s="19">
        <v>15.0</v>
      </c>
      <c r="Q47" s="19">
        <v>18.0</v>
      </c>
      <c r="R47" s="19">
        <v>6.0</v>
      </c>
      <c r="S47" s="19">
        <v>14.0</v>
      </c>
      <c r="T47" s="19">
        <v>7.0</v>
      </c>
      <c r="U47" s="19">
        <v>3.0</v>
      </c>
      <c r="V47" s="19">
        <v>9.0</v>
      </c>
      <c r="W47" s="19">
        <v>10.0</v>
      </c>
      <c r="X47" s="19">
        <v>8.0</v>
      </c>
      <c r="Y47" s="19">
        <v>8.0</v>
      </c>
      <c r="Z47" s="19">
        <v>15.0</v>
      </c>
      <c r="AA47" s="19">
        <v>47.0</v>
      </c>
      <c r="AB47" s="19">
        <v>19.0</v>
      </c>
      <c r="AC47" s="19">
        <v>36.0</v>
      </c>
      <c r="AD47" s="19">
        <v>25.0</v>
      </c>
      <c r="AE47" s="19">
        <v>11.0</v>
      </c>
      <c r="AF47" s="19">
        <v>21.0</v>
      </c>
      <c r="AG47" s="19">
        <v>33.0</v>
      </c>
      <c r="AH47" s="19">
        <v>27.0</v>
      </c>
      <c r="AI47" s="19">
        <v>69.0</v>
      </c>
      <c r="AJ47" s="19">
        <v>5.0</v>
      </c>
      <c r="AK47" s="19">
        <v>8.0</v>
      </c>
      <c r="AL47" s="19">
        <v>12.0</v>
      </c>
      <c r="AM47" s="19">
        <v>6.0</v>
      </c>
      <c r="AN47" s="19">
        <v>3.0</v>
      </c>
      <c r="AO47" s="19">
        <v>37.0</v>
      </c>
      <c r="AP47" s="19">
        <v>5.0</v>
      </c>
      <c r="AQ47" s="19">
        <v>6.0</v>
      </c>
      <c r="AR47" s="19">
        <v>14.0</v>
      </c>
      <c r="AS47" s="19">
        <v>15.0</v>
      </c>
      <c r="AT47" s="19">
        <v>20.0</v>
      </c>
      <c r="AU47" s="19">
        <v>23.0</v>
      </c>
      <c r="AV47" s="19">
        <v>21.0</v>
      </c>
      <c r="AW47" s="19">
        <v>8.0</v>
      </c>
      <c r="AX47" s="19">
        <v>31.0</v>
      </c>
      <c r="AY47" s="19">
        <v>34.0</v>
      </c>
      <c r="AZ47" s="19">
        <v>22.0</v>
      </c>
      <c r="BA47" s="19">
        <v>20.0</v>
      </c>
      <c r="BB47" s="19">
        <v>8.0</v>
      </c>
      <c r="BC47" s="19">
        <v>37.0</v>
      </c>
      <c r="BD47" s="19">
        <v>44.0</v>
      </c>
      <c r="BE47" s="19">
        <v>31.0</v>
      </c>
      <c r="BF47" s="19">
        <v>21.0</v>
      </c>
      <c r="BG47" s="19">
        <v>12.0</v>
      </c>
      <c r="BH47" s="19">
        <v>22.0</v>
      </c>
      <c r="BI47" s="19">
        <v>15.0</v>
      </c>
      <c r="BJ47" s="19">
        <v>22.0</v>
      </c>
      <c r="BK47" s="13">
        <f t="shared" si="14"/>
        <v>982</v>
      </c>
    </row>
    <row r="48" ht="12.75" customHeight="1">
      <c r="BK48" s="13"/>
    </row>
    <row r="49" ht="12.75" customHeight="1">
      <c r="A49" s="44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BJ50" si="15">SUM(E45:E47)</f>
        <v>75</v>
      </c>
      <c r="F50" s="19">
        <f t="shared" si="15"/>
        <v>87</v>
      </c>
      <c r="G50" s="19">
        <f t="shared" si="15"/>
        <v>96</v>
      </c>
      <c r="H50" s="19">
        <f t="shared" si="15"/>
        <v>52</v>
      </c>
      <c r="I50" s="19">
        <f t="shared" si="15"/>
        <v>159</v>
      </c>
      <c r="J50" s="19">
        <f t="shared" si="15"/>
        <v>191</v>
      </c>
      <c r="K50" s="19">
        <f t="shared" si="15"/>
        <v>175</v>
      </c>
      <c r="L50" s="19">
        <f t="shared" si="15"/>
        <v>189</v>
      </c>
      <c r="M50" s="19">
        <f t="shared" si="15"/>
        <v>179</v>
      </c>
      <c r="N50" s="19">
        <f t="shared" si="15"/>
        <v>88</v>
      </c>
      <c r="O50" s="19">
        <f t="shared" si="15"/>
        <v>206</v>
      </c>
      <c r="P50" s="19">
        <f t="shared" si="15"/>
        <v>144</v>
      </c>
      <c r="Q50" s="19">
        <f t="shared" si="15"/>
        <v>148</v>
      </c>
      <c r="R50" s="19">
        <f t="shared" si="15"/>
        <v>90</v>
      </c>
      <c r="S50" s="19">
        <f t="shared" si="15"/>
        <v>180</v>
      </c>
      <c r="T50" s="19">
        <f t="shared" si="15"/>
        <v>119</v>
      </c>
      <c r="U50" s="19">
        <f t="shared" si="15"/>
        <v>191</v>
      </c>
      <c r="V50" s="19">
        <f t="shared" si="15"/>
        <v>215</v>
      </c>
      <c r="W50" s="19">
        <f t="shared" si="15"/>
        <v>190</v>
      </c>
      <c r="X50" s="19">
        <f t="shared" si="15"/>
        <v>246</v>
      </c>
      <c r="Y50" s="19">
        <f t="shared" si="15"/>
        <v>157</v>
      </c>
      <c r="Z50" s="19">
        <f t="shared" si="15"/>
        <v>154</v>
      </c>
      <c r="AA50" s="19">
        <f t="shared" si="15"/>
        <v>200</v>
      </c>
      <c r="AB50" s="19">
        <f t="shared" si="15"/>
        <v>123</v>
      </c>
      <c r="AC50" s="19">
        <f t="shared" si="15"/>
        <v>222</v>
      </c>
      <c r="AD50" s="19">
        <f t="shared" si="15"/>
        <v>130</v>
      </c>
      <c r="AE50" s="19">
        <f t="shared" si="15"/>
        <v>144</v>
      </c>
      <c r="AF50" s="19">
        <f t="shared" si="15"/>
        <v>116</v>
      </c>
      <c r="AG50" s="19">
        <f t="shared" si="15"/>
        <v>173</v>
      </c>
      <c r="AH50" s="19">
        <f t="shared" si="15"/>
        <v>223</v>
      </c>
      <c r="AI50" s="19">
        <f t="shared" si="15"/>
        <v>181</v>
      </c>
      <c r="AJ50" s="19">
        <f t="shared" si="15"/>
        <v>134</v>
      </c>
      <c r="AK50" s="19">
        <f t="shared" si="15"/>
        <v>138</v>
      </c>
      <c r="AL50" s="19">
        <f t="shared" si="15"/>
        <v>235</v>
      </c>
      <c r="AM50" s="19">
        <f t="shared" si="15"/>
        <v>159</v>
      </c>
      <c r="AN50" s="19">
        <f t="shared" si="15"/>
        <v>128</v>
      </c>
      <c r="AO50" s="19">
        <f t="shared" si="15"/>
        <v>143</v>
      </c>
      <c r="AP50" s="19">
        <f t="shared" si="15"/>
        <v>180</v>
      </c>
      <c r="AQ50" s="19">
        <f t="shared" si="15"/>
        <v>152</v>
      </c>
      <c r="AR50" s="19">
        <f t="shared" si="15"/>
        <v>155</v>
      </c>
      <c r="AS50" s="19">
        <f t="shared" si="15"/>
        <v>126</v>
      </c>
      <c r="AT50" s="19">
        <f t="shared" si="15"/>
        <v>214</v>
      </c>
      <c r="AU50" s="19">
        <f t="shared" si="15"/>
        <v>201</v>
      </c>
      <c r="AV50" s="19">
        <f t="shared" si="15"/>
        <v>200</v>
      </c>
      <c r="AW50" s="19">
        <f t="shared" si="15"/>
        <v>193</v>
      </c>
      <c r="AX50" s="19">
        <f t="shared" si="15"/>
        <v>163</v>
      </c>
      <c r="AY50" s="19">
        <f t="shared" si="15"/>
        <v>223</v>
      </c>
      <c r="AZ50" s="19">
        <f t="shared" si="15"/>
        <v>132</v>
      </c>
      <c r="BA50" s="19">
        <f t="shared" si="15"/>
        <v>154</v>
      </c>
      <c r="BB50" s="19">
        <f t="shared" si="15"/>
        <v>137</v>
      </c>
      <c r="BC50" s="19">
        <f t="shared" si="15"/>
        <v>200</v>
      </c>
      <c r="BD50" s="19">
        <f t="shared" si="15"/>
        <v>186</v>
      </c>
      <c r="BE50" s="19">
        <f t="shared" si="15"/>
        <v>178</v>
      </c>
      <c r="BF50" s="19">
        <f t="shared" si="15"/>
        <v>156</v>
      </c>
      <c r="BG50" s="19">
        <f t="shared" si="15"/>
        <v>197</v>
      </c>
      <c r="BH50" s="19">
        <f t="shared" si="15"/>
        <v>223</v>
      </c>
      <c r="BI50" s="19">
        <f t="shared" si="15"/>
        <v>202</v>
      </c>
      <c r="BJ50" s="19">
        <f t="shared" si="15"/>
        <v>187</v>
      </c>
      <c r="BK50" s="13">
        <f t="shared" ref="BK50:BK52" si="16">SUM(E50:BJ50)</f>
        <v>9539</v>
      </c>
    </row>
    <row r="51" ht="12.75" customHeight="1">
      <c r="A51" s="36"/>
      <c r="B51" s="56" t="s">
        <v>44</v>
      </c>
      <c r="C51" s="57" t="s">
        <v>45</v>
      </c>
      <c r="D51" s="16"/>
      <c r="E51" s="19"/>
      <c r="F51" s="19"/>
      <c r="G51" s="19"/>
      <c r="H51" s="19"/>
      <c r="I51" s="19">
        <v>1.0</v>
      </c>
      <c r="J51" s="19">
        <v>3.0</v>
      </c>
      <c r="K51" s="19">
        <v>6.0</v>
      </c>
      <c r="L51" s="19">
        <v>5.0</v>
      </c>
      <c r="M51" s="19">
        <v>3.0</v>
      </c>
      <c r="N51" s="19">
        <v>5.0</v>
      </c>
      <c r="O51" s="19"/>
      <c r="P51" s="19">
        <v>4.0</v>
      </c>
      <c r="Q51" s="19">
        <v>4.0</v>
      </c>
      <c r="R51" s="19">
        <v>1.0</v>
      </c>
      <c r="S51" s="19">
        <v>1.0</v>
      </c>
      <c r="T51" s="19"/>
      <c r="U51" s="19">
        <v>6.0</v>
      </c>
      <c r="V51" s="19">
        <v>6.0</v>
      </c>
      <c r="W51" s="19">
        <v>13.0</v>
      </c>
      <c r="X51" s="19">
        <v>1.0</v>
      </c>
      <c r="Y51" s="19">
        <v>8.0</v>
      </c>
      <c r="Z51" s="19">
        <v>4.0</v>
      </c>
      <c r="AA51" s="19">
        <v>3.0</v>
      </c>
      <c r="AB51" s="19">
        <v>5.0</v>
      </c>
      <c r="AC51" s="19"/>
      <c r="AD51" s="19">
        <v>2.0</v>
      </c>
      <c r="AE51" s="19">
        <v>1.0</v>
      </c>
      <c r="AF51" s="19">
        <v>2.0</v>
      </c>
      <c r="AG51" s="19">
        <v>5.0</v>
      </c>
      <c r="AH51" s="19">
        <v>2.0</v>
      </c>
      <c r="AI51" s="19">
        <v>2.0</v>
      </c>
      <c r="AJ51" s="19">
        <v>2.0</v>
      </c>
      <c r="AK51" s="19">
        <v>5.0</v>
      </c>
      <c r="AL51" s="19">
        <v>1.0</v>
      </c>
      <c r="AM51" s="19">
        <v>2.0</v>
      </c>
      <c r="AN51" s="19">
        <v>3.0</v>
      </c>
      <c r="AO51" s="19">
        <v>4.0</v>
      </c>
      <c r="AP51" s="19"/>
      <c r="AQ51" s="19">
        <v>2.0</v>
      </c>
      <c r="AR51" s="19">
        <v>3.0</v>
      </c>
      <c r="AS51" s="19">
        <v>1.0</v>
      </c>
      <c r="AT51" s="19">
        <v>1.0</v>
      </c>
      <c r="AU51" s="19">
        <v>1.0</v>
      </c>
      <c r="AV51" s="19">
        <v>8.0</v>
      </c>
      <c r="AW51" s="19">
        <v>1.0</v>
      </c>
      <c r="AX51" s="19"/>
      <c r="AY51" s="19">
        <v>2.0</v>
      </c>
      <c r="AZ51" s="19">
        <v>11.0</v>
      </c>
      <c r="BA51" s="19">
        <v>4.0</v>
      </c>
      <c r="BB51" s="19">
        <v>2.0</v>
      </c>
      <c r="BC51" s="19">
        <v>1.0</v>
      </c>
      <c r="BD51" s="19"/>
      <c r="BE51" s="19">
        <v>4.0</v>
      </c>
      <c r="BF51" s="19">
        <v>3.0</v>
      </c>
      <c r="BG51" s="19">
        <v>4.0</v>
      </c>
      <c r="BH51" s="19">
        <v>2.0</v>
      </c>
      <c r="BI51" s="19">
        <v>2.0</v>
      </c>
      <c r="BJ51" s="19">
        <v>6.0</v>
      </c>
      <c r="BK51" s="13">
        <f t="shared" si="16"/>
        <v>168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BJ52" si="17">SUM(E50:E51)</f>
        <v>75</v>
      </c>
      <c r="F52" s="13">
        <f t="shared" si="17"/>
        <v>87</v>
      </c>
      <c r="G52" s="13">
        <f t="shared" si="17"/>
        <v>96</v>
      </c>
      <c r="H52" s="13">
        <f t="shared" si="17"/>
        <v>52</v>
      </c>
      <c r="I52" s="13">
        <f t="shared" si="17"/>
        <v>160</v>
      </c>
      <c r="J52" s="13">
        <f t="shared" si="17"/>
        <v>194</v>
      </c>
      <c r="K52" s="13">
        <f t="shared" si="17"/>
        <v>181</v>
      </c>
      <c r="L52" s="13">
        <f t="shared" si="17"/>
        <v>194</v>
      </c>
      <c r="M52" s="13">
        <f t="shared" si="17"/>
        <v>182</v>
      </c>
      <c r="N52" s="13">
        <f t="shared" si="17"/>
        <v>93</v>
      </c>
      <c r="O52" s="13">
        <f t="shared" si="17"/>
        <v>206</v>
      </c>
      <c r="P52" s="13">
        <f t="shared" si="17"/>
        <v>148</v>
      </c>
      <c r="Q52" s="13">
        <f t="shared" si="17"/>
        <v>152</v>
      </c>
      <c r="R52" s="13">
        <f t="shared" si="17"/>
        <v>91</v>
      </c>
      <c r="S52" s="13">
        <f t="shared" si="17"/>
        <v>181</v>
      </c>
      <c r="T52" s="13">
        <f t="shared" si="17"/>
        <v>119</v>
      </c>
      <c r="U52" s="13">
        <f t="shared" si="17"/>
        <v>197</v>
      </c>
      <c r="V52" s="13">
        <f t="shared" si="17"/>
        <v>221</v>
      </c>
      <c r="W52" s="13">
        <f t="shared" si="17"/>
        <v>203</v>
      </c>
      <c r="X52" s="13">
        <f t="shared" si="17"/>
        <v>247</v>
      </c>
      <c r="Y52" s="13">
        <f t="shared" si="17"/>
        <v>165</v>
      </c>
      <c r="Z52" s="13">
        <f t="shared" si="17"/>
        <v>158</v>
      </c>
      <c r="AA52" s="13">
        <f t="shared" si="17"/>
        <v>203</v>
      </c>
      <c r="AB52" s="13">
        <f t="shared" si="17"/>
        <v>128</v>
      </c>
      <c r="AC52" s="13">
        <f t="shared" si="17"/>
        <v>222</v>
      </c>
      <c r="AD52" s="13">
        <f t="shared" si="17"/>
        <v>132</v>
      </c>
      <c r="AE52" s="13">
        <f t="shared" si="17"/>
        <v>145</v>
      </c>
      <c r="AF52" s="13">
        <f t="shared" si="17"/>
        <v>118</v>
      </c>
      <c r="AG52" s="13">
        <f t="shared" si="17"/>
        <v>178</v>
      </c>
      <c r="AH52" s="13">
        <f t="shared" si="17"/>
        <v>225</v>
      </c>
      <c r="AI52" s="13">
        <f t="shared" si="17"/>
        <v>183</v>
      </c>
      <c r="AJ52" s="13">
        <f t="shared" si="17"/>
        <v>136</v>
      </c>
      <c r="AK52" s="13">
        <f t="shared" si="17"/>
        <v>143</v>
      </c>
      <c r="AL52" s="13">
        <f t="shared" si="17"/>
        <v>236</v>
      </c>
      <c r="AM52" s="13">
        <f t="shared" si="17"/>
        <v>161</v>
      </c>
      <c r="AN52" s="13">
        <f t="shared" si="17"/>
        <v>131</v>
      </c>
      <c r="AO52" s="13">
        <f t="shared" si="17"/>
        <v>147</v>
      </c>
      <c r="AP52" s="13">
        <f t="shared" si="17"/>
        <v>180</v>
      </c>
      <c r="AQ52" s="13">
        <f t="shared" si="17"/>
        <v>154</v>
      </c>
      <c r="AR52" s="13">
        <f t="shared" si="17"/>
        <v>158</v>
      </c>
      <c r="AS52" s="13">
        <f t="shared" si="17"/>
        <v>127</v>
      </c>
      <c r="AT52" s="13">
        <f t="shared" si="17"/>
        <v>215</v>
      </c>
      <c r="AU52" s="13">
        <f t="shared" si="17"/>
        <v>202</v>
      </c>
      <c r="AV52" s="13">
        <f t="shared" si="17"/>
        <v>208</v>
      </c>
      <c r="AW52" s="13">
        <f t="shared" si="17"/>
        <v>194</v>
      </c>
      <c r="AX52" s="13">
        <f t="shared" si="17"/>
        <v>163</v>
      </c>
      <c r="AY52" s="13">
        <f t="shared" si="17"/>
        <v>225</v>
      </c>
      <c r="AZ52" s="13">
        <f t="shared" si="17"/>
        <v>143</v>
      </c>
      <c r="BA52" s="13">
        <f t="shared" si="17"/>
        <v>158</v>
      </c>
      <c r="BB52" s="13">
        <f t="shared" si="17"/>
        <v>139</v>
      </c>
      <c r="BC52" s="13">
        <f t="shared" si="17"/>
        <v>201</v>
      </c>
      <c r="BD52" s="13">
        <f t="shared" si="17"/>
        <v>186</v>
      </c>
      <c r="BE52" s="13">
        <f t="shared" si="17"/>
        <v>182</v>
      </c>
      <c r="BF52" s="13">
        <f t="shared" si="17"/>
        <v>159</v>
      </c>
      <c r="BG52" s="13">
        <f t="shared" si="17"/>
        <v>201</v>
      </c>
      <c r="BH52" s="13">
        <f t="shared" si="17"/>
        <v>225</v>
      </c>
      <c r="BI52" s="13">
        <f t="shared" si="17"/>
        <v>204</v>
      </c>
      <c r="BJ52" s="13">
        <f t="shared" si="17"/>
        <v>193</v>
      </c>
      <c r="BK52" s="13">
        <f t="shared" si="16"/>
        <v>9707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BL117" s="5"/>
      <c r="BM117" s="5"/>
    </row>
    <row r="118" ht="12.75" customHeight="1">
      <c r="BL118" s="5"/>
      <c r="BM118" s="5"/>
    </row>
    <row r="119" ht="12.75" customHeight="1">
      <c r="BL119" s="5"/>
      <c r="BM119" s="5"/>
    </row>
    <row r="120" ht="12.75" customHeight="1">
      <c r="BL120" s="5"/>
      <c r="BM120" s="5"/>
    </row>
    <row r="121" ht="12.75" customHeight="1">
      <c r="BL121" s="5"/>
      <c r="BM121" s="5"/>
    </row>
    <row r="122" ht="12.75" customHeight="1">
      <c r="BL122" s="5"/>
      <c r="BM122" s="5"/>
    </row>
    <row r="123" ht="12.75" customHeight="1">
      <c r="BL123" s="5"/>
      <c r="BM123" s="5"/>
    </row>
    <row r="124" ht="12.75" customHeight="1">
      <c r="BL124" s="5"/>
      <c r="BM124" s="5"/>
    </row>
    <row r="125" ht="12.75" customHeight="1">
      <c r="BL125" s="5"/>
      <c r="BM125" s="5"/>
    </row>
    <row r="126" ht="12.75" customHeight="1">
      <c r="BL126" s="5"/>
      <c r="BM126" s="5"/>
    </row>
    <row r="127" ht="12.75" customHeight="1">
      <c r="BL127" s="5"/>
      <c r="BM127" s="5"/>
    </row>
    <row r="128" ht="12.75" customHeight="1">
      <c r="BL128" s="5"/>
      <c r="BM128" s="5"/>
    </row>
    <row r="129" ht="12.75" customHeight="1">
      <c r="BL129" s="5"/>
      <c r="BM129" s="5"/>
    </row>
    <row r="130" ht="12.75" customHeight="1">
      <c r="BL130" s="1"/>
      <c r="BM130" s="1"/>
    </row>
    <row r="131" ht="12.75" customHeight="1">
      <c r="BL131" s="52"/>
      <c r="BM131" s="52"/>
    </row>
    <row r="132" ht="12.75" customHeight="1">
      <c r="BL132" s="5"/>
      <c r="BM132" s="5"/>
    </row>
    <row r="133" ht="12.75" customHeight="1">
      <c r="BL133" s="5"/>
      <c r="BM133" s="5"/>
    </row>
    <row r="134" ht="12.75" customHeight="1">
      <c r="BL134" s="5"/>
      <c r="BM134" s="5"/>
    </row>
    <row r="135" ht="12.75" customHeight="1">
      <c r="BL135" s="5"/>
      <c r="BM135" s="5"/>
    </row>
    <row r="136" ht="12.75" customHeight="1">
      <c r="BL136" s="5"/>
      <c r="BM136" s="5"/>
    </row>
    <row r="137" ht="12.75" customHeight="1">
      <c r="BL137" s="5"/>
      <c r="BM137" s="5"/>
    </row>
    <row r="138" ht="12.75" customHeight="1">
      <c r="BL138" s="5"/>
      <c r="BM138" s="5"/>
    </row>
    <row r="139" ht="12.75" customHeight="1">
      <c r="BL139" s="5"/>
      <c r="BM139" s="5"/>
    </row>
    <row r="140" ht="12.75" customHeight="1">
      <c r="BL140" s="5"/>
      <c r="BM140" s="5"/>
    </row>
    <row r="141" ht="12.75" customHeight="1">
      <c r="BL141" s="1"/>
      <c r="BM141" s="1"/>
    </row>
    <row r="142" ht="12.75" customHeight="1">
      <c r="BL142" s="52"/>
      <c r="BM142" s="52"/>
    </row>
    <row r="143" ht="12.75" customHeight="1">
      <c r="BL143" s="5"/>
      <c r="BM143" s="5"/>
    </row>
    <row r="144" ht="12.75" customHeight="1">
      <c r="BL144" s="5"/>
      <c r="BM144" s="5"/>
    </row>
    <row r="145" ht="12.75" customHeight="1">
      <c r="BL145" s="5"/>
      <c r="BM145" s="5"/>
    </row>
    <row r="146" ht="12.75" customHeight="1">
      <c r="BL146" s="5"/>
      <c r="BM146" s="5"/>
    </row>
    <row r="147" ht="12.75" customHeight="1">
      <c r="BL147" s="5"/>
      <c r="BM147" s="5"/>
    </row>
    <row r="148" ht="12.75" customHeight="1">
      <c r="BL148" s="5"/>
      <c r="BM148" s="5"/>
    </row>
    <row r="149" ht="12.75" customHeight="1">
      <c r="BL149" s="5"/>
      <c r="BM149" s="5"/>
    </row>
    <row r="150" ht="12.75" customHeight="1">
      <c r="BL150" s="5"/>
      <c r="BM150" s="5"/>
    </row>
    <row r="151" ht="12.75" customHeight="1">
      <c r="BL151" s="1"/>
      <c r="BM151" s="1"/>
    </row>
    <row r="152" ht="12.75" customHeight="1">
      <c r="BL152" s="52"/>
      <c r="BM152" s="52"/>
    </row>
    <row r="153" ht="12.75" customHeight="1">
      <c r="BL153" s="5"/>
      <c r="BM153" s="5"/>
    </row>
    <row r="154" ht="12.75" customHeight="1">
      <c r="BL154" s="5"/>
      <c r="BM154" s="5"/>
    </row>
    <row r="155" ht="12.75" customHeight="1">
      <c r="BL155" s="5"/>
      <c r="BM155" s="5"/>
    </row>
    <row r="156" ht="12.75" customHeight="1">
      <c r="BL156" s="5"/>
      <c r="BM156" s="5"/>
    </row>
    <row r="157" ht="12.75" customHeight="1">
      <c r="BL157" s="5"/>
      <c r="BM157" s="5"/>
    </row>
    <row r="158" ht="12.75" customHeight="1">
      <c r="BL158" s="5"/>
      <c r="BM158" s="5"/>
    </row>
    <row r="159" ht="12.75" customHeight="1">
      <c r="BL159" s="5"/>
      <c r="BM159" s="5"/>
    </row>
    <row r="160" ht="12.75" customHeight="1">
      <c r="BL160" s="5"/>
      <c r="BM160" s="5"/>
    </row>
    <row r="161" ht="12.75" customHeight="1">
      <c r="BL161" s="5"/>
      <c r="BM161" s="5"/>
    </row>
    <row r="162" ht="12.75" customHeight="1">
      <c r="BL162" s="5"/>
      <c r="BM162" s="5"/>
    </row>
    <row r="163" ht="12.75" customHeight="1">
      <c r="BL163" s="5"/>
      <c r="BM163" s="5"/>
    </row>
    <row r="164" ht="12.75" customHeight="1">
      <c r="BL164" s="5"/>
      <c r="BM164" s="5"/>
    </row>
    <row r="165" ht="12.75" customHeight="1">
      <c r="BL165" s="1"/>
      <c r="BM165" s="1"/>
    </row>
    <row r="166" ht="12.75" customHeight="1">
      <c r="BL166" s="52"/>
      <c r="BM166" s="52"/>
    </row>
    <row r="167" ht="12.75" customHeight="1">
      <c r="BL167" s="5"/>
      <c r="BM167" s="5"/>
    </row>
    <row r="168" ht="12.75" customHeight="1">
      <c r="BL168" s="5"/>
      <c r="BM168" s="5"/>
    </row>
    <row r="169" ht="12.75" customHeight="1">
      <c r="BL169" s="5"/>
      <c r="BM169" s="5"/>
    </row>
    <row r="170" ht="12.75" customHeight="1">
      <c r="BL170" s="5"/>
      <c r="BM170" s="5"/>
    </row>
    <row r="171" ht="12.75" customHeight="1">
      <c r="BL171" s="5"/>
      <c r="BM171" s="5"/>
    </row>
    <row r="172" ht="12.75" customHeight="1">
      <c r="BL172" s="5"/>
      <c r="BM172" s="5"/>
    </row>
    <row r="173" ht="12.75" customHeight="1">
      <c r="BL173" s="5"/>
      <c r="BM173" s="5"/>
    </row>
    <row r="174" ht="12.75" customHeight="1">
      <c r="BL174" s="5"/>
      <c r="BM174" s="5"/>
    </row>
    <row r="175" ht="12.75" customHeight="1">
      <c r="BL175" s="5"/>
      <c r="BM175" s="5"/>
    </row>
    <row r="176" ht="12.75" customHeight="1">
      <c r="BL176" s="1"/>
      <c r="BM176" s="1"/>
    </row>
    <row r="177" ht="12.75" customHeight="1"/>
    <row r="178" ht="12.75" customHeight="1">
      <c r="BL178" s="5"/>
      <c r="BM178" s="5"/>
    </row>
    <row r="179" ht="12.75" customHeight="1">
      <c r="BL179" s="5"/>
      <c r="BM179" s="5"/>
    </row>
    <row r="180" ht="12.75" customHeight="1">
      <c r="BL180" s="5"/>
      <c r="BM180" s="5"/>
    </row>
    <row r="181" ht="12.75" customHeight="1">
      <c r="BL181" s="5"/>
      <c r="BM181" s="5"/>
    </row>
    <row r="182" ht="12.75" customHeight="1">
      <c r="BL182" s="5"/>
      <c r="BM182" s="5"/>
    </row>
    <row r="183" ht="12.75" customHeight="1">
      <c r="BL183" s="5"/>
      <c r="BM183" s="5"/>
    </row>
    <row r="184" ht="12.75" customHeight="1">
      <c r="BL184" s="5"/>
      <c r="BM184" s="5"/>
    </row>
    <row r="185" ht="12.75" customHeight="1">
      <c r="BL185" s="5"/>
      <c r="BM185" s="5"/>
    </row>
    <row r="186" ht="12.75" customHeight="1">
      <c r="BL186" s="5"/>
      <c r="BM186" s="5"/>
    </row>
    <row r="187" ht="12.75" customHeight="1">
      <c r="BL187" s="1"/>
      <c r="BM187" s="1"/>
    </row>
    <row r="188" ht="12.75" customHeight="1"/>
    <row r="189" ht="12.75" customHeight="1">
      <c r="BL189" s="5"/>
      <c r="BM189" s="5"/>
    </row>
    <row r="190" ht="12.75" customHeight="1">
      <c r="BL190" s="5"/>
      <c r="BM190" s="5"/>
    </row>
    <row r="191" ht="12.75" customHeight="1">
      <c r="BL191" s="5"/>
      <c r="BM191" s="5"/>
    </row>
    <row r="192" ht="12.75" customHeight="1">
      <c r="BL192" s="5"/>
      <c r="BM192" s="5"/>
    </row>
    <row r="193" ht="12.75" customHeight="1">
      <c r="BL193" s="5"/>
      <c r="BM193" s="5"/>
    </row>
    <row r="194" ht="12.75" customHeight="1">
      <c r="BL194" s="5"/>
      <c r="BM194" s="5"/>
    </row>
    <row r="195" ht="12.75" customHeight="1">
      <c r="BL195" s="5"/>
      <c r="BM195" s="5"/>
    </row>
    <row r="196" ht="12.75" customHeight="1">
      <c r="BL196" s="1"/>
      <c r="BM196" s="1"/>
    </row>
    <row r="197" ht="12.75" customHeight="1">
      <c r="BL197" s="1"/>
      <c r="BM197" s="1"/>
    </row>
    <row r="198" ht="12.75" customHeight="1">
      <c r="BL198" s="1"/>
      <c r="BM198" s="1"/>
    </row>
    <row r="199" ht="12.75" customHeight="1">
      <c r="BL199" s="52"/>
      <c r="BM199" s="52"/>
    </row>
    <row r="200" ht="12.75" customHeight="1">
      <c r="BL200" s="5"/>
      <c r="BM200" s="5"/>
    </row>
    <row r="201" ht="12.75" customHeight="1">
      <c r="BL201" s="5"/>
      <c r="BM201" s="5"/>
    </row>
    <row r="202" ht="12.75" customHeight="1">
      <c r="BL202" s="5"/>
      <c r="BM202" s="5"/>
    </row>
    <row r="203" ht="12.75" customHeight="1">
      <c r="BL203" s="5"/>
      <c r="BM203" s="5"/>
    </row>
    <row r="204" ht="12.75" customHeight="1">
      <c r="BL204" s="5"/>
      <c r="BM204" s="5"/>
    </row>
    <row r="205" ht="12.75" customHeight="1">
      <c r="BL205" s="5"/>
      <c r="BM205" s="5"/>
    </row>
    <row r="206" ht="12.75" customHeight="1">
      <c r="BL206" s="5"/>
      <c r="BM206" s="5"/>
    </row>
    <row r="207" ht="12.75" customHeight="1">
      <c r="BL207" s="1"/>
      <c r="BM207" s="1"/>
    </row>
    <row r="208" ht="12.75" customHeight="1">
      <c r="BL208" s="52"/>
      <c r="BM208" s="52"/>
    </row>
    <row r="209" ht="12.75" customHeight="1">
      <c r="BL209" s="52"/>
      <c r="BM209" s="52"/>
    </row>
    <row r="210" ht="12.75" customHeight="1">
      <c r="BL210" s="52"/>
      <c r="BM210" s="52"/>
    </row>
    <row r="211" ht="12.75" customHeight="1">
      <c r="BL211" s="5"/>
      <c r="BM211" s="5"/>
    </row>
    <row r="212" ht="12.75" customHeight="1">
      <c r="BL212" s="5"/>
      <c r="BM212" s="5"/>
    </row>
    <row r="213" ht="12.75" customHeight="1">
      <c r="BL213" s="5"/>
      <c r="BM213" s="5"/>
    </row>
    <row r="214" ht="12.75" customHeight="1">
      <c r="BL214" s="5"/>
      <c r="BM214" s="5"/>
    </row>
    <row r="215" ht="12.75" customHeight="1">
      <c r="BL215" s="5"/>
      <c r="BM215" s="5"/>
    </row>
    <row r="216" ht="12.75" customHeight="1">
      <c r="BL216" s="5"/>
      <c r="BM216" s="5"/>
    </row>
    <row r="217" ht="12.75" customHeight="1">
      <c r="BL217" s="5"/>
      <c r="BM217" s="5"/>
    </row>
    <row r="218" ht="12.75" customHeight="1">
      <c r="BL218" s="1"/>
      <c r="BM218" s="1"/>
    </row>
    <row r="219" ht="12.75" customHeight="1">
      <c r="BL219" s="52"/>
      <c r="BM219" s="52"/>
    </row>
    <row r="220" ht="12.75" customHeight="1">
      <c r="BL220" s="5"/>
      <c r="BM220" s="5"/>
    </row>
    <row r="221" ht="12.75" customHeight="1">
      <c r="BL221" s="5"/>
      <c r="BM221" s="5"/>
    </row>
    <row r="222" ht="12.75" customHeight="1">
      <c r="BL222" s="5"/>
      <c r="BM222" s="5"/>
    </row>
    <row r="223" ht="12.75" customHeight="1">
      <c r="BL223" s="5"/>
      <c r="BM223" s="5"/>
    </row>
    <row r="224" ht="12.75" customHeight="1">
      <c r="BL224" s="5"/>
      <c r="BM224" s="5"/>
    </row>
    <row r="225" ht="12.75" customHeight="1">
      <c r="BL225" s="5"/>
      <c r="BM225" s="5"/>
    </row>
    <row r="226" ht="12.75" customHeight="1">
      <c r="BL226" s="5"/>
      <c r="BM226" s="5"/>
    </row>
    <row r="227" ht="12.75" customHeight="1">
      <c r="BL227" s="5"/>
      <c r="BM227" s="5"/>
    </row>
    <row r="228" ht="12.75" customHeight="1">
      <c r="BL228" s="5"/>
      <c r="BM228" s="5"/>
    </row>
    <row r="229" ht="12.75" customHeight="1">
      <c r="BL229" s="1"/>
      <c r="BM229" s="1"/>
    </row>
    <row r="230" ht="12.75" customHeight="1">
      <c r="BL230" s="52"/>
      <c r="BM230" s="52"/>
    </row>
    <row r="231" ht="12.75" customHeight="1">
      <c r="BL231" s="5"/>
      <c r="BM231" s="5"/>
    </row>
    <row r="232" ht="12.75" customHeight="1">
      <c r="BL232" s="5"/>
      <c r="BM232" s="5"/>
    </row>
    <row r="233" ht="12.75" customHeight="1">
      <c r="BL233" s="5"/>
      <c r="BM233" s="5"/>
    </row>
    <row r="234" ht="12.75" customHeight="1">
      <c r="BL234" s="5"/>
      <c r="BM234" s="5"/>
    </row>
    <row r="235" ht="12.75" customHeight="1">
      <c r="BL235" s="5"/>
      <c r="BM235" s="5"/>
    </row>
    <row r="236" ht="12.75" customHeight="1">
      <c r="BL236" s="5"/>
      <c r="BM236" s="5"/>
    </row>
    <row r="237" ht="12.75" customHeight="1">
      <c r="BL237" s="5"/>
      <c r="BM237" s="5"/>
    </row>
    <row r="238" ht="12.75" customHeight="1">
      <c r="BL238" s="5"/>
      <c r="BM238" s="5"/>
    </row>
    <row r="239" ht="12.75" customHeight="1">
      <c r="BL239" s="5"/>
      <c r="BM239" s="5"/>
    </row>
    <row r="240" ht="12.75" customHeight="1">
      <c r="BL240" s="1"/>
      <c r="BM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BJ12"/>
    <mergeCell ref="BK12:BK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BJ15">
    <cfRule type="containsBlanks" dxfId="1" priority="1">
      <formula>LEN(TRIM(E14))=0</formula>
    </cfRule>
  </conditionalFormatting>
  <conditionalFormatting sqref="E19:BJ20">
    <cfRule type="containsBlanks" dxfId="1" priority="2">
      <formula>LEN(TRIM(E19))=0</formula>
    </cfRule>
  </conditionalFormatting>
  <conditionalFormatting sqref="E22:BJ23 E25:BJ26 E33:BJ33 E35:BJ35 E39:BJ40">
    <cfRule type="containsBlanks" dxfId="1" priority="3">
      <formula>LEN(TRIM(E22))=0</formula>
    </cfRule>
  </conditionalFormatting>
  <conditionalFormatting sqref="E30:BJ30">
    <cfRule type="expression" dxfId="0" priority="4">
      <formula>E30&lt;&gt;E47</formula>
    </cfRule>
  </conditionalFormatting>
  <conditionalFormatting sqref="E30:BJ30">
    <cfRule type="expression" dxfId="0" priority="5">
      <formula>E30&lt;&gt;E34</formula>
    </cfRule>
  </conditionalFormatting>
  <conditionalFormatting sqref="E34:BJ34">
    <cfRule type="expression" dxfId="2" priority="6">
      <formula>E30&lt;&gt;E34</formula>
    </cfRule>
  </conditionalFormatting>
  <conditionalFormatting sqref="E34:BJ34">
    <cfRule type="expression" dxfId="3" priority="7">
      <formula>E30=E34</formula>
    </cfRule>
  </conditionalFormatting>
  <conditionalFormatting sqref="E34:BJ34">
    <cfRule type="expression" dxfId="0" priority="8">
      <formula>E34&lt;&gt;E30</formula>
    </cfRule>
  </conditionalFormatting>
  <conditionalFormatting sqref="E34:BJ34">
    <cfRule type="expression" dxfId="0" priority="9">
      <formula>E34&lt;&gt;#REF!</formula>
    </cfRule>
  </conditionalFormatting>
  <conditionalFormatting sqref="E45:BJ47">
    <cfRule type="containsBlanks" dxfId="1" priority="10">
      <formula>LEN(TRIM(E45))=0</formula>
    </cfRule>
  </conditionalFormatting>
  <conditionalFormatting sqref="E50:BJ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109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37"/>
    </row>
    <row r="14" ht="12.75" customHeight="1">
      <c r="A14" s="18"/>
      <c r="B14" s="22" t="s">
        <v>11</v>
      </c>
      <c r="C14" s="23"/>
      <c r="D14" s="19" t="s">
        <v>12</v>
      </c>
      <c r="E14" s="19">
        <v>100.0</v>
      </c>
      <c r="F14" s="19">
        <v>130.0</v>
      </c>
      <c r="G14" s="19">
        <v>131.0</v>
      </c>
      <c r="H14" s="19">
        <v>141.0</v>
      </c>
      <c r="I14" s="19">
        <v>115.0</v>
      </c>
      <c r="J14" s="19">
        <v>138.0</v>
      </c>
      <c r="K14" s="19">
        <v>136.0</v>
      </c>
      <c r="L14" s="19">
        <v>115.0</v>
      </c>
      <c r="M14" s="19">
        <v>146.0</v>
      </c>
      <c r="N14" s="19">
        <v>142.0</v>
      </c>
      <c r="O14" s="19">
        <v>79.0</v>
      </c>
      <c r="P14" s="19">
        <v>101.0</v>
      </c>
      <c r="Q14" s="19">
        <v>123.0</v>
      </c>
      <c r="R14" s="19">
        <v>146.0</v>
      </c>
      <c r="S14" s="13">
        <f t="shared" ref="S14:S16" si="1">SUM(E14:R14)</f>
        <v>1743</v>
      </c>
    </row>
    <row r="15" ht="12.75" customHeight="1">
      <c r="A15" s="18"/>
      <c r="B15" s="26"/>
      <c r="C15" s="27"/>
      <c r="D15" s="19" t="s">
        <v>13</v>
      </c>
      <c r="E15" s="19">
        <v>86.0</v>
      </c>
      <c r="F15" s="19">
        <v>114.0</v>
      </c>
      <c r="G15" s="19">
        <v>125.0</v>
      </c>
      <c r="H15" s="19">
        <v>145.0</v>
      </c>
      <c r="I15" s="19">
        <v>108.0</v>
      </c>
      <c r="J15" s="19">
        <v>127.0</v>
      </c>
      <c r="K15" s="19">
        <v>145.0</v>
      </c>
      <c r="L15" s="19">
        <v>124.0</v>
      </c>
      <c r="M15" s="19">
        <v>138.0</v>
      </c>
      <c r="N15" s="19">
        <v>126.0</v>
      </c>
      <c r="O15" s="19">
        <v>89.0</v>
      </c>
      <c r="P15" s="19">
        <v>106.0</v>
      </c>
      <c r="Q15" s="19">
        <v>143.0</v>
      </c>
      <c r="R15" s="19">
        <v>146.0</v>
      </c>
      <c r="S15" s="13">
        <f t="shared" si="1"/>
        <v>1722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186</v>
      </c>
      <c r="F16" s="13">
        <f t="shared" si="2"/>
        <v>244</v>
      </c>
      <c r="G16" s="13">
        <f t="shared" si="2"/>
        <v>256</v>
      </c>
      <c r="H16" s="13">
        <f t="shared" si="2"/>
        <v>286</v>
      </c>
      <c r="I16" s="13">
        <f t="shared" si="2"/>
        <v>223</v>
      </c>
      <c r="J16" s="13">
        <f t="shared" si="2"/>
        <v>265</v>
      </c>
      <c r="K16" s="13">
        <f t="shared" si="2"/>
        <v>281</v>
      </c>
      <c r="L16" s="13">
        <f t="shared" si="2"/>
        <v>239</v>
      </c>
      <c r="M16" s="13">
        <f t="shared" si="2"/>
        <v>284</v>
      </c>
      <c r="N16" s="13">
        <f t="shared" si="2"/>
        <v>268</v>
      </c>
      <c r="O16" s="13">
        <f t="shared" si="2"/>
        <v>168</v>
      </c>
      <c r="P16" s="13">
        <f t="shared" si="2"/>
        <v>207</v>
      </c>
      <c r="Q16" s="13">
        <f t="shared" si="2"/>
        <v>266</v>
      </c>
      <c r="R16" s="13">
        <f t="shared" si="2"/>
        <v>292</v>
      </c>
      <c r="S16" s="13">
        <f t="shared" si="1"/>
        <v>3465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3"/>
      <c r="O17" s="19"/>
      <c r="P17" s="19"/>
      <c r="Q17" s="19"/>
      <c r="R17" s="19"/>
      <c r="S17" s="64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3"/>
      <c r="O18" s="19"/>
      <c r="P18" s="19"/>
      <c r="Q18" s="19"/>
      <c r="R18" s="19"/>
      <c r="S18" s="64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77.0</v>
      </c>
      <c r="F19" s="19">
        <v>90.0</v>
      </c>
      <c r="G19" s="19">
        <v>89.0</v>
      </c>
      <c r="H19" s="19">
        <v>93.0</v>
      </c>
      <c r="I19" s="19">
        <v>98.0</v>
      </c>
      <c r="J19" s="19">
        <v>105.0</v>
      </c>
      <c r="K19" s="19">
        <v>110.0</v>
      </c>
      <c r="L19" s="19">
        <v>70.0</v>
      </c>
      <c r="M19" s="19">
        <v>91.0</v>
      </c>
      <c r="N19" s="19">
        <v>105.0</v>
      </c>
      <c r="O19" s="19">
        <v>59.0</v>
      </c>
      <c r="P19" s="19">
        <v>84.0</v>
      </c>
      <c r="Q19" s="19">
        <v>96.0</v>
      </c>
      <c r="R19" s="19">
        <v>103.0</v>
      </c>
      <c r="S19" s="13">
        <f t="shared" ref="S19:S30" si="3">SUM(E19:R19)</f>
        <v>1270</v>
      </c>
    </row>
    <row r="20" ht="12.75" customHeight="1">
      <c r="A20" s="34"/>
      <c r="B20" s="27"/>
      <c r="C20" s="35"/>
      <c r="D20" s="19" t="s">
        <v>13</v>
      </c>
      <c r="E20" s="19">
        <v>69.0</v>
      </c>
      <c r="F20" s="19">
        <v>88.0</v>
      </c>
      <c r="G20" s="19">
        <v>102.0</v>
      </c>
      <c r="H20" s="19">
        <v>112.0</v>
      </c>
      <c r="I20" s="19">
        <v>95.0</v>
      </c>
      <c r="J20" s="19">
        <v>104.0</v>
      </c>
      <c r="K20" s="19">
        <v>121.0</v>
      </c>
      <c r="L20" s="19">
        <v>85.0</v>
      </c>
      <c r="M20" s="19">
        <v>106.0</v>
      </c>
      <c r="N20" s="19">
        <v>108.0</v>
      </c>
      <c r="O20" s="19">
        <v>67.0</v>
      </c>
      <c r="P20" s="19">
        <v>85.0</v>
      </c>
      <c r="Q20" s="19">
        <v>116.0</v>
      </c>
      <c r="R20" s="19">
        <v>118.0</v>
      </c>
      <c r="S20" s="13">
        <f t="shared" si="3"/>
        <v>1376</v>
      </c>
    </row>
    <row r="21" ht="12.75" customHeight="1">
      <c r="A21" s="36"/>
      <c r="B21" s="28"/>
      <c r="C21" s="37"/>
      <c r="D21" s="13" t="s">
        <v>14</v>
      </c>
      <c r="E21" s="13">
        <f t="shared" ref="E21:R21" si="4">SUM(E19:E20)</f>
        <v>146</v>
      </c>
      <c r="F21" s="13">
        <f t="shared" si="4"/>
        <v>178</v>
      </c>
      <c r="G21" s="13">
        <f t="shared" si="4"/>
        <v>191</v>
      </c>
      <c r="H21" s="13">
        <f t="shared" si="4"/>
        <v>205</v>
      </c>
      <c r="I21" s="13">
        <f t="shared" si="4"/>
        <v>193</v>
      </c>
      <c r="J21" s="13">
        <f t="shared" si="4"/>
        <v>209</v>
      </c>
      <c r="K21" s="13">
        <f t="shared" si="4"/>
        <v>231</v>
      </c>
      <c r="L21" s="13">
        <f t="shared" si="4"/>
        <v>155</v>
      </c>
      <c r="M21" s="13">
        <f t="shared" si="4"/>
        <v>197</v>
      </c>
      <c r="N21" s="13">
        <f t="shared" si="4"/>
        <v>213</v>
      </c>
      <c r="O21" s="13">
        <f t="shared" si="4"/>
        <v>126</v>
      </c>
      <c r="P21" s="13">
        <f t="shared" si="4"/>
        <v>169</v>
      </c>
      <c r="Q21" s="13">
        <f t="shared" si="4"/>
        <v>212</v>
      </c>
      <c r="R21" s="13">
        <f t="shared" si="4"/>
        <v>221</v>
      </c>
      <c r="S21" s="13">
        <f t="shared" si="3"/>
        <v>2646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>
        <v>3.0</v>
      </c>
      <c r="R22" s="19"/>
      <c r="S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>
        <v>1.0</v>
      </c>
      <c r="R23" s="19"/>
      <c r="S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R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4</v>
      </c>
      <c r="R24" s="13">
        <f t="shared" si="5"/>
        <v>0</v>
      </c>
      <c r="S24" s="13">
        <f t="shared" si="3"/>
        <v>4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>
        <v>1.0</v>
      </c>
      <c r="G25" s="19"/>
      <c r="H25" s="19"/>
      <c r="I25" s="19">
        <v>1.0</v>
      </c>
      <c r="J25" s="19"/>
      <c r="K25" s="19"/>
      <c r="L25" s="19"/>
      <c r="M25" s="19">
        <v>2.0</v>
      </c>
      <c r="N25" s="19">
        <v>3.0</v>
      </c>
      <c r="O25" s="19"/>
      <c r="P25" s="19">
        <v>4.0</v>
      </c>
      <c r="Q25" s="19">
        <v>3.0</v>
      </c>
      <c r="R25" s="19">
        <v>1.0</v>
      </c>
      <c r="S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19">
        <v>1.0</v>
      </c>
      <c r="F26" s="19">
        <v>1.0</v>
      </c>
      <c r="G26" s="19"/>
      <c r="H26" s="19">
        <v>1.0</v>
      </c>
      <c r="I26" s="19"/>
      <c r="J26" s="19"/>
      <c r="K26" s="19"/>
      <c r="L26" s="19"/>
      <c r="M26" s="19">
        <v>1.0</v>
      </c>
      <c r="N26" s="19"/>
      <c r="O26" s="19"/>
      <c r="P26" s="19">
        <v>3.0</v>
      </c>
      <c r="Q26" s="19">
        <v>2.0</v>
      </c>
      <c r="R26" s="19">
        <v>2.0</v>
      </c>
      <c r="S26" s="13">
        <f t="shared" si="3"/>
        <v>11</v>
      </c>
    </row>
    <row r="27" ht="12.75" customHeight="1">
      <c r="A27" s="36"/>
      <c r="B27" s="28"/>
      <c r="C27" s="37"/>
      <c r="D27" s="13" t="s">
        <v>14</v>
      </c>
      <c r="E27" s="13">
        <f t="shared" ref="E27:R27" si="6">SUM(E25:E26)</f>
        <v>1</v>
      </c>
      <c r="F27" s="13">
        <f t="shared" si="6"/>
        <v>2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3</v>
      </c>
      <c r="N27" s="13">
        <f t="shared" si="6"/>
        <v>3</v>
      </c>
      <c r="O27" s="13">
        <f t="shared" si="6"/>
        <v>0</v>
      </c>
      <c r="P27" s="13">
        <f t="shared" si="6"/>
        <v>7</v>
      </c>
      <c r="Q27" s="13">
        <f t="shared" si="6"/>
        <v>5</v>
      </c>
      <c r="R27" s="13">
        <f t="shared" si="6"/>
        <v>3</v>
      </c>
      <c r="S27" s="13">
        <f t="shared" si="3"/>
        <v>26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R28" si="7">SUM(E19,E22,E25)</f>
        <v>77</v>
      </c>
      <c r="F28" s="13">
        <f t="shared" si="7"/>
        <v>91</v>
      </c>
      <c r="G28" s="13">
        <f t="shared" si="7"/>
        <v>89</v>
      </c>
      <c r="H28" s="13">
        <f t="shared" si="7"/>
        <v>93</v>
      </c>
      <c r="I28" s="13">
        <f t="shared" si="7"/>
        <v>99</v>
      </c>
      <c r="J28" s="13">
        <f t="shared" si="7"/>
        <v>105</v>
      </c>
      <c r="K28" s="13">
        <f t="shared" si="7"/>
        <v>110</v>
      </c>
      <c r="L28" s="13">
        <f t="shared" si="7"/>
        <v>70</v>
      </c>
      <c r="M28" s="13">
        <f t="shared" si="7"/>
        <v>93</v>
      </c>
      <c r="N28" s="13">
        <f t="shared" si="7"/>
        <v>108</v>
      </c>
      <c r="O28" s="13">
        <f t="shared" si="7"/>
        <v>59</v>
      </c>
      <c r="P28" s="13">
        <f t="shared" si="7"/>
        <v>88</v>
      </c>
      <c r="Q28" s="13">
        <f t="shared" si="7"/>
        <v>102</v>
      </c>
      <c r="R28" s="13">
        <f t="shared" si="7"/>
        <v>104</v>
      </c>
      <c r="S28" s="13">
        <f t="shared" si="3"/>
        <v>1288</v>
      </c>
    </row>
    <row r="29" ht="12.75" customHeight="1">
      <c r="A29" s="36"/>
      <c r="B29" s="27"/>
      <c r="C29" s="35"/>
      <c r="D29" s="13" t="s">
        <v>13</v>
      </c>
      <c r="E29" s="13">
        <f t="shared" ref="E29:R29" si="8">SUM(E20,E23,E26)</f>
        <v>70</v>
      </c>
      <c r="F29" s="13">
        <f t="shared" si="8"/>
        <v>89</v>
      </c>
      <c r="G29" s="13">
        <f t="shared" si="8"/>
        <v>102</v>
      </c>
      <c r="H29" s="13">
        <f t="shared" si="8"/>
        <v>113</v>
      </c>
      <c r="I29" s="13">
        <f t="shared" si="8"/>
        <v>95</v>
      </c>
      <c r="J29" s="13">
        <f t="shared" si="8"/>
        <v>104</v>
      </c>
      <c r="K29" s="13">
        <f t="shared" si="8"/>
        <v>121</v>
      </c>
      <c r="L29" s="13">
        <f t="shared" si="8"/>
        <v>85</v>
      </c>
      <c r="M29" s="13">
        <f t="shared" si="8"/>
        <v>107</v>
      </c>
      <c r="N29" s="13">
        <f t="shared" si="8"/>
        <v>108</v>
      </c>
      <c r="O29" s="13">
        <f t="shared" si="8"/>
        <v>67</v>
      </c>
      <c r="P29" s="13">
        <f t="shared" si="8"/>
        <v>88</v>
      </c>
      <c r="Q29" s="13">
        <f t="shared" si="8"/>
        <v>119</v>
      </c>
      <c r="R29" s="13">
        <f t="shared" si="8"/>
        <v>120</v>
      </c>
      <c r="S29" s="13">
        <f t="shared" si="3"/>
        <v>1388</v>
      </c>
    </row>
    <row r="30" ht="12.75" customHeight="1">
      <c r="A30" s="36"/>
      <c r="B30" s="28"/>
      <c r="C30" s="37"/>
      <c r="D30" s="13" t="s">
        <v>14</v>
      </c>
      <c r="E30" s="13">
        <f t="shared" ref="E30:R30" si="9">SUM(E28:E29)</f>
        <v>147</v>
      </c>
      <c r="F30" s="13">
        <f t="shared" si="9"/>
        <v>180</v>
      </c>
      <c r="G30" s="13">
        <f t="shared" si="9"/>
        <v>191</v>
      </c>
      <c r="H30" s="13">
        <f t="shared" si="9"/>
        <v>206</v>
      </c>
      <c r="I30" s="13">
        <f t="shared" si="9"/>
        <v>194</v>
      </c>
      <c r="J30" s="13">
        <f t="shared" si="9"/>
        <v>209</v>
      </c>
      <c r="K30" s="13">
        <f t="shared" si="9"/>
        <v>231</v>
      </c>
      <c r="L30" s="13">
        <f t="shared" si="9"/>
        <v>155</v>
      </c>
      <c r="M30" s="13">
        <f t="shared" si="9"/>
        <v>200</v>
      </c>
      <c r="N30" s="13">
        <f t="shared" si="9"/>
        <v>216</v>
      </c>
      <c r="O30" s="13">
        <f t="shared" si="9"/>
        <v>126</v>
      </c>
      <c r="P30" s="13">
        <f t="shared" si="9"/>
        <v>176</v>
      </c>
      <c r="Q30" s="13">
        <f t="shared" si="9"/>
        <v>221</v>
      </c>
      <c r="R30" s="13">
        <f t="shared" si="9"/>
        <v>224</v>
      </c>
      <c r="S30" s="13">
        <f t="shared" si="3"/>
        <v>2676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3"/>
      <c r="O31" s="19"/>
      <c r="P31" s="19"/>
      <c r="Q31" s="19"/>
      <c r="R31" s="19"/>
      <c r="S31" s="64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5"/>
      <c r="O32" s="13"/>
      <c r="P32" s="13"/>
      <c r="Q32" s="13"/>
      <c r="R32" s="13"/>
      <c r="S32" s="64"/>
    </row>
    <row r="33" ht="12.75" customHeight="1">
      <c r="A33" s="19">
        <v>1.0</v>
      </c>
      <c r="B33" s="20" t="s">
        <v>27</v>
      </c>
      <c r="C33" s="15"/>
      <c r="D33" s="16"/>
      <c r="E33" s="19">
        <v>190.0</v>
      </c>
      <c r="F33" s="19">
        <v>249.0</v>
      </c>
      <c r="G33" s="19">
        <v>264.0</v>
      </c>
      <c r="H33" s="19">
        <v>292.0</v>
      </c>
      <c r="I33" s="19">
        <v>226.0</v>
      </c>
      <c r="J33" s="19">
        <v>271.0</v>
      </c>
      <c r="K33" s="19">
        <v>288.0</v>
      </c>
      <c r="L33" s="19">
        <v>244.0</v>
      </c>
      <c r="M33" s="19">
        <v>290.0</v>
      </c>
      <c r="N33" s="19">
        <v>274.0</v>
      </c>
      <c r="O33" s="19">
        <v>172.0</v>
      </c>
      <c r="P33" s="19">
        <v>212.0</v>
      </c>
      <c r="Q33" s="19">
        <v>274.0</v>
      </c>
      <c r="R33" s="19">
        <v>298.0</v>
      </c>
      <c r="S33" s="13">
        <f t="shared" ref="S33:S36" si="10">SUM(E33:R33)</f>
        <v>3544</v>
      </c>
    </row>
    <row r="34" ht="12.75" customHeight="1">
      <c r="A34" s="19">
        <v>2.0</v>
      </c>
      <c r="B34" s="20" t="s">
        <v>28</v>
      </c>
      <c r="C34" s="15"/>
      <c r="D34" s="16"/>
      <c r="E34" s="13">
        <v>147.0</v>
      </c>
      <c r="F34" s="13">
        <v>180.0</v>
      </c>
      <c r="G34" s="13">
        <v>191.0</v>
      </c>
      <c r="H34" s="13">
        <v>206.0</v>
      </c>
      <c r="I34" s="13">
        <v>194.0</v>
      </c>
      <c r="J34" s="13">
        <v>209.0</v>
      </c>
      <c r="K34" s="13">
        <v>231.0</v>
      </c>
      <c r="L34" s="13">
        <v>155.0</v>
      </c>
      <c r="M34" s="13">
        <v>200.0</v>
      </c>
      <c r="N34" s="13">
        <v>216.0</v>
      </c>
      <c r="O34" s="13">
        <v>126.0</v>
      </c>
      <c r="P34" s="13">
        <v>176.0</v>
      </c>
      <c r="Q34" s="13">
        <v>221.0</v>
      </c>
      <c r="R34" s="13">
        <v>224.0</v>
      </c>
      <c r="S34" s="13">
        <f t="shared" si="10"/>
        <v>2676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>
        <v>1.0</v>
      </c>
      <c r="H35" s="19"/>
      <c r="I35" s="19">
        <v>1.0</v>
      </c>
      <c r="J35" s="19"/>
      <c r="K35" s="19"/>
      <c r="L35" s="19"/>
      <c r="M35" s="19"/>
      <c r="N35" s="19"/>
      <c r="O35" s="19"/>
      <c r="P35" s="19"/>
      <c r="Q35" s="19"/>
      <c r="R35" s="19"/>
      <c r="S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43</v>
      </c>
      <c r="F36" s="13">
        <f t="shared" si="11"/>
        <v>69</v>
      </c>
      <c r="G36" s="13">
        <f t="shared" si="11"/>
        <v>72</v>
      </c>
      <c r="H36" s="13">
        <f t="shared" si="11"/>
        <v>86</v>
      </c>
      <c r="I36" s="13">
        <f t="shared" si="11"/>
        <v>31</v>
      </c>
      <c r="J36" s="13">
        <f t="shared" si="11"/>
        <v>62</v>
      </c>
      <c r="K36" s="13">
        <f t="shared" si="11"/>
        <v>57</v>
      </c>
      <c r="L36" s="13">
        <f t="shared" si="11"/>
        <v>89</v>
      </c>
      <c r="M36" s="13">
        <f t="shared" si="11"/>
        <v>90</v>
      </c>
      <c r="N36" s="13">
        <f t="shared" si="11"/>
        <v>58</v>
      </c>
      <c r="O36" s="13">
        <f t="shared" si="11"/>
        <v>46</v>
      </c>
      <c r="P36" s="13">
        <f t="shared" si="11"/>
        <v>36</v>
      </c>
      <c r="Q36" s="13">
        <f t="shared" si="11"/>
        <v>53</v>
      </c>
      <c r="R36" s="13">
        <f t="shared" si="11"/>
        <v>74</v>
      </c>
      <c r="S36" s="13">
        <f t="shared" si="10"/>
        <v>866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3"/>
      <c r="O37" s="19"/>
      <c r="P37" s="19"/>
      <c r="Q37" s="19"/>
      <c r="R37" s="19"/>
      <c r="S37" s="64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5"/>
      <c r="O38" s="13"/>
      <c r="P38" s="13"/>
      <c r="Q38" s="13"/>
      <c r="R38" s="13"/>
      <c r="S38" s="64"/>
    </row>
    <row r="39" ht="12.75" customHeight="1">
      <c r="A39" s="31"/>
      <c r="B39" s="45" t="s">
        <v>33</v>
      </c>
      <c r="C39" s="23"/>
      <c r="D39" s="19" t="s">
        <v>12</v>
      </c>
      <c r="E39" s="19">
        <v>2.0</v>
      </c>
      <c r="F39" s="19"/>
      <c r="G39" s="19"/>
      <c r="H39" s="19"/>
      <c r="I39" s="19"/>
      <c r="J39" s="19"/>
      <c r="K39" s="19"/>
      <c r="L39" s="19"/>
      <c r="M39" s="19">
        <v>2.0</v>
      </c>
      <c r="N39" s="19"/>
      <c r="O39" s="19"/>
      <c r="P39" s="19">
        <v>1.0</v>
      </c>
      <c r="Q39" s="19"/>
      <c r="R39" s="19">
        <v>1.0</v>
      </c>
      <c r="S39" s="13">
        <f t="shared" ref="S39:S41" si="12">SUM(E39:R39)</f>
        <v>6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>
        <v>1.0</v>
      </c>
      <c r="M40" s="19"/>
      <c r="N40" s="19"/>
      <c r="O40" s="19"/>
      <c r="P40" s="19"/>
      <c r="Q40" s="19"/>
      <c r="R40" s="19">
        <v>2.0</v>
      </c>
      <c r="S40" s="13">
        <f t="shared" si="12"/>
        <v>3</v>
      </c>
    </row>
    <row r="41" ht="12.75" customHeight="1">
      <c r="A41" s="43"/>
      <c r="B41" s="46"/>
      <c r="C41" s="28"/>
      <c r="D41" s="13" t="s">
        <v>14</v>
      </c>
      <c r="E41" s="13">
        <f t="shared" ref="E41:R41" si="13">SUM(E39:E40)</f>
        <v>2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2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3</v>
      </c>
      <c r="S41" s="13">
        <f t="shared" si="12"/>
        <v>9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3"/>
      <c r="O42" s="19"/>
      <c r="P42" s="19"/>
      <c r="Q42" s="19"/>
      <c r="R42" s="19"/>
      <c r="S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5"/>
      <c r="O43" s="13"/>
      <c r="P43" s="13"/>
      <c r="Q43" s="13"/>
      <c r="R43" s="13"/>
      <c r="S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3"/>
      <c r="O44" s="19"/>
      <c r="P44" s="19"/>
      <c r="Q44" s="19"/>
      <c r="R44" s="19"/>
      <c r="S44" s="13"/>
    </row>
    <row r="45" ht="12.75" customHeight="1">
      <c r="A45" s="66"/>
      <c r="B45" s="49">
        <v>1.0</v>
      </c>
      <c r="C45" s="50" t="s">
        <v>37</v>
      </c>
      <c r="D45" s="16"/>
      <c r="E45" s="19">
        <v>4.0</v>
      </c>
      <c r="F45" s="19">
        <v>3.0</v>
      </c>
      <c r="G45" s="19">
        <v>11.0</v>
      </c>
      <c r="H45" s="19">
        <v>16.0</v>
      </c>
      <c r="I45" s="19">
        <v>10.0</v>
      </c>
      <c r="J45" s="19">
        <v>27.0</v>
      </c>
      <c r="K45" s="19">
        <v>15.0</v>
      </c>
      <c r="L45" s="19">
        <v>5.0</v>
      </c>
      <c r="M45" s="19">
        <v>28.0</v>
      </c>
      <c r="N45" s="19">
        <v>67.0</v>
      </c>
      <c r="O45" s="19">
        <v>9.0</v>
      </c>
      <c r="P45" s="19">
        <v>11.0</v>
      </c>
      <c r="Q45" s="19">
        <v>20.0</v>
      </c>
      <c r="R45" s="19">
        <v>21.0</v>
      </c>
      <c r="S45" s="13">
        <f t="shared" ref="S45:S47" si="14">SUM(E45:R45)</f>
        <v>247</v>
      </c>
    </row>
    <row r="46" ht="12.75" customHeight="1">
      <c r="A46" s="18"/>
      <c r="B46" s="49">
        <v>2.0</v>
      </c>
      <c r="C46" s="50" t="s">
        <v>38</v>
      </c>
      <c r="D46" s="16"/>
      <c r="E46" s="19">
        <v>105.0</v>
      </c>
      <c r="F46" s="19">
        <v>139.0</v>
      </c>
      <c r="G46" s="19">
        <v>150.0</v>
      </c>
      <c r="H46" s="19">
        <v>157.0</v>
      </c>
      <c r="I46" s="19">
        <v>150.0</v>
      </c>
      <c r="J46" s="19">
        <v>151.0</v>
      </c>
      <c r="K46" s="19">
        <v>179.0</v>
      </c>
      <c r="L46" s="19">
        <v>105.0</v>
      </c>
      <c r="M46" s="19">
        <v>136.0</v>
      </c>
      <c r="N46" s="19">
        <v>121.0</v>
      </c>
      <c r="O46" s="19">
        <v>112.0</v>
      </c>
      <c r="P46" s="19">
        <v>147.0</v>
      </c>
      <c r="Q46" s="19">
        <v>182.0</v>
      </c>
      <c r="R46" s="19">
        <v>149.0</v>
      </c>
      <c r="S46" s="13">
        <f t="shared" si="14"/>
        <v>1983</v>
      </c>
    </row>
    <row r="47" ht="12.75" customHeight="1">
      <c r="A47" s="47"/>
      <c r="B47" s="49">
        <v>3.0</v>
      </c>
      <c r="C47" s="50" t="s">
        <v>39</v>
      </c>
      <c r="D47" s="16"/>
      <c r="E47" s="19">
        <v>35.0</v>
      </c>
      <c r="F47" s="19">
        <v>33.0</v>
      </c>
      <c r="G47" s="19">
        <v>26.0</v>
      </c>
      <c r="H47" s="19">
        <v>30.0</v>
      </c>
      <c r="I47" s="19">
        <v>30.0</v>
      </c>
      <c r="J47" s="19">
        <v>24.0</v>
      </c>
      <c r="K47" s="19">
        <v>31.0</v>
      </c>
      <c r="L47" s="19">
        <v>42.0</v>
      </c>
      <c r="M47" s="19">
        <v>27.0</v>
      </c>
      <c r="N47" s="19">
        <v>24.0</v>
      </c>
      <c r="O47" s="19">
        <v>5.0</v>
      </c>
      <c r="P47" s="19">
        <v>14.0</v>
      </c>
      <c r="Q47" s="19">
        <v>16.0</v>
      </c>
      <c r="R47" s="19">
        <v>51.0</v>
      </c>
      <c r="S47" s="13">
        <f t="shared" si="14"/>
        <v>388</v>
      </c>
    </row>
    <row r="48" ht="12.75" customHeight="1">
      <c r="S48" s="13"/>
    </row>
    <row r="49" ht="12.75" customHeight="1">
      <c r="A49" s="44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R50" si="15">SUM(E45:E47)</f>
        <v>144</v>
      </c>
      <c r="F50" s="19">
        <f t="shared" si="15"/>
        <v>175</v>
      </c>
      <c r="G50" s="19">
        <f t="shared" si="15"/>
        <v>187</v>
      </c>
      <c r="H50" s="19">
        <f t="shared" si="15"/>
        <v>203</v>
      </c>
      <c r="I50" s="19">
        <f t="shared" si="15"/>
        <v>190</v>
      </c>
      <c r="J50" s="19">
        <f t="shared" si="15"/>
        <v>202</v>
      </c>
      <c r="K50" s="19">
        <f t="shared" si="15"/>
        <v>225</v>
      </c>
      <c r="L50" s="19">
        <f t="shared" si="15"/>
        <v>152</v>
      </c>
      <c r="M50" s="19">
        <f t="shared" si="15"/>
        <v>191</v>
      </c>
      <c r="N50" s="19">
        <f t="shared" si="15"/>
        <v>212</v>
      </c>
      <c r="O50" s="19">
        <f t="shared" si="15"/>
        <v>126</v>
      </c>
      <c r="P50" s="19">
        <f t="shared" si="15"/>
        <v>172</v>
      </c>
      <c r="Q50" s="19">
        <f t="shared" si="15"/>
        <v>218</v>
      </c>
      <c r="R50" s="19">
        <f t="shared" si="15"/>
        <v>221</v>
      </c>
      <c r="S50" s="13">
        <f t="shared" ref="S50:S52" si="16">SUM(E50:R50)</f>
        <v>2618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3.0</v>
      </c>
      <c r="F51" s="19">
        <v>5.0</v>
      </c>
      <c r="G51" s="19">
        <v>4.0</v>
      </c>
      <c r="H51" s="19">
        <v>3.0</v>
      </c>
      <c r="I51" s="19">
        <v>4.0</v>
      </c>
      <c r="J51" s="19">
        <v>7.0</v>
      </c>
      <c r="K51" s="19">
        <v>6.0</v>
      </c>
      <c r="L51" s="19">
        <v>3.0</v>
      </c>
      <c r="M51" s="19">
        <v>9.0</v>
      </c>
      <c r="N51" s="19">
        <v>4.0</v>
      </c>
      <c r="O51" s="19"/>
      <c r="P51" s="19">
        <v>4.0</v>
      </c>
      <c r="Q51" s="19">
        <v>3.0</v>
      </c>
      <c r="R51" s="19">
        <v>3.0</v>
      </c>
      <c r="S51" s="13">
        <f t="shared" si="16"/>
        <v>58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R52" si="17">SUM(E50:E51)</f>
        <v>147</v>
      </c>
      <c r="F52" s="13">
        <f t="shared" si="17"/>
        <v>180</v>
      </c>
      <c r="G52" s="13">
        <f t="shared" si="17"/>
        <v>191</v>
      </c>
      <c r="H52" s="13">
        <f t="shared" si="17"/>
        <v>206</v>
      </c>
      <c r="I52" s="13">
        <f t="shared" si="17"/>
        <v>194</v>
      </c>
      <c r="J52" s="13">
        <f t="shared" si="17"/>
        <v>209</v>
      </c>
      <c r="K52" s="13">
        <f t="shared" si="17"/>
        <v>231</v>
      </c>
      <c r="L52" s="13">
        <f t="shared" si="17"/>
        <v>155</v>
      </c>
      <c r="M52" s="13">
        <f t="shared" si="17"/>
        <v>200</v>
      </c>
      <c r="N52" s="13">
        <f t="shared" si="17"/>
        <v>216</v>
      </c>
      <c r="O52" s="13">
        <f t="shared" si="17"/>
        <v>126</v>
      </c>
      <c r="P52" s="13">
        <f t="shared" si="17"/>
        <v>176</v>
      </c>
      <c r="Q52" s="13">
        <f t="shared" si="17"/>
        <v>221</v>
      </c>
      <c r="R52" s="13">
        <f t="shared" si="17"/>
        <v>224</v>
      </c>
      <c r="S52" s="13">
        <f t="shared" si="16"/>
        <v>2676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T117" s="5"/>
      <c r="U117" s="5"/>
    </row>
    <row r="118" ht="12.75" customHeight="1">
      <c r="T118" s="5"/>
      <c r="U118" s="5"/>
    </row>
    <row r="119" ht="12.75" customHeight="1">
      <c r="T119" s="5"/>
      <c r="U119" s="5"/>
    </row>
    <row r="120" ht="12.75" customHeight="1">
      <c r="T120" s="5"/>
      <c r="U120" s="5"/>
    </row>
    <row r="121" ht="12.75" customHeight="1">
      <c r="T121" s="5"/>
      <c r="U121" s="5"/>
    </row>
    <row r="122" ht="12.75" customHeight="1">
      <c r="T122" s="5"/>
      <c r="U122" s="5"/>
    </row>
    <row r="123" ht="12.75" customHeight="1">
      <c r="T123" s="5"/>
      <c r="U123" s="5"/>
    </row>
    <row r="124" ht="12.75" customHeight="1">
      <c r="T124" s="5"/>
      <c r="U124" s="5"/>
    </row>
    <row r="125" ht="12.75" customHeight="1">
      <c r="T125" s="5"/>
      <c r="U125" s="5"/>
    </row>
    <row r="126" ht="12.75" customHeight="1">
      <c r="T126" s="5"/>
      <c r="U126" s="5"/>
    </row>
    <row r="127" ht="12.75" customHeight="1">
      <c r="T127" s="5"/>
      <c r="U127" s="5"/>
    </row>
    <row r="128" ht="12.75" customHeight="1">
      <c r="T128" s="5"/>
      <c r="U128" s="5"/>
    </row>
    <row r="129" ht="12.75" customHeight="1">
      <c r="T129" s="5"/>
      <c r="U129" s="5"/>
    </row>
    <row r="130" ht="12.75" customHeight="1">
      <c r="T130" s="1"/>
      <c r="U130" s="1"/>
    </row>
    <row r="131" ht="12.75" customHeight="1">
      <c r="T131" s="52"/>
      <c r="U131" s="52"/>
    </row>
    <row r="132" ht="12.75" customHeight="1">
      <c r="T132" s="5"/>
      <c r="U132" s="5"/>
    </row>
    <row r="133" ht="12.75" customHeight="1">
      <c r="T133" s="5"/>
      <c r="U133" s="5"/>
    </row>
    <row r="134" ht="12.75" customHeight="1">
      <c r="T134" s="5"/>
      <c r="U134" s="5"/>
    </row>
    <row r="135" ht="12.75" customHeight="1">
      <c r="T135" s="5"/>
      <c r="U135" s="5"/>
    </row>
    <row r="136" ht="12.75" customHeight="1">
      <c r="T136" s="5"/>
      <c r="U136" s="5"/>
    </row>
    <row r="137" ht="12.75" customHeight="1">
      <c r="T137" s="5"/>
      <c r="U137" s="5"/>
    </row>
    <row r="138" ht="12.75" customHeight="1">
      <c r="T138" s="5"/>
      <c r="U138" s="5"/>
    </row>
    <row r="139" ht="12.75" customHeight="1">
      <c r="T139" s="5"/>
      <c r="U139" s="5"/>
    </row>
    <row r="140" ht="12.75" customHeight="1">
      <c r="T140" s="5"/>
      <c r="U140" s="5"/>
    </row>
    <row r="141" ht="12.75" customHeight="1">
      <c r="T141" s="1"/>
      <c r="U141" s="1"/>
    </row>
    <row r="142" ht="12.75" customHeight="1">
      <c r="T142" s="52"/>
      <c r="U142" s="52"/>
    </row>
    <row r="143" ht="12.75" customHeight="1">
      <c r="T143" s="5"/>
      <c r="U143" s="5"/>
    </row>
    <row r="144" ht="12.75" customHeight="1">
      <c r="T144" s="5"/>
      <c r="U144" s="5"/>
    </row>
    <row r="145" ht="12.75" customHeight="1">
      <c r="T145" s="5"/>
      <c r="U145" s="5"/>
    </row>
    <row r="146" ht="12.75" customHeight="1">
      <c r="T146" s="5"/>
      <c r="U146" s="5"/>
    </row>
    <row r="147" ht="12.75" customHeight="1">
      <c r="T147" s="5"/>
      <c r="U147" s="5"/>
    </row>
    <row r="148" ht="12.75" customHeight="1">
      <c r="T148" s="5"/>
      <c r="U148" s="5"/>
    </row>
    <row r="149" ht="12.75" customHeight="1">
      <c r="T149" s="5"/>
      <c r="U149" s="5"/>
    </row>
    <row r="150" ht="12.75" customHeight="1">
      <c r="T150" s="5"/>
      <c r="U150" s="5"/>
    </row>
    <row r="151" ht="12.75" customHeight="1">
      <c r="T151" s="1"/>
      <c r="U151" s="1"/>
    </row>
    <row r="152" ht="12.75" customHeight="1">
      <c r="T152" s="52"/>
      <c r="U152" s="52"/>
    </row>
    <row r="153" ht="12.75" customHeight="1">
      <c r="T153" s="5"/>
      <c r="U153" s="5"/>
    </row>
    <row r="154" ht="12.75" customHeight="1">
      <c r="T154" s="5"/>
      <c r="U154" s="5"/>
    </row>
    <row r="155" ht="12.75" customHeight="1">
      <c r="T155" s="5"/>
      <c r="U155" s="5"/>
    </row>
    <row r="156" ht="12.75" customHeight="1">
      <c r="T156" s="5"/>
      <c r="U156" s="5"/>
    </row>
    <row r="157" ht="12.75" customHeight="1">
      <c r="T157" s="5"/>
      <c r="U157" s="5"/>
    </row>
    <row r="158" ht="12.75" customHeight="1">
      <c r="T158" s="5"/>
      <c r="U158" s="5"/>
    </row>
    <row r="159" ht="12.75" customHeight="1">
      <c r="T159" s="5"/>
      <c r="U159" s="5"/>
    </row>
    <row r="160" ht="12.75" customHeight="1">
      <c r="T160" s="5"/>
      <c r="U160" s="5"/>
    </row>
    <row r="161" ht="12.75" customHeight="1">
      <c r="T161" s="5"/>
      <c r="U161" s="5"/>
    </row>
    <row r="162" ht="12.75" customHeight="1">
      <c r="T162" s="5"/>
      <c r="U162" s="5"/>
    </row>
    <row r="163" ht="12.75" customHeight="1">
      <c r="T163" s="5"/>
      <c r="U163" s="5"/>
    </row>
    <row r="164" ht="12.75" customHeight="1">
      <c r="T164" s="5"/>
      <c r="U164" s="5"/>
    </row>
    <row r="165" ht="12.75" customHeight="1">
      <c r="T165" s="1"/>
      <c r="U165" s="1"/>
    </row>
    <row r="166" ht="12.75" customHeight="1">
      <c r="T166" s="52"/>
      <c r="U166" s="52"/>
    </row>
    <row r="167" ht="12.75" customHeight="1">
      <c r="T167" s="5"/>
      <c r="U167" s="5"/>
    </row>
    <row r="168" ht="12.75" customHeight="1">
      <c r="T168" s="5"/>
      <c r="U168" s="5"/>
    </row>
    <row r="169" ht="12.75" customHeight="1">
      <c r="T169" s="5"/>
      <c r="U169" s="5"/>
    </row>
    <row r="170" ht="12.75" customHeight="1">
      <c r="T170" s="5"/>
      <c r="U170" s="5"/>
    </row>
    <row r="171" ht="12.75" customHeight="1">
      <c r="T171" s="5"/>
      <c r="U171" s="5"/>
    </row>
    <row r="172" ht="12.75" customHeight="1">
      <c r="T172" s="5"/>
      <c r="U172" s="5"/>
    </row>
    <row r="173" ht="12.75" customHeight="1">
      <c r="T173" s="5"/>
      <c r="U173" s="5"/>
    </row>
    <row r="174" ht="12.75" customHeight="1">
      <c r="T174" s="5"/>
      <c r="U174" s="5"/>
    </row>
    <row r="175" ht="12.75" customHeight="1">
      <c r="T175" s="5"/>
      <c r="U175" s="5"/>
    </row>
    <row r="176" ht="12.75" customHeight="1">
      <c r="T176" s="1"/>
      <c r="U176" s="1"/>
    </row>
    <row r="177" ht="12.75" customHeight="1"/>
    <row r="178" ht="12.75" customHeight="1">
      <c r="T178" s="5"/>
      <c r="U178" s="5"/>
    </row>
    <row r="179" ht="12.75" customHeight="1">
      <c r="T179" s="5"/>
      <c r="U179" s="5"/>
    </row>
    <row r="180" ht="12.75" customHeight="1">
      <c r="T180" s="5"/>
      <c r="U180" s="5"/>
    </row>
    <row r="181" ht="12.75" customHeight="1">
      <c r="T181" s="5"/>
      <c r="U181" s="5"/>
    </row>
    <row r="182" ht="12.75" customHeight="1">
      <c r="T182" s="5"/>
      <c r="U182" s="5"/>
    </row>
    <row r="183" ht="12.75" customHeight="1">
      <c r="T183" s="5"/>
      <c r="U183" s="5"/>
    </row>
    <row r="184" ht="12.75" customHeight="1">
      <c r="T184" s="5"/>
      <c r="U184" s="5"/>
    </row>
    <row r="185" ht="12.75" customHeight="1">
      <c r="T185" s="5"/>
      <c r="U185" s="5"/>
    </row>
    <row r="186" ht="12.75" customHeight="1">
      <c r="T186" s="5"/>
      <c r="U186" s="5"/>
    </row>
    <row r="187" ht="12.75" customHeight="1">
      <c r="T187" s="1"/>
      <c r="U187" s="1"/>
    </row>
    <row r="188" ht="12.75" customHeight="1"/>
    <row r="189" ht="12.75" customHeight="1">
      <c r="T189" s="5"/>
      <c r="U189" s="5"/>
    </row>
    <row r="190" ht="12.75" customHeight="1">
      <c r="T190" s="5"/>
      <c r="U190" s="5"/>
    </row>
    <row r="191" ht="12.75" customHeight="1">
      <c r="T191" s="5"/>
      <c r="U191" s="5"/>
    </row>
    <row r="192" ht="12.75" customHeight="1">
      <c r="T192" s="5"/>
      <c r="U192" s="5"/>
    </row>
    <row r="193" ht="12.75" customHeight="1">
      <c r="T193" s="5"/>
      <c r="U193" s="5"/>
    </row>
    <row r="194" ht="12.75" customHeight="1">
      <c r="T194" s="5"/>
      <c r="U194" s="5"/>
    </row>
    <row r="195" ht="12.75" customHeight="1">
      <c r="T195" s="5"/>
      <c r="U195" s="5"/>
    </row>
    <row r="196" ht="12.75" customHeight="1">
      <c r="T196" s="1"/>
      <c r="U196" s="1"/>
    </row>
    <row r="197" ht="12.75" customHeight="1">
      <c r="T197" s="1"/>
      <c r="U197" s="1"/>
    </row>
    <row r="198" ht="12.75" customHeight="1">
      <c r="T198" s="1"/>
      <c r="U198" s="1"/>
    </row>
    <row r="199" ht="12.75" customHeight="1">
      <c r="T199" s="52"/>
      <c r="U199" s="52"/>
    </row>
    <row r="200" ht="12.75" customHeight="1">
      <c r="T200" s="5"/>
      <c r="U200" s="5"/>
    </row>
    <row r="201" ht="12.75" customHeight="1">
      <c r="T201" s="5"/>
      <c r="U201" s="5"/>
    </row>
    <row r="202" ht="12.75" customHeight="1">
      <c r="T202" s="5"/>
      <c r="U202" s="5"/>
    </row>
    <row r="203" ht="12.75" customHeight="1">
      <c r="T203" s="5"/>
      <c r="U203" s="5"/>
    </row>
    <row r="204" ht="12.75" customHeight="1">
      <c r="T204" s="5"/>
      <c r="U204" s="5"/>
    </row>
    <row r="205" ht="12.75" customHeight="1">
      <c r="T205" s="5"/>
      <c r="U205" s="5"/>
    </row>
    <row r="206" ht="12.75" customHeight="1">
      <c r="T206" s="5"/>
      <c r="U206" s="5"/>
    </row>
    <row r="207" ht="12.75" customHeight="1">
      <c r="T207" s="1"/>
      <c r="U207" s="1"/>
    </row>
    <row r="208" ht="12.75" customHeight="1">
      <c r="T208" s="52"/>
      <c r="U208" s="52"/>
    </row>
    <row r="209" ht="12.75" customHeight="1">
      <c r="T209" s="52"/>
      <c r="U209" s="52"/>
    </row>
    <row r="210" ht="12.75" customHeight="1">
      <c r="T210" s="52"/>
      <c r="U210" s="52"/>
    </row>
    <row r="211" ht="12.75" customHeight="1">
      <c r="T211" s="5"/>
      <c r="U211" s="5"/>
    </row>
    <row r="212" ht="12.75" customHeight="1">
      <c r="T212" s="5"/>
      <c r="U212" s="5"/>
    </row>
    <row r="213" ht="12.75" customHeight="1">
      <c r="T213" s="5"/>
      <c r="U213" s="5"/>
    </row>
    <row r="214" ht="12.75" customHeight="1">
      <c r="T214" s="5"/>
      <c r="U214" s="5"/>
    </row>
    <row r="215" ht="12.75" customHeight="1">
      <c r="T215" s="5"/>
      <c r="U215" s="5"/>
    </row>
    <row r="216" ht="12.75" customHeight="1">
      <c r="T216" s="5"/>
      <c r="U216" s="5"/>
    </row>
    <row r="217" ht="12.75" customHeight="1">
      <c r="T217" s="5"/>
      <c r="U217" s="5"/>
    </row>
    <row r="218" ht="12.75" customHeight="1">
      <c r="T218" s="1"/>
      <c r="U218" s="1"/>
    </row>
    <row r="219" ht="12.75" customHeight="1">
      <c r="T219" s="52"/>
      <c r="U219" s="52"/>
    </row>
    <row r="220" ht="12.75" customHeight="1">
      <c r="T220" s="5"/>
      <c r="U220" s="5"/>
    </row>
    <row r="221" ht="12.75" customHeight="1">
      <c r="T221" s="5"/>
      <c r="U221" s="5"/>
    </row>
    <row r="222" ht="12.75" customHeight="1">
      <c r="T222" s="5"/>
      <c r="U222" s="5"/>
    </row>
    <row r="223" ht="12.75" customHeight="1">
      <c r="T223" s="5"/>
      <c r="U223" s="5"/>
    </row>
    <row r="224" ht="12.75" customHeight="1">
      <c r="T224" s="5"/>
      <c r="U224" s="5"/>
    </row>
    <row r="225" ht="12.75" customHeight="1">
      <c r="T225" s="5"/>
      <c r="U225" s="5"/>
    </row>
    <row r="226" ht="12.75" customHeight="1">
      <c r="T226" s="5"/>
      <c r="U226" s="5"/>
    </row>
    <row r="227" ht="12.75" customHeight="1">
      <c r="T227" s="5"/>
      <c r="U227" s="5"/>
    </row>
    <row r="228" ht="12.75" customHeight="1">
      <c r="T228" s="5"/>
      <c r="U228" s="5"/>
    </row>
    <row r="229" ht="12.75" customHeight="1">
      <c r="T229" s="1"/>
      <c r="U229" s="1"/>
    </row>
    <row r="230" ht="12.75" customHeight="1">
      <c r="T230" s="52"/>
      <c r="U230" s="52"/>
    </row>
    <row r="231" ht="12.75" customHeight="1">
      <c r="T231" s="5"/>
      <c r="U231" s="5"/>
    </row>
    <row r="232" ht="12.75" customHeight="1">
      <c r="T232" s="5"/>
      <c r="U232" s="5"/>
    </row>
    <row r="233" ht="12.75" customHeight="1">
      <c r="T233" s="5"/>
      <c r="U233" s="5"/>
    </row>
    <row r="234" ht="12.75" customHeight="1">
      <c r="T234" s="5"/>
      <c r="U234" s="5"/>
    </row>
    <row r="235" ht="12.75" customHeight="1">
      <c r="T235" s="5"/>
      <c r="U235" s="5"/>
    </row>
    <row r="236" ht="12.75" customHeight="1">
      <c r="T236" s="5"/>
      <c r="U236" s="5"/>
    </row>
    <row r="237" ht="12.75" customHeight="1">
      <c r="T237" s="5"/>
      <c r="U237" s="5"/>
    </row>
    <row r="238" ht="12.75" customHeight="1">
      <c r="T238" s="5"/>
      <c r="U238" s="5"/>
    </row>
    <row r="239" ht="12.75" customHeight="1">
      <c r="T239" s="5"/>
      <c r="U239" s="5"/>
    </row>
    <row r="240" ht="12.75" customHeight="1">
      <c r="T240" s="1"/>
      <c r="U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E34&lt;&gt;#REF!</formula>
    </cfRule>
  </conditionalFormatting>
  <conditionalFormatting sqref="E45:R47">
    <cfRule type="containsBlanks" dxfId="1" priority="10">
      <formula>LEN(TRIM(E45))=0</formula>
    </cfRule>
  </conditionalFormatting>
  <conditionalFormatting sqref="E50:R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5" width="8.71"/>
    <col customWidth="1" min="36" max="36" width="13.29"/>
    <col customWidth="1" min="37" max="3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37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122.0</v>
      </c>
      <c r="G14" s="19">
        <v>150.0</v>
      </c>
      <c r="H14" s="19">
        <v>138.0</v>
      </c>
      <c r="I14" s="19">
        <v>116.0</v>
      </c>
      <c r="J14" s="19">
        <v>149.0</v>
      </c>
      <c r="K14" s="19">
        <v>118.0</v>
      </c>
      <c r="L14" s="19">
        <v>112.0</v>
      </c>
      <c r="M14" s="19">
        <v>137.0</v>
      </c>
      <c r="N14" s="19">
        <v>138.0</v>
      </c>
      <c r="O14" s="19">
        <v>106.0</v>
      </c>
      <c r="P14" s="19">
        <v>129.0</v>
      </c>
      <c r="Q14" s="19">
        <v>135.0</v>
      </c>
      <c r="R14" s="19">
        <v>147.0</v>
      </c>
      <c r="S14" s="19">
        <v>122.0</v>
      </c>
      <c r="T14" s="19">
        <v>136.0</v>
      </c>
      <c r="U14" s="19">
        <v>125.0</v>
      </c>
      <c r="V14" s="19">
        <v>138.0</v>
      </c>
      <c r="W14" s="19">
        <v>128.0</v>
      </c>
      <c r="X14" s="19">
        <v>146.0</v>
      </c>
      <c r="Y14" s="19">
        <v>110.0</v>
      </c>
      <c r="Z14" s="19">
        <v>102.0</v>
      </c>
      <c r="AA14" s="19">
        <v>121.0</v>
      </c>
      <c r="AB14" s="19">
        <v>122.0</v>
      </c>
      <c r="AC14" s="19">
        <v>116.0</v>
      </c>
      <c r="AD14" s="19">
        <v>128.0</v>
      </c>
      <c r="AE14" s="19">
        <v>125.0</v>
      </c>
      <c r="AF14" s="19">
        <v>134.0</v>
      </c>
      <c r="AG14" s="19">
        <v>117.0</v>
      </c>
      <c r="AH14" s="19">
        <v>139.0</v>
      </c>
      <c r="AI14" s="19">
        <v>152.0</v>
      </c>
      <c r="AJ14" s="13">
        <f t="shared" ref="AJ14:AJ16" si="1">SUM(E14:AI14)</f>
        <v>4006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129.0</v>
      </c>
      <c r="G15" s="19">
        <v>144.0</v>
      </c>
      <c r="H15" s="19">
        <v>147.0</v>
      </c>
      <c r="I15" s="19">
        <v>116.0</v>
      </c>
      <c r="J15" s="19">
        <v>146.0</v>
      </c>
      <c r="K15" s="19">
        <v>131.0</v>
      </c>
      <c r="L15" s="19">
        <v>126.0</v>
      </c>
      <c r="M15" s="19">
        <v>158.0</v>
      </c>
      <c r="N15" s="19">
        <v>154.0</v>
      </c>
      <c r="O15" s="19">
        <v>126.0</v>
      </c>
      <c r="P15" s="19">
        <v>136.0</v>
      </c>
      <c r="Q15" s="19">
        <v>143.0</v>
      </c>
      <c r="R15" s="19">
        <v>144.0</v>
      </c>
      <c r="S15" s="19">
        <v>130.0</v>
      </c>
      <c r="T15" s="19">
        <v>135.0</v>
      </c>
      <c r="U15" s="19">
        <v>140.0</v>
      </c>
      <c r="V15" s="19">
        <v>122.0</v>
      </c>
      <c r="W15" s="19">
        <v>127.0</v>
      </c>
      <c r="X15" s="19">
        <v>148.0</v>
      </c>
      <c r="Y15" s="19">
        <v>108.0</v>
      </c>
      <c r="Z15" s="19">
        <v>100.0</v>
      </c>
      <c r="AA15" s="19">
        <v>121.0</v>
      </c>
      <c r="AB15" s="19">
        <v>114.0</v>
      </c>
      <c r="AC15" s="19">
        <v>131.0</v>
      </c>
      <c r="AD15" s="19">
        <v>147.0</v>
      </c>
      <c r="AE15" s="19">
        <v>133.0</v>
      </c>
      <c r="AF15" s="19">
        <v>156.0</v>
      </c>
      <c r="AG15" s="19">
        <v>113.0</v>
      </c>
      <c r="AH15" s="19">
        <v>146.0</v>
      </c>
      <c r="AI15" s="19">
        <v>140.0</v>
      </c>
      <c r="AJ15" s="13">
        <f t="shared" si="1"/>
        <v>4154</v>
      </c>
    </row>
    <row r="16" ht="12.75" customHeight="1">
      <c r="A16" s="25"/>
      <c r="B16" s="21"/>
      <c r="C16" s="28"/>
      <c r="D16" s="13" t="s">
        <v>14</v>
      </c>
      <c r="E16" s="13">
        <f t="shared" ref="E16:AI16" si="2">SUM(E14:E15)</f>
        <v>291</v>
      </c>
      <c r="F16" s="13">
        <f t="shared" si="2"/>
        <v>251</v>
      </c>
      <c r="G16" s="13">
        <f t="shared" si="2"/>
        <v>294</v>
      </c>
      <c r="H16" s="13">
        <f t="shared" si="2"/>
        <v>285</v>
      </c>
      <c r="I16" s="13">
        <f t="shared" si="2"/>
        <v>232</v>
      </c>
      <c r="J16" s="13">
        <f t="shared" si="2"/>
        <v>295</v>
      </c>
      <c r="K16" s="13">
        <f t="shared" si="2"/>
        <v>249</v>
      </c>
      <c r="L16" s="13">
        <f t="shared" si="2"/>
        <v>238</v>
      </c>
      <c r="M16" s="13">
        <f t="shared" si="2"/>
        <v>295</v>
      </c>
      <c r="N16" s="13">
        <f t="shared" si="2"/>
        <v>292</v>
      </c>
      <c r="O16" s="13">
        <f t="shared" si="2"/>
        <v>232</v>
      </c>
      <c r="P16" s="13">
        <f t="shared" si="2"/>
        <v>265</v>
      </c>
      <c r="Q16" s="13">
        <f t="shared" si="2"/>
        <v>278</v>
      </c>
      <c r="R16" s="13">
        <f t="shared" si="2"/>
        <v>291</v>
      </c>
      <c r="S16" s="13">
        <f t="shared" si="2"/>
        <v>252</v>
      </c>
      <c r="T16" s="13">
        <f t="shared" si="2"/>
        <v>271</v>
      </c>
      <c r="U16" s="13">
        <f t="shared" si="2"/>
        <v>265</v>
      </c>
      <c r="V16" s="13">
        <f t="shared" si="2"/>
        <v>260</v>
      </c>
      <c r="W16" s="13">
        <f t="shared" si="2"/>
        <v>255</v>
      </c>
      <c r="X16" s="13">
        <f t="shared" si="2"/>
        <v>294</v>
      </c>
      <c r="Y16" s="13">
        <f t="shared" si="2"/>
        <v>218</v>
      </c>
      <c r="Z16" s="13">
        <f t="shared" si="2"/>
        <v>202</v>
      </c>
      <c r="AA16" s="13">
        <f t="shared" si="2"/>
        <v>242</v>
      </c>
      <c r="AB16" s="13">
        <f t="shared" si="2"/>
        <v>236</v>
      </c>
      <c r="AC16" s="13">
        <f t="shared" si="2"/>
        <v>247</v>
      </c>
      <c r="AD16" s="13">
        <f t="shared" si="2"/>
        <v>275</v>
      </c>
      <c r="AE16" s="13">
        <f t="shared" si="2"/>
        <v>258</v>
      </c>
      <c r="AF16" s="13">
        <f t="shared" si="2"/>
        <v>290</v>
      </c>
      <c r="AG16" s="13">
        <f t="shared" si="2"/>
        <v>230</v>
      </c>
      <c r="AH16" s="13">
        <f t="shared" si="2"/>
        <v>285</v>
      </c>
      <c r="AI16" s="13">
        <f t="shared" si="2"/>
        <v>292</v>
      </c>
      <c r="AJ16" s="13">
        <f t="shared" si="1"/>
        <v>8160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3"/>
      <c r="O17" s="19"/>
      <c r="P17" s="19"/>
      <c r="Q17" s="19"/>
      <c r="R17" s="19"/>
      <c r="S17" s="63"/>
      <c r="T17" s="19"/>
      <c r="U17" s="19"/>
      <c r="V17" s="19"/>
      <c r="W17" s="19"/>
      <c r="X17" s="63"/>
      <c r="Y17" s="19"/>
      <c r="Z17" s="19"/>
      <c r="AA17" s="19"/>
      <c r="AB17" s="19"/>
      <c r="AC17" s="63"/>
      <c r="AD17" s="19"/>
      <c r="AE17" s="19"/>
      <c r="AF17" s="19"/>
      <c r="AG17" s="19"/>
      <c r="AH17" s="63"/>
      <c r="AI17" s="19"/>
      <c r="AJ17" s="64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3"/>
      <c r="O18" s="19"/>
      <c r="P18" s="19"/>
      <c r="Q18" s="19"/>
      <c r="R18" s="19"/>
      <c r="S18" s="63"/>
      <c r="T18" s="19"/>
      <c r="U18" s="19"/>
      <c r="V18" s="19"/>
      <c r="W18" s="19"/>
      <c r="X18" s="63"/>
      <c r="Y18" s="19"/>
      <c r="Z18" s="19"/>
      <c r="AA18" s="19"/>
      <c r="AB18" s="19"/>
      <c r="AC18" s="63"/>
      <c r="AD18" s="19"/>
      <c r="AE18" s="19"/>
      <c r="AF18" s="19"/>
      <c r="AG18" s="19"/>
      <c r="AH18" s="63"/>
      <c r="AI18" s="19"/>
      <c r="AJ18" s="64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110.0</v>
      </c>
      <c r="F19" s="19">
        <v>89.0</v>
      </c>
      <c r="G19" s="19">
        <v>114.0</v>
      </c>
      <c r="H19" s="19">
        <v>97.0</v>
      </c>
      <c r="I19" s="19">
        <v>90.0</v>
      </c>
      <c r="J19" s="19">
        <v>113.0</v>
      </c>
      <c r="K19" s="19">
        <v>84.0</v>
      </c>
      <c r="L19" s="19">
        <v>68.0</v>
      </c>
      <c r="M19" s="19">
        <v>105.0</v>
      </c>
      <c r="N19" s="19">
        <v>100.0</v>
      </c>
      <c r="O19" s="19">
        <v>84.0</v>
      </c>
      <c r="P19" s="19">
        <v>103.0</v>
      </c>
      <c r="Q19" s="19">
        <v>103.0</v>
      </c>
      <c r="R19" s="19">
        <v>112.0</v>
      </c>
      <c r="S19" s="19">
        <v>91.0</v>
      </c>
      <c r="T19" s="19">
        <v>105.0</v>
      </c>
      <c r="U19" s="19">
        <v>84.0</v>
      </c>
      <c r="V19" s="19">
        <v>99.0</v>
      </c>
      <c r="W19" s="19">
        <v>94.0</v>
      </c>
      <c r="X19" s="19">
        <v>98.0</v>
      </c>
      <c r="Y19" s="19">
        <v>87.0</v>
      </c>
      <c r="Z19" s="19">
        <v>82.0</v>
      </c>
      <c r="AA19" s="19">
        <v>86.0</v>
      </c>
      <c r="AB19" s="19">
        <v>84.0</v>
      </c>
      <c r="AC19" s="19">
        <v>80.0</v>
      </c>
      <c r="AD19" s="19">
        <v>84.0</v>
      </c>
      <c r="AE19" s="19">
        <v>94.0</v>
      </c>
      <c r="AF19" s="19">
        <v>95.0</v>
      </c>
      <c r="AG19" s="19">
        <v>95.0</v>
      </c>
      <c r="AH19" s="19">
        <v>107.0</v>
      </c>
      <c r="AI19" s="19">
        <v>116.0</v>
      </c>
      <c r="AJ19" s="13">
        <f t="shared" ref="AJ19:AJ30" si="3">SUM(E19:AI19)</f>
        <v>2953</v>
      </c>
    </row>
    <row r="20" ht="12.75" customHeight="1">
      <c r="A20" s="34"/>
      <c r="B20" s="27"/>
      <c r="C20" s="35"/>
      <c r="D20" s="19" t="s">
        <v>13</v>
      </c>
      <c r="E20" s="19">
        <v>111.0</v>
      </c>
      <c r="F20" s="19">
        <v>107.0</v>
      </c>
      <c r="G20" s="19">
        <v>117.0</v>
      </c>
      <c r="H20" s="19">
        <v>118.0</v>
      </c>
      <c r="I20" s="19">
        <v>95.0</v>
      </c>
      <c r="J20" s="19">
        <v>117.0</v>
      </c>
      <c r="K20" s="19">
        <v>93.0</v>
      </c>
      <c r="L20" s="19">
        <v>97.0</v>
      </c>
      <c r="M20" s="19">
        <v>124.0</v>
      </c>
      <c r="N20" s="19">
        <v>113.0</v>
      </c>
      <c r="O20" s="19">
        <v>101.0</v>
      </c>
      <c r="P20" s="19">
        <v>110.0</v>
      </c>
      <c r="Q20" s="19">
        <v>111.0</v>
      </c>
      <c r="R20" s="19">
        <v>121.0</v>
      </c>
      <c r="S20" s="19">
        <v>108.0</v>
      </c>
      <c r="T20" s="19">
        <v>99.0</v>
      </c>
      <c r="U20" s="19">
        <v>99.0</v>
      </c>
      <c r="V20" s="19">
        <v>98.0</v>
      </c>
      <c r="W20" s="19">
        <v>97.0</v>
      </c>
      <c r="X20" s="19">
        <v>117.0</v>
      </c>
      <c r="Y20" s="19">
        <v>92.0</v>
      </c>
      <c r="Z20" s="19">
        <v>83.0</v>
      </c>
      <c r="AA20" s="19">
        <v>101.0</v>
      </c>
      <c r="AB20" s="19">
        <v>86.0</v>
      </c>
      <c r="AC20" s="19">
        <v>99.0</v>
      </c>
      <c r="AD20" s="19">
        <v>105.0</v>
      </c>
      <c r="AE20" s="19">
        <v>104.0</v>
      </c>
      <c r="AF20" s="19">
        <v>118.0</v>
      </c>
      <c r="AG20" s="19">
        <v>89.0</v>
      </c>
      <c r="AH20" s="19">
        <v>119.0</v>
      </c>
      <c r="AI20" s="19">
        <v>127.0</v>
      </c>
      <c r="AJ20" s="13">
        <f t="shared" si="3"/>
        <v>3276</v>
      </c>
    </row>
    <row r="21" ht="12.75" customHeight="1">
      <c r="A21" s="36"/>
      <c r="B21" s="28"/>
      <c r="C21" s="37"/>
      <c r="D21" s="13" t="s">
        <v>14</v>
      </c>
      <c r="E21" s="13">
        <f t="shared" ref="E21:AI21" si="4">SUM(E19:E20)</f>
        <v>221</v>
      </c>
      <c r="F21" s="13">
        <f t="shared" si="4"/>
        <v>196</v>
      </c>
      <c r="G21" s="13">
        <f t="shared" si="4"/>
        <v>231</v>
      </c>
      <c r="H21" s="13">
        <f t="shared" si="4"/>
        <v>215</v>
      </c>
      <c r="I21" s="13">
        <f t="shared" si="4"/>
        <v>185</v>
      </c>
      <c r="J21" s="13">
        <f t="shared" si="4"/>
        <v>230</v>
      </c>
      <c r="K21" s="13">
        <f t="shared" si="4"/>
        <v>177</v>
      </c>
      <c r="L21" s="13">
        <f t="shared" si="4"/>
        <v>165</v>
      </c>
      <c r="M21" s="13">
        <f t="shared" si="4"/>
        <v>229</v>
      </c>
      <c r="N21" s="13">
        <f t="shared" si="4"/>
        <v>213</v>
      </c>
      <c r="O21" s="13">
        <f t="shared" si="4"/>
        <v>185</v>
      </c>
      <c r="P21" s="13">
        <f t="shared" si="4"/>
        <v>213</v>
      </c>
      <c r="Q21" s="13">
        <f t="shared" si="4"/>
        <v>214</v>
      </c>
      <c r="R21" s="13">
        <f t="shared" si="4"/>
        <v>233</v>
      </c>
      <c r="S21" s="13">
        <f t="shared" si="4"/>
        <v>199</v>
      </c>
      <c r="T21" s="13">
        <f t="shared" si="4"/>
        <v>204</v>
      </c>
      <c r="U21" s="13">
        <f t="shared" si="4"/>
        <v>183</v>
      </c>
      <c r="V21" s="13">
        <f t="shared" si="4"/>
        <v>197</v>
      </c>
      <c r="W21" s="13">
        <f t="shared" si="4"/>
        <v>191</v>
      </c>
      <c r="X21" s="13">
        <f t="shared" si="4"/>
        <v>215</v>
      </c>
      <c r="Y21" s="13">
        <f t="shared" si="4"/>
        <v>179</v>
      </c>
      <c r="Z21" s="13">
        <f t="shared" si="4"/>
        <v>165</v>
      </c>
      <c r="AA21" s="13">
        <f t="shared" si="4"/>
        <v>187</v>
      </c>
      <c r="AB21" s="13">
        <f t="shared" si="4"/>
        <v>170</v>
      </c>
      <c r="AC21" s="13">
        <f t="shared" si="4"/>
        <v>179</v>
      </c>
      <c r="AD21" s="13">
        <f t="shared" si="4"/>
        <v>189</v>
      </c>
      <c r="AE21" s="13">
        <f t="shared" si="4"/>
        <v>198</v>
      </c>
      <c r="AF21" s="13">
        <f t="shared" si="4"/>
        <v>213</v>
      </c>
      <c r="AG21" s="13">
        <f t="shared" si="4"/>
        <v>184</v>
      </c>
      <c r="AH21" s="13">
        <f t="shared" si="4"/>
        <v>226</v>
      </c>
      <c r="AI21" s="13">
        <f t="shared" si="4"/>
        <v>243</v>
      </c>
      <c r="AJ21" s="13">
        <f t="shared" si="3"/>
        <v>6229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>
        <v>1.0</v>
      </c>
      <c r="J22" s="19"/>
      <c r="K22" s="19">
        <v>1.0</v>
      </c>
      <c r="L22" s="19">
        <v>1.0</v>
      </c>
      <c r="M22" s="19"/>
      <c r="N22" s="19"/>
      <c r="O22" s="19">
        <v>1.0</v>
      </c>
      <c r="P22" s="19"/>
      <c r="Q22" s="19"/>
      <c r="R22" s="19"/>
      <c r="S22" s="19">
        <v>1.0</v>
      </c>
      <c r="T22" s="19">
        <v>1.0</v>
      </c>
      <c r="U22" s="19">
        <v>1.0</v>
      </c>
      <c r="V22" s="19"/>
      <c r="W22" s="19"/>
      <c r="X22" s="19">
        <v>1.0</v>
      </c>
      <c r="Y22" s="19"/>
      <c r="Z22" s="19"/>
      <c r="AA22" s="19">
        <v>1.0</v>
      </c>
      <c r="AB22" s="19">
        <v>1.0</v>
      </c>
      <c r="AC22" s="19">
        <v>1.0</v>
      </c>
      <c r="AD22" s="19">
        <v>3.0</v>
      </c>
      <c r="AE22" s="19">
        <v>1.0</v>
      </c>
      <c r="AF22" s="19"/>
      <c r="AG22" s="19"/>
      <c r="AH22" s="19">
        <v>1.0</v>
      </c>
      <c r="AI22" s="19">
        <v>1.0</v>
      </c>
      <c r="AJ22" s="13">
        <f t="shared" si="3"/>
        <v>17</v>
      </c>
    </row>
    <row r="23" ht="12.75" customHeight="1">
      <c r="A23" s="34"/>
      <c r="B23" s="27"/>
      <c r="C23" s="35"/>
      <c r="D23" s="19" t="s">
        <v>13</v>
      </c>
      <c r="E23" s="19">
        <v>1.0</v>
      </c>
      <c r="F23" s="19"/>
      <c r="G23" s="19"/>
      <c r="H23" s="19"/>
      <c r="I23" s="19"/>
      <c r="J23" s="19"/>
      <c r="K23" s="19"/>
      <c r="L23" s="19">
        <v>1.0</v>
      </c>
      <c r="M23" s="19"/>
      <c r="N23" s="19">
        <v>1.0</v>
      </c>
      <c r="O23" s="19"/>
      <c r="P23" s="19"/>
      <c r="Q23" s="19"/>
      <c r="R23" s="19"/>
      <c r="S23" s="19"/>
      <c r="T23" s="19">
        <v>2.0</v>
      </c>
      <c r="U23" s="19"/>
      <c r="V23" s="19">
        <v>1.0</v>
      </c>
      <c r="W23" s="19">
        <v>1.0</v>
      </c>
      <c r="X23" s="19"/>
      <c r="Y23" s="19">
        <v>1.0</v>
      </c>
      <c r="Z23" s="19">
        <v>1.0</v>
      </c>
      <c r="AA23" s="19"/>
      <c r="AB23" s="19"/>
      <c r="AC23" s="19"/>
      <c r="AD23" s="19">
        <v>2.0</v>
      </c>
      <c r="AE23" s="19"/>
      <c r="AF23" s="19">
        <v>1.0</v>
      </c>
      <c r="AG23" s="19">
        <v>2.0</v>
      </c>
      <c r="AH23" s="19"/>
      <c r="AI23" s="19"/>
      <c r="AJ23" s="13">
        <f t="shared" si="3"/>
        <v>14</v>
      </c>
    </row>
    <row r="24" ht="12.75" customHeight="1">
      <c r="A24" s="36"/>
      <c r="B24" s="28"/>
      <c r="C24" s="37"/>
      <c r="D24" s="13" t="s">
        <v>14</v>
      </c>
      <c r="E24" s="13">
        <f t="shared" ref="E24:AI24" si="5">SUM(E22:E23)</f>
        <v>1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1</v>
      </c>
      <c r="L24" s="13">
        <f t="shared" si="5"/>
        <v>2</v>
      </c>
      <c r="M24" s="13">
        <f t="shared" si="5"/>
        <v>0</v>
      </c>
      <c r="N24" s="13">
        <f t="shared" si="5"/>
        <v>1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3</v>
      </c>
      <c r="U24" s="13">
        <f t="shared" si="5"/>
        <v>1</v>
      </c>
      <c r="V24" s="13">
        <f t="shared" si="5"/>
        <v>1</v>
      </c>
      <c r="W24" s="13">
        <f t="shared" si="5"/>
        <v>1</v>
      </c>
      <c r="X24" s="13">
        <f t="shared" si="5"/>
        <v>1</v>
      </c>
      <c r="Y24" s="13">
        <f t="shared" si="5"/>
        <v>1</v>
      </c>
      <c r="Z24" s="13">
        <f t="shared" si="5"/>
        <v>1</v>
      </c>
      <c r="AA24" s="13">
        <f t="shared" si="5"/>
        <v>1</v>
      </c>
      <c r="AB24" s="13">
        <f t="shared" si="5"/>
        <v>1</v>
      </c>
      <c r="AC24" s="13">
        <f t="shared" si="5"/>
        <v>1</v>
      </c>
      <c r="AD24" s="13">
        <f t="shared" si="5"/>
        <v>5</v>
      </c>
      <c r="AE24" s="13">
        <f t="shared" si="5"/>
        <v>1</v>
      </c>
      <c r="AF24" s="13">
        <f t="shared" si="5"/>
        <v>1</v>
      </c>
      <c r="AG24" s="13">
        <f t="shared" si="5"/>
        <v>2</v>
      </c>
      <c r="AH24" s="13">
        <f t="shared" si="5"/>
        <v>1</v>
      </c>
      <c r="AI24" s="13">
        <f t="shared" si="5"/>
        <v>1</v>
      </c>
      <c r="AJ24" s="13">
        <f t="shared" si="3"/>
        <v>31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>
        <v>2.0</v>
      </c>
      <c r="G25" s="19"/>
      <c r="H25" s="19">
        <v>1.0</v>
      </c>
      <c r="I25" s="19"/>
      <c r="J25" s="19">
        <v>7.0</v>
      </c>
      <c r="K25" s="19">
        <v>1.0</v>
      </c>
      <c r="L25" s="19"/>
      <c r="M25" s="19"/>
      <c r="N25" s="19"/>
      <c r="O25" s="19">
        <v>1.0</v>
      </c>
      <c r="P25" s="19"/>
      <c r="Q25" s="19">
        <v>2.0</v>
      </c>
      <c r="R25" s="19"/>
      <c r="S25" s="19">
        <v>2.0</v>
      </c>
      <c r="T25" s="19">
        <v>1.0</v>
      </c>
      <c r="U25" s="19">
        <v>1.0</v>
      </c>
      <c r="V25" s="19"/>
      <c r="W25" s="19">
        <v>1.0</v>
      </c>
      <c r="X25" s="19"/>
      <c r="Y25" s="19"/>
      <c r="Z25" s="19"/>
      <c r="AA25" s="19"/>
      <c r="AB25" s="19"/>
      <c r="AC25" s="19"/>
      <c r="AD25" s="19">
        <v>1.0</v>
      </c>
      <c r="AE25" s="19"/>
      <c r="AF25" s="19">
        <v>2.0</v>
      </c>
      <c r="AG25" s="19"/>
      <c r="AH25" s="19"/>
      <c r="AI25" s="19"/>
      <c r="AJ25" s="13">
        <f t="shared" si="3"/>
        <v>22</v>
      </c>
    </row>
    <row r="26" ht="12.75" customHeight="1">
      <c r="A26" s="34"/>
      <c r="B26" s="27"/>
      <c r="C26" s="35"/>
      <c r="D26" s="19" t="s">
        <v>13</v>
      </c>
      <c r="E26" s="19"/>
      <c r="F26" s="19"/>
      <c r="G26" s="19"/>
      <c r="H26" s="19">
        <v>1.0</v>
      </c>
      <c r="I26" s="19"/>
      <c r="J26" s="19">
        <v>5.0</v>
      </c>
      <c r="K26" s="19">
        <v>2.0</v>
      </c>
      <c r="L26" s="19"/>
      <c r="M26" s="19"/>
      <c r="N26" s="19"/>
      <c r="O26" s="19">
        <v>1.0</v>
      </c>
      <c r="P26" s="19"/>
      <c r="Q26" s="19">
        <v>4.0</v>
      </c>
      <c r="R26" s="19"/>
      <c r="S26" s="19">
        <v>5.0</v>
      </c>
      <c r="T26" s="19">
        <v>2.0</v>
      </c>
      <c r="U26" s="19">
        <v>1.0</v>
      </c>
      <c r="V26" s="19"/>
      <c r="W26" s="19">
        <v>2.0</v>
      </c>
      <c r="X26" s="19"/>
      <c r="Y26" s="19"/>
      <c r="Z26" s="19"/>
      <c r="AA26" s="19">
        <v>1.0</v>
      </c>
      <c r="AB26" s="19"/>
      <c r="AC26" s="19"/>
      <c r="AD26" s="19"/>
      <c r="AE26" s="19">
        <v>1.0</v>
      </c>
      <c r="AF26" s="19">
        <v>1.0</v>
      </c>
      <c r="AG26" s="19"/>
      <c r="AH26" s="19"/>
      <c r="AI26" s="19"/>
      <c r="AJ26" s="13">
        <f t="shared" si="3"/>
        <v>26</v>
      </c>
    </row>
    <row r="27" ht="12.75" customHeight="1">
      <c r="A27" s="36"/>
      <c r="B27" s="28"/>
      <c r="C27" s="37"/>
      <c r="D27" s="13" t="s">
        <v>14</v>
      </c>
      <c r="E27" s="13">
        <f t="shared" ref="E27:AI27" si="6">SUM(E25:E26)</f>
        <v>0</v>
      </c>
      <c r="F27" s="13">
        <f t="shared" si="6"/>
        <v>2</v>
      </c>
      <c r="G27" s="13">
        <f t="shared" si="6"/>
        <v>0</v>
      </c>
      <c r="H27" s="13">
        <f t="shared" si="6"/>
        <v>2</v>
      </c>
      <c r="I27" s="13">
        <f t="shared" si="6"/>
        <v>0</v>
      </c>
      <c r="J27" s="13">
        <f t="shared" si="6"/>
        <v>12</v>
      </c>
      <c r="K27" s="13">
        <f t="shared" si="6"/>
        <v>3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2</v>
      </c>
      <c r="P27" s="13">
        <f t="shared" si="6"/>
        <v>0</v>
      </c>
      <c r="Q27" s="13">
        <f t="shared" si="6"/>
        <v>6</v>
      </c>
      <c r="R27" s="13">
        <f t="shared" si="6"/>
        <v>0</v>
      </c>
      <c r="S27" s="13">
        <f t="shared" si="6"/>
        <v>7</v>
      </c>
      <c r="T27" s="13">
        <f t="shared" si="6"/>
        <v>3</v>
      </c>
      <c r="U27" s="13">
        <f t="shared" si="6"/>
        <v>2</v>
      </c>
      <c r="V27" s="13">
        <f t="shared" si="6"/>
        <v>0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1</v>
      </c>
      <c r="AB27" s="13">
        <f t="shared" si="6"/>
        <v>0</v>
      </c>
      <c r="AC27" s="13">
        <f t="shared" si="6"/>
        <v>0</v>
      </c>
      <c r="AD27" s="13">
        <f t="shared" si="6"/>
        <v>1</v>
      </c>
      <c r="AE27" s="13">
        <f t="shared" si="6"/>
        <v>1</v>
      </c>
      <c r="AF27" s="13">
        <f t="shared" si="6"/>
        <v>3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3"/>
        <v>48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I28" si="7">SUM(E19,E22,E25)</f>
        <v>110</v>
      </c>
      <c r="F28" s="13">
        <f t="shared" si="7"/>
        <v>91</v>
      </c>
      <c r="G28" s="13">
        <f t="shared" si="7"/>
        <v>114</v>
      </c>
      <c r="H28" s="13">
        <f t="shared" si="7"/>
        <v>98</v>
      </c>
      <c r="I28" s="13">
        <f t="shared" si="7"/>
        <v>91</v>
      </c>
      <c r="J28" s="13">
        <f t="shared" si="7"/>
        <v>120</v>
      </c>
      <c r="K28" s="13">
        <f t="shared" si="7"/>
        <v>86</v>
      </c>
      <c r="L28" s="13">
        <f t="shared" si="7"/>
        <v>69</v>
      </c>
      <c r="M28" s="13">
        <f t="shared" si="7"/>
        <v>105</v>
      </c>
      <c r="N28" s="13">
        <f t="shared" si="7"/>
        <v>100</v>
      </c>
      <c r="O28" s="13">
        <f t="shared" si="7"/>
        <v>86</v>
      </c>
      <c r="P28" s="13">
        <f t="shared" si="7"/>
        <v>103</v>
      </c>
      <c r="Q28" s="13">
        <f t="shared" si="7"/>
        <v>105</v>
      </c>
      <c r="R28" s="13">
        <f t="shared" si="7"/>
        <v>112</v>
      </c>
      <c r="S28" s="13">
        <f t="shared" si="7"/>
        <v>94</v>
      </c>
      <c r="T28" s="13">
        <f t="shared" si="7"/>
        <v>107</v>
      </c>
      <c r="U28" s="13">
        <f t="shared" si="7"/>
        <v>86</v>
      </c>
      <c r="V28" s="13">
        <f t="shared" si="7"/>
        <v>99</v>
      </c>
      <c r="W28" s="13">
        <f t="shared" si="7"/>
        <v>95</v>
      </c>
      <c r="X28" s="13">
        <f t="shared" si="7"/>
        <v>99</v>
      </c>
      <c r="Y28" s="13">
        <f t="shared" si="7"/>
        <v>87</v>
      </c>
      <c r="Z28" s="13">
        <f t="shared" si="7"/>
        <v>82</v>
      </c>
      <c r="AA28" s="13">
        <f t="shared" si="7"/>
        <v>87</v>
      </c>
      <c r="AB28" s="13">
        <f t="shared" si="7"/>
        <v>85</v>
      </c>
      <c r="AC28" s="13">
        <f t="shared" si="7"/>
        <v>81</v>
      </c>
      <c r="AD28" s="13">
        <f t="shared" si="7"/>
        <v>88</v>
      </c>
      <c r="AE28" s="13">
        <f t="shared" si="7"/>
        <v>95</v>
      </c>
      <c r="AF28" s="13">
        <f t="shared" si="7"/>
        <v>97</v>
      </c>
      <c r="AG28" s="13">
        <f t="shared" si="7"/>
        <v>95</v>
      </c>
      <c r="AH28" s="13">
        <f t="shared" si="7"/>
        <v>108</v>
      </c>
      <c r="AI28" s="13">
        <f t="shared" si="7"/>
        <v>117</v>
      </c>
      <c r="AJ28" s="13">
        <f t="shared" si="3"/>
        <v>2992</v>
      </c>
    </row>
    <row r="29" ht="12.75" customHeight="1">
      <c r="A29" s="36"/>
      <c r="B29" s="27"/>
      <c r="C29" s="35"/>
      <c r="D29" s="13" t="s">
        <v>13</v>
      </c>
      <c r="E29" s="13">
        <f t="shared" ref="E29:AI29" si="8">SUM(E20,E23,E26)</f>
        <v>112</v>
      </c>
      <c r="F29" s="13">
        <f t="shared" si="8"/>
        <v>107</v>
      </c>
      <c r="G29" s="13">
        <f t="shared" si="8"/>
        <v>117</v>
      </c>
      <c r="H29" s="13">
        <f t="shared" si="8"/>
        <v>119</v>
      </c>
      <c r="I29" s="13">
        <f t="shared" si="8"/>
        <v>95</v>
      </c>
      <c r="J29" s="13">
        <f t="shared" si="8"/>
        <v>122</v>
      </c>
      <c r="K29" s="13">
        <f t="shared" si="8"/>
        <v>95</v>
      </c>
      <c r="L29" s="13">
        <f t="shared" si="8"/>
        <v>98</v>
      </c>
      <c r="M29" s="13">
        <f t="shared" si="8"/>
        <v>124</v>
      </c>
      <c r="N29" s="13">
        <f t="shared" si="8"/>
        <v>114</v>
      </c>
      <c r="O29" s="13">
        <f t="shared" si="8"/>
        <v>102</v>
      </c>
      <c r="P29" s="13">
        <f t="shared" si="8"/>
        <v>110</v>
      </c>
      <c r="Q29" s="13">
        <f t="shared" si="8"/>
        <v>115</v>
      </c>
      <c r="R29" s="13">
        <f t="shared" si="8"/>
        <v>121</v>
      </c>
      <c r="S29" s="13">
        <f t="shared" si="8"/>
        <v>113</v>
      </c>
      <c r="T29" s="13">
        <f t="shared" si="8"/>
        <v>103</v>
      </c>
      <c r="U29" s="13">
        <f t="shared" si="8"/>
        <v>100</v>
      </c>
      <c r="V29" s="13">
        <f t="shared" si="8"/>
        <v>99</v>
      </c>
      <c r="W29" s="13">
        <f t="shared" si="8"/>
        <v>100</v>
      </c>
      <c r="X29" s="13">
        <f t="shared" si="8"/>
        <v>117</v>
      </c>
      <c r="Y29" s="13">
        <f t="shared" si="8"/>
        <v>93</v>
      </c>
      <c r="Z29" s="13">
        <f t="shared" si="8"/>
        <v>84</v>
      </c>
      <c r="AA29" s="13">
        <f t="shared" si="8"/>
        <v>102</v>
      </c>
      <c r="AB29" s="13">
        <f t="shared" si="8"/>
        <v>86</v>
      </c>
      <c r="AC29" s="13">
        <f t="shared" si="8"/>
        <v>99</v>
      </c>
      <c r="AD29" s="13">
        <f t="shared" si="8"/>
        <v>107</v>
      </c>
      <c r="AE29" s="13">
        <f t="shared" si="8"/>
        <v>105</v>
      </c>
      <c r="AF29" s="13">
        <f t="shared" si="8"/>
        <v>120</v>
      </c>
      <c r="AG29" s="13">
        <f t="shared" si="8"/>
        <v>91</v>
      </c>
      <c r="AH29" s="13">
        <f t="shared" si="8"/>
        <v>119</v>
      </c>
      <c r="AI29" s="13">
        <f t="shared" si="8"/>
        <v>127</v>
      </c>
      <c r="AJ29" s="13">
        <f t="shared" si="3"/>
        <v>3316</v>
      </c>
    </row>
    <row r="30" ht="12.75" customHeight="1">
      <c r="A30" s="36"/>
      <c r="B30" s="28"/>
      <c r="C30" s="37"/>
      <c r="D30" s="13" t="s">
        <v>14</v>
      </c>
      <c r="E30" s="13">
        <f t="shared" ref="E30:AI30" si="9">SUM(E28:E29)</f>
        <v>222</v>
      </c>
      <c r="F30" s="13">
        <f t="shared" si="9"/>
        <v>198</v>
      </c>
      <c r="G30" s="13">
        <f t="shared" si="9"/>
        <v>231</v>
      </c>
      <c r="H30" s="13">
        <f t="shared" si="9"/>
        <v>217</v>
      </c>
      <c r="I30" s="13">
        <f t="shared" si="9"/>
        <v>186</v>
      </c>
      <c r="J30" s="13">
        <f t="shared" si="9"/>
        <v>242</v>
      </c>
      <c r="K30" s="13">
        <f t="shared" si="9"/>
        <v>181</v>
      </c>
      <c r="L30" s="13">
        <f t="shared" si="9"/>
        <v>167</v>
      </c>
      <c r="M30" s="13">
        <f t="shared" si="9"/>
        <v>229</v>
      </c>
      <c r="N30" s="13">
        <f t="shared" si="9"/>
        <v>214</v>
      </c>
      <c r="O30" s="13">
        <f t="shared" si="9"/>
        <v>188</v>
      </c>
      <c r="P30" s="13">
        <f t="shared" si="9"/>
        <v>213</v>
      </c>
      <c r="Q30" s="13">
        <f t="shared" si="9"/>
        <v>220</v>
      </c>
      <c r="R30" s="13">
        <f t="shared" si="9"/>
        <v>233</v>
      </c>
      <c r="S30" s="13">
        <f t="shared" si="9"/>
        <v>207</v>
      </c>
      <c r="T30" s="13">
        <f t="shared" si="9"/>
        <v>210</v>
      </c>
      <c r="U30" s="13">
        <f t="shared" si="9"/>
        <v>186</v>
      </c>
      <c r="V30" s="13">
        <f t="shared" si="9"/>
        <v>198</v>
      </c>
      <c r="W30" s="13">
        <f t="shared" si="9"/>
        <v>195</v>
      </c>
      <c r="X30" s="13">
        <f t="shared" si="9"/>
        <v>216</v>
      </c>
      <c r="Y30" s="13">
        <f t="shared" si="9"/>
        <v>180</v>
      </c>
      <c r="Z30" s="13">
        <f t="shared" si="9"/>
        <v>166</v>
      </c>
      <c r="AA30" s="13">
        <f t="shared" si="9"/>
        <v>189</v>
      </c>
      <c r="AB30" s="13">
        <f t="shared" si="9"/>
        <v>171</v>
      </c>
      <c r="AC30" s="13">
        <f t="shared" si="9"/>
        <v>180</v>
      </c>
      <c r="AD30" s="13">
        <f t="shared" si="9"/>
        <v>195</v>
      </c>
      <c r="AE30" s="13">
        <f t="shared" si="9"/>
        <v>200</v>
      </c>
      <c r="AF30" s="13">
        <f t="shared" si="9"/>
        <v>217</v>
      </c>
      <c r="AG30" s="13">
        <f t="shared" si="9"/>
        <v>186</v>
      </c>
      <c r="AH30" s="13">
        <f t="shared" si="9"/>
        <v>227</v>
      </c>
      <c r="AI30" s="13">
        <f t="shared" si="9"/>
        <v>244</v>
      </c>
      <c r="AJ30" s="13">
        <f t="shared" si="3"/>
        <v>6308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3"/>
      <c r="O31" s="19"/>
      <c r="P31" s="19"/>
      <c r="Q31" s="19"/>
      <c r="R31" s="19"/>
      <c r="S31" s="63"/>
      <c r="T31" s="19"/>
      <c r="U31" s="19"/>
      <c r="V31" s="19"/>
      <c r="W31" s="19"/>
      <c r="X31" s="63"/>
      <c r="Y31" s="19"/>
      <c r="Z31" s="19"/>
      <c r="AA31" s="19"/>
      <c r="AB31" s="19"/>
      <c r="AC31" s="63"/>
      <c r="AD31" s="19"/>
      <c r="AE31" s="19"/>
      <c r="AF31" s="19"/>
      <c r="AG31" s="19"/>
      <c r="AH31" s="63"/>
      <c r="AI31" s="19"/>
      <c r="AJ31" s="64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5"/>
      <c r="O32" s="13"/>
      <c r="P32" s="13"/>
      <c r="Q32" s="13"/>
      <c r="R32" s="13"/>
      <c r="S32" s="65"/>
      <c r="T32" s="13"/>
      <c r="U32" s="13"/>
      <c r="V32" s="13"/>
      <c r="W32" s="13"/>
      <c r="X32" s="65"/>
      <c r="Y32" s="13"/>
      <c r="Z32" s="13"/>
      <c r="AA32" s="13"/>
      <c r="AB32" s="13"/>
      <c r="AC32" s="65"/>
      <c r="AD32" s="13"/>
      <c r="AE32" s="13"/>
      <c r="AF32" s="13"/>
      <c r="AG32" s="13"/>
      <c r="AH32" s="65"/>
      <c r="AI32" s="13"/>
      <c r="AJ32" s="64"/>
    </row>
    <row r="33" ht="12.75" customHeight="1">
      <c r="A33" s="19">
        <v>1.0</v>
      </c>
      <c r="B33" s="20" t="s">
        <v>27</v>
      </c>
      <c r="C33" s="15"/>
      <c r="D33" s="16"/>
      <c r="E33" s="19">
        <v>298.0</v>
      </c>
      <c r="F33" s="19">
        <v>260.0</v>
      </c>
      <c r="G33" s="19">
        <v>300.0</v>
      </c>
      <c r="H33" s="19">
        <v>291.0</v>
      </c>
      <c r="I33" s="19">
        <v>235.0</v>
      </c>
      <c r="J33" s="19">
        <v>303.0</v>
      </c>
      <c r="K33" s="19">
        <v>254.0</v>
      </c>
      <c r="L33" s="19">
        <v>238.0</v>
      </c>
      <c r="M33" s="19">
        <v>301.0</v>
      </c>
      <c r="N33" s="19">
        <v>298.0</v>
      </c>
      <c r="O33" s="19">
        <v>236.0</v>
      </c>
      <c r="P33" s="19">
        <v>271.0</v>
      </c>
      <c r="Q33" s="19">
        <v>284.0</v>
      </c>
      <c r="R33" s="19">
        <v>297.0</v>
      </c>
      <c r="S33" s="19">
        <v>258.0</v>
      </c>
      <c r="T33" s="19">
        <v>278.0</v>
      </c>
      <c r="U33" s="19">
        <v>270.0</v>
      </c>
      <c r="V33" s="19">
        <v>265.0</v>
      </c>
      <c r="W33" s="19">
        <v>261.0</v>
      </c>
      <c r="X33" s="19">
        <v>303.0</v>
      </c>
      <c r="Y33" s="19">
        <v>223.0</v>
      </c>
      <c r="Z33" s="19">
        <v>207.0</v>
      </c>
      <c r="AA33" s="19">
        <v>247.0</v>
      </c>
      <c r="AB33" s="19">
        <v>244.0</v>
      </c>
      <c r="AC33" s="19">
        <v>252.0</v>
      </c>
      <c r="AD33" s="19">
        <v>282.0</v>
      </c>
      <c r="AE33" s="19">
        <v>271.0</v>
      </c>
      <c r="AF33" s="19">
        <v>296.0</v>
      </c>
      <c r="AG33" s="19">
        <v>235.0</v>
      </c>
      <c r="AH33" s="19">
        <v>289.0</v>
      </c>
      <c r="AI33" s="19">
        <v>300.0</v>
      </c>
      <c r="AJ33" s="13">
        <f t="shared" ref="AJ33:AJ36" si="10">SUM(E33:AI33)</f>
        <v>8347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198.0</v>
      </c>
      <c r="G34" s="13">
        <v>231.0</v>
      </c>
      <c r="H34" s="13">
        <v>217.0</v>
      </c>
      <c r="I34" s="13">
        <v>186.0</v>
      </c>
      <c r="J34" s="13">
        <v>242.0</v>
      </c>
      <c r="K34" s="13">
        <v>181.0</v>
      </c>
      <c r="L34" s="13">
        <v>167.0</v>
      </c>
      <c r="M34" s="13">
        <v>229.0</v>
      </c>
      <c r="N34" s="13">
        <v>214.0</v>
      </c>
      <c r="O34" s="13">
        <v>188.0</v>
      </c>
      <c r="P34" s="13">
        <v>213.0</v>
      </c>
      <c r="Q34" s="13">
        <v>220.0</v>
      </c>
      <c r="R34" s="13">
        <v>233.0</v>
      </c>
      <c r="S34" s="13">
        <v>207.0</v>
      </c>
      <c r="T34" s="13">
        <v>210.0</v>
      </c>
      <c r="U34" s="13">
        <v>186.0</v>
      </c>
      <c r="V34" s="13">
        <v>198.0</v>
      </c>
      <c r="W34" s="13">
        <v>195.0</v>
      </c>
      <c r="X34" s="13">
        <v>216.0</v>
      </c>
      <c r="Y34" s="13">
        <v>180.0</v>
      </c>
      <c r="Z34" s="13">
        <v>166.0</v>
      </c>
      <c r="AA34" s="13">
        <v>189.0</v>
      </c>
      <c r="AB34" s="13">
        <v>171.0</v>
      </c>
      <c r="AC34" s="13">
        <v>180.0</v>
      </c>
      <c r="AD34" s="13">
        <v>195.0</v>
      </c>
      <c r="AE34" s="13">
        <v>200.0</v>
      </c>
      <c r="AF34" s="13">
        <v>217.0</v>
      </c>
      <c r="AG34" s="13">
        <v>186.0</v>
      </c>
      <c r="AH34" s="13">
        <v>227.0</v>
      </c>
      <c r="AI34" s="13">
        <v>244.0</v>
      </c>
      <c r="AJ34" s="13">
        <f t="shared" si="10"/>
        <v>6308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>
        <v>2.0</v>
      </c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>
        <v>1.0</v>
      </c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I36" si="11">E33-(E34+E35)</f>
        <v>76</v>
      </c>
      <c r="F36" s="13">
        <f t="shared" si="11"/>
        <v>62</v>
      </c>
      <c r="G36" s="13">
        <f t="shared" si="11"/>
        <v>69</v>
      </c>
      <c r="H36" s="13">
        <f t="shared" si="11"/>
        <v>74</v>
      </c>
      <c r="I36" s="13">
        <f t="shared" si="11"/>
        <v>49</v>
      </c>
      <c r="J36" s="13">
        <f t="shared" si="11"/>
        <v>59</v>
      </c>
      <c r="K36" s="13">
        <f t="shared" si="11"/>
        <v>73</v>
      </c>
      <c r="L36" s="13">
        <f t="shared" si="11"/>
        <v>71</v>
      </c>
      <c r="M36" s="13">
        <f t="shared" si="11"/>
        <v>72</v>
      </c>
      <c r="N36" s="13">
        <f t="shared" si="11"/>
        <v>84</v>
      </c>
      <c r="O36" s="13">
        <f t="shared" si="11"/>
        <v>48</v>
      </c>
      <c r="P36" s="13">
        <f t="shared" si="11"/>
        <v>58</v>
      </c>
      <c r="Q36" s="13">
        <f t="shared" si="11"/>
        <v>64</v>
      </c>
      <c r="R36" s="13">
        <f t="shared" si="11"/>
        <v>64</v>
      </c>
      <c r="S36" s="13">
        <f t="shared" si="11"/>
        <v>51</v>
      </c>
      <c r="T36" s="13">
        <f t="shared" si="11"/>
        <v>68</v>
      </c>
      <c r="U36" s="13">
        <f t="shared" si="11"/>
        <v>83</v>
      </c>
      <c r="V36" s="13">
        <f t="shared" si="11"/>
        <v>67</v>
      </c>
      <c r="W36" s="13">
        <f t="shared" si="11"/>
        <v>66</v>
      </c>
      <c r="X36" s="13">
        <f t="shared" si="11"/>
        <v>87</v>
      </c>
      <c r="Y36" s="13">
        <f t="shared" si="11"/>
        <v>43</v>
      </c>
      <c r="Z36" s="13">
        <f t="shared" si="11"/>
        <v>41</v>
      </c>
      <c r="AA36" s="13">
        <f t="shared" si="11"/>
        <v>58</v>
      </c>
      <c r="AB36" s="13">
        <f t="shared" si="11"/>
        <v>73</v>
      </c>
      <c r="AC36" s="13">
        <f t="shared" si="11"/>
        <v>72</v>
      </c>
      <c r="AD36" s="13">
        <f t="shared" si="11"/>
        <v>87</v>
      </c>
      <c r="AE36" s="13">
        <f t="shared" si="11"/>
        <v>71</v>
      </c>
      <c r="AF36" s="13">
        <f t="shared" si="11"/>
        <v>79</v>
      </c>
      <c r="AG36" s="13">
        <f t="shared" si="11"/>
        <v>49</v>
      </c>
      <c r="AH36" s="13">
        <f t="shared" si="11"/>
        <v>62</v>
      </c>
      <c r="AI36" s="13">
        <f t="shared" si="11"/>
        <v>56</v>
      </c>
      <c r="AJ36" s="13">
        <f t="shared" si="10"/>
        <v>2036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3"/>
      <c r="O37" s="19"/>
      <c r="P37" s="19"/>
      <c r="Q37" s="19"/>
      <c r="R37" s="19"/>
      <c r="S37" s="63"/>
      <c r="T37" s="19"/>
      <c r="U37" s="19"/>
      <c r="V37" s="19"/>
      <c r="W37" s="19"/>
      <c r="X37" s="63"/>
      <c r="Y37" s="19"/>
      <c r="Z37" s="19"/>
      <c r="AA37" s="19"/>
      <c r="AB37" s="19"/>
      <c r="AC37" s="63"/>
      <c r="AD37" s="19"/>
      <c r="AE37" s="19"/>
      <c r="AF37" s="19"/>
      <c r="AG37" s="19"/>
      <c r="AH37" s="63"/>
      <c r="AI37" s="19"/>
      <c r="AJ37" s="64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5"/>
      <c r="O38" s="13"/>
      <c r="P38" s="13"/>
      <c r="Q38" s="13"/>
      <c r="R38" s="13"/>
      <c r="S38" s="65"/>
      <c r="T38" s="13"/>
      <c r="U38" s="13"/>
      <c r="V38" s="13"/>
      <c r="W38" s="13"/>
      <c r="X38" s="65"/>
      <c r="Y38" s="13"/>
      <c r="Z38" s="13"/>
      <c r="AA38" s="13"/>
      <c r="AB38" s="13"/>
      <c r="AC38" s="65"/>
      <c r="AD38" s="13"/>
      <c r="AE38" s="13"/>
      <c r="AF38" s="13"/>
      <c r="AG38" s="13"/>
      <c r="AH38" s="65"/>
      <c r="AI38" s="13"/>
      <c r="AJ38" s="64"/>
    </row>
    <row r="39" ht="12.75" customHeight="1">
      <c r="A39" s="31"/>
      <c r="B39" s="45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>
        <v>2.0</v>
      </c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3">
        <f t="shared" ref="AJ39:AJ41" si="12">SUM(E39:AI39)</f>
        <v>2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1.0</v>
      </c>
      <c r="L40" s="19">
        <v>1.0</v>
      </c>
      <c r="M40" s="19"/>
      <c r="N40" s="19">
        <v>6.0</v>
      </c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3">
        <f t="shared" si="12"/>
        <v>8</v>
      </c>
    </row>
    <row r="41" ht="12.75" customHeight="1">
      <c r="A41" s="43"/>
      <c r="B41" s="46"/>
      <c r="C41" s="28"/>
      <c r="D41" s="13" t="s">
        <v>14</v>
      </c>
      <c r="E41" s="13">
        <f t="shared" ref="E41:AI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1</v>
      </c>
      <c r="M41" s="13">
        <f t="shared" si="13"/>
        <v>0</v>
      </c>
      <c r="N41" s="13">
        <f t="shared" si="13"/>
        <v>8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2"/>
        <v>10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3"/>
      <c r="O42" s="19"/>
      <c r="P42" s="19"/>
      <c r="Q42" s="19"/>
      <c r="R42" s="19"/>
      <c r="S42" s="63"/>
      <c r="T42" s="19"/>
      <c r="U42" s="19"/>
      <c r="V42" s="19"/>
      <c r="W42" s="19"/>
      <c r="X42" s="63"/>
      <c r="Y42" s="19"/>
      <c r="Z42" s="19"/>
      <c r="AA42" s="19"/>
      <c r="AB42" s="19"/>
      <c r="AC42" s="63"/>
      <c r="AD42" s="19"/>
      <c r="AE42" s="19"/>
      <c r="AF42" s="19"/>
      <c r="AG42" s="19"/>
      <c r="AH42" s="63"/>
      <c r="AI42" s="19"/>
      <c r="AJ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5"/>
      <c r="O43" s="13"/>
      <c r="P43" s="13"/>
      <c r="Q43" s="13"/>
      <c r="R43" s="13"/>
      <c r="S43" s="65"/>
      <c r="T43" s="13"/>
      <c r="U43" s="13"/>
      <c r="V43" s="13"/>
      <c r="W43" s="13"/>
      <c r="X43" s="65"/>
      <c r="Y43" s="13"/>
      <c r="Z43" s="13"/>
      <c r="AA43" s="13"/>
      <c r="AB43" s="13"/>
      <c r="AC43" s="65"/>
      <c r="AD43" s="13"/>
      <c r="AE43" s="13"/>
      <c r="AF43" s="13"/>
      <c r="AG43" s="13"/>
      <c r="AH43" s="65"/>
      <c r="AI43" s="13"/>
      <c r="AJ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3"/>
      <c r="O44" s="19"/>
      <c r="P44" s="19"/>
      <c r="Q44" s="19"/>
      <c r="R44" s="19"/>
      <c r="S44" s="63"/>
      <c r="T44" s="19"/>
      <c r="U44" s="19"/>
      <c r="V44" s="19"/>
      <c r="W44" s="19"/>
      <c r="X44" s="63"/>
      <c r="Y44" s="19"/>
      <c r="Z44" s="19"/>
      <c r="AA44" s="19"/>
      <c r="AB44" s="19"/>
      <c r="AC44" s="63"/>
      <c r="AD44" s="19"/>
      <c r="AE44" s="19"/>
      <c r="AF44" s="19"/>
      <c r="AG44" s="19"/>
      <c r="AH44" s="63"/>
      <c r="AI44" s="19"/>
      <c r="AJ44" s="13"/>
    </row>
    <row r="45" ht="12.75" customHeight="1">
      <c r="A45" s="66"/>
      <c r="B45" s="49">
        <v>1.0</v>
      </c>
      <c r="C45" s="50" t="s">
        <v>37</v>
      </c>
      <c r="D45" s="16"/>
      <c r="E45" s="19">
        <v>24.0</v>
      </c>
      <c r="F45" s="19">
        <v>21.0</v>
      </c>
      <c r="G45" s="19">
        <v>15.0</v>
      </c>
      <c r="H45" s="19">
        <v>23.0</v>
      </c>
      <c r="I45" s="19">
        <v>30.0</v>
      </c>
      <c r="J45" s="19">
        <v>40.0</v>
      </c>
      <c r="K45" s="19">
        <v>28.0</v>
      </c>
      <c r="L45" s="19">
        <v>28.0</v>
      </c>
      <c r="M45" s="19">
        <v>46.0</v>
      </c>
      <c r="N45" s="19">
        <v>45.0</v>
      </c>
      <c r="O45" s="19">
        <v>24.0</v>
      </c>
      <c r="P45" s="19">
        <v>26.0</v>
      </c>
      <c r="Q45" s="19">
        <v>43.0</v>
      </c>
      <c r="R45" s="19">
        <v>51.0</v>
      </c>
      <c r="S45" s="19">
        <v>51.0</v>
      </c>
      <c r="T45" s="19">
        <v>33.0</v>
      </c>
      <c r="U45" s="19">
        <v>24.0</v>
      </c>
      <c r="V45" s="19">
        <v>14.0</v>
      </c>
      <c r="W45" s="19">
        <v>28.0</v>
      </c>
      <c r="X45" s="19">
        <v>32.0</v>
      </c>
      <c r="Y45" s="19">
        <v>28.0</v>
      </c>
      <c r="Z45" s="19">
        <v>16.0</v>
      </c>
      <c r="AA45" s="19">
        <v>26.0</v>
      </c>
      <c r="AB45" s="19">
        <v>26.0</v>
      </c>
      <c r="AC45" s="19">
        <v>27.0</v>
      </c>
      <c r="AD45" s="19">
        <v>37.0</v>
      </c>
      <c r="AE45" s="19">
        <v>25.0</v>
      </c>
      <c r="AF45" s="19">
        <v>52.0</v>
      </c>
      <c r="AG45" s="19">
        <v>42.0</v>
      </c>
      <c r="AH45" s="19">
        <v>24.0</v>
      </c>
      <c r="AI45" s="19">
        <v>29.0</v>
      </c>
      <c r="AJ45" s="13">
        <f t="shared" ref="AJ45:AJ47" si="14">SUM(E45:AI45)</f>
        <v>958</v>
      </c>
    </row>
    <row r="46" ht="12.75" customHeight="1">
      <c r="A46" s="18"/>
      <c r="B46" s="49">
        <v>2.0</v>
      </c>
      <c r="C46" s="50" t="s">
        <v>38</v>
      </c>
      <c r="D46" s="16"/>
      <c r="E46" s="19">
        <v>170.0</v>
      </c>
      <c r="F46" s="19">
        <v>154.0</v>
      </c>
      <c r="G46" s="19">
        <v>198.0</v>
      </c>
      <c r="H46" s="19">
        <v>153.0</v>
      </c>
      <c r="I46" s="19">
        <v>141.0</v>
      </c>
      <c r="J46" s="19">
        <v>185.0</v>
      </c>
      <c r="K46" s="19">
        <v>137.0</v>
      </c>
      <c r="L46" s="19">
        <v>108.0</v>
      </c>
      <c r="M46" s="19">
        <v>155.0</v>
      </c>
      <c r="N46" s="19">
        <v>145.0</v>
      </c>
      <c r="O46" s="19">
        <v>129.0</v>
      </c>
      <c r="P46" s="19">
        <v>167.0</v>
      </c>
      <c r="Q46" s="19">
        <v>159.0</v>
      </c>
      <c r="R46" s="19">
        <v>161.0</v>
      </c>
      <c r="S46" s="19">
        <v>122.0</v>
      </c>
      <c r="T46" s="19">
        <v>150.0</v>
      </c>
      <c r="U46" s="19">
        <v>139.0</v>
      </c>
      <c r="V46" s="19">
        <v>161.0</v>
      </c>
      <c r="W46" s="19">
        <v>140.0</v>
      </c>
      <c r="X46" s="19">
        <v>156.0</v>
      </c>
      <c r="Y46" s="19">
        <v>139.0</v>
      </c>
      <c r="Z46" s="19">
        <v>130.0</v>
      </c>
      <c r="AA46" s="19">
        <v>147.0</v>
      </c>
      <c r="AB46" s="19">
        <v>119.0</v>
      </c>
      <c r="AC46" s="19">
        <v>128.0</v>
      </c>
      <c r="AD46" s="19">
        <v>141.0</v>
      </c>
      <c r="AE46" s="19">
        <v>163.0</v>
      </c>
      <c r="AF46" s="19">
        <v>141.0</v>
      </c>
      <c r="AG46" s="19">
        <v>128.0</v>
      </c>
      <c r="AH46" s="19">
        <v>168.0</v>
      </c>
      <c r="AI46" s="19">
        <v>178.0</v>
      </c>
      <c r="AJ46" s="13">
        <f t="shared" si="14"/>
        <v>4612</v>
      </c>
    </row>
    <row r="47" ht="12.75" customHeight="1">
      <c r="A47" s="47"/>
      <c r="B47" s="49">
        <v>3.0</v>
      </c>
      <c r="C47" s="50" t="s">
        <v>39</v>
      </c>
      <c r="D47" s="16"/>
      <c r="E47" s="19">
        <v>21.0</v>
      </c>
      <c r="F47" s="19">
        <v>20.0</v>
      </c>
      <c r="G47" s="19">
        <v>16.0</v>
      </c>
      <c r="H47" s="19">
        <v>36.0</v>
      </c>
      <c r="I47" s="19">
        <v>13.0</v>
      </c>
      <c r="J47" s="19">
        <v>15.0</v>
      </c>
      <c r="K47" s="19">
        <v>12.0</v>
      </c>
      <c r="L47" s="19">
        <v>24.0</v>
      </c>
      <c r="M47" s="19">
        <v>26.0</v>
      </c>
      <c r="N47" s="19">
        <v>24.0</v>
      </c>
      <c r="O47" s="19">
        <v>33.0</v>
      </c>
      <c r="P47" s="19">
        <v>20.0</v>
      </c>
      <c r="Q47" s="19">
        <v>17.0</v>
      </c>
      <c r="R47" s="19">
        <v>20.0</v>
      </c>
      <c r="S47" s="19">
        <v>33.0</v>
      </c>
      <c r="T47" s="19">
        <v>21.0</v>
      </c>
      <c r="U47" s="19">
        <v>21.0</v>
      </c>
      <c r="V47" s="19">
        <v>23.0</v>
      </c>
      <c r="W47" s="19">
        <v>25.0</v>
      </c>
      <c r="X47" s="19">
        <v>23.0</v>
      </c>
      <c r="Y47" s="19">
        <v>12.0</v>
      </c>
      <c r="Z47" s="19">
        <v>14.0</v>
      </c>
      <c r="AA47" s="19">
        <v>13.0</v>
      </c>
      <c r="AB47" s="19">
        <v>22.0</v>
      </c>
      <c r="AC47" s="19">
        <v>23.0</v>
      </c>
      <c r="AD47" s="19">
        <v>15.0</v>
      </c>
      <c r="AE47" s="19">
        <v>10.0</v>
      </c>
      <c r="AF47" s="19">
        <v>21.0</v>
      </c>
      <c r="AG47" s="19">
        <v>16.0</v>
      </c>
      <c r="AH47" s="19">
        <v>30.0</v>
      </c>
      <c r="AI47" s="19">
        <v>34.0</v>
      </c>
      <c r="AJ47" s="13">
        <f t="shared" si="14"/>
        <v>653</v>
      </c>
    </row>
    <row r="48" ht="12.75" customHeight="1">
      <c r="AJ48" s="13"/>
    </row>
    <row r="49" ht="12.75" customHeight="1">
      <c r="A49" s="44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AI50" si="15">SUM(E45:E47)</f>
        <v>215</v>
      </c>
      <c r="F50" s="19">
        <f t="shared" si="15"/>
        <v>195</v>
      </c>
      <c r="G50" s="19">
        <f t="shared" si="15"/>
        <v>229</v>
      </c>
      <c r="H50" s="19">
        <f t="shared" si="15"/>
        <v>212</v>
      </c>
      <c r="I50" s="19">
        <f t="shared" si="15"/>
        <v>184</v>
      </c>
      <c r="J50" s="19">
        <f t="shared" si="15"/>
        <v>240</v>
      </c>
      <c r="K50" s="19">
        <f t="shared" si="15"/>
        <v>177</v>
      </c>
      <c r="L50" s="19">
        <f t="shared" si="15"/>
        <v>160</v>
      </c>
      <c r="M50" s="19">
        <f t="shared" si="15"/>
        <v>227</v>
      </c>
      <c r="N50" s="19">
        <f t="shared" si="15"/>
        <v>214</v>
      </c>
      <c r="O50" s="19">
        <f t="shared" si="15"/>
        <v>186</v>
      </c>
      <c r="P50" s="19">
        <f t="shared" si="15"/>
        <v>213</v>
      </c>
      <c r="Q50" s="19">
        <f t="shared" si="15"/>
        <v>219</v>
      </c>
      <c r="R50" s="19">
        <f t="shared" si="15"/>
        <v>232</v>
      </c>
      <c r="S50" s="19">
        <f t="shared" si="15"/>
        <v>206</v>
      </c>
      <c r="T50" s="19">
        <f t="shared" si="15"/>
        <v>204</v>
      </c>
      <c r="U50" s="19">
        <f t="shared" si="15"/>
        <v>184</v>
      </c>
      <c r="V50" s="19">
        <f t="shared" si="15"/>
        <v>198</v>
      </c>
      <c r="W50" s="19">
        <f t="shared" si="15"/>
        <v>193</v>
      </c>
      <c r="X50" s="19">
        <f t="shared" si="15"/>
        <v>211</v>
      </c>
      <c r="Y50" s="19">
        <f t="shared" si="15"/>
        <v>179</v>
      </c>
      <c r="Z50" s="19">
        <f t="shared" si="15"/>
        <v>160</v>
      </c>
      <c r="AA50" s="19">
        <f t="shared" si="15"/>
        <v>186</v>
      </c>
      <c r="AB50" s="19">
        <f t="shared" si="15"/>
        <v>167</v>
      </c>
      <c r="AC50" s="19">
        <f t="shared" si="15"/>
        <v>178</v>
      </c>
      <c r="AD50" s="19">
        <f t="shared" si="15"/>
        <v>193</v>
      </c>
      <c r="AE50" s="19">
        <f t="shared" si="15"/>
        <v>198</v>
      </c>
      <c r="AF50" s="19">
        <f t="shared" si="15"/>
        <v>214</v>
      </c>
      <c r="AG50" s="19">
        <f t="shared" si="15"/>
        <v>186</v>
      </c>
      <c r="AH50" s="19">
        <f t="shared" si="15"/>
        <v>222</v>
      </c>
      <c r="AI50" s="19">
        <f t="shared" si="15"/>
        <v>241</v>
      </c>
      <c r="AJ50" s="13">
        <f t="shared" ref="AJ50:AJ52" si="16">SUM(E50:AI50)</f>
        <v>6223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7.0</v>
      </c>
      <c r="F51" s="19">
        <v>3.0</v>
      </c>
      <c r="G51" s="19">
        <v>2.0</v>
      </c>
      <c r="H51" s="19">
        <v>5.0</v>
      </c>
      <c r="I51" s="19">
        <v>2.0</v>
      </c>
      <c r="J51" s="19">
        <v>2.0</v>
      </c>
      <c r="K51" s="19">
        <v>4.0</v>
      </c>
      <c r="L51" s="19">
        <v>7.0</v>
      </c>
      <c r="M51" s="19">
        <v>2.0</v>
      </c>
      <c r="N51" s="19"/>
      <c r="O51" s="19">
        <v>2.0</v>
      </c>
      <c r="P51" s="19"/>
      <c r="Q51" s="19">
        <v>1.0</v>
      </c>
      <c r="R51" s="19">
        <v>1.0</v>
      </c>
      <c r="S51" s="19">
        <v>1.0</v>
      </c>
      <c r="T51" s="19">
        <v>6.0</v>
      </c>
      <c r="U51" s="19">
        <v>2.0</v>
      </c>
      <c r="V51" s="19"/>
      <c r="W51" s="19">
        <v>2.0</v>
      </c>
      <c r="X51" s="19">
        <v>5.0</v>
      </c>
      <c r="Y51" s="19">
        <v>1.0</v>
      </c>
      <c r="Z51" s="19">
        <v>6.0</v>
      </c>
      <c r="AA51" s="19">
        <v>3.0</v>
      </c>
      <c r="AB51" s="19">
        <v>4.0</v>
      </c>
      <c r="AC51" s="19">
        <v>2.0</v>
      </c>
      <c r="AD51" s="19">
        <v>2.0</v>
      </c>
      <c r="AE51" s="19">
        <v>2.0</v>
      </c>
      <c r="AF51" s="19">
        <v>3.0</v>
      </c>
      <c r="AG51" s="19"/>
      <c r="AH51" s="19">
        <v>5.0</v>
      </c>
      <c r="AI51" s="19">
        <v>3.0</v>
      </c>
      <c r="AJ51" s="13">
        <f t="shared" si="16"/>
        <v>85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AI52" si="17">SUM(E50:E51)</f>
        <v>222</v>
      </c>
      <c r="F52" s="13">
        <f t="shared" si="17"/>
        <v>198</v>
      </c>
      <c r="G52" s="13">
        <f t="shared" si="17"/>
        <v>231</v>
      </c>
      <c r="H52" s="13">
        <f t="shared" si="17"/>
        <v>217</v>
      </c>
      <c r="I52" s="13">
        <f t="shared" si="17"/>
        <v>186</v>
      </c>
      <c r="J52" s="13">
        <f t="shared" si="17"/>
        <v>242</v>
      </c>
      <c r="K52" s="13">
        <f t="shared" si="17"/>
        <v>181</v>
      </c>
      <c r="L52" s="13">
        <f t="shared" si="17"/>
        <v>167</v>
      </c>
      <c r="M52" s="13">
        <f t="shared" si="17"/>
        <v>229</v>
      </c>
      <c r="N52" s="13">
        <f t="shared" si="17"/>
        <v>214</v>
      </c>
      <c r="O52" s="13">
        <f t="shared" si="17"/>
        <v>188</v>
      </c>
      <c r="P52" s="13">
        <f t="shared" si="17"/>
        <v>213</v>
      </c>
      <c r="Q52" s="13">
        <f t="shared" si="17"/>
        <v>220</v>
      </c>
      <c r="R52" s="13">
        <f t="shared" si="17"/>
        <v>233</v>
      </c>
      <c r="S52" s="13">
        <f t="shared" si="17"/>
        <v>207</v>
      </c>
      <c r="T52" s="13">
        <f t="shared" si="17"/>
        <v>210</v>
      </c>
      <c r="U52" s="13">
        <f t="shared" si="17"/>
        <v>186</v>
      </c>
      <c r="V52" s="13">
        <f t="shared" si="17"/>
        <v>198</v>
      </c>
      <c r="W52" s="13">
        <f t="shared" si="17"/>
        <v>195</v>
      </c>
      <c r="X52" s="13">
        <f t="shared" si="17"/>
        <v>216</v>
      </c>
      <c r="Y52" s="13">
        <f t="shared" si="17"/>
        <v>180</v>
      </c>
      <c r="Z52" s="13">
        <f t="shared" si="17"/>
        <v>166</v>
      </c>
      <c r="AA52" s="13">
        <f t="shared" si="17"/>
        <v>189</v>
      </c>
      <c r="AB52" s="13">
        <f t="shared" si="17"/>
        <v>171</v>
      </c>
      <c r="AC52" s="13">
        <f t="shared" si="17"/>
        <v>180</v>
      </c>
      <c r="AD52" s="13">
        <f t="shared" si="17"/>
        <v>195</v>
      </c>
      <c r="AE52" s="13">
        <f t="shared" si="17"/>
        <v>200</v>
      </c>
      <c r="AF52" s="13">
        <f t="shared" si="17"/>
        <v>217</v>
      </c>
      <c r="AG52" s="13">
        <f t="shared" si="17"/>
        <v>186</v>
      </c>
      <c r="AH52" s="13">
        <f t="shared" si="17"/>
        <v>227</v>
      </c>
      <c r="AI52" s="13">
        <f t="shared" si="17"/>
        <v>244</v>
      </c>
      <c r="AJ52" s="13">
        <f t="shared" si="16"/>
        <v>6308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K117" s="5"/>
      <c r="AL117" s="5"/>
    </row>
    <row r="118" ht="12.75" customHeight="1">
      <c r="AK118" s="5"/>
      <c r="AL118" s="5"/>
    </row>
    <row r="119" ht="12.75" customHeight="1">
      <c r="AK119" s="5"/>
      <c r="AL119" s="5"/>
    </row>
    <row r="120" ht="12.75" customHeight="1">
      <c r="AK120" s="5"/>
      <c r="AL120" s="5"/>
    </row>
    <row r="121" ht="12.75" customHeight="1">
      <c r="AK121" s="5"/>
      <c r="AL121" s="5"/>
    </row>
    <row r="122" ht="12.75" customHeight="1">
      <c r="AK122" s="5"/>
      <c r="AL122" s="5"/>
    </row>
    <row r="123" ht="12.75" customHeight="1">
      <c r="AK123" s="5"/>
      <c r="AL123" s="5"/>
    </row>
    <row r="124" ht="12.75" customHeight="1">
      <c r="AK124" s="5"/>
      <c r="AL124" s="5"/>
    </row>
    <row r="125" ht="12.75" customHeight="1">
      <c r="AK125" s="5"/>
      <c r="AL125" s="5"/>
    </row>
    <row r="126" ht="12.75" customHeight="1">
      <c r="AK126" s="5"/>
      <c r="AL126" s="5"/>
    </row>
    <row r="127" ht="12.75" customHeight="1">
      <c r="AK127" s="5"/>
      <c r="AL127" s="5"/>
    </row>
    <row r="128" ht="12.75" customHeight="1">
      <c r="AK128" s="5"/>
      <c r="AL128" s="5"/>
    </row>
    <row r="129" ht="12.75" customHeight="1">
      <c r="AK129" s="5"/>
      <c r="AL129" s="5"/>
    </row>
    <row r="130" ht="12.75" customHeight="1">
      <c r="AK130" s="1"/>
      <c r="AL130" s="1"/>
    </row>
    <row r="131" ht="12.75" customHeight="1">
      <c r="AK131" s="52"/>
      <c r="AL131" s="52"/>
    </row>
    <row r="132" ht="12.75" customHeight="1">
      <c r="AK132" s="5"/>
      <c r="AL132" s="5"/>
    </row>
    <row r="133" ht="12.75" customHeight="1">
      <c r="AK133" s="5"/>
      <c r="AL133" s="5"/>
    </row>
    <row r="134" ht="12.75" customHeight="1">
      <c r="AK134" s="5"/>
      <c r="AL134" s="5"/>
    </row>
    <row r="135" ht="12.75" customHeight="1">
      <c r="AK135" s="5"/>
      <c r="AL135" s="5"/>
    </row>
    <row r="136" ht="12.75" customHeight="1">
      <c r="AK136" s="5"/>
      <c r="AL136" s="5"/>
    </row>
    <row r="137" ht="12.75" customHeight="1">
      <c r="AK137" s="5"/>
      <c r="AL137" s="5"/>
    </row>
    <row r="138" ht="12.75" customHeight="1">
      <c r="AK138" s="5"/>
      <c r="AL138" s="5"/>
    </row>
    <row r="139" ht="12.75" customHeight="1">
      <c r="AK139" s="5"/>
      <c r="AL139" s="5"/>
    </row>
    <row r="140" ht="12.75" customHeight="1">
      <c r="AK140" s="5"/>
      <c r="AL140" s="5"/>
    </row>
    <row r="141" ht="12.75" customHeight="1">
      <c r="AK141" s="1"/>
      <c r="AL141" s="1"/>
    </row>
    <row r="142" ht="12.75" customHeight="1">
      <c r="AK142" s="52"/>
      <c r="AL142" s="52"/>
    </row>
    <row r="143" ht="12.75" customHeight="1">
      <c r="AK143" s="5"/>
      <c r="AL143" s="5"/>
    </row>
    <row r="144" ht="12.75" customHeight="1">
      <c r="AK144" s="5"/>
      <c r="AL144" s="5"/>
    </row>
    <row r="145" ht="12.75" customHeight="1">
      <c r="AK145" s="5"/>
      <c r="AL145" s="5"/>
    </row>
    <row r="146" ht="12.75" customHeight="1">
      <c r="AK146" s="5"/>
      <c r="AL146" s="5"/>
    </row>
    <row r="147" ht="12.75" customHeight="1">
      <c r="AK147" s="5"/>
      <c r="AL147" s="5"/>
    </row>
    <row r="148" ht="12.75" customHeight="1">
      <c r="AK148" s="5"/>
      <c r="AL148" s="5"/>
    </row>
    <row r="149" ht="12.75" customHeight="1">
      <c r="AK149" s="5"/>
      <c r="AL149" s="5"/>
    </row>
    <row r="150" ht="12.75" customHeight="1">
      <c r="AK150" s="5"/>
      <c r="AL150" s="5"/>
    </row>
    <row r="151" ht="12.75" customHeight="1">
      <c r="AK151" s="1"/>
      <c r="AL151" s="1"/>
    </row>
    <row r="152" ht="12.75" customHeight="1">
      <c r="AK152" s="52"/>
      <c r="AL152" s="52"/>
    </row>
    <row r="153" ht="12.75" customHeight="1">
      <c r="AK153" s="5"/>
      <c r="AL153" s="5"/>
    </row>
    <row r="154" ht="12.75" customHeight="1">
      <c r="AK154" s="5"/>
      <c r="AL154" s="5"/>
    </row>
    <row r="155" ht="12.75" customHeight="1">
      <c r="AK155" s="5"/>
      <c r="AL155" s="5"/>
    </row>
    <row r="156" ht="12.75" customHeight="1">
      <c r="AK156" s="5"/>
      <c r="AL156" s="5"/>
    </row>
    <row r="157" ht="12.75" customHeight="1">
      <c r="AK157" s="5"/>
      <c r="AL157" s="5"/>
    </row>
    <row r="158" ht="12.75" customHeight="1">
      <c r="AK158" s="5"/>
      <c r="AL158" s="5"/>
    </row>
    <row r="159" ht="12.75" customHeight="1">
      <c r="AK159" s="5"/>
      <c r="AL159" s="5"/>
    </row>
    <row r="160" ht="12.75" customHeight="1">
      <c r="AK160" s="5"/>
      <c r="AL160" s="5"/>
    </row>
    <row r="161" ht="12.75" customHeight="1">
      <c r="AK161" s="5"/>
      <c r="AL161" s="5"/>
    </row>
    <row r="162" ht="12.75" customHeight="1">
      <c r="AK162" s="5"/>
      <c r="AL162" s="5"/>
    </row>
    <row r="163" ht="12.75" customHeight="1">
      <c r="AK163" s="5"/>
      <c r="AL163" s="5"/>
    </row>
    <row r="164" ht="12.75" customHeight="1">
      <c r="AK164" s="5"/>
      <c r="AL164" s="5"/>
    </row>
    <row r="165" ht="12.75" customHeight="1">
      <c r="AK165" s="1"/>
      <c r="AL165" s="1"/>
    </row>
    <row r="166" ht="12.75" customHeight="1">
      <c r="AK166" s="52"/>
      <c r="AL166" s="52"/>
    </row>
    <row r="167" ht="12.75" customHeight="1">
      <c r="AK167" s="5"/>
      <c r="AL167" s="5"/>
    </row>
    <row r="168" ht="12.75" customHeight="1">
      <c r="AK168" s="5"/>
      <c r="AL168" s="5"/>
    </row>
    <row r="169" ht="12.75" customHeight="1">
      <c r="AK169" s="5"/>
      <c r="AL169" s="5"/>
    </row>
    <row r="170" ht="12.75" customHeight="1">
      <c r="AK170" s="5"/>
      <c r="AL170" s="5"/>
    </row>
    <row r="171" ht="12.75" customHeight="1">
      <c r="AK171" s="5"/>
      <c r="AL171" s="5"/>
    </row>
    <row r="172" ht="12.75" customHeight="1">
      <c r="AK172" s="5"/>
      <c r="AL172" s="5"/>
    </row>
    <row r="173" ht="12.75" customHeight="1">
      <c r="AK173" s="5"/>
      <c r="AL173" s="5"/>
    </row>
    <row r="174" ht="12.75" customHeight="1">
      <c r="AK174" s="5"/>
      <c r="AL174" s="5"/>
    </row>
    <row r="175" ht="12.75" customHeight="1">
      <c r="AK175" s="5"/>
      <c r="AL175" s="5"/>
    </row>
    <row r="176" ht="12.75" customHeight="1">
      <c r="AK176" s="1"/>
      <c r="AL176" s="1"/>
    </row>
    <row r="177" ht="12.75" customHeight="1"/>
    <row r="178" ht="12.75" customHeight="1">
      <c r="AK178" s="5"/>
      <c r="AL178" s="5"/>
    </row>
    <row r="179" ht="12.75" customHeight="1">
      <c r="AK179" s="5"/>
      <c r="AL179" s="5"/>
    </row>
    <row r="180" ht="12.75" customHeight="1">
      <c r="AK180" s="5"/>
      <c r="AL180" s="5"/>
    </row>
    <row r="181" ht="12.75" customHeight="1">
      <c r="AK181" s="5"/>
      <c r="AL181" s="5"/>
    </row>
    <row r="182" ht="12.75" customHeight="1">
      <c r="AK182" s="5"/>
      <c r="AL182" s="5"/>
    </row>
    <row r="183" ht="12.75" customHeight="1">
      <c r="AK183" s="5"/>
      <c r="AL183" s="5"/>
    </row>
    <row r="184" ht="12.75" customHeight="1">
      <c r="AK184" s="5"/>
      <c r="AL184" s="5"/>
    </row>
    <row r="185" ht="12.75" customHeight="1">
      <c r="AK185" s="5"/>
      <c r="AL185" s="5"/>
    </row>
    <row r="186" ht="12.75" customHeight="1">
      <c r="AK186" s="5"/>
      <c r="AL186" s="5"/>
    </row>
    <row r="187" ht="12.75" customHeight="1">
      <c r="AK187" s="1"/>
      <c r="AL187" s="1"/>
    </row>
    <row r="188" ht="12.75" customHeight="1"/>
    <row r="189" ht="12.75" customHeight="1">
      <c r="AK189" s="5"/>
      <c r="AL189" s="5"/>
    </row>
    <row r="190" ht="12.75" customHeight="1">
      <c r="AK190" s="5"/>
      <c r="AL190" s="5"/>
    </row>
    <row r="191" ht="12.75" customHeight="1">
      <c r="AK191" s="5"/>
      <c r="AL191" s="5"/>
    </row>
    <row r="192" ht="12.75" customHeight="1">
      <c r="AK192" s="5"/>
      <c r="AL192" s="5"/>
    </row>
    <row r="193" ht="12.75" customHeight="1">
      <c r="AK193" s="5"/>
      <c r="AL193" s="5"/>
    </row>
    <row r="194" ht="12.75" customHeight="1">
      <c r="AK194" s="5"/>
      <c r="AL194" s="5"/>
    </row>
    <row r="195" ht="12.75" customHeight="1">
      <c r="AK195" s="5"/>
      <c r="AL195" s="5"/>
    </row>
    <row r="196" ht="12.75" customHeight="1">
      <c r="AK196" s="1"/>
      <c r="AL196" s="1"/>
    </row>
    <row r="197" ht="12.75" customHeight="1">
      <c r="AK197" s="1"/>
      <c r="AL197" s="1"/>
    </row>
    <row r="198" ht="12.75" customHeight="1">
      <c r="AK198" s="1"/>
      <c r="AL198" s="1"/>
    </row>
    <row r="199" ht="12.75" customHeight="1">
      <c r="AK199" s="52"/>
      <c r="AL199" s="52"/>
    </row>
    <row r="200" ht="12.75" customHeight="1">
      <c r="AK200" s="5"/>
      <c r="AL200" s="5"/>
    </row>
    <row r="201" ht="12.75" customHeight="1">
      <c r="AK201" s="5"/>
      <c r="AL201" s="5"/>
    </row>
    <row r="202" ht="12.75" customHeight="1">
      <c r="AK202" s="5"/>
      <c r="AL202" s="5"/>
    </row>
    <row r="203" ht="12.75" customHeight="1">
      <c r="AK203" s="5"/>
      <c r="AL203" s="5"/>
    </row>
    <row r="204" ht="12.75" customHeight="1">
      <c r="AK204" s="5"/>
      <c r="AL204" s="5"/>
    </row>
    <row r="205" ht="12.75" customHeight="1">
      <c r="AK205" s="5"/>
      <c r="AL205" s="5"/>
    </row>
    <row r="206" ht="12.75" customHeight="1">
      <c r="AK206" s="5"/>
      <c r="AL206" s="5"/>
    </row>
    <row r="207" ht="12.75" customHeight="1">
      <c r="AK207" s="1"/>
      <c r="AL207" s="1"/>
    </row>
    <row r="208" ht="12.75" customHeight="1">
      <c r="AK208" s="52"/>
      <c r="AL208" s="52"/>
    </row>
    <row r="209" ht="12.75" customHeight="1">
      <c r="AK209" s="52"/>
      <c r="AL209" s="52"/>
    </row>
    <row r="210" ht="12.75" customHeight="1">
      <c r="AK210" s="52"/>
      <c r="AL210" s="52"/>
    </row>
    <row r="211" ht="12.75" customHeight="1">
      <c r="AK211" s="5"/>
      <c r="AL211" s="5"/>
    </row>
    <row r="212" ht="12.75" customHeight="1">
      <c r="AK212" s="5"/>
      <c r="AL212" s="5"/>
    </row>
    <row r="213" ht="12.75" customHeight="1">
      <c r="AK213" s="5"/>
      <c r="AL213" s="5"/>
    </row>
    <row r="214" ht="12.75" customHeight="1">
      <c r="AK214" s="5"/>
      <c r="AL214" s="5"/>
    </row>
    <row r="215" ht="12.75" customHeight="1">
      <c r="AK215" s="5"/>
      <c r="AL215" s="5"/>
    </row>
    <row r="216" ht="12.75" customHeight="1">
      <c r="AK216" s="5"/>
      <c r="AL216" s="5"/>
    </row>
    <row r="217" ht="12.75" customHeight="1">
      <c r="AK217" s="5"/>
      <c r="AL217" s="5"/>
    </row>
    <row r="218" ht="12.75" customHeight="1">
      <c r="AK218" s="1"/>
      <c r="AL218" s="1"/>
    </row>
    <row r="219" ht="12.75" customHeight="1">
      <c r="AK219" s="52"/>
      <c r="AL219" s="52"/>
    </row>
    <row r="220" ht="12.75" customHeight="1">
      <c r="AK220" s="5"/>
      <c r="AL220" s="5"/>
    </row>
    <row r="221" ht="12.75" customHeight="1">
      <c r="AK221" s="5"/>
      <c r="AL221" s="5"/>
    </row>
    <row r="222" ht="12.75" customHeight="1">
      <c r="AK222" s="5"/>
      <c r="AL222" s="5"/>
    </row>
    <row r="223" ht="12.75" customHeight="1">
      <c r="AK223" s="5"/>
      <c r="AL223" s="5"/>
    </row>
    <row r="224" ht="12.75" customHeight="1">
      <c r="AK224" s="5"/>
      <c r="AL224" s="5"/>
    </row>
    <row r="225" ht="12.75" customHeight="1">
      <c r="AK225" s="5"/>
      <c r="AL225" s="5"/>
    </row>
    <row r="226" ht="12.75" customHeight="1">
      <c r="AK226" s="5"/>
      <c r="AL226" s="5"/>
    </row>
    <row r="227" ht="12.75" customHeight="1">
      <c r="AK227" s="5"/>
      <c r="AL227" s="5"/>
    </row>
    <row r="228" ht="12.75" customHeight="1">
      <c r="AK228" s="5"/>
      <c r="AL228" s="5"/>
    </row>
    <row r="229" ht="12.75" customHeight="1">
      <c r="AK229" s="1"/>
      <c r="AL229" s="1"/>
    </row>
    <row r="230" ht="12.75" customHeight="1">
      <c r="AK230" s="52"/>
      <c r="AL230" s="52"/>
    </row>
    <row r="231" ht="12.75" customHeight="1">
      <c r="AK231" s="5"/>
      <c r="AL231" s="5"/>
    </row>
    <row r="232" ht="12.75" customHeight="1">
      <c r="AK232" s="5"/>
      <c r="AL232" s="5"/>
    </row>
    <row r="233" ht="12.75" customHeight="1">
      <c r="AK233" s="5"/>
      <c r="AL233" s="5"/>
    </row>
    <row r="234" ht="12.75" customHeight="1">
      <c r="AK234" s="5"/>
      <c r="AL234" s="5"/>
    </row>
    <row r="235" ht="12.75" customHeight="1">
      <c r="AK235" s="5"/>
      <c r="AL235" s="5"/>
    </row>
    <row r="236" ht="12.75" customHeight="1">
      <c r="AK236" s="5"/>
      <c r="AL236" s="5"/>
    </row>
    <row r="237" ht="12.75" customHeight="1">
      <c r="AK237" s="5"/>
      <c r="AL237" s="5"/>
    </row>
    <row r="238" ht="12.75" customHeight="1">
      <c r="AK238" s="5"/>
      <c r="AL238" s="5"/>
    </row>
    <row r="239" ht="12.75" customHeight="1">
      <c r="AK239" s="5"/>
      <c r="AL239" s="5"/>
    </row>
    <row r="240" ht="12.75" customHeight="1">
      <c r="AK240" s="1"/>
      <c r="AL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I12"/>
    <mergeCell ref="AJ12:AJ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I15">
    <cfRule type="containsBlanks" dxfId="1" priority="1">
      <formula>LEN(TRIM(E14))=0</formula>
    </cfRule>
  </conditionalFormatting>
  <conditionalFormatting sqref="E19:AI20">
    <cfRule type="containsBlanks" dxfId="1" priority="2">
      <formula>LEN(TRIM(E19))=0</formula>
    </cfRule>
  </conditionalFormatting>
  <conditionalFormatting sqref="E22:AI23 E25:AI26 E33:AI33 E35:AI35 E39:AI40">
    <cfRule type="containsBlanks" dxfId="1" priority="3">
      <formula>LEN(TRIM(E22))=0</formula>
    </cfRule>
  </conditionalFormatting>
  <conditionalFormatting sqref="E30:AI30">
    <cfRule type="expression" dxfId="0" priority="4">
      <formula>E30&lt;&gt;E47</formula>
    </cfRule>
  </conditionalFormatting>
  <conditionalFormatting sqref="E30:AI30">
    <cfRule type="expression" dxfId="0" priority="5">
      <formula>E30&lt;&gt;E34</formula>
    </cfRule>
  </conditionalFormatting>
  <conditionalFormatting sqref="E34:AI34">
    <cfRule type="expression" dxfId="2" priority="6">
      <formula>E30&lt;&gt;E34</formula>
    </cfRule>
  </conditionalFormatting>
  <conditionalFormatting sqref="E34:AI34">
    <cfRule type="expression" dxfId="3" priority="7">
      <formula>E30=E34</formula>
    </cfRule>
  </conditionalFormatting>
  <conditionalFormatting sqref="E34:AI34">
    <cfRule type="expression" dxfId="0" priority="8">
      <formula>E34&lt;&gt;E30</formula>
    </cfRule>
  </conditionalFormatting>
  <conditionalFormatting sqref="E34:AI34">
    <cfRule type="expression" dxfId="0" priority="9">
      <formula>E34&lt;&gt;#REF!</formula>
    </cfRule>
  </conditionalFormatting>
  <conditionalFormatting sqref="E45:AI47">
    <cfRule type="containsBlanks" dxfId="1" priority="10">
      <formula>LEN(TRIM(E45))=0</formula>
    </cfRule>
  </conditionalFormatting>
  <conditionalFormatting sqref="E50:AI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7" width="8.71"/>
    <col customWidth="1" min="28" max="28" width="13.29"/>
    <col customWidth="1" min="29" max="3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37"/>
    </row>
    <row r="14" ht="12.75" customHeight="1">
      <c r="A14" s="18"/>
      <c r="B14" s="22" t="s">
        <v>11</v>
      </c>
      <c r="C14" s="23"/>
      <c r="D14" s="19" t="s">
        <v>12</v>
      </c>
      <c r="E14" s="19">
        <v>126.0</v>
      </c>
      <c r="F14" s="19">
        <v>129.0</v>
      </c>
      <c r="G14" s="19">
        <v>134.0</v>
      </c>
      <c r="H14" s="19">
        <v>125.0</v>
      </c>
      <c r="I14" s="19">
        <v>79.0</v>
      </c>
      <c r="J14" s="19">
        <v>90.0</v>
      </c>
      <c r="K14" s="19">
        <v>102.0</v>
      </c>
      <c r="L14" s="19">
        <v>83.0</v>
      </c>
      <c r="M14" s="19">
        <v>154.0</v>
      </c>
      <c r="N14" s="19">
        <v>128.0</v>
      </c>
      <c r="O14" s="19">
        <v>152.0</v>
      </c>
      <c r="P14" s="19">
        <v>134.0</v>
      </c>
      <c r="Q14" s="19">
        <v>146.0</v>
      </c>
      <c r="R14" s="19">
        <v>144.0</v>
      </c>
      <c r="S14" s="19">
        <v>137.0</v>
      </c>
      <c r="T14" s="19">
        <v>130.0</v>
      </c>
      <c r="U14" s="19">
        <v>143.0</v>
      </c>
      <c r="V14" s="19">
        <v>131.0</v>
      </c>
      <c r="W14" s="19">
        <v>124.0</v>
      </c>
      <c r="X14" s="19">
        <v>143.0</v>
      </c>
      <c r="Y14" s="19">
        <v>134.0</v>
      </c>
      <c r="Z14" s="19">
        <v>117.0</v>
      </c>
      <c r="AA14" s="19">
        <v>86.0</v>
      </c>
      <c r="AB14" s="13">
        <f t="shared" ref="AB14:AB16" si="1">SUM(E14:AA14)</f>
        <v>2871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119.0</v>
      </c>
      <c r="G15" s="19">
        <v>158.0</v>
      </c>
      <c r="H15" s="19">
        <v>130.0</v>
      </c>
      <c r="I15" s="19">
        <v>81.0</v>
      </c>
      <c r="J15" s="19">
        <v>80.0</v>
      </c>
      <c r="K15" s="19">
        <v>96.0</v>
      </c>
      <c r="L15" s="19">
        <v>86.0</v>
      </c>
      <c r="M15" s="19">
        <v>146.0</v>
      </c>
      <c r="N15" s="19">
        <v>122.0</v>
      </c>
      <c r="O15" s="19">
        <v>141.0</v>
      </c>
      <c r="P15" s="19">
        <v>144.0</v>
      </c>
      <c r="Q15" s="19">
        <v>133.0</v>
      </c>
      <c r="R15" s="19">
        <v>148.0</v>
      </c>
      <c r="S15" s="19">
        <v>137.0</v>
      </c>
      <c r="T15" s="19">
        <v>143.0</v>
      </c>
      <c r="U15" s="19">
        <v>155.0</v>
      </c>
      <c r="V15" s="19">
        <v>130.0</v>
      </c>
      <c r="W15" s="19">
        <v>144.0</v>
      </c>
      <c r="X15" s="19">
        <v>146.0</v>
      </c>
      <c r="Y15" s="19">
        <v>124.0</v>
      </c>
      <c r="Z15" s="19">
        <v>113.0</v>
      </c>
      <c r="AA15" s="19">
        <v>80.0</v>
      </c>
      <c r="AB15" s="13">
        <f t="shared" si="1"/>
        <v>2879</v>
      </c>
    </row>
    <row r="16" ht="12.75" customHeight="1">
      <c r="A16" s="25"/>
      <c r="B16" s="21"/>
      <c r="C16" s="28"/>
      <c r="D16" s="13" t="s">
        <v>14</v>
      </c>
      <c r="E16" s="13">
        <f t="shared" ref="E16:AA16" si="2">SUM(E14:E15)</f>
        <v>249</v>
      </c>
      <c r="F16" s="13">
        <f t="shared" si="2"/>
        <v>248</v>
      </c>
      <c r="G16" s="13">
        <f t="shared" si="2"/>
        <v>292</v>
      </c>
      <c r="H16" s="13">
        <f t="shared" si="2"/>
        <v>255</v>
      </c>
      <c r="I16" s="13">
        <f t="shared" si="2"/>
        <v>160</v>
      </c>
      <c r="J16" s="13">
        <f t="shared" si="2"/>
        <v>170</v>
      </c>
      <c r="K16" s="13">
        <f t="shared" si="2"/>
        <v>198</v>
      </c>
      <c r="L16" s="13">
        <f t="shared" si="2"/>
        <v>169</v>
      </c>
      <c r="M16" s="13">
        <f t="shared" si="2"/>
        <v>300</v>
      </c>
      <c r="N16" s="13">
        <f t="shared" si="2"/>
        <v>250</v>
      </c>
      <c r="O16" s="13">
        <f t="shared" si="2"/>
        <v>293</v>
      </c>
      <c r="P16" s="13">
        <f t="shared" si="2"/>
        <v>278</v>
      </c>
      <c r="Q16" s="13">
        <f t="shared" si="2"/>
        <v>279</v>
      </c>
      <c r="R16" s="13">
        <f t="shared" si="2"/>
        <v>292</v>
      </c>
      <c r="S16" s="13">
        <f t="shared" si="2"/>
        <v>274</v>
      </c>
      <c r="T16" s="13">
        <f t="shared" si="2"/>
        <v>273</v>
      </c>
      <c r="U16" s="13">
        <f t="shared" si="2"/>
        <v>298</v>
      </c>
      <c r="V16" s="13">
        <f t="shared" si="2"/>
        <v>261</v>
      </c>
      <c r="W16" s="13">
        <f t="shared" si="2"/>
        <v>268</v>
      </c>
      <c r="X16" s="13">
        <f t="shared" si="2"/>
        <v>289</v>
      </c>
      <c r="Y16" s="13">
        <f t="shared" si="2"/>
        <v>258</v>
      </c>
      <c r="Z16" s="13">
        <f t="shared" si="2"/>
        <v>230</v>
      </c>
      <c r="AA16" s="13">
        <f t="shared" si="2"/>
        <v>166</v>
      </c>
      <c r="AB16" s="13">
        <f t="shared" si="1"/>
        <v>5750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3"/>
      <c r="O17" s="19"/>
      <c r="P17" s="19"/>
      <c r="Q17" s="19"/>
      <c r="R17" s="19"/>
      <c r="S17" s="63"/>
      <c r="T17" s="19"/>
      <c r="U17" s="19"/>
      <c r="V17" s="19"/>
      <c r="W17" s="19"/>
      <c r="X17" s="63"/>
      <c r="Y17" s="19"/>
      <c r="Z17" s="19"/>
      <c r="AA17" s="19"/>
      <c r="AB17" s="64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3"/>
      <c r="O18" s="19"/>
      <c r="P18" s="19"/>
      <c r="Q18" s="19"/>
      <c r="R18" s="19"/>
      <c r="S18" s="63"/>
      <c r="T18" s="19"/>
      <c r="U18" s="19"/>
      <c r="V18" s="19"/>
      <c r="W18" s="19"/>
      <c r="X18" s="63"/>
      <c r="Y18" s="19"/>
      <c r="Z18" s="19"/>
      <c r="AA18" s="19"/>
      <c r="AB18" s="64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81.0</v>
      </c>
      <c r="F19" s="19">
        <v>83.0</v>
      </c>
      <c r="G19" s="19">
        <v>103.0</v>
      </c>
      <c r="H19" s="19">
        <v>97.0</v>
      </c>
      <c r="I19" s="19">
        <v>59.0</v>
      </c>
      <c r="J19" s="19">
        <v>71.0</v>
      </c>
      <c r="K19" s="19">
        <v>74.0</v>
      </c>
      <c r="L19" s="19">
        <v>61.0</v>
      </c>
      <c r="M19" s="19">
        <v>112.0</v>
      </c>
      <c r="N19" s="19">
        <v>98.0</v>
      </c>
      <c r="O19" s="19">
        <v>109.0</v>
      </c>
      <c r="P19" s="19">
        <v>105.0</v>
      </c>
      <c r="Q19" s="19">
        <v>95.0</v>
      </c>
      <c r="R19" s="19">
        <v>105.0</v>
      </c>
      <c r="S19" s="19">
        <v>88.0</v>
      </c>
      <c r="T19" s="19">
        <v>96.0</v>
      </c>
      <c r="U19" s="19">
        <v>116.0</v>
      </c>
      <c r="V19" s="19">
        <v>90.0</v>
      </c>
      <c r="W19" s="19">
        <v>93.0</v>
      </c>
      <c r="X19" s="19">
        <v>93.0</v>
      </c>
      <c r="Y19" s="19">
        <v>103.0</v>
      </c>
      <c r="Z19" s="19">
        <v>63.0</v>
      </c>
      <c r="AA19" s="19">
        <v>59.0</v>
      </c>
      <c r="AB19" s="13">
        <f t="shared" ref="AB19:AB30" si="3">SUM(E19:AA19)</f>
        <v>2054</v>
      </c>
    </row>
    <row r="20" ht="12.75" customHeight="1">
      <c r="A20" s="34"/>
      <c r="B20" s="27"/>
      <c r="C20" s="35"/>
      <c r="D20" s="19" t="s">
        <v>13</v>
      </c>
      <c r="E20" s="19">
        <v>91.0</v>
      </c>
      <c r="F20" s="19">
        <v>105.0</v>
      </c>
      <c r="G20" s="19">
        <v>131.0</v>
      </c>
      <c r="H20" s="19">
        <v>98.0</v>
      </c>
      <c r="I20" s="19">
        <v>62.0</v>
      </c>
      <c r="J20" s="19">
        <v>63.0</v>
      </c>
      <c r="K20" s="19">
        <v>67.0</v>
      </c>
      <c r="L20" s="19">
        <v>64.0</v>
      </c>
      <c r="M20" s="19">
        <v>117.0</v>
      </c>
      <c r="N20" s="19">
        <v>89.0</v>
      </c>
      <c r="O20" s="19">
        <v>119.0</v>
      </c>
      <c r="P20" s="19">
        <v>109.0</v>
      </c>
      <c r="Q20" s="19">
        <v>106.0</v>
      </c>
      <c r="R20" s="19">
        <v>117.0</v>
      </c>
      <c r="S20" s="19">
        <v>99.0</v>
      </c>
      <c r="T20" s="19">
        <v>114.0</v>
      </c>
      <c r="U20" s="19">
        <v>124.0</v>
      </c>
      <c r="V20" s="19">
        <v>100.0</v>
      </c>
      <c r="W20" s="19">
        <v>108.0</v>
      </c>
      <c r="X20" s="19">
        <v>126.0</v>
      </c>
      <c r="Y20" s="19">
        <v>91.0</v>
      </c>
      <c r="Z20" s="19">
        <v>79.0</v>
      </c>
      <c r="AA20" s="19">
        <v>61.0</v>
      </c>
      <c r="AB20" s="13">
        <f t="shared" si="3"/>
        <v>2240</v>
      </c>
    </row>
    <row r="21" ht="12.75" customHeight="1">
      <c r="A21" s="36"/>
      <c r="B21" s="28"/>
      <c r="C21" s="37"/>
      <c r="D21" s="13" t="s">
        <v>14</v>
      </c>
      <c r="E21" s="13">
        <f t="shared" ref="E21:AA21" si="4">SUM(E19:E20)</f>
        <v>172</v>
      </c>
      <c r="F21" s="13">
        <f t="shared" si="4"/>
        <v>188</v>
      </c>
      <c r="G21" s="13">
        <f t="shared" si="4"/>
        <v>234</v>
      </c>
      <c r="H21" s="13">
        <f t="shared" si="4"/>
        <v>195</v>
      </c>
      <c r="I21" s="13">
        <f t="shared" si="4"/>
        <v>121</v>
      </c>
      <c r="J21" s="13">
        <f t="shared" si="4"/>
        <v>134</v>
      </c>
      <c r="K21" s="13">
        <f t="shared" si="4"/>
        <v>141</v>
      </c>
      <c r="L21" s="13">
        <f t="shared" si="4"/>
        <v>125</v>
      </c>
      <c r="M21" s="13">
        <f t="shared" si="4"/>
        <v>229</v>
      </c>
      <c r="N21" s="13">
        <f t="shared" si="4"/>
        <v>187</v>
      </c>
      <c r="O21" s="13">
        <f t="shared" si="4"/>
        <v>228</v>
      </c>
      <c r="P21" s="13">
        <f t="shared" si="4"/>
        <v>214</v>
      </c>
      <c r="Q21" s="13">
        <f t="shared" si="4"/>
        <v>201</v>
      </c>
      <c r="R21" s="13">
        <f t="shared" si="4"/>
        <v>222</v>
      </c>
      <c r="S21" s="13">
        <f t="shared" si="4"/>
        <v>187</v>
      </c>
      <c r="T21" s="13">
        <f t="shared" si="4"/>
        <v>210</v>
      </c>
      <c r="U21" s="13">
        <f t="shared" si="4"/>
        <v>240</v>
      </c>
      <c r="V21" s="13">
        <f t="shared" si="4"/>
        <v>190</v>
      </c>
      <c r="W21" s="13">
        <f t="shared" si="4"/>
        <v>201</v>
      </c>
      <c r="X21" s="13">
        <f t="shared" si="4"/>
        <v>219</v>
      </c>
      <c r="Y21" s="13">
        <f t="shared" si="4"/>
        <v>194</v>
      </c>
      <c r="Z21" s="13">
        <f t="shared" si="4"/>
        <v>142</v>
      </c>
      <c r="AA21" s="13">
        <f t="shared" si="4"/>
        <v>120</v>
      </c>
      <c r="AB21" s="13">
        <f t="shared" si="3"/>
        <v>4294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>
        <v>1.0</v>
      </c>
      <c r="G22" s="19"/>
      <c r="H22" s="19"/>
      <c r="I22" s="19">
        <v>2.0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>
        <v>1.0</v>
      </c>
      <c r="J23" s="19"/>
      <c r="K23" s="19"/>
      <c r="L23" s="19"/>
      <c r="M23" s="19"/>
      <c r="N23" s="19"/>
      <c r="O23" s="19"/>
      <c r="P23" s="19">
        <v>1.0</v>
      </c>
      <c r="Q23" s="19">
        <v>1.0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AA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3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/>
      <c r="G25" s="19"/>
      <c r="H25" s="19">
        <v>1.0</v>
      </c>
      <c r="I25" s="19"/>
      <c r="J25" s="19">
        <v>1.0</v>
      </c>
      <c r="K25" s="19"/>
      <c r="L25" s="19"/>
      <c r="M25" s="19"/>
      <c r="N25" s="19"/>
      <c r="O25" s="19"/>
      <c r="P25" s="19">
        <v>2.0</v>
      </c>
      <c r="Q25" s="19">
        <v>2.0</v>
      </c>
      <c r="R25" s="19"/>
      <c r="S25" s="19"/>
      <c r="T25" s="19"/>
      <c r="U25" s="19"/>
      <c r="V25" s="19">
        <v>2.0</v>
      </c>
      <c r="W25" s="19"/>
      <c r="X25" s="19">
        <v>4.0</v>
      </c>
      <c r="Y25" s="19">
        <v>1.0</v>
      </c>
      <c r="Z25" s="19"/>
      <c r="AA25" s="19"/>
      <c r="AB25" s="13">
        <f t="shared" si="3"/>
        <v>13</v>
      </c>
    </row>
    <row r="26" ht="12.75" customHeight="1">
      <c r="A26" s="34"/>
      <c r="B26" s="27"/>
      <c r="C26" s="35"/>
      <c r="D26" s="19" t="s">
        <v>13</v>
      </c>
      <c r="E26" s="19">
        <v>3.0</v>
      </c>
      <c r="F26" s="19">
        <v>1.0</v>
      </c>
      <c r="G26" s="19">
        <v>1.0</v>
      </c>
      <c r="H26" s="19">
        <v>1.0</v>
      </c>
      <c r="I26" s="19"/>
      <c r="J26" s="19">
        <v>3.0</v>
      </c>
      <c r="K26" s="19">
        <v>3.0</v>
      </c>
      <c r="L26" s="19">
        <v>1.0</v>
      </c>
      <c r="M26" s="19"/>
      <c r="N26" s="19">
        <v>1.0</v>
      </c>
      <c r="O26" s="19"/>
      <c r="P26" s="19">
        <v>2.0</v>
      </c>
      <c r="Q26" s="19"/>
      <c r="R26" s="19"/>
      <c r="S26" s="19"/>
      <c r="T26" s="19">
        <v>1.0</v>
      </c>
      <c r="U26" s="19">
        <v>1.0</v>
      </c>
      <c r="V26" s="19">
        <v>2.0</v>
      </c>
      <c r="W26" s="19">
        <v>1.0</v>
      </c>
      <c r="X26" s="19">
        <v>3.0</v>
      </c>
      <c r="Y26" s="19">
        <v>4.0</v>
      </c>
      <c r="Z26" s="19"/>
      <c r="AA26" s="19">
        <v>1.0</v>
      </c>
      <c r="AB26" s="13">
        <f t="shared" si="3"/>
        <v>29</v>
      </c>
    </row>
    <row r="27" ht="12.75" customHeight="1">
      <c r="A27" s="36"/>
      <c r="B27" s="28"/>
      <c r="C27" s="37"/>
      <c r="D27" s="13" t="s">
        <v>14</v>
      </c>
      <c r="E27" s="13">
        <f t="shared" ref="E27:AA27" si="6">SUM(E25:E26)</f>
        <v>3</v>
      </c>
      <c r="F27" s="13">
        <f t="shared" si="6"/>
        <v>1</v>
      </c>
      <c r="G27" s="13">
        <f t="shared" si="6"/>
        <v>1</v>
      </c>
      <c r="H27" s="13">
        <f t="shared" si="6"/>
        <v>2</v>
      </c>
      <c r="I27" s="13">
        <f t="shared" si="6"/>
        <v>0</v>
      </c>
      <c r="J27" s="13">
        <f t="shared" si="6"/>
        <v>4</v>
      </c>
      <c r="K27" s="13">
        <f t="shared" si="6"/>
        <v>3</v>
      </c>
      <c r="L27" s="13">
        <f t="shared" si="6"/>
        <v>1</v>
      </c>
      <c r="M27" s="13">
        <f t="shared" si="6"/>
        <v>0</v>
      </c>
      <c r="N27" s="13">
        <f t="shared" si="6"/>
        <v>1</v>
      </c>
      <c r="O27" s="13">
        <f t="shared" si="6"/>
        <v>0</v>
      </c>
      <c r="P27" s="13">
        <f t="shared" si="6"/>
        <v>4</v>
      </c>
      <c r="Q27" s="13">
        <f t="shared" si="6"/>
        <v>2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1</v>
      </c>
      <c r="V27" s="13">
        <f t="shared" si="6"/>
        <v>4</v>
      </c>
      <c r="W27" s="13">
        <f t="shared" si="6"/>
        <v>1</v>
      </c>
      <c r="X27" s="13">
        <f t="shared" si="6"/>
        <v>7</v>
      </c>
      <c r="Y27" s="13">
        <f t="shared" si="6"/>
        <v>5</v>
      </c>
      <c r="Z27" s="13">
        <f t="shared" si="6"/>
        <v>0</v>
      </c>
      <c r="AA27" s="13">
        <f t="shared" si="6"/>
        <v>1</v>
      </c>
      <c r="AB27" s="13">
        <f t="shared" si="3"/>
        <v>42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A28" si="7">SUM(E19,E22,E25)</f>
        <v>81</v>
      </c>
      <c r="F28" s="13">
        <f t="shared" si="7"/>
        <v>84</v>
      </c>
      <c r="G28" s="13">
        <f t="shared" si="7"/>
        <v>103</v>
      </c>
      <c r="H28" s="13">
        <f t="shared" si="7"/>
        <v>98</v>
      </c>
      <c r="I28" s="13">
        <f t="shared" si="7"/>
        <v>61</v>
      </c>
      <c r="J28" s="13">
        <f t="shared" si="7"/>
        <v>72</v>
      </c>
      <c r="K28" s="13">
        <f t="shared" si="7"/>
        <v>74</v>
      </c>
      <c r="L28" s="13">
        <f t="shared" si="7"/>
        <v>61</v>
      </c>
      <c r="M28" s="13">
        <f t="shared" si="7"/>
        <v>112</v>
      </c>
      <c r="N28" s="13">
        <f t="shared" si="7"/>
        <v>98</v>
      </c>
      <c r="O28" s="13">
        <f t="shared" si="7"/>
        <v>109</v>
      </c>
      <c r="P28" s="13">
        <f t="shared" si="7"/>
        <v>107</v>
      </c>
      <c r="Q28" s="13">
        <f t="shared" si="7"/>
        <v>97</v>
      </c>
      <c r="R28" s="13">
        <f t="shared" si="7"/>
        <v>105</v>
      </c>
      <c r="S28" s="13">
        <f t="shared" si="7"/>
        <v>88</v>
      </c>
      <c r="T28" s="13">
        <f t="shared" si="7"/>
        <v>96</v>
      </c>
      <c r="U28" s="13">
        <f t="shared" si="7"/>
        <v>116</v>
      </c>
      <c r="V28" s="13">
        <f t="shared" si="7"/>
        <v>92</v>
      </c>
      <c r="W28" s="13">
        <f t="shared" si="7"/>
        <v>93</v>
      </c>
      <c r="X28" s="13">
        <f t="shared" si="7"/>
        <v>97</v>
      </c>
      <c r="Y28" s="13">
        <f t="shared" si="7"/>
        <v>104</v>
      </c>
      <c r="Z28" s="13">
        <f t="shared" si="7"/>
        <v>63</v>
      </c>
      <c r="AA28" s="13">
        <f t="shared" si="7"/>
        <v>59</v>
      </c>
      <c r="AB28" s="13">
        <f t="shared" si="3"/>
        <v>2070</v>
      </c>
    </row>
    <row r="29" ht="12.75" customHeight="1">
      <c r="A29" s="36"/>
      <c r="B29" s="27"/>
      <c r="C29" s="35"/>
      <c r="D29" s="13" t="s">
        <v>13</v>
      </c>
      <c r="E29" s="13">
        <f t="shared" ref="E29:AA29" si="8">SUM(E20,E23,E26)</f>
        <v>94</v>
      </c>
      <c r="F29" s="13">
        <f t="shared" si="8"/>
        <v>106</v>
      </c>
      <c r="G29" s="13">
        <f t="shared" si="8"/>
        <v>132</v>
      </c>
      <c r="H29" s="13">
        <f t="shared" si="8"/>
        <v>99</v>
      </c>
      <c r="I29" s="13">
        <f t="shared" si="8"/>
        <v>63</v>
      </c>
      <c r="J29" s="13">
        <f t="shared" si="8"/>
        <v>66</v>
      </c>
      <c r="K29" s="13">
        <f t="shared" si="8"/>
        <v>70</v>
      </c>
      <c r="L29" s="13">
        <f t="shared" si="8"/>
        <v>65</v>
      </c>
      <c r="M29" s="13">
        <f t="shared" si="8"/>
        <v>117</v>
      </c>
      <c r="N29" s="13">
        <f t="shared" si="8"/>
        <v>90</v>
      </c>
      <c r="O29" s="13">
        <f t="shared" si="8"/>
        <v>119</v>
      </c>
      <c r="P29" s="13">
        <f t="shared" si="8"/>
        <v>112</v>
      </c>
      <c r="Q29" s="13">
        <f t="shared" si="8"/>
        <v>107</v>
      </c>
      <c r="R29" s="13">
        <f t="shared" si="8"/>
        <v>117</v>
      </c>
      <c r="S29" s="13">
        <f t="shared" si="8"/>
        <v>99</v>
      </c>
      <c r="T29" s="13">
        <f t="shared" si="8"/>
        <v>115</v>
      </c>
      <c r="U29" s="13">
        <f t="shared" si="8"/>
        <v>125</v>
      </c>
      <c r="V29" s="13">
        <f t="shared" si="8"/>
        <v>102</v>
      </c>
      <c r="W29" s="13">
        <f t="shared" si="8"/>
        <v>109</v>
      </c>
      <c r="X29" s="13">
        <f t="shared" si="8"/>
        <v>129</v>
      </c>
      <c r="Y29" s="13">
        <f t="shared" si="8"/>
        <v>95</v>
      </c>
      <c r="Z29" s="13">
        <f t="shared" si="8"/>
        <v>79</v>
      </c>
      <c r="AA29" s="13">
        <f t="shared" si="8"/>
        <v>62</v>
      </c>
      <c r="AB29" s="13">
        <f t="shared" si="3"/>
        <v>2272</v>
      </c>
    </row>
    <row r="30" ht="12.75" customHeight="1">
      <c r="A30" s="36"/>
      <c r="B30" s="28"/>
      <c r="C30" s="37"/>
      <c r="D30" s="13" t="s">
        <v>14</v>
      </c>
      <c r="E30" s="13">
        <f t="shared" ref="E30:AA30" si="9">SUM(E28:E29)</f>
        <v>175</v>
      </c>
      <c r="F30" s="13">
        <f t="shared" si="9"/>
        <v>190</v>
      </c>
      <c r="G30" s="13">
        <f t="shared" si="9"/>
        <v>235</v>
      </c>
      <c r="H30" s="13">
        <f t="shared" si="9"/>
        <v>197</v>
      </c>
      <c r="I30" s="13">
        <f t="shared" si="9"/>
        <v>124</v>
      </c>
      <c r="J30" s="13">
        <f t="shared" si="9"/>
        <v>138</v>
      </c>
      <c r="K30" s="13">
        <f t="shared" si="9"/>
        <v>144</v>
      </c>
      <c r="L30" s="13">
        <f t="shared" si="9"/>
        <v>126</v>
      </c>
      <c r="M30" s="13">
        <f t="shared" si="9"/>
        <v>229</v>
      </c>
      <c r="N30" s="13">
        <f t="shared" si="9"/>
        <v>188</v>
      </c>
      <c r="O30" s="13">
        <f t="shared" si="9"/>
        <v>228</v>
      </c>
      <c r="P30" s="13">
        <f t="shared" si="9"/>
        <v>219</v>
      </c>
      <c r="Q30" s="13">
        <f t="shared" si="9"/>
        <v>204</v>
      </c>
      <c r="R30" s="13">
        <f t="shared" si="9"/>
        <v>222</v>
      </c>
      <c r="S30" s="13">
        <f t="shared" si="9"/>
        <v>187</v>
      </c>
      <c r="T30" s="13">
        <f t="shared" si="9"/>
        <v>211</v>
      </c>
      <c r="U30" s="13">
        <f t="shared" si="9"/>
        <v>241</v>
      </c>
      <c r="V30" s="13">
        <f t="shared" si="9"/>
        <v>194</v>
      </c>
      <c r="W30" s="13">
        <f t="shared" si="9"/>
        <v>202</v>
      </c>
      <c r="X30" s="13">
        <f t="shared" si="9"/>
        <v>226</v>
      </c>
      <c r="Y30" s="13">
        <f t="shared" si="9"/>
        <v>199</v>
      </c>
      <c r="Z30" s="13">
        <f t="shared" si="9"/>
        <v>142</v>
      </c>
      <c r="AA30" s="13">
        <f t="shared" si="9"/>
        <v>121</v>
      </c>
      <c r="AB30" s="13">
        <f t="shared" si="3"/>
        <v>4342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3"/>
      <c r="O31" s="19"/>
      <c r="P31" s="19"/>
      <c r="Q31" s="19"/>
      <c r="R31" s="19"/>
      <c r="S31" s="63"/>
      <c r="T31" s="19"/>
      <c r="U31" s="19"/>
      <c r="V31" s="19"/>
      <c r="W31" s="19"/>
      <c r="X31" s="63"/>
      <c r="Y31" s="19"/>
      <c r="Z31" s="19"/>
      <c r="AA31" s="19"/>
      <c r="AB31" s="64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5"/>
      <c r="O32" s="13"/>
      <c r="P32" s="13"/>
      <c r="Q32" s="13"/>
      <c r="R32" s="13"/>
      <c r="S32" s="65"/>
      <c r="T32" s="13"/>
      <c r="U32" s="13"/>
      <c r="V32" s="13"/>
      <c r="W32" s="13"/>
      <c r="X32" s="65"/>
      <c r="Y32" s="13"/>
      <c r="Z32" s="13"/>
      <c r="AA32" s="13"/>
      <c r="AB32" s="64"/>
    </row>
    <row r="33" ht="12.75" customHeight="1">
      <c r="A33" s="19">
        <v>1.0</v>
      </c>
      <c r="B33" s="20" t="s">
        <v>27</v>
      </c>
      <c r="C33" s="15"/>
      <c r="D33" s="16"/>
      <c r="E33" s="19">
        <v>255.0</v>
      </c>
      <c r="F33" s="19">
        <v>253.0</v>
      </c>
      <c r="G33" s="19">
        <v>298.0</v>
      </c>
      <c r="H33" s="19">
        <v>257.0</v>
      </c>
      <c r="I33" s="19">
        <v>164.0</v>
      </c>
      <c r="J33" s="19">
        <v>176.0</v>
      </c>
      <c r="K33" s="19">
        <v>203.0</v>
      </c>
      <c r="L33" s="19">
        <v>173.0</v>
      </c>
      <c r="M33" s="19">
        <v>302.0</v>
      </c>
      <c r="N33" s="19">
        <v>251.0</v>
      </c>
      <c r="O33" s="19">
        <v>299.0</v>
      </c>
      <c r="P33" s="19">
        <v>284.0</v>
      </c>
      <c r="Q33" s="19">
        <v>286.0</v>
      </c>
      <c r="R33" s="19">
        <v>298.0</v>
      </c>
      <c r="S33" s="19">
        <v>280.0</v>
      </c>
      <c r="T33" s="19">
        <v>275.0</v>
      </c>
      <c r="U33" s="19">
        <v>305.0</v>
      </c>
      <c r="V33" s="19">
        <v>268.0</v>
      </c>
      <c r="W33" s="19">
        <v>274.0</v>
      </c>
      <c r="X33" s="19">
        <v>293.0</v>
      </c>
      <c r="Y33" s="19">
        <v>268.0</v>
      </c>
      <c r="Z33" s="19">
        <v>235.0</v>
      </c>
      <c r="AA33" s="19">
        <v>172.0</v>
      </c>
      <c r="AB33" s="13">
        <f t="shared" ref="AB33:AB36" si="10">SUM(E33:AA33)</f>
        <v>5869</v>
      </c>
    </row>
    <row r="34" ht="12.75" customHeight="1">
      <c r="A34" s="19">
        <v>2.0</v>
      </c>
      <c r="B34" s="20" t="s">
        <v>28</v>
      </c>
      <c r="C34" s="15"/>
      <c r="D34" s="16"/>
      <c r="E34" s="13">
        <v>175.0</v>
      </c>
      <c r="F34" s="13">
        <v>190.0</v>
      </c>
      <c r="G34" s="13">
        <v>235.0</v>
      </c>
      <c r="H34" s="13">
        <v>197.0</v>
      </c>
      <c r="I34" s="13">
        <v>124.0</v>
      </c>
      <c r="J34" s="13">
        <v>138.0</v>
      </c>
      <c r="K34" s="13">
        <v>144.0</v>
      </c>
      <c r="L34" s="13">
        <v>126.0</v>
      </c>
      <c r="M34" s="13">
        <v>229.0</v>
      </c>
      <c r="N34" s="13">
        <v>188.0</v>
      </c>
      <c r="O34" s="13">
        <v>228.0</v>
      </c>
      <c r="P34" s="13">
        <v>219.0</v>
      </c>
      <c r="Q34" s="13">
        <v>204.0</v>
      </c>
      <c r="R34" s="13">
        <v>222.0</v>
      </c>
      <c r="S34" s="13">
        <v>187.0</v>
      </c>
      <c r="T34" s="13">
        <v>211.0</v>
      </c>
      <c r="U34" s="13">
        <v>241.0</v>
      </c>
      <c r="V34" s="13">
        <v>194.0</v>
      </c>
      <c r="W34" s="13">
        <v>202.0</v>
      </c>
      <c r="X34" s="13">
        <v>226.0</v>
      </c>
      <c r="Y34" s="13">
        <v>199.0</v>
      </c>
      <c r="Z34" s="13">
        <v>142.0</v>
      </c>
      <c r="AA34" s="13">
        <v>121.0</v>
      </c>
      <c r="AB34" s="13">
        <f t="shared" si="10"/>
        <v>4342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>
        <v>1.0</v>
      </c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>
        <v>2.0</v>
      </c>
      <c r="Z35" s="19"/>
      <c r="AA35" s="19"/>
      <c r="AB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A36" si="11">E33-(E34+E35)</f>
        <v>80</v>
      </c>
      <c r="F36" s="13">
        <f t="shared" si="11"/>
        <v>63</v>
      </c>
      <c r="G36" s="13">
        <f t="shared" si="11"/>
        <v>63</v>
      </c>
      <c r="H36" s="13">
        <f t="shared" si="11"/>
        <v>60</v>
      </c>
      <c r="I36" s="13">
        <f t="shared" si="11"/>
        <v>40</v>
      </c>
      <c r="J36" s="13">
        <f t="shared" si="11"/>
        <v>38</v>
      </c>
      <c r="K36" s="13">
        <f t="shared" si="11"/>
        <v>59</v>
      </c>
      <c r="L36" s="13">
        <f t="shared" si="11"/>
        <v>47</v>
      </c>
      <c r="M36" s="13">
        <f t="shared" si="11"/>
        <v>73</v>
      </c>
      <c r="N36" s="13">
        <f t="shared" si="11"/>
        <v>62</v>
      </c>
      <c r="O36" s="13">
        <f t="shared" si="11"/>
        <v>71</v>
      </c>
      <c r="P36" s="13">
        <f t="shared" si="11"/>
        <v>65</v>
      </c>
      <c r="Q36" s="13">
        <f t="shared" si="11"/>
        <v>82</v>
      </c>
      <c r="R36" s="13">
        <f t="shared" si="11"/>
        <v>76</v>
      </c>
      <c r="S36" s="13">
        <f t="shared" si="11"/>
        <v>93</v>
      </c>
      <c r="T36" s="13">
        <f t="shared" si="11"/>
        <v>64</v>
      </c>
      <c r="U36" s="13">
        <f t="shared" si="11"/>
        <v>64</v>
      </c>
      <c r="V36" s="13">
        <f t="shared" si="11"/>
        <v>74</v>
      </c>
      <c r="W36" s="13">
        <f t="shared" si="11"/>
        <v>72</v>
      </c>
      <c r="X36" s="13">
        <f t="shared" si="11"/>
        <v>67</v>
      </c>
      <c r="Y36" s="13">
        <f t="shared" si="11"/>
        <v>67</v>
      </c>
      <c r="Z36" s="13">
        <f t="shared" si="11"/>
        <v>93</v>
      </c>
      <c r="AA36" s="13">
        <f t="shared" si="11"/>
        <v>51</v>
      </c>
      <c r="AB36" s="13">
        <f t="shared" si="10"/>
        <v>1524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3"/>
      <c r="O37" s="19"/>
      <c r="P37" s="19"/>
      <c r="Q37" s="19"/>
      <c r="R37" s="19"/>
      <c r="S37" s="63"/>
      <c r="T37" s="19"/>
      <c r="U37" s="19"/>
      <c r="V37" s="19"/>
      <c r="W37" s="19"/>
      <c r="X37" s="63"/>
      <c r="Y37" s="19"/>
      <c r="Z37" s="19"/>
      <c r="AA37" s="19"/>
      <c r="AB37" s="64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5"/>
      <c r="O38" s="13"/>
      <c r="P38" s="13"/>
      <c r="Q38" s="13"/>
      <c r="R38" s="13"/>
      <c r="S38" s="65"/>
      <c r="T38" s="13"/>
      <c r="U38" s="13"/>
      <c r="V38" s="13"/>
      <c r="W38" s="13"/>
      <c r="X38" s="65"/>
      <c r="Y38" s="13"/>
      <c r="Z38" s="13"/>
      <c r="AA38" s="13"/>
      <c r="AB38" s="64"/>
    </row>
    <row r="39" ht="12.75" customHeight="1">
      <c r="A39" s="31"/>
      <c r="B39" s="45" t="s">
        <v>33</v>
      </c>
      <c r="C39" s="23"/>
      <c r="D39" s="19" t="s">
        <v>12</v>
      </c>
      <c r="E39" s="19"/>
      <c r="F39" s="19"/>
      <c r="G39" s="19"/>
      <c r="H39" s="19"/>
      <c r="I39" s="19"/>
      <c r="J39" s="19">
        <v>1.0</v>
      </c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>
        <v>1.0</v>
      </c>
      <c r="W39" s="19"/>
      <c r="X39" s="19"/>
      <c r="Y39" s="19"/>
      <c r="Z39" s="19"/>
      <c r="AA39" s="19"/>
      <c r="AB39" s="13">
        <f t="shared" ref="AB39:AB41" si="12">SUM(E39:AA39)</f>
        <v>2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3">
        <f t="shared" si="12"/>
        <v>0</v>
      </c>
    </row>
    <row r="41" ht="12.75" customHeight="1">
      <c r="A41" s="43"/>
      <c r="B41" s="46"/>
      <c r="C41" s="28"/>
      <c r="D41" s="13" t="s">
        <v>14</v>
      </c>
      <c r="E41" s="13">
        <f t="shared" ref="E41:AA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2"/>
        <v>2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3"/>
      <c r="O42" s="19"/>
      <c r="P42" s="19"/>
      <c r="Q42" s="19"/>
      <c r="R42" s="19"/>
      <c r="S42" s="63"/>
      <c r="T42" s="19"/>
      <c r="U42" s="19"/>
      <c r="V42" s="19"/>
      <c r="W42" s="19"/>
      <c r="X42" s="63"/>
      <c r="Y42" s="19"/>
      <c r="Z42" s="19"/>
      <c r="AA42" s="19"/>
      <c r="AB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5"/>
      <c r="O43" s="13"/>
      <c r="P43" s="13"/>
      <c r="Q43" s="13"/>
      <c r="R43" s="13"/>
      <c r="S43" s="65"/>
      <c r="T43" s="13"/>
      <c r="U43" s="13"/>
      <c r="V43" s="13"/>
      <c r="W43" s="13"/>
      <c r="X43" s="65"/>
      <c r="Y43" s="13"/>
      <c r="Z43" s="13"/>
      <c r="AA43" s="13"/>
      <c r="AB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3"/>
      <c r="O44" s="19"/>
      <c r="P44" s="19"/>
      <c r="Q44" s="19"/>
      <c r="R44" s="19"/>
      <c r="S44" s="63"/>
      <c r="T44" s="19"/>
      <c r="U44" s="19"/>
      <c r="V44" s="19"/>
      <c r="W44" s="19"/>
      <c r="X44" s="63"/>
      <c r="Y44" s="19"/>
      <c r="Z44" s="19"/>
      <c r="AA44" s="19"/>
      <c r="AB44" s="13"/>
    </row>
    <row r="45" ht="12.75" customHeight="1">
      <c r="A45" s="66"/>
      <c r="B45" s="49">
        <v>1.0</v>
      </c>
      <c r="C45" s="50" t="s">
        <v>37</v>
      </c>
      <c r="D45" s="16"/>
      <c r="E45" s="19">
        <v>20.0</v>
      </c>
      <c r="F45" s="19">
        <v>36.0</v>
      </c>
      <c r="G45" s="19">
        <v>79.0</v>
      </c>
      <c r="H45" s="19">
        <v>24.0</v>
      </c>
      <c r="I45" s="19">
        <v>15.0</v>
      </c>
      <c r="J45" s="19">
        <v>6.0</v>
      </c>
      <c r="K45" s="19">
        <v>20.0</v>
      </c>
      <c r="L45" s="19">
        <v>9.0</v>
      </c>
      <c r="M45" s="19">
        <v>6.0</v>
      </c>
      <c r="N45" s="19">
        <v>2.0</v>
      </c>
      <c r="O45" s="19">
        <v>15.0</v>
      </c>
      <c r="P45" s="19">
        <v>20.0</v>
      </c>
      <c r="Q45" s="19">
        <v>16.0</v>
      </c>
      <c r="R45" s="19">
        <v>8.0</v>
      </c>
      <c r="S45" s="19">
        <v>9.0</v>
      </c>
      <c r="T45" s="19">
        <v>38.0</v>
      </c>
      <c r="U45" s="19">
        <v>13.0</v>
      </c>
      <c r="V45" s="19">
        <v>26.0</v>
      </c>
      <c r="W45" s="19">
        <v>24.0</v>
      </c>
      <c r="X45" s="19">
        <v>39.0</v>
      </c>
      <c r="Y45" s="19">
        <v>19.0</v>
      </c>
      <c r="Z45" s="19">
        <v>8.0</v>
      </c>
      <c r="AA45" s="19">
        <v>8.0</v>
      </c>
      <c r="AB45" s="13">
        <f t="shared" ref="AB45:AB47" si="14">SUM(E45:AA45)</f>
        <v>460</v>
      </c>
    </row>
    <row r="46" ht="12.75" customHeight="1">
      <c r="A46" s="18"/>
      <c r="B46" s="49">
        <v>2.0</v>
      </c>
      <c r="C46" s="50" t="s">
        <v>38</v>
      </c>
      <c r="D46" s="16"/>
      <c r="E46" s="19">
        <v>125.0</v>
      </c>
      <c r="F46" s="19">
        <v>114.0</v>
      </c>
      <c r="G46" s="19">
        <v>122.0</v>
      </c>
      <c r="H46" s="19">
        <v>127.0</v>
      </c>
      <c r="I46" s="19">
        <v>83.0</v>
      </c>
      <c r="J46" s="19">
        <v>85.0</v>
      </c>
      <c r="K46" s="19">
        <v>105.0</v>
      </c>
      <c r="L46" s="19">
        <v>95.0</v>
      </c>
      <c r="M46" s="19">
        <v>169.0</v>
      </c>
      <c r="N46" s="19">
        <v>130.0</v>
      </c>
      <c r="O46" s="19">
        <v>168.0</v>
      </c>
      <c r="P46" s="19">
        <v>131.0</v>
      </c>
      <c r="Q46" s="19">
        <v>167.0</v>
      </c>
      <c r="R46" s="19">
        <v>197.0</v>
      </c>
      <c r="S46" s="19">
        <v>120.0</v>
      </c>
      <c r="T46" s="19">
        <v>144.0</v>
      </c>
      <c r="U46" s="19">
        <v>188.0</v>
      </c>
      <c r="V46" s="19">
        <v>143.0</v>
      </c>
      <c r="W46" s="19">
        <v>132.0</v>
      </c>
      <c r="X46" s="19">
        <v>162.0</v>
      </c>
      <c r="Y46" s="19">
        <v>149.0</v>
      </c>
      <c r="Z46" s="19">
        <v>120.0</v>
      </c>
      <c r="AA46" s="19">
        <v>95.0</v>
      </c>
      <c r="AB46" s="13">
        <f t="shared" si="14"/>
        <v>3071</v>
      </c>
    </row>
    <row r="47" ht="12.75" customHeight="1">
      <c r="A47" s="47"/>
      <c r="B47" s="49">
        <v>3.0</v>
      </c>
      <c r="C47" s="50" t="s">
        <v>39</v>
      </c>
      <c r="D47" s="16"/>
      <c r="E47" s="19">
        <v>26.0</v>
      </c>
      <c r="F47" s="19">
        <v>37.0</v>
      </c>
      <c r="G47" s="19">
        <v>32.0</v>
      </c>
      <c r="H47" s="19">
        <v>40.0</v>
      </c>
      <c r="I47" s="19">
        <v>25.0</v>
      </c>
      <c r="J47" s="19">
        <v>45.0</v>
      </c>
      <c r="K47" s="19">
        <v>18.0</v>
      </c>
      <c r="L47" s="19">
        <v>20.0</v>
      </c>
      <c r="M47" s="19">
        <v>49.0</v>
      </c>
      <c r="N47" s="19">
        <v>51.0</v>
      </c>
      <c r="O47" s="19">
        <v>40.0</v>
      </c>
      <c r="P47" s="19">
        <v>60.0</v>
      </c>
      <c r="Q47" s="19">
        <v>13.0</v>
      </c>
      <c r="R47" s="19">
        <v>14.0</v>
      </c>
      <c r="S47" s="19">
        <v>53.0</v>
      </c>
      <c r="T47" s="19">
        <v>24.0</v>
      </c>
      <c r="U47" s="19">
        <v>37.0</v>
      </c>
      <c r="V47" s="19">
        <v>21.0</v>
      </c>
      <c r="W47" s="19">
        <v>41.0</v>
      </c>
      <c r="X47" s="19">
        <v>22.0</v>
      </c>
      <c r="Y47" s="19">
        <v>29.0</v>
      </c>
      <c r="Z47" s="19">
        <v>12.0</v>
      </c>
      <c r="AA47" s="19">
        <v>14.0</v>
      </c>
      <c r="AB47" s="13">
        <f t="shared" si="14"/>
        <v>723</v>
      </c>
    </row>
    <row r="48" ht="12.75" customHeight="1">
      <c r="AB48" s="13"/>
    </row>
    <row r="49" ht="12.75" customHeight="1">
      <c r="A49" s="44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AA50" si="15">SUM(E45:E47)</f>
        <v>171</v>
      </c>
      <c r="F50" s="19">
        <f t="shared" si="15"/>
        <v>187</v>
      </c>
      <c r="G50" s="19">
        <f t="shared" si="15"/>
        <v>233</v>
      </c>
      <c r="H50" s="19">
        <f t="shared" si="15"/>
        <v>191</v>
      </c>
      <c r="I50" s="19">
        <f t="shared" si="15"/>
        <v>123</v>
      </c>
      <c r="J50" s="19">
        <f t="shared" si="15"/>
        <v>136</v>
      </c>
      <c r="K50" s="19">
        <f t="shared" si="15"/>
        <v>143</v>
      </c>
      <c r="L50" s="19">
        <f t="shared" si="15"/>
        <v>124</v>
      </c>
      <c r="M50" s="19">
        <f t="shared" si="15"/>
        <v>224</v>
      </c>
      <c r="N50" s="19">
        <f t="shared" si="15"/>
        <v>183</v>
      </c>
      <c r="O50" s="19">
        <f t="shared" si="15"/>
        <v>223</v>
      </c>
      <c r="P50" s="19">
        <f t="shared" si="15"/>
        <v>211</v>
      </c>
      <c r="Q50" s="19">
        <f t="shared" si="15"/>
        <v>196</v>
      </c>
      <c r="R50" s="19">
        <f t="shared" si="15"/>
        <v>219</v>
      </c>
      <c r="S50" s="19">
        <f t="shared" si="15"/>
        <v>182</v>
      </c>
      <c r="T50" s="19">
        <f t="shared" si="15"/>
        <v>206</v>
      </c>
      <c r="U50" s="19">
        <f t="shared" si="15"/>
        <v>238</v>
      </c>
      <c r="V50" s="19">
        <f t="shared" si="15"/>
        <v>190</v>
      </c>
      <c r="W50" s="19">
        <f t="shared" si="15"/>
        <v>197</v>
      </c>
      <c r="X50" s="19">
        <f t="shared" si="15"/>
        <v>223</v>
      </c>
      <c r="Y50" s="19">
        <f t="shared" si="15"/>
        <v>197</v>
      </c>
      <c r="Z50" s="19">
        <f t="shared" si="15"/>
        <v>140</v>
      </c>
      <c r="AA50" s="19">
        <f t="shared" si="15"/>
        <v>117</v>
      </c>
      <c r="AB50" s="13">
        <f t="shared" ref="AB50:AB52" si="16">SUM(E50:AA50)</f>
        <v>4254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4.0</v>
      </c>
      <c r="F51" s="19">
        <v>3.0</v>
      </c>
      <c r="G51" s="19">
        <v>2.0</v>
      </c>
      <c r="H51" s="19">
        <v>6.0</v>
      </c>
      <c r="I51" s="19">
        <v>1.0</v>
      </c>
      <c r="J51" s="19">
        <v>2.0</v>
      </c>
      <c r="K51" s="19">
        <v>1.0</v>
      </c>
      <c r="L51" s="19">
        <v>2.0</v>
      </c>
      <c r="M51" s="19">
        <v>5.0</v>
      </c>
      <c r="N51" s="19">
        <v>5.0</v>
      </c>
      <c r="O51" s="19">
        <v>5.0</v>
      </c>
      <c r="P51" s="19">
        <v>8.0</v>
      </c>
      <c r="Q51" s="19">
        <v>8.0</v>
      </c>
      <c r="R51" s="19">
        <v>3.0</v>
      </c>
      <c r="S51" s="19">
        <v>5.0</v>
      </c>
      <c r="T51" s="19">
        <v>5.0</v>
      </c>
      <c r="U51" s="19">
        <v>3.0</v>
      </c>
      <c r="V51" s="19">
        <v>4.0</v>
      </c>
      <c r="W51" s="19">
        <v>5.0</v>
      </c>
      <c r="X51" s="19">
        <v>3.0</v>
      </c>
      <c r="Y51" s="19">
        <v>2.0</v>
      </c>
      <c r="Z51" s="19">
        <v>2.0</v>
      </c>
      <c r="AA51" s="19">
        <v>4.0</v>
      </c>
      <c r="AB51" s="13">
        <f t="shared" si="16"/>
        <v>88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AA52" si="17">SUM(E50:E51)</f>
        <v>175</v>
      </c>
      <c r="F52" s="13">
        <f t="shared" si="17"/>
        <v>190</v>
      </c>
      <c r="G52" s="13">
        <f t="shared" si="17"/>
        <v>235</v>
      </c>
      <c r="H52" s="13">
        <f t="shared" si="17"/>
        <v>197</v>
      </c>
      <c r="I52" s="13">
        <f t="shared" si="17"/>
        <v>124</v>
      </c>
      <c r="J52" s="13">
        <f t="shared" si="17"/>
        <v>138</v>
      </c>
      <c r="K52" s="13">
        <f t="shared" si="17"/>
        <v>144</v>
      </c>
      <c r="L52" s="13">
        <f t="shared" si="17"/>
        <v>126</v>
      </c>
      <c r="M52" s="13">
        <f t="shared" si="17"/>
        <v>229</v>
      </c>
      <c r="N52" s="13">
        <f t="shared" si="17"/>
        <v>188</v>
      </c>
      <c r="O52" s="13">
        <f t="shared" si="17"/>
        <v>228</v>
      </c>
      <c r="P52" s="13">
        <f t="shared" si="17"/>
        <v>219</v>
      </c>
      <c r="Q52" s="13">
        <f t="shared" si="17"/>
        <v>204</v>
      </c>
      <c r="R52" s="13">
        <f t="shared" si="17"/>
        <v>222</v>
      </c>
      <c r="S52" s="13">
        <f t="shared" si="17"/>
        <v>187</v>
      </c>
      <c r="T52" s="13">
        <f t="shared" si="17"/>
        <v>211</v>
      </c>
      <c r="U52" s="13">
        <f t="shared" si="17"/>
        <v>241</v>
      </c>
      <c r="V52" s="13">
        <f t="shared" si="17"/>
        <v>194</v>
      </c>
      <c r="W52" s="13">
        <f t="shared" si="17"/>
        <v>202</v>
      </c>
      <c r="X52" s="13">
        <f t="shared" si="17"/>
        <v>226</v>
      </c>
      <c r="Y52" s="13">
        <f t="shared" si="17"/>
        <v>199</v>
      </c>
      <c r="Z52" s="13">
        <f t="shared" si="17"/>
        <v>142</v>
      </c>
      <c r="AA52" s="13">
        <f t="shared" si="17"/>
        <v>121</v>
      </c>
      <c r="AB52" s="13">
        <f t="shared" si="16"/>
        <v>4342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AC117" s="5"/>
      <c r="AD117" s="5"/>
    </row>
    <row r="118" ht="12.75" customHeight="1">
      <c r="AC118" s="5"/>
      <c r="AD118" s="5"/>
    </row>
    <row r="119" ht="12.75" customHeight="1">
      <c r="AC119" s="5"/>
      <c r="AD119" s="5"/>
    </row>
    <row r="120" ht="12.75" customHeight="1">
      <c r="AC120" s="5"/>
      <c r="AD120" s="5"/>
    </row>
    <row r="121" ht="12.75" customHeight="1">
      <c r="AC121" s="5"/>
      <c r="AD121" s="5"/>
    </row>
    <row r="122" ht="12.75" customHeight="1">
      <c r="AC122" s="5"/>
      <c r="AD122" s="5"/>
    </row>
    <row r="123" ht="12.75" customHeight="1">
      <c r="AC123" s="5"/>
      <c r="AD123" s="5"/>
    </row>
    <row r="124" ht="12.75" customHeight="1">
      <c r="AC124" s="5"/>
      <c r="AD124" s="5"/>
    </row>
    <row r="125" ht="12.75" customHeight="1">
      <c r="AC125" s="5"/>
      <c r="AD125" s="5"/>
    </row>
    <row r="126" ht="12.75" customHeight="1">
      <c r="AC126" s="5"/>
      <c r="AD126" s="5"/>
    </row>
    <row r="127" ht="12.75" customHeight="1">
      <c r="AC127" s="5"/>
      <c r="AD127" s="5"/>
    </row>
    <row r="128" ht="12.75" customHeight="1">
      <c r="AC128" s="5"/>
      <c r="AD128" s="5"/>
    </row>
    <row r="129" ht="12.75" customHeight="1">
      <c r="AC129" s="5"/>
      <c r="AD129" s="5"/>
    </row>
    <row r="130" ht="12.75" customHeight="1">
      <c r="AC130" s="1"/>
      <c r="AD130" s="1"/>
    </row>
    <row r="131" ht="12.75" customHeight="1">
      <c r="AC131" s="52"/>
      <c r="AD131" s="52"/>
    </row>
    <row r="132" ht="12.75" customHeight="1">
      <c r="AC132" s="5"/>
      <c r="AD132" s="5"/>
    </row>
    <row r="133" ht="12.75" customHeight="1">
      <c r="AC133" s="5"/>
      <c r="AD133" s="5"/>
    </row>
    <row r="134" ht="12.75" customHeight="1">
      <c r="AC134" s="5"/>
      <c r="AD134" s="5"/>
    </row>
    <row r="135" ht="12.75" customHeight="1">
      <c r="AC135" s="5"/>
      <c r="AD135" s="5"/>
    </row>
    <row r="136" ht="12.75" customHeight="1">
      <c r="AC136" s="5"/>
      <c r="AD136" s="5"/>
    </row>
    <row r="137" ht="12.75" customHeight="1">
      <c r="AC137" s="5"/>
      <c r="AD137" s="5"/>
    </row>
    <row r="138" ht="12.75" customHeight="1">
      <c r="AC138" s="5"/>
      <c r="AD138" s="5"/>
    </row>
    <row r="139" ht="12.75" customHeight="1">
      <c r="AC139" s="5"/>
      <c r="AD139" s="5"/>
    </row>
    <row r="140" ht="12.75" customHeight="1">
      <c r="AC140" s="5"/>
      <c r="AD140" s="5"/>
    </row>
    <row r="141" ht="12.75" customHeight="1">
      <c r="AC141" s="1"/>
      <c r="AD141" s="1"/>
    </row>
    <row r="142" ht="12.75" customHeight="1">
      <c r="AC142" s="52"/>
      <c r="AD142" s="52"/>
    </row>
    <row r="143" ht="12.75" customHeight="1">
      <c r="AC143" s="5"/>
      <c r="AD143" s="5"/>
    </row>
    <row r="144" ht="12.75" customHeight="1">
      <c r="AC144" s="5"/>
      <c r="AD144" s="5"/>
    </row>
    <row r="145" ht="12.75" customHeight="1">
      <c r="AC145" s="5"/>
      <c r="AD145" s="5"/>
    </row>
    <row r="146" ht="12.75" customHeight="1">
      <c r="AC146" s="5"/>
      <c r="AD146" s="5"/>
    </row>
    <row r="147" ht="12.75" customHeight="1">
      <c r="AC147" s="5"/>
      <c r="AD147" s="5"/>
    </row>
    <row r="148" ht="12.75" customHeight="1">
      <c r="AC148" s="5"/>
      <c r="AD148" s="5"/>
    </row>
    <row r="149" ht="12.75" customHeight="1">
      <c r="AC149" s="5"/>
      <c r="AD149" s="5"/>
    </row>
    <row r="150" ht="12.75" customHeight="1">
      <c r="AC150" s="5"/>
      <c r="AD150" s="5"/>
    </row>
    <row r="151" ht="12.75" customHeight="1">
      <c r="AC151" s="1"/>
      <c r="AD151" s="1"/>
    </row>
    <row r="152" ht="12.75" customHeight="1">
      <c r="AC152" s="52"/>
      <c r="AD152" s="52"/>
    </row>
    <row r="153" ht="12.75" customHeight="1">
      <c r="AC153" s="5"/>
      <c r="AD153" s="5"/>
    </row>
    <row r="154" ht="12.75" customHeight="1">
      <c r="AC154" s="5"/>
      <c r="AD154" s="5"/>
    </row>
    <row r="155" ht="12.75" customHeight="1">
      <c r="AC155" s="5"/>
      <c r="AD155" s="5"/>
    </row>
    <row r="156" ht="12.75" customHeight="1">
      <c r="AC156" s="5"/>
      <c r="AD156" s="5"/>
    </row>
    <row r="157" ht="12.75" customHeight="1">
      <c r="AC157" s="5"/>
      <c r="AD157" s="5"/>
    </row>
    <row r="158" ht="12.75" customHeight="1">
      <c r="AC158" s="5"/>
      <c r="AD158" s="5"/>
    </row>
    <row r="159" ht="12.75" customHeight="1">
      <c r="AC159" s="5"/>
      <c r="AD159" s="5"/>
    </row>
    <row r="160" ht="12.75" customHeight="1">
      <c r="AC160" s="5"/>
      <c r="AD160" s="5"/>
    </row>
    <row r="161" ht="12.75" customHeight="1">
      <c r="AC161" s="5"/>
      <c r="AD161" s="5"/>
    </row>
    <row r="162" ht="12.75" customHeight="1">
      <c r="AC162" s="5"/>
      <c r="AD162" s="5"/>
    </row>
    <row r="163" ht="12.75" customHeight="1">
      <c r="AC163" s="5"/>
      <c r="AD163" s="5"/>
    </row>
    <row r="164" ht="12.75" customHeight="1">
      <c r="AC164" s="5"/>
      <c r="AD164" s="5"/>
    </row>
    <row r="165" ht="12.75" customHeight="1">
      <c r="AC165" s="1"/>
      <c r="AD165" s="1"/>
    </row>
    <row r="166" ht="12.75" customHeight="1">
      <c r="AC166" s="52"/>
      <c r="AD166" s="52"/>
    </row>
    <row r="167" ht="12.75" customHeight="1">
      <c r="AC167" s="5"/>
      <c r="AD167" s="5"/>
    </row>
    <row r="168" ht="12.75" customHeight="1">
      <c r="AC168" s="5"/>
      <c r="AD168" s="5"/>
    </row>
    <row r="169" ht="12.75" customHeight="1">
      <c r="AC169" s="5"/>
      <c r="AD169" s="5"/>
    </row>
    <row r="170" ht="12.75" customHeight="1">
      <c r="AC170" s="5"/>
      <c r="AD170" s="5"/>
    </row>
    <row r="171" ht="12.75" customHeight="1">
      <c r="AC171" s="5"/>
      <c r="AD171" s="5"/>
    </row>
    <row r="172" ht="12.75" customHeight="1">
      <c r="AC172" s="5"/>
      <c r="AD172" s="5"/>
    </row>
    <row r="173" ht="12.75" customHeight="1">
      <c r="AC173" s="5"/>
      <c r="AD173" s="5"/>
    </row>
    <row r="174" ht="12.75" customHeight="1">
      <c r="AC174" s="5"/>
      <c r="AD174" s="5"/>
    </row>
    <row r="175" ht="12.75" customHeight="1">
      <c r="AC175" s="5"/>
      <c r="AD175" s="5"/>
    </row>
    <row r="176" ht="12.75" customHeight="1">
      <c r="AC176" s="1"/>
      <c r="AD176" s="1"/>
    </row>
    <row r="177" ht="12.75" customHeight="1"/>
    <row r="178" ht="12.75" customHeight="1">
      <c r="AC178" s="5"/>
      <c r="AD178" s="5"/>
    </row>
    <row r="179" ht="12.75" customHeight="1">
      <c r="AC179" s="5"/>
      <c r="AD179" s="5"/>
    </row>
    <row r="180" ht="12.75" customHeight="1">
      <c r="AC180" s="5"/>
      <c r="AD180" s="5"/>
    </row>
    <row r="181" ht="12.75" customHeight="1">
      <c r="AC181" s="5"/>
      <c r="AD181" s="5"/>
    </row>
    <row r="182" ht="12.75" customHeight="1">
      <c r="AC182" s="5"/>
      <c r="AD182" s="5"/>
    </row>
    <row r="183" ht="12.75" customHeight="1">
      <c r="AC183" s="5"/>
      <c r="AD183" s="5"/>
    </row>
    <row r="184" ht="12.75" customHeight="1">
      <c r="AC184" s="5"/>
      <c r="AD184" s="5"/>
    </row>
    <row r="185" ht="12.75" customHeight="1">
      <c r="AC185" s="5"/>
      <c r="AD185" s="5"/>
    </row>
    <row r="186" ht="12.75" customHeight="1">
      <c r="AC186" s="5"/>
      <c r="AD186" s="5"/>
    </row>
    <row r="187" ht="12.75" customHeight="1">
      <c r="AC187" s="1"/>
      <c r="AD187" s="1"/>
    </row>
    <row r="188" ht="12.75" customHeight="1"/>
    <row r="189" ht="12.75" customHeight="1">
      <c r="AC189" s="5"/>
      <c r="AD189" s="5"/>
    </row>
    <row r="190" ht="12.75" customHeight="1">
      <c r="AC190" s="5"/>
      <c r="AD190" s="5"/>
    </row>
    <row r="191" ht="12.75" customHeight="1">
      <c r="AC191" s="5"/>
      <c r="AD191" s="5"/>
    </row>
    <row r="192" ht="12.75" customHeight="1">
      <c r="AC192" s="5"/>
      <c r="AD192" s="5"/>
    </row>
    <row r="193" ht="12.75" customHeight="1">
      <c r="AC193" s="5"/>
      <c r="AD193" s="5"/>
    </row>
    <row r="194" ht="12.75" customHeight="1">
      <c r="AC194" s="5"/>
      <c r="AD194" s="5"/>
    </row>
    <row r="195" ht="12.75" customHeight="1">
      <c r="AC195" s="5"/>
      <c r="AD195" s="5"/>
    </row>
    <row r="196" ht="12.75" customHeight="1">
      <c r="AC196" s="1"/>
      <c r="AD196" s="1"/>
    </row>
    <row r="197" ht="12.75" customHeight="1">
      <c r="AC197" s="1"/>
      <c r="AD197" s="1"/>
    </row>
    <row r="198" ht="12.75" customHeight="1">
      <c r="AC198" s="1"/>
      <c r="AD198" s="1"/>
    </row>
    <row r="199" ht="12.75" customHeight="1">
      <c r="AC199" s="52"/>
      <c r="AD199" s="52"/>
    </row>
    <row r="200" ht="12.75" customHeight="1">
      <c r="AC200" s="5"/>
      <c r="AD200" s="5"/>
    </row>
    <row r="201" ht="12.75" customHeight="1">
      <c r="AC201" s="5"/>
      <c r="AD201" s="5"/>
    </row>
    <row r="202" ht="12.75" customHeight="1">
      <c r="AC202" s="5"/>
      <c r="AD202" s="5"/>
    </row>
    <row r="203" ht="12.75" customHeight="1">
      <c r="AC203" s="5"/>
      <c r="AD203" s="5"/>
    </row>
    <row r="204" ht="12.75" customHeight="1">
      <c r="AC204" s="5"/>
      <c r="AD204" s="5"/>
    </row>
    <row r="205" ht="12.75" customHeight="1">
      <c r="AC205" s="5"/>
      <c r="AD205" s="5"/>
    </row>
    <row r="206" ht="12.75" customHeight="1">
      <c r="AC206" s="5"/>
      <c r="AD206" s="5"/>
    </row>
    <row r="207" ht="12.75" customHeight="1">
      <c r="AC207" s="1"/>
      <c r="AD207" s="1"/>
    </row>
    <row r="208" ht="12.75" customHeight="1">
      <c r="AC208" s="52"/>
      <c r="AD208" s="52"/>
    </row>
    <row r="209" ht="12.75" customHeight="1">
      <c r="AC209" s="52"/>
      <c r="AD209" s="52"/>
    </row>
    <row r="210" ht="12.75" customHeight="1">
      <c r="AC210" s="52"/>
      <c r="AD210" s="52"/>
    </row>
    <row r="211" ht="12.75" customHeight="1">
      <c r="AC211" s="5"/>
      <c r="AD211" s="5"/>
    </row>
    <row r="212" ht="12.75" customHeight="1">
      <c r="AC212" s="5"/>
      <c r="AD212" s="5"/>
    </row>
    <row r="213" ht="12.75" customHeight="1">
      <c r="AC213" s="5"/>
      <c r="AD213" s="5"/>
    </row>
    <row r="214" ht="12.75" customHeight="1">
      <c r="AC214" s="5"/>
      <c r="AD214" s="5"/>
    </row>
    <row r="215" ht="12.75" customHeight="1">
      <c r="AC215" s="5"/>
      <c r="AD215" s="5"/>
    </row>
    <row r="216" ht="12.75" customHeight="1">
      <c r="AC216" s="5"/>
      <c r="AD216" s="5"/>
    </row>
    <row r="217" ht="12.75" customHeight="1">
      <c r="AC217" s="5"/>
      <c r="AD217" s="5"/>
    </row>
    <row r="218" ht="12.75" customHeight="1">
      <c r="AC218" s="1"/>
      <c r="AD218" s="1"/>
    </row>
    <row r="219" ht="12.75" customHeight="1">
      <c r="AC219" s="52"/>
      <c r="AD219" s="52"/>
    </row>
    <row r="220" ht="12.75" customHeight="1">
      <c r="AC220" s="5"/>
      <c r="AD220" s="5"/>
    </row>
    <row r="221" ht="12.75" customHeight="1">
      <c r="AC221" s="5"/>
      <c r="AD221" s="5"/>
    </row>
    <row r="222" ht="12.75" customHeight="1">
      <c r="AC222" s="5"/>
      <c r="AD222" s="5"/>
    </row>
    <row r="223" ht="12.75" customHeight="1">
      <c r="AC223" s="5"/>
      <c r="AD223" s="5"/>
    </row>
    <row r="224" ht="12.75" customHeight="1">
      <c r="AC224" s="5"/>
      <c r="AD224" s="5"/>
    </row>
    <row r="225" ht="12.75" customHeight="1">
      <c r="AC225" s="5"/>
      <c r="AD225" s="5"/>
    </row>
    <row r="226" ht="12.75" customHeight="1">
      <c r="AC226" s="5"/>
      <c r="AD226" s="5"/>
    </row>
    <row r="227" ht="12.75" customHeight="1">
      <c r="AC227" s="5"/>
      <c r="AD227" s="5"/>
    </row>
    <row r="228" ht="12.75" customHeight="1">
      <c r="AC228" s="5"/>
      <c r="AD228" s="5"/>
    </row>
    <row r="229" ht="12.75" customHeight="1">
      <c r="AC229" s="1"/>
      <c r="AD229" s="1"/>
    </row>
    <row r="230" ht="12.75" customHeight="1">
      <c r="AC230" s="52"/>
      <c r="AD230" s="52"/>
    </row>
    <row r="231" ht="12.75" customHeight="1">
      <c r="AC231" s="5"/>
      <c r="AD231" s="5"/>
    </row>
    <row r="232" ht="12.75" customHeight="1">
      <c r="AC232" s="5"/>
      <c r="AD232" s="5"/>
    </row>
    <row r="233" ht="12.75" customHeight="1">
      <c r="AC233" s="5"/>
      <c r="AD233" s="5"/>
    </row>
    <row r="234" ht="12.75" customHeight="1">
      <c r="AC234" s="5"/>
      <c r="AD234" s="5"/>
    </row>
    <row r="235" ht="12.75" customHeight="1">
      <c r="AC235" s="5"/>
      <c r="AD235" s="5"/>
    </row>
    <row r="236" ht="12.75" customHeight="1">
      <c r="AC236" s="5"/>
      <c r="AD236" s="5"/>
    </row>
    <row r="237" ht="12.75" customHeight="1">
      <c r="AC237" s="5"/>
      <c r="AD237" s="5"/>
    </row>
    <row r="238" ht="12.75" customHeight="1">
      <c r="AC238" s="5"/>
      <c r="AD238" s="5"/>
    </row>
    <row r="239" ht="12.75" customHeight="1">
      <c r="AC239" s="5"/>
      <c r="AD239" s="5"/>
    </row>
    <row r="240" ht="12.75" customHeight="1">
      <c r="AC240" s="1"/>
      <c r="AD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A12"/>
    <mergeCell ref="AB12:AB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A15">
    <cfRule type="containsBlanks" dxfId="1" priority="1">
      <formula>LEN(TRIM(E14))=0</formula>
    </cfRule>
  </conditionalFormatting>
  <conditionalFormatting sqref="E19:AA20">
    <cfRule type="containsBlanks" dxfId="1" priority="2">
      <formula>LEN(TRIM(E19))=0</formula>
    </cfRule>
  </conditionalFormatting>
  <conditionalFormatting sqref="E22:AA23 E25:AA26 E33:AA33 E35:AA35 E39:AA40">
    <cfRule type="containsBlanks" dxfId="1" priority="3">
      <formula>LEN(TRIM(E22))=0</formula>
    </cfRule>
  </conditionalFormatting>
  <conditionalFormatting sqref="E30:AA30">
    <cfRule type="expression" dxfId="0" priority="4">
      <formula>E30&lt;&gt;E47</formula>
    </cfRule>
  </conditionalFormatting>
  <conditionalFormatting sqref="E30:AA30">
    <cfRule type="expression" dxfId="0" priority="5">
      <formula>E30&lt;&gt;E34</formula>
    </cfRule>
  </conditionalFormatting>
  <conditionalFormatting sqref="E34:AA34">
    <cfRule type="expression" dxfId="2" priority="6">
      <formula>E30&lt;&gt;E34</formula>
    </cfRule>
  </conditionalFormatting>
  <conditionalFormatting sqref="E34:AA34">
    <cfRule type="expression" dxfId="3" priority="7">
      <formula>E30=E34</formula>
    </cfRule>
  </conditionalFormatting>
  <conditionalFormatting sqref="E34:AA34">
    <cfRule type="expression" dxfId="0" priority="8">
      <formula>E34&lt;&gt;E30</formula>
    </cfRule>
  </conditionalFormatting>
  <conditionalFormatting sqref="E34:AA34">
    <cfRule type="expression" dxfId="0" priority="9">
      <formula>E34&lt;&gt;#REF!</formula>
    </cfRule>
  </conditionalFormatting>
  <conditionalFormatting sqref="E45:AA47">
    <cfRule type="containsBlanks" dxfId="1" priority="10">
      <formula>LEN(TRIM(E45))=0</formula>
    </cfRule>
  </conditionalFormatting>
  <conditionalFormatting sqref="E50:AA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1" width="8.71"/>
    <col customWidth="1" min="42" max="42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13" t="s">
        <v>84</v>
      </c>
      <c r="AM13" s="13" t="s">
        <v>85</v>
      </c>
      <c r="AN13" s="13" t="s">
        <v>86</v>
      </c>
      <c r="AO13" s="13" t="s">
        <v>87</v>
      </c>
      <c r="AP13" s="37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90.0</v>
      </c>
      <c r="G14" s="19">
        <v>124.0</v>
      </c>
      <c r="H14" s="19">
        <v>88.0</v>
      </c>
      <c r="I14" s="19">
        <v>100.0</v>
      </c>
      <c r="J14" s="19">
        <v>130.0</v>
      </c>
      <c r="K14" s="19">
        <v>149.0</v>
      </c>
      <c r="L14" s="19">
        <v>149.0</v>
      </c>
      <c r="M14" s="19">
        <v>146.0</v>
      </c>
      <c r="N14" s="19">
        <v>129.0</v>
      </c>
      <c r="O14" s="19">
        <v>102.0</v>
      </c>
      <c r="P14" s="19">
        <v>117.0</v>
      </c>
      <c r="Q14" s="19">
        <v>117.0</v>
      </c>
      <c r="R14" s="19">
        <v>142.0</v>
      </c>
      <c r="S14" s="19">
        <v>147.0</v>
      </c>
      <c r="T14" s="19">
        <v>127.0</v>
      </c>
      <c r="U14" s="19">
        <v>81.0</v>
      </c>
      <c r="V14" s="19">
        <v>139.0</v>
      </c>
      <c r="W14" s="19">
        <v>98.0</v>
      </c>
      <c r="X14" s="19">
        <v>137.0</v>
      </c>
      <c r="Y14" s="19">
        <v>141.0</v>
      </c>
      <c r="Z14" s="19">
        <v>134.0</v>
      </c>
      <c r="AA14" s="19">
        <v>102.0</v>
      </c>
      <c r="AB14" s="19">
        <v>132.0</v>
      </c>
      <c r="AC14" s="19">
        <v>88.0</v>
      </c>
      <c r="AD14" s="19">
        <v>88.0</v>
      </c>
      <c r="AE14" s="19">
        <v>97.0</v>
      </c>
      <c r="AF14" s="19">
        <v>105.0</v>
      </c>
      <c r="AG14" s="19">
        <v>112.0</v>
      </c>
      <c r="AH14" s="19">
        <v>117.0</v>
      </c>
      <c r="AI14" s="19">
        <v>107.0</v>
      </c>
      <c r="AJ14" s="19">
        <v>104.0</v>
      </c>
      <c r="AK14" s="19">
        <v>109.0</v>
      </c>
      <c r="AL14" s="19">
        <v>143.0</v>
      </c>
      <c r="AM14" s="19">
        <v>126.0</v>
      </c>
      <c r="AN14" s="19">
        <v>109.0</v>
      </c>
      <c r="AO14" s="19">
        <v>99.0</v>
      </c>
      <c r="AP14" s="13">
        <f t="shared" ref="AP14:AP16" si="1">SUM(E14:AO14)</f>
        <v>4371</v>
      </c>
    </row>
    <row r="15" ht="12.75" customHeight="1">
      <c r="A15" s="18"/>
      <c r="B15" s="26"/>
      <c r="C15" s="27"/>
      <c r="D15" s="19" t="s">
        <v>13</v>
      </c>
      <c r="E15" s="19">
        <v>148.0</v>
      </c>
      <c r="F15" s="19">
        <v>85.0</v>
      </c>
      <c r="G15" s="19">
        <v>124.0</v>
      </c>
      <c r="H15" s="19">
        <v>94.0</v>
      </c>
      <c r="I15" s="19">
        <v>110.0</v>
      </c>
      <c r="J15" s="19">
        <v>116.0</v>
      </c>
      <c r="K15" s="19">
        <v>144.0</v>
      </c>
      <c r="L15" s="19">
        <v>145.0</v>
      </c>
      <c r="M15" s="19">
        <v>145.0</v>
      </c>
      <c r="N15" s="19">
        <v>116.0</v>
      </c>
      <c r="O15" s="19">
        <v>108.0</v>
      </c>
      <c r="P15" s="19">
        <v>114.0</v>
      </c>
      <c r="Q15" s="19">
        <v>135.0</v>
      </c>
      <c r="R15" s="19">
        <v>153.0</v>
      </c>
      <c r="S15" s="19">
        <v>143.0</v>
      </c>
      <c r="T15" s="19">
        <v>141.0</v>
      </c>
      <c r="U15" s="19">
        <v>80.0</v>
      </c>
      <c r="V15" s="19">
        <v>145.0</v>
      </c>
      <c r="W15" s="19">
        <v>96.0</v>
      </c>
      <c r="X15" s="19">
        <v>131.0</v>
      </c>
      <c r="Y15" s="19">
        <v>149.0</v>
      </c>
      <c r="Z15" s="19">
        <v>142.0</v>
      </c>
      <c r="AA15" s="19">
        <v>109.0</v>
      </c>
      <c r="AB15" s="19">
        <v>132.0</v>
      </c>
      <c r="AC15" s="19">
        <v>107.0</v>
      </c>
      <c r="AD15" s="19">
        <v>96.0</v>
      </c>
      <c r="AE15" s="19">
        <v>102.0</v>
      </c>
      <c r="AF15" s="19">
        <v>103.0</v>
      </c>
      <c r="AG15" s="19">
        <v>141.0</v>
      </c>
      <c r="AH15" s="19">
        <v>103.0</v>
      </c>
      <c r="AI15" s="19">
        <v>105.0</v>
      </c>
      <c r="AJ15" s="19">
        <v>116.0</v>
      </c>
      <c r="AK15" s="19">
        <v>111.0</v>
      </c>
      <c r="AL15" s="19">
        <v>137.0</v>
      </c>
      <c r="AM15" s="19">
        <v>122.0</v>
      </c>
      <c r="AN15" s="19">
        <v>115.0</v>
      </c>
      <c r="AO15" s="19">
        <v>103.0</v>
      </c>
      <c r="AP15" s="13">
        <f t="shared" si="1"/>
        <v>4466</v>
      </c>
    </row>
    <row r="16" ht="12.75" customHeight="1">
      <c r="A16" s="25"/>
      <c r="B16" s="21"/>
      <c r="C16" s="28"/>
      <c r="D16" s="13" t="s">
        <v>14</v>
      </c>
      <c r="E16" s="13">
        <f t="shared" ref="E16:AO16" si="2">SUM(E14:E15)</f>
        <v>294</v>
      </c>
      <c r="F16" s="13">
        <f t="shared" si="2"/>
        <v>175</v>
      </c>
      <c r="G16" s="13">
        <f t="shared" si="2"/>
        <v>248</v>
      </c>
      <c r="H16" s="13">
        <f t="shared" si="2"/>
        <v>182</v>
      </c>
      <c r="I16" s="13">
        <f t="shared" si="2"/>
        <v>210</v>
      </c>
      <c r="J16" s="13">
        <f t="shared" si="2"/>
        <v>246</v>
      </c>
      <c r="K16" s="13">
        <f t="shared" si="2"/>
        <v>293</v>
      </c>
      <c r="L16" s="13">
        <f t="shared" si="2"/>
        <v>294</v>
      </c>
      <c r="M16" s="13">
        <f t="shared" si="2"/>
        <v>291</v>
      </c>
      <c r="N16" s="13">
        <f t="shared" si="2"/>
        <v>245</v>
      </c>
      <c r="O16" s="13">
        <f t="shared" si="2"/>
        <v>210</v>
      </c>
      <c r="P16" s="13">
        <f t="shared" si="2"/>
        <v>231</v>
      </c>
      <c r="Q16" s="13">
        <f t="shared" si="2"/>
        <v>252</v>
      </c>
      <c r="R16" s="13">
        <f t="shared" si="2"/>
        <v>295</v>
      </c>
      <c r="S16" s="13">
        <f t="shared" si="2"/>
        <v>290</v>
      </c>
      <c r="T16" s="13">
        <f t="shared" si="2"/>
        <v>268</v>
      </c>
      <c r="U16" s="13">
        <f t="shared" si="2"/>
        <v>161</v>
      </c>
      <c r="V16" s="13">
        <f t="shared" si="2"/>
        <v>284</v>
      </c>
      <c r="W16" s="13">
        <f t="shared" si="2"/>
        <v>194</v>
      </c>
      <c r="X16" s="13">
        <f t="shared" si="2"/>
        <v>268</v>
      </c>
      <c r="Y16" s="13">
        <f t="shared" si="2"/>
        <v>290</v>
      </c>
      <c r="Z16" s="13">
        <f t="shared" si="2"/>
        <v>276</v>
      </c>
      <c r="AA16" s="13">
        <f t="shared" si="2"/>
        <v>211</v>
      </c>
      <c r="AB16" s="13">
        <f t="shared" si="2"/>
        <v>264</v>
      </c>
      <c r="AC16" s="13">
        <f t="shared" si="2"/>
        <v>195</v>
      </c>
      <c r="AD16" s="13">
        <f t="shared" si="2"/>
        <v>184</v>
      </c>
      <c r="AE16" s="13">
        <f t="shared" si="2"/>
        <v>199</v>
      </c>
      <c r="AF16" s="13">
        <f t="shared" si="2"/>
        <v>208</v>
      </c>
      <c r="AG16" s="13">
        <f t="shared" si="2"/>
        <v>253</v>
      </c>
      <c r="AH16" s="13">
        <f t="shared" si="2"/>
        <v>220</v>
      </c>
      <c r="AI16" s="13">
        <f t="shared" si="2"/>
        <v>212</v>
      </c>
      <c r="AJ16" s="13">
        <f t="shared" si="2"/>
        <v>220</v>
      </c>
      <c r="AK16" s="13">
        <f t="shared" si="2"/>
        <v>220</v>
      </c>
      <c r="AL16" s="13">
        <f t="shared" si="2"/>
        <v>280</v>
      </c>
      <c r="AM16" s="13">
        <f t="shared" si="2"/>
        <v>248</v>
      </c>
      <c r="AN16" s="13">
        <f t="shared" si="2"/>
        <v>224</v>
      </c>
      <c r="AO16" s="13">
        <f t="shared" si="2"/>
        <v>202</v>
      </c>
      <c r="AP16" s="13">
        <f t="shared" si="1"/>
        <v>8837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3"/>
      <c r="O17" s="19"/>
      <c r="P17" s="19"/>
      <c r="Q17" s="19"/>
      <c r="R17" s="19"/>
      <c r="S17" s="63"/>
      <c r="T17" s="19"/>
      <c r="U17" s="19"/>
      <c r="V17" s="19"/>
      <c r="W17" s="19"/>
      <c r="X17" s="63"/>
      <c r="Y17" s="19"/>
      <c r="Z17" s="19"/>
      <c r="AA17" s="19"/>
      <c r="AB17" s="19"/>
      <c r="AC17" s="63"/>
      <c r="AD17" s="19"/>
      <c r="AE17" s="19"/>
      <c r="AF17" s="19"/>
      <c r="AG17" s="19"/>
      <c r="AH17" s="63"/>
      <c r="AI17" s="19"/>
      <c r="AJ17" s="19"/>
      <c r="AK17" s="19"/>
      <c r="AL17" s="19"/>
      <c r="AM17" s="63"/>
      <c r="AN17" s="19"/>
      <c r="AO17" s="19"/>
      <c r="AP17" s="64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3"/>
      <c r="O18" s="19"/>
      <c r="P18" s="19"/>
      <c r="Q18" s="19"/>
      <c r="R18" s="19"/>
      <c r="S18" s="63"/>
      <c r="T18" s="19"/>
      <c r="U18" s="19"/>
      <c r="V18" s="19"/>
      <c r="W18" s="19"/>
      <c r="X18" s="63"/>
      <c r="Y18" s="19"/>
      <c r="Z18" s="19"/>
      <c r="AA18" s="19"/>
      <c r="AB18" s="19"/>
      <c r="AC18" s="63"/>
      <c r="AD18" s="19"/>
      <c r="AE18" s="19"/>
      <c r="AF18" s="19"/>
      <c r="AG18" s="19"/>
      <c r="AH18" s="63"/>
      <c r="AI18" s="19"/>
      <c r="AJ18" s="19"/>
      <c r="AK18" s="19"/>
      <c r="AL18" s="19"/>
      <c r="AM18" s="63"/>
      <c r="AN18" s="19"/>
      <c r="AO18" s="19"/>
      <c r="AP18" s="64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99.0</v>
      </c>
      <c r="F19" s="19">
        <v>69.0</v>
      </c>
      <c r="G19" s="19">
        <v>95.0</v>
      </c>
      <c r="H19" s="19">
        <v>53.0</v>
      </c>
      <c r="I19" s="19">
        <v>84.0</v>
      </c>
      <c r="J19" s="19">
        <v>98.0</v>
      </c>
      <c r="K19" s="19">
        <v>111.0</v>
      </c>
      <c r="L19" s="19">
        <v>112.0</v>
      </c>
      <c r="M19" s="19">
        <v>109.0</v>
      </c>
      <c r="N19" s="19">
        <v>90.0</v>
      </c>
      <c r="O19" s="19">
        <v>77.0</v>
      </c>
      <c r="P19" s="19">
        <v>80.0</v>
      </c>
      <c r="Q19" s="19">
        <v>95.0</v>
      </c>
      <c r="R19" s="19">
        <v>101.0</v>
      </c>
      <c r="S19" s="19">
        <v>107.0</v>
      </c>
      <c r="T19" s="19">
        <v>88.0</v>
      </c>
      <c r="U19" s="19">
        <v>64.0</v>
      </c>
      <c r="V19" s="19">
        <v>114.0</v>
      </c>
      <c r="W19" s="19">
        <v>74.0</v>
      </c>
      <c r="X19" s="19">
        <v>104.0</v>
      </c>
      <c r="Y19" s="19">
        <v>115.0</v>
      </c>
      <c r="Z19" s="19">
        <v>85.0</v>
      </c>
      <c r="AA19" s="19">
        <v>75.0</v>
      </c>
      <c r="AB19" s="19">
        <v>89.0</v>
      </c>
      <c r="AC19" s="19">
        <v>73.0</v>
      </c>
      <c r="AD19" s="19">
        <v>69.0</v>
      </c>
      <c r="AE19" s="19">
        <v>82.0</v>
      </c>
      <c r="AF19" s="19">
        <v>83.0</v>
      </c>
      <c r="AG19" s="19">
        <v>89.0</v>
      </c>
      <c r="AH19" s="19">
        <v>92.0</v>
      </c>
      <c r="AI19" s="19">
        <v>74.0</v>
      </c>
      <c r="AJ19" s="19">
        <v>86.0</v>
      </c>
      <c r="AK19" s="19">
        <v>93.0</v>
      </c>
      <c r="AL19" s="19">
        <v>95.0</v>
      </c>
      <c r="AM19" s="19">
        <v>104.0</v>
      </c>
      <c r="AN19" s="19">
        <v>82.0</v>
      </c>
      <c r="AO19" s="19">
        <v>90.0</v>
      </c>
      <c r="AP19" s="13">
        <f t="shared" ref="AP19:AP30" si="3">SUM(E19:AO19)</f>
        <v>3300</v>
      </c>
    </row>
    <row r="20" ht="12.75" customHeight="1">
      <c r="A20" s="34"/>
      <c r="B20" s="27"/>
      <c r="C20" s="35"/>
      <c r="D20" s="19" t="s">
        <v>13</v>
      </c>
      <c r="E20" s="19">
        <v>122.0</v>
      </c>
      <c r="F20" s="19">
        <v>69.0</v>
      </c>
      <c r="G20" s="19">
        <v>98.0</v>
      </c>
      <c r="H20" s="19">
        <v>73.0</v>
      </c>
      <c r="I20" s="19">
        <v>75.0</v>
      </c>
      <c r="J20" s="19">
        <v>97.0</v>
      </c>
      <c r="K20" s="19">
        <v>121.0</v>
      </c>
      <c r="L20" s="19">
        <v>123.0</v>
      </c>
      <c r="M20" s="19">
        <v>119.0</v>
      </c>
      <c r="N20" s="19">
        <v>94.0</v>
      </c>
      <c r="O20" s="19">
        <v>84.0</v>
      </c>
      <c r="P20" s="19">
        <v>91.0</v>
      </c>
      <c r="Q20" s="19">
        <v>108.0</v>
      </c>
      <c r="R20" s="19">
        <v>116.0</v>
      </c>
      <c r="S20" s="19">
        <v>106.0</v>
      </c>
      <c r="T20" s="19">
        <v>103.0</v>
      </c>
      <c r="U20" s="19">
        <v>66.0</v>
      </c>
      <c r="V20" s="19">
        <v>122.0</v>
      </c>
      <c r="W20" s="19">
        <v>79.0</v>
      </c>
      <c r="X20" s="19">
        <v>107.0</v>
      </c>
      <c r="Y20" s="19">
        <v>125.0</v>
      </c>
      <c r="Z20" s="19">
        <v>106.0</v>
      </c>
      <c r="AA20" s="19">
        <v>94.0</v>
      </c>
      <c r="AB20" s="19">
        <v>89.0</v>
      </c>
      <c r="AC20" s="19">
        <v>87.0</v>
      </c>
      <c r="AD20" s="19">
        <v>77.0</v>
      </c>
      <c r="AE20" s="19">
        <v>86.0</v>
      </c>
      <c r="AF20" s="19">
        <v>93.0</v>
      </c>
      <c r="AG20" s="19">
        <v>107.0</v>
      </c>
      <c r="AH20" s="19">
        <v>89.0</v>
      </c>
      <c r="AI20" s="19">
        <v>87.0</v>
      </c>
      <c r="AJ20" s="19">
        <v>98.0</v>
      </c>
      <c r="AK20" s="19">
        <v>92.0</v>
      </c>
      <c r="AL20" s="19">
        <v>115.0</v>
      </c>
      <c r="AM20" s="19">
        <v>99.0</v>
      </c>
      <c r="AN20" s="19">
        <v>98.0</v>
      </c>
      <c r="AO20" s="19">
        <v>98.0</v>
      </c>
      <c r="AP20" s="13">
        <f t="shared" si="3"/>
        <v>3613</v>
      </c>
    </row>
    <row r="21" ht="12.75" customHeight="1">
      <c r="A21" s="36"/>
      <c r="B21" s="28"/>
      <c r="C21" s="37"/>
      <c r="D21" s="13" t="s">
        <v>14</v>
      </c>
      <c r="E21" s="13">
        <f t="shared" ref="E21:AO21" si="4">SUM(E19:E20)</f>
        <v>221</v>
      </c>
      <c r="F21" s="13">
        <f t="shared" si="4"/>
        <v>138</v>
      </c>
      <c r="G21" s="13">
        <f t="shared" si="4"/>
        <v>193</v>
      </c>
      <c r="H21" s="13">
        <f t="shared" si="4"/>
        <v>126</v>
      </c>
      <c r="I21" s="13">
        <f t="shared" si="4"/>
        <v>159</v>
      </c>
      <c r="J21" s="13">
        <f t="shared" si="4"/>
        <v>195</v>
      </c>
      <c r="K21" s="13">
        <f t="shared" si="4"/>
        <v>232</v>
      </c>
      <c r="L21" s="13">
        <f t="shared" si="4"/>
        <v>235</v>
      </c>
      <c r="M21" s="13">
        <f t="shared" si="4"/>
        <v>228</v>
      </c>
      <c r="N21" s="13">
        <f t="shared" si="4"/>
        <v>184</v>
      </c>
      <c r="O21" s="13">
        <f t="shared" si="4"/>
        <v>161</v>
      </c>
      <c r="P21" s="13">
        <f t="shared" si="4"/>
        <v>171</v>
      </c>
      <c r="Q21" s="13">
        <f t="shared" si="4"/>
        <v>203</v>
      </c>
      <c r="R21" s="13">
        <f t="shared" si="4"/>
        <v>217</v>
      </c>
      <c r="S21" s="13">
        <f t="shared" si="4"/>
        <v>213</v>
      </c>
      <c r="T21" s="13">
        <f t="shared" si="4"/>
        <v>191</v>
      </c>
      <c r="U21" s="13">
        <f t="shared" si="4"/>
        <v>130</v>
      </c>
      <c r="V21" s="13">
        <f t="shared" si="4"/>
        <v>236</v>
      </c>
      <c r="W21" s="13">
        <f t="shared" si="4"/>
        <v>153</v>
      </c>
      <c r="X21" s="13">
        <f t="shared" si="4"/>
        <v>211</v>
      </c>
      <c r="Y21" s="13">
        <f t="shared" si="4"/>
        <v>240</v>
      </c>
      <c r="Z21" s="13">
        <f t="shared" si="4"/>
        <v>191</v>
      </c>
      <c r="AA21" s="13">
        <f t="shared" si="4"/>
        <v>169</v>
      </c>
      <c r="AB21" s="13">
        <f t="shared" si="4"/>
        <v>178</v>
      </c>
      <c r="AC21" s="13">
        <f t="shared" si="4"/>
        <v>160</v>
      </c>
      <c r="AD21" s="13">
        <f t="shared" si="4"/>
        <v>146</v>
      </c>
      <c r="AE21" s="13">
        <f t="shared" si="4"/>
        <v>168</v>
      </c>
      <c r="AF21" s="13">
        <f t="shared" si="4"/>
        <v>176</v>
      </c>
      <c r="AG21" s="13">
        <f t="shared" si="4"/>
        <v>196</v>
      </c>
      <c r="AH21" s="13">
        <f t="shared" si="4"/>
        <v>181</v>
      </c>
      <c r="AI21" s="13">
        <f t="shared" si="4"/>
        <v>161</v>
      </c>
      <c r="AJ21" s="13">
        <f t="shared" si="4"/>
        <v>184</v>
      </c>
      <c r="AK21" s="13">
        <f t="shared" si="4"/>
        <v>185</v>
      </c>
      <c r="AL21" s="13">
        <f t="shared" si="4"/>
        <v>210</v>
      </c>
      <c r="AM21" s="13">
        <f t="shared" si="4"/>
        <v>203</v>
      </c>
      <c r="AN21" s="13">
        <f t="shared" si="4"/>
        <v>180</v>
      </c>
      <c r="AO21" s="13">
        <f t="shared" si="4"/>
        <v>188</v>
      </c>
      <c r="AP21" s="13">
        <f t="shared" si="3"/>
        <v>6913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>
        <v>1.0</v>
      </c>
      <c r="J22" s="19"/>
      <c r="K22" s="19"/>
      <c r="L22" s="19"/>
      <c r="M22" s="19"/>
      <c r="N22" s="19"/>
      <c r="O22" s="19"/>
      <c r="P22" s="19">
        <v>1.0</v>
      </c>
      <c r="Q22" s="19">
        <v>2.0</v>
      </c>
      <c r="R22" s="19"/>
      <c r="S22" s="19"/>
      <c r="T22" s="19"/>
      <c r="U22" s="19">
        <v>1.0</v>
      </c>
      <c r="V22" s="19">
        <v>2.0</v>
      </c>
      <c r="W22" s="19">
        <v>1.0</v>
      </c>
      <c r="X22" s="19"/>
      <c r="Y22" s="19"/>
      <c r="Z22" s="19"/>
      <c r="AA22" s="19"/>
      <c r="AB22" s="19"/>
      <c r="AC22" s="19"/>
      <c r="AD22" s="19"/>
      <c r="AE22" s="19"/>
      <c r="AF22" s="19"/>
      <c r="AG22" s="19">
        <v>1.0</v>
      </c>
      <c r="AH22" s="19">
        <v>1.0</v>
      </c>
      <c r="AI22" s="19">
        <v>1.0</v>
      </c>
      <c r="AJ22" s="19">
        <v>2.0</v>
      </c>
      <c r="AK22" s="19">
        <v>1.0</v>
      </c>
      <c r="AL22" s="19"/>
      <c r="AM22" s="19">
        <v>1.0</v>
      </c>
      <c r="AN22" s="19">
        <v>1.0</v>
      </c>
      <c r="AO22" s="19">
        <v>1.0</v>
      </c>
      <c r="AP22" s="13">
        <f t="shared" si="3"/>
        <v>17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>
        <v>1.0</v>
      </c>
      <c r="N23" s="19">
        <v>1.0</v>
      </c>
      <c r="O23" s="19">
        <v>1.0</v>
      </c>
      <c r="P23" s="19"/>
      <c r="Q23" s="19">
        <v>2.0</v>
      </c>
      <c r="R23" s="19">
        <v>3.0</v>
      </c>
      <c r="S23" s="19">
        <v>1.0</v>
      </c>
      <c r="T23" s="19"/>
      <c r="U23" s="19">
        <v>1.0</v>
      </c>
      <c r="V23" s="19">
        <v>2.0</v>
      </c>
      <c r="W23" s="19">
        <v>1.0</v>
      </c>
      <c r="X23" s="19"/>
      <c r="Y23" s="19">
        <v>1.0</v>
      </c>
      <c r="Z23" s="19"/>
      <c r="AA23" s="19"/>
      <c r="AB23" s="19"/>
      <c r="AC23" s="19"/>
      <c r="AD23" s="19"/>
      <c r="AE23" s="19"/>
      <c r="AF23" s="19">
        <v>2.0</v>
      </c>
      <c r="AG23" s="19"/>
      <c r="AH23" s="19"/>
      <c r="AI23" s="19"/>
      <c r="AJ23" s="19">
        <v>2.0</v>
      </c>
      <c r="AK23" s="19"/>
      <c r="AL23" s="19"/>
      <c r="AM23" s="19"/>
      <c r="AN23" s="19"/>
      <c r="AO23" s="19"/>
      <c r="AP23" s="13">
        <f t="shared" si="3"/>
        <v>18</v>
      </c>
    </row>
    <row r="24" ht="12.75" customHeight="1">
      <c r="A24" s="36"/>
      <c r="B24" s="28"/>
      <c r="C24" s="37"/>
      <c r="D24" s="13" t="s">
        <v>14</v>
      </c>
      <c r="E24" s="13">
        <f t="shared" ref="E24:AO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1</v>
      </c>
      <c r="O24" s="13">
        <f t="shared" si="5"/>
        <v>1</v>
      </c>
      <c r="P24" s="13">
        <f t="shared" si="5"/>
        <v>1</v>
      </c>
      <c r="Q24" s="13">
        <f t="shared" si="5"/>
        <v>4</v>
      </c>
      <c r="R24" s="13">
        <f t="shared" si="5"/>
        <v>3</v>
      </c>
      <c r="S24" s="13">
        <f t="shared" si="5"/>
        <v>1</v>
      </c>
      <c r="T24" s="13">
        <f t="shared" si="5"/>
        <v>0</v>
      </c>
      <c r="U24" s="13">
        <f t="shared" si="5"/>
        <v>2</v>
      </c>
      <c r="V24" s="13">
        <f t="shared" si="5"/>
        <v>4</v>
      </c>
      <c r="W24" s="13">
        <f t="shared" si="5"/>
        <v>2</v>
      </c>
      <c r="X24" s="13">
        <f t="shared" si="5"/>
        <v>0</v>
      </c>
      <c r="Y24" s="13">
        <f t="shared" si="5"/>
        <v>1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2</v>
      </c>
      <c r="AG24" s="13">
        <f t="shared" si="5"/>
        <v>1</v>
      </c>
      <c r="AH24" s="13">
        <f t="shared" si="5"/>
        <v>1</v>
      </c>
      <c r="AI24" s="13">
        <f t="shared" si="5"/>
        <v>1</v>
      </c>
      <c r="AJ24" s="13">
        <f t="shared" si="5"/>
        <v>4</v>
      </c>
      <c r="AK24" s="13">
        <f t="shared" si="5"/>
        <v>1</v>
      </c>
      <c r="AL24" s="13">
        <f t="shared" si="5"/>
        <v>0</v>
      </c>
      <c r="AM24" s="13">
        <f t="shared" si="5"/>
        <v>1</v>
      </c>
      <c r="AN24" s="13">
        <f t="shared" si="5"/>
        <v>1</v>
      </c>
      <c r="AO24" s="13">
        <f t="shared" si="5"/>
        <v>1</v>
      </c>
      <c r="AP24" s="13">
        <f t="shared" si="3"/>
        <v>35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>
        <v>1.0</v>
      </c>
      <c r="G25" s="19"/>
      <c r="H25" s="19">
        <v>1.0</v>
      </c>
      <c r="I25" s="19"/>
      <c r="J25" s="19">
        <v>1.0</v>
      </c>
      <c r="K25" s="19"/>
      <c r="L25" s="19">
        <v>1.0</v>
      </c>
      <c r="M25" s="19"/>
      <c r="N25" s="19"/>
      <c r="O25" s="19"/>
      <c r="P25" s="19">
        <v>1.0</v>
      </c>
      <c r="Q25" s="19"/>
      <c r="R25" s="19">
        <v>4.0</v>
      </c>
      <c r="S25" s="19"/>
      <c r="T25" s="19">
        <v>3.0</v>
      </c>
      <c r="U25" s="19"/>
      <c r="V25" s="19">
        <v>1.0</v>
      </c>
      <c r="W25" s="19">
        <v>1.0</v>
      </c>
      <c r="X25" s="19">
        <v>2.0</v>
      </c>
      <c r="Y25" s="19"/>
      <c r="Z25" s="19">
        <v>2.0</v>
      </c>
      <c r="AA25" s="19">
        <v>4.0</v>
      </c>
      <c r="AB25" s="19">
        <v>4.0</v>
      </c>
      <c r="AC25" s="19"/>
      <c r="AD25" s="19"/>
      <c r="AE25" s="19">
        <v>3.0</v>
      </c>
      <c r="AF25" s="19"/>
      <c r="AG25" s="19"/>
      <c r="AH25" s="19">
        <v>5.0</v>
      </c>
      <c r="AI25" s="19">
        <v>2.0</v>
      </c>
      <c r="AJ25" s="19"/>
      <c r="AK25" s="19">
        <v>1.0</v>
      </c>
      <c r="AL25" s="19"/>
      <c r="AM25" s="19"/>
      <c r="AN25" s="19"/>
      <c r="AO25" s="19"/>
      <c r="AP25" s="13">
        <f t="shared" si="3"/>
        <v>37</v>
      </c>
    </row>
    <row r="26" ht="12.75" customHeight="1">
      <c r="A26" s="34"/>
      <c r="B26" s="27"/>
      <c r="C26" s="35"/>
      <c r="D26" s="19" t="s">
        <v>13</v>
      </c>
      <c r="E26" s="19"/>
      <c r="F26" s="19">
        <v>1.0</v>
      </c>
      <c r="G26" s="19">
        <v>2.0</v>
      </c>
      <c r="H26" s="19">
        <v>1.0</v>
      </c>
      <c r="I26" s="19">
        <v>3.0</v>
      </c>
      <c r="J26" s="19">
        <v>3.0</v>
      </c>
      <c r="K26" s="19"/>
      <c r="L26" s="19">
        <v>2.0</v>
      </c>
      <c r="M26" s="19">
        <v>1.0</v>
      </c>
      <c r="N26" s="19"/>
      <c r="O26" s="19">
        <v>3.0</v>
      </c>
      <c r="P26" s="19">
        <v>1.0</v>
      </c>
      <c r="Q26" s="19"/>
      <c r="R26" s="19">
        <v>9.0</v>
      </c>
      <c r="S26" s="19"/>
      <c r="T26" s="19">
        <v>5.0</v>
      </c>
      <c r="U26" s="19"/>
      <c r="V26" s="19">
        <v>1.0</v>
      </c>
      <c r="W26" s="19"/>
      <c r="X26" s="19">
        <v>1.0</v>
      </c>
      <c r="Y26" s="19"/>
      <c r="Z26" s="19">
        <v>3.0</v>
      </c>
      <c r="AA26" s="19">
        <v>3.0</v>
      </c>
      <c r="AB26" s="19">
        <v>3.0</v>
      </c>
      <c r="AC26" s="19">
        <v>2.0</v>
      </c>
      <c r="AD26" s="19"/>
      <c r="AE26" s="19">
        <v>2.0</v>
      </c>
      <c r="AF26" s="19"/>
      <c r="AG26" s="19"/>
      <c r="AH26" s="19">
        <v>4.0</v>
      </c>
      <c r="AI26" s="19">
        <v>3.0</v>
      </c>
      <c r="AJ26" s="19"/>
      <c r="AK26" s="19">
        <v>2.0</v>
      </c>
      <c r="AL26" s="19"/>
      <c r="AM26" s="19">
        <v>4.0</v>
      </c>
      <c r="AN26" s="19"/>
      <c r="AO26" s="19"/>
      <c r="AP26" s="13">
        <f t="shared" si="3"/>
        <v>59</v>
      </c>
    </row>
    <row r="27" ht="12.75" customHeight="1">
      <c r="A27" s="36"/>
      <c r="B27" s="28"/>
      <c r="C27" s="37"/>
      <c r="D27" s="13" t="s">
        <v>14</v>
      </c>
      <c r="E27" s="13">
        <f t="shared" ref="E27:AO27" si="6">SUM(E25:E26)</f>
        <v>0</v>
      </c>
      <c r="F27" s="13">
        <f t="shared" si="6"/>
        <v>2</v>
      </c>
      <c r="G27" s="13">
        <f t="shared" si="6"/>
        <v>2</v>
      </c>
      <c r="H27" s="13">
        <f t="shared" si="6"/>
        <v>2</v>
      </c>
      <c r="I27" s="13">
        <f t="shared" si="6"/>
        <v>3</v>
      </c>
      <c r="J27" s="13">
        <f t="shared" si="6"/>
        <v>4</v>
      </c>
      <c r="K27" s="13">
        <f t="shared" si="6"/>
        <v>0</v>
      </c>
      <c r="L27" s="13">
        <f t="shared" si="6"/>
        <v>3</v>
      </c>
      <c r="M27" s="13">
        <f t="shared" si="6"/>
        <v>1</v>
      </c>
      <c r="N27" s="13">
        <f t="shared" si="6"/>
        <v>0</v>
      </c>
      <c r="O27" s="13">
        <f t="shared" si="6"/>
        <v>3</v>
      </c>
      <c r="P27" s="13">
        <f t="shared" si="6"/>
        <v>2</v>
      </c>
      <c r="Q27" s="13">
        <f t="shared" si="6"/>
        <v>0</v>
      </c>
      <c r="R27" s="13">
        <f t="shared" si="6"/>
        <v>13</v>
      </c>
      <c r="S27" s="13">
        <f t="shared" si="6"/>
        <v>0</v>
      </c>
      <c r="T27" s="13">
        <f t="shared" si="6"/>
        <v>8</v>
      </c>
      <c r="U27" s="13">
        <f t="shared" si="6"/>
        <v>0</v>
      </c>
      <c r="V27" s="13">
        <f t="shared" si="6"/>
        <v>2</v>
      </c>
      <c r="W27" s="13">
        <f t="shared" si="6"/>
        <v>1</v>
      </c>
      <c r="X27" s="13">
        <f t="shared" si="6"/>
        <v>3</v>
      </c>
      <c r="Y27" s="13">
        <f t="shared" si="6"/>
        <v>0</v>
      </c>
      <c r="Z27" s="13">
        <f t="shared" si="6"/>
        <v>5</v>
      </c>
      <c r="AA27" s="13">
        <f t="shared" si="6"/>
        <v>7</v>
      </c>
      <c r="AB27" s="13">
        <f t="shared" si="6"/>
        <v>7</v>
      </c>
      <c r="AC27" s="13">
        <f t="shared" si="6"/>
        <v>2</v>
      </c>
      <c r="AD27" s="13">
        <f t="shared" si="6"/>
        <v>0</v>
      </c>
      <c r="AE27" s="13">
        <f t="shared" si="6"/>
        <v>5</v>
      </c>
      <c r="AF27" s="13">
        <f t="shared" si="6"/>
        <v>0</v>
      </c>
      <c r="AG27" s="13">
        <f t="shared" si="6"/>
        <v>0</v>
      </c>
      <c r="AH27" s="13">
        <f t="shared" si="6"/>
        <v>9</v>
      </c>
      <c r="AI27" s="13">
        <f t="shared" si="6"/>
        <v>5</v>
      </c>
      <c r="AJ27" s="13">
        <f t="shared" si="6"/>
        <v>0</v>
      </c>
      <c r="AK27" s="13">
        <f t="shared" si="6"/>
        <v>3</v>
      </c>
      <c r="AL27" s="13">
        <f t="shared" si="6"/>
        <v>0</v>
      </c>
      <c r="AM27" s="13">
        <f t="shared" si="6"/>
        <v>4</v>
      </c>
      <c r="AN27" s="13">
        <f t="shared" si="6"/>
        <v>0</v>
      </c>
      <c r="AO27" s="13">
        <f t="shared" si="6"/>
        <v>0</v>
      </c>
      <c r="AP27" s="13">
        <f t="shared" si="3"/>
        <v>96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AO28" si="7">SUM(E19,E22,E25)</f>
        <v>99</v>
      </c>
      <c r="F28" s="13">
        <f t="shared" si="7"/>
        <v>70</v>
      </c>
      <c r="G28" s="13">
        <f t="shared" si="7"/>
        <v>95</v>
      </c>
      <c r="H28" s="13">
        <f t="shared" si="7"/>
        <v>54</v>
      </c>
      <c r="I28" s="13">
        <f t="shared" si="7"/>
        <v>85</v>
      </c>
      <c r="J28" s="13">
        <f t="shared" si="7"/>
        <v>99</v>
      </c>
      <c r="K28" s="13">
        <f t="shared" si="7"/>
        <v>111</v>
      </c>
      <c r="L28" s="13">
        <f t="shared" si="7"/>
        <v>113</v>
      </c>
      <c r="M28" s="13">
        <f t="shared" si="7"/>
        <v>109</v>
      </c>
      <c r="N28" s="13">
        <f t="shared" si="7"/>
        <v>90</v>
      </c>
      <c r="O28" s="13">
        <f t="shared" si="7"/>
        <v>77</v>
      </c>
      <c r="P28" s="13">
        <f t="shared" si="7"/>
        <v>82</v>
      </c>
      <c r="Q28" s="13">
        <f t="shared" si="7"/>
        <v>97</v>
      </c>
      <c r="R28" s="13">
        <f t="shared" si="7"/>
        <v>105</v>
      </c>
      <c r="S28" s="13">
        <f t="shared" si="7"/>
        <v>107</v>
      </c>
      <c r="T28" s="13">
        <f t="shared" si="7"/>
        <v>91</v>
      </c>
      <c r="U28" s="13">
        <f t="shared" si="7"/>
        <v>65</v>
      </c>
      <c r="V28" s="13">
        <f t="shared" si="7"/>
        <v>117</v>
      </c>
      <c r="W28" s="13">
        <f t="shared" si="7"/>
        <v>76</v>
      </c>
      <c r="X28" s="13">
        <f t="shared" si="7"/>
        <v>106</v>
      </c>
      <c r="Y28" s="13">
        <f t="shared" si="7"/>
        <v>115</v>
      </c>
      <c r="Z28" s="13">
        <f t="shared" si="7"/>
        <v>87</v>
      </c>
      <c r="AA28" s="13">
        <f t="shared" si="7"/>
        <v>79</v>
      </c>
      <c r="AB28" s="13">
        <f t="shared" si="7"/>
        <v>93</v>
      </c>
      <c r="AC28" s="13">
        <f t="shared" si="7"/>
        <v>73</v>
      </c>
      <c r="AD28" s="13">
        <f t="shared" si="7"/>
        <v>69</v>
      </c>
      <c r="AE28" s="13">
        <f t="shared" si="7"/>
        <v>85</v>
      </c>
      <c r="AF28" s="13">
        <f t="shared" si="7"/>
        <v>83</v>
      </c>
      <c r="AG28" s="13">
        <f t="shared" si="7"/>
        <v>90</v>
      </c>
      <c r="AH28" s="13">
        <f t="shared" si="7"/>
        <v>98</v>
      </c>
      <c r="AI28" s="13">
        <f t="shared" si="7"/>
        <v>77</v>
      </c>
      <c r="AJ28" s="13">
        <f t="shared" si="7"/>
        <v>88</v>
      </c>
      <c r="AK28" s="13">
        <f t="shared" si="7"/>
        <v>95</v>
      </c>
      <c r="AL28" s="13">
        <f t="shared" si="7"/>
        <v>95</v>
      </c>
      <c r="AM28" s="13">
        <f t="shared" si="7"/>
        <v>105</v>
      </c>
      <c r="AN28" s="13">
        <f t="shared" si="7"/>
        <v>83</v>
      </c>
      <c r="AO28" s="13">
        <f t="shared" si="7"/>
        <v>91</v>
      </c>
      <c r="AP28" s="13">
        <f t="shared" si="3"/>
        <v>3354</v>
      </c>
    </row>
    <row r="29" ht="12.75" customHeight="1">
      <c r="A29" s="36"/>
      <c r="B29" s="27"/>
      <c r="C29" s="35"/>
      <c r="D29" s="13" t="s">
        <v>13</v>
      </c>
      <c r="E29" s="13">
        <f t="shared" ref="E29:AO29" si="8">SUM(E20,E23,E26)</f>
        <v>122</v>
      </c>
      <c r="F29" s="13">
        <f t="shared" si="8"/>
        <v>70</v>
      </c>
      <c r="G29" s="13">
        <f t="shared" si="8"/>
        <v>100</v>
      </c>
      <c r="H29" s="13">
        <f t="shared" si="8"/>
        <v>74</v>
      </c>
      <c r="I29" s="13">
        <f t="shared" si="8"/>
        <v>78</v>
      </c>
      <c r="J29" s="13">
        <f t="shared" si="8"/>
        <v>100</v>
      </c>
      <c r="K29" s="13">
        <f t="shared" si="8"/>
        <v>121</v>
      </c>
      <c r="L29" s="13">
        <f t="shared" si="8"/>
        <v>125</v>
      </c>
      <c r="M29" s="13">
        <f t="shared" si="8"/>
        <v>121</v>
      </c>
      <c r="N29" s="13">
        <f t="shared" si="8"/>
        <v>95</v>
      </c>
      <c r="O29" s="13">
        <f t="shared" si="8"/>
        <v>88</v>
      </c>
      <c r="P29" s="13">
        <f t="shared" si="8"/>
        <v>92</v>
      </c>
      <c r="Q29" s="13">
        <f t="shared" si="8"/>
        <v>110</v>
      </c>
      <c r="R29" s="13">
        <f t="shared" si="8"/>
        <v>128</v>
      </c>
      <c r="S29" s="13">
        <f t="shared" si="8"/>
        <v>107</v>
      </c>
      <c r="T29" s="13">
        <f t="shared" si="8"/>
        <v>108</v>
      </c>
      <c r="U29" s="13">
        <f t="shared" si="8"/>
        <v>67</v>
      </c>
      <c r="V29" s="13">
        <f t="shared" si="8"/>
        <v>125</v>
      </c>
      <c r="W29" s="13">
        <f t="shared" si="8"/>
        <v>80</v>
      </c>
      <c r="X29" s="13">
        <f t="shared" si="8"/>
        <v>108</v>
      </c>
      <c r="Y29" s="13">
        <f t="shared" si="8"/>
        <v>126</v>
      </c>
      <c r="Z29" s="13">
        <f t="shared" si="8"/>
        <v>109</v>
      </c>
      <c r="AA29" s="13">
        <f t="shared" si="8"/>
        <v>97</v>
      </c>
      <c r="AB29" s="13">
        <f t="shared" si="8"/>
        <v>92</v>
      </c>
      <c r="AC29" s="13">
        <f t="shared" si="8"/>
        <v>89</v>
      </c>
      <c r="AD29" s="13">
        <f t="shared" si="8"/>
        <v>77</v>
      </c>
      <c r="AE29" s="13">
        <f t="shared" si="8"/>
        <v>88</v>
      </c>
      <c r="AF29" s="13">
        <f t="shared" si="8"/>
        <v>95</v>
      </c>
      <c r="AG29" s="13">
        <f t="shared" si="8"/>
        <v>107</v>
      </c>
      <c r="AH29" s="13">
        <f t="shared" si="8"/>
        <v>93</v>
      </c>
      <c r="AI29" s="13">
        <f t="shared" si="8"/>
        <v>90</v>
      </c>
      <c r="AJ29" s="13">
        <f t="shared" si="8"/>
        <v>100</v>
      </c>
      <c r="AK29" s="13">
        <f t="shared" si="8"/>
        <v>94</v>
      </c>
      <c r="AL29" s="13">
        <f t="shared" si="8"/>
        <v>115</v>
      </c>
      <c r="AM29" s="13">
        <f t="shared" si="8"/>
        <v>103</v>
      </c>
      <c r="AN29" s="13">
        <f t="shared" si="8"/>
        <v>98</v>
      </c>
      <c r="AO29" s="13">
        <f t="shared" si="8"/>
        <v>98</v>
      </c>
      <c r="AP29" s="13">
        <f t="shared" si="3"/>
        <v>3690</v>
      </c>
    </row>
    <row r="30" ht="12.75" customHeight="1">
      <c r="A30" s="36"/>
      <c r="B30" s="28"/>
      <c r="C30" s="37"/>
      <c r="D30" s="13" t="s">
        <v>14</v>
      </c>
      <c r="E30" s="13">
        <f t="shared" ref="E30:AO30" si="9">SUM(E28:E29)</f>
        <v>221</v>
      </c>
      <c r="F30" s="13">
        <f t="shared" si="9"/>
        <v>140</v>
      </c>
      <c r="G30" s="13">
        <f t="shared" si="9"/>
        <v>195</v>
      </c>
      <c r="H30" s="13">
        <f t="shared" si="9"/>
        <v>128</v>
      </c>
      <c r="I30" s="13">
        <f t="shared" si="9"/>
        <v>163</v>
      </c>
      <c r="J30" s="13">
        <f t="shared" si="9"/>
        <v>199</v>
      </c>
      <c r="K30" s="13">
        <f t="shared" si="9"/>
        <v>232</v>
      </c>
      <c r="L30" s="13">
        <f t="shared" si="9"/>
        <v>238</v>
      </c>
      <c r="M30" s="13">
        <f t="shared" si="9"/>
        <v>230</v>
      </c>
      <c r="N30" s="13">
        <f t="shared" si="9"/>
        <v>185</v>
      </c>
      <c r="O30" s="13">
        <f t="shared" si="9"/>
        <v>165</v>
      </c>
      <c r="P30" s="13">
        <f t="shared" si="9"/>
        <v>174</v>
      </c>
      <c r="Q30" s="13">
        <f t="shared" si="9"/>
        <v>207</v>
      </c>
      <c r="R30" s="13">
        <f t="shared" si="9"/>
        <v>233</v>
      </c>
      <c r="S30" s="13">
        <f t="shared" si="9"/>
        <v>214</v>
      </c>
      <c r="T30" s="13">
        <f t="shared" si="9"/>
        <v>199</v>
      </c>
      <c r="U30" s="13">
        <f t="shared" si="9"/>
        <v>132</v>
      </c>
      <c r="V30" s="13">
        <f t="shared" si="9"/>
        <v>242</v>
      </c>
      <c r="W30" s="13">
        <f t="shared" si="9"/>
        <v>156</v>
      </c>
      <c r="X30" s="13">
        <f t="shared" si="9"/>
        <v>214</v>
      </c>
      <c r="Y30" s="13">
        <f t="shared" si="9"/>
        <v>241</v>
      </c>
      <c r="Z30" s="13">
        <f t="shared" si="9"/>
        <v>196</v>
      </c>
      <c r="AA30" s="13">
        <f t="shared" si="9"/>
        <v>176</v>
      </c>
      <c r="AB30" s="13">
        <f t="shared" si="9"/>
        <v>185</v>
      </c>
      <c r="AC30" s="13">
        <f t="shared" si="9"/>
        <v>162</v>
      </c>
      <c r="AD30" s="13">
        <f t="shared" si="9"/>
        <v>146</v>
      </c>
      <c r="AE30" s="13">
        <f t="shared" si="9"/>
        <v>173</v>
      </c>
      <c r="AF30" s="13">
        <f t="shared" si="9"/>
        <v>178</v>
      </c>
      <c r="AG30" s="13">
        <f t="shared" si="9"/>
        <v>197</v>
      </c>
      <c r="AH30" s="13">
        <f t="shared" si="9"/>
        <v>191</v>
      </c>
      <c r="AI30" s="13">
        <f t="shared" si="9"/>
        <v>167</v>
      </c>
      <c r="AJ30" s="13">
        <f t="shared" si="9"/>
        <v>188</v>
      </c>
      <c r="AK30" s="13">
        <f t="shared" si="9"/>
        <v>189</v>
      </c>
      <c r="AL30" s="13">
        <f t="shared" si="9"/>
        <v>210</v>
      </c>
      <c r="AM30" s="13">
        <f t="shared" si="9"/>
        <v>208</v>
      </c>
      <c r="AN30" s="13">
        <f t="shared" si="9"/>
        <v>181</v>
      </c>
      <c r="AO30" s="13">
        <f t="shared" si="9"/>
        <v>189</v>
      </c>
      <c r="AP30" s="13">
        <f t="shared" si="3"/>
        <v>7044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3"/>
      <c r="O31" s="19"/>
      <c r="P31" s="19"/>
      <c r="Q31" s="19"/>
      <c r="R31" s="19"/>
      <c r="S31" s="63"/>
      <c r="T31" s="19"/>
      <c r="U31" s="19"/>
      <c r="V31" s="19"/>
      <c r="W31" s="19"/>
      <c r="X31" s="63"/>
      <c r="Y31" s="19"/>
      <c r="Z31" s="19"/>
      <c r="AA31" s="19"/>
      <c r="AB31" s="19"/>
      <c r="AC31" s="63"/>
      <c r="AD31" s="19"/>
      <c r="AE31" s="19"/>
      <c r="AF31" s="19"/>
      <c r="AG31" s="19"/>
      <c r="AH31" s="63"/>
      <c r="AI31" s="19"/>
      <c r="AJ31" s="19"/>
      <c r="AK31" s="19"/>
      <c r="AL31" s="19"/>
      <c r="AM31" s="63"/>
      <c r="AN31" s="19"/>
      <c r="AO31" s="19"/>
      <c r="AP31" s="64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5"/>
      <c r="O32" s="13"/>
      <c r="P32" s="13"/>
      <c r="Q32" s="13"/>
      <c r="R32" s="13"/>
      <c r="S32" s="65"/>
      <c r="T32" s="13"/>
      <c r="U32" s="13"/>
      <c r="V32" s="13"/>
      <c r="W32" s="13"/>
      <c r="X32" s="65"/>
      <c r="Y32" s="13"/>
      <c r="Z32" s="13"/>
      <c r="AA32" s="13"/>
      <c r="AB32" s="13"/>
      <c r="AC32" s="65"/>
      <c r="AD32" s="13"/>
      <c r="AE32" s="13"/>
      <c r="AF32" s="13"/>
      <c r="AG32" s="13"/>
      <c r="AH32" s="65"/>
      <c r="AI32" s="13"/>
      <c r="AJ32" s="13"/>
      <c r="AK32" s="13"/>
      <c r="AL32" s="13"/>
      <c r="AM32" s="65"/>
      <c r="AN32" s="13"/>
      <c r="AO32" s="13"/>
      <c r="AP32" s="64"/>
    </row>
    <row r="33" ht="12.75" customHeight="1">
      <c r="A33" s="19">
        <v>1.0</v>
      </c>
      <c r="B33" s="20" t="s">
        <v>27</v>
      </c>
      <c r="C33" s="15"/>
      <c r="D33" s="16"/>
      <c r="E33" s="19">
        <v>305.0</v>
      </c>
      <c r="F33" s="19">
        <v>179.0</v>
      </c>
      <c r="G33" s="19">
        <v>254.0</v>
      </c>
      <c r="H33" s="19">
        <v>186.0</v>
      </c>
      <c r="I33" s="19">
        <v>215.0</v>
      </c>
      <c r="J33" s="19">
        <v>250.0</v>
      </c>
      <c r="K33" s="19">
        <v>299.0</v>
      </c>
      <c r="L33" s="19">
        <v>300.0</v>
      </c>
      <c r="M33" s="19">
        <v>297.0</v>
      </c>
      <c r="N33" s="19">
        <v>250.0</v>
      </c>
      <c r="O33" s="19">
        <v>215.0</v>
      </c>
      <c r="P33" s="19">
        <v>236.0</v>
      </c>
      <c r="Q33" s="19">
        <v>258.0</v>
      </c>
      <c r="R33" s="19">
        <v>302.0</v>
      </c>
      <c r="S33" s="19">
        <v>286.0</v>
      </c>
      <c r="T33" s="19">
        <v>272.0</v>
      </c>
      <c r="U33" s="19">
        <v>165.0</v>
      </c>
      <c r="V33" s="19">
        <v>291.0</v>
      </c>
      <c r="W33" s="19">
        <v>198.0</v>
      </c>
      <c r="X33" s="19">
        <v>274.0</v>
      </c>
      <c r="Y33" s="19">
        <v>296.0</v>
      </c>
      <c r="Z33" s="19">
        <v>282.0</v>
      </c>
      <c r="AA33" s="19">
        <v>216.0</v>
      </c>
      <c r="AB33" s="19">
        <v>271.0</v>
      </c>
      <c r="AC33" s="19">
        <v>194.0</v>
      </c>
      <c r="AD33" s="19">
        <v>188.0</v>
      </c>
      <c r="AE33" s="19">
        <v>205.0</v>
      </c>
      <c r="AF33" s="19">
        <v>213.0</v>
      </c>
      <c r="AG33" s="19">
        <v>259.0</v>
      </c>
      <c r="AH33" s="19">
        <v>225.0</v>
      </c>
      <c r="AI33" s="19">
        <v>217.0</v>
      </c>
      <c r="AJ33" s="19">
        <v>225.0</v>
      </c>
      <c r="AK33" s="19">
        <v>225.0</v>
      </c>
      <c r="AL33" s="19">
        <v>286.0</v>
      </c>
      <c r="AM33" s="19">
        <v>255.0</v>
      </c>
      <c r="AN33" s="19">
        <v>229.0</v>
      </c>
      <c r="AO33" s="19">
        <v>207.0</v>
      </c>
      <c r="AP33" s="13">
        <f t="shared" ref="AP33:AP36" si="10">SUM(E33:AO33)</f>
        <v>9025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140.0</v>
      </c>
      <c r="G34" s="13">
        <v>195.0</v>
      </c>
      <c r="H34" s="13">
        <v>128.0</v>
      </c>
      <c r="I34" s="13">
        <v>163.0</v>
      </c>
      <c r="J34" s="13">
        <v>199.0</v>
      </c>
      <c r="K34" s="13">
        <v>232.0</v>
      </c>
      <c r="L34" s="13">
        <v>238.0</v>
      </c>
      <c r="M34" s="13">
        <v>230.0</v>
      </c>
      <c r="N34" s="13">
        <v>185.0</v>
      </c>
      <c r="O34" s="13">
        <v>165.0</v>
      </c>
      <c r="P34" s="13">
        <v>174.0</v>
      </c>
      <c r="Q34" s="13">
        <v>207.0</v>
      </c>
      <c r="R34" s="13">
        <v>233.0</v>
      </c>
      <c r="S34" s="13">
        <v>214.0</v>
      </c>
      <c r="T34" s="13">
        <v>199.0</v>
      </c>
      <c r="U34" s="13">
        <v>132.0</v>
      </c>
      <c r="V34" s="13">
        <v>242.0</v>
      </c>
      <c r="W34" s="13">
        <v>156.0</v>
      </c>
      <c r="X34" s="13">
        <v>214.0</v>
      </c>
      <c r="Y34" s="13">
        <v>241.0</v>
      </c>
      <c r="Z34" s="13">
        <v>196.0</v>
      </c>
      <c r="AA34" s="13">
        <v>176.0</v>
      </c>
      <c r="AB34" s="13">
        <v>185.0</v>
      </c>
      <c r="AC34" s="13">
        <v>162.0</v>
      </c>
      <c r="AD34" s="13">
        <v>146.0</v>
      </c>
      <c r="AE34" s="13">
        <v>173.0</v>
      </c>
      <c r="AF34" s="13">
        <v>178.0</v>
      </c>
      <c r="AG34" s="13">
        <v>197.0</v>
      </c>
      <c r="AH34" s="13">
        <v>191.0</v>
      </c>
      <c r="AI34" s="13">
        <v>167.0</v>
      </c>
      <c r="AJ34" s="13">
        <v>188.0</v>
      </c>
      <c r="AK34" s="13">
        <v>189.0</v>
      </c>
      <c r="AL34" s="13">
        <v>210.0</v>
      </c>
      <c r="AM34" s="13">
        <v>208.0</v>
      </c>
      <c r="AN34" s="13">
        <v>181.0</v>
      </c>
      <c r="AO34" s="13">
        <v>189.0</v>
      </c>
      <c r="AP34" s="13">
        <f t="shared" si="10"/>
        <v>7044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>
        <v>1.0</v>
      </c>
      <c r="L35" s="19"/>
      <c r="M35" s="19"/>
      <c r="N35" s="19"/>
      <c r="O35" s="19"/>
      <c r="P35" s="19"/>
      <c r="Q35" s="19">
        <v>1.0</v>
      </c>
      <c r="R35" s="19"/>
      <c r="S35" s="19"/>
      <c r="T35" s="19"/>
      <c r="U35" s="19"/>
      <c r="V35" s="19">
        <v>2.0</v>
      </c>
      <c r="W35" s="19">
        <v>2.0</v>
      </c>
      <c r="X35" s="19"/>
      <c r="Y35" s="19"/>
      <c r="Z35" s="19"/>
      <c r="AA35" s="19"/>
      <c r="AB35" s="19">
        <v>1.0</v>
      </c>
      <c r="AC35" s="19"/>
      <c r="AD35" s="19"/>
      <c r="AE35" s="19"/>
      <c r="AF35" s="19">
        <v>2.0</v>
      </c>
      <c r="AG35" s="19"/>
      <c r="AH35" s="19"/>
      <c r="AI35" s="19"/>
      <c r="AJ35" s="19"/>
      <c r="AK35" s="19"/>
      <c r="AL35" s="19"/>
      <c r="AM35" s="19"/>
      <c r="AN35" s="19"/>
      <c r="AO35" s="19"/>
      <c r="AP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O36" si="11">E33-(E34+E35)</f>
        <v>84</v>
      </c>
      <c r="F36" s="13">
        <f t="shared" si="11"/>
        <v>39</v>
      </c>
      <c r="G36" s="13">
        <f t="shared" si="11"/>
        <v>59</v>
      </c>
      <c r="H36" s="13">
        <f t="shared" si="11"/>
        <v>58</v>
      </c>
      <c r="I36" s="13">
        <f t="shared" si="11"/>
        <v>52</v>
      </c>
      <c r="J36" s="13">
        <f t="shared" si="11"/>
        <v>51</v>
      </c>
      <c r="K36" s="13">
        <f t="shared" si="11"/>
        <v>66</v>
      </c>
      <c r="L36" s="13">
        <f t="shared" si="11"/>
        <v>62</v>
      </c>
      <c r="M36" s="13">
        <f t="shared" si="11"/>
        <v>67</v>
      </c>
      <c r="N36" s="13">
        <f t="shared" si="11"/>
        <v>65</v>
      </c>
      <c r="O36" s="13">
        <f t="shared" si="11"/>
        <v>50</v>
      </c>
      <c r="P36" s="13">
        <f t="shared" si="11"/>
        <v>62</v>
      </c>
      <c r="Q36" s="13">
        <f t="shared" si="11"/>
        <v>50</v>
      </c>
      <c r="R36" s="13">
        <f t="shared" si="11"/>
        <v>69</v>
      </c>
      <c r="S36" s="13">
        <f t="shared" si="11"/>
        <v>72</v>
      </c>
      <c r="T36" s="13">
        <f t="shared" si="11"/>
        <v>73</v>
      </c>
      <c r="U36" s="13">
        <f t="shared" si="11"/>
        <v>33</v>
      </c>
      <c r="V36" s="13">
        <f t="shared" si="11"/>
        <v>47</v>
      </c>
      <c r="W36" s="13">
        <f t="shared" si="11"/>
        <v>40</v>
      </c>
      <c r="X36" s="13">
        <f t="shared" si="11"/>
        <v>60</v>
      </c>
      <c r="Y36" s="13">
        <f t="shared" si="11"/>
        <v>55</v>
      </c>
      <c r="Z36" s="13">
        <f t="shared" si="11"/>
        <v>86</v>
      </c>
      <c r="AA36" s="13">
        <f t="shared" si="11"/>
        <v>40</v>
      </c>
      <c r="AB36" s="13">
        <f t="shared" si="11"/>
        <v>85</v>
      </c>
      <c r="AC36" s="13">
        <f t="shared" si="11"/>
        <v>32</v>
      </c>
      <c r="AD36" s="13">
        <f t="shared" si="11"/>
        <v>42</v>
      </c>
      <c r="AE36" s="13">
        <f t="shared" si="11"/>
        <v>32</v>
      </c>
      <c r="AF36" s="13">
        <f t="shared" si="11"/>
        <v>33</v>
      </c>
      <c r="AG36" s="13">
        <f t="shared" si="11"/>
        <v>62</v>
      </c>
      <c r="AH36" s="13">
        <f t="shared" si="11"/>
        <v>34</v>
      </c>
      <c r="AI36" s="13">
        <f t="shared" si="11"/>
        <v>50</v>
      </c>
      <c r="AJ36" s="13">
        <f t="shared" si="11"/>
        <v>37</v>
      </c>
      <c r="AK36" s="13">
        <f t="shared" si="11"/>
        <v>36</v>
      </c>
      <c r="AL36" s="13">
        <f t="shared" si="11"/>
        <v>76</v>
      </c>
      <c r="AM36" s="13">
        <f t="shared" si="11"/>
        <v>47</v>
      </c>
      <c r="AN36" s="13">
        <f t="shared" si="11"/>
        <v>48</v>
      </c>
      <c r="AO36" s="13">
        <f t="shared" si="11"/>
        <v>18</v>
      </c>
      <c r="AP36" s="13">
        <f t="shared" si="10"/>
        <v>1972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3"/>
      <c r="O37" s="19"/>
      <c r="P37" s="19"/>
      <c r="Q37" s="19"/>
      <c r="R37" s="19"/>
      <c r="S37" s="63"/>
      <c r="T37" s="19"/>
      <c r="U37" s="19"/>
      <c r="V37" s="19"/>
      <c r="W37" s="19"/>
      <c r="X37" s="63"/>
      <c r="Y37" s="19"/>
      <c r="Z37" s="19"/>
      <c r="AA37" s="19"/>
      <c r="AB37" s="19"/>
      <c r="AC37" s="63"/>
      <c r="AD37" s="19"/>
      <c r="AE37" s="19"/>
      <c r="AF37" s="19"/>
      <c r="AG37" s="19"/>
      <c r="AH37" s="63"/>
      <c r="AI37" s="19"/>
      <c r="AJ37" s="19"/>
      <c r="AK37" s="19"/>
      <c r="AL37" s="19"/>
      <c r="AM37" s="63"/>
      <c r="AN37" s="19"/>
      <c r="AO37" s="19"/>
      <c r="AP37" s="64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5"/>
      <c r="O38" s="13"/>
      <c r="P38" s="13"/>
      <c r="Q38" s="13"/>
      <c r="R38" s="13"/>
      <c r="S38" s="65"/>
      <c r="T38" s="13"/>
      <c r="U38" s="13"/>
      <c r="V38" s="13"/>
      <c r="W38" s="13"/>
      <c r="X38" s="65"/>
      <c r="Y38" s="13"/>
      <c r="Z38" s="13"/>
      <c r="AA38" s="13"/>
      <c r="AB38" s="13"/>
      <c r="AC38" s="65"/>
      <c r="AD38" s="13"/>
      <c r="AE38" s="13"/>
      <c r="AF38" s="13"/>
      <c r="AG38" s="13"/>
      <c r="AH38" s="65"/>
      <c r="AI38" s="13"/>
      <c r="AJ38" s="13"/>
      <c r="AK38" s="13"/>
      <c r="AL38" s="13"/>
      <c r="AM38" s="65"/>
      <c r="AN38" s="13"/>
      <c r="AO38" s="13"/>
      <c r="AP38" s="64"/>
    </row>
    <row r="39" ht="12.75" customHeight="1">
      <c r="A39" s="31"/>
      <c r="B39" s="45" t="s">
        <v>33</v>
      </c>
      <c r="C39" s="23"/>
      <c r="D39" s="19" t="s">
        <v>12</v>
      </c>
      <c r="E39" s="19"/>
      <c r="F39" s="19"/>
      <c r="G39" s="19"/>
      <c r="H39" s="19"/>
      <c r="I39" s="19"/>
      <c r="J39" s="19">
        <v>1.0</v>
      </c>
      <c r="K39" s="19"/>
      <c r="L39" s="19">
        <v>1.0</v>
      </c>
      <c r="M39" s="19"/>
      <c r="N39" s="19"/>
      <c r="O39" s="19">
        <v>2.0</v>
      </c>
      <c r="P39" s="19"/>
      <c r="Q39" s="19"/>
      <c r="R39" s="19"/>
      <c r="S39" s="19"/>
      <c r="T39" s="19"/>
      <c r="U39" s="19"/>
      <c r="V39" s="19"/>
      <c r="W39" s="19">
        <v>2.0</v>
      </c>
      <c r="X39" s="19"/>
      <c r="Y39" s="19"/>
      <c r="Z39" s="19"/>
      <c r="AA39" s="19"/>
      <c r="AB39" s="19"/>
      <c r="AC39" s="19"/>
      <c r="AD39" s="19"/>
      <c r="AE39" s="19"/>
      <c r="AF39" s="19">
        <v>1.0</v>
      </c>
      <c r="AG39" s="19"/>
      <c r="AH39" s="19"/>
      <c r="AI39" s="19"/>
      <c r="AJ39" s="19"/>
      <c r="AK39" s="19"/>
      <c r="AL39" s="19"/>
      <c r="AM39" s="19"/>
      <c r="AN39" s="19"/>
      <c r="AO39" s="19"/>
      <c r="AP39" s="13">
        <f t="shared" ref="AP39:AP41" si="12">SUM(E39:AO39)</f>
        <v>7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>
        <v>5.0</v>
      </c>
      <c r="K40" s="19">
        <v>2.0</v>
      </c>
      <c r="L40" s="19">
        <v>2.0</v>
      </c>
      <c r="M40" s="19"/>
      <c r="N40" s="19"/>
      <c r="O40" s="19">
        <v>2.0</v>
      </c>
      <c r="P40" s="19"/>
      <c r="Q40" s="19"/>
      <c r="R40" s="19"/>
      <c r="S40" s="19"/>
      <c r="T40" s="19">
        <v>1.0</v>
      </c>
      <c r="U40" s="19"/>
      <c r="V40" s="19"/>
      <c r="W40" s="19">
        <v>1.0</v>
      </c>
      <c r="X40" s="19"/>
      <c r="Y40" s="19"/>
      <c r="Z40" s="19"/>
      <c r="AA40" s="19"/>
      <c r="AB40" s="19"/>
      <c r="AC40" s="19"/>
      <c r="AD40" s="19"/>
      <c r="AE40" s="19"/>
      <c r="AF40" s="19">
        <v>1.0</v>
      </c>
      <c r="AG40" s="19"/>
      <c r="AH40" s="19"/>
      <c r="AI40" s="19"/>
      <c r="AJ40" s="19"/>
      <c r="AK40" s="19"/>
      <c r="AL40" s="19"/>
      <c r="AM40" s="19"/>
      <c r="AN40" s="19"/>
      <c r="AO40" s="19"/>
      <c r="AP40" s="13">
        <f t="shared" si="12"/>
        <v>14</v>
      </c>
    </row>
    <row r="41" ht="12.75" customHeight="1">
      <c r="A41" s="43"/>
      <c r="B41" s="46"/>
      <c r="C41" s="28"/>
      <c r="D41" s="13" t="s">
        <v>14</v>
      </c>
      <c r="E41" s="13">
        <f t="shared" ref="E41:AO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6</v>
      </c>
      <c r="K41" s="13">
        <f t="shared" si="13"/>
        <v>2</v>
      </c>
      <c r="L41" s="13">
        <f t="shared" si="13"/>
        <v>3</v>
      </c>
      <c r="M41" s="13">
        <f t="shared" si="13"/>
        <v>0</v>
      </c>
      <c r="N41" s="13">
        <f t="shared" si="13"/>
        <v>0</v>
      </c>
      <c r="O41" s="13">
        <f t="shared" si="13"/>
        <v>4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1</v>
      </c>
      <c r="U41" s="13">
        <f t="shared" si="13"/>
        <v>0</v>
      </c>
      <c r="V41" s="13">
        <f t="shared" si="13"/>
        <v>0</v>
      </c>
      <c r="W41" s="13">
        <f t="shared" si="13"/>
        <v>3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2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2"/>
        <v>21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3"/>
      <c r="O42" s="19"/>
      <c r="P42" s="19"/>
      <c r="Q42" s="19"/>
      <c r="R42" s="19"/>
      <c r="S42" s="63"/>
      <c r="T42" s="19"/>
      <c r="U42" s="19"/>
      <c r="V42" s="19"/>
      <c r="W42" s="19"/>
      <c r="X42" s="63"/>
      <c r="Y42" s="19"/>
      <c r="Z42" s="19"/>
      <c r="AA42" s="19"/>
      <c r="AB42" s="19"/>
      <c r="AC42" s="63"/>
      <c r="AD42" s="19"/>
      <c r="AE42" s="19"/>
      <c r="AF42" s="19"/>
      <c r="AG42" s="19"/>
      <c r="AH42" s="63"/>
      <c r="AI42" s="19"/>
      <c r="AJ42" s="19"/>
      <c r="AK42" s="19"/>
      <c r="AL42" s="19"/>
      <c r="AM42" s="63"/>
      <c r="AN42" s="19"/>
      <c r="AO42" s="19"/>
      <c r="AP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5"/>
      <c r="O43" s="13"/>
      <c r="P43" s="13"/>
      <c r="Q43" s="13"/>
      <c r="R43" s="13"/>
      <c r="S43" s="65"/>
      <c r="T43" s="13"/>
      <c r="U43" s="13"/>
      <c r="V43" s="13"/>
      <c r="W43" s="13"/>
      <c r="X43" s="65"/>
      <c r="Y43" s="13"/>
      <c r="Z43" s="13"/>
      <c r="AA43" s="13"/>
      <c r="AB43" s="13"/>
      <c r="AC43" s="65"/>
      <c r="AD43" s="13"/>
      <c r="AE43" s="13"/>
      <c r="AF43" s="13"/>
      <c r="AG43" s="13"/>
      <c r="AH43" s="65"/>
      <c r="AI43" s="13"/>
      <c r="AJ43" s="13"/>
      <c r="AK43" s="13"/>
      <c r="AL43" s="13"/>
      <c r="AM43" s="65"/>
      <c r="AN43" s="13"/>
      <c r="AO43" s="13"/>
      <c r="AP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3"/>
      <c r="O44" s="19"/>
      <c r="P44" s="19"/>
      <c r="Q44" s="19"/>
      <c r="R44" s="19"/>
      <c r="S44" s="63"/>
      <c r="T44" s="19"/>
      <c r="U44" s="19"/>
      <c r="V44" s="19"/>
      <c r="W44" s="19"/>
      <c r="X44" s="63"/>
      <c r="Y44" s="19"/>
      <c r="Z44" s="19"/>
      <c r="AA44" s="19"/>
      <c r="AB44" s="19"/>
      <c r="AC44" s="63"/>
      <c r="AD44" s="19"/>
      <c r="AE44" s="19"/>
      <c r="AF44" s="19"/>
      <c r="AG44" s="19"/>
      <c r="AH44" s="63"/>
      <c r="AI44" s="19"/>
      <c r="AJ44" s="19"/>
      <c r="AK44" s="19"/>
      <c r="AL44" s="19"/>
      <c r="AM44" s="63"/>
      <c r="AN44" s="19"/>
      <c r="AO44" s="19"/>
      <c r="AP44" s="13"/>
    </row>
    <row r="45" ht="12.75" customHeight="1">
      <c r="A45" s="66"/>
      <c r="B45" s="49">
        <v>1.0</v>
      </c>
      <c r="C45" s="50" t="s">
        <v>37</v>
      </c>
      <c r="D45" s="16"/>
      <c r="E45" s="19">
        <v>21.0</v>
      </c>
      <c r="F45" s="19">
        <v>10.0</v>
      </c>
      <c r="G45" s="19">
        <v>35.0</v>
      </c>
      <c r="H45" s="19">
        <v>20.0</v>
      </c>
      <c r="I45" s="19">
        <v>44.0</v>
      </c>
      <c r="J45" s="19">
        <v>35.0</v>
      </c>
      <c r="K45" s="19">
        <v>53.0</v>
      </c>
      <c r="L45" s="19">
        <v>84.0</v>
      </c>
      <c r="M45" s="19">
        <v>53.0</v>
      </c>
      <c r="N45" s="19">
        <v>37.0</v>
      </c>
      <c r="O45" s="19">
        <v>33.0</v>
      </c>
      <c r="P45" s="19">
        <v>34.0</v>
      </c>
      <c r="Q45" s="19">
        <v>30.0</v>
      </c>
      <c r="R45" s="19">
        <v>50.0</v>
      </c>
      <c r="S45" s="19">
        <v>13.0</v>
      </c>
      <c r="T45" s="19">
        <v>29.0</v>
      </c>
      <c r="U45" s="19">
        <v>31.0</v>
      </c>
      <c r="V45" s="19">
        <v>21.0</v>
      </c>
      <c r="W45" s="19">
        <v>12.0</v>
      </c>
      <c r="X45" s="19">
        <v>18.0</v>
      </c>
      <c r="Y45" s="19">
        <v>20.0</v>
      </c>
      <c r="Z45" s="19">
        <v>16.0</v>
      </c>
      <c r="AA45" s="19">
        <v>23.0</v>
      </c>
      <c r="AB45" s="19">
        <v>18.0</v>
      </c>
      <c r="AC45" s="19">
        <v>13.0</v>
      </c>
      <c r="AD45" s="19">
        <v>26.0</v>
      </c>
      <c r="AE45" s="19">
        <v>8.0</v>
      </c>
      <c r="AF45" s="19">
        <v>8.0</v>
      </c>
      <c r="AG45" s="19">
        <v>15.0</v>
      </c>
      <c r="AH45" s="19">
        <v>16.0</v>
      </c>
      <c r="AI45" s="19">
        <v>36.0</v>
      </c>
      <c r="AJ45" s="19">
        <v>47.0</v>
      </c>
      <c r="AK45" s="19">
        <v>4.0</v>
      </c>
      <c r="AL45" s="19">
        <v>42.0</v>
      </c>
      <c r="AM45" s="19">
        <v>57.0</v>
      </c>
      <c r="AN45" s="19">
        <v>23.0</v>
      </c>
      <c r="AO45" s="19">
        <v>38.0</v>
      </c>
      <c r="AP45" s="13">
        <f t="shared" ref="AP45:AP47" si="14">SUM(E45:AO45)</f>
        <v>1073</v>
      </c>
    </row>
    <row r="46" ht="12.75" customHeight="1">
      <c r="A46" s="18"/>
      <c r="B46" s="49">
        <v>2.0</v>
      </c>
      <c r="C46" s="50" t="s">
        <v>38</v>
      </c>
      <c r="D46" s="16"/>
      <c r="E46" s="19">
        <v>174.0</v>
      </c>
      <c r="F46" s="19">
        <v>107.0</v>
      </c>
      <c r="G46" s="19">
        <v>145.0</v>
      </c>
      <c r="H46" s="19">
        <v>94.0</v>
      </c>
      <c r="I46" s="19">
        <v>101.0</v>
      </c>
      <c r="J46" s="19">
        <v>147.0</v>
      </c>
      <c r="K46" s="19">
        <v>143.0</v>
      </c>
      <c r="L46" s="19">
        <v>121.0</v>
      </c>
      <c r="M46" s="19">
        <v>160.0</v>
      </c>
      <c r="N46" s="19">
        <v>114.0</v>
      </c>
      <c r="O46" s="19">
        <v>97.0</v>
      </c>
      <c r="P46" s="19">
        <v>117.0</v>
      </c>
      <c r="Q46" s="19">
        <v>146.0</v>
      </c>
      <c r="R46" s="19">
        <v>163.0</v>
      </c>
      <c r="S46" s="19">
        <v>161.0</v>
      </c>
      <c r="T46" s="19">
        <v>143.0</v>
      </c>
      <c r="U46" s="19">
        <v>81.0</v>
      </c>
      <c r="V46" s="19">
        <v>200.0</v>
      </c>
      <c r="W46" s="19">
        <v>127.0</v>
      </c>
      <c r="X46" s="19">
        <v>177.0</v>
      </c>
      <c r="Y46" s="19">
        <v>198.0</v>
      </c>
      <c r="Z46" s="19">
        <v>158.0</v>
      </c>
      <c r="AA46" s="19">
        <v>141.0</v>
      </c>
      <c r="AB46" s="19">
        <v>150.0</v>
      </c>
      <c r="AC46" s="19">
        <v>128.0</v>
      </c>
      <c r="AD46" s="19">
        <v>97.0</v>
      </c>
      <c r="AE46" s="19">
        <v>138.0</v>
      </c>
      <c r="AF46" s="19">
        <v>153.0</v>
      </c>
      <c r="AG46" s="19">
        <v>162.0</v>
      </c>
      <c r="AH46" s="19">
        <v>154.0</v>
      </c>
      <c r="AI46" s="19">
        <v>113.0</v>
      </c>
      <c r="AJ46" s="19">
        <v>130.0</v>
      </c>
      <c r="AK46" s="19">
        <v>168.0</v>
      </c>
      <c r="AL46" s="19">
        <v>136.0</v>
      </c>
      <c r="AM46" s="19">
        <v>120.0</v>
      </c>
      <c r="AN46" s="19">
        <v>144.0</v>
      </c>
      <c r="AO46" s="19">
        <v>135.0</v>
      </c>
      <c r="AP46" s="13">
        <f t="shared" si="14"/>
        <v>5143</v>
      </c>
    </row>
    <row r="47" ht="12.75" customHeight="1">
      <c r="A47" s="47"/>
      <c r="B47" s="49">
        <v>3.0</v>
      </c>
      <c r="C47" s="50" t="s">
        <v>39</v>
      </c>
      <c r="D47" s="16"/>
      <c r="E47" s="19">
        <v>20.0</v>
      </c>
      <c r="F47" s="19">
        <v>21.0</v>
      </c>
      <c r="G47" s="19">
        <v>7.0</v>
      </c>
      <c r="H47" s="19">
        <v>12.0</v>
      </c>
      <c r="I47" s="19">
        <v>15.0</v>
      </c>
      <c r="J47" s="19">
        <v>14.0</v>
      </c>
      <c r="K47" s="19">
        <v>31.0</v>
      </c>
      <c r="L47" s="19">
        <v>28.0</v>
      </c>
      <c r="M47" s="19">
        <v>16.0</v>
      </c>
      <c r="N47" s="19">
        <v>31.0</v>
      </c>
      <c r="O47" s="19">
        <v>33.0</v>
      </c>
      <c r="P47" s="19">
        <v>23.0</v>
      </c>
      <c r="Q47" s="19">
        <v>31.0</v>
      </c>
      <c r="R47" s="19">
        <v>19.0</v>
      </c>
      <c r="S47" s="19">
        <v>38.0</v>
      </c>
      <c r="T47" s="19">
        <v>27.0</v>
      </c>
      <c r="U47" s="19">
        <v>18.0</v>
      </c>
      <c r="V47" s="19">
        <v>15.0</v>
      </c>
      <c r="W47" s="19">
        <v>13.0</v>
      </c>
      <c r="X47" s="19">
        <v>16.0</v>
      </c>
      <c r="Y47" s="19">
        <v>18.0</v>
      </c>
      <c r="Z47" s="19">
        <v>15.0</v>
      </c>
      <c r="AA47" s="19">
        <v>11.0</v>
      </c>
      <c r="AB47" s="19">
        <v>15.0</v>
      </c>
      <c r="AC47" s="19">
        <v>20.0</v>
      </c>
      <c r="AD47" s="19">
        <v>21.0</v>
      </c>
      <c r="AE47" s="19">
        <v>24.0</v>
      </c>
      <c r="AF47" s="19">
        <v>11.0</v>
      </c>
      <c r="AG47" s="19">
        <v>14.0</v>
      </c>
      <c r="AH47" s="19">
        <v>21.0</v>
      </c>
      <c r="AI47" s="19">
        <v>13.0</v>
      </c>
      <c r="AJ47" s="19">
        <v>9.0</v>
      </c>
      <c r="AK47" s="19">
        <v>9.0</v>
      </c>
      <c r="AL47" s="19">
        <v>24.0</v>
      </c>
      <c r="AM47" s="19">
        <v>22.0</v>
      </c>
      <c r="AN47" s="19">
        <v>14.0</v>
      </c>
      <c r="AO47" s="19">
        <v>16.0</v>
      </c>
      <c r="AP47" s="13">
        <f t="shared" si="14"/>
        <v>705</v>
      </c>
    </row>
    <row r="48" ht="12.75" customHeight="1">
      <c r="AP48" s="13"/>
    </row>
    <row r="49" ht="12.75" customHeight="1">
      <c r="A49" s="44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AO50" si="15">SUM(E45:E47)</f>
        <v>215</v>
      </c>
      <c r="F50" s="19">
        <f t="shared" si="15"/>
        <v>138</v>
      </c>
      <c r="G50" s="19">
        <f t="shared" si="15"/>
        <v>187</v>
      </c>
      <c r="H50" s="19">
        <f t="shared" si="15"/>
        <v>126</v>
      </c>
      <c r="I50" s="19">
        <f t="shared" si="15"/>
        <v>160</v>
      </c>
      <c r="J50" s="19">
        <f t="shared" si="15"/>
        <v>196</v>
      </c>
      <c r="K50" s="19">
        <f t="shared" si="15"/>
        <v>227</v>
      </c>
      <c r="L50" s="19">
        <f t="shared" si="15"/>
        <v>233</v>
      </c>
      <c r="M50" s="19">
        <f t="shared" si="15"/>
        <v>229</v>
      </c>
      <c r="N50" s="19">
        <f t="shared" si="15"/>
        <v>182</v>
      </c>
      <c r="O50" s="19">
        <f t="shared" si="15"/>
        <v>163</v>
      </c>
      <c r="P50" s="19">
        <f t="shared" si="15"/>
        <v>174</v>
      </c>
      <c r="Q50" s="19">
        <f t="shared" si="15"/>
        <v>207</v>
      </c>
      <c r="R50" s="19">
        <f t="shared" si="15"/>
        <v>232</v>
      </c>
      <c r="S50" s="19">
        <f t="shared" si="15"/>
        <v>212</v>
      </c>
      <c r="T50" s="19">
        <f t="shared" si="15"/>
        <v>199</v>
      </c>
      <c r="U50" s="19">
        <f t="shared" si="15"/>
        <v>130</v>
      </c>
      <c r="V50" s="19">
        <f t="shared" si="15"/>
        <v>236</v>
      </c>
      <c r="W50" s="19">
        <f t="shared" si="15"/>
        <v>152</v>
      </c>
      <c r="X50" s="19">
        <f t="shared" si="15"/>
        <v>211</v>
      </c>
      <c r="Y50" s="19">
        <f t="shared" si="15"/>
        <v>236</v>
      </c>
      <c r="Z50" s="19">
        <f t="shared" si="15"/>
        <v>189</v>
      </c>
      <c r="AA50" s="19">
        <f t="shared" si="15"/>
        <v>175</v>
      </c>
      <c r="AB50" s="19">
        <f t="shared" si="15"/>
        <v>183</v>
      </c>
      <c r="AC50" s="19">
        <f t="shared" si="15"/>
        <v>161</v>
      </c>
      <c r="AD50" s="19">
        <f t="shared" si="15"/>
        <v>144</v>
      </c>
      <c r="AE50" s="19">
        <f t="shared" si="15"/>
        <v>170</v>
      </c>
      <c r="AF50" s="19">
        <f t="shared" si="15"/>
        <v>172</v>
      </c>
      <c r="AG50" s="19">
        <f t="shared" si="15"/>
        <v>191</v>
      </c>
      <c r="AH50" s="19">
        <f t="shared" si="15"/>
        <v>191</v>
      </c>
      <c r="AI50" s="19">
        <f t="shared" si="15"/>
        <v>162</v>
      </c>
      <c r="AJ50" s="19">
        <f t="shared" si="15"/>
        <v>186</v>
      </c>
      <c r="AK50" s="19">
        <f t="shared" si="15"/>
        <v>181</v>
      </c>
      <c r="AL50" s="19">
        <f t="shared" si="15"/>
        <v>202</v>
      </c>
      <c r="AM50" s="19">
        <f t="shared" si="15"/>
        <v>199</v>
      </c>
      <c r="AN50" s="19">
        <f t="shared" si="15"/>
        <v>181</v>
      </c>
      <c r="AO50" s="19">
        <f t="shared" si="15"/>
        <v>189</v>
      </c>
      <c r="AP50" s="13">
        <f t="shared" ref="AP50:AP52" si="16">SUM(E50:AO50)</f>
        <v>6921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6.0</v>
      </c>
      <c r="F51" s="19">
        <v>2.0</v>
      </c>
      <c r="G51" s="19">
        <v>8.0</v>
      </c>
      <c r="H51" s="19">
        <v>2.0</v>
      </c>
      <c r="I51" s="19">
        <v>3.0</v>
      </c>
      <c r="J51" s="19">
        <v>3.0</v>
      </c>
      <c r="K51" s="19">
        <v>5.0</v>
      </c>
      <c r="L51" s="19">
        <v>5.0</v>
      </c>
      <c r="M51" s="19">
        <v>1.0</v>
      </c>
      <c r="N51" s="19">
        <v>3.0</v>
      </c>
      <c r="O51" s="19">
        <v>2.0</v>
      </c>
      <c r="P51" s="19"/>
      <c r="Q51" s="19"/>
      <c r="R51" s="19">
        <v>1.0</v>
      </c>
      <c r="S51" s="19">
        <v>2.0</v>
      </c>
      <c r="T51" s="19"/>
      <c r="U51" s="19">
        <v>2.0</v>
      </c>
      <c r="V51" s="19">
        <v>6.0</v>
      </c>
      <c r="W51" s="19">
        <v>4.0</v>
      </c>
      <c r="X51" s="19">
        <v>3.0</v>
      </c>
      <c r="Y51" s="19">
        <v>5.0</v>
      </c>
      <c r="Z51" s="19">
        <v>7.0</v>
      </c>
      <c r="AA51" s="19">
        <v>1.0</v>
      </c>
      <c r="AB51" s="19">
        <v>2.0</v>
      </c>
      <c r="AC51" s="19">
        <v>1.0</v>
      </c>
      <c r="AD51" s="19">
        <v>2.0</v>
      </c>
      <c r="AE51" s="19">
        <v>3.0</v>
      </c>
      <c r="AF51" s="19">
        <v>6.0</v>
      </c>
      <c r="AG51" s="19">
        <v>6.0</v>
      </c>
      <c r="AH51" s="19"/>
      <c r="AI51" s="19">
        <v>5.0</v>
      </c>
      <c r="AJ51" s="19">
        <v>2.0</v>
      </c>
      <c r="AK51" s="19">
        <v>8.0</v>
      </c>
      <c r="AL51" s="19">
        <v>8.0</v>
      </c>
      <c r="AM51" s="19">
        <v>9.0</v>
      </c>
      <c r="AN51" s="19"/>
      <c r="AO51" s="19"/>
      <c r="AP51" s="13">
        <f t="shared" si="16"/>
        <v>123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AO52" si="17">SUM(E50:E51)</f>
        <v>221</v>
      </c>
      <c r="F52" s="13">
        <f t="shared" si="17"/>
        <v>140</v>
      </c>
      <c r="G52" s="13">
        <f t="shared" si="17"/>
        <v>195</v>
      </c>
      <c r="H52" s="13">
        <f t="shared" si="17"/>
        <v>128</v>
      </c>
      <c r="I52" s="13">
        <f t="shared" si="17"/>
        <v>163</v>
      </c>
      <c r="J52" s="13">
        <f t="shared" si="17"/>
        <v>199</v>
      </c>
      <c r="K52" s="13">
        <f t="shared" si="17"/>
        <v>232</v>
      </c>
      <c r="L52" s="13">
        <f t="shared" si="17"/>
        <v>238</v>
      </c>
      <c r="M52" s="13">
        <f t="shared" si="17"/>
        <v>230</v>
      </c>
      <c r="N52" s="13">
        <f t="shared" si="17"/>
        <v>185</v>
      </c>
      <c r="O52" s="13">
        <f t="shared" si="17"/>
        <v>165</v>
      </c>
      <c r="P52" s="13">
        <f t="shared" si="17"/>
        <v>174</v>
      </c>
      <c r="Q52" s="13">
        <f t="shared" si="17"/>
        <v>207</v>
      </c>
      <c r="R52" s="13">
        <f t="shared" si="17"/>
        <v>233</v>
      </c>
      <c r="S52" s="13">
        <f t="shared" si="17"/>
        <v>214</v>
      </c>
      <c r="T52" s="13">
        <f t="shared" si="17"/>
        <v>199</v>
      </c>
      <c r="U52" s="13">
        <f t="shared" si="17"/>
        <v>132</v>
      </c>
      <c r="V52" s="13">
        <f t="shared" si="17"/>
        <v>242</v>
      </c>
      <c r="W52" s="13">
        <f t="shared" si="17"/>
        <v>156</v>
      </c>
      <c r="X52" s="13">
        <f t="shared" si="17"/>
        <v>214</v>
      </c>
      <c r="Y52" s="13">
        <f t="shared" si="17"/>
        <v>241</v>
      </c>
      <c r="Z52" s="13">
        <f t="shared" si="17"/>
        <v>196</v>
      </c>
      <c r="AA52" s="13">
        <f t="shared" si="17"/>
        <v>176</v>
      </c>
      <c r="AB52" s="13">
        <f t="shared" si="17"/>
        <v>185</v>
      </c>
      <c r="AC52" s="13">
        <f t="shared" si="17"/>
        <v>162</v>
      </c>
      <c r="AD52" s="13">
        <f t="shared" si="17"/>
        <v>146</v>
      </c>
      <c r="AE52" s="13">
        <f t="shared" si="17"/>
        <v>173</v>
      </c>
      <c r="AF52" s="13">
        <f t="shared" si="17"/>
        <v>178</v>
      </c>
      <c r="AG52" s="13">
        <f t="shared" si="17"/>
        <v>197</v>
      </c>
      <c r="AH52" s="13">
        <f t="shared" si="17"/>
        <v>191</v>
      </c>
      <c r="AI52" s="13">
        <f t="shared" si="17"/>
        <v>167</v>
      </c>
      <c r="AJ52" s="13">
        <f t="shared" si="17"/>
        <v>188</v>
      </c>
      <c r="AK52" s="13">
        <f t="shared" si="17"/>
        <v>189</v>
      </c>
      <c r="AL52" s="13">
        <f t="shared" si="17"/>
        <v>210</v>
      </c>
      <c r="AM52" s="13">
        <f t="shared" si="17"/>
        <v>208</v>
      </c>
      <c r="AN52" s="13">
        <f t="shared" si="17"/>
        <v>181</v>
      </c>
      <c r="AO52" s="13">
        <f t="shared" si="17"/>
        <v>189</v>
      </c>
      <c r="AP52" s="13">
        <f t="shared" si="16"/>
        <v>7044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O12"/>
    <mergeCell ref="AP12:AP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AO15">
    <cfRule type="containsBlanks" dxfId="1" priority="1">
      <formula>LEN(TRIM(E14))=0</formula>
    </cfRule>
  </conditionalFormatting>
  <conditionalFormatting sqref="E19:AO20">
    <cfRule type="containsBlanks" dxfId="1" priority="2">
      <formula>LEN(TRIM(E19))=0</formula>
    </cfRule>
  </conditionalFormatting>
  <conditionalFormatting sqref="E22:AO23 E25:AO26 E33:AO33 E35:AO35 E39:AO40">
    <cfRule type="containsBlanks" dxfId="1" priority="3">
      <formula>LEN(TRIM(E22))=0</formula>
    </cfRule>
  </conditionalFormatting>
  <conditionalFormatting sqref="E30:AO30">
    <cfRule type="expression" dxfId="0" priority="4">
      <formula>E30&lt;&gt;E47</formula>
    </cfRule>
  </conditionalFormatting>
  <conditionalFormatting sqref="E30:AO30">
    <cfRule type="expression" dxfId="0" priority="5">
      <formula>E30&lt;&gt;E34</formula>
    </cfRule>
  </conditionalFormatting>
  <conditionalFormatting sqref="E34:AO34">
    <cfRule type="expression" dxfId="2" priority="6">
      <formula>E30&lt;&gt;E34</formula>
    </cfRule>
  </conditionalFormatting>
  <conditionalFormatting sqref="E34:AO34">
    <cfRule type="expression" dxfId="3" priority="7">
      <formula>E30=E34</formula>
    </cfRule>
  </conditionalFormatting>
  <conditionalFormatting sqref="E34:AO34">
    <cfRule type="expression" dxfId="0" priority="8">
      <formula>E34&lt;&gt;E30</formula>
    </cfRule>
  </conditionalFormatting>
  <conditionalFormatting sqref="E34:AO34">
    <cfRule type="expression" dxfId="0" priority="9">
      <formula>E34&lt;&gt;#REF!</formula>
    </cfRule>
  </conditionalFormatting>
  <conditionalFormatting sqref="E45:AO47">
    <cfRule type="containsBlanks" dxfId="1" priority="10">
      <formula>LEN(TRIM(E45))=0</formula>
    </cfRule>
  </conditionalFormatting>
  <conditionalFormatting sqref="E50:AO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63" width="8.71"/>
    <col customWidth="1" min="64" max="64" width="13.29"/>
    <col customWidth="1" min="65" max="6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113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</row>
    <row r="12" ht="12.75" customHeight="1">
      <c r="A12" s="13" t="s">
        <v>6</v>
      </c>
      <c r="B12" s="14" t="s">
        <v>7</v>
      </c>
      <c r="C12" s="15"/>
      <c r="D12" s="16"/>
      <c r="E12" s="38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60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67</v>
      </c>
      <c r="W13" s="13" t="s">
        <v>68</v>
      </c>
      <c r="X13" s="13" t="s">
        <v>69</v>
      </c>
      <c r="Y13" s="13" t="s">
        <v>70</v>
      </c>
      <c r="Z13" s="13" t="s">
        <v>71</v>
      </c>
      <c r="AA13" s="13" t="s">
        <v>72</v>
      </c>
      <c r="AB13" s="13" t="s">
        <v>73</v>
      </c>
      <c r="AC13" s="13" t="s">
        <v>74</v>
      </c>
      <c r="AD13" s="13" t="s">
        <v>75</v>
      </c>
      <c r="AE13" s="13" t="s">
        <v>77</v>
      </c>
      <c r="AF13" s="13" t="s">
        <v>78</v>
      </c>
      <c r="AG13" s="13" t="s">
        <v>79</v>
      </c>
      <c r="AH13" s="13" t="s">
        <v>80</v>
      </c>
      <c r="AI13" s="13" t="s">
        <v>81</v>
      </c>
      <c r="AJ13" s="13" t="s">
        <v>82</v>
      </c>
      <c r="AK13" s="13" t="s">
        <v>83</v>
      </c>
      <c r="AL13" s="13" t="s">
        <v>84</v>
      </c>
      <c r="AM13" s="13" t="s">
        <v>85</v>
      </c>
      <c r="AN13" s="13" t="s">
        <v>86</v>
      </c>
      <c r="AO13" s="13" t="s">
        <v>87</v>
      </c>
      <c r="AP13" s="13" t="s">
        <v>88</v>
      </c>
      <c r="AQ13" s="13" t="s">
        <v>89</v>
      </c>
      <c r="AR13" s="13" t="s">
        <v>90</v>
      </c>
      <c r="AS13" s="13" t="s">
        <v>91</v>
      </c>
      <c r="AT13" s="13" t="s">
        <v>92</v>
      </c>
      <c r="AU13" s="13" t="s">
        <v>93</v>
      </c>
      <c r="AV13" s="13" t="s">
        <v>94</v>
      </c>
      <c r="AW13" s="13" t="s">
        <v>95</v>
      </c>
      <c r="AX13" s="13" t="s">
        <v>96</v>
      </c>
      <c r="AY13" s="13" t="s">
        <v>97</v>
      </c>
      <c r="AZ13" s="13" t="s">
        <v>98</v>
      </c>
      <c r="BA13" s="13" t="s">
        <v>99</v>
      </c>
      <c r="BB13" s="13" t="s">
        <v>100</v>
      </c>
      <c r="BC13" s="13" t="s">
        <v>101</v>
      </c>
      <c r="BD13" s="13" t="s">
        <v>102</v>
      </c>
      <c r="BE13" s="13" t="s">
        <v>103</v>
      </c>
      <c r="BF13" s="13" t="s">
        <v>104</v>
      </c>
      <c r="BG13" s="13" t="s">
        <v>105</v>
      </c>
      <c r="BH13" s="13" t="s">
        <v>106</v>
      </c>
      <c r="BI13" s="13" t="s">
        <v>107</v>
      </c>
      <c r="BJ13" s="13" t="s">
        <v>108</v>
      </c>
      <c r="BK13" s="13" t="s">
        <v>114</v>
      </c>
      <c r="BL13" s="37"/>
    </row>
    <row r="14" ht="12.75" customHeight="1">
      <c r="A14" s="18"/>
      <c r="B14" s="22" t="s">
        <v>11</v>
      </c>
      <c r="C14" s="23"/>
      <c r="D14" s="19" t="s">
        <v>12</v>
      </c>
      <c r="E14" s="19">
        <v>128.0</v>
      </c>
      <c r="F14" s="19">
        <v>143.0</v>
      </c>
      <c r="G14" s="19">
        <v>132.0</v>
      </c>
      <c r="H14" s="19">
        <v>93.0</v>
      </c>
      <c r="I14" s="19">
        <v>143.0</v>
      </c>
      <c r="J14" s="19">
        <v>135.0</v>
      </c>
      <c r="K14" s="19">
        <v>131.0</v>
      </c>
      <c r="L14" s="19">
        <v>148.0</v>
      </c>
      <c r="M14" s="19">
        <v>151.0</v>
      </c>
      <c r="N14" s="19">
        <v>82.0</v>
      </c>
      <c r="O14" s="19">
        <v>97.0</v>
      </c>
      <c r="P14" s="19">
        <v>124.0</v>
      </c>
      <c r="Q14" s="19">
        <v>119.0</v>
      </c>
      <c r="R14" s="19">
        <v>144.0</v>
      </c>
      <c r="S14" s="19">
        <v>141.0</v>
      </c>
      <c r="T14" s="19">
        <v>82.0</v>
      </c>
      <c r="U14" s="19">
        <v>130.0</v>
      </c>
      <c r="V14" s="19">
        <v>138.0</v>
      </c>
      <c r="W14" s="19">
        <v>123.0</v>
      </c>
      <c r="X14" s="19">
        <v>107.0</v>
      </c>
      <c r="Y14" s="19">
        <v>141.0</v>
      </c>
      <c r="Z14" s="19">
        <v>148.0</v>
      </c>
      <c r="AA14" s="19">
        <v>87.0</v>
      </c>
      <c r="AB14" s="19">
        <v>74.0</v>
      </c>
      <c r="AC14" s="19">
        <v>63.0</v>
      </c>
      <c r="AD14" s="19">
        <v>127.0</v>
      </c>
      <c r="AE14" s="19">
        <v>116.0</v>
      </c>
      <c r="AF14" s="19">
        <v>111.0</v>
      </c>
      <c r="AG14" s="19">
        <v>101.0</v>
      </c>
      <c r="AH14" s="19">
        <v>84.0</v>
      </c>
      <c r="AI14" s="19">
        <v>140.0</v>
      </c>
      <c r="AJ14" s="19">
        <v>155.0</v>
      </c>
      <c r="AK14" s="19">
        <v>150.0</v>
      </c>
      <c r="AL14" s="19">
        <v>110.0</v>
      </c>
      <c r="AM14" s="19">
        <v>122.0</v>
      </c>
      <c r="AN14" s="19">
        <v>90.0</v>
      </c>
      <c r="AO14" s="19">
        <v>131.0</v>
      </c>
      <c r="AP14" s="19">
        <v>77.0</v>
      </c>
      <c r="AQ14" s="19">
        <v>92.0</v>
      </c>
      <c r="AR14" s="19">
        <v>150.0</v>
      </c>
      <c r="AS14" s="19">
        <v>128.0</v>
      </c>
      <c r="AT14" s="19">
        <v>103.0</v>
      </c>
      <c r="AU14" s="19">
        <v>96.0</v>
      </c>
      <c r="AV14" s="19">
        <v>80.0</v>
      </c>
      <c r="AW14" s="19">
        <v>134.0</v>
      </c>
      <c r="AX14" s="19">
        <v>113.0</v>
      </c>
      <c r="AY14" s="19">
        <v>105.0</v>
      </c>
      <c r="AZ14" s="19">
        <v>105.0</v>
      </c>
      <c r="BA14" s="19">
        <v>71.0</v>
      </c>
      <c r="BB14" s="19">
        <v>88.0</v>
      </c>
      <c r="BC14" s="19">
        <v>136.0</v>
      </c>
      <c r="BD14" s="19">
        <v>120.0</v>
      </c>
      <c r="BE14" s="19">
        <v>138.0</v>
      </c>
      <c r="BF14" s="19">
        <v>130.0</v>
      </c>
      <c r="BG14" s="19">
        <v>55.0</v>
      </c>
      <c r="BH14" s="19">
        <v>95.0</v>
      </c>
      <c r="BI14" s="19">
        <v>89.0</v>
      </c>
      <c r="BJ14" s="19">
        <v>88.0</v>
      </c>
      <c r="BK14" s="19">
        <v>101.0</v>
      </c>
      <c r="BL14" s="13">
        <f t="shared" ref="BL14:BL16" si="1">SUM(E14:BK14)</f>
        <v>6735</v>
      </c>
    </row>
    <row r="15" ht="12.75" customHeight="1">
      <c r="A15" s="18"/>
      <c r="B15" s="26"/>
      <c r="C15" s="27"/>
      <c r="D15" s="19" t="s">
        <v>13</v>
      </c>
      <c r="E15" s="19">
        <v>134.0</v>
      </c>
      <c r="F15" s="19">
        <v>142.0</v>
      </c>
      <c r="G15" s="19">
        <v>132.0</v>
      </c>
      <c r="H15" s="19">
        <v>96.0</v>
      </c>
      <c r="I15" s="19">
        <v>156.0</v>
      </c>
      <c r="J15" s="19">
        <v>149.0</v>
      </c>
      <c r="K15" s="19">
        <v>153.0</v>
      </c>
      <c r="L15" s="19">
        <v>145.0</v>
      </c>
      <c r="M15" s="19">
        <v>144.0</v>
      </c>
      <c r="N15" s="19">
        <v>93.0</v>
      </c>
      <c r="O15" s="19">
        <v>103.0</v>
      </c>
      <c r="P15" s="19">
        <v>152.0</v>
      </c>
      <c r="Q15" s="19">
        <v>111.0</v>
      </c>
      <c r="R15" s="19">
        <v>149.0</v>
      </c>
      <c r="S15" s="19">
        <v>147.0</v>
      </c>
      <c r="T15" s="19">
        <v>73.0</v>
      </c>
      <c r="U15" s="19">
        <v>163.0</v>
      </c>
      <c r="V15" s="19">
        <v>133.0</v>
      </c>
      <c r="W15" s="19">
        <v>147.0</v>
      </c>
      <c r="X15" s="19">
        <v>112.0</v>
      </c>
      <c r="Y15" s="19">
        <v>144.0</v>
      </c>
      <c r="Z15" s="19">
        <v>149.0</v>
      </c>
      <c r="AA15" s="19">
        <v>95.0</v>
      </c>
      <c r="AB15" s="19">
        <v>81.0</v>
      </c>
      <c r="AC15" s="19">
        <v>73.0</v>
      </c>
      <c r="AD15" s="19">
        <v>133.0</v>
      </c>
      <c r="AE15" s="19">
        <v>122.0</v>
      </c>
      <c r="AF15" s="19">
        <v>94.0</v>
      </c>
      <c r="AG15" s="19">
        <v>116.0</v>
      </c>
      <c r="AH15" s="19">
        <v>89.0</v>
      </c>
      <c r="AI15" s="19">
        <v>152.0</v>
      </c>
      <c r="AJ15" s="19">
        <v>144.0</v>
      </c>
      <c r="AK15" s="19">
        <v>147.0</v>
      </c>
      <c r="AL15" s="19">
        <v>101.0</v>
      </c>
      <c r="AM15" s="19">
        <v>120.0</v>
      </c>
      <c r="AN15" s="19">
        <v>105.0</v>
      </c>
      <c r="AO15" s="19">
        <v>131.0</v>
      </c>
      <c r="AP15" s="19">
        <v>82.0</v>
      </c>
      <c r="AQ15" s="19">
        <v>88.0</v>
      </c>
      <c r="AR15" s="19">
        <v>149.0</v>
      </c>
      <c r="AS15" s="19">
        <v>156.0</v>
      </c>
      <c r="AT15" s="19">
        <v>110.0</v>
      </c>
      <c r="AU15" s="19">
        <v>86.0</v>
      </c>
      <c r="AV15" s="19">
        <v>80.0</v>
      </c>
      <c r="AW15" s="19">
        <v>137.0</v>
      </c>
      <c r="AX15" s="19">
        <v>120.0</v>
      </c>
      <c r="AY15" s="19">
        <v>105.0</v>
      </c>
      <c r="AZ15" s="19">
        <v>120.0</v>
      </c>
      <c r="BA15" s="19">
        <v>68.0</v>
      </c>
      <c r="BB15" s="19">
        <v>106.0</v>
      </c>
      <c r="BC15" s="19">
        <v>142.0</v>
      </c>
      <c r="BD15" s="19">
        <v>141.0</v>
      </c>
      <c r="BE15" s="19">
        <v>141.0</v>
      </c>
      <c r="BF15" s="19">
        <v>162.0</v>
      </c>
      <c r="BG15" s="19">
        <v>57.0</v>
      </c>
      <c r="BH15" s="19">
        <v>99.0</v>
      </c>
      <c r="BI15" s="19">
        <v>100.0</v>
      </c>
      <c r="BJ15" s="19">
        <v>99.0</v>
      </c>
      <c r="BK15" s="19">
        <v>112.0</v>
      </c>
      <c r="BL15" s="13">
        <f t="shared" si="1"/>
        <v>7090</v>
      </c>
    </row>
    <row r="16" ht="12.75" customHeight="1">
      <c r="A16" s="25"/>
      <c r="B16" s="21"/>
      <c r="C16" s="28"/>
      <c r="D16" s="13" t="s">
        <v>14</v>
      </c>
      <c r="E16" s="13">
        <f t="shared" ref="E16:BK16" si="2">SUM(E14:E15)</f>
        <v>262</v>
      </c>
      <c r="F16" s="13">
        <f t="shared" si="2"/>
        <v>285</v>
      </c>
      <c r="G16" s="13">
        <f t="shared" si="2"/>
        <v>264</v>
      </c>
      <c r="H16" s="13">
        <f t="shared" si="2"/>
        <v>189</v>
      </c>
      <c r="I16" s="13">
        <f t="shared" si="2"/>
        <v>299</v>
      </c>
      <c r="J16" s="13">
        <f t="shared" si="2"/>
        <v>284</v>
      </c>
      <c r="K16" s="13">
        <f t="shared" si="2"/>
        <v>284</v>
      </c>
      <c r="L16" s="13">
        <f t="shared" si="2"/>
        <v>293</v>
      </c>
      <c r="M16" s="13">
        <f t="shared" si="2"/>
        <v>295</v>
      </c>
      <c r="N16" s="13">
        <f t="shared" si="2"/>
        <v>175</v>
      </c>
      <c r="O16" s="13">
        <f t="shared" si="2"/>
        <v>200</v>
      </c>
      <c r="P16" s="13">
        <f t="shared" si="2"/>
        <v>276</v>
      </c>
      <c r="Q16" s="13">
        <f t="shared" si="2"/>
        <v>230</v>
      </c>
      <c r="R16" s="13">
        <f t="shared" si="2"/>
        <v>293</v>
      </c>
      <c r="S16" s="13">
        <f t="shared" si="2"/>
        <v>288</v>
      </c>
      <c r="T16" s="13">
        <f t="shared" si="2"/>
        <v>155</v>
      </c>
      <c r="U16" s="13">
        <f t="shared" si="2"/>
        <v>293</v>
      </c>
      <c r="V16" s="13">
        <f t="shared" si="2"/>
        <v>271</v>
      </c>
      <c r="W16" s="13">
        <f t="shared" si="2"/>
        <v>270</v>
      </c>
      <c r="X16" s="13">
        <f t="shared" si="2"/>
        <v>219</v>
      </c>
      <c r="Y16" s="13">
        <f t="shared" si="2"/>
        <v>285</v>
      </c>
      <c r="Z16" s="13">
        <f t="shared" si="2"/>
        <v>297</v>
      </c>
      <c r="AA16" s="13">
        <f t="shared" si="2"/>
        <v>182</v>
      </c>
      <c r="AB16" s="13">
        <f t="shared" si="2"/>
        <v>155</v>
      </c>
      <c r="AC16" s="13">
        <f t="shared" si="2"/>
        <v>136</v>
      </c>
      <c r="AD16" s="13">
        <f t="shared" si="2"/>
        <v>260</v>
      </c>
      <c r="AE16" s="13">
        <f t="shared" si="2"/>
        <v>238</v>
      </c>
      <c r="AF16" s="13">
        <f t="shared" si="2"/>
        <v>205</v>
      </c>
      <c r="AG16" s="13">
        <f t="shared" si="2"/>
        <v>217</v>
      </c>
      <c r="AH16" s="13">
        <f t="shared" si="2"/>
        <v>173</v>
      </c>
      <c r="AI16" s="13">
        <f t="shared" si="2"/>
        <v>292</v>
      </c>
      <c r="AJ16" s="13">
        <f t="shared" si="2"/>
        <v>299</v>
      </c>
      <c r="AK16" s="13">
        <f t="shared" si="2"/>
        <v>297</v>
      </c>
      <c r="AL16" s="13">
        <f t="shared" si="2"/>
        <v>211</v>
      </c>
      <c r="AM16" s="13">
        <f t="shared" si="2"/>
        <v>242</v>
      </c>
      <c r="AN16" s="13">
        <f t="shared" si="2"/>
        <v>195</v>
      </c>
      <c r="AO16" s="13">
        <f t="shared" si="2"/>
        <v>262</v>
      </c>
      <c r="AP16" s="13">
        <f t="shared" si="2"/>
        <v>159</v>
      </c>
      <c r="AQ16" s="13">
        <f t="shared" si="2"/>
        <v>180</v>
      </c>
      <c r="AR16" s="13">
        <f t="shared" si="2"/>
        <v>299</v>
      </c>
      <c r="AS16" s="13">
        <f t="shared" si="2"/>
        <v>284</v>
      </c>
      <c r="AT16" s="13">
        <f t="shared" si="2"/>
        <v>213</v>
      </c>
      <c r="AU16" s="13">
        <f t="shared" si="2"/>
        <v>182</v>
      </c>
      <c r="AV16" s="13">
        <f t="shared" si="2"/>
        <v>160</v>
      </c>
      <c r="AW16" s="13">
        <f t="shared" si="2"/>
        <v>271</v>
      </c>
      <c r="AX16" s="13">
        <f t="shared" si="2"/>
        <v>233</v>
      </c>
      <c r="AY16" s="13">
        <f t="shared" si="2"/>
        <v>210</v>
      </c>
      <c r="AZ16" s="13">
        <f t="shared" si="2"/>
        <v>225</v>
      </c>
      <c r="BA16" s="13">
        <f t="shared" si="2"/>
        <v>139</v>
      </c>
      <c r="BB16" s="13">
        <f t="shared" si="2"/>
        <v>194</v>
      </c>
      <c r="BC16" s="13">
        <f t="shared" si="2"/>
        <v>278</v>
      </c>
      <c r="BD16" s="13">
        <f t="shared" si="2"/>
        <v>261</v>
      </c>
      <c r="BE16" s="13">
        <f t="shared" si="2"/>
        <v>279</v>
      </c>
      <c r="BF16" s="13">
        <f t="shared" si="2"/>
        <v>292</v>
      </c>
      <c r="BG16" s="13">
        <f t="shared" si="2"/>
        <v>112</v>
      </c>
      <c r="BH16" s="13">
        <f t="shared" si="2"/>
        <v>194</v>
      </c>
      <c r="BI16" s="13">
        <f t="shared" si="2"/>
        <v>189</v>
      </c>
      <c r="BJ16" s="13">
        <f t="shared" si="2"/>
        <v>187</v>
      </c>
      <c r="BK16" s="13">
        <f t="shared" si="2"/>
        <v>213</v>
      </c>
      <c r="BL16" s="13">
        <f t="shared" si="1"/>
        <v>13825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3"/>
      <c r="O17" s="19"/>
      <c r="P17" s="19"/>
      <c r="Q17" s="19"/>
      <c r="R17" s="19"/>
      <c r="S17" s="63"/>
      <c r="T17" s="19"/>
      <c r="U17" s="19"/>
      <c r="V17" s="19"/>
      <c r="W17" s="19"/>
      <c r="X17" s="63"/>
      <c r="Y17" s="19"/>
      <c r="Z17" s="19"/>
      <c r="AA17" s="19"/>
      <c r="AB17" s="19"/>
      <c r="AC17" s="63"/>
      <c r="AD17" s="19"/>
      <c r="AE17" s="19"/>
      <c r="AF17" s="19"/>
      <c r="AG17" s="19"/>
      <c r="AH17" s="63"/>
      <c r="AI17" s="19"/>
      <c r="AJ17" s="19"/>
      <c r="AK17" s="19"/>
      <c r="AL17" s="19"/>
      <c r="AM17" s="63"/>
      <c r="AN17" s="19"/>
      <c r="AO17" s="19"/>
      <c r="AP17" s="19"/>
      <c r="AQ17" s="19"/>
      <c r="AR17" s="63"/>
      <c r="AS17" s="19"/>
      <c r="AT17" s="19"/>
      <c r="AU17" s="19"/>
      <c r="AV17" s="19"/>
      <c r="AW17" s="63"/>
      <c r="AX17" s="19"/>
      <c r="AY17" s="19"/>
      <c r="AZ17" s="19"/>
      <c r="BA17" s="19"/>
      <c r="BB17" s="63"/>
      <c r="BC17" s="19"/>
      <c r="BD17" s="19"/>
      <c r="BE17" s="19"/>
      <c r="BF17" s="19"/>
      <c r="BG17" s="63"/>
      <c r="BH17" s="19"/>
      <c r="BI17" s="19"/>
      <c r="BJ17" s="19"/>
      <c r="BK17" s="19"/>
      <c r="BL17" s="64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3"/>
      <c r="O18" s="19"/>
      <c r="P18" s="19"/>
      <c r="Q18" s="19"/>
      <c r="R18" s="19"/>
      <c r="S18" s="63"/>
      <c r="T18" s="19"/>
      <c r="U18" s="19"/>
      <c r="V18" s="19"/>
      <c r="W18" s="19"/>
      <c r="X18" s="63"/>
      <c r="Y18" s="19"/>
      <c r="Z18" s="19"/>
      <c r="AA18" s="19"/>
      <c r="AB18" s="19"/>
      <c r="AC18" s="63"/>
      <c r="AD18" s="19"/>
      <c r="AE18" s="19"/>
      <c r="AF18" s="19"/>
      <c r="AG18" s="19"/>
      <c r="AH18" s="63"/>
      <c r="AI18" s="19"/>
      <c r="AJ18" s="19"/>
      <c r="AK18" s="19"/>
      <c r="AL18" s="19"/>
      <c r="AM18" s="63"/>
      <c r="AN18" s="19"/>
      <c r="AO18" s="19"/>
      <c r="AP18" s="19"/>
      <c r="AQ18" s="19"/>
      <c r="AR18" s="63"/>
      <c r="AS18" s="19"/>
      <c r="AT18" s="19"/>
      <c r="AU18" s="19"/>
      <c r="AV18" s="19"/>
      <c r="AW18" s="63"/>
      <c r="AX18" s="19"/>
      <c r="AY18" s="19"/>
      <c r="AZ18" s="19"/>
      <c r="BA18" s="19"/>
      <c r="BB18" s="63"/>
      <c r="BC18" s="19"/>
      <c r="BD18" s="19"/>
      <c r="BE18" s="19"/>
      <c r="BF18" s="19"/>
      <c r="BG18" s="63"/>
      <c r="BH18" s="19"/>
      <c r="BI18" s="19"/>
      <c r="BJ18" s="19"/>
      <c r="BK18" s="19"/>
      <c r="BL18" s="64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>
        <v>89.0</v>
      </c>
      <c r="F19" s="19">
        <v>92.0</v>
      </c>
      <c r="G19" s="19">
        <v>100.0</v>
      </c>
      <c r="H19" s="19">
        <v>69.0</v>
      </c>
      <c r="I19" s="19">
        <v>106.0</v>
      </c>
      <c r="J19" s="19">
        <v>93.0</v>
      </c>
      <c r="K19" s="19">
        <v>82.0</v>
      </c>
      <c r="L19" s="19">
        <v>109.0</v>
      </c>
      <c r="M19" s="19">
        <v>112.0</v>
      </c>
      <c r="N19" s="19">
        <v>53.0</v>
      </c>
      <c r="O19" s="19">
        <v>77.0</v>
      </c>
      <c r="P19" s="19">
        <v>96.0</v>
      </c>
      <c r="Q19" s="19">
        <v>112.0</v>
      </c>
      <c r="R19" s="19">
        <v>119.0</v>
      </c>
      <c r="S19" s="19">
        <v>105.0</v>
      </c>
      <c r="T19" s="19">
        <v>59.0</v>
      </c>
      <c r="U19" s="19">
        <v>90.0</v>
      </c>
      <c r="V19" s="19">
        <v>84.0</v>
      </c>
      <c r="W19" s="19">
        <v>87.0</v>
      </c>
      <c r="X19" s="19">
        <v>75.0</v>
      </c>
      <c r="Y19" s="19">
        <v>105.0</v>
      </c>
      <c r="Z19" s="19">
        <v>112.0</v>
      </c>
      <c r="AA19" s="19">
        <v>63.0</v>
      </c>
      <c r="AB19" s="19">
        <v>61.0</v>
      </c>
      <c r="AC19" s="19">
        <v>53.0</v>
      </c>
      <c r="AD19" s="19">
        <v>93.0</v>
      </c>
      <c r="AE19" s="19">
        <v>93.0</v>
      </c>
      <c r="AF19" s="19">
        <v>88.0</v>
      </c>
      <c r="AG19" s="19">
        <v>74.0</v>
      </c>
      <c r="AH19" s="19">
        <v>58.0</v>
      </c>
      <c r="AI19" s="19">
        <v>103.0</v>
      </c>
      <c r="AJ19" s="19">
        <v>112.0</v>
      </c>
      <c r="AK19" s="19">
        <v>114.0</v>
      </c>
      <c r="AL19" s="19">
        <v>90.0</v>
      </c>
      <c r="AM19" s="19">
        <v>90.0</v>
      </c>
      <c r="AN19" s="19">
        <v>68.0</v>
      </c>
      <c r="AO19" s="19">
        <v>87.0</v>
      </c>
      <c r="AP19" s="19">
        <v>57.0</v>
      </c>
      <c r="AQ19" s="19">
        <v>66.0</v>
      </c>
      <c r="AR19" s="19">
        <v>117.0</v>
      </c>
      <c r="AS19" s="19">
        <v>102.0</v>
      </c>
      <c r="AT19" s="19">
        <v>72.0</v>
      </c>
      <c r="AU19" s="19">
        <v>60.0</v>
      </c>
      <c r="AV19" s="19">
        <v>60.0</v>
      </c>
      <c r="AW19" s="19">
        <v>101.0</v>
      </c>
      <c r="AX19" s="19">
        <v>88.0</v>
      </c>
      <c r="AY19" s="19">
        <v>87.0</v>
      </c>
      <c r="AZ19" s="19">
        <v>89.0</v>
      </c>
      <c r="BA19" s="19">
        <v>60.0</v>
      </c>
      <c r="BB19" s="19">
        <v>58.0</v>
      </c>
      <c r="BC19" s="19">
        <v>86.0</v>
      </c>
      <c r="BD19" s="19">
        <v>74.0</v>
      </c>
      <c r="BE19" s="19">
        <v>103.0</v>
      </c>
      <c r="BF19" s="19">
        <v>79.0</v>
      </c>
      <c r="BG19" s="19">
        <v>54.0</v>
      </c>
      <c r="BH19" s="19">
        <v>86.0</v>
      </c>
      <c r="BI19" s="19">
        <v>82.0</v>
      </c>
      <c r="BJ19" s="19">
        <v>66.0</v>
      </c>
      <c r="BK19" s="19">
        <v>89.0</v>
      </c>
      <c r="BL19" s="13">
        <f t="shared" ref="BL19:BL30" si="3">SUM(E19:BK19)</f>
        <v>5009</v>
      </c>
    </row>
    <row r="20" ht="12.75" customHeight="1">
      <c r="A20" s="34"/>
      <c r="B20" s="27"/>
      <c r="C20" s="35"/>
      <c r="D20" s="19" t="s">
        <v>13</v>
      </c>
      <c r="E20" s="19">
        <v>96.0</v>
      </c>
      <c r="F20" s="19">
        <v>102.0</v>
      </c>
      <c r="G20" s="19">
        <v>104.0</v>
      </c>
      <c r="H20" s="19">
        <v>82.0</v>
      </c>
      <c r="I20" s="19">
        <v>121.0</v>
      </c>
      <c r="J20" s="19">
        <v>114.0</v>
      </c>
      <c r="K20" s="19">
        <v>117.0</v>
      </c>
      <c r="L20" s="19">
        <v>109.0</v>
      </c>
      <c r="M20" s="19">
        <v>116.0</v>
      </c>
      <c r="N20" s="19">
        <v>77.0</v>
      </c>
      <c r="O20" s="19">
        <v>77.0</v>
      </c>
      <c r="P20" s="19">
        <v>105.0</v>
      </c>
      <c r="Q20" s="19">
        <v>104.0</v>
      </c>
      <c r="R20" s="19">
        <v>126.0</v>
      </c>
      <c r="S20" s="19">
        <v>125.0</v>
      </c>
      <c r="T20" s="19">
        <v>62.0</v>
      </c>
      <c r="U20" s="19">
        <v>123.0</v>
      </c>
      <c r="V20" s="19">
        <v>92.0</v>
      </c>
      <c r="W20" s="19">
        <v>104.0</v>
      </c>
      <c r="X20" s="19">
        <v>86.0</v>
      </c>
      <c r="Y20" s="19">
        <v>108.0</v>
      </c>
      <c r="Z20" s="19">
        <v>128.0</v>
      </c>
      <c r="AA20" s="19">
        <v>70.0</v>
      </c>
      <c r="AB20" s="19">
        <v>66.0</v>
      </c>
      <c r="AC20" s="19">
        <v>67.0</v>
      </c>
      <c r="AD20" s="19">
        <v>104.0</v>
      </c>
      <c r="AE20" s="19">
        <v>94.0</v>
      </c>
      <c r="AF20" s="19">
        <v>84.0</v>
      </c>
      <c r="AG20" s="19">
        <v>99.0</v>
      </c>
      <c r="AH20" s="19">
        <v>70.0</v>
      </c>
      <c r="AI20" s="19">
        <v>125.0</v>
      </c>
      <c r="AJ20" s="19">
        <v>111.0</v>
      </c>
      <c r="AK20" s="19">
        <v>113.0</v>
      </c>
      <c r="AL20" s="19">
        <v>87.0</v>
      </c>
      <c r="AM20" s="19">
        <v>91.0</v>
      </c>
      <c r="AN20" s="19">
        <v>77.0</v>
      </c>
      <c r="AO20" s="19">
        <v>102.0</v>
      </c>
      <c r="AP20" s="19">
        <v>76.0</v>
      </c>
      <c r="AQ20" s="19">
        <v>70.0</v>
      </c>
      <c r="AR20" s="19">
        <v>131.0</v>
      </c>
      <c r="AS20" s="19">
        <v>128.0</v>
      </c>
      <c r="AT20" s="19">
        <v>84.0</v>
      </c>
      <c r="AU20" s="19">
        <v>71.0</v>
      </c>
      <c r="AV20" s="19">
        <v>66.0</v>
      </c>
      <c r="AW20" s="19">
        <v>104.0</v>
      </c>
      <c r="AX20" s="19">
        <v>96.0</v>
      </c>
      <c r="AY20" s="19">
        <v>90.0</v>
      </c>
      <c r="AZ20" s="19">
        <v>96.0</v>
      </c>
      <c r="BA20" s="19">
        <v>61.0</v>
      </c>
      <c r="BB20" s="19">
        <v>85.0</v>
      </c>
      <c r="BC20" s="19">
        <v>98.0</v>
      </c>
      <c r="BD20" s="19">
        <v>102.0</v>
      </c>
      <c r="BE20" s="19">
        <v>107.0</v>
      </c>
      <c r="BF20" s="19">
        <v>107.0</v>
      </c>
      <c r="BG20" s="19">
        <v>57.0</v>
      </c>
      <c r="BH20" s="19">
        <v>96.0</v>
      </c>
      <c r="BI20" s="19">
        <v>95.0</v>
      </c>
      <c r="BJ20" s="19">
        <v>68.0</v>
      </c>
      <c r="BK20" s="19">
        <v>104.0</v>
      </c>
      <c r="BL20" s="13">
        <f t="shared" si="3"/>
        <v>5630</v>
      </c>
    </row>
    <row r="21" ht="12.75" customHeight="1">
      <c r="A21" s="36"/>
      <c r="B21" s="28"/>
      <c r="C21" s="37"/>
      <c r="D21" s="13" t="s">
        <v>14</v>
      </c>
      <c r="E21" s="13">
        <f t="shared" ref="E21:BK21" si="4">SUM(E19:E20)</f>
        <v>185</v>
      </c>
      <c r="F21" s="13">
        <f t="shared" si="4"/>
        <v>194</v>
      </c>
      <c r="G21" s="13">
        <f t="shared" si="4"/>
        <v>204</v>
      </c>
      <c r="H21" s="13">
        <f t="shared" si="4"/>
        <v>151</v>
      </c>
      <c r="I21" s="13">
        <f t="shared" si="4"/>
        <v>227</v>
      </c>
      <c r="J21" s="13">
        <f t="shared" si="4"/>
        <v>207</v>
      </c>
      <c r="K21" s="13">
        <f t="shared" si="4"/>
        <v>199</v>
      </c>
      <c r="L21" s="13">
        <f t="shared" si="4"/>
        <v>218</v>
      </c>
      <c r="M21" s="13">
        <f t="shared" si="4"/>
        <v>228</v>
      </c>
      <c r="N21" s="13">
        <f t="shared" si="4"/>
        <v>130</v>
      </c>
      <c r="O21" s="13">
        <f t="shared" si="4"/>
        <v>154</v>
      </c>
      <c r="P21" s="13">
        <f t="shared" si="4"/>
        <v>201</v>
      </c>
      <c r="Q21" s="13">
        <f t="shared" si="4"/>
        <v>216</v>
      </c>
      <c r="R21" s="13">
        <f t="shared" si="4"/>
        <v>245</v>
      </c>
      <c r="S21" s="13">
        <f t="shared" si="4"/>
        <v>230</v>
      </c>
      <c r="T21" s="13">
        <f t="shared" si="4"/>
        <v>121</v>
      </c>
      <c r="U21" s="13">
        <f t="shared" si="4"/>
        <v>213</v>
      </c>
      <c r="V21" s="13">
        <f t="shared" si="4"/>
        <v>176</v>
      </c>
      <c r="W21" s="13">
        <f t="shared" si="4"/>
        <v>191</v>
      </c>
      <c r="X21" s="13">
        <f t="shared" si="4"/>
        <v>161</v>
      </c>
      <c r="Y21" s="13">
        <f t="shared" si="4"/>
        <v>213</v>
      </c>
      <c r="Z21" s="13">
        <f t="shared" si="4"/>
        <v>240</v>
      </c>
      <c r="AA21" s="13">
        <f t="shared" si="4"/>
        <v>133</v>
      </c>
      <c r="AB21" s="13">
        <f t="shared" si="4"/>
        <v>127</v>
      </c>
      <c r="AC21" s="13">
        <f t="shared" si="4"/>
        <v>120</v>
      </c>
      <c r="AD21" s="13">
        <f t="shared" si="4"/>
        <v>197</v>
      </c>
      <c r="AE21" s="13">
        <f t="shared" si="4"/>
        <v>187</v>
      </c>
      <c r="AF21" s="13">
        <f t="shared" si="4"/>
        <v>172</v>
      </c>
      <c r="AG21" s="13">
        <f t="shared" si="4"/>
        <v>173</v>
      </c>
      <c r="AH21" s="13">
        <f t="shared" si="4"/>
        <v>128</v>
      </c>
      <c r="AI21" s="13">
        <f t="shared" si="4"/>
        <v>228</v>
      </c>
      <c r="AJ21" s="13">
        <f t="shared" si="4"/>
        <v>223</v>
      </c>
      <c r="AK21" s="13">
        <f t="shared" si="4"/>
        <v>227</v>
      </c>
      <c r="AL21" s="13">
        <f t="shared" si="4"/>
        <v>177</v>
      </c>
      <c r="AM21" s="13">
        <f t="shared" si="4"/>
        <v>181</v>
      </c>
      <c r="AN21" s="13">
        <f t="shared" si="4"/>
        <v>145</v>
      </c>
      <c r="AO21" s="13">
        <f t="shared" si="4"/>
        <v>189</v>
      </c>
      <c r="AP21" s="13">
        <f t="shared" si="4"/>
        <v>133</v>
      </c>
      <c r="AQ21" s="13">
        <f t="shared" si="4"/>
        <v>136</v>
      </c>
      <c r="AR21" s="13">
        <f t="shared" si="4"/>
        <v>248</v>
      </c>
      <c r="AS21" s="13">
        <f t="shared" si="4"/>
        <v>230</v>
      </c>
      <c r="AT21" s="13">
        <f t="shared" si="4"/>
        <v>156</v>
      </c>
      <c r="AU21" s="13">
        <f t="shared" si="4"/>
        <v>131</v>
      </c>
      <c r="AV21" s="13">
        <f t="shared" si="4"/>
        <v>126</v>
      </c>
      <c r="AW21" s="13">
        <f t="shared" si="4"/>
        <v>205</v>
      </c>
      <c r="AX21" s="13">
        <f t="shared" si="4"/>
        <v>184</v>
      </c>
      <c r="AY21" s="13">
        <f t="shared" si="4"/>
        <v>177</v>
      </c>
      <c r="AZ21" s="13">
        <f t="shared" si="4"/>
        <v>185</v>
      </c>
      <c r="BA21" s="13">
        <f t="shared" si="4"/>
        <v>121</v>
      </c>
      <c r="BB21" s="13">
        <f t="shared" si="4"/>
        <v>143</v>
      </c>
      <c r="BC21" s="13">
        <f t="shared" si="4"/>
        <v>184</v>
      </c>
      <c r="BD21" s="13">
        <f t="shared" si="4"/>
        <v>176</v>
      </c>
      <c r="BE21" s="13">
        <f t="shared" si="4"/>
        <v>210</v>
      </c>
      <c r="BF21" s="13">
        <f t="shared" si="4"/>
        <v>186</v>
      </c>
      <c r="BG21" s="13">
        <f t="shared" si="4"/>
        <v>111</v>
      </c>
      <c r="BH21" s="13">
        <f t="shared" si="4"/>
        <v>182</v>
      </c>
      <c r="BI21" s="13">
        <f t="shared" si="4"/>
        <v>177</v>
      </c>
      <c r="BJ21" s="13">
        <f t="shared" si="4"/>
        <v>134</v>
      </c>
      <c r="BK21" s="13">
        <f t="shared" si="4"/>
        <v>193</v>
      </c>
      <c r="BL21" s="13">
        <f t="shared" si="3"/>
        <v>10639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>
        <v>1.0</v>
      </c>
      <c r="AG22" s="19"/>
      <c r="AH22" s="19"/>
      <c r="AI22" s="19"/>
      <c r="AJ22" s="19"/>
      <c r="AK22" s="19"/>
      <c r="AL22" s="19"/>
      <c r="AM22" s="19"/>
      <c r="AN22" s="19">
        <v>1.0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>
        <v>1.0</v>
      </c>
      <c r="AZ22" s="19">
        <v>3.0</v>
      </c>
      <c r="BA22" s="19"/>
      <c r="BB22" s="19"/>
      <c r="BC22" s="19">
        <v>1.0</v>
      </c>
      <c r="BD22" s="19">
        <v>1.0</v>
      </c>
      <c r="BE22" s="19"/>
      <c r="BF22" s="19"/>
      <c r="BG22" s="19">
        <v>1.0</v>
      </c>
      <c r="BH22" s="19">
        <v>1.0</v>
      </c>
      <c r="BI22" s="19"/>
      <c r="BJ22" s="19"/>
      <c r="BK22" s="19">
        <v>2.0</v>
      </c>
      <c r="BL22" s="13">
        <f t="shared" si="3"/>
        <v>12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>
        <v>4.0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>
        <v>1.0</v>
      </c>
      <c r="AK23" s="19"/>
      <c r="AL23" s="19"/>
      <c r="AM23" s="19"/>
      <c r="AN23" s="19"/>
      <c r="AO23" s="19">
        <v>1.0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>
        <v>1.0</v>
      </c>
      <c r="AZ23" s="19">
        <v>1.0</v>
      </c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>
        <v>1.0</v>
      </c>
      <c r="BL23" s="13">
        <f t="shared" si="3"/>
        <v>9</v>
      </c>
    </row>
    <row r="24" ht="12.75" customHeight="1">
      <c r="A24" s="36"/>
      <c r="B24" s="28"/>
      <c r="C24" s="37"/>
      <c r="D24" s="13" t="s">
        <v>14</v>
      </c>
      <c r="E24" s="13">
        <f t="shared" ref="E24:BK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4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1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1</v>
      </c>
      <c r="AO24" s="13">
        <f t="shared" si="5"/>
        <v>1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2</v>
      </c>
      <c r="AZ24" s="13">
        <f t="shared" si="5"/>
        <v>4</v>
      </c>
      <c r="BA24" s="13">
        <f t="shared" si="5"/>
        <v>0</v>
      </c>
      <c r="BB24" s="13">
        <f t="shared" si="5"/>
        <v>0</v>
      </c>
      <c r="BC24" s="13">
        <f t="shared" si="5"/>
        <v>1</v>
      </c>
      <c r="BD24" s="13">
        <f t="shared" si="5"/>
        <v>1</v>
      </c>
      <c r="BE24" s="13">
        <f t="shared" si="5"/>
        <v>0</v>
      </c>
      <c r="BF24" s="13">
        <f t="shared" si="5"/>
        <v>0</v>
      </c>
      <c r="BG24" s="13">
        <f t="shared" si="5"/>
        <v>1</v>
      </c>
      <c r="BH24" s="13">
        <f t="shared" si="5"/>
        <v>1</v>
      </c>
      <c r="BI24" s="13">
        <f t="shared" si="5"/>
        <v>0</v>
      </c>
      <c r="BJ24" s="13">
        <f t="shared" si="5"/>
        <v>0</v>
      </c>
      <c r="BK24" s="13">
        <f t="shared" si="5"/>
        <v>3</v>
      </c>
      <c r="BL24" s="13">
        <f t="shared" si="3"/>
        <v>21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>
        <v>2.0</v>
      </c>
      <c r="G25" s="19"/>
      <c r="H25" s="19">
        <v>1.0</v>
      </c>
      <c r="I25" s="19"/>
      <c r="J25" s="19">
        <v>1.0</v>
      </c>
      <c r="K25" s="19"/>
      <c r="L25" s="19">
        <v>4.0</v>
      </c>
      <c r="M25" s="19">
        <v>2.0</v>
      </c>
      <c r="N25" s="19"/>
      <c r="O25" s="19"/>
      <c r="P25" s="19">
        <v>2.0</v>
      </c>
      <c r="Q25" s="19"/>
      <c r="R25" s="19"/>
      <c r="S25" s="19"/>
      <c r="T25" s="19"/>
      <c r="U25" s="19"/>
      <c r="V25" s="19"/>
      <c r="W25" s="19">
        <v>2.0</v>
      </c>
      <c r="X25" s="19"/>
      <c r="Y25" s="19">
        <v>1.0</v>
      </c>
      <c r="Z25" s="19"/>
      <c r="AA25" s="19"/>
      <c r="AB25" s="19"/>
      <c r="AC25" s="19"/>
      <c r="AD25" s="19"/>
      <c r="AE25" s="19"/>
      <c r="AF25" s="19"/>
      <c r="AG25" s="19">
        <v>1.0</v>
      </c>
      <c r="AH25" s="19">
        <v>2.0</v>
      </c>
      <c r="AI25" s="19">
        <v>1.0</v>
      </c>
      <c r="AJ25" s="19"/>
      <c r="AK25" s="19"/>
      <c r="AL25" s="19">
        <v>1.0</v>
      </c>
      <c r="AM25" s="19">
        <v>2.0</v>
      </c>
      <c r="AN25" s="19"/>
      <c r="AO25" s="19">
        <v>3.0</v>
      </c>
      <c r="AP25" s="19"/>
      <c r="AQ25" s="19"/>
      <c r="AR25" s="19"/>
      <c r="AS25" s="19"/>
      <c r="AT25" s="19"/>
      <c r="AU25" s="19"/>
      <c r="AV25" s="19">
        <v>5.0</v>
      </c>
      <c r="AW25" s="19"/>
      <c r="AX25" s="19"/>
      <c r="AY25" s="19"/>
      <c r="AZ25" s="19">
        <v>2.0</v>
      </c>
      <c r="BA25" s="19"/>
      <c r="BB25" s="19"/>
      <c r="BC25" s="19">
        <v>3.0</v>
      </c>
      <c r="BD25" s="19"/>
      <c r="BE25" s="19"/>
      <c r="BF25" s="19"/>
      <c r="BG25" s="19"/>
      <c r="BH25" s="19"/>
      <c r="BI25" s="19"/>
      <c r="BJ25" s="19"/>
      <c r="BK25" s="19"/>
      <c r="BL25" s="13">
        <f t="shared" si="3"/>
        <v>35</v>
      </c>
    </row>
    <row r="26" ht="12.75" customHeight="1">
      <c r="A26" s="34"/>
      <c r="B26" s="27"/>
      <c r="C26" s="35"/>
      <c r="D26" s="19" t="s">
        <v>13</v>
      </c>
      <c r="E26" s="19"/>
      <c r="F26" s="19">
        <v>1.0</v>
      </c>
      <c r="G26" s="19"/>
      <c r="H26" s="19">
        <v>3.0</v>
      </c>
      <c r="I26" s="19"/>
      <c r="J26" s="19"/>
      <c r="K26" s="19">
        <v>1.0</v>
      </c>
      <c r="L26" s="19">
        <v>1.0</v>
      </c>
      <c r="M26" s="19">
        <v>1.0</v>
      </c>
      <c r="N26" s="19"/>
      <c r="O26" s="19"/>
      <c r="P26" s="19">
        <v>1.0</v>
      </c>
      <c r="Q26" s="19"/>
      <c r="R26" s="19"/>
      <c r="S26" s="19"/>
      <c r="T26" s="19"/>
      <c r="U26" s="19"/>
      <c r="V26" s="19">
        <v>1.0</v>
      </c>
      <c r="W26" s="19">
        <v>4.0</v>
      </c>
      <c r="X26" s="19"/>
      <c r="Y26" s="19">
        <v>1.0</v>
      </c>
      <c r="Z26" s="19"/>
      <c r="AA26" s="19"/>
      <c r="AB26" s="19"/>
      <c r="AC26" s="19"/>
      <c r="AD26" s="19"/>
      <c r="AE26" s="19"/>
      <c r="AF26" s="19">
        <v>2.0</v>
      </c>
      <c r="AG26" s="19">
        <v>1.0</v>
      </c>
      <c r="AH26" s="19">
        <v>1.0</v>
      </c>
      <c r="AI26" s="19">
        <v>1.0</v>
      </c>
      <c r="AJ26" s="19">
        <v>1.0</v>
      </c>
      <c r="AK26" s="19">
        <v>2.0</v>
      </c>
      <c r="AL26" s="19">
        <v>3.0</v>
      </c>
      <c r="AM26" s="19">
        <v>1.0</v>
      </c>
      <c r="AN26" s="19"/>
      <c r="AO26" s="19">
        <v>1.0</v>
      </c>
      <c r="AP26" s="19"/>
      <c r="AQ26" s="19"/>
      <c r="AR26" s="19"/>
      <c r="AS26" s="19"/>
      <c r="AT26" s="19"/>
      <c r="AU26" s="19"/>
      <c r="AV26" s="19">
        <v>1.0</v>
      </c>
      <c r="AW26" s="19"/>
      <c r="AX26" s="19"/>
      <c r="AY26" s="19"/>
      <c r="AZ26" s="19">
        <v>1.0</v>
      </c>
      <c r="BA26" s="19">
        <v>2.0</v>
      </c>
      <c r="BB26" s="19"/>
      <c r="BC26" s="19">
        <v>6.0</v>
      </c>
      <c r="BD26" s="19"/>
      <c r="BE26" s="19"/>
      <c r="BF26" s="19"/>
      <c r="BG26" s="19"/>
      <c r="BH26" s="19"/>
      <c r="BI26" s="19"/>
      <c r="BJ26" s="19"/>
      <c r="BK26" s="19"/>
      <c r="BL26" s="13">
        <f t="shared" si="3"/>
        <v>37</v>
      </c>
    </row>
    <row r="27" ht="12.75" customHeight="1">
      <c r="A27" s="36"/>
      <c r="B27" s="28"/>
      <c r="C27" s="37"/>
      <c r="D27" s="13" t="s">
        <v>14</v>
      </c>
      <c r="E27" s="13">
        <f t="shared" ref="E27:BK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4</v>
      </c>
      <c r="I27" s="13">
        <f t="shared" si="6"/>
        <v>0</v>
      </c>
      <c r="J27" s="13">
        <f t="shared" si="6"/>
        <v>1</v>
      </c>
      <c r="K27" s="13">
        <f t="shared" si="6"/>
        <v>1</v>
      </c>
      <c r="L27" s="13">
        <f t="shared" si="6"/>
        <v>5</v>
      </c>
      <c r="M27" s="13">
        <f t="shared" si="6"/>
        <v>3</v>
      </c>
      <c r="N27" s="13">
        <f t="shared" si="6"/>
        <v>0</v>
      </c>
      <c r="O27" s="13">
        <f t="shared" si="6"/>
        <v>0</v>
      </c>
      <c r="P27" s="13">
        <f t="shared" si="6"/>
        <v>3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1</v>
      </c>
      <c r="W27" s="13">
        <f t="shared" si="6"/>
        <v>6</v>
      </c>
      <c r="X27" s="13">
        <f t="shared" si="6"/>
        <v>0</v>
      </c>
      <c r="Y27" s="13">
        <f t="shared" si="6"/>
        <v>2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2</v>
      </c>
      <c r="AG27" s="13">
        <f t="shared" si="6"/>
        <v>2</v>
      </c>
      <c r="AH27" s="13">
        <f t="shared" si="6"/>
        <v>3</v>
      </c>
      <c r="AI27" s="13">
        <f t="shared" si="6"/>
        <v>2</v>
      </c>
      <c r="AJ27" s="13">
        <f t="shared" si="6"/>
        <v>1</v>
      </c>
      <c r="AK27" s="13">
        <f t="shared" si="6"/>
        <v>2</v>
      </c>
      <c r="AL27" s="13">
        <f t="shared" si="6"/>
        <v>4</v>
      </c>
      <c r="AM27" s="13">
        <f t="shared" si="6"/>
        <v>3</v>
      </c>
      <c r="AN27" s="13">
        <f t="shared" si="6"/>
        <v>0</v>
      </c>
      <c r="AO27" s="13">
        <f t="shared" si="6"/>
        <v>4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0</v>
      </c>
      <c r="AU27" s="13">
        <f t="shared" si="6"/>
        <v>0</v>
      </c>
      <c r="AV27" s="13">
        <f t="shared" si="6"/>
        <v>6</v>
      </c>
      <c r="AW27" s="13">
        <f t="shared" si="6"/>
        <v>0</v>
      </c>
      <c r="AX27" s="13">
        <f t="shared" si="6"/>
        <v>0</v>
      </c>
      <c r="AY27" s="13">
        <f t="shared" si="6"/>
        <v>0</v>
      </c>
      <c r="AZ27" s="13">
        <f t="shared" si="6"/>
        <v>3</v>
      </c>
      <c r="BA27" s="13">
        <f t="shared" si="6"/>
        <v>2</v>
      </c>
      <c r="BB27" s="13">
        <f t="shared" si="6"/>
        <v>0</v>
      </c>
      <c r="BC27" s="13">
        <f t="shared" si="6"/>
        <v>9</v>
      </c>
      <c r="BD27" s="13">
        <f t="shared" si="6"/>
        <v>0</v>
      </c>
      <c r="BE27" s="13">
        <f t="shared" si="6"/>
        <v>0</v>
      </c>
      <c r="BF27" s="13">
        <f t="shared" si="6"/>
        <v>0</v>
      </c>
      <c r="BG27" s="13">
        <f t="shared" si="6"/>
        <v>0</v>
      </c>
      <c r="BH27" s="13">
        <f t="shared" si="6"/>
        <v>0</v>
      </c>
      <c r="BI27" s="13">
        <f t="shared" si="6"/>
        <v>0</v>
      </c>
      <c r="BJ27" s="13">
        <f t="shared" si="6"/>
        <v>0</v>
      </c>
      <c r="BK27" s="13">
        <f t="shared" si="6"/>
        <v>0</v>
      </c>
      <c r="BL27" s="13">
        <f t="shared" si="3"/>
        <v>72</v>
      </c>
    </row>
    <row r="28" ht="12.75" customHeight="1">
      <c r="A28" s="36"/>
      <c r="B28" s="39" t="s">
        <v>23</v>
      </c>
      <c r="C28" s="40" t="s">
        <v>24</v>
      </c>
      <c r="D28" s="13" t="s">
        <v>12</v>
      </c>
      <c r="E28" s="13">
        <f t="shared" ref="E28:BK28" si="7">SUM(E19,E22,E25)</f>
        <v>89</v>
      </c>
      <c r="F28" s="13">
        <f t="shared" si="7"/>
        <v>94</v>
      </c>
      <c r="G28" s="13">
        <f t="shared" si="7"/>
        <v>100</v>
      </c>
      <c r="H28" s="13">
        <f t="shared" si="7"/>
        <v>70</v>
      </c>
      <c r="I28" s="13">
        <f t="shared" si="7"/>
        <v>106</v>
      </c>
      <c r="J28" s="13">
        <f t="shared" si="7"/>
        <v>94</v>
      </c>
      <c r="K28" s="13">
        <f t="shared" si="7"/>
        <v>82</v>
      </c>
      <c r="L28" s="13">
        <f t="shared" si="7"/>
        <v>113</v>
      </c>
      <c r="M28" s="13">
        <f t="shared" si="7"/>
        <v>114</v>
      </c>
      <c r="N28" s="13">
        <f t="shared" si="7"/>
        <v>53</v>
      </c>
      <c r="O28" s="13">
        <f t="shared" si="7"/>
        <v>77</v>
      </c>
      <c r="P28" s="13">
        <f t="shared" si="7"/>
        <v>98</v>
      </c>
      <c r="Q28" s="13">
        <f t="shared" si="7"/>
        <v>112</v>
      </c>
      <c r="R28" s="13">
        <f t="shared" si="7"/>
        <v>119</v>
      </c>
      <c r="S28" s="13">
        <f t="shared" si="7"/>
        <v>105</v>
      </c>
      <c r="T28" s="13">
        <f t="shared" si="7"/>
        <v>59</v>
      </c>
      <c r="U28" s="13">
        <f t="shared" si="7"/>
        <v>90</v>
      </c>
      <c r="V28" s="13">
        <f t="shared" si="7"/>
        <v>84</v>
      </c>
      <c r="W28" s="13">
        <f t="shared" si="7"/>
        <v>89</v>
      </c>
      <c r="X28" s="13">
        <f t="shared" si="7"/>
        <v>75</v>
      </c>
      <c r="Y28" s="13">
        <f t="shared" si="7"/>
        <v>106</v>
      </c>
      <c r="Z28" s="13">
        <f t="shared" si="7"/>
        <v>112</v>
      </c>
      <c r="AA28" s="13">
        <f t="shared" si="7"/>
        <v>63</v>
      </c>
      <c r="AB28" s="13">
        <f t="shared" si="7"/>
        <v>61</v>
      </c>
      <c r="AC28" s="13">
        <f t="shared" si="7"/>
        <v>53</v>
      </c>
      <c r="AD28" s="13">
        <f t="shared" si="7"/>
        <v>93</v>
      </c>
      <c r="AE28" s="13">
        <f t="shared" si="7"/>
        <v>93</v>
      </c>
      <c r="AF28" s="13">
        <f t="shared" si="7"/>
        <v>89</v>
      </c>
      <c r="AG28" s="13">
        <f t="shared" si="7"/>
        <v>75</v>
      </c>
      <c r="AH28" s="13">
        <f t="shared" si="7"/>
        <v>60</v>
      </c>
      <c r="AI28" s="13">
        <f t="shared" si="7"/>
        <v>104</v>
      </c>
      <c r="AJ28" s="13">
        <f t="shared" si="7"/>
        <v>112</v>
      </c>
      <c r="AK28" s="13">
        <f t="shared" si="7"/>
        <v>114</v>
      </c>
      <c r="AL28" s="13">
        <f t="shared" si="7"/>
        <v>91</v>
      </c>
      <c r="AM28" s="13">
        <f t="shared" si="7"/>
        <v>92</v>
      </c>
      <c r="AN28" s="13">
        <f t="shared" si="7"/>
        <v>69</v>
      </c>
      <c r="AO28" s="13">
        <f t="shared" si="7"/>
        <v>90</v>
      </c>
      <c r="AP28" s="13">
        <f t="shared" si="7"/>
        <v>57</v>
      </c>
      <c r="AQ28" s="13">
        <f t="shared" si="7"/>
        <v>66</v>
      </c>
      <c r="AR28" s="13">
        <f t="shared" si="7"/>
        <v>117</v>
      </c>
      <c r="AS28" s="13">
        <f t="shared" si="7"/>
        <v>102</v>
      </c>
      <c r="AT28" s="13">
        <f t="shared" si="7"/>
        <v>72</v>
      </c>
      <c r="AU28" s="13">
        <f t="shared" si="7"/>
        <v>60</v>
      </c>
      <c r="AV28" s="13">
        <f t="shared" si="7"/>
        <v>65</v>
      </c>
      <c r="AW28" s="13">
        <f t="shared" si="7"/>
        <v>101</v>
      </c>
      <c r="AX28" s="13">
        <f t="shared" si="7"/>
        <v>88</v>
      </c>
      <c r="AY28" s="13">
        <f t="shared" si="7"/>
        <v>88</v>
      </c>
      <c r="AZ28" s="13">
        <f t="shared" si="7"/>
        <v>94</v>
      </c>
      <c r="BA28" s="13">
        <f t="shared" si="7"/>
        <v>60</v>
      </c>
      <c r="BB28" s="13">
        <f t="shared" si="7"/>
        <v>58</v>
      </c>
      <c r="BC28" s="13">
        <f t="shared" si="7"/>
        <v>90</v>
      </c>
      <c r="BD28" s="13">
        <f t="shared" si="7"/>
        <v>75</v>
      </c>
      <c r="BE28" s="13">
        <f t="shared" si="7"/>
        <v>103</v>
      </c>
      <c r="BF28" s="13">
        <f t="shared" si="7"/>
        <v>79</v>
      </c>
      <c r="BG28" s="13">
        <f t="shared" si="7"/>
        <v>55</v>
      </c>
      <c r="BH28" s="13">
        <f t="shared" si="7"/>
        <v>87</v>
      </c>
      <c r="BI28" s="13">
        <f t="shared" si="7"/>
        <v>82</v>
      </c>
      <c r="BJ28" s="13">
        <f t="shared" si="7"/>
        <v>66</v>
      </c>
      <c r="BK28" s="13">
        <f t="shared" si="7"/>
        <v>91</v>
      </c>
      <c r="BL28" s="13">
        <f t="shared" si="3"/>
        <v>5056</v>
      </c>
    </row>
    <row r="29" ht="12.75" customHeight="1">
      <c r="A29" s="36"/>
      <c r="B29" s="27"/>
      <c r="C29" s="35"/>
      <c r="D29" s="13" t="s">
        <v>13</v>
      </c>
      <c r="E29" s="13">
        <f t="shared" ref="E29:BK29" si="8">SUM(E20,E23,E26)</f>
        <v>96</v>
      </c>
      <c r="F29" s="13">
        <f t="shared" si="8"/>
        <v>103</v>
      </c>
      <c r="G29" s="13">
        <f t="shared" si="8"/>
        <v>104</v>
      </c>
      <c r="H29" s="13">
        <f t="shared" si="8"/>
        <v>85</v>
      </c>
      <c r="I29" s="13">
        <f t="shared" si="8"/>
        <v>121</v>
      </c>
      <c r="J29" s="13">
        <f t="shared" si="8"/>
        <v>114</v>
      </c>
      <c r="K29" s="13">
        <f t="shared" si="8"/>
        <v>118</v>
      </c>
      <c r="L29" s="13">
        <f t="shared" si="8"/>
        <v>110</v>
      </c>
      <c r="M29" s="13">
        <f t="shared" si="8"/>
        <v>117</v>
      </c>
      <c r="N29" s="13">
        <f t="shared" si="8"/>
        <v>77</v>
      </c>
      <c r="O29" s="13">
        <f t="shared" si="8"/>
        <v>77</v>
      </c>
      <c r="P29" s="13">
        <f t="shared" si="8"/>
        <v>106</v>
      </c>
      <c r="Q29" s="13">
        <f t="shared" si="8"/>
        <v>108</v>
      </c>
      <c r="R29" s="13">
        <f t="shared" si="8"/>
        <v>126</v>
      </c>
      <c r="S29" s="13">
        <f t="shared" si="8"/>
        <v>125</v>
      </c>
      <c r="T29" s="13">
        <f t="shared" si="8"/>
        <v>62</v>
      </c>
      <c r="U29" s="13">
        <f t="shared" si="8"/>
        <v>123</v>
      </c>
      <c r="V29" s="13">
        <f t="shared" si="8"/>
        <v>93</v>
      </c>
      <c r="W29" s="13">
        <f t="shared" si="8"/>
        <v>108</v>
      </c>
      <c r="X29" s="13">
        <f t="shared" si="8"/>
        <v>86</v>
      </c>
      <c r="Y29" s="13">
        <f t="shared" si="8"/>
        <v>109</v>
      </c>
      <c r="Z29" s="13">
        <f t="shared" si="8"/>
        <v>128</v>
      </c>
      <c r="AA29" s="13">
        <f t="shared" si="8"/>
        <v>70</v>
      </c>
      <c r="AB29" s="13">
        <f t="shared" si="8"/>
        <v>66</v>
      </c>
      <c r="AC29" s="13">
        <f t="shared" si="8"/>
        <v>67</v>
      </c>
      <c r="AD29" s="13">
        <f t="shared" si="8"/>
        <v>104</v>
      </c>
      <c r="AE29" s="13">
        <f t="shared" si="8"/>
        <v>94</v>
      </c>
      <c r="AF29" s="13">
        <f t="shared" si="8"/>
        <v>86</v>
      </c>
      <c r="AG29" s="13">
        <f t="shared" si="8"/>
        <v>100</v>
      </c>
      <c r="AH29" s="13">
        <f t="shared" si="8"/>
        <v>71</v>
      </c>
      <c r="AI29" s="13">
        <f t="shared" si="8"/>
        <v>126</v>
      </c>
      <c r="AJ29" s="13">
        <f t="shared" si="8"/>
        <v>113</v>
      </c>
      <c r="AK29" s="13">
        <f t="shared" si="8"/>
        <v>115</v>
      </c>
      <c r="AL29" s="13">
        <f t="shared" si="8"/>
        <v>90</v>
      </c>
      <c r="AM29" s="13">
        <f t="shared" si="8"/>
        <v>92</v>
      </c>
      <c r="AN29" s="13">
        <f t="shared" si="8"/>
        <v>77</v>
      </c>
      <c r="AO29" s="13">
        <f t="shared" si="8"/>
        <v>104</v>
      </c>
      <c r="AP29" s="13">
        <f t="shared" si="8"/>
        <v>76</v>
      </c>
      <c r="AQ29" s="13">
        <f t="shared" si="8"/>
        <v>70</v>
      </c>
      <c r="AR29" s="13">
        <f t="shared" si="8"/>
        <v>131</v>
      </c>
      <c r="AS29" s="13">
        <f t="shared" si="8"/>
        <v>128</v>
      </c>
      <c r="AT29" s="13">
        <f t="shared" si="8"/>
        <v>84</v>
      </c>
      <c r="AU29" s="13">
        <f t="shared" si="8"/>
        <v>71</v>
      </c>
      <c r="AV29" s="13">
        <f t="shared" si="8"/>
        <v>67</v>
      </c>
      <c r="AW29" s="13">
        <f t="shared" si="8"/>
        <v>104</v>
      </c>
      <c r="AX29" s="13">
        <f t="shared" si="8"/>
        <v>96</v>
      </c>
      <c r="AY29" s="13">
        <f t="shared" si="8"/>
        <v>91</v>
      </c>
      <c r="AZ29" s="13">
        <f t="shared" si="8"/>
        <v>98</v>
      </c>
      <c r="BA29" s="13">
        <f t="shared" si="8"/>
        <v>63</v>
      </c>
      <c r="BB29" s="13">
        <f t="shared" si="8"/>
        <v>85</v>
      </c>
      <c r="BC29" s="13">
        <f t="shared" si="8"/>
        <v>104</v>
      </c>
      <c r="BD29" s="13">
        <f t="shared" si="8"/>
        <v>102</v>
      </c>
      <c r="BE29" s="13">
        <f t="shared" si="8"/>
        <v>107</v>
      </c>
      <c r="BF29" s="13">
        <f t="shared" si="8"/>
        <v>107</v>
      </c>
      <c r="BG29" s="13">
        <f t="shared" si="8"/>
        <v>57</v>
      </c>
      <c r="BH29" s="13">
        <f t="shared" si="8"/>
        <v>96</v>
      </c>
      <c r="BI29" s="13">
        <f t="shared" si="8"/>
        <v>95</v>
      </c>
      <c r="BJ29" s="13">
        <f t="shared" si="8"/>
        <v>68</v>
      </c>
      <c r="BK29" s="13">
        <f t="shared" si="8"/>
        <v>105</v>
      </c>
      <c r="BL29" s="13">
        <f t="shared" si="3"/>
        <v>5676</v>
      </c>
    </row>
    <row r="30" ht="12.75" customHeight="1">
      <c r="A30" s="36"/>
      <c r="B30" s="28"/>
      <c r="C30" s="37"/>
      <c r="D30" s="13" t="s">
        <v>14</v>
      </c>
      <c r="E30" s="13">
        <f t="shared" ref="E30:BK30" si="9">SUM(E28:E29)</f>
        <v>185</v>
      </c>
      <c r="F30" s="13">
        <f t="shared" si="9"/>
        <v>197</v>
      </c>
      <c r="G30" s="13">
        <f t="shared" si="9"/>
        <v>204</v>
      </c>
      <c r="H30" s="13">
        <f t="shared" si="9"/>
        <v>155</v>
      </c>
      <c r="I30" s="13">
        <f t="shared" si="9"/>
        <v>227</v>
      </c>
      <c r="J30" s="13">
        <f t="shared" si="9"/>
        <v>208</v>
      </c>
      <c r="K30" s="13">
        <f t="shared" si="9"/>
        <v>200</v>
      </c>
      <c r="L30" s="13">
        <f t="shared" si="9"/>
        <v>223</v>
      </c>
      <c r="M30" s="13">
        <f t="shared" si="9"/>
        <v>231</v>
      </c>
      <c r="N30" s="13">
        <f t="shared" si="9"/>
        <v>130</v>
      </c>
      <c r="O30" s="13">
        <f t="shared" si="9"/>
        <v>154</v>
      </c>
      <c r="P30" s="13">
        <f t="shared" si="9"/>
        <v>204</v>
      </c>
      <c r="Q30" s="13">
        <f t="shared" si="9"/>
        <v>220</v>
      </c>
      <c r="R30" s="13">
        <f t="shared" si="9"/>
        <v>245</v>
      </c>
      <c r="S30" s="13">
        <f t="shared" si="9"/>
        <v>230</v>
      </c>
      <c r="T30" s="13">
        <f t="shared" si="9"/>
        <v>121</v>
      </c>
      <c r="U30" s="13">
        <f t="shared" si="9"/>
        <v>213</v>
      </c>
      <c r="V30" s="13">
        <f t="shared" si="9"/>
        <v>177</v>
      </c>
      <c r="W30" s="13">
        <f t="shared" si="9"/>
        <v>197</v>
      </c>
      <c r="X30" s="13">
        <f t="shared" si="9"/>
        <v>161</v>
      </c>
      <c r="Y30" s="13">
        <f t="shared" si="9"/>
        <v>215</v>
      </c>
      <c r="Z30" s="13">
        <f t="shared" si="9"/>
        <v>240</v>
      </c>
      <c r="AA30" s="13">
        <f t="shared" si="9"/>
        <v>133</v>
      </c>
      <c r="AB30" s="13">
        <f t="shared" si="9"/>
        <v>127</v>
      </c>
      <c r="AC30" s="13">
        <f t="shared" si="9"/>
        <v>120</v>
      </c>
      <c r="AD30" s="13">
        <f t="shared" si="9"/>
        <v>197</v>
      </c>
      <c r="AE30" s="13">
        <f t="shared" si="9"/>
        <v>187</v>
      </c>
      <c r="AF30" s="13">
        <f t="shared" si="9"/>
        <v>175</v>
      </c>
      <c r="AG30" s="13">
        <f t="shared" si="9"/>
        <v>175</v>
      </c>
      <c r="AH30" s="13">
        <f t="shared" si="9"/>
        <v>131</v>
      </c>
      <c r="AI30" s="13">
        <f t="shared" si="9"/>
        <v>230</v>
      </c>
      <c r="AJ30" s="13">
        <f t="shared" si="9"/>
        <v>225</v>
      </c>
      <c r="AK30" s="13">
        <f t="shared" si="9"/>
        <v>229</v>
      </c>
      <c r="AL30" s="13">
        <f t="shared" si="9"/>
        <v>181</v>
      </c>
      <c r="AM30" s="13">
        <f t="shared" si="9"/>
        <v>184</v>
      </c>
      <c r="AN30" s="13">
        <f t="shared" si="9"/>
        <v>146</v>
      </c>
      <c r="AO30" s="13">
        <f t="shared" si="9"/>
        <v>194</v>
      </c>
      <c r="AP30" s="13">
        <f t="shared" si="9"/>
        <v>133</v>
      </c>
      <c r="AQ30" s="13">
        <f t="shared" si="9"/>
        <v>136</v>
      </c>
      <c r="AR30" s="13">
        <f t="shared" si="9"/>
        <v>248</v>
      </c>
      <c r="AS30" s="13">
        <f t="shared" si="9"/>
        <v>230</v>
      </c>
      <c r="AT30" s="13">
        <f t="shared" si="9"/>
        <v>156</v>
      </c>
      <c r="AU30" s="13">
        <f t="shared" si="9"/>
        <v>131</v>
      </c>
      <c r="AV30" s="13">
        <f t="shared" si="9"/>
        <v>132</v>
      </c>
      <c r="AW30" s="13">
        <f t="shared" si="9"/>
        <v>205</v>
      </c>
      <c r="AX30" s="13">
        <f t="shared" si="9"/>
        <v>184</v>
      </c>
      <c r="AY30" s="13">
        <f t="shared" si="9"/>
        <v>179</v>
      </c>
      <c r="AZ30" s="13">
        <f t="shared" si="9"/>
        <v>192</v>
      </c>
      <c r="BA30" s="13">
        <f t="shared" si="9"/>
        <v>123</v>
      </c>
      <c r="BB30" s="13">
        <f t="shared" si="9"/>
        <v>143</v>
      </c>
      <c r="BC30" s="13">
        <f t="shared" si="9"/>
        <v>194</v>
      </c>
      <c r="BD30" s="13">
        <f t="shared" si="9"/>
        <v>177</v>
      </c>
      <c r="BE30" s="13">
        <f t="shared" si="9"/>
        <v>210</v>
      </c>
      <c r="BF30" s="13">
        <f t="shared" si="9"/>
        <v>186</v>
      </c>
      <c r="BG30" s="13">
        <f t="shared" si="9"/>
        <v>112</v>
      </c>
      <c r="BH30" s="13">
        <f t="shared" si="9"/>
        <v>183</v>
      </c>
      <c r="BI30" s="13">
        <f t="shared" si="9"/>
        <v>177</v>
      </c>
      <c r="BJ30" s="13">
        <f t="shared" si="9"/>
        <v>134</v>
      </c>
      <c r="BK30" s="13">
        <f t="shared" si="9"/>
        <v>196</v>
      </c>
      <c r="BL30" s="13">
        <f t="shared" si="3"/>
        <v>10732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3"/>
      <c r="O31" s="19"/>
      <c r="P31" s="19"/>
      <c r="Q31" s="19"/>
      <c r="R31" s="19"/>
      <c r="S31" s="63"/>
      <c r="T31" s="19"/>
      <c r="U31" s="19"/>
      <c r="V31" s="19"/>
      <c r="W31" s="19"/>
      <c r="X31" s="63"/>
      <c r="Y31" s="19"/>
      <c r="Z31" s="19"/>
      <c r="AA31" s="19"/>
      <c r="AB31" s="19"/>
      <c r="AC31" s="63"/>
      <c r="AD31" s="19"/>
      <c r="AE31" s="19"/>
      <c r="AF31" s="19"/>
      <c r="AG31" s="19"/>
      <c r="AH31" s="63"/>
      <c r="AI31" s="19"/>
      <c r="AJ31" s="19"/>
      <c r="AK31" s="19"/>
      <c r="AL31" s="19"/>
      <c r="AM31" s="63"/>
      <c r="AN31" s="19"/>
      <c r="AO31" s="19"/>
      <c r="AP31" s="19"/>
      <c r="AQ31" s="19"/>
      <c r="AR31" s="63"/>
      <c r="AS31" s="19"/>
      <c r="AT31" s="19"/>
      <c r="AU31" s="19"/>
      <c r="AV31" s="19"/>
      <c r="AW31" s="63"/>
      <c r="AX31" s="19"/>
      <c r="AY31" s="19"/>
      <c r="AZ31" s="19"/>
      <c r="BA31" s="19"/>
      <c r="BB31" s="63"/>
      <c r="BC31" s="19"/>
      <c r="BD31" s="19"/>
      <c r="BE31" s="19"/>
      <c r="BF31" s="19"/>
      <c r="BG31" s="63"/>
      <c r="BH31" s="19"/>
      <c r="BI31" s="19"/>
      <c r="BJ31" s="19"/>
      <c r="BK31" s="19"/>
      <c r="BL31" s="64"/>
    </row>
    <row r="32" ht="12.75" customHeight="1">
      <c r="A32" s="43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5"/>
      <c r="O32" s="13"/>
      <c r="P32" s="13"/>
      <c r="Q32" s="13"/>
      <c r="R32" s="13"/>
      <c r="S32" s="65"/>
      <c r="T32" s="13"/>
      <c r="U32" s="13"/>
      <c r="V32" s="13"/>
      <c r="W32" s="13"/>
      <c r="X32" s="65"/>
      <c r="Y32" s="13"/>
      <c r="Z32" s="13"/>
      <c r="AA32" s="13"/>
      <c r="AB32" s="13"/>
      <c r="AC32" s="65"/>
      <c r="AD32" s="13"/>
      <c r="AE32" s="13"/>
      <c r="AF32" s="13"/>
      <c r="AG32" s="13"/>
      <c r="AH32" s="65"/>
      <c r="AI32" s="13"/>
      <c r="AJ32" s="13"/>
      <c r="AK32" s="13"/>
      <c r="AL32" s="13"/>
      <c r="AM32" s="65"/>
      <c r="AN32" s="13"/>
      <c r="AO32" s="13"/>
      <c r="AP32" s="13"/>
      <c r="AQ32" s="13"/>
      <c r="AR32" s="65"/>
      <c r="AS32" s="13"/>
      <c r="AT32" s="13"/>
      <c r="AU32" s="13"/>
      <c r="AV32" s="13"/>
      <c r="AW32" s="65"/>
      <c r="AX32" s="13"/>
      <c r="AY32" s="13"/>
      <c r="AZ32" s="13"/>
      <c r="BA32" s="13"/>
      <c r="BB32" s="65"/>
      <c r="BC32" s="13"/>
      <c r="BD32" s="13"/>
      <c r="BE32" s="13"/>
      <c r="BF32" s="13"/>
      <c r="BG32" s="65"/>
      <c r="BH32" s="13"/>
      <c r="BI32" s="13"/>
      <c r="BJ32" s="13"/>
      <c r="BK32" s="13"/>
      <c r="BL32" s="64"/>
    </row>
    <row r="33" ht="12.75" customHeight="1">
      <c r="A33" s="19">
        <v>1.0</v>
      </c>
      <c r="B33" s="20" t="s">
        <v>27</v>
      </c>
      <c r="C33" s="15"/>
      <c r="D33" s="16"/>
      <c r="E33" s="19">
        <v>268.0</v>
      </c>
      <c r="F33" s="19">
        <v>291.0</v>
      </c>
      <c r="G33" s="19">
        <v>272.0</v>
      </c>
      <c r="H33" s="19">
        <v>193.0</v>
      </c>
      <c r="I33" s="19">
        <v>301.0</v>
      </c>
      <c r="J33" s="19">
        <v>290.0</v>
      </c>
      <c r="K33" s="19">
        <v>289.0</v>
      </c>
      <c r="L33" s="19">
        <v>299.0</v>
      </c>
      <c r="M33" s="19">
        <v>308.0</v>
      </c>
      <c r="N33" s="19">
        <v>179.0</v>
      </c>
      <c r="O33" s="19">
        <v>204.0</v>
      </c>
      <c r="P33" s="19">
        <v>282.0</v>
      </c>
      <c r="Q33" s="19">
        <v>235.0</v>
      </c>
      <c r="R33" s="19">
        <v>299.0</v>
      </c>
      <c r="S33" s="19">
        <v>288.0</v>
      </c>
      <c r="T33" s="19">
        <v>255.0</v>
      </c>
      <c r="U33" s="19">
        <v>300.0</v>
      </c>
      <c r="V33" s="19">
        <v>253.0</v>
      </c>
      <c r="W33" s="19">
        <v>275.0</v>
      </c>
      <c r="X33" s="19">
        <v>251.0</v>
      </c>
      <c r="Y33" s="19">
        <v>260.0</v>
      </c>
      <c r="Z33" s="19">
        <v>303.0</v>
      </c>
      <c r="AA33" s="19">
        <v>187.0</v>
      </c>
      <c r="AB33" s="19">
        <v>196.0</v>
      </c>
      <c r="AC33" s="19">
        <v>139.0</v>
      </c>
      <c r="AD33" s="19">
        <v>265.0</v>
      </c>
      <c r="AE33" s="19">
        <v>243.0</v>
      </c>
      <c r="AF33" s="19">
        <v>210.0</v>
      </c>
      <c r="AG33" s="19">
        <v>222.0</v>
      </c>
      <c r="AH33" s="19">
        <v>178.0</v>
      </c>
      <c r="AI33" s="19">
        <v>296.0</v>
      </c>
      <c r="AJ33" s="19">
        <v>305.0</v>
      </c>
      <c r="AK33" s="19">
        <v>303.0</v>
      </c>
      <c r="AL33" s="19">
        <v>216.0</v>
      </c>
      <c r="AM33" s="19">
        <v>247.0</v>
      </c>
      <c r="AN33" s="19">
        <v>197.0</v>
      </c>
      <c r="AO33" s="19">
        <v>272.0</v>
      </c>
      <c r="AP33" s="19">
        <v>162.0</v>
      </c>
      <c r="AQ33" s="19">
        <v>184.0</v>
      </c>
      <c r="AR33" s="19">
        <v>305.0</v>
      </c>
      <c r="AS33" s="19">
        <v>290.0</v>
      </c>
      <c r="AT33" s="19">
        <v>217.0</v>
      </c>
      <c r="AU33" s="19">
        <v>190.0</v>
      </c>
      <c r="AV33" s="19">
        <v>164.0</v>
      </c>
      <c r="AW33" s="19">
        <v>277.0</v>
      </c>
      <c r="AX33" s="19">
        <v>236.0</v>
      </c>
      <c r="AY33" s="19">
        <v>215.0</v>
      </c>
      <c r="AZ33" s="19">
        <v>230.0</v>
      </c>
      <c r="BA33" s="19">
        <v>142.0</v>
      </c>
      <c r="BB33" s="19">
        <v>198.0</v>
      </c>
      <c r="BC33" s="19">
        <v>284.0</v>
      </c>
      <c r="BD33" s="19">
        <v>266.0</v>
      </c>
      <c r="BE33" s="19">
        <v>281.0</v>
      </c>
      <c r="BF33" s="19">
        <v>298.0</v>
      </c>
      <c r="BG33" s="19">
        <v>115.0</v>
      </c>
      <c r="BH33" s="19">
        <v>196.0</v>
      </c>
      <c r="BI33" s="19">
        <v>195.0</v>
      </c>
      <c r="BJ33" s="19">
        <v>192.0</v>
      </c>
      <c r="BK33" s="19">
        <v>217.0</v>
      </c>
      <c r="BL33" s="13">
        <f t="shared" ref="BL33:BL36" si="10">SUM(E33:BK33)</f>
        <v>14225</v>
      </c>
    </row>
    <row r="34" ht="12.75" customHeight="1">
      <c r="A34" s="19">
        <v>2.0</v>
      </c>
      <c r="B34" s="20" t="s">
        <v>28</v>
      </c>
      <c r="C34" s="15"/>
      <c r="D34" s="16"/>
      <c r="E34" s="13">
        <v>185.0</v>
      </c>
      <c r="F34" s="13">
        <v>197.0</v>
      </c>
      <c r="G34" s="13">
        <v>204.0</v>
      </c>
      <c r="H34" s="13">
        <v>155.0</v>
      </c>
      <c r="I34" s="13">
        <v>227.0</v>
      </c>
      <c r="J34" s="13">
        <v>208.0</v>
      </c>
      <c r="K34" s="13">
        <v>200.0</v>
      </c>
      <c r="L34" s="13">
        <v>223.0</v>
      </c>
      <c r="M34" s="13">
        <v>231.0</v>
      </c>
      <c r="N34" s="13">
        <v>130.0</v>
      </c>
      <c r="O34" s="13">
        <v>154.0</v>
      </c>
      <c r="P34" s="13">
        <v>204.0</v>
      </c>
      <c r="Q34" s="13">
        <v>220.0</v>
      </c>
      <c r="R34" s="13">
        <v>245.0</v>
      </c>
      <c r="S34" s="13">
        <v>230.0</v>
      </c>
      <c r="T34" s="13">
        <v>121.0</v>
      </c>
      <c r="U34" s="13">
        <v>213.0</v>
      </c>
      <c r="V34" s="13">
        <v>177.0</v>
      </c>
      <c r="W34" s="13">
        <v>197.0</v>
      </c>
      <c r="X34" s="13">
        <v>161.0</v>
      </c>
      <c r="Y34" s="13">
        <v>215.0</v>
      </c>
      <c r="Z34" s="13">
        <v>240.0</v>
      </c>
      <c r="AA34" s="13">
        <v>133.0</v>
      </c>
      <c r="AB34" s="13">
        <v>127.0</v>
      </c>
      <c r="AC34" s="13">
        <v>120.0</v>
      </c>
      <c r="AD34" s="13">
        <v>197.0</v>
      </c>
      <c r="AE34" s="13">
        <v>187.0</v>
      </c>
      <c r="AF34" s="13">
        <v>175.0</v>
      </c>
      <c r="AG34" s="13">
        <v>175.0</v>
      </c>
      <c r="AH34" s="13">
        <v>131.0</v>
      </c>
      <c r="AI34" s="13">
        <v>230.0</v>
      </c>
      <c r="AJ34" s="13">
        <v>225.0</v>
      </c>
      <c r="AK34" s="13">
        <v>229.0</v>
      </c>
      <c r="AL34" s="13">
        <v>181.0</v>
      </c>
      <c r="AM34" s="13">
        <v>184.0</v>
      </c>
      <c r="AN34" s="13">
        <v>146.0</v>
      </c>
      <c r="AO34" s="13">
        <v>194.0</v>
      </c>
      <c r="AP34" s="13">
        <v>133.0</v>
      </c>
      <c r="AQ34" s="13">
        <v>136.0</v>
      </c>
      <c r="AR34" s="13">
        <v>248.0</v>
      </c>
      <c r="AS34" s="13">
        <v>230.0</v>
      </c>
      <c r="AT34" s="13">
        <v>156.0</v>
      </c>
      <c r="AU34" s="13">
        <v>131.0</v>
      </c>
      <c r="AV34" s="13">
        <v>132.0</v>
      </c>
      <c r="AW34" s="13">
        <v>205.0</v>
      </c>
      <c r="AX34" s="13">
        <v>184.0</v>
      </c>
      <c r="AY34" s="13">
        <v>179.0</v>
      </c>
      <c r="AZ34" s="13">
        <v>192.0</v>
      </c>
      <c r="BA34" s="13">
        <v>123.0</v>
      </c>
      <c r="BB34" s="13">
        <v>143.0</v>
      </c>
      <c r="BC34" s="13">
        <v>194.0</v>
      </c>
      <c r="BD34" s="13">
        <v>177.0</v>
      </c>
      <c r="BE34" s="13">
        <v>210.0</v>
      </c>
      <c r="BF34" s="13">
        <v>186.0</v>
      </c>
      <c r="BG34" s="13">
        <v>112.0</v>
      </c>
      <c r="BH34" s="13">
        <v>183.0</v>
      </c>
      <c r="BI34" s="13">
        <v>177.0</v>
      </c>
      <c r="BJ34" s="13">
        <v>134.0</v>
      </c>
      <c r="BK34" s="13">
        <v>196.0</v>
      </c>
      <c r="BL34" s="13">
        <f t="shared" si="10"/>
        <v>10732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>
        <v>1.0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>
        <v>2.0</v>
      </c>
      <c r="W35" s="19"/>
      <c r="X35" s="19"/>
      <c r="Y35" s="19"/>
      <c r="Z35" s="19">
        <v>4.0</v>
      </c>
      <c r="AA35" s="19"/>
      <c r="AB35" s="19"/>
      <c r="AC35" s="19">
        <v>1.0</v>
      </c>
      <c r="AD35" s="19"/>
      <c r="AE35" s="19"/>
      <c r="AF35" s="19"/>
      <c r="AG35" s="19"/>
      <c r="AH35" s="19"/>
      <c r="AI35" s="19"/>
      <c r="AJ35" s="19"/>
      <c r="AK35" s="19">
        <v>2.0</v>
      </c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K36" si="11">E33-(E34+E35)</f>
        <v>83</v>
      </c>
      <c r="F36" s="13">
        <f t="shared" si="11"/>
        <v>94</v>
      </c>
      <c r="G36" s="13">
        <f t="shared" si="11"/>
        <v>68</v>
      </c>
      <c r="H36" s="13">
        <f t="shared" si="11"/>
        <v>38</v>
      </c>
      <c r="I36" s="13">
        <f t="shared" si="11"/>
        <v>73</v>
      </c>
      <c r="J36" s="13">
        <f t="shared" si="11"/>
        <v>82</v>
      </c>
      <c r="K36" s="13">
        <f t="shared" si="11"/>
        <v>89</v>
      </c>
      <c r="L36" s="13">
        <f t="shared" si="11"/>
        <v>76</v>
      </c>
      <c r="M36" s="13">
        <f t="shared" si="11"/>
        <v>77</v>
      </c>
      <c r="N36" s="13">
        <f t="shared" si="11"/>
        <v>49</v>
      </c>
      <c r="O36" s="13">
        <f t="shared" si="11"/>
        <v>50</v>
      </c>
      <c r="P36" s="13">
        <f t="shared" si="11"/>
        <v>78</v>
      </c>
      <c r="Q36" s="13">
        <f t="shared" si="11"/>
        <v>15</v>
      </c>
      <c r="R36" s="13">
        <f t="shared" si="11"/>
        <v>54</v>
      </c>
      <c r="S36" s="13">
        <f t="shared" si="11"/>
        <v>58</v>
      </c>
      <c r="T36" s="13">
        <f t="shared" si="11"/>
        <v>134</v>
      </c>
      <c r="U36" s="13">
        <f t="shared" si="11"/>
        <v>87</v>
      </c>
      <c r="V36" s="13">
        <f t="shared" si="11"/>
        <v>74</v>
      </c>
      <c r="W36" s="13">
        <f t="shared" si="11"/>
        <v>78</v>
      </c>
      <c r="X36" s="13">
        <f t="shared" si="11"/>
        <v>90</v>
      </c>
      <c r="Y36" s="13">
        <f t="shared" si="11"/>
        <v>45</v>
      </c>
      <c r="Z36" s="13">
        <f t="shared" si="11"/>
        <v>59</v>
      </c>
      <c r="AA36" s="13">
        <f t="shared" si="11"/>
        <v>54</v>
      </c>
      <c r="AB36" s="13">
        <f t="shared" si="11"/>
        <v>69</v>
      </c>
      <c r="AC36" s="13">
        <f t="shared" si="11"/>
        <v>18</v>
      </c>
      <c r="AD36" s="13">
        <f t="shared" si="11"/>
        <v>68</v>
      </c>
      <c r="AE36" s="13">
        <f t="shared" si="11"/>
        <v>56</v>
      </c>
      <c r="AF36" s="13">
        <f t="shared" si="11"/>
        <v>35</v>
      </c>
      <c r="AG36" s="13">
        <f t="shared" si="11"/>
        <v>47</v>
      </c>
      <c r="AH36" s="13">
        <f t="shared" si="11"/>
        <v>47</v>
      </c>
      <c r="AI36" s="13">
        <f t="shared" si="11"/>
        <v>66</v>
      </c>
      <c r="AJ36" s="13">
        <f t="shared" si="11"/>
        <v>80</v>
      </c>
      <c r="AK36" s="13">
        <f t="shared" si="11"/>
        <v>72</v>
      </c>
      <c r="AL36" s="13">
        <f t="shared" si="11"/>
        <v>35</v>
      </c>
      <c r="AM36" s="13">
        <f t="shared" si="11"/>
        <v>63</v>
      </c>
      <c r="AN36" s="13">
        <f t="shared" si="11"/>
        <v>51</v>
      </c>
      <c r="AO36" s="13">
        <f t="shared" si="11"/>
        <v>78</v>
      </c>
      <c r="AP36" s="13">
        <f t="shared" si="11"/>
        <v>29</v>
      </c>
      <c r="AQ36" s="13">
        <f t="shared" si="11"/>
        <v>48</v>
      </c>
      <c r="AR36" s="13">
        <f t="shared" si="11"/>
        <v>57</v>
      </c>
      <c r="AS36" s="13">
        <f t="shared" si="11"/>
        <v>60</v>
      </c>
      <c r="AT36" s="13">
        <f t="shared" si="11"/>
        <v>61</v>
      </c>
      <c r="AU36" s="13">
        <f t="shared" si="11"/>
        <v>59</v>
      </c>
      <c r="AV36" s="13">
        <f t="shared" si="11"/>
        <v>32</v>
      </c>
      <c r="AW36" s="13">
        <f t="shared" si="11"/>
        <v>72</v>
      </c>
      <c r="AX36" s="13">
        <f t="shared" si="11"/>
        <v>52</v>
      </c>
      <c r="AY36" s="13">
        <f t="shared" si="11"/>
        <v>36</v>
      </c>
      <c r="AZ36" s="13">
        <f t="shared" si="11"/>
        <v>38</v>
      </c>
      <c r="BA36" s="13">
        <f t="shared" si="11"/>
        <v>19</v>
      </c>
      <c r="BB36" s="13">
        <f t="shared" si="11"/>
        <v>55</v>
      </c>
      <c r="BC36" s="13">
        <f t="shared" si="11"/>
        <v>90</v>
      </c>
      <c r="BD36" s="13">
        <f t="shared" si="11"/>
        <v>89</v>
      </c>
      <c r="BE36" s="13">
        <f t="shared" si="11"/>
        <v>71</v>
      </c>
      <c r="BF36" s="13">
        <f t="shared" si="11"/>
        <v>112</v>
      </c>
      <c r="BG36" s="13">
        <f t="shared" si="11"/>
        <v>3</v>
      </c>
      <c r="BH36" s="13">
        <f t="shared" si="11"/>
        <v>13</v>
      </c>
      <c r="BI36" s="13">
        <f t="shared" si="11"/>
        <v>18</v>
      </c>
      <c r="BJ36" s="13">
        <f t="shared" si="11"/>
        <v>58</v>
      </c>
      <c r="BK36" s="13">
        <f t="shared" si="11"/>
        <v>21</v>
      </c>
      <c r="BL36" s="13">
        <f t="shared" si="10"/>
        <v>3483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63"/>
      <c r="O37" s="19"/>
      <c r="P37" s="19"/>
      <c r="Q37" s="19"/>
      <c r="R37" s="19"/>
      <c r="S37" s="63"/>
      <c r="T37" s="19"/>
      <c r="U37" s="19"/>
      <c r="V37" s="19"/>
      <c r="W37" s="19"/>
      <c r="X37" s="63"/>
      <c r="Y37" s="19"/>
      <c r="Z37" s="19"/>
      <c r="AA37" s="19"/>
      <c r="AB37" s="19"/>
      <c r="AC37" s="63"/>
      <c r="AD37" s="19"/>
      <c r="AE37" s="19"/>
      <c r="AF37" s="19"/>
      <c r="AG37" s="19"/>
      <c r="AH37" s="63"/>
      <c r="AI37" s="19"/>
      <c r="AJ37" s="19"/>
      <c r="AK37" s="19"/>
      <c r="AL37" s="19"/>
      <c r="AM37" s="63"/>
      <c r="AN37" s="19"/>
      <c r="AO37" s="19"/>
      <c r="AP37" s="19"/>
      <c r="AQ37" s="19"/>
      <c r="AR37" s="63"/>
      <c r="AS37" s="19"/>
      <c r="AT37" s="19"/>
      <c r="AU37" s="19"/>
      <c r="AV37" s="19"/>
      <c r="AW37" s="63"/>
      <c r="AX37" s="19"/>
      <c r="AY37" s="19"/>
      <c r="AZ37" s="19"/>
      <c r="BA37" s="19"/>
      <c r="BB37" s="63"/>
      <c r="BC37" s="19"/>
      <c r="BD37" s="19"/>
      <c r="BE37" s="19"/>
      <c r="BF37" s="19"/>
      <c r="BG37" s="63"/>
      <c r="BH37" s="19"/>
      <c r="BI37" s="19"/>
      <c r="BJ37" s="19"/>
      <c r="BK37" s="19"/>
      <c r="BL37" s="64"/>
    </row>
    <row r="38" ht="12.75" customHeight="1">
      <c r="A38" s="44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5"/>
      <c r="O38" s="13"/>
      <c r="P38" s="13"/>
      <c r="Q38" s="13"/>
      <c r="R38" s="13"/>
      <c r="S38" s="65"/>
      <c r="T38" s="13"/>
      <c r="U38" s="13"/>
      <c r="V38" s="13"/>
      <c r="W38" s="13"/>
      <c r="X38" s="65"/>
      <c r="Y38" s="13"/>
      <c r="Z38" s="13"/>
      <c r="AA38" s="13"/>
      <c r="AB38" s="13"/>
      <c r="AC38" s="65"/>
      <c r="AD38" s="13"/>
      <c r="AE38" s="13"/>
      <c r="AF38" s="13"/>
      <c r="AG38" s="13"/>
      <c r="AH38" s="65"/>
      <c r="AI38" s="13"/>
      <c r="AJ38" s="13"/>
      <c r="AK38" s="13"/>
      <c r="AL38" s="13"/>
      <c r="AM38" s="65"/>
      <c r="AN38" s="13"/>
      <c r="AO38" s="13"/>
      <c r="AP38" s="13"/>
      <c r="AQ38" s="13"/>
      <c r="AR38" s="65"/>
      <c r="AS38" s="13"/>
      <c r="AT38" s="13"/>
      <c r="AU38" s="13"/>
      <c r="AV38" s="13"/>
      <c r="AW38" s="65"/>
      <c r="AX38" s="13"/>
      <c r="AY38" s="13"/>
      <c r="AZ38" s="13"/>
      <c r="BA38" s="13"/>
      <c r="BB38" s="65"/>
      <c r="BC38" s="13"/>
      <c r="BD38" s="13"/>
      <c r="BE38" s="13"/>
      <c r="BF38" s="13"/>
      <c r="BG38" s="65"/>
      <c r="BH38" s="13"/>
      <c r="BI38" s="13"/>
      <c r="BJ38" s="13"/>
      <c r="BK38" s="13"/>
      <c r="BL38" s="64"/>
    </row>
    <row r="39" ht="12.75" customHeight="1">
      <c r="A39" s="31"/>
      <c r="B39" s="45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>
        <v>2.0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3">
        <f t="shared" ref="BL39:BL41" si="12">SUM(E39:BK39)</f>
        <v>2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>
        <v>1.0</v>
      </c>
      <c r="L40" s="19">
        <v>2.0</v>
      </c>
      <c r="M40" s="19"/>
      <c r="N40" s="19"/>
      <c r="O40" s="19"/>
      <c r="P40" s="19"/>
      <c r="Q40" s="19"/>
      <c r="R40" s="19"/>
      <c r="S40" s="19">
        <v>6.0</v>
      </c>
      <c r="T40" s="19"/>
      <c r="U40" s="19"/>
      <c r="V40" s="19"/>
      <c r="W40" s="19"/>
      <c r="X40" s="19"/>
      <c r="Y40" s="19"/>
      <c r="Z40" s="19"/>
      <c r="AA40" s="19"/>
      <c r="AB40" s="19"/>
      <c r="AC40" s="19">
        <v>2.0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3">
        <f t="shared" si="12"/>
        <v>11</v>
      </c>
    </row>
    <row r="41" ht="12.75" customHeight="1">
      <c r="A41" s="43"/>
      <c r="B41" s="46"/>
      <c r="C41" s="28"/>
      <c r="D41" s="13" t="s">
        <v>14</v>
      </c>
      <c r="E41" s="13">
        <f t="shared" ref="E41:B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6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2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2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0</v>
      </c>
      <c r="BL41" s="13">
        <f t="shared" si="12"/>
        <v>13</v>
      </c>
    </row>
    <row r="42" ht="12.75" customHeight="1">
      <c r="A42" s="47"/>
      <c r="B42" s="46"/>
      <c r="C42" s="46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63"/>
      <c r="O42" s="19"/>
      <c r="P42" s="19"/>
      <c r="Q42" s="19"/>
      <c r="R42" s="19"/>
      <c r="S42" s="63"/>
      <c r="T42" s="19"/>
      <c r="U42" s="19"/>
      <c r="V42" s="19"/>
      <c r="W42" s="19"/>
      <c r="X42" s="63"/>
      <c r="Y42" s="19"/>
      <c r="Z42" s="19"/>
      <c r="AA42" s="19"/>
      <c r="AB42" s="19"/>
      <c r="AC42" s="63"/>
      <c r="AD42" s="19"/>
      <c r="AE42" s="19"/>
      <c r="AF42" s="19"/>
      <c r="AG42" s="19"/>
      <c r="AH42" s="63"/>
      <c r="AI42" s="19"/>
      <c r="AJ42" s="19"/>
      <c r="AK42" s="19"/>
      <c r="AL42" s="19"/>
      <c r="AM42" s="63"/>
      <c r="AN42" s="19"/>
      <c r="AO42" s="19"/>
      <c r="AP42" s="19"/>
      <c r="AQ42" s="19"/>
      <c r="AR42" s="63"/>
      <c r="AS42" s="19"/>
      <c r="AT42" s="19"/>
      <c r="AU42" s="19"/>
      <c r="AV42" s="19"/>
      <c r="AW42" s="63"/>
      <c r="AX42" s="19"/>
      <c r="AY42" s="19"/>
      <c r="AZ42" s="19"/>
      <c r="BA42" s="19"/>
      <c r="BB42" s="63"/>
      <c r="BC42" s="19"/>
      <c r="BD42" s="19"/>
      <c r="BE42" s="19"/>
      <c r="BF42" s="19"/>
      <c r="BG42" s="63"/>
      <c r="BH42" s="19"/>
      <c r="BI42" s="19"/>
      <c r="BJ42" s="19"/>
      <c r="BK42" s="19"/>
      <c r="BL42" s="13"/>
    </row>
    <row r="43" ht="12.75" customHeight="1">
      <c r="A43" s="44" t="s">
        <v>34</v>
      </c>
      <c r="B43" s="14" t="s">
        <v>35</v>
      </c>
      <c r="C43" s="15"/>
      <c r="D43" s="16"/>
      <c r="E43" s="38"/>
      <c r="F43" s="13"/>
      <c r="G43" s="13"/>
      <c r="H43" s="13"/>
      <c r="I43" s="13"/>
      <c r="J43" s="13"/>
      <c r="K43" s="13"/>
      <c r="L43" s="13"/>
      <c r="M43" s="13"/>
      <c r="N43" s="65"/>
      <c r="O43" s="13"/>
      <c r="P43" s="13"/>
      <c r="Q43" s="13"/>
      <c r="R43" s="13"/>
      <c r="S43" s="65"/>
      <c r="T43" s="13"/>
      <c r="U43" s="13"/>
      <c r="V43" s="13"/>
      <c r="W43" s="13"/>
      <c r="X43" s="65"/>
      <c r="Y43" s="13"/>
      <c r="Z43" s="13"/>
      <c r="AA43" s="13"/>
      <c r="AB43" s="13"/>
      <c r="AC43" s="65"/>
      <c r="AD43" s="13"/>
      <c r="AE43" s="13"/>
      <c r="AF43" s="13"/>
      <c r="AG43" s="13"/>
      <c r="AH43" s="65"/>
      <c r="AI43" s="13"/>
      <c r="AJ43" s="13"/>
      <c r="AK43" s="13"/>
      <c r="AL43" s="13"/>
      <c r="AM43" s="65"/>
      <c r="AN43" s="13"/>
      <c r="AO43" s="13"/>
      <c r="AP43" s="13"/>
      <c r="AQ43" s="13"/>
      <c r="AR43" s="65"/>
      <c r="AS43" s="13"/>
      <c r="AT43" s="13"/>
      <c r="AU43" s="13"/>
      <c r="AV43" s="13"/>
      <c r="AW43" s="65"/>
      <c r="AX43" s="13"/>
      <c r="AY43" s="13"/>
      <c r="AZ43" s="13"/>
      <c r="BA43" s="13"/>
      <c r="BB43" s="65"/>
      <c r="BC43" s="13"/>
      <c r="BD43" s="13"/>
      <c r="BE43" s="13"/>
      <c r="BF43" s="13"/>
      <c r="BG43" s="65"/>
      <c r="BH43" s="13"/>
      <c r="BI43" s="13"/>
      <c r="BJ43" s="13"/>
      <c r="BK43" s="13"/>
      <c r="BL43" s="13"/>
    </row>
    <row r="44" ht="12.75" customHeight="1">
      <c r="A44" s="45" t="s">
        <v>36</v>
      </c>
      <c r="B44" s="48"/>
      <c r="C44" s="48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63"/>
      <c r="O44" s="19"/>
      <c r="P44" s="19"/>
      <c r="Q44" s="19"/>
      <c r="R44" s="19"/>
      <c r="S44" s="63"/>
      <c r="T44" s="19"/>
      <c r="U44" s="19"/>
      <c r="V44" s="19"/>
      <c r="W44" s="19"/>
      <c r="X44" s="63"/>
      <c r="Y44" s="19"/>
      <c r="Z44" s="19"/>
      <c r="AA44" s="19"/>
      <c r="AB44" s="19"/>
      <c r="AC44" s="63"/>
      <c r="AD44" s="19"/>
      <c r="AE44" s="19"/>
      <c r="AF44" s="19"/>
      <c r="AG44" s="19"/>
      <c r="AH44" s="63"/>
      <c r="AI44" s="19"/>
      <c r="AJ44" s="19"/>
      <c r="AK44" s="19"/>
      <c r="AL44" s="19"/>
      <c r="AM44" s="63"/>
      <c r="AN44" s="19"/>
      <c r="AO44" s="19"/>
      <c r="AP44" s="19"/>
      <c r="AQ44" s="19"/>
      <c r="AR44" s="63"/>
      <c r="AS44" s="19"/>
      <c r="AT44" s="19"/>
      <c r="AU44" s="19"/>
      <c r="AV44" s="19"/>
      <c r="AW44" s="63"/>
      <c r="AX44" s="19"/>
      <c r="AY44" s="19"/>
      <c r="AZ44" s="19"/>
      <c r="BA44" s="19"/>
      <c r="BB44" s="63"/>
      <c r="BC44" s="19"/>
      <c r="BD44" s="19"/>
      <c r="BE44" s="19"/>
      <c r="BF44" s="19"/>
      <c r="BG44" s="63"/>
      <c r="BH44" s="19"/>
      <c r="BI44" s="19"/>
      <c r="BJ44" s="19"/>
      <c r="BK44" s="19"/>
      <c r="BL44" s="13"/>
    </row>
    <row r="45" ht="12.75" customHeight="1">
      <c r="A45" s="66"/>
      <c r="B45" s="49">
        <v>1.0</v>
      </c>
      <c r="C45" s="50" t="s">
        <v>37</v>
      </c>
      <c r="D45" s="16"/>
      <c r="E45" s="19">
        <v>35.0</v>
      </c>
      <c r="F45" s="19">
        <v>46.0</v>
      </c>
      <c r="G45" s="19">
        <v>45.0</v>
      </c>
      <c r="H45" s="19">
        <v>17.0</v>
      </c>
      <c r="I45" s="19">
        <v>32.0</v>
      </c>
      <c r="J45" s="19">
        <v>21.0</v>
      </c>
      <c r="K45" s="19">
        <v>20.0</v>
      </c>
      <c r="L45" s="19">
        <v>20.0</v>
      </c>
      <c r="M45" s="19">
        <v>51.0</v>
      </c>
      <c r="N45" s="19">
        <v>17.0</v>
      </c>
      <c r="O45" s="19">
        <v>37.0</v>
      </c>
      <c r="P45" s="19">
        <v>31.0</v>
      </c>
      <c r="Q45" s="19">
        <v>48.0</v>
      </c>
      <c r="R45" s="19">
        <v>35.0</v>
      </c>
      <c r="S45" s="19">
        <v>47.0</v>
      </c>
      <c r="T45" s="19">
        <v>10.0</v>
      </c>
      <c r="U45" s="19">
        <v>44.0</v>
      </c>
      <c r="V45" s="19">
        <v>12.0</v>
      </c>
      <c r="W45" s="19">
        <v>29.0</v>
      </c>
      <c r="X45" s="19">
        <v>27.0</v>
      </c>
      <c r="Y45" s="19">
        <v>65.0</v>
      </c>
      <c r="Z45" s="19">
        <v>59.0</v>
      </c>
      <c r="AA45" s="19">
        <v>33.0</v>
      </c>
      <c r="AB45" s="19">
        <v>31.0</v>
      </c>
      <c r="AC45" s="19">
        <v>33.0</v>
      </c>
      <c r="AD45" s="19">
        <v>46.0</v>
      </c>
      <c r="AE45" s="19">
        <v>12.0</v>
      </c>
      <c r="AF45" s="19">
        <v>18.0</v>
      </c>
      <c r="AG45" s="19">
        <v>18.0</v>
      </c>
      <c r="AH45" s="19">
        <v>12.0</v>
      </c>
      <c r="AI45" s="19">
        <v>10.0</v>
      </c>
      <c r="AJ45" s="19">
        <v>24.0</v>
      </c>
      <c r="AK45" s="19">
        <v>38.0</v>
      </c>
      <c r="AL45" s="19">
        <v>2.0</v>
      </c>
      <c r="AM45" s="19">
        <v>3.0</v>
      </c>
      <c r="AN45" s="19"/>
      <c r="AO45" s="19">
        <v>47.0</v>
      </c>
      <c r="AP45" s="19">
        <v>16.0</v>
      </c>
      <c r="AQ45" s="19">
        <v>35.0</v>
      </c>
      <c r="AR45" s="19">
        <v>53.0</v>
      </c>
      <c r="AS45" s="19">
        <v>27.0</v>
      </c>
      <c r="AT45" s="19">
        <v>21.0</v>
      </c>
      <c r="AU45" s="19">
        <v>8.0</v>
      </c>
      <c r="AV45" s="19">
        <v>10.0</v>
      </c>
      <c r="AW45" s="19">
        <v>7.0</v>
      </c>
      <c r="AX45" s="19">
        <v>11.0</v>
      </c>
      <c r="AY45" s="19">
        <v>13.0</v>
      </c>
      <c r="AZ45" s="19">
        <v>17.0</v>
      </c>
      <c r="BA45" s="19">
        <v>5.0</v>
      </c>
      <c r="BB45" s="19">
        <v>3.0</v>
      </c>
      <c r="BC45" s="19">
        <v>9.0</v>
      </c>
      <c r="BD45" s="19">
        <v>5.0</v>
      </c>
      <c r="BE45" s="19">
        <v>22.0</v>
      </c>
      <c r="BF45" s="19">
        <v>16.0</v>
      </c>
      <c r="BG45" s="19">
        <v>3.0</v>
      </c>
      <c r="BH45" s="19">
        <v>5.0</v>
      </c>
      <c r="BI45" s="19">
        <v>3.0</v>
      </c>
      <c r="BJ45" s="19">
        <v>11.0</v>
      </c>
      <c r="BK45" s="19">
        <v>31.0</v>
      </c>
      <c r="BL45" s="13">
        <f t="shared" ref="BL45:BL47" si="14">SUM(E45:BK45)</f>
        <v>1406</v>
      </c>
    </row>
    <row r="46" ht="12.75" customHeight="1">
      <c r="A46" s="18"/>
      <c r="B46" s="49">
        <v>2.0</v>
      </c>
      <c r="C46" s="50" t="s">
        <v>38</v>
      </c>
      <c r="D46" s="16"/>
      <c r="E46" s="19">
        <v>123.0</v>
      </c>
      <c r="F46" s="19">
        <v>124.0</v>
      </c>
      <c r="G46" s="19">
        <v>132.0</v>
      </c>
      <c r="H46" s="19">
        <v>121.0</v>
      </c>
      <c r="I46" s="19">
        <v>171.0</v>
      </c>
      <c r="J46" s="19">
        <v>163.0</v>
      </c>
      <c r="K46" s="19">
        <v>153.0</v>
      </c>
      <c r="L46" s="19">
        <v>172.0</v>
      </c>
      <c r="M46" s="19">
        <v>153.0</v>
      </c>
      <c r="N46" s="19">
        <v>89.0</v>
      </c>
      <c r="O46" s="19">
        <v>101.0</v>
      </c>
      <c r="P46" s="19">
        <v>130.0</v>
      </c>
      <c r="Q46" s="19">
        <v>156.0</v>
      </c>
      <c r="R46" s="19">
        <v>157.0</v>
      </c>
      <c r="S46" s="19">
        <v>156.0</v>
      </c>
      <c r="T46" s="19">
        <v>95.0</v>
      </c>
      <c r="U46" s="19">
        <v>134.0</v>
      </c>
      <c r="V46" s="19">
        <v>114.0</v>
      </c>
      <c r="W46" s="19">
        <v>138.0</v>
      </c>
      <c r="X46" s="19">
        <v>106.0</v>
      </c>
      <c r="Y46" s="19">
        <v>128.0</v>
      </c>
      <c r="Z46" s="19">
        <v>146.0</v>
      </c>
      <c r="AA46" s="19">
        <v>83.0</v>
      </c>
      <c r="AB46" s="19">
        <v>81.0</v>
      </c>
      <c r="AC46" s="19">
        <v>63.0</v>
      </c>
      <c r="AD46" s="19">
        <v>117.0</v>
      </c>
      <c r="AE46" s="19">
        <v>121.0</v>
      </c>
      <c r="AF46" s="19">
        <v>115.0</v>
      </c>
      <c r="AG46" s="19">
        <v>117.0</v>
      </c>
      <c r="AH46" s="19">
        <v>82.0</v>
      </c>
      <c r="AI46" s="19">
        <v>198.0</v>
      </c>
      <c r="AJ46" s="19">
        <v>180.0</v>
      </c>
      <c r="AK46" s="19">
        <v>162.0</v>
      </c>
      <c r="AL46" s="19">
        <v>152.0</v>
      </c>
      <c r="AM46" s="19">
        <v>132.0</v>
      </c>
      <c r="AN46" s="19">
        <v>105.0</v>
      </c>
      <c r="AO46" s="19">
        <v>110.0</v>
      </c>
      <c r="AP46" s="19">
        <v>101.0</v>
      </c>
      <c r="AQ46" s="19">
        <v>89.0</v>
      </c>
      <c r="AR46" s="19">
        <v>164.0</v>
      </c>
      <c r="AS46" s="19">
        <v>170.0</v>
      </c>
      <c r="AT46" s="19">
        <v>96.0</v>
      </c>
      <c r="AU46" s="19">
        <v>101.0</v>
      </c>
      <c r="AV46" s="19">
        <v>102.0</v>
      </c>
      <c r="AW46" s="19">
        <v>169.0</v>
      </c>
      <c r="AX46" s="19">
        <v>156.0</v>
      </c>
      <c r="AY46" s="19">
        <v>144.0</v>
      </c>
      <c r="AZ46" s="19">
        <v>155.0</v>
      </c>
      <c r="BA46" s="19">
        <v>108.0</v>
      </c>
      <c r="BB46" s="19">
        <v>128.0</v>
      </c>
      <c r="BC46" s="19">
        <v>175.0</v>
      </c>
      <c r="BD46" s="19">
        <v>161.0</v>
      </c>
      <c r="BE46" s="19">
        <v>169.0</v>
      </c>
      <c r="BF46" s="19">
        <v>151.0</v>
      </c>
      <c r="BG46" s="19">
        <v>105.0</v>
      </c>
      <c r="BH46" s="19">
        <v>174.0</v>
      </c>
      <c r="BI46" s="19">
        <v>170.0</v>
      </c>
      <c r="BJ46" s="19">
        <v>112.0</v>
      </c>
      <c r="BK46" s="19">
        <v>140.0</v>
      </c>
      <c r="BL46" s="13">
        <f t="shared" si="14"/>
        <v>7820</v>
      </c>
    </row>
    <row r="47" ht="12.75" customHeight="1">
      <c r="A47" s="47"/>
      <c r="B47" s="49">
        <v>3.0</v>
      </c>
      <c r="C47" s="50" t="s">
        <v>39</v>
      </c>
      <c r="D47" s="16"/>
      <c r="E47" s="19">
        <v>22.0</v>
      </c>
      <c r="F47" s="19">
        <v>21.0</v>
      </c>
      <c r="G47" s="19">
        <v>26.0</v>
      </c>
      <c r="H47" s="19">
        <v>17.0</v>
      </c>
      <c r="I47" s="19">
        <v>16.0</v>
      </c>
      <c r="J47" s="19">
        <v>20.0</v>
      </c>
      <c r="K47" s="19">
        <v>25.0</v>
      </c>
      <c r="L47" s="19">
        <v>27.0</v>
      </c>
      <c r="M47" s="19">
        <v>25.0</v>
      </c>
      <c r="N47" s="19">
        <v>21.0</v>
      </c>
      <c r="O47" s="19">
        <v>16.0</v>
      </c>
      <c r="P47" s="19">
        <v>37.0</v>
      </c>
      <c r="Q47" s="19">
        <v>15.0</v>
      </c>
      <c r="R47" s="19">
        <v>49.0</v>
      </c>
      <c r="S47" s="19">
        <v>25.0</v>
      </c>
      <c r="T47" s="19">
        <v>12.0</v>
      </c>
      <c r="U47" s="19">
        <v>33.0</v>
      </c>
      <c r="V47" s="19">
        <v>43.0</v>
      </c>
      <c r="W47" s="19">
        <v>27.0</v>
      </c>
      <c r="X47" s="19">
        <v>26.0</v>
      </c>
      <c r="Y47" s="19">
        <v>16.0</v>
      </c>
      <c r="Z47" s="19">
        <v>33.0</v>
      </c>
      <c r="AA47" s="19">
        <v>15.0</v>
      </c>
      <c r="AB47" s="19">
        <v>13.0</v>
      </c>
      <c r="AC47" s="19">
        <v>22.0</v>
      </c>
      <c r="AD47" s="19">
        <v>34.0</v>
      </c>
      <c r="AE47" s="19">
        <v>50.0</v>
      </c>
      <c r="AF47" s="19">
        <v>40.0</v>
      </c>
      <c r="AG47" s="19">
        <v>38.0</v>
      </c>
      <c r="AH47" s="19">
        <v>35.0</v>
      </c>
      <c r="AI47" s="19">
        <v>21.0</v>
      </c>
      <c r="AJ47" s="19">
        <v>16.0</v>
      </c>
      <c r="AK47" s="19">
        <v>28.0</v>
      </c>
      <c r="AL47" s="19">
        <v>23.0</v>
      </c>
      <c r="AM47" s="19">
        <v>46.0</v>
      </c>
      <c r="AN47" s="19">
        <v>38.0</v>
      </c>
      <c r="AO47" s="19">
        <v>37.0</v>
      </c>
      <c r="AP47" s="19">
        <v>15.0</v>
      </c>
      <c r="AQ47" s="19">
        <v>11.0</v>
      </c>
      <c r="AR47" s="19">
        <v>24.0</v>
      </c>
      <c r="AS47" s="19">
        <v>27.0</v>
      </c>
      <c r="AT47" s="19">
        <v>37.0</v>
      </c>
      <c r="AU47" s="19">
        <v>18.0</v>
      </c>
      <c r="AV47" s="19">
        <v>17.0</v>
      </c>
      <c r="AW47" s="19">
        <v>28.0</v>
      </c>
      <c r="AX47" s="19">
        <v>17.0</v>
      </c>
      <c r="AY47" s="19">
        <v>20.0</v>
      </c>
      <c r="AZ47" s="19">
        <v>17.0</v>
      </c>
      <c r="BA47" s="19">
        <v>10.0</v>
      </c>
      <c r="BB47" s="19">
        <v>12.0</v>
      </c>
      <c r="BC47" s="19">
        <v>9.0</v>
      </c>
      <c r="BD47" s="19">
        <v>9.0</v>
      </c>
      <c r="BE47" s="19">
        <v>16.0</v>
      </c>
      <c r="BF47" s="19">
        <v>19.0</v>
      </c>
      <c r="BG47" s="19">
        <v>4.0</v>
      </c>
      <c r="BH47" s="19">
        <v>4.0</v>
      </c>
      <c r="BI47" s="19">
        <v>3.0</v>
      </c>
      <c r="BJ47" s="19">
        <v>8.0</v>
      </c>
      <c r="BK47" s="19">
        <v>21.0</v>
      </c>
      <c r="BL47" s="13">
        <f t="shared" si="14"/>
        <v>1354</v>
      </c>
    </row>
    <row r="48" ht="12.75" customHeight="1">
      <c r="BL48" s="13"/>
    </row>
    <row r="49" ht="12.75" customHeight="1">
      <c r="A49" s="44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</row>
    <row r="50" ht="12.75" customHeight="1">
      <c r="A50" s="44"/>
      <c r="B50" s="56" t="s">
        <v>42</v>
      </c>
      <c r="C50" s="57" t="s">
        <v>43</v>
      </c>
      <c r="D50" s="16"/>
      <c r="E50" s="19">
        <f t="shared" ref="E50:BK50" si="15">SUM(E45:E47)</f>
        <v>180</v>
      </c>
      <c r="F50" s="19">
        <f t="shared" si="15"/>
        <v>191</v>
      </c>
      <c r="G50" s="19">
        <f t="shared" si="15"/>
        <v>203</v>
      </c>
      <c r="H50" s="19">
        <f t="shared" si="15"/>
        <v>155</v>
      </c>
      <c r="I50" s="19">
        <f t="shared" si="15"/>
        <v>219</v>
      </c>
      <c r="J50" s="19">
        <f t="shared" si="15"/>
        <v>204</v>
      </c>
      <c r="K50" s="19">
        <f t="shared" si="15"/>
        <v>198</v>
      </c>
      <c r="L50" s="19">
        <f t="shared" si="15"/>
        <v>219</v>
      </c>
      <c r="M50" s="19">
        <f t="shared" si="15"/>
        <v>229</v>
      </c>
      <c r="N50" s="19">
        <f t="shared" si="15"/>
        <v>127</v>
      </c>
      <c r="O50" s="19">
        <f t="shared" si="15"/>
        <v>154</v>
      </c>
      <c r="P50" s="19">
        <f t="shared" si="15"/>
        <v>198</v>
      </c>
      <c r="Q50" s="19">
        <f t="shared" si="15"/>
        <v>219</v>
      </c>
      <c r="R50" s="19">
        <f t="shared" si="15"/>
        <v>241</v>
      </c>
      <c r="S50" s="19">
        <f t="shared" si="15"/>
        <v>228</v>
      </c>
      <c r="T50" s="19">
        <f t="shared" si="15"/>
        <v>117</v>
      </c>
      <c r="U50" s="19">
        <f t="shared" si="15"/>
        <v>211</v>
      </c>
      <c r="V50" s="19">
        <f t="shared" si="15"/>
        <v>169</v>
      </c>
      <c r="W50" s="19">
        <f t="shared" si="15"/>
        <v>194</v>
      </c>
      <c r="X50" s="19">
        <f t="shared" si="15"/>
        <v>159</v>
      </c>
      <c r="Y50" s="19">
        <f t="shared" si="15"/>
        <v>209</v>
      </c>
      <c r="Z50" s="19">
        <f t="shared" si="15"/>
        <v>238</v>
      </c>
      <c r="AA50" s="19">
        <f t="shared" si="15"/>
        <v>131</v>
      </c>
      <c r="AB50" s="19">
        <f t="shared" si="15"/>
        <v>125</v>
      </c>
      <c r="AC50" s="19">
        <f t="shared" si="15"/>
        <v>118</v>
      </c>
      <c r="AD50" s="19">
        <f t="shared" si="15"/>
        <v>197</v>
      </c>
      <c r="AE50" s="19">
        <f t="shared" si="15"/>
        <v>183</v>
      </c>
      <c r="AF50" s="19">
        <f t="shared" si="15"/>
        <v>173</v>
      </c>
      <c r="AG50" s="19">
        <f t="shared" si="15"/>
        <v>173</v>
      </c>
      <c r="AH50" s="19">
        <f t="shared" si="15"/>
        <v>129</v>
      </c>
      <c r="AI50" s="19">
        <f t="shared" si="15"/>
        <v>229</v>
      </c>
      <c r="AJ50" s="19">
        <f t="shared" si="15"/>
        <v>220</v>
      </c>
      <c r="AK50" s="19">
        <f t="shared" si="15"/>
        <v>228</v>
      </c>
      <c r="AL50" s="19">
        <f t="shared" si="15"/>
        <v>177</v>
      </c>
      <c r="AM50" s="19">
        <f t="shared" si="15"/>
        <v>181</v>
      </c>
      <c r="AN50" s="19">
        <f t="shared" si="15"/>
        <v>143</v>
      </c>
      <c r="AO50" s="19">
        <f t="shared" si="15"/>
        <v>194</v>
      </c>
      <c r="AP50" s="19">
        <f t="shared" si="15"/>
        <v>132</v>
      </c>
      <c r="AQ50" s="19">
        <f t="shared" si="15"/>
        <v>135</v>
      </c>
      <c r="AR50" s="19">
        <f t="shared" si="15"/>
        <v>241</v>
      </c>
      <c r="AS50" s="19">
        <f t="shared" si="15"/>
        <v>224</v>
      </c>
      <c r="AT50" s="19">
        <f t="shared" si="15"/>
        <v>154</v>
      </c>
      <c r="AU50" s="19">
        <f t="shared" si="15"/>
        <v>127</v>
      </c>
      <c r="AV50" s="19">
        <f t="shared" si="15"/>
        <v>129</v>
      </c>
      <c r="AW50" s="19">
        <f t="shared" si="15"/>
        <v>204</v>
      </c>
      <c r="AX50" s="19">
        <f t="shared" si="15"/>
        <v>184</v>
      </c>
      <c r="AY50" s="19">
        <f t="shared" si="15"/>
        <v>177</v>
      </c>
      <c r="AZ50" s="19">
        <f t="shared" si="15"/>
        <v>189</v>
      </c>
      <c r="BA50" s="19">
        <f t="shared" si="15"/>
        <v>123</v>
      </c>
      <c r="BB50" s="19">
        <f t="shared" si="15"/>
        <v>143</v>
      </c>
      <c r="BC50" s="19">
        <f t="shared" si="15"/>
        <v>193</v>
      </c>
      <c r="BD50" s="19">
        <f t="shared" si="15"/>
        <v>175</v>
      </c>
      <c r="BE50" s="19">
        <f t="shared" si="15"/>
        <v>207</v>
      </c>
      <c r="BF50" s="19">
        <f t="shared" si="15"/>
        <v>186</v>
      </c>
      <c r="BG50" s="19">
        <f t="shared" si="15"/>
        <v>112</v>
      </c>
      <c r="BH50" s="19">
        <f t="shared" si="15"/>
        <v>183</v>
      </c>
      <c r="BI50" s="19">
        <f t="shared" si="15"/>
        <v>176</v>
      </c>
      <c r="BJ50" s="19">
        <f t="shared" si="15"/>
        <v>131</v>
      </c>
      <c r="BK50" s="19">
        <f t="shared" si="15"/>
        <v>192</v>
      </c>
      <c r="BL50" s="13">
        <f t="shared" ref="BL50:BL52" si="16">SUM(E50:BK50)</f>
        <v>10580</v>
      </c>
    </row>
    <row r="51" ht="12.75" customHeight="1">
      <c r="A51" s="36"/>
      <c r="B51" s="56" t="s">
        <v>44</v>
      </c>
      <c r="C51" s="57" t="s">
        <v>45</v>
      </c>
      <c r="D51" s="16"/>
      <c r="E51" s="19">
        <v>5.0</v>
      </c>
      <c r="F51" s="19">
        <v>6.0</v>
      </c>
      <c r="G51" s="19">
        <v>1.0</v>
      </c>
      <c r="H51" s="19"/>
      <c r="I51" s="19">
        <v>8.0</v>
      </c>
      <c r="J51" s="19">
        <v>4.0</v>
      </c>
      <c r="K51" s="19">
        <v>2.0</v>
      </c>
      <c r="L51" s="19">
        <v>4.0</v>
      </c>
      <c r="M51" s="19">
        <v>2.0</v>
      </c>
      <c r="N51" s="19">
        <v>3.0</v>
      </c>
      <c r="O51" s="19"/>
      <c r="P51" s="19">
        <v>6.0</v>
      </c>
      <c r="Q51" s="19">
        <v>1.0</v>
      </c>
      <c r="R51" s="19">
        <v>4.0</v>
      </c>
      <c r="S51" s="19">
        <v>2.0</v>
      </c>
      <c r="T51" s="19">
        <v>4.0</v>
      </c>
      <c r="U51" s="19">
        <v>2.0</v>
      </c>
      <c r="V51" s="19">
        <v>8.0</v>
      </c>
      <c r="W51" s="19">
        <v>3.0</v>
      </c>
      <c r="X51" s="19">
        <v>2.0</v>
      </c>
      <c r="Y51" s="19">
        <v>6.0</v>
      </c>
      <c r="Z51" s="19">
        <v>2.0</v>
      </c>
      <c r="AA51" s="19">
        <v>2.0</v>
      </c>
      <c r="AB51" s="19">
        <v>2.0</v>
      </c>
      <c r="AC51" s="19">
        <v>2.0</v>
      </c>
      <c r="AD51" s="19"/>
      <c r="AE51" s="19">
        <v>4.0</v>
      </c>
      <c r="AF51" s="19">
        <v>2.0</v>
      </c>
      <c r="AG51" s="19">
        <v>2.0</v>
      </c>
      <c r="AH51" s="19">
        <v>2.0</v>
      </c>
      <c r="AI51" s="19">
        <v>1.0</v>
      </c>
      <c r="AJ51" s="19">
        <v>5.0</v>
      </c>
      <c r="AK51" s="19">
        <v>1.0</v>
      </c>
      <c r="AL51" s="19">
        <v>4.0</v>
      </c>
      <c r="AM51" s="19">
        <v>3.0</v>
      </c>
      <c r="AN51" s="19">
        <v>3.0</v>
      </c>
      <c r="AO51" s="19"/>
      <c r="AP51" s="19">
        <v>1.0</v>
      </c>
      <c r="AQ51" s="19">
        <v>1.0</v>
      </c>
      <c r="AR51" s="19">
        <v>7.0</v>
      </c>
      <c r="AS51" s="19">
        <v>6.0</v>
      </c>
      <c r="AT51" s="19">
        <v>2.0</v>
      </c>
      <c r="AU51" s="19">
        <v>4.0</v>
      </c>
      <c r="AV51" s="19">
        <v>3.0</v>
      </c>
      <c r="AW51" s="19">
        <v>1.0</v>
      </c>
      <c r="AX51" s="19"/>
      <c r="AY51" s="19">
        <v>2.0</v>
      </c>
      <c r="AZ51" s="19">
        <v>3.0</v>
      </c>
      <c r="BA51" s="19"/>
      <c r="BB51" s="19"/>
      <c r="BC51" s="19">
        <v>1.0</v>
      </c>
      <c r="BD51" s="19">
        <v>2.0</v>
      </c>
      <c r="BE51" s="19">
        <v>3.0</v>
      </c>
      <c r="BF51" s="19"/>
      <c r="BG51" s="19"/>
      <c r="BH51" s="19"/>
      <c r="BI51" s="19">
        <v>1.0</v>
      </c>
      <c r="BJ51" s="19">
        <v>3.0</v>
      </c>
      <c r="BK51" s="19">
        <v>4.0</v>
      </c>
      <c r="BL51" s="13">
        <f t="shared" si="16"/>
        <v>152</v>
      </c>
    </row>
    <row r="52" ht="12.75" customHeight="1">
      <c r="A52" s="43"/>
      <c r="B52" s="56" t="s">
        <v>46</v>
      </c>
      <c r="C52" s="57" t="s">
        <v>47</v>
      </c>
      <c r="D52" s="16"/>
      <c r="E52" s="13">
        <f t="shared" ref="E52:BK52" si="17">SUM(E50:E51)</f>
        <v>185</v>
      </c>
      <c r="F52" s="13">
        <f t="shared" si="17"/>
        <v>197</v>
      </c>
      <c r="G52" s="13">
        <f t="shared" si="17"/>
        <v>204</v>
      </c>
      <c r="H52" s="13">
        <f t="shared" si="17"/>
        <v>155</v>
      </c>
      <c r="I52" s="13">
        <f t="shared" si="17"/>
        <v>227</v>
      </c>
      <c r="J52" s="13">
        <f t="shared" si="17"/>
        <v>208</v>
      </c>
      <c r="K52" s="13">
        <f t="shared" si="17"/>
        <v>200</v>
      </c>
      <c r="L52" s="13">
        <f t="shared" si="17"/>
        <v>223</v>
      </c>
      <c r="M52" s="13">
        <f t="shared" si="17"/>
        <v>231</v>
      </c>
      <c r="N52" s="13">
        <f t="shared" si="17"/>
        <v>130</v>
      </c>
      <c r="O52" s="13">
        <f t="shared" si="17"/>
        <v>154</v>
      </c>
      <c r="P52" s="13">
        <f t="shared" si="17"/>
        <v>204</v>
      </c>
      <c r="Q52" s="13">
        <f t="shared" si="17"/>
        <v>220</v>
      </c>
      <c r="R52" s="13">
        <f t="shared" si="17"/>
        <v>245</v>
      </c>
      <c r="S52" s="13">
        <f t="shared" si="17"/>
        <v>230</v>
      </c>
      <c r="T52" s="13">
        <f t="shared" si="17"/>
        <v>121</v>
      </c>
      <c r="U52" s="13">
        <f t="shared" si="17"/>
        <v>213</v>
      </c>
      <c r="V52" s="13">
        <f t="shared" si="17"/>
        <v>177</v>
      </c>
      <c r="W52" s="13">
        <f t="shared" si="17"/>
        <v>197</v>
      </c>
      <c r="X52" s="13">
        <f t="shared" si="17"/>
        <v>161</v>
      </c>
      <c r="Y52" s="13">
        <f t="shared" si="17"/>
        <v>215</v>
      </c>
      <c r="Z52" s="13">
        <f t="shared" si="17"/>
        <v>240</v>
      </c>
      <c r="AA52" s="13">
        <f t="shared" si="17"/>
        <v>133</v>
      </c>
      <c r="AB52" s="13">
        <f t="shared" si="17"/>
        <v>127</v>
      </c>
      <c r="AC52" s="13">
        <f t="shared" si="17"/>
        <v>120</v>
      </c>
      <c r="AD52" s="13">
        <f t="shared" si="17"/>
        <v>197</v>
      </c>
      <c r="AE52" s="13">
        <f t="shared" si="17"/>
        <v>187</v>
      </c>
      <c r="AF52" s="13">
        <f t="shared" si="17"/>
        <v>175</v>
      </c>
      <c r="AG52" s="13">
        <f t="shared" si="17"/>
        <v>175</v>
      </c>
      <c r="AH52" s="13">
        <f t="shared" si="17"/>
        <v>131</v>
      </c>
      <c r="AI52" s="13">
        <f t="shared" si="17"/>
        <v>230</v>
      </c>
      <c r="AJ52" s="13">
        <f t="shared" si="17"/>
        <v>225</v>
      </c>
      <c r="AK52" s="13">
        <f t="shared" si="17"/>
        <v>229</v>
      </c>
      <c r="AL52" s="13">
        <f t="shared" si="17"/>
        <v>181</v>
      </c>
      <c r="AM52" s="13">
        <f t="shared" si="17"/>
        <v>184</v>
      </c>
      <c r="AN52" s="13">
        <f t="shared" si="17"/>
        <v>146</v>
      </c>
      <c r="AO52" s="13">
        <f t="shared" si="17"/>
        <v>194</v>
      </c>
      <c r="AP52" s="13">
        <f t="shared" si="17"/>
        <v>133</v>
      </c>
      <c r="AQ52" s="13">
        <f t="shared" si="17"/>
        <v>136</v>
      </c>
      <c r="AR52" s="13">
        <f t="shared" si="17"/>
        <v>248</v>
      </c>
      <c r="AS52" s="13">
        <f t="shared" si="17"/>
        <v>230</v>
      </c>
      <c r="AT52" s="13">
        <f t="shared" si="17"/>
        <v>156</v>
      </c>
      <c r="AU52" s="13">
        <f t="shared" si="17"/>
        <v>131</v>
      </c>
      <c r="AV52" s="13">
        <f t="shared" si="17"/>
        <v>132</v>
      </c>
      <c r="AW52" s="13">
        <f t="shared" si="17"/>
        <v>205</v>
      </c>
      <c r="AX52" s="13">
        <f t="shared" si="17"/>
        <v>184</v>
      </c>
      <c r="AY52" s="13">
        <f t="shared" si="17"/>
        <v>179</v>
      </c>
      <c r="AZ52" s="13">
        <f t="shared" si="17"/>
        <v>192</v>
      </c>
      <c r="BA52" s="13">
        <f t="shared" si="17"/>
        <v>123</v>
      </c>
      <c r="BB52" s="13">
        <f t="shared" si="17"/>
        <v>143</v>
      </c>
      <c r="BC52" s="13">
        <f t="shared" si="17"/>
        <v>194</v>
      </c>
      <c r="BD52" s="13">
        <f t="shared" si="17"/>
        <v>177</v>
      </c>
      <c r="BE52" s="13">
        <f t="shared" si="17"/>
        <v>210</v>
      </c>
      <c r="BF52" s="13">
        <f t="shared" si="17"/>
        <v>186</v>
      </c>
      <c r="BG52" s="13">
        <f t="shared" si="17"/>
        <v>112</v>
      </c>
      <c r="BH52" s="13">
        <f t="shared" si="17"/>
        <v>183</v>
      </c>
      <c r="BI52" s="13">
        <f t="shared" si="17"/>
        <v>177</v>
      </c>
      <c r="BJ52" s="13">
        <f t="shared" si="17"/>
        <v>134</v>
      </c>
      <c r="BK52" s="13">
        <f t="shared" si="17"/>
        <v>196</v>
      </c>
      <c r="BL52" s="13">
        <f t="shared" si="16"/>
        <v>10732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>
      <c r="BN117" s="5"/>
    </row>
    <row r="118" ht="12.75" customHeight="1">
      <c r="BN118" s="5"/>
    </row>
    <row r="119" ht="12.75" customHeight="1">
      <c r="BN119" s="5"/>
    </row>
    <row r="120" ht="12.75" customHeight="1">
      <c r="BN120" s="5"/>
    </row>
    <row r="121" ht="12.75" customHeight="1">
      <c r="BN121" s="5"/>
    </row>
    <row r="122" ht="12.75" customHeight="1">
      <c r="BN122" s="5"/>
    </row>
    <row r="123" ht="12.75" customHeight="1">
      <c r="BN123" s="5"/>
    </row>
    <row r="124" ht="12.75" customHeight="1">
      <c r="BN124" s="5"/>
    </row>
    <row r="125" ht="12.75" customHeight="1">
      <c r="BN125" s="5"/>
    </row>
    <row r="126" ht="12.75" customHeight="1">
      <c r="BN126" s="5"/>
    </row>
    <row r="127" ht="12.75" customHeight="1">
      <c r="BN127" s="5"/>
    </row>
    <row r="128" ht="12.75" customHeight="1">
      <c r="BN128" s="5"/>
    </row>
    <row r="129" ht="12.75" customHeight="1">
      <c r="BN129" s="5"/>
    </row>
    <row r="130" ht="12.75" customHeight="1">
      <c r="BN130" s="1"/>
    </row>
    <row r="131" ht="12.75" customHeight="1">
      <c r="BN131" s="52"/>
    </row>
    <row r="132" ht="12.75" customHeight="1">
      <c r="BN132" s="5"/>
    </row>
    <row r="133" ht="12.75" customHeight="1">
      <c r="BN133" s="5"/>
    </row>
    <row r="134" ht="12.75" customHeight="1">
      <c r="BN134" s="5"/>
    </row>
    <row r="135" ht="12.75" customHeight="1">
      <c r="BN135" s="5"/>
    </row>
    <row r="136" ht="12.75" customHeight="1">
      <c r="BN136" s="5"/>
    </row>
    <row r="137" ht="12.75" customHeight="1">
      <c r="BN137" s="5"/>
    </row>
    <row r="138" ht="12.75" customHeight="1">
      <c r="BN138" s="5"/>
    </row>
    <row r="139" ht="12.75" customHeight="1">
      <c r="BN139" s="5"/>
    </row>
    <row r="140" ht="12.75" customHeight="1">
      <c r="BN140" s="5"/>
    </row>
    <row r="141" ht="12.75" customHeight="1">
      <c r="BN141" s="1"/>
    </row>
    <row r="142" ht="12.75" customHeight="1">
      <c r="BN142" s="52"/>
    </row>
    <row r="143" ht="12.75" customHeight="1">
      <c r="BN143" s="5"/>
    </row>
    <row r="144" ht="12.75" customHeight="1">
      <c r="BN144" s="5"/>
    </row>
    <row r="145" ht="12.75" customHeight="1">
      <c r="BN145" s="5"/>
    </row>
    <row r="146" ht="12.75" customHeight="1">
      <c r="BN146" s="5"/>
    </row>
    <row r="147" ht="12.75" customHeight="1">
      <c r="BN147" s="5"/>
    </row>
    <row r="148" ht="12.75" customHeight="1">
      <c r="BN148" s="5"/>
    </row>
    <row r="149" ht="12.75" customHeight="1">
      <c r="BN149" s="5"/>
    </row>
    <row r="150" ht="12.75" customHeight="1">
      <c r="BN150" s="5"/>
    </row>
    <row r="151" ht="12.75" customHeight="1">
      <c r="BN151" s="1"/>
    </row>
    <row r="152" ht="12.75" customHeight="1">
      <c r="BN152" s="52"/>
    </row>
    <row r="153" ht="12.75" customHeight="1">
      <c r="BN153" s="5"/>
    </row>
    <row r="154" ht="12.75" customHeight="1">
      <c r="BN154" s="5"/>
    </row>
    <row r="155" ht="12.75" customHeight="1">
      <c r="BN155" s="5"/>
    </row>
    <row r="156" ht="12.75" customHeight="1">
      <c r="BN156" s="5"/>
    </row>
    <row r="157" ht="12.75" customHeight="1">
      <c r="BN157" s="5"/>
    </row>
    <row r="158" ht="12.75" customHeight="1">
      <c r="BN158" s="5"/>
    </row>
    <row r="159" ht="12.75" customHeight="1">
      <c r="BN159" s="5"/>
    </row>
    <row r="160" ht="12.75" customHeight="1">
      <c r="BN160" s="5"/>
    </row>
    <row r="161" ht="12.75" customHeight="1">
      <c r="BN161" s="5"/>
    </row>
    <row r="162" ht="12.75" customHeight="1">
      <c r="BN162" s="5"/>
    </row>
    <row r="163" ht="12.75" customHeight="1">
      <c r="BN163" s="5"/>
    </row>
    <row r="164" ht="12.75" customHeight="1">
      <c r="BN164" s="5"/>
    </row>
    <row r="165" ht="12.75" customHeight="1">
      <c r="BN165" s="1"/>
    </row>
    <row r="166" ht="12.75" customHeight="1">
      <c r="BN166" s="52"/>
    </row>
    <row r="167" ht="12.75" customHeight="1">
      <c r="BN167" s="5"/>
    </row>
    <row r="168" ht="12.75" customHeight="1">
      <c r="BN168" s="5"/>
    </row>
    <row r="169" ht="12.75" customHeight="1">
      <c r="BN169" s="5"/>
    </row>
    <row r="170" ht="12.75" customHeight="1">
      <c r="BN170" s="5"/>
    </row>
    <row r="171" ht="12.75" customHeight="1">
      <c r="BN171" s="5"/>
    </row>
    <row r="172" ht="12.75" customHeight="1">
      <c r="BN172" s="5"/>
    </row>
    <row r="173" ht="12.75" customHeight="1">
      <c r="BN173" s="5"/>
    </row>
    <row r="174" ht="12.75" customHeight="1">
      <c r="BN174" s="5"/>
    </row>
    <row r="175" ht="12.75" customHeight="1">
      <c r="BN175" s="5"/>
    </row>
    <row r="176" ht="12.75" customHeight="1">
      <c r="BN176" s="1"/>
    </row>
    <row r="177" ht="12.75" customHeight="1"/>
    <row r="178" ht="12.75" customHeight="1">
      <c r="BN178" s="5"/>
    </row>
    <row r="179" ht="12.75" customHeight="1">
      <c r="BN179" s="5"/>
    </row>
    <row r="180" ht="12.75" customHeight="1">
      <c r="BN180" s="5"/>
    </row>
    <row r="181" ht="12.75" customHeight="1">
      <c r="BN181" s="5"/>
    </row>
    <row r="182" ht="12.75" customHeight="1">
      <c r="BN182" s="5"/>
    </row>
    <row r="183" ht="12.75" customHeight="1">
      <c r="BN183" s="5"/>
    </row>
    <row r="184" ht="12.75" customHeight="1">
      <c r="BN184" s="5"/>
    </row>
    <row r="185" ht="12.75" customHeight="1">
      <c r="BN185" s="5"/>
    </row>
    <row r="186" ht="12.75" customHeight="1">
      <c r="BN186" s="5"/>
    </row>
    <row r="187" ht="12.75" customHeight="1">
      <c r="BN187" s="1"/>
    </row>
    <row r="188" ht="12.75" customHeight="1"/>
    <row r="189" ht="12.75" customHeight="1">
      <c r="BN189" s="5"/>
    </row>
    <row r="190" ht="12.75" customHeight="1">
      <c r="BN190" s="5"/>
    </row>
    <row r="191" ht="12.75" customHeight="1">
      <c r="BN191" s="5"/>
    </row>
    <row r="192" ht="12.75" customHeight="1">
      <c r="BN192" s="5"/>
    </row>
    <row r="193" ht="12.75" customHeight="1">
      <c r="BN193" s="5"/>
    </row>
    <row r="194" ht="12.75" customHeight="1">
      <c r="BN194" s="5"/>
    </row>
    <row r="195" ht="12.75" customHeight="1">
      <c r="BN195" s="5"/>
    </row>
    <row r="196" ht="12.75" customHeight="1">
      <c r="BN196" s="1"/>
    </row>
    <row r="197" ht="12.75" customHeight="1">
      <c r="BN197" s="1"/>
    </row>
    <row r="198" ht="12.75" customHeight="1">
      <c r="BN198" s="1"/>
    </row>
    <row r="199" ht="12.75" customHeight="1">
      <c r="BN199" s="52"/>
    </row>
    <row r="200" ht="12.75" customHeight="1">
      <c r="BN200" s="5"/>
    </row>
    <row r="201" ht="12.75" customHeight="1">
      <c r="BN201" s="5"/>
    </row>
    <row r="202" ht="12.75" customHeight="1">
      <c r="BN202" s="5"/>
    </row>
    <row r="203" ht="12.75" customHeight="1">
      <c r="BN203" s="5"/>
    </row>
    <row r="204" ht="12.75" customHeight="1">
      <c r="BN204" s="5"/>
    </row>
    <row r="205" ht="12.75" customHeight="1">
      <c r="BN205" s="5"/>
    </row>
    <row r="206" ht="12.75" customHeight="1">
      <c r="BN206" s="5"/>
    </row>
    <row r="207" ht="12.75" customHeight="1">
      <c r="BN207" s="1"/>
    </row>
    <row r="208" ht="12.75" customHeight="1">
      <c r="BN208" s="52"/>
    </row>
    <row r="209" ht="12.75" customHeight="1">
      <c r="BN209" s="52"/>
    </row>
    <row r="210" ht="12.75" customHeight="1">
      <c r="BN210" s="52"/>
    </row>
    <row r="211" ht="12.75" customHeight="1">
      <c r="BN211" s="5"/>
    </row>
    <row r="212" ht="12.75" customHeight="1">
      <c r="BN212" s="5"/>
    </row>
    <row r="213" ht="12.75" customHeight="1">
      <c r="BN213" s="5"/>
    </row>
    <row r="214" ht="12.75" customHeight="1">
      <c r="BN214" s="5"/>
    </row>
    <row r="215" ht="12.75" customHeight="1">
      <c r="BN215" s="5"/>
    </row>
    <row r="216" ht="12.75" customHeight="1">
      <c r="BN216" s="5"/>
    </row>
    <row r="217" ht="12.75" customHeight="1">
      <c r="BN217" s="5"/>
    </row>
    <row r="218" ht="12.75" customHeight="1">
      <c r="BN218" s="1"/>
    </row>
    <row r="219" ht="12.75" customHeight="1">
      <c r="BN219" s="52"/>
    </row>
    <row r="220" ht="12.75" customHeight="1">
      <c r="BN220" s="5"/>
    </row>
    <row r="221" ht="12.75" customHeight="1">
      <c r="BN221" s="5"/>
    </row>
    <row r="222" ht="12.75" customHeight="1">
      <c r="BN222" s="5"/>
    </row>
    <row r="223" ht="12.75" customHeight="1">
      <c r="BN223" s="5"/>
    </row>
    <row r="224" ht="12.75" customHeight="1">
      <c r="BN224" s="5"/>
    </row>
    <row r="225" ht="12.75" customHeight="1">
      <c r="BN225" s="5"/>
    </row>
    <row r="226" ht="12.75" customHeight="1">
      <c r="BN226" s="5"/>
    </row>
    <row r="227" ht="12.75" customHeight="1">
      <c r="BN227" s="5"/>
    </row>
    <row r="228" ht="12.75" customHeight="1">
      <c r="BN228" s="5"/>
    </row>
    <row r="229" ht="12.75" customHeight="1">
      <c r="BN229" s="1"/>
    </row>
    <row r="230" ht="12.75" customHeight="1">
      <c r="BN230" s="52"/>
    </row>
    <row r="231" ht="12.75" customHeight="1">
      <c r="BN231" s="5"/>
    </row>
    <row r="232" ht="12.75" customHeight="1">
      <c r="BN232" s="5"/>
    </row>
    <row r="233" ht="12.75" customHeight="1">
      <c r="BN233" s="5"/>
    </row>
    <row r="234" ht="12.75" customHeight="1">
      <c r="BN234" s="5"/>
    </row>
    <row r="235" ht="12.75" customHeight="1">
      <c r="BN235" s="5"/>
    </row>
    <row r="236" ht="12.75" customHeight="1">
      <c r="BN236" s="5"/>
    </row>
    <row r="237" ht="12.75" customHeight="1">
      <c r="BN237" s="5"/>
    </row>
    <row r="238" ht="12.75" customHeight="1">
      <c r="BN238" s="5"/>
    </row>
    <row r="239" ht="12.75" customHeight="1">
      <c r="BN239" s="5"/>
    </row>
    <row r="240" ht="12.75" customHeight="1">
      <c r="BN240" s="1"/>
    </row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BK12"/>
    <mergeCell ref="BL12:B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BK15">
    <cfRule type="containsBlanks" dxfId="1" priority="1">
      <formula>LEN(TRIM(E14))=0</formula>
    </cfRule>
  </conditionalFormatting>
  <conditionalFormatting sqref="E19:BK20">
    <cfRule type="containsBlanks" dxfId="1" priority="2">
      <formula>LEN(TRIM(E19))=0</formula>
    </cfRule>
  </conditionalFormatting>
  <conditionalFormatting sqref="E22:BK23 E25:BK26 E33:BK33 E35:BK35 E39:BK40">
    <cfRule type="containsBlanks" dxfId="1" priority="3">
      <formula>LEN(TRIM(E22))=0</formula>
    </cfRule>
  </conditionalFormatting>
  <conditionalFormatting sqref="E30:BK30">
    <cfRule type="expression" dxfId="0" priority="4">
      <formula>E30&lt;&gt;E47</formula>
    </cfRule>
  </conditionalFormatting>
  <conditionalFormatting sqref="E30:BK30">
    <cfRule type="expression" dxfId="0" priority="5">
      <formula>E30&lt;&gt;E34</formula>
    </cfRule>
  </conditionalFormatting>
  <conditionalFormatting sqref="E34:BK34">
    <cfRule type="expression" dxfId="2" priority="6">
      <formula>E30&lt;&gt;E34</formula>
    </cfRule>
  </conditionalFormatting>
  <conditionalFormatting sqref="E34:BK34">
    <cfRule type="expression" dxfId="3" priority="7">
      <formula>E30=E34</formula>
    </cfRule>
  </conditionalFormatting>
  <conditionalFormatting sqref="E34:BK34">
    <cfRule type="expression" dxfId="0" priority="8">
      <formula>E34&lt;&gt;E30</formula>
    </cfRule>
  </conditionalFormatting>
  <conditionalFormatting sqref="E34:BK34">
    <cfRule type="expression" dxfId="0" priority="9">
      <formula>E34&lt;&gt;#REF!</formula>
    </cfRule>
  </conditionalFormatting>
  <conditionalFormatting sqref="E45:BK47">
    <cfRule type="containsBlanks" dxfId="1" priority="10">
      <formula>LEN(TRIM(E45))=0</formula>
    </cfRule>
  </conditionalFormatting>
  <conditionalFormatting sqref="E50:BK51">
    <cfRule type="containsBlanks" dxfId="1" priority="11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